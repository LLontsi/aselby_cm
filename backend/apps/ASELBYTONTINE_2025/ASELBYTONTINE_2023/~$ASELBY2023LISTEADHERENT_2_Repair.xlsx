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</sheets>
</workbook>
</file>

<file path=xl/sharedStrings.xml><?xml version="1.0" encoding="utf-8"?>
<sst xmlns="http://schemas.openxmlformats.org/spreadsheetml/2006/main" count="2566" uniqueCount="336">
  <si>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</si>
  <si>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</si>
  <si>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</si>
  <si>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</si>
  <si>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</si>
  <si>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</si>
  <si>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</si>
  <si>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</si>
  <si>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</si>
  <si>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</si>
  <si>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</si>
  <si>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</si>
  <si>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</si>
  <si>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</si>
  <si>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</si>
  <si>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</si>
  <si>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</si>
  <si>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</si>
  <si>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</si>
  <si>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</si>
  <si>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</si>
  <si>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</si>
  <si>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</si>
  <si>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</si>
  <si>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</si>
  <si>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</si>
  <si>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</si>
  <si>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</si>
  <si>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</si>
  <si>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</si>
  <si>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</si>
  <si>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</si>
  <si>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</si>
  <si>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</si>
  <si>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</si>
  <si>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</si>
  <si>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</si>
  <si>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</si>
  <si>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</si>
  <si>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</si>
  <si>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</si>
  <si>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</si>
  <si>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</si>
  <si>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</si>
  <si>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</si>
  <si>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</si>
  <si>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</si>
  <si>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</si>
  <si>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</si>
  <si>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</si>
  <si>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</si>
  <si>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</si>
  <si>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</si>
  <si>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</si>
  <si>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</si>
  <si>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</si>
  <si>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</si>
  <si>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</si>
  <si>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</si>
  <si>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</si>
  <si>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</si>
  <si>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</si>
  <si>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</si>
  <si>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</si>
  <si>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</si>
  <si>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</si>
  <si>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</si>
  <si>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</si>
  <si>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</si>
  <si>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</si>
  <si>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</si>
  <si>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</si>
  <si>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</si>
  <si>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</si>
  <si>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</si>
  <si>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</si>
  <si>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</si>
  <si>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</si>
  <si>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</si>
  <si>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</si>
  <si>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</si>
  <si>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</si>
  <si>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</si>
  <si>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</si>
  <si>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</si>
  <si>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</si>
  <si>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</si>
  <si>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</si>
  <si>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</si>
  <si>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</si>
  <si>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</si>
  <si>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</si>
  <si>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</si>
  <si>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</si>
  <si>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</si>
  <si>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</si>
  <si>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</si>
  <si>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</si>
  <si>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</si>
  <si>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</si>
  <si>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</si>
  <si>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</si>
  <si>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</si>
  <si>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</si>
  <si>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</si>
  <si>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</si>
  <si>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</si>
  <si>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</si>
  <si>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</si>
  <si>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</si>
  <si>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</si>
  <si>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</si>
  <si>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</si>
  <si>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</si>
  <si>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</si>
  <si>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</si>
  <si>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</si>
  <si>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</si>
  <si>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</si>
  <si>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</si>
  <si>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</si>
  <si>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</si>
  <si>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</si>
  <si>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</si>
  <si>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</si>
  <si>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</si>
  <si>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</si>
  <si>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</si>
  <si>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</si>
  <si>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</si>
  <si>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</si>
  <si>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</si>
  <si>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</si>
  <si>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</si>
  <si>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</si>
  <si>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</si>
  <si>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</si>
  <si>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</si>
  <si>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</si>
  <si>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</si>
  <si>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</si>
  <si>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</si>
  <si>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</si>
  <si>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</si>
  <si>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</si>
  <si>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</si>
  <si>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</si>
  <si>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</si>
  <si>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</si>
  <si>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</si>
  <si>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</si>
  <si>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</si>
  <si>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</si>
  <si>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</si>
  <si>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</si>
  <si>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</si>
  <si>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</si>
  <si>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</si>
  <si>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</si>
  <si>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</si>
  <si>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</si>
  <si>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</si>
  <si>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</si>
  <si>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</si>
  <si>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</si>
  <si>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</si>
  <si>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</si>
  <si>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</si>
  <si>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</si>
  <si>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</si>
  <si>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</si>
  <si>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</si>
  <si>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</si>
  <si>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</si>
  <si>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</si>
  <si>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</si>
  <si>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</si>
  <si>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</si>
  <si>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</si>
  <si>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</si>
  <si>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</si>
  <si>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</si>
  <si>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</si>
  <si>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</si>
  <si>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</si>
  <si>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</si>
  <si>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</si>
  <si>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</si>
  <si>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</si>
  <si>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</si>
  <si>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</si>
  <si>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</si>
  <si>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</si>
  <si>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</si>
  <si>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</si>
  <si>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</si>
  <si>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</si>
  <si>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</si>
  <si>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</si>
  <si>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</si>
  <si>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</si>
  <si>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</si>
  <si>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</si>
  <si>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</si>
  <si>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</si>
  <si>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</si>
  <si>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</si>
  <si>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</si>
  <si>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</si>
  <si>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</si>
  <si>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</si>
  <si>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</si>
  <si>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</si>
  <si>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</si>
  <si>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</si>
  <si>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</si>
  <si>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</si>
  <si>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</si>
  <si>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</si>
  <si>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</si>
  <si>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</si>
  <si>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</si>
  <si>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</si>
  <si>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</si>
  <si>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</si>
  <si>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</si>
  <si>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</si>
  <si>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</si>
  <si>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</si>
  <si>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</si>
  <si>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</si>
  <si>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</si>
  <si>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</si>
  <si>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</si>
  <si>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</si>
  <si>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</si>
  <si>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</si>
  <si>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</si>
  <si>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</si>
  <si>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</si>
  <si>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</si>
  <si>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</si>
  <si>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</si>
  <si>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</si>
  <si>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</si>
  <si>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</si>
  <si>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</si>
  <si>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</si>
  <si>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</si>
  <si>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</si>
  <si>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</si>
  <si>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</si>
  <si>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</si>
  <si>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</si>
  <si>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</si>
  <si>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</si>
  <si>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</si>
  <si>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</si>
  <si>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</si>
  <si>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</si>
  <si>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</si>
  <si>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</si>
  <si>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</si>
  <si>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</si>
  <si>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</si>
  <si>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</si>
  <si>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</si>
  <si>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</si>
  <si>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</si>
  <si>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</si>
  <si>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</si>
  <si>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</si>
  <si>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</si>
  <si>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</si>
  <si>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</si>
  <si>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</si>
  <si>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</si>
  <si>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</si>
  <si>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</si>
  <si>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</si>
  <si>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</si>
  <si>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</si>
  <si>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</si>
  <si>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</si>
  <si>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</si>
  <si>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</si>
  <si>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</si>
  <si>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</si>
  <si>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</si>
  <si>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</si>
  <si>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</si>
  <si>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</si>
  <si>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</si>
  <si>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</si>
  <si>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</si>
  <si>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</si>
  <si>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</si>
  <si>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</si>
  <si>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</si>
  <si>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</si>
  <si>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</si>
  <si>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</si>
  <si>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</si>
  <si>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</si>
  <si>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</si>
  <si>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</si>
  <si>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</si>
  <si>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</si>
  <si>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</si>
  <si>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</si>
  <si>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</si>
  <si>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</si>
  <si>
    <t>AS201657</t>
  </si>
  <si>
    <t>AS201658</t>
  </si>
  <si>
    <t>DETTE TONTINE</t>
  </si>
  <si>
    <t>DISTRIBUTION EPARGNE 2022</t>
  </si>
  <si>
    <t>NOUBE ETIENNE</t>
  </si>
  <si>
    <t>SEUMO POLYCARPE</t>
  </si>
  <si>
    <t>YANTCHOU GERVAIS</t>
  </si>
  <si>
    <t>HODIEP JULES</t>
  </si>
  <si>
    <t>NDOMBOU JEAN CLAUDE</t>
  </si>
  <si>
    <t>SYNTHESE</t>
  </si>
  <si>
    <t>DATE REMBOURSEMENT</t>
  </si>
  <si>
    <t>INTERET A PAYER</t>
  </si>
  <si>
    <t>LIQUIDATION FONDS</t>
  </si>
  <si>
    <t>RECONDUCTION</t>
  </si>
  <si>
    <t>COMPLEMENT</t>
  </si>
  <si>
    <t>SOLDE FIN DEC 2023</t>
  </si>
  <si>
    <t>AS201660</t>
  </si>
  <si>
    <t>AS201659</t>
  </si>
  <si>
    <t>AS201661</t>
  </si>
  <si>
    <t>REPARTITION PROVISOIRE INTERET FONDS+EPARGNE</t>
  </si>
  <si>
    <t>INTERET PRET FONDS</t>
  </si>
  <si>
    <t>BASE DE CALCUL INTERET FONDS DEFINITIF</t>
  </si>
  <si>
    <t>PRÊT DEFINITIF</t>
  </si>
  <si>
    <t>INTERET  PRÊT EXERCISE</t>
  </si>
</sst>
</file>

<file path=xl/sharedStrings.xml><?xml version="1.0" encoding="utf-8"?>
<sst xmlns="http://schemas.openxmlformats.org/spreadsheetml/2006/main" count="2566" uniqueCount="336">
  <si>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</si>
  <si>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</si>
  <si>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</si>
  <si>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</si>
  <si>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</si>
  <si>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</si>
  <si>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</si>
  <si>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</si>
  <si>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</si>
  <si>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</si>
  <si>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</si>
  <si>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</si>
  <si>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</si>
  <si>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</si>
  <si>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</si>
  <si>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</si>
  <si>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</si>
  <si>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</si>
  <si>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</si>
  <si>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</si>
  <si>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</si>
  <si>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</si>
  <si>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</si>
  <si>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</si>
  <si>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</si>
  <si>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</si>
  <si>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</si>
  <si>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</si>
  <si>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</si>
  <si>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</si>
  <si>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</si>
  <si>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</si>
  <si>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</si>
  <si>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</si>
  <si>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</si>
  <si>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</si>
  <si>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</si>
  <si>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</si>
  <si>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</si>
  <si>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</si>
  <si>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</si>
  <si>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</si>
  <si>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</si>
  <si>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</si>
  <si>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</si>
  <si>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</si>
  <si>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</si>
  <si>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</si>
  <si>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</si>
  <si>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</si>
  <si>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</si>
  <si>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</si>
  <si>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</si>
  <si>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</si>
  <si>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</si>
  <si>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</si>
  <si>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</si>
  <si>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</si>
  <si>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</si>
  <si>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</si>
  <si>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</si>
  <si>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</si>
  <si>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</si>
  <si>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</si>
  <si>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</si>
  <si>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</si>
  <si>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</si>
  <si>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</si>
  <si>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</si>
  <si>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</si>
  <si>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</si>
  <si>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</si>
  <si>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</si>
  <si>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</si>
  <si>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</si>
  <si>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</si>
  <si>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</si>
  <si>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</si>
  <si>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</si>
  <si>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</si>
  <si>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</si>
  <si>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</si>
  <si>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</si>
  <si>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</si>
  <si>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</si>
  <si>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</si>
  <si>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</si>
  <si>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</si>
  <si>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</si>
  <si>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</si>
  <si>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</si>
  <si>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</si>
  <si>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</si>
  <si>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</si>
  <si>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</si>
  <si>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</si>
  <si>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</si>
  <si>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</si>
  <si>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</si>
  <si>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</si>
  <si>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</si>
  <si>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</si>
  <si>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</si>
  <si>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</si>
  <si>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</si>
  <si>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</si>
  <si>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</si>
  <si>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</si>
  <si>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</si>
  <si>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</si>
  <si>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</si>
  <si>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</si>
  <si>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</si>
  <si>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</si>
  <si>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</si>
  <si>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</si>
  <si>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</si>
  <si>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</si>
  <si>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</si>
  <si>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</si>
  <si>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</si>
  <si>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</si>
  <si>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</si>
  <si>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</si>
  <si>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</si>
  <si>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</si>
  <si>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</si>
  <si>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</si>
  <si>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</si>
  <si>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</si>
  <si>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</si>
  <si>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</si>
  <si>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</si>
  <si>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</si>
  <si>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</si>
  <si>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</si>
  <si>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</si>
  <si>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</si>
  <si>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</si>
  <si>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</si>
  <si>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</si>
  <si>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</si>
  <si>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</si>
  <si>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</si>
  <si>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</si>
  <si>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</si>
  <si>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</si>
  <si>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</si>
  <si>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</si>
  <si>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</si>
  <si>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</si>
  <si>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</si>
  <si>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</si>
  <si>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</si>
  <si>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</si>
  <si>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</si>
  <si>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</si>
  <si>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</si>
  <si>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</si>
  <si>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</si>
  <si>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</si>
  <si>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</si>
  <si>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</si>
  <si>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</si>
  <si>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</si>
  <si>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</si>
  <si>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</si>
  <si>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</si>
  <si>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</si>
  <si>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</si>
  <si>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</si>
  <si>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</si>
  <si>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</si>
  <si>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</si>
  <si>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</si>
  <si>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</si>
  <si>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</si>
  <si>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</si>
  <si>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</si>
  <si>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</si>
  <si>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</si>
  <si>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</si>
  <si>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</si>
  <si>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</si>
  <si>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</si>
  <si>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</si>
  <si>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</si>
  <si>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</si>
  <si>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</si>
  <si>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</si>
  <si>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</si>
  <si>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</si>
  <si>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</si>
  <si>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</si>
  <si>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</si>
  <si>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</si>
  <si>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</si>
  <si>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</si>
  <si>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</si>
  <si>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</si>
  <si>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</si>
  <si>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</si>
  <si>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</si>
  <si>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</si>
  <si>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</si>
  <si>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</si>
  <si>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</si>
  <si>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</si>
  <si>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</si>
  <si>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</si>
  <si>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</si>
  <si>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</si>
  <si>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</si>
  <si>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</si>
  <si>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</si>
  <si>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</si>
  <si>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</si>
  <si>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</si>
  <si>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</si>
  <si>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</si>
  <si>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</si>
  <si>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</si>
  <si>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</si>
  <si>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</si>
  <si>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</si>
  <si>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</si>
  <si>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</si>
  <si>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</si>
  <si>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</si>
  <si>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</si>
  <si>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</si>
  <si>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</si>
  <si>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</si>
  <si>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</si>
  <si>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</si>
  <si>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</si>
  <si>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</si>
  <si>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</si>
  <si>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</si>
  <si>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</si>
  <si>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</si>
  <si>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</si>
  <si>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</si>
  <si>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</si>
  <si>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</si>
  <si>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</si>
  <si>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</si>
  <si>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</si>
  <si>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</si>
  <si>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</si>
  <si>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</si>
  <si>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</si>
  <si>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</si>
  <si>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</si>
  <si>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</si>
  <si>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</si>
  <si>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</si>
  <si>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</si>
  <si>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</si>
  <si>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</si>
  <si>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</si>
  <si>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</si>
  <si>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</si>
  <si>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</si>
  <si>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</si>
  <si>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</si>
  <si>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</si>
  <si>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</si>
  <si>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</si>
  <si>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</si>
  <si>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</si>
  <si>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</si>
  <si>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</si>
  <si>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</si>
  <si>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</si>
  <si>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</si>
  <si>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</si>
  <si>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</si>
  <si>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</si>
  <si>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</si>
  <si>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</si>
  <si>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</si>
  <si>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</si>
  <si>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</si>
  <si>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</si>
  <si>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</si>
  <si>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</si>
  <si>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</si>
  <si>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</si>
  <si>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</si>
  <si>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</si>
  <si>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</si>
  <si>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</si>
  <si>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</si>
  <si>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</si>
  <si>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</si>
  <si>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</si>
  <si>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</si>
  <si>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</si>
  <si>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</si>
  <si>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</si>
  <si>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</si>
  <si>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</si>
  <si>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</si>
  <si>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</si>
  <si>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</si>
  <si>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</si>
  <si>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</si>
  <si>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</si>
  <si>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</si>
  <si>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</si>
  <si>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</si>
  <si>
    <t>AS201657</t>
  </si>
  <si>
    <t>AS201658</t>
  </si>
  <si>
    <t>DETTE TONTINE</t>
  </si>
  <si>
    <t>DISTRIBUTION EPARGNE 2022</t>
  </si>
  <si>
    <t>NOUBE ETIENNE</t>
  </si>
  <si>
    <t>SEUMO POLYCARPE</t>
  </si>
  <si>
    <t>YANTCHOU GERVAIS</t>
  </si>
  <si>
    <t>HODIEP JULES</t>
  </si>
  <si>
    <t>NDOMBOU JEAN CLAUDE</t>
  </si>
  <si>
    <t>SYNTHESE</t>
  </si>
  <si>
    <t>DATE REMBOURSEMENT</t>
  </si>
  <si>
    <t>INTERET A PAYER</t>
  </si>
  <si>
    <t>LIQUIDATION FONDS</t>
  </si>
  <si>
    <t>RECONDUCTION</t>
  </si>
  <si>
    <t>COMPLEMENT</t>
  </si>
  <si>
    <t>SOLDE FIN DEC 2023</t>
  </si>
  <si>
    <t>AS201660</t>
  </si>
  <si>
    <t>AS201659</t>
  </si>
  <si>
    <t>AS201661</t>
  </si>
  <si>
    <t>REPARTITION PROVISOIRE INTERET FONDS+EPARGNE</t>
  </si>
  <si>
    <t>INTERET PRET FONDS</t>
  </si>
  <si>
    <t>BASE DE CALCUL INTERET FONDS DEFINITIF</t>
  </si>
  <si>
    <t>PRÊT DEFINITIF</t>
  </si>
  <si>
    <t>INTERET  PRÊT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</si>
</sst>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\-yy;@"/>
    <numFmt numFmtId="165" formatCode="#,##0;[Red]#,##0"/>
    <numFmt numFmtId="166" formatCode="[$-40C]mmm\-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b/>
      <sz val="14"/>
      <color rgb="FFFF0000"/>
      <name val="Britannic Bold"/>
      <family val="2"/>
    </font>
    <font>
      <sz val="14"/>
      <color rgb="FF00B05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32" fillId="0" borderId="1" xfId="0" applyNumberFormat="1" applyFont="1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0" fillId="0" borderId="12" xfId="0" applyBorder="1"/>
    <xf numFmtId="0" fontId="1" fillId="0" borderId="13" xfId="0" applyFont="1" applyBorder="1"/>
    <xf numFmtId="3" fontId="1" fillId="0" borderId="13" xfId="0" applyNumberFormat="1" applyFont="1" applyBorder="1"/>
    <xf numFmtId="3" fontId="7" fillId="0" borderId="13" xfId="0" applyNumberFormat="1" applyFont="1" applyBorder="1"/>
    <xf numFmtId="3" fontId="1" fillId="0" borderId="14" xfId="0" applyNumberFormat="1" applyFont="1" applyBorder="1"/>
    <xf numFmtId="0" fontId="1" fillId="0" borderId="12" xfId="0" applyFont="1" applyBorder="1"/>
    <xf numFmtId="3" fontId="1" fillId="0" borderId="15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2" fillId="0" borderId="9" xfId="0" applyNumberFormat="1" applyFont="1" applyBorder="1"/>
    <xf numFmtId="3" fontId="32" fillId="0" borderId="5" xfId="0" applyNumberFormat="1" applyFon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/>
    <xf numFmtId="3" fontId="33" fillId="0" borderId="0" xfId="0" applyNumberFormat="1" applyFont="1"/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NumberFormat="1" applyBorder="1"/>
    <xf numFmtId="0" fontId="0" fillId="0" borderId="0" xfId="0" applyNumberForma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4" fillId="0" borderId="0" xfId="0" applyNumberFormat="1" applyFont="1"/>
    <xf numFmtId="3" fontId="35" fillId="0" borderId="0" xfId="0" applyNumberFormat="1" applyFont="1"/>
    <xf numFmtId="3" fontId="36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7" fillId="0" borderId="0" xfId="0" applyNumberFormat="1" applyFont="1"/>
    <xf numFmtId="3" fontId="5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\-yy;@"/>
    <numFmt numFmtId="165" formatCode="#,##0;[Red]#,##0"/>
    <numFmt numFmtId="166" formatCode="[$-40C]mmm\-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b/>
      <sz val="14"/>
      <color rgb="FFFF0000"/>
      <name val="Britannic Bold"/>
      <family val="2"/>
    </font>
    <font>
      <sz val="14"/>
      <color rgb="FF00B05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32" fillId="0" borderId="1" xfId="0" applyNumberFormat="1" applyFont="1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0" fillId="0" borderId="12" xfId="0" applyBorder="1"/>
    <xf numFmtId="0" fontId="1" fillId="0" borderId="13" xfId="0" applyFont="1" applyBorder="1"/>
    <xf numFmtId="3" fontId="1" fillId="0" borderId="13" xfId="0" applyNumberFormat="1" applyFont="1" applyBorder="1"/>
    <xf numFmtId="3" fontId="7" fillId="0" borderId="13" xfId="0" applyNumberFormat="1" applyFont="1" applyBorder="1"/>
    <xf numFmtId="3" fontId="1" fillId="0" borderId="14" xfId="0" applyNumberFormat="1" applyFont="1" applyBorder="1"/>
    <xf numFmtId="0" fontId="1" fillId="0" borderId="12" xfId="0" applyFont="1" applyBorder="1"/>
    <xf numFmtId="3" fontId="1" fillId="0" borderId="15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2" fillId="0" borderId="9" xfId="0" applyNumberFormat="1" applyFont="1" applyBorder="1"/>
    <xf numFmtId="3" fontId="32" fillId="0" borderId="5" xfId="0" applyNumberFormat="1" applyFon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/>
    <xf numFmtId="3" fontId="33" fillId="0" borderId="0" xfId="0" applyNumberFormat="1" applyFont="1"/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NumberFormat="1" applyBorder="1"/>
    <xf numFmtId="0" fontId="0" fillId="0" borderId="0" xfId="0" applyNumberForma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4" fillId="0" borderId="0" xfId="0" applyNumberFormat="1" applyFont="1"/>
    <xf numFmtId="3" fontId="35" fillId="0" borderId="0" xfId="0" applyNumberFormat="1" applyFont="1"/>
    <xf numFmtId="3" fontId="36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7" fillId="0" borderId="0" xfId="0" applyNumberFormat="1" applyFont="1"/>
    <xf numFmtId="3" fontId="5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4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4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29" sqref="D29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29" sqref="D29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workbookViewId="0">
      <pane xSplit="2" ySplit="5" topLeftCell="N6" activePane="bottomRight" state="frozen"/>
      <selection activeCell="B43" sqref="B43"/>
      <selection pane="topRight" activeCell="B43" sqref="B43"/>
      <selection pane="bottomLeft" activeCell="B43" sqref="B43"/>
      <selection pane="bottomRight" activeCell="R6" sqref="R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30" max="30" width="12.42578125" bestFit="1" customWidth="1"/>
  </cols>
  <sheetData>
    <row r="1" spans="1:32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2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</row>
    <row r="3" spans="1:32" x14ac:dyDescent="0.25">
      <c r="A3" s="1" t="s">
        <v>3</v>
      </c>
      <c r="B3" s="5"/>
      <c r="C3" s="5"/>
      <c r="D3" s="5"/>
      <c r="E3" s="5"/>
      <c r="F3" s="5"/>
      <c r="G3" s="5"/>
      <c r="H3" s="5"/>
    </row>
    <row r="4" spans="1:32" ht="26.25" x14ac:dyDescent="0.4">
      <c r="B4" s="16"/>
      <c r="C4" s="16"/>
      <c r="D4" s="16"/>
      <c r="E4" s="16"/>
      <c r="F4" s="16"/>
      <c r="G4" s="16"/>
      <c r="H4" s="16"/>
      <c r="I4" s="102"/>
      <c r="J4" s="160">
        <v>44578</v>
      </c>
      <c r="K4" s="160"/>
      <c r="L4" s="160"/>
      <c r="M4" s="160"/>
      <c r="N4" s="160"/>
      <c r="O4" s="160"/>
      <c r="P4"/>
      <c r="Q4"/>
    </row>
    <row r="5" spans="1:32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4" t="s">
        <v>255</v>
      </c>
    </row>
    <row r="6" spans="1:32" x14ac:dyDescent="0.25">
      <c r="A6" s="1" t="s">
        <v>16</v>
      </c>
      <c r="B6" s="1" t="str">
        <f>VLOOKUP(A6,[15]LISTADHERENT!$A$5:$J$50,3,0)</f>
        <v>ASELBY</v>
      </c>
      <c r="C6" s="5" t="e">
        <f>#REF!</f>
        <v>#REF!</v>
      </c>
      <c r="D6" s="5" t="e">
        <f>#REF!</f>
        <v>#REF!</v>
      </c>
      <c r="E6" s="36"/>
      <c r="F6" s="5" t="e">
        <f>C6+D6-E6+K6</f>
        <v>#REF!</v>
      </c>
      <c r="G6" s="6" t="e">
        <f t="shared" ref="G6:G36" si="0">$S$40/$H$40*H6</f>
        <v>#REF!</v>
      </c>
      <c r="H6" s="6" t="e">
        <f>F6+D6+K6</f>
        <v>#REF!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[16]HISTOMVTDEPENSE!$T$39</f>
        <v>0</v>
      </c>
      <c r="AF6" s="2"/>
    </row>
    <row r="7" spans="1:32" x14ac:dyDescent="0.25">
      <c r="A7" s="1" t="s">
        <v>17</v>
      </c>
      <c r="B7" s="1" t="str">
        <f>VLOOKUP(A7,[15]LISTADHERENT!$A$5:$J$50,3,0)</f>
        <v>BAKOP ACHILLE</v>
      </c>
      <c r="C7" s="5" t="e">
        <f>#REF!</f>
        <v>#REF!</v>
      </c>
      <c r="D7" s="5" t="e">
        <f>#REF!</f>
        <v>#REF!</v>
      </c>
      <c r="E7" s="36"/>
      <c r="F7" s="5" t="e">
        <f t="shared" ref="F7:F36" si="1">C7+D7-E7+K7</f>
        <v>#REF!</v>
      </c>
      <c r="G7" s="6" t="e">
        <f t="shared" si="0"/>
        <v>#REF!</v>
      </c>
      <c r="H7" s="6" t="e">
        <f t="shared" ref="H7:H36" si="2">F7+D7+K7</f>
        <v>#REF!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>
        <v>4000</v>
      </c>
      <c r="Z7" s="36"/>
      <c r="AA7" s="36"/>
      <c r="AB7" s="36"/>
      <c r="AC7" s="36"/>
      <c r="AD7" s="36"/>
      <c r="AE7" s="2"/>
      <c r="AF7" s="2"/>
    </row>
    <row r="8" spans="1:32" x14ac:dyDescent="0.25">
      <c r="A8" s="1" t="s">
        <v>19</v>
      </c>
      <c r="B8" s="1" t="str">
        <f>VLOOKUP(A8,[15]LISTADHERENT!$A$5:$J$50,3,0)</f>
        <v>BOUTCHOUANG WILLIAM</v>
      </c>
      <c r="C8" s="5" t="e">
        <f>#REF!</f>
        <v>#REF!</v>
      </c>
      <c r="D8" s="5" t="e">
        <f>#REF!</f>
        <v>#REF!</v>
      </c>
      <c r="E8" s="36"/>
      <c r="F8" s="5" t="e">
        <f t="shared" si="1"/>
        <v>#REF!</v>
      </c>
      <c r="G8" s="6" t="e">
        <f t="shared" si="0"/>
        <v>#REF!</v>
      </c>
      <c r="H8" s="6" t="e">
        <f t="shared" si="2"/>
        <v>#REF!</v>
      </c>
      <c r="I8" s="36">
        <f>VLOOKUP($A8,[16]HISTOJANV22!$A$6:$AQ$37,22,0)</f>
        <v>0</v>
      </c>
      <c r="J8" s="36">
        <f>VLOOKUP($A8,[16]HISTOJANV22!$A$6:$AU$39,45,0)</f>
        <v>7000</v>
      </c>
      <c r="K8" s="36">
        <f t="shared" ref="K8:K36" si="3">IF(J8=0,0,J8-(L8+M8+N8))</f>
        <v>3000</v>
      </c>
      <c r="L8" s="36">
        <f t="shared" ref="L8:L36" si="4">IF(J8=0,0,500)</f>
        <v>500</v>
      </c>
      <c r="M8" s="36">
        <f t="shared" ref="M8:M36" si="5">IF(J8=0,0,1000)</f>
        <v>1000</v>
      </c>
      <c r="N8" s="36">
        <f t="shared" ref="N8:N36" si="6">IF(J8=0,0,2500)</f>
        <v>2500</v>
      </c>
      <c r="O8" s="36">
        <f>VLOOKUP($A8,[16]HISTOJANV22!$A$6:$AU$39,7,0)</f>
        <v>0</v>
      </c>
      <c r="P8" s="36">
        <f>VLOOKUP($A8,[16]HISTOJANV22!$A$6:$AU$39,23,0)</f>
        <v>0</v>
      </c>
      <c r="Q8" s="36">
        <f>VLOOKUP($A8,[16]HISTOJANV22!$A$6:$AU$39,46,0)</f>
        <v>0</v>
      </c>
      <c r="R8" s="36">
        <f>VLOOKUP($A8,[16]HISTODEC21!$A$6:$AU$39,26,0)</f>
        <v>525000</v>
      </c>
      <c r="S8" s="36">
        <f t="shared" ref="S8:S36" si="7">R8*12/1200*12</f>
        <v>63000</v>
      </c>
      <c r="T8" s="36">
        <f>VLOOKUP($A8,[16]HISTOJANV22!$A$6:$AU$39,28,0)</f>
        <v>0</v>
      </c>
      <c r="U8" s="36">
        <f>VLOOKUP($A8,[16]HISTOJANV22!$A$6:$AU$39,19,0)</f>
        <v>0</v>
      </c>
      <c r="V8" s="36">
        <f>VLOOKUP($A8,[16]HISTOJANV22!$A$6:$AU$39,20,0)</f>
        <v>0</v>
      </c>
      <c r="W8" s="36">
        <f>VLOOKUP($A8,[16]HISTOJANV22!$A$6:$AU$39,27,0)</f>
        <v>0</v>
      </c>
      <c r="X8" s="36">
        <f>VLOOKUP($A8,[16]HISTOJANV22!$A$6:$AU$39,33,0)</f>
        <v>0</v>
      </c>
      <c r="Y8" s="36"/>
      <c r="Z8" s="36"/>
      <c r="AA8" s="36">
        <f>VLOOKUP($A8,[16]HISTOJANV22!$A$6:$AU$39,43,0)</f>
        <v>0</v>
      </c>
      <c r="AB8" s="36">
        <f>VLOOKUP($A8,[16]HISTOJANV22!$A$6:$AU$39,44,0)</f>
        <v>0</v>
      </c>
      <c r="AC8" s="36">
        <f>VLOOKUP($A8,[16]HISTOJANV22!$A$6:$AU$39,47,0)</f>
        <v>0</v>
      </c>
      <c r="AD8" s="36">
        <f>VLOOKUP(A8,[16]HISTOJANV22!$A$6:$BB$36,54,0)</f>
        <v>0</v>
      </c>
      <c r="AE8" s="2"/>
      <c r="AF8" s="2"/>
    </row>
    <row r="9" spans="1:32" x14ac:dyDescent="0.25">
      <c r="A9" s="1" t="s">
        <v>23</v>
      </c>
      <c r="B9" s="1" t="str">
        <f>VLOOKUP(A9,[15]LISTADHERENT!$A$5:$J$50,3,0)</f>
        <v xml:space="preserve">DJOMO JEAN PAUL </v>
      </c>
      <c r="C9" s="5" t="e">
        <f>#REF!</f>
        <v>#REF!</v>
      </c>
      <c r="D9" s="5" t="e">
        <f>#REF!</f>
        <v>#REF!</v>
      </c>
      <c r="E9" s="36"/>
      <c r="F9" s="5" t="e">
        <f t="shared" si="1"/>
        <v>#REF!</v>
      </c>
      <c r="G9" s="6" t="e">
        <f t="shared" si="0"/>
        <v>#REF!</v>
      </c>
      <c r="H9" s="6" t="e">
        <f t="shared" si="2"/>
        <v>#REF!</v>
      </c>
      <c r="I9" s="36">
        <f>VLOOKUP($A9,[16]HISTOJANV22!$A$6:$AQ$37,22,0)</f>
        <v>0</v>
      </c>
      <c r="J9" s="36">
        <f>VLOOKUP($A9,[16]HISTOJANV22!$A$6:$AU$39,45,0)</f>
        <v>52000</v>
      </c>
      <c r="K9" s="36">
        <f t="shared" si="3"/>
        <v>48000</v>
      </c>
      <c r="L9" s="36">
        <f t="shared" si="4"/>
        <v>500</v>
      </c>
      <c r="M9" s="36">
        <f t="shared" si="5"/>
        <v>1000</v>
      </c>
      <c r="N9" s="36">
        <f t="shared" si="6"/>
        <v>2500</v>
      </c>
      <c r="O9" s="36">
        <f>VLOOKUP($A9,[16]HISTOJANV22!$A$6:$AU$39,7,0)</f>
        <v>0</v>
      </c>
      <c r="P9" s="36">
        <f>VLOOKUP($A9,[16]HISTOJANV22!$A$6:$AU$39,23,0)</f>
        <v>0</v>
      </c>
      <c r="Q9" s="36">
        <f>VLOOKUP($A9,[16]HISTOJANV22!$A$6:$AU$39,46,0)</f>
        <v>0</v>
      </c>
      <c r="R9" s="36">
        <f>VLOOKUP($A9,[16]HISTODEC21!$A$6:$AU$39,26,0)</f>
        <v>1000000</v>
      </c>
      <c r="S9" s="36">
        <f t="shared" si="7"/>
        <v>120000</v>
      </c>
      <c r="T9" s="36" t="str">
        <f>VLOOKUP($A9,[16]HISTOJANV22!$A$6:$AU$39,28,0)</f>
        <v>OKK</v>
      </c>
      <c r="U9" s="36">
        <f>VLOOKUP($A9,[16]HISTOJANV22!$A$6:$AU$39,19,0)</f>
        <v>0</v>
      </c>
      <c r="V9" s="36">
        <f>VLOOKUP($A9,[16]HISTOJANV22!$A$6:$AU$39,20,0)</f>
        <v>0</v>
      </c>
      <c r="W9" s="36" t="str">
        <f>VLOOKUP($A9,[16]HISTOJANV22!$A$6:$AU$39,27,0)</f>
        <v>BANQUE</v>
      </c>
      <c r="X9" s="36">
        <f>VLOOKUP($A9,[16]HISTOJANV22!$A$6:$AU$39,33,0)</f>
        <v>0</v>
      </c>
      <c r="Y9" s="36"/>
      <c r="Z9" s="36"/>
      <c r="AA9" s="36">
        <f>VLOOKUP($A9,[16]HISTOJANV22!$A$6:$AU$39,43,0)</f>
        <v>0</v>
      </c>
      <c r="AB9" s="36">
        <f>VLOOKUP($A9,[16]HISTOJANV22!$A$6:$AU$39,44,0)</f>
        <v>0</v>
      </c>
      <c r="AC9" s="36">
        <f>VLOOKUP($A9,[16]HISTOJANV22!$A$6:$AU$39,47,0)</f>
        <v>0</v>
      </c>
      <c r="AD9" s="36">
        <f>VLOOKUP(A9,[16]HISTOJANV22!$A$6:$BB$36,54,0)</f>
        <v>0</v>
      </c>
      <c r="AE9" s="2"/>
      <c r="AF9" s="2"/>
    </row>
    <row r="10" spans="1:32" x14ac:dyDescent="0.25">
      <c r="A10" s="1" t="s">
        <v>154</v>
      </c>
      <c r="B10" s="1" t="str">
        <f>VLOOKUP(A10,[15]LISTADHERENT!$A$5:$J$50,3,0)</f>
        <v>DJOMOU TCHAPDA</v>
      </c>
      <c r="C10" s="5" t="e">
        <f>#REF!</f>
        <v>#REF!</v>
      </c>
      <c r="D10" s="5" t="e">
        <f>#REF!</f>
        <v>#REF!</v>
      </c>
      <c r="E10" s="36"/>
      <c r="F10" s="5" t="e">
        <f t="shared" si="1"/>
        <v>#REF!</v>
      </c>
      <c r="G10" s="6" t="e">
        <f t="shared" si="0"/>
        <v>#REF!</v>
      </c>
      <c r="H10" s="6" t="e">
        <f t="shared" si="2"/>
        <v>#REF!</v>
      </c>
      <c r="I10" s="36">
        <f>VLOOKUP($A10,[16]HISTOJANV22!$A$6:$AQ$37,22,0)</f>
        <v>0</v>
      </c>
      <c r="J10" s="36">
        <f>VLOOKUP($A10,[16]HISTOJANV22!$A$6:$AU$39,45,0)</f>
        <v>7000</v>
      </c>
      <c r="K10" s="36">
        <f t="shared" si="3"/>
        <v>3000</v>
      </c>
      <c r="L10" s="36">
        <f t="shared" si="4"/>
        <v>500</v>
      </c>
      <c r="M10" s="36">
        <f t="shared" si="5"/>
        <v>1000</v>
      </c>
      <c r="N10" s="36">
        <f t="shared" si="6"/>
        <v>2500</v>
      </c>
      <c r="O10" s="36">
        <f>VLOOKUP($A10,[16]HISTOJANV22!$A$6:$AU$39,7,0)</f>
        <v>0</v>
      </c>
      <c r="P10" s="36">
        <f>VLOOKUP($A10,[16]HISTOJANV22!$A$6:$AU$39,23,0)</f>
        <v>0</v>
      </c>
      <c r="Q10" s="36">
        <f>VLOOKUP($A10,[16]HISTOJANV22!$A$6:$AU$39,46,0)</f>
        <v>0</v>
      </c>
      <c r="R10" s="36" t="e">
        <f>VLOOKUP($A10,[16]HISTODEC21!$A$6:$AU$39,26,0)</f>
        <v>#REF!</v>
      </c>
      <c r="S10" s="36" t="e">
        <f>R10*1/1200*12</f>
        <v>#REF!</v>
      </c>
      <c r="T10" s="36">
        <f>VLOOKUP($A10,[16]HISTOJANV22!$A$6:$AU$39,28,0)</f>
        <v>0</v>
      </c>
      <c r="U10" s="36">
        <f>VLOOKUP($A10,[16]HISTOJANV22!$A$6:$AU$39,19,0)</f>
        <v>0</v>
      </c>
      <c r="V10" s="36">
        <f>VLOOKUP($A10,[16]HISTOJANV22!$A$6:$AU$39,20,0)</f>
        <v>0</v>
      </c>
      <c r="W10" s="36">
        <f>VLOOKUP($A10,[16]HISTOJANV22!$A$6:$AU$39,27,0)</f>
        <v>0</v>
      </c>
      <c r="X10" s="36">
        <f>VLOOKUP($A10,[16]HISTOJANV22!$A$6:$AU$39,33,0)</f>
        <v>0</v>
      </c>
      <c r="Y10" s="36"/>
      <c r="Z10" s="36"/>
      <c r="AA10" s="36">
        <f>VLOOKUP($A10,[16]HISTOJANV22!$A$6:$AU$39,43,0)</f>
        <v>0</v>
      </c>
      <c r="AB10" s="36">
        <f>VLOOKUP($A10,[16]HISTOJANV22!$A$6:$AU$39,44,0)</f>
        <v>0</v>
      </c>
      <c r="AC10" s="36">
        <f>VLOOKUP($A10,[16]HISTOJANV22!$A$6:$AU$39,47,0)</f>
        <v>0</v>
      </c>
      <c r="AD10" s="36">
        <f>VLOOKUP(A10,[16]HISTOJANV22!$A$6:$BB$36,54,0)</f>
        <v>0</v>
      </c>
      <c r="AE10" s="2"/>
      <c r="AF10" s="2"/>
    </row>
    <row r="11" spans="1:32" x14ac:dyDescent="0.25">
      <c r="A11" s="1" t="s">
        <v>24</v>
      </c>
      <c r="B11" s="1" t="str">
        <f>VLOOKUP(A11,[15]LISTADHERENT!$A$5:$J$50,3,0)</f>
        <v>DJOUKWE NANGUEN GUY BLAISE</v>
      </c>
      <c r="C11" s="5" t="e">
        <f>#REF!</f>
        <v>#REF!</v>
      </c>
      <c r="D11" s="5" t="e">
        <f>#REF!</f>
        <v>#REF!</v>
      </c>
      <c r="E11" s="36"/>
      <c r="F11" s="5" t="e">
        <f t="shared" si="1"/>
        <v>#REF!</v>
      </c>
      <c r="G11" s="6" t="e">
        <f t="shared" si="0"/>
        <v>#REF!</v>
      </c>
      <c r="H11" s="6" t="e">
        <f t="shared" si="2"/>
        <v>#REF!</v>
      </c>
      <c r="I11" s="36">
        <f>VLOOKUP($A11,[16]HISTOJANV22!$A$6:$AQ$37,22,0)</f>
        <v>0</v>
      </c>
      <c r="J11" s="36">
        <f>VLOOKUP($A11,[16]HISTOJANV22!$A$6:$AU$39,45,0)</f>
        <v>12000</v>
      </c>
      <c r="K11" s="36">
        <f t="shared" si="3"/>
        <v>8000</v>
      </c>
      <c r="L11" s="36">
        <f t="shared" si="4"/>
        <v>500</v>
      </c>
      <c r="M11" s="36">
        <f t="shared" si="5"/>
        <v>1000</v>
      </c>
      <c r="N11" s="36">
        <f t="shared" si="6"/>
        <v>2500</v>
      </c>
      <c r="O11" s="36">
        <f>VLOOKUP($A11,[16]HISTOJANV22!$A$6:$AU$39,7,0)</f>
        <v>0</v>
      </c>
      <c r="P11" s="36">
        <f>VLOOKUP($A11,[16]HISTOJANV22!$A$6:$AU$39,23,0)</f>
        <v>0</v>
      </c>
      <c r="Q11" s="36">
        <f>VLOOKUP($A11,[16]HISTOJANV22!$A$6:$AU$39,46,0)</f>
        <v>0</v>
      </c>
      <c r="R11" s="36">
        <f>VLOOKUP($A11,[16]HISTODEC21!$A$6:$AU$39,26,0)</f>
        <v>1000000</v>
      </c>
      <c r="S11" s="36">
        <f>R11*1/1200*12</f>
        <v>10000</v>
      </c>
      <c r="T11" s="36" t="str">
        <f>VLOOKUP($A11,[16]HISTOJANV22!$A$6:$AU$39,28,0)</f>
        <v>OKK</v>
      </c>
      <c r="U11" s="36">
        <f>VLOOKUP($A11,[16]HISTOJANV22!$A$6:$AU$39,19,0)</f>
        <v>0</v>
      </c>
      <c r="V11" s="36">
        <f>VLOOKUP($A11,[16]HISTOJANV22!$A$6:$AU$39,20,0)</f>
        <v>0</v>
      </c>
      <c r="W11" s="36" t="str">
        <f>VLOOKUP($A11,[16]HISTOJANV22!$A$6:$AU$39,27,0)</f>
        <v>BANQUE</v>
      </c>
      <c r="X11" s="36">
        <f>VLOOKUP($A11,[16]HISTOJANV22!$A$6:$AU$39,33,0)</f>
        <v>0</v>
      </c>
      <c r="Y11" s="36">
        <v>29000</v>
      </c>
      <c r="Z11" s="36"/>
      <c r="AA11" s="36">
        <f>VLOOKUP($A11,[16]HISTOJANV22!$A$6:$AU$39,43,0)</f>
        <v>0</v>
      </c>
      <c r="AB11" s="36">
        <f>VLOOKUP($A11,[16]HISTOJANV22!$A$6:$AU$39,44,0)</f>
        <v>0</v>
      </c>
      <c r="AC11" s="36">
        <f>VLOOKUP($A11,[16]HISTOJANV22!$A$6:$AU$39,47,0)</f>
        <v>0</v>
      </c>
      <c r="AD11" s="36">
        <f>VLOOKUP(A11,[16]HISTOJANV22!$A$6:$BB$36,54,0)</f>
        <v>0</v>
      </c>
      <c r="AE11" s="2"/>
      <c r="AF11" s="2"/>
    </row>
    <row r="12" spans="1:32" x14ac:dyDescent="0.25">
      <c r="A12" s="1" t="s">
        <v>25</v>
      </c>
      <c r="B12" s="1" t="str">
        <f>VLOOKUP(A12,[15]LISTADHERENT!$A$5:$J$50,3,0)</f>
        <v>DJUOMBESSY ANTOINE</v>
      </c>
      <c r="C12" s="5" t="e">
        <f>#REF!</f>
        <v>#REF!</v>
      </c>
      <c r="D12" s="5" t="e">
        <f>#REF!</f>
        <v>#REF!</v>
      </c>
      <c r="E12" s="36"/>
      <c r="F12" s="5" t="e">
        <f t="shared" si="1"/>
        <v>#REF!</v>
      </c>
      <c r="G12" s="6" t="e">
        <f t="shared" si="0"/>
        <v>#REF!</v>
      </c>
      <c r="H12" s="6" t="e">
        <f t="shared" si="2"/>
        <v>#REF!</v>
      </c>
      <c r="I12" s="36">
        <f>VLOOKUP($A12,[16]HISTOJANV22!$A$6:$AQ$37,22,0)</f>
        <v>0</v>
      </c>
      <c r="J12" s="36">
        <f>VLOOKUP($A12,[16]HISTOJANV22!$A$6:$AU$39,45,0)</f>
        <v>7000</v>
      </c>
      <c r="K12" s="36">
        <f t="shared" si="3"/>
        <v>3000</v>
      </c>
      <c r="L12" s="36">
        <f t="shared" si="4"/>
        <v>500</v>
      </c>
      <c r="M12" s="36">
        <f t="shared" si="5"/>
        <v>1000</v>
      </c>
      <c r="N12" s="36">
        <f t="shared" si="6"/>
        <v>2500</v>
      </c>
      <c r="O12" s="36">
        <f>VLOOKUP($A12,[16]HISTOJANV22!$A$6:$AU$39,7,0)</f>
        <v>0</v>
      </c>
      <c r="P12" s="36">
        <f>VLOOKUP($A12,[16]HISTOJANV22!$A$6:$AU$39,23,0)</f>
        <v>0</v>
      </c>
      <c r="Q12" s="36">
        <f>VLOOKUP($A12,[16]HISTOJANV22!$A$6:$AU$39,46,0)</f>
        <v>0</v>
      </c>
      <c r="R12" s="36">
        <f>VLOOKUP($A12,[16]HISTODEC21!$A$6:$AU$39,26,0)</f>
        <v>1029000</v>
      </c>
      <c r="S12" s="36">
        <f t="shared" si="7"/>
        <v>123480</v>
      </c>
      <c r="T12" s="36">
        <f>VLOOKUP($A12,[16]HISTOJANV22!$A$6:$AU$39,28,0)</f>
        <v>0</v>
      </c>
      <c r="U12" s="36">
        <f>VLOOKUP($A12,[16]HISTOJANV22!$A$6:$AU$39,19,0)</f>
        <v>1000000</v>
      </c>
      <c r="V12" s="36" t="str">
        <f>VLOOKUP($A12,[16]HISTOJANV22!$A$6:$AU$39,20,0)</f>
        <v>BANQUE</v>
      </c>
      <c r="W12" s="36">
        <f>VLOOKUP($A12,[16]HISTOJANV22!$A$6:$AU$39,27,0)</f>
        <v>0</v>
      </c>
      <c r="X12" s="36">
        <f>VLOOKUP($A12,[16]HISTOJANV22!$A$6:$AU$39,33,0)</f>
        <v>0</v>
      </c>
      <c r="Y12" s="36"/>
      <c r="Z12" s="36"/>
      <c r="AA12" s="36">
        <f>VLOOKUP($A12,[16]HISTOJANV22!$A$6:$AU$39,43,0)</f>
        <v>0</v>
      </c>
      <c r="AB12" s="36">
        <f>VLOOKUP($A12,[16]HISTOJANV22!$A$6:$AU$39,44,0)</f>
        <v>0</v>
      </c>
      <c r="AC12" s="36">
        <f>VLOOKUP($A12,[16]HISTOJANV22!$A$6:$AU$39,47,0)</f>
        <v>0</v>
      </c>
      <c r="AD12" s="36">
        <f>VLOOKUP(A12,[16]HISTOJANV22!$A$6:$BB$36,54,0)</f>
        <v>61000</v>
      </c>
      <c r="AE12" s="2"/>
      <c r="AF12" s="2"/>
    </row>
    <row r="13" spans="1:32" x14ac:dyDescent="0.25">
      <c r="A13" s="1" t="s">
        <v>79</v>
      </c>
      <c r="B13" s="1" t="str">
        <f>VLOOKUP(A13,[15]LISTADHERENT!$A$5:$J$50,3,0)</f>
        <v>DOMOU FABIEN</v>
      </c>
      <c r="C13" s="5" t="e">
        <f>#REF!</f>
        <v>#REF!</v>
      </c>
      <c r="D13" s="5" t="e">
        <f>#REF!</f>
        <v>#REF!</v>
      </c>
      <c r="E13" s="36"/>
      <c r="F13" s="5" t="e">
        <f t="shared" si="1"/>
        <v>#REF!</v>
      </c>
      <c r="G13" s="6" t="e">
        <f t="shared" si="0"/>
        <v>#REF!</v>
      </c>
      <c r="H13" s="6" t="e">
        <f t="shared" si="2"/>
        <v>#REF!</v>
      </c>
      <c r="I13" s="36">
        <f>VLOOKUP($A13,[16]HISTOJANV22!$A$6:$AQ$37,22,0)</f>
        <v>0</v>
      </c>
      <c r="J13" s="36">
        <f>VLOOKUP($A13,[16]HISTOJANV22!$A$6:$AU$39,45,0)</f>
        <v>12000</v>
      </c>
      <c r="K13" s="36">
        <f t="shared" si="3"/>
        <v>8000</v>
      </c>
      <c r="L13" s="36">
        <f t="shared" si="4"/>
        <v>500</v>
      </c>
      <c r="M13" s="36">
        <f t="shared" si="5"/>
        <v>1000</v>
      </c>
      <c r="N13" s="36">
        <f t="shared" si="6"/>
        <v>2500</v>
      </c>
      <c r="O13" s="36">
        <f>VLOOKUP($A13,[16]HISTOJANV22!$A$6:$AU$39,7,0)</f>
        <v>0</v>
      </c>
      <c r="P13" s="36">
        <f>VLOOKUP($A13,[16]HISTOJANV22!$A$6:$AU$39,23,0)</f>
        <v>0</v>
      </c>
      <c r="Q13" s="36">
        <f>VLOOKUP($A13,[16]HISTOJANV22!$A$6:$AU$39,46,0)</f>
        <v>0</v>
      </c>
      <c r="R13" s="36">
        <f>VLOOKUP($A13,[16]HISTODEC21!$A$6:$AU$39,26,0)</f>
        <v>1000000</v>
      </c>
      <c r="S13" s="36">
        <f t="shared" si="7"/>
        <v>120000</v>
      </c>
      <c r="T13" s="36" t="str">
        <f>VLOOKUP($A13,[16]HISTOJANV22!$A$6:$AU$39,28,0)</f>
        <v>OKK</v>
      </c>
      <c r="U13" s="36">
        <f>VLOOKUP($A13,[16]HISTOJANV22!$A$6:$AU$39,19,0)</f>
        <v>0</v>
      </c>
      <c r="V13" s="36">
        <f>VLOOKUP($A13,[16]HISTOJANV22!$A$6:$AU$39,20,0)</f>
        <v>0</v>
      </c>
      <c r="W13" s="36" t="str">
        <f>VLOOKUP($A13,[16]HISTOJANV22!$A$6:$AU$39,27,0)</f>
        <v>BANQUE</v>
      </c>
      <c r="X13" s="36">
        <f>VLOOKUP($A13,[16]HISTOJANV22!$A$6:$AU$39,33,0)</f>
        <v>0</v>
      </c>
      <c r="Y13" s="36"/>
      <c r="Z13" s="36"/>
      <c r="AA13" s="36">
        <f>VLOOKUP($A13,[16]HISTOJANV22!$A$6:$AU$39,43,0)</f>
        <v>0</v>
      </c>
      <c r="AB13" s="36">
        <f>VLOOKUP($A13,[16]HISTOJANV22!$A$6:$AU$39,44,0)</f>
        <v>0</v>
      </c>
      <c r="AC13" s="36">
        <f>VLOOKUP($A13,[16]HISTOJANV22!$A$6:$AU$39,47,0)</f>
        <v>0</v>
      </c>
      <c r="AD13" s="36">
        <f>VLOOKUP(A13,[16]HISTOJANV22!$A$6:$BB$36,54,0)</f>
        <v>57000</v>
      </c>
      <c r="AE13" s="2"/>
      <c r="AF13" s="2"/>
    </row>
    <row r="14" spans="1:32" x14ac:dyDescent="0.25">
      <c r="A14" s="1" t="s">
        <v>26</v>
      </c>
      <c r="B14" s="1" t="str">
        <f>VLOOKUP(A14,[15]LISTADHERENT!$A$5:$J$50,3,0)</f>
        <v>DONHOU DAVID</v>
      </c>
      <c r="C14" s="5" t="e">
        <f>#REF!</f>
        <v>#REF!</v>
      </c>
      <c r="D14" s="5" t="e">
        <f>#REF!</f>
        <v>#REF!</v>
      </c>
      <c r="E14" s="36"/>
      <c r="F14" s="5" t="e">
        <f t="shared" si="1"/>
        <v>#REF!</v>
      </c>
      <c r="G14" s="6" t="e">
        <f t="shared" si="0"/>
        <v>#REF!</v>
      </c>
      <c r="H14" s="6" t="e">
        <f t="shared" si="2"/>
        <v>#REF!</v>
      </c>
      <c r="I14" s="36">
        <f>VLOOKUP($A14,[16]HISTOJANV22!$A$6:$AQ$37,22,0)</f>
        <v>0</v>
      </c>
      <c r="J14" s="36">
        <f>VLOOKUP($A14,[16]HISTOJANV22!$A$6:$AU$39,45,0)</f>
        <v>7000</v>
      </c>
      <c r="K14" s="36">
        <f t="shared" si="3"/>
        <v>3000</v>
      </c>
      <c r="L14" s="36">
        <f t="shared" si="4"/>
        <v>500</v>
      </c>
      <c r="M14" s="36">
        <f t="shared" si="5"/>
        <v>1000</v>
      </c>
      <c r="N14" s="36">
        <f t="shared" si="6"/>
        <v>2500</v>
      </c>
      <c r="O14" s="36">
        <f>VLOOKUP($A14,[16]HISTOJANV22!$A$6:$AU$39,7,0)</f>
        <v>0</v>
      </c>
      <c r="P14" s="36">
        <f>VLOOKUP($A14,[16]HISTOJANV22!$A$6:$AU$39,23,0)</f>
        <v>0</v>
      </c>
      <c r="Q14" s="36">
        <f>VLOOKUP($A14,[16]HISTOJANV22!$A$6:$AU$39,46,0)</f>
        <v>0</v>
      </c>
      <c r="R14" s="36" t="e">
        <f>VLOOKUP($A14,[16]HISTODEC21!$A$6:$AU$39,26,0)</f>
        <v>#REF!</v>
      </c>
      <c r="S14" s="36" t="e">
        <f>R14*0/1200*12</f>
        <v>#REF!</v>
      </c>
      <c r="T14" s="36">
        <f>VLOOKUP($A14,[16]HISTOJANV22!$A$6:$AU$39,28,0)</f>
        <v>0</v>
      </c>
      <c r="U14" s="36">
        <f>VLOOKUP($A14,[16]HISTOJANV22!$A$6:$AU$39,19,0)</f>
        <v>0</v>
      </c>
      <c r="V14" s="36">
        <f>VLOOKUP($A14,[16]HISTOJANV22!$A$6:$AU$39,20,0)</f>
        <v>0</v>
      </c>
      <c r="W14" s="36">
        <f>VLOOKUP($A14,[16]HISTOJANV22!$A$6:$AU$39,27,0)</f>
        <v>0</v>
      </c>
      <c r="X14" s="36">
        <f>VLOOKUP($A14,[16]HISTOJANV22!$A$6:$AU$39,33,0)</f>
        <v>0</v>
      </c>
      <c r="Y14" s="36">
        <v>155000</v>
      </c>
      <c r="Z14" s="36"/>
      <c r="AA14" s="36">
        <f>VLOOKUP($A14,[16]HISTOJANV22!$A$6:$AU$39,43,0)</f>
        <v>0</v>
      </c>
      <c r="AB14" s="36">
        <f>VLOOKUP($A14,[16]HISTOJANV22!$A$6:$AU$39,44,0)</f>
        <v>0</v>
      </c>
      <c r="AC14" s="36">
        <f>VLOOKUP($A14,[16]HISTOJANV22!$A$6:$AU$39,47,0)</f>
        <v>0</v>
      </c>
      <c r="AD14" s="36">
        <f>VLOOKUP(A14,[16]HISTOJANV22!$A$6:$BB$36,54,0)</f>
        <v>70000</v>
      </c>
      <c r="AE14" s="2"/>
      <c r="AF14" s="2"/>
    </row>
    <row r="15" spans="1:32" ht="14.25" customHeight="1" x14ac:dyDescent="0.25">
      <c r="A15" s="1" t="s">
        <v>28</v>
      </c>
      <c r="B15" s="1" t="str">
        <f>VLOOKUP(A15,[15]LISTADHERENT!$A$5:$J$50,3,0)</f>
        <v>HENGUE PAUL OMER</v>
      </c>
      <c r="C15" s="5" t="e">
        <f>#REF!</f>
        <v>#REF!</v>
      </c>
      <c r="D15" s="5" t="e">
        <f>#REF!</f>
        <v>#REF!</v>
      </c>
      <c r="E15" s="36"/>
      <c r="F15" s="5" t="e">
        <f t="shared" si="1"/>
        <v>#REF!</v>
      </c>
      <c r="G15" s="6" t="e">
        <f t="shared" si="0"/>
        <v>#REF!</v>
      </c>
      <c r="H15" s="6" t="e">
        <f t="shared" si="2"/>
        <v>#REF!</v>
      </c>
      <c r="I15" s="36">
        <f>VLOOKUP($A15,[16]HISTOJANV22!$A$6:$AQ$37,22,0)</f>
        <v>0</v>
      </c>
      <c r="J15" s="36">
        <f>VLOOKUP($A15,[16]HISTOJANV22!$A$6:$AU$39,45,0)</f>
        <v>7000</v>
      </c>
      <c r="K15" s="36">
        <f t="shared" si="3"/>
        <v>3000</v>
      </c>
      <c r="L15" s="36">
        <f t="shared" si="4"/>
        <v>500</v>
      </c>
      <c r="M15" s="36">
        <f t="shared" si="5"/>
        <v>1000</v>
      </c>
      <c r="N15" s="36">
        <f t="shared" si="6"/>
        <v>2500</v>
      </c>
      <c r="O15" s="36">
        <f>VLOOKUP($A15,[16]HISTOJANV22!$A$6:$AU$39,7,0)</f>
        <v>0</v>
      </c>
      <c r="P15" s="36">
        <f>VLOOKUP($A15,[16]HISTOJANV22!$A$6:$AU$39,23,0)</f>
        <v>0</v>
      </c>
      <c r="Q15" s="36">
        <f>VLOOKUP($A15,[16]HISTOJANV22!$A$6:$AU$39,46,0)</f>
        <v>0</v>
      </c>
      <c r="R15" s="36" t="e">
        <f>VLOOKUP($A15,[16]HISTODEC21!$A$6:$AU$39,26,0)</f>
        <v>#REF!</v>
      </c>
      <c r="S15" s="36" t="e">
        <f t="shared" si="7"/>
        <v>#REF!</v>
      </c>
      <c r="T15" s="36">
        <f>VLOOKUP($A15,[16]HISTOJANV22!$A$6:$AU$39,28,0)</f>
        <v>0</v>
      </c>
      <c r="U15" s="36">
        <f>VLOOKUP($A15,[16]HISTOJANV22!$A$6:$AU$39,19,0)</f>
        <v>0</v>
      </c>
      <c r="V15" s="36">
        <f>VLOOKUP($A15,[16]HISTOJANV22!$A$6:$AU$39,20,0)</f>
        <v>0</v>
      </c>
      <c r="W15" s="36">
        <f>VLOOKUP($A15,[16]HISTOJANV22!$A$6:$AU$39,27,0)</f>
        <v>0</v>
      </c>
      <c r="X15" s="36">
        <f>VLOOKUP($A15,[16]HISTOJANV22!$A$6:$AU$39,33,0)</f>
        <v>0</v>
      </c>
      <c r="Y15" s="36"/>
      <c r="Z15" s="36"/>
      <c r="AA15" s="36">
        <f>VLOOKUP($A15,[16]HISTOJANV22!$A$6:$AU$39,43,0)</f>
        <v>0</v>
      </c>
      <c r="AB15" s="36">
        <f>VLOOKUP($A15,[16]HISTOJANV22!$A$6:$AU$39,44,0)</f>
        <v>0</v>
      </c>
      <c r="AC15" s="36">
        <f>VLOOKUP($A15,[16]HISTOJANV22!$A$6:$AU$39,47,0)</f>
        <v>0</v>
      </c>
      <c r="AD15" s="36">
        <f>VLOOKUP(A15,[16]HISTOJANV22!$A$6:$BB$36,54,0)</f>
        <v>0</v>
      </c>
      <c r="AE15" s="2"/>
      <c r="AF15" s="2"/>
    </row>
    <row r="16" spans="1:32" x14ac:dyDescent="0.25">
      <c r="A16" s="1" t="s">
        <v>29</v>
      </c>
      <c r="B16" s="1" t="str">
        <f>VLOOKUP(A16,[15]LISTADHERENT!$A$5:$J$50,3,0)</f>
        <v>HOTCHO BENJAMIN</v>
      </c>
      <c r="C16" s="5" t="e">
        <f>#REF!</f>
        <v>#REF!</v>
      </c>
      <c r="D16" s="5" t="e">
        <f>#REF!</f>
        <v>#REF!</v>
      </c>
      <c r="E16" s="36"/>
      <c r="F16" s="5" t="e">
        <f t="shared" si="1"/>
        <v>#REF!</v>
      </c>
      <c r="G16" s="6" t="e">
        <f t="shared" si="0"/>
        <v>#REF!</v>
      </c>
      <c r="H16" s="6" t="e">
        <f t="shared" si="2"/>
        <v>#REF!</v>
      </c>
      <c r="I16" s="36">
        <f>VLOOKUP($A16,[16]HISTOJANV22!$A$6:$AQ$37,22,0)</f>
        <v>0</v>
      </c>
      <c r="J16" s="36">
        <f>VLOOKUP($A16,[16]HISTOJANV22!$A$6:$AU$39,45,0)</f>
        <v>52000</v>
      </c>
      <c r="K16" s="36">
        <f t="shared" si="3"/>
        <v>48000</v>
      </c>
      <c r="L16" s="36">
        <f t="shared" si="4"/>
        <v>500</v>
      </c>
      <c r="M16" s="36">
        <f t="shared" si="5"/>
        <v>1000</v>
      </c>
      <c r="N16" s="36">
        <f t="shared" si="6"/>
        <v>2500</v>
      </c>
      <c r="O16" s="36">
        <f>VLOOKUP($A16,[16]HISTOJANV22!$A$6:$AU$39,7,0)</f>
        <v>0</v>
      </c>
      <c r="P16" s="36">
        <f>VLOOKUP($A16,[16]HISTOJANV22!$A$6:$AU$39,23,0)</f>
        <v>0</v>
      </c>
      <c r="Q16" s="36">
        <f>VLOOKUP($A16,[16]HISTOJANV22!$A$6:$AU$39,46,0)</f>
        <v>0</v>
      </c>
      <c r="R16" s="36" t="e">
        <f>VLOOKUP($A16,[16]HISTODEC21!$A$6:$AU$39,26,0)</f>
        <v>#REF!</v>
      </c>
      <c r="S16" s="36" t="e">
        <f t="shared" si="7"/>
        <v>#REF!</v>
      </c>
      <c r="T16" s="36">
        <f>VLOOKUP($A16,[16]HISTOJANV22!$A$6:$AU$39,28,0)</f>
        <v>0</v>
      </c>
      <c r="U16" s="36">
        <f>VLOOKUP($A16,[16]HISTOJANV22!$A$6:$AU$39,19,0)</f>
        <v>0</v>
      </c>
      <c r="V16" s="36">
        <f>VLOOKUP($A16,[16]HISTOJANV22!$A$6:$AU$39,20,0)</f>
        <v>0</v>
      </c>
      <c r="W16" s="36">
        <f>VLOOKUP($A16,[16]HISTOJANV22!$A$6:$AU$39,27,0)</f>
        <v>0</v>
      </c>
      <c r="X16" s="36">
        <f>VLOOKUP($A16,[16]HISTOJANV22!$A$6:$AU$39,33,0)</f>
        <v>0</v>
      </c>
      <c r="Y16" s="36"/>
      <c r="Z16" s="36"/>
      <c r="AA16" s="36">
        <f>VLOOKUP($A16,[16]HISTOJANV22!$A$6:$AU$39,43,0)</f>
        <v>0</v>
      </c>
      <c r="AB16" s="36">
        <f>VLOOKUP($A16,[16]HISTOJANV22!$A$6:$AU$39,44,0)</f>
        <v>0</v>
      </c>
      <c r="AC16" s="36">
        <f>VLOOKUP($A16,[16]HISTOJANV22!$A$6:$AU$39,47,0)</f>
        <v>0</v>
      </c>
      <c r="AD16" s="36">
        <f>VLOOKUP(A16,[16]HISTOJANV22!$A$6:$BB$36,54,0)</f>
        <v>70000</v>
      </c>
      <c r="AE16" s="2"/>
      <c r="AF16" s="2"/>
    </row>
    <row r="17" spans="1:32" x14ac:dyDescent="0.25">
      <c r="A17" s="1" t="s">
        <v>33</v>
      </c>
      <c r="B17" s="1" t="str">
        <f>VLOOKUP(A17,[15]LISTADHERENT!$A$5:$J$50,3,0)</f>
        <v>KOUAMOU MOISE</v>
      </c>
      <c r="C17" s="5" t="e">
        <f>#REF!</f>
        <v>#REF!</v>
      </c>
      <c r="D17" s="5" t="e">
        <f>#REF!</f>
        <v>#REF!</v>
      </c>
      <c r="E17" s="36"/>
      <c r="F17" s="5" t="e">
        <f t="shared" si="1"/>
        <v>#REF!</v>
      </c>
      <c r="G17" s="6" t="e">
        <f t="shared" si="0"/>
        <v>#REF!</v>
      </c>
      <c r="H17" s="6" t="e">
        <f t="shared" si="2"/>
        <v>#REF!</v>
      </c>
      <c r="I17" s="36">
        <f>VLOOKUP($A17,[16]HISTOJANV22!$A$6:$AQ$37,22,0)</f>
        <v>0</v>
      </c>
      <c r="J17" s="36">
        <f>VLOOKUP($A17,[16]HISTOJANV22!$A$6:$AU$39,45,0)</f>
        <v>7000</v>
      </c>
      <c r="K17" s="36">
        <f t="shared" si="3"/>
        <v>3000</v>
      </c>
      <c r="L17" s="36">
        <f t="shared" si="4"/>
        <v>500</v>
      </c>
      <c r="M17" s="36">
        <f t="shared" si="5"/>
        <v>1000</v>
      </c>
      <c r="N17" s="36">
        <f t="shared" si="6"/>
        <v>2500</v>
      </c>
      <c r="O17" s="36">
        <f>VLOOKUP($A17,[16]HISTOJANV22!$A$6:$AU$39,7,0)</f>
        <v>0</v>
      </c>
      <c r="P17" s="36">
        <f>VLOOKUP($A17,[16]HISTOJANV22!$A$6:$AU$39,23,0)</f>
        <v>0</v>
      </c>
      <c r="Q17" s="36">
        <f>VLOOKUP($A17,[16]HISTOJANV22!$A$6:$AU$39,46,0)</f>
        <v>0</v>
      </c>
      <c r="R17" s="36" t="e">
        <f>VLOOKUP($A17,[16]HISTODEC21!$A$6:$AU$39,26,0)</f>
        <v>#REF!</v>
      </c>
      <c r="S17" s="36" t="e">
        <f t="shared" si="7"/>
        <v>#REF!</v>
      </c>
      <c r="T17" s="36">
        <f>VLOOKUP($A17,[16]HISTOJANV22!$A$6:$AU$39,28,0)</f>
        <v>0</v>
      </c>
      <c r="U17" s="36">
        <f>VLOOKUP($A17,[16]HISTOJANV22!$A$6:$AU$39,19,0)</f>
        <v>0</v>
      </c>
      <c r="V17" s="36">
        <f>VLOOKUP($A17,[16]HISTOJANV22!$A$6:$AU$39,20,0)</f>
        <v>0</v>
      </c>
      <c r="W17" s="36">
        <f>VLOOKUP($A17,[16]HISTOJANV22!$A$6:$AU$39,27,0)</f>
        <v>0</v>
      </c>
      <c r="X17" s="36">
        <f>VLOOKUP($A17,[16]HISTOJANV22!$A$6:$AU$39,33,0)</f>
        <v>0</v>
      </c>
      <c r="Y17" s="36"/>
      <c r="Z17" s="36"/>
      <c r="AA17" s="36">
        <f>VLOOKUP($A17,[16]HISTOJANV22!$A$6:$AU$39,43,0)</f>
        <v>0</v>
      </c>
      <c r="AB17" s="36">
        <f>VLOOKUP($A17,[16]HISTOJANV22!$A$6:$AU$39,44,0)</f>
        <v>0</v>
      </c>
      <c r="AC17" s="36">
        <f>VLOOKUP($A17,[16]HISTOJANV22!$A$6:$AU$39,47,0)</f>
        <v>0</v>
      </c>
      <c r="AD17" s="36">
        <f>VLOOKUP(A17,[16]HISTOJANV22!$A$6:$BB$36,54,0)</f>
        <v>0</v>
      </c>
      <c r="AE17" s="2"/>
      <c r="AF17" s="2"/>
    </row>
    <row r="18" spans="1:32" x14ac:dyDescent="0.25">
      <c r="A18" s="1" t="s">
        <v>35</v>
      </c>
      <c r="B18" s="1" t="str">
        <f>VLOOKUP(A18,[15]LISTADHERENT!$A$5:$J$50,3,0)</f>
        <v>KOUATCHO MESSACK</v>
      </c>
      <c r="C18" s="5" t="e">
        <f>#REF!</f>
        <v>#REF!</v>
      </c>
      <c r="D18" s="5" t="e">
        <f>#REF!</f>
        <v>#REF!</v>
      </c>
      <c r="E18" s="36"/>
      <c r="F18" s="5" t="e">
        <f t="shared" si="1"/>
        <v>#REF!</v>
      </c>
      <c r="G18" s="6" t="e">
        <f t="shared" si="0"/>
        <v>#REF!</v>
      </c>
      <c r="H18" s="6" t="e">
        <f t="shared" si="2"/>
        <v>#REF!</v>
      </c>
      <c r="I18" s="36">
        <f>VLOOKUP($A18,[16]HISTOJANV22!$A$6:$AQ$37,22,0)</f>
        <v>0</v>
      </c>
      <c r="J18" s="36">
        <f>VLOOKUP($A18,[16]HISTOJANV22!$A$6:$AU$39,45,0)</f>
        <v>7000</v>
      </c>
      <c r="K18" s="36">
        <f t="shared" si="3"/>
        <v>3000</v>
      </c>
      <c r="L18" s="36">
        <f t="shared" si="4"/>
        <v>500</v>
      </c>
      <c r="M18" s="36">
        <f t="shared" si="5"/>
        <v>1000</v>
      </c>
      <c r="N18" s="36">
        <f t="shared" si="6"/>
        <v>2500</v>
      </c>
      <c r="O18" s="36">
        <f>VLOOKUP($A18,[16]HISTOJANV22!$A$6:$AU$39,7,0)</f>
        <v>0</v>
      </c>
      <c r="P18" s="36">
        <f>VLOOKUP($A18,[16]HISTOJANV22!$A$6:$AU$39,23,0)</f>
        <v>0</v>
      </c>
      <c r="Q18" s="36">
        <f>VLOOKUP($A18,[16]HISTOJANV22!$A$6:$AU$39,46,0)</f>
        <v>0</v>
      </c>
      <c r="R18" s="36">
        <f>VLOOKUP($A18,[16]HISTODEC21!$A$6:$AU$39,26,0)</f>
        <v>1000000</v>
      </c>
      <c r="S18" s="36">
        <f t="shared" si="7"/>
        <v>120000</v>
      </c>
      <c r="T18" s="36" t="str">
        <f>VLOOKUP($A18,[16]HISTOJANV22!$A$6:$AU$39,28,0)</f>
        <v>OKK</v>
      </c>
      <c r="U18" s="36">
        <f>VLOOKUP($A18,[16]HISTOJANV22!$A$6:$AU$39,19,0)</f>
        <v>0</v>
      </c>
      <c r="V18" s="36">
        <f>VLOOKUP($A18,[16]HISTOJANV22!$A$6:$AU$39,20,0)</f>
        <v>0</v>
      </c>
      <c r="W18" s="36" t="str">
        <f>VLOOKUP($A18,[16]HISTOJANV22!$A$6:$AU$39,27,0)</f>
        <v>BANQUE</v>
      </c>
      <c r="X18" s="36">
        <f>VLOOKUP($A18,[16]HISTOJANV22!$A$6:$AU$39,33,0)</f>
        <v>0</v>
      </c>
      <c r="Y18" s="36"/>
      <c r="Z18" s="36"/>
      <c r="AA18" s="36">
        <f>VLOOKUP($A18,[16]HISTOJANV22!$A$6:$AU$39,43,0)</f>
        <v>0</v>
      </c>
      <c r="AB18" s="36">
        <f>VLOOKUP($A18,[16]HISTOJANV22!$A$6:$AU$39,44,0)</f>
        <v>0</v>
      </c>
      <c r="AC18" s="36">
        <f>VLOOKUP($A18,[16]HISTOJANV22!$A$6:$AU$39,47,0)</f>
        <v>0</v>
      </c>
      <c r="AD18" s="36">
        <f>VLOOKUP(A18,[16]HISTOJANV22!$A$6:$BB$36,54,0)</f>
        <v>0</v>
      </c>
      <c r="AE18" s="2"/>
      <c r="AF18" s="2"/>
    </row>
    <row r="19" spans="1:32" x14ac:dyDescent="0.25">
      <c r="A19" s="1" t="s">
        <v>36</v>
      </c>
      <c r="B19" s="1" t="str">
        <f>VLOOKUP(A19,[15]LISTADHERENT!$A$5:$J$50,3,0)</f>
        <v>LOWE JEAN</v>
      </c>
      <c r="C19" s="5" t="e">
        <f>#REF!</f>
        <v>#REF!</v>
      </c>
      <c r="D19" s="5" t="e">
        <f>#REF!</f>
        <v>#REF!</v>
      </c>
      <c r="E19" s="36"/>
      <c r="F19" s="5" t="e">
        <f t="shared" si="1"/>
        <v>#REF!</v>
      </c>
      <c r="G19" s="6" t="e">
        <f t="shared" si="0"/>
        <v>#REF!</v>
      </c>
      <c r="H19" s="6" t="e">
        <f t="shared" si="2"/>
        <v>#REF!</v>
      </c>
      <c r="I19" s="36">
        <f>VLOOKUP($A19,[16]HISTOJANV22!$A$6:$AQ$37,22,0)</f>
        <v>0</v>
      </c>
      <c r="J19" s="36">
        <f>VLOOKUP($A19,[16]HISTOJANV22!$A$6:$AU$39,45,0)</f>
        <v>7000</v>
      </c>
      <c r="K19" s="36">
        <f t="shared" si="3"/>
        <v>3000</v>
      </c>
      <c r="L19" s="36">
        <f t="shared" si="4"/>
        <v>500</v>
      </c>
      <c r="M19" s="36">
        <f t="shared" si="5"/>
        <v>1000</v>
      </c>
      <c r="N19" s="36">
        <f t="shared" si="6"/>
        <v>2500</v>
      </c>
      <c r="O19" s="36">
        <f>VLOOKUP($A19,[16]HISTOJANV22!$A$6:$AU$39,7,0)</f>
        <v>0</v>
      </c>
      <c r="P19" s="36">
        <f>VLOOKUP($A19,[16]HISTOJANV22!$A$6:$AU$39,23,0)</f>
        <v>0</v>
      </c>
      <c r="Q19" s="36">
        <f>VLOOKUP($A19,[16]HISTOJANV22!$A$6:$AU$39,46,0)</f>
        <v>0</v>
      </c>
      <c r="R19" s="36">
        <f>VLOOKUP($A19,[16]HISTODEC21!$A$6:$AU$39,26,0)</f>
        <v>500000</v>
      </c>
      <c r="S19" s="36">
        <f t="shared" si="7"/>
        <v>60000</v>
      </c>
      <c r="T19" s="36" t="str">
        <f>VLOOKUP($A19,[16]HISTOJANV22!$A$6:$AU$39,28,0)</f>
        <v>OKK</v>
      </c>
      <c r="U19" s="36">
        <f>VLOOKUP($A19,[16]HISTOJANV22!$A$6:$AU$39,19,0)</f>
        <v>0</v>
      </c>
      <c r="V19" s="36">
        <f>VLOOKUP($A19,[16]HISTOJANV22!$A$6:$AU$39,20,0)</f>
        <v>0</v>
      </c>
      <c r="W19" s="36" t="str">
        <f>VLOOKUP($A19,[16]HISTOJANV22!$A$6:$AU$39,27,0)</f>
        <v>BANQUE</v>
      </c>
      <c r="X19" s="36">
        <f>VLOOKUP($A19,[16]HISTOJANV22!$A$6:$AU$39,33,0)</f>
        <v>0</v>
      </c>
      <c r="Y19" s="36"/>
      <c r="Z19" s="36"/>
      <c r="AA19" s="36">
        <f>VLOOKUP($A19,[16]HISTOJANV22!$A$6:$AU$39,43,0)</f>
        <v>0</v>
      </c>
      <c r="AB19" s="36">
        <f>VLOOKUP($A19,[16]HISTOJANV22!$A$6:$AU$39,44,0)</f>
        <v>0</v>
      </c>
      <c r="AC19" s="36">
        <f>VLOOKUP($A19,[16]HISTOJANV22!$A$6:$AU$39,47,0)</f>
        <v>0</v>
      </c>
      <c r="AD19" s="36">
        <f>VLOOKUP(A19,[16]HISTOJANV22!$A$6:$BB$36,54,0)</f>
        <v>0</v>
      </c>
      <c r="AE19" s="2"/>
      <c r="AF19" s="2"/>
    </row>
    <row r="20" spans="1:32" x14ac:dyDescent="0.25">
      <c r="A20" s="1" t="s">
        <v>75</v>
      </c>
      <c r="B20" s="1" t="str">
        <f>VLOOKUP(A20,[15]LISTADHERENT!$A$5:$J$50,3,0)</f>
        <v>MBOGNING TUGMA GUY</v>
      </c>
      <c r="C20" s="5" t="e">
        <f>#REF!</f>
        <v>#REF!</v>
      </c>
      <c r="D20" s="5" t="e">
        <f>#REF!</f>
        <v>#REF!</v>
      </c>
      <c r="E20" s="36"/>
      <c r="F20" s="5" t="e">
        <f t="shared" si="1"/>
        <v>#REF!</v>
      </c>
      <c r="G20" s="6" t="e">
        <f t="shared" si="0"/>
        <v>#REF!</v>
      </c>
      <c r="H20" s="6" t="e">
        <f t="shared" si="2"/>
        <v>#REF!</v>
      </c>
      <c r="I20" s="36">
        <f>VLOOKUP($A20,[16]HISTOJANV22!$A$6:$AQ$37,22,0)</f>
        <v>0</v>
      </c>
      <c r="J20" s="36">
        <f>VLOOKUP($A20,[16]HISTOJANV22!$A$6:$AU$39,45,0)</f>
        <v>7000</v>
      </c>
      <c r="K20" s="36">
        <f t="shared" si="3"/>
        <v>3000</v>
      </c>
      <c r="L20" s="36">
        <f t="shared" si="4"/>
        <v>500</v>
      </c>
      <c r="M20" s="36">
        <f t="shared" si="5"/>
        <v>1000</v>
      </c>
      <c r="N20" s="36">
        <f t="shared" si="6"/>
        <v>2500</v>
      </c>
      <c r="O20" s="36">
        <f>VLOOKUP($A20,[16]HISTOJANV22!$A$6:$AU$39,7,0)</f>
        <v>0</v>
      </c>
      <c r="P20" s="36">
        <f>VLOOKUP($A20,[16]HISTOJANV22!$A$6:$AU$39,23,0)</f>
        <v>0</v>
      </c>
      <c r="Q20" s="36">
        <f>VLOOKUP($A20,[16]HISTOJANV22!$A$6:$AU$39,46,0)</f>
        <v>0</v>
      </c>
      <c r="R20" s="36">
        <f>VLOOKUP($A20,[16]HISTODEC21!$A$6:$AU$39,26,0)</f>
        <v>1050000</v>
      </c>
      <c r="S20" s="36">
        <f t="shared" si="7"/>
        <v>126000</v>
      </c>
      <c r="T20" s="36">
        <f>VLOOKUP($A20,[16]HISTOJANV22!$A$6:$AU$39,28,0)</f>
        <v>0</v>
      </c>
      <c r="U20" s="36">
        <f>VLOOKUP($A20,[16]HISTOJANV22!$A$6:$AU$39,19,0)</f>
        <v>1050000</v>
      </c>
      <c r="V20" s="36" t="str">
        <f>VLOOKUP($A20,[16]HISTOJANV22!$A$6:$AU$39,20,0)</f>
        <v>BANQUE</v>
      </c>
      <c r="W20" s="36" t="str">
        <f>VLOOKUP($A20,[16]HISTOJANV22!$A$6:$AU$39,27,0)</f>
        <v>BANQUE</v>
      </c>
      <c r="X20" s="36">
        <f>VLOOKUP($A20,[16]HISTOJANV22!$A$6:$AU$39,33,0)</f>
        <v>0</v>
      </c>
      <c r="Y20" s="36"/>
      <c r="Z20" s="36"/>
      <c r="AA20" s="36">
        <f>VLOOKUP($A20,[16]HISTOJANV22!$A$6:$AU$39,43,0)</f>
        <v>0</v>
      </c>
      <c r="AB20" s="36">
        <f>VLOOKUP($A20,[16]HISTOJANV22!$A$6:$AU$39,44,0)</f>
        <v>0</v>
      </c>
      <c r="AC20" s="36">
        <f>VLOOKUP($A20,[16]HISTOJANV22!$A$6:$AU$39,47,0)</f>
        <v>0</v>
      </c>
      <c r="AD20" s="36">
        <f>VLOOKUP(A20,[16]HISTOJANV22!$A$6:$BB$36,54,0)</f>
        <v>0</v>
      </c>
      <c r="AE20" s="2"/>
      <c r="AF20" s="2"/>
    </row>
    <row r="21" spans="1:32" x14ac:dyDescent="0.25">
      <c r="A21" s="1" t="s">
        <v>50</v>
      </c>
      <c r="B21" s="1" t="str">
        <f>VLOOKUP(A21,[15]LISTADHERENT!$A$5:$J$50,3,0)</f>
        <v>NANGUEN MARTIN</v>
      </c>
      <c r="C21" s="5" t="e">
        <f>#REF!</f>
        <v>#REF!</v>
      </c>
      <c r="D21" s="5" t="e">
        <f>#REF!</f>
        <v>#REF!</v>
      </c>
      <c r="E21" s="36"/>
      <c r="F21" s="5" t="e">
        <f t="shared" si="1"/>
        <v>#REF!</v>
      </c>
      <c r="G21" s="6" t="e">
        <f t="shared" si="0"/>
        <v>#REF!</v>
      </c>
      <c r="H21" s="6" t="e">
        <f t="shared" si="2"/>
        <v>#REF!</v>
      </c>
      <c r="I21" s="36">
        <f>VLOOKUP($A21,[16]HISTOJANV22!$A$6:$AQ$37,22,0)</f>
        <v>0</v>
      </c>
      <c r="J21" s="36">
        <f>VLOOKUP($A21,[16]HISTOJANV22!$A$6:$AU$39,45,0)</f>
        <v>7000</v>
      </c>
      <c r="K21" s="36">
        <f t="shared" si="3"/>
        <v>3000</v>
      </c>
      <c r="L21" s="36">
        <f t="shared" si="4"/>
        <v>500</v>
      </c>
      <c r="M21" s="36">
        <f t="shared" si="5"/>
        <v>1000</v>
      </c>
      <c r="N21" s="36">
        <f t="shared" si="6"/>
        <v>2500</v>
      </c>
      <c r="O21" s="36">
        <f>VLOOKUP($A21,[16]HISTOJANV22!$A$6:$AU$39,7,0)</f>
        <v>0</v>
      </c>
      <c r="P21" s="36">
        <f>VLOOKUP($A21,[16]HISTOJANV22!$A$6:$AU$39,23,0)</f>
        <v>0</v>
      </c>
      <c r="Q21" s="36">
        <f>VLOOKUP($A21,[16]HISTOJANV22!$A$6:$AU$39,46,0)</f>
        <v>0</v>
      </c>
      <c r="R21" s="36" t="e">
        <f>VLOOKUP($A21,[16]HISTODEC21!$A$6:$AU$39,26,0)</f>
        <v>#REF!</v>
      </c>
      <c r="S21" s="36" t="e">
        <f t="shared" si="7"/>
        <v>#REF!</v>
      </c>
      <c r="T21" s="36">
        <f>VLOOKUP($A21,[16]HISTOJANV22!$A$6:$AU$39,28,0)</f>
        <v>0</v>
      </c>
      <c r="U21" s="36">
        <f>VLOOKUP($A21,[16]HISTOJANV22!$A$6:$AU$39,19,0)</f>
        <v>0</v>
      </c>
      <c r="V21" s="36">
        <f>VLOOKUP($A21,[16]HISTOJANV22!$A$6:$AU$39,20,0)</f>
        <v>0</v>
      </c>
      <c r="W21" s="36">
        <f>VLOOKUP($A21,[16]HISTOJANV22!$A$6:$AU$39,27,0)</f>
        <v>0</v>
      </c>
      <c r="X21" s="36">
        <f>VLOOKUP($A21,[16]HISTOJANV22!$A$6:$AU$39,33,0)</f>
        <v>0</v>
      </c>
      <c r="Y21" s="36"/>
      <c r="Z21" s="36"/>
      <c r="AA21" s="36">
        <f>VLOOKUP($A21,[16]HISTOJANV22!$A$6:$AU$39,43,0)</f>
        <v>0</v>
      </c>
      <c r="AB21" s="36">
        <f>VLOOKUP($A21,[16]HISTOJANV22!$A$6:$AU$39,44,0)</f>
        <v>0</v>
      </c>
      <c r="AC21" s="36">
        <f>VLOOKUP($A21,[16]HISTOJANV22!$A$6:$AU$39,47,0)</f>
        <v>0</v>
      </c>
      <c r="AD21" s="36">
        <f>VLOOKUP(A21,[16]HISTOJANV22!$A$6:$BB$36,54,0)</f>
        <v>0</v>
      </c>
      <c r="AE21" s="2"/>
      <c r="AF21" s="2"/>
    </row>
    <row r="22" spans="1:32" x14ac:dyDescent="0.25">
      <c r="A22" s="1" t="s">
        <v>37</v>
      </c>
      <c r="B22" s="1" t="str">
        <f>VLOOKUP(A22,[15]LISTADHERENT!$A$5:$J$50,3,0)</f>
        <v>NANKAM APPOLINAIRE</v>
      </c>
      <c r="C22" s="5" t="e">
        <f>#REF!</f>
        <v>#REF!</v>
      </c>
      <c r="D22" s="5" t="e">
        <f>#REF!</f>
        <v>#REF!</v>
      </c>
      <c r="E22" s="36"/>
      <c r="F22" s="5" t="e">
        <f t="shared" si="1"/>
        <v>#REF!</v>
      </c>
      <c r="G22" s="6" t="e">
        <f t="shared" si="0"/>
        <v>#REF!</v>
      </c>
      <c r="H22" s="6" t="e">
        <f t="shared" si="2"/>
        <v>#REF!</v>
      </c>
      <c r="I22" s="36">
        <f>VLOOKUP($A22,[16]HISTOJANV22!$A$6:$AQ$37,22,0)</f>
        <v>0</v>
      </c>
      <c r="J22" s="36">
        <f>VLOOKUP($A22,[16]HISTOJANV22!$A$6:$AU$39,45,0)</f>
        <v>7000</v>
      </c>
      <c r="K22" s="36">
        <f t="shared" si="3"/>
        <v>3000</v>
      </c>
      <c r="L22" s="36">
        <f t="shared" si="4"/>
        <v>500</v>
      </c>
      <c r="M22" s="36">
        <f t="shared" si="5"/>
        <v>1000</v>
      </c>
      <c r="N22" s="36">
        <f t="shared" si="6"/>
        <v>2500</v>
      </c>
      <c r="O22" s="36">
        <f>VLOOKUP($A22,[16]HISTOJANV22!$A$6:$AU$39,7,0)</f>
        <v>0</v>
      </c>
      <c r="P22" s="36">
        <f>VLOOKUP($A22,[16]HISTOJANV22!$A$6:$AU$39,23,0)</f>
        <v>0</v>
      </c>
      <c r="Q22" s="36">
        <f>VLOOKUP($A22,[16]HISTOJANV22!$A$6:$AU$39,46,0)</f>
        <v>0</v>
      </c>
      <c r="R22" s="36">
        <f>VLOOKUP($A22,[16]HISTODEC21!$A$6:$AU$39,26,0)</f>
        <v>924000</v>
      </c>
      <c r="S22" s="36">
        <f t="shared" si="7"/>
        <v>110880</v>
      </c>
      <c r="T22" s="36">
        <f>VLOOKUP($A22,[16]HISTOJANV22!$A$6:$AU$39,28,0)</f>
        <v>0</v>
      </c>
      <c r="U22" s="36">
        <f>VLOOKUP($A22,[16]HISTOJANV22!$A$6:$AU$39,19,0)</f>
        <v>924000</v>
      </c>
      <c r="V22" s="36" t="str">
        <f>VLOOKUP($A22,[16]HISTOJANV22!$A$6:$AU$39,20,0)</f>
        <v>BANQUE</v>
      </c>
      <c r="W22" s="36">
        <f>VLOOKUP($A22,[16]HISTOJANV22!$A$6:$AU$39,27,0)</f>
        <v>0</v>
      </c>
      <c r="X22" s="36">
        <f>VLOOKUP($A22,[16]HISTOJANV22!$A$6:$AU$39,33,0)</f>
        <v>0</v>
      </c>
      <c r="Y22" s="36">
        <v>50000</v>
      </c>
      <c r="Z22" s="36"/>
      <c r="AA22" s="36">
        <f>VLOOKUP($A22,[16]HISTOJANV22!$A$6:$AU$39,43,0)</f>
        <v>0</v>
      </c>
      <c r="AB22" s="36">
        <f>VLOOKUP($A22,[16]HISTOJANV22!$A$6:$AU$39,44,0)</f>
        <v>0</v>
      </c>
      <c r="AC22" s="36">
        <f>VLOOKUP($A22,[16]HISTOJANV22!$A$6:$AU$39,47,0)</f>
        <v>0</v>
      </c>
      <c r="AD22" s="36">
        <f>VLOOKUP(A22,[16]HISTOJANV22!$A$6:$BB$36,54,0)</f>
        <v>0</v>
      </c>
      <c r="AE22" s="2"/>
      <c r="AF22" s="2"/>
    </row>
    <row r="23" spans="1:32" x14ac:dyDescent="0.25">
      <c r="A23" s="1" t="s">
        <v>38</v>
      </c>
      <c r="B23" s="1" t="str">
        <f>VLOOKUP(A23,[15]LISTADHERENT!$A$5:$J$50,3,0)</f>
        <v>NDJOMO ETIENNE</v>
      </c>
      <c r="C23" s="5" t="e">
        <f>#REF!</f>
        <v>#REF!</v>
      </c>
      <c r="D23" s="5" t="e">
        <f>#REF!</f>
        <v>#REF!</v>
      </c>
      <c r="E23" s="36"/>
      <c r="F23" s="5" t="e">
        <f t="shared" si="1"/>
        <v>#REF!</v>
      </c>
      <c r="G23" s="6" t="e">
        <f t="shared" si="0"/>
        <v>#REF!</v>
      </c>
      <c r="H23" s="6" t="e">
        <f t="shared" si="2"/>
        <v>#REF!</v>
      </c>
      <c r="I23" s="36">
        <f>VLOOKUP($A23,[16]HISTOJANV22!$A$6:$AQ$37,22,0)</f>
        <v>0</v>
      </c>
      <c r="J23" s="36">
        <f>VLOOKUP($A23,[16]HISTOJANV22!$A$6:$AU$39,45,0)</f>
        <v>17000</v>
      </c>
      <c r="K23" s="36">
        <f t="shared" si="3"/>
        <v>13000</v>
      </c>
      <c r="L23" s="36">
        <f t="shared" si="4"/>
        <v>500</v>
      </c>
      <c r="M23" s="36">
        <f t="shared" si="5"/>
        <v>1000</v>
      </c>
      <c r="N23" s="36">
        <f t="shared" si="6"/>
        <v>2500</v>
      </c>
      <c r="O23" s="36">
        <f>VLOOKUP($A23,[16]HISTOJANV22!$A$6:$AU$39,7,0)</f>
        <v>0</v>
      </c>
      <c r="P23" s="36">
        <f>VLOOKUP($A23,[16]HISTOJANV22!$A$6:$AU$39,23,0)</f>
        <v>0</v>
      </c>
      <c r="Q23" s="36">
        <f>VLOOKUP($A23,[16]HISTOJANV22!$A$6:$AU$39,46,0)</f>
        <v>0</v>
      </c>
      <c r="R23" s="36">
        <f>VLOOKUP($A23,[16]HISTODEC21!$A$6:$AU$39,26,0)</f>
        <v>500000</v>
      </c>
      <c r="S23" s="36">
        <f t="shared" si="7"/>
        <v>60000</v>
      </c>
      <c r="T23" s="36" t="str">
        <f>VLOOKUP($A23,[16]HISTOJANV22!$A$6:$AU$39,28,0)</f>
        <v>OKK</v>
      </c>
      <c r="U23" s="36">
        <f>VLOOKUP($A23,[16]HISTOJANV22!$A$6:$AU$39,19,0)</f>
        <v>0</v>
      </c>
      <c r="V23" s="36">
        <f>VLOOKUP($A23,[16]HISTOJANV22!$A$6:$AU$39,20,0)</f>
        <v>0</v>
      </c>
      <c r="W23" s="36" t="str">
        <f>VLOOKUP($A23,[16]HISTOJANV22!$A$6:$AU$39,27,0)</f>
        <v>BANQUE</v>
      </c>
      <c r="X23" s="36">
        <f>VLOOKUP($A23,[16]HISTOJANV22!$A$6:$AU$39,33,0)</f>
        <v>0</v>
      </c>
      <c r="Y23" s="36"/>
      <c r="Z23" s="36"/>
      <c r="AA23" s="36">
        <f>VLOOKUP($A23,[16]HISTOJANV22!$A$6:$AU$39,43,0)</f>
        <v>0</v>
      </c>
      <c r="AB23" s="36">
        <f>VLOOKUP($A23,[16]HISTOJANV22!$A$6:$AU$39,44,0)</f>
        <v>0</v>
      </c>
      <c r="AC23" s="36">
        <f>VLOOKUP($A23,[16]HISTOJANV22!$A$6:$AU$39,47,0)</f>
        <v>0</v>
      </c>
      <c r="AD23" s="36">
        <f>VLOOKUP(A23,[16]HISTOJANV22!$A$6:$BB$36,54,0)</f>
        <v>0</v>
      </c>
      <c r="AE23" s="2"/>
      <c r="AF23" s="2"/>
    </row>
    <row r="24" spans="1:32" x14ac:dyDescent="0.25">
      <c r="A24" s="1" t="s">
        <v>39</v>
      </c>
      <c r="B24" s="1" t="str">
        <f>VLOOKUP(A24,[15]LISTADHERENT!$A$5:$J$50,3,0)</f>
        <v>NGONDIEP CLAUDE</v>
      </c>
      <c r="C24" s="5" t="e">
        <f>#REF!</f>
        <v>#REF!</v>
      </c>
      <c r="D24" s="5" t="e">
        <f>#REF!</f>
        <v>#REF!</v>
      </c>
      <c r="E24" s="36"/>
      <c r="F24" s="5" t="e">
        <f t="shared" si="1"/>
        <v>#REF!</v>
      </c>
      <c r="G24" s="6" t="e">
        <f t="shared" si="0"/>
        <v>#REF!</v>
      </c>
      <c r="H24" s="6" t="e">
        <f t="shared" si="2"/>
        <v>#REF!</v>
      </c>
      <c r="I24" s="36">
        <f>VLOOKUP($A24,[16]HISTOJANV22!$A$6:$AQ$37,22,0)</f>
        <v>0</v>
      </c>
      <c r="J24" s="36">
        <f>VLOOKUP($A24,[16]HISTOJANV22!$A$6:$AU$39,45,0)</f>
        <v>12000</v>
      </c>
      <c r="K24" s="36">
        <f t="shared" si="3"/>
        <v>8000</v>
      </c>
      <c r="L24" s="36">
        <f t="shared" si="4"/>
        <v>500</v>
      </c>
      <c r="M24" s="36">
        <f t="shared" si="5"/>
        <v>1000</v>
      </c>
      <c r="N24" s="36">
        <f t="shared" si="6"/>
        <v>2500</v>
      </c>
      <c r="O24" s="36">
        <f>VLOOKUP($A24,[16]HISTOJANV22!$A$6:$AU$39,7,0)</f>
        <v>0</v>
      </c>
      <c r="P24" s="36">
        <f>VLOOKUP($A24,[16]HISTOJANV22!$A$6:$AU$39,23,0)</f>
        <v>0</v>
      </c>
      <c r="Q24" s="36">
        <f>VLOOKUP($A24,[16]HISTOJANV22!$A$6:$AU$39,46,0)</f>
        <v>0</v>
      </c>
      <c r="R24" s="36">
        <f>VLOOKUP($A24,[16]HISTODEC21!$A$6:$AU$39,26,0)</f>
        <v>1000000</v>
      </c>
      <c r="S24" s="36">
        <f t="shared" si="7"/>
        <v>120000</v>
      </c>
      <c r="T24" s="36" t="str">
        <f>VLOOKUP($A24,[16]HISTOJANV22!$A$6:$AU$39,28,0)</f>
        <v>OKK</v>
      </c>
      <c r="U24" s="36">
        <f>VLOOKUP($A24,[16]HISTOJANV22!$A$6:$AU$39,19,0)</f>
        <v>0</v>
      </c>
      <c r="V24" s="36">
        <f>VLOOKUP($A24,[16]HISTOJANV22!$A$6:$AU$39,20,0)</f>
        <v>0</v>
      </c>
      <c r="W24" s="36" t="str">
        <f>VLOOKUP($A24,[16]HISTOJANV22!$A$6:$AU$39,27,0)</f>
        <v>BANQUE</v>
      </c>
      <c r="X24" s="36">
        <f>VLOOKUP($A24,[16]HISTOJANV22!$A$6:$AU$39,33,0)</f>
        <v>0</v>
      </c>
      <c r="Y24" s="36"/>
      <c r="Z24" s="36"/>
      <c r="AA24" s="36">
        <f>VLOOKUP($A24,[16]HISTOJANV22!$A$6:$AU$39,43,0)</f>
        <v>0</v>
      </c>
      <c r="AB24" s="36">
        <f>VLOOKUP($A24,[16]HISTOJANV22!$A$6:$AU$39,44,0)</f>
        <v>0</v>
      </c>
      <c r="AC24" s="36">
        <f>VLOOKUP($A24,[16]HISTOJANV22!$A$6:$AU$39,47,0)</f>
        <v>0</v>
      </c>
      <c r="AD24" s="36">
        <f>VLOOKUP(A24,[16]HISTOJANV22!$A$6:$BB$36,54,0)</f>
        <v>70000</v>
      </c>
      <c r="AE24" s="2"/>
      <c r="AF24" s="2"/>
    </row>
    <row r="25" spans="1:32" x14ac:dyDescent="0.25">
      <c r="A25" s="1" t="s">
        <v>41</v>
      </c>
      <c r="B25" s="1" t="str">
        <f>VLOOKUP(A25,[15]LISTADHERENT!$A$5:$J$50,3,0)</f>
        <v>NGUIEMEGNI MATHIEU BLAISE</v>
      </c>
      <c r="C25" s="5" t="e">
        <f>#REF!</f>
        <v>#REF!</v>
      </c>
      <c r="D25" s="5" t="e">
        <f>#REF!</f>
        <v>#REF!</v>
      </c>
      <c r="E25" s="36"/>
      <c r="F25" s="5" t="e">
        <f t="shared" si="1"/>
        <v>#REF!</v>
      </c>
      <c r="G25" s="6" t="e">
        <f t="shared" si="0"/>
        <v>#REF!</v>
      </c>
      <c r="H25" s="6" t="e">
        <f t="shared" si="2"/>
        <v>#REF!</v>
      </c>
      <c r="I25" s="36">
        <f>VLOOKUP($A25,[16]HISTOJANV22!$A$6:$AQ$37,22,0)</f>
        <v>0</v>
      </c>
      <c r="J25" s="36">
        <f>VLOOKUP($A25,[16]HISTOJANV22!$A$6:$AU$39,45,0)</f>
        <v>7000</v>
      </c>
      <c r="K25" s="36">
        <f t="shared" si="3"/>
        <v>3000</v>
      </c>
      <c r="L25" s="36">
        <f t="shared" si="4"/>
        <v>500</v>
      </c>
      <c r="M25" s="36">
        <f t="shared" si="5"/>
        <v>1000</v>
      </c>
      <c r="N25" s="36">
        <f t="shared" si="6"/>
        <v>2500</v>
      </c>
      <c r="O25" s="36">
        <f>VLOOKUP($A25,[16]HISTOJANV22!$A$6:$AU$39,7,0)</f>
        <v>0</v>
      </c>
      <c r="P25" s="36">
        <f>VLOOKUP($A25,[16]HISTOJANV22!$A$6:$AU$39,23,0)</f>
        <v>0</v>
      </c>
      <c r="Q25" s="36">
        <f>VLOOKUP($A25,[16]HISTOJANV22!$A$6:$AU$39,46,0)</f>
        <v>0</v>
      </c>
      <c r="R25" s="36">
        <f>VLOOKUP($A25,[16]HISTODEC21!$A$6:$AU$39,26,0)</f>
        <v>1000000</v>
      </c>
      <c r="S25" s="36">
        <f t="shared" si="7"/>
        <v>120000</v>
      </c>
      <c r="T25" s="36" t="str">
        <f>VLOOKUP($A25,[16]HISTOJANV22!$A$6:$AU$39,28,0)</f>
        <v>OKK</v>
      </c>
      <c r="U25" s="36">
        <f>VLOOKUP($A25,[16]HISTOJANV22!$A$6:$AU$39,19,0)</f>
        <v>0</v>
      </c>
      <c r="V25" s="36">
        <f>VLOOKUP($A25,[16]HISTOJANV22!$A$6:$AU$39,20,0)</f>
        <v>0</v>
      </c>
      <c r="W25" s="36" t="str">
        <f>VLOOKUP($A25,[16]HISTOJANV22!$A$6:$AU$39,27,0)</f>
        <v>BANQUE</v>
      </c>
      <c r="X25" s="36">
        <f>VLOOKUP($A25,[16]HISTOJANV22!$A$6:$AU$39,33,0)</f>
        <v>0</v>
      </c>
      <c r="Y25" s="36"/>
      <c r="Z25" s="36"/>
      <c r="AA25" s="36">
        <f>VLOOKUP($A25,[16]HISTOJANV22!$A$6:$AU$39,43,0)</f>
        <v>0</v>
      </c>
      <c r="AB25" s="36">
        <f>VLOOKUP($A25,[16]HISTOJANV22!$A$6:$AU$39,44,0)</f>
        <v>0</v>
      </c>
      <c r="AC25" s="36">
        <f>VLOOKUP($A25,[16]HISTOJANV22!$A$6:$AU$39,47,0)</f>
        <v>0</v>
      </c>
      <c r="AD25" s="36">
        <f>VLOOKUP(A25,[16]HISTOJANV22!$A$6:$BB$36,54,0)</f>
        <v>70000</v>
      </c>
      <c r="AE25" s="2"/>
      <c r="AF25" s="2"/>
    </row>
    <row r="26" spans="1:32" x14ac:dyDescent="0.25">
      <c r="A26" s="1" t="s">
        <v>43</v>
      </c>
      <c r="B26" s="1" t="str">
        <f>VLOOKUP(A26,[15]LISTADHERENT!$A$5:$J$50,3,0)</f>
        <v>NKAMGANG JUSTIN DEJOLIE</v>
      </c>
      <c r="C26" s="5" t="e">
        <f>#REF!</f>
        <v>#REF!</v>
      </c>
      <c r="D26" s="5" t="e">
        <f>#REF!</f>
        <v>#REF!</v>
      </c>
      <c r="E26" s="36"/>
      <c r="F26" s="5" t="e">
        <f t="shared" si="1"/>
        <v>#REF!</v>
      </c>
      <c r="G26" s="6" t="e">
        <f t="shared" si="0"/>
        <v>#REF!</v>
      </c>
      <c r="H26" s="6" t="e">
        <f t="shared" si="2"/>
        <v>#REF!</v>
      </c>
      <c r="I26" s="36">
        <f>VLOOKUP($A26,[16]HISTOJANV22!$A$6:$AQ$37,22,0)</f>
        <v>0</v>
      </c>
      <c r="J26" s="36">
        <f>VLOOKUP($A26,[16]HISTOJANV22!$A$6:$AU$39,45,0)</f>
        <v>7000</v>
      </c>
      <c r="K26" s="36">
        <f t="shared" si="3"/>
        <v>3000</v>
      </c>
      <c r="L26" s="36">
        <f t="shared" si="4"/>
        <v>500</v>
      </c>
      <c r="M26" s="36">
        <f t="shared" si="5"/>
        <v>1000</v>
      </c>
      <c r="N26" s="36">
        <f t="shared" si="6"/>
        <v>2500</v>
      </c>
      <c r="O26" s="36">
        <f>VLOOKUP($A26,[16]HISTOJANV22!$A$6:$AU$39,7,0)</f>
        <v>0</v>
      </c>
      <c r="P26" s="36">
        <f>VLOOKUP($A26,[16]HISTOJANV22!$A$6:$AU$39,23,0)</f>
        <v>0</v>
      </c>
      <c r="Q26" s="36">
        <f>VLOOKUP($A26,[16]HISTOJANV22!$A$6:$AU$39,46,0)</f>
        <v>0</v>
      </c>
      <c r="R26" s="36">
        <f>VLOOKUP($A26,[16]HISTODEC21!$A$6:$AU$39,26,0)</f>
        <v>1155000</v>
      </c>
      <c r="S26" s="36">
        <f>R26*0/1200*12</f>
        <v>0</v>
      </c>
      <c r="T26" s="36">
        <f>VLOOKUP($A26,[16]HISTOJANV22!$A$6:$AU$39,28,0)</f>
        <v>0</v>
      </c>
      <c r="U26" s="36">
        <f>VLOOKUP($A26,[16]HISTOJANV22!$A$6:$AU$39,19,0)</f>
        <v>0</v>
      </c>
      <c r="V26" s="36">
        <f>VLOOKUP($A26,[16]HISTOJANV22!$A$6:$AU$39,20,0)</f>
        <v>0</v>
      </c>
      <c r="W26" s="36" t="str">
        <f>VLOOKUP($A26,[16]HISTOJANV22!$A$6:$AU$39,27,0)</f>
        <v>BANQUE</v>
      </c>
      <c r="X26" s="36">
        <f>VLOOKUP($A26,[16]HISTOJANV22!$A$6:$AU$39,33,0)</f>
        <v>0</v>
      </c>
      <c r="Y26" s="36">
        <v>155000</v>
      </c>
      <c r="Z26" s="36"/>
      <c r="AA26" s="36">
        <f>VLOOKUP($A26,[16]HISTOJANV22!$A$6:$AU$39,43,0)</f>
        <v>0</v>
      </c>
      <c r="AB26" s="36">
        <f>VLOOKUP($A26,[16]HISTOJANV22!$A$6:$AU$39,44,0)</f>
        <v>0</v>
      </c>
      <c r="AC26" s="36">
        <f>VLOOKUP($A26,[16]HISTOJANV22!$A$6:$AU$39,47,0)</f>
        <v>0</v>
      </c>
      <c r="AD26" s="36">
        <f>VLOOKUP(A26,[16]HISTOJANV22!$A$6:$BB$36,54,0)</f>
        <v>0</v>
      </c>
      <c r="AE26" s="2"/>
      <c r="AF26" s="2"/>
    </row>
    <row r="27" spans="1:32" x14ac:dyDescent="0.25">
      <c r="A27" s="1" t="s">
        <v>172</v>
      </c>
      <c r="B27" s="1" t="str">
        <f>VLOOKUP(A27,[15]LISTADHERENT!$A$5:$J$50,3,0)</f>
        <v>NOUBE ETIENNE</v>
      </c>
      <c r="C27" s="5" t="e">
        <f>#REF!</f>
        <v>#REF!</v>
      </c>
      <c r="D27" s="5" t="e">
        <f>#REF!</f>
        <v>#REF!</v>
      </c>
      <c r="E27" s="36"/>
      <c r="F27" s="5" t="e">
        <f t="shared" si="1"/>
        <v>#REF!</v>
      </c>
      <c r="G27" s="6" t="e">
        <f t="shared" si="0"/>
        <v>#REF!</v>
      </c>
      <c r="H27" s="6" t="e">
        <f t="shared" si="2"/>
        <v>#REF!</v>
      </c>
      <c r="I27" s="36" t="e">
        <f>VLOOKUP($A27,[16]HISTOJANV22!$A$6:$AQ$37,22,0)</f>
        <v>#N/A</v>
      </c>
      <c r="J27" s="36" t="e">
        <f>VLOOKUP($A27,[16]HISTOJANV22!$A$6:$AU$39,45,0)</f>
        <v>#N/A</v>
      </c>
      <c r="K27" s="36" t="e">
        <f t="shared" si="3"/>
        <v>#N/A</v>
      </c>
      <c r="L27" s="36" t="e">
        <f t="shared" si="4"/>
        <v>#N/A</v>
      </c>
      <c r="M27" s="36" t="e">
        <f t="shared" si="5"/>
        <v>#N/A</v>
      </c>
      <c r="N27" s="36" t="e">
        <f t="shared" si="6"/>
        <v>#N/A</v>
      </c>
      <c r="O27" s="36" t="e">
        <f>VLOOKUP($A27,[16]HISTOJANV22!$A$6:$AU$39,7,0)</f>
        <v>#N/A</v>
      </c>
      <c r="P27" s="36" t="e">
        <f>VLOOKUP($A27,[16]HISTOJANV22!$A$6:$AU$39,23,0)</f>
        <v>#N/A</v>
      </c>
      <c r="Q27" s="36" t="e">
        <f>VLOOKUP($A27,[16]HISTOJANV22!$A$6:$AU$39,46,0)</f>
        <v>#N/A</v>
      </c>
      <c r="R27" s="36" t="e">
        <f>VLOOKUP($A27,[16]HISTODEC21!$A$6:$AU$39,26,0)</f>
        <v>#N/A</v>
      </c>
      <c r="S27" s="36" t="e">
        <f t="shared" si="7"/>
        <v>#N/A</v>
      </c>
      <c r="T27" s="36" t="e">
        <f>VLOOKUP($A27,[16]HISTOJANV22!$A$6:$AU$39,28,0)</f>
        <v>#N/A</v>
      </c>
      <c r="U27" s="36" t="e">
        <f>VLOOKUP($A27,[16]HISTOJANV22!$A$6:$AU$39,19,0)</f>
        <v>#N/A</v>
      </c>
      <c r="V27" s="36" t="e">
        <f>VLOOKUP($A27,[16]HISTOJANV22!$A$6:$AU$39,20,0)</f>
        <v>#N/A</v>
      </c>
      <c r="W27" s="36" t="e">
        <f>VLOOKUP($A27,[16]HISTOJANV22!$A$6:$AU$39,27,0)</f>
        <v>#N/A</v>
      </c>
      <c r="X27" s="36" t="e">
        <f>VLOOKUP($A27,[16]HISTOJANV22!$A$6:$AU$39,33,0)</f>
        <v>#N/A</v>
      </c>
      <c r="Y27" s="36"/>
      <c r="Z27" s="36"/>
      <c r="AA27" s="36" t="e">
        <f>VLOOKUP($A27,[16]HISTOJANV22!$A$6:$AU$39,43,0)</f>
        <v>#N/A</v>
      </c>
      <c r="AB27" s="36" t="e">
        <f>VLOOKUP($A27,[16]HISTOJANV22!$A$6:$AU$39,44,0)</f>
        <v>#N/A</v>
      </c>
      <c r="AC27" s="36" t="e">
        <f>VLOOKUP($A27,[16]HISTOJANV22!$A$6:$AU$39,47,0)</f>
        <v>#N/A</v>
      </c>
      <c r="AD27" s="36" t="e">
        <f>VLOOKUP(A27,[16]HISTOJANV22!$A$6:$BB$36,54,0)</f>
        <v>#N/A</v>
      </c>
      <c r="AE27" s="2"/>
      <c r="AF27" s="2"/>
    </row>
    <row r="28" spans="1:32" x14ac:dyDescent="0.25">
      <c r="A28" s="1" t="s">
        <v>45</v>
      </c>
      <c r="B28" s="1" t="str">
        <f>VLOOKUP(A28,[15]LISTADHERENT!$A$5:$J$50,3,0)</f>
        <v>PATEGO NJOSSU GUSTAVE</v>
      </c>
      <c r="C28" s="5" t="e">
        <f>#REF!</f>
        <v>#REF!</v>
      </c>
      <c r="D28" s="5" t="e">
        <f>#REF!</f>
        <v>#REF!</v>
      </c>
      <c r="E28" s="36"/>
      <c r="F28" s="5" t="e">
        <f t="shared" si="1"/>
        <v>#REF!</v>
      </c>
      <c r="G28" s="6" t="e">
        <f t="shared" si="0"/>
        <v>#REF!</v>
      </c>
      <c r="H28" s="6" t="e">
        <f t="shared" si="2"/>
        <v>#REF!</v>
      </c>
      <c r="I28" s="36">
        <f>VLOOKUP($A28,[16]HISTOJANV22!$A$6:$AQ$37,22,0)</f>
        <v>0</v>
      </c>
      <c r="J28" s="36">
        <f>VLOOKUP($A28,[16]HISTOJANV22!$A$6:$AU$39,45,0)</f>
        <v>7000</v>
      </c>
      <c r="K28" s="36">
        <f t="shared" si="3"/>
        <v>3000</v>
      </c>
      <c r="L28" s="36">
        <f t="shared" si="4"/>
        <v>500</v>
      </c>
      <c r="M28" s="36">
        <f t="shared" si="5"/>
        <v>1000</v>
      </c>
      <c r="N28" s="36">
        <f t="shared" si="6"/>
        <v>2500</v>
      </c>
      <c r="O28" s="36">
        <f>VLOOKUP($A28,[16]HISTOJANV22!$A$6:$AU$39,7,0)</f>
        <v>0</v>
      </c>
      <c r="P28" s="36">
        <f>VLOOKUP($A28,[16]HISTOJANV22!$A$6:$AU$39,23,0)</f>
        <v>0</v>
      </c>
      <c r="Q28" s="36">
        <f>VLOOKUP($A28,[16]HISTOJANV22!$A$6:$AU$39,46,0)</f>
        <v>0</v>
      </c>
      <c r="R28" s="36" t="e">
        <f>VLOOKUP($A28,[16]HISTODEC21!$A$6:$AU$39,26,0)</f>
        <v>#REF!</v>
      </c>
      <c r="S28" s="36" t="e">
        <f t="shared" si="7"/>
        <v>#REF!</v>
      </c>
      <c r="T28" s="36">
        <f>VLOOKUP($A28,[16]HISTOJANV22!$A$6:$AU$39,28,0)</f>
        <v>0</v>
      </c>
      <c r="U28" s="36">
        <f>VLOOKUP($A28,[16]HISTOJANV22!$A$6:$AU$39,19,0)</f>
        <v>0</v>
      </c>
      <c r="V28" s="36">
        <f>VLOOKUP($A28,[16]HISTOJANV22!$A$6:$AU$39,20,0)</f>
        <v>0</v>
      </c>
      <c r="W28" s="36">
        <f>VLOOKUP($A28,[16]HISTOJANV22!$A$6:$AU$39,27,0)</f>
        <v>0</v>
      </c>
      <c r="X28" s="36">
        <f>VLOOKUP($A28,[16]HISTOJANV22!$A$6:$AU$39,33,0)</f>
        <v>0</v>
      </c>
      <c r="Y28" s="36"/>
      <c r="Z28" s="36"/>
      <c r="AA28" s="36">
        <f>VLOOKUP($A28,[16]HISTOJANV22!$A$6:$AU$39,43,0)</f>
        <v>0</v>
      </c>
      <c r="AB28" s="36">
        <f>VLOOKUP($A28,[16]HISTOJANV22!$A$6:$AU$39,44,0)</f>
        <v>0</v>
      </c>
      <c r="AC28" s="36">
        <f>VLOOKUP($A28,[16]HISTOJANV22!$A$6:$AU$39,47,0)</f>
        <v>0</v>
      </c>
      <c r="AD28" s="36">
        <f>VLOOKUP(A28,[16]HISTOJANV22!$A$6:$BB$36,54,0)</f>
        <v>0</v>
      </c>
      <c r="AE28" s="2"/>
      <c r="AF28" s="2"/>
    </row>
    <row r="29" spans="1:32" x14ac:dyDescent="0.25">
      <c r="A29" s="1" t="s">
        <v>312</v>
      </c>
      <c r="B29" s="1" t="str">
        <f>VLOOKUP(A29,[15]LISTADHERENT!$A$5:$J$50,3,0)</f>
        <v>SEUMO POLYCARPE</v>
      </c>
      <c r="C29" s="5" t="e">
        <f>#REF!</f>
        <v>#REF!</v>
      </c>
      <c r="D29" s="5" t="e">
        <f>#REF!</f>
        <v>#REF!</v>
      </c>
      <c r="E29" s="36"/>
      <c r="F29" s="5" t="e">
        <f t="shared" si="1"/>
        <v>#REF!</v>
      </c>
      <c r="G29" s="6" t="e">
        <f t="shared" si="0"/>
        <v>#REF!</v>
      </c>
      <c r="H29" s="6" t="e">
        <f t="shared" si="2"/>
        <v>#REF!</v>
      </c>
      <c r="I29" s="36" t="e">
        <f>VLOOKUP($A29,[16]HISTOJANV22!$A$6:$AQ$37,22,0)</f>
        <v>#N/A</v>
      </c>
      <c r="J29" s="36" t="e">
        <f>VLOOKUP($A29,[16]HISTOJANV22!$A$6:$AU$39,45,0)</f>
        <v>#N/A</v>
      </c>
      <c r="K29" s="36" t="e">
        <f t="shared" si="3"/>
        <v>#N/A</v>
      </c>
      <c r="L29" s="36" t="e">
        <f t="shared" si="4"/>
        <v>#N/A</v>
      </c>
      <c r="M29" s="36" t="e">
        <f t="shared" si="5"/>
        <v>#N/A</v>
      </c>
      <c r="N29" s="36" t="e">
        <f t="shared" si="6"/>
        <v>#N/A</v>
      </c>
      <c r="O29" s="36" t="e">
        <f>VLOOKUP($A29,[16]HISTOJANV22!$A$6:$AU$39,7,0)</f>
        <v>#N/A</v>
      </c>
      <c r="P29" s="36" t="e">
        <f>VLOOKUP($A29,[16]HISTOJANV22!$A$6:$AU$39,23,0)</f>
        <v>#N/A</v>
      </c>
      <c r="Q29" s="36" t="e">
        <f>VLOOKUP($A29,[16]HISTOJANV22!$A$6:$AU$39,46,0)</f>
        <v>#N/A</v>
      </c>
      <c r="R29" s="36" t="e">
        <f>VLOOKUP($A29,[16]HISTODEC21!$A$6:$AU$39,26,0)</f>
        <v>#N/A</v>
      </c>
      <c r="S29" s="36" t="e">
        <f t="shared" si="7"/>
        <v>#N/A</v>
      </c>
      <c r="T29" s="36" t="e">
        <f>VLOOKUP($A29,[16]HISTOJANV22!$A$6:$AU$39,28,0)</f>
        <v>#N/A</v>
      </c>
      <c r="U29" s="36" t="e">
        <f>VLOOKUP($A29,[16]HISTOJANV22!$A$6:$AU$39,19,0)</f>
        <v>#N/A</v>
      </c>
      <c r="V29" s="36" t="e">
        <f>VLOOKUP($A29,[16]HISTOJANV22!$A$6:$AU$39,20,0)</f>
        <v>#N/A</v>
      </c>
      <c r="W29" s="36" t="e">
        <f>VLOOKUP($A29,[16]HISTOJANV22!$A$6:$AU$39,27,0)</f>
        <v>#N/A</v>
      </c>
      <c r="X29" s="36" t="e">
        <f>VLOOKUP($A29,[16]HISTOJANV22!$A$6:$AU$39,33,0)</f>
        <v>#N/A</v>
      </c>
      <c r="Y29" s="36"/>
      <c r="Z29" s="36"/>
      <c r="AA29" s="36" t="e">
        <f>VLOOKUP($A29,[16]HISTOJANV22!$A$6:$AU$39,43,0)</f>
        <v>#N/A</v>
      </c>
      <c r="AB29" s="36" t="e">
        <f>VLOOKUP($A29,[16]HISTOJANV22!$A$6:$AU$39,44,0)</f>
        <v>#N/A</v>
      </c>
      <c r="AC29" s="36" t="e">
        <f>VLOOKUP($A29,[16]HISTOJANV22!$A$6:$AU$39,47,0)</f>
        <v>#N/A</v>
      </c>
      <c r="AD29" s="36" t="e">
        <f>VLOOKUP(A29,[16]HISTOJANV22!$A$6:$BB$36,54,0)</f>
        <v>#N/A</v>
      </c>
      <c r="AE29" s="2"/>
      <c r="AF29" s="2"/>
    </row>
    <row r="30" spans="1:32" x14ac:dyDescent="0.25">
      <c r="A30" s="1" t="s">
        <v>81</v>
      </c>
      <c r="B30" s="1" t="str">
        <f>VLOOKUP(A30,[15]LISTADHERENT!$A$5:$J$50,3,0)</f>
        <v>SIME BRICE</v>
      </c>
      <c r="C30" s="5" t="e">
        <f>#REF!</f>
        <v>#REF!</v>
      </c>
      <c r="D30" s="5" t="e">
        <f>#REF!</f>
        <v>#REF!</v>
      </c>
      <c r="E30" s="36"/>
      <c r="F30" s="5" t="e">
        <f t="shared" si="1"/>
        <v>#REF!</v>
      </c>
      <c r="G30" s="6" t="e">
        <f t="shared" si="0"/>
        <v>#REF!</v>
      </c>
      <c r="H30" s="6" t="e">
        <f t="shared" si="2"/>
        <v>#REF!</v>
      </c>
      <c r="I30" s="36">
        <f>VLOOKUP($A30,[16]HISTOJANV22!$A$6:$AQ$37,22,0)</f>
        <v>0</v>
      </c>
      <c r="J30" s="36">
        <f>VLOOKUP($A30,[16]HISTOJANV22!$A$6:$AU$39,45,0)</f>
        <v>7000</v>
      </c>
      <c r="K30" s="36">
        <f t="shared" si="3"/>
        <v>3000</v>
      </c>
      <c r="L30" s="36">
        <f t="shared" si="4"/>
        <v>500</v>
      </c>
      <c r="M30" s="36">
        <f t="shared" si="5"/>
        <v>1000</v>
      </c>
      <c r="N30" s="36">
        <f t="shared" si="6"/>
        <v>2500</v>
      </c>
      <c r="O30" s="36">
        <f>VLOOKUP($A30,[16]HISTOJANV22!$A$6:$AU$39,7,0)</f>
        <v>0</v>
      </c>
      <c r="P30" s="36">
        <f>VLOOKUP($A30,[16]HISTOJANV22!$A$6:$AU$39,23,0)</f>
        <v>0</v>
      </c>
      <c r="Q30" s="36">
        <f>VLOOKUP($A30,[16]HISTOJANV22!$A$6:$AU$39,46,0)</f>
        <v>0</v>
      </c>
      <c r="R30" s="36" t="e">
        <f>VLOOKUP($A30,[16]HISTODEC21!$A$6:$AU$39,26,0)</f>
        <v>#REF!</v>
      </c>
      <c r="S30" s="36" t="e">
        <f t="shared" si="7"/>
        <v>#REF!</v>
      </c>
      <c r="T30" s="36">
        <f>VLOOKUP($A30,[16]HISTOJANV22!$A$6:$AU$39,28,0)</f>
        <v>0</v>
      </c>
      <c r="U30" s="36">
        <f>VLOOKUP($A30,[16]HISTOJANV22!$A$6:$AU$39,19,0)</f>
        <v>0</v>
      </c>
      <c r="V30" s="36">
        <f>VLOOKUP($A30,[16]HISTOJANV22!$A$6:$AU$39,20,0)</f>
        <v>0</v>
      </c>
      <c r="W30" s="36">
        <f>VLOOKUP($A30,[16]HISTOJANV22!$A$6:$AU$39,27,0)</f>
        <v>0</v>
      </c>
      <c r="X30" s="36">
        <f>VLOOKUP($A30,[16]HISTOJANV22!$A$6:$AU$39,33,0)</f>
        <v>0</v>
      </c>
      <c r="Y30" s="36"/>
      <c r="Z30" s="36"/>
      <c r="AA30" s="36">
        <f>VLOOKUP($A30,[16]HISTOJANV22!$A$6:$AU$39,43,0)</f>
        <v>0</v>
      </c>
      <c r="AB30" s="36">
        <f>VLOOKUP($A30,[16]HISTOJANV22!$A$6:$AU$39,44,0)</f>
        <v>0</v>
      </c>
      <c r="AC30" s="36">
        <f>VLOOKUP($A30,[16]HISTOJANV22!$A$6:$AU$39,47,0)</f>
        <v>0</v>
      </c>
      <c r="AD30" s="36">
        <f>VLOOKUP(A30,[16]HISTOJANV22!$A$6:$BB$36,54,0)</f>
        <v>0</v>
      </c>
      <c r="AE30" s="2"/>
      <c r="AF30" s="2"/>
    </row>
    <row r="31" spans="1:32" x14ac:dyDescent="0.25">
      <c r="A31" s="1" t="s">
        <v>49</v>
      </c>
      <c r="B31" s="1" t="str">
        <f>VLOOKUP(A31,[15]LISTADHERENT!$A$5:$J$50,3,0)</f>
        <v>SIMO PIERRE</v>
      </c>
      <c r="C31" s="5" t="e">
        <f>#REF!</f>
        <v>#REF!</v>
      </c>
      <c r="D31" s="5" t="e">
        <f>#REF!</f>
        <v>#REF!</v>
      </c>
      <c r="E31" s="36"/>
      <c r="F31" s="5" t="e">
        <f t="shared" si="1"/>
        <v>#REF!</v>
      </c>
      <c r="G31" s="6" t="e">
        <f t="shared" si="0"/>
        <v>#REF!</v>
      </c>
      <c r="H31" s="6" t="e">
        <f t="shared" si="2"/>
        <v>#REF!</v>
      </c>
      <c r="I31" s="36">
        <f>VLOOKUP($A31,[16]HISTOJANV22!$A$6:$AQ$37,22,0)</f>
        <v>0</v>
      </c>
      <c r="J31" s="36">
        <f>VLOOKUP($A31,[16]HISTOJANV22!$A$6:$AU$39,45,0)</f>
        <v>22000</v>
      </c>
      <c r="K31" s="36">
        <f t="shared" si="3"/>
        <v>18000</v>
      </c>
      <c r="L31" s="36">
        <f t="shared" si="4"/>
        <v>500</v>
      </c>
      <c r="M31" s="36">
        <f t="shared" si="5"/>
        <v>1000</v>
      </c>
      <c r="N31" s="36">
        <f t="shared" si="6"/>
        <v>2500</v>
      </c>
      <c r="O31" s="36">
        <f>VLOOKUP($A31,[16]HISTOJANV22!$A$6:$AU$39,7,0)</f>
        <v>0</v>
      </c>
      <c r="P31" s="36">
        <f>VLOOKUP($A31,[16]HISTOJANV22!$A$6:$AU$39,23,0)</f>
        <v>0</v>
      </c>
      <c r="Q31" s="36">
        <f>VLOOKUP($A31,[16]HISTOJANV22!$A$6:$AU$39,46,0)</f>
        <v>0</v>
      </c>
      <c r="R31" s="36" t="e">
        <f>VLOOKUP($A31,[16]HISTODEC21!$A$6:$AU$39,26,0)</f>
        <v>#REF!</v>
      </c>
      <c r="S31" s="36" t="e">
        <f t="shared" si="7"/>
        <v>#REF!</v>
      </c>
      <c r="T31" s="36">
        <f>VLOOKUP($A31,[16]HISTOJANV22!$A$6:$AU$39,28,0)</f>
        <v>0</v>
      </c>
      <c r="U31" s="36">
        <f>VLOOKUP($A31,[16]HISTOJANV22!$A$6:$AU$39,19,0)</f>
        <v>0</v>
      </c>
      <c r="V31" s="36">
        <f>VLOOKUP($A31,[16]HISTOJANV22!$A$6:$AU$39,20,0)</f>
        <v>0</v>
      </c>
      <c r="W31" s="36" t="str">
        <f>VLOOKUP($A31,[16]HISTOJANV22!$A$6:$AU$39,27,0)</f>
        <v>BANQUE</v>
      </c>
      <c r="X31" s="36">
        <f>VLOOKUP($A31,[16]HISTOJANV22!$A$6:$AU$39,33,0)</f>
        <v>0</v>
      </c>
      <c r="Y31" s="36"/>
      <c r="Z31" s="36"/>
      <c r="AA31" s="36">
        <f>VLOOKUP($A31,[16]HISTOJANV22!$A$6:$AU$39,43,0)</f>
        <v>0</v>
      </c>
      <c r="AB31" s="36">
        <f>VLOOKUP($A31,[16]HISTOJANV22!$A$6:$AU$39,44,0)</f>
        <v>0</v>
      </c>
      <c r="AC31" s="36">
        <f>VLOOKUP($A31,[16]HISTOJANV22!$A$6:$AU$39,47,0)</f>
        <v>0</v>
      </c>
      <c r="AD31" s="36">
        <f>VLOOKUP(A31,[16]HISTOJANV22!$A$6:$BB$36,54,0)</f>
        <v>70000</v>
      </c>
      <c r="AE31" s="2"/>
      <c r="AF31" s="2"/>
    </row>
    <row r="32" spans="1:32" x14ac:dyDescent="0.25">
      <c r="A32" s="1" t="s">
        <v>51</v>
      </c>
      <c r="B32" s="1" t="str">
        <f>VLOOKUP(A32,[15]LISTADHERENT!$A$5:$J$50,3,0)</f>
        <v>TCHOUAMOU MATHIEU</v>
      </c>
      <c r="C32" s="5" t="e">
        <f>#REF!</f>
        <v>#REF!</v>
      </c>
      <c r="D32" s="5" t="e">
        <f>#REF!</f>
        <v>#REF!</v>
      </c>
      <c r="E32" s="36"/>
      <c r="F32" s="5" t="e">
        <f t="shared" si="1"/>
        <v>#REF!</v>
      </c>
      <c r="G32" s="6" t="e">
        <f t="shared" si="0"/>
        <v>#REF!</v>
      </c>
      <c r="H32" s="6" t="e">
        <f t="shared" si="2"/>
        <v>#REF!</v>
      </c>
      <c r="I32" s="36">
        <f>VLOOKUP($A32,[16]HISTOJANV22!$A$6:$AQ$37,22,0)</f>
        <v>0</v>
      </c>
      <c r="J32" s="36">
        <f>VLOOKUP($A32,[16]HISTOJANV22!$A$6:$AU$39,45,0)</f>
        <v>7000</v>
      </c>
      <c r="K32" s="36">
        <f t="shared" si="3"/>
        <v>3000</v>
      </c>
      <c r="L32" s="36">
        <f t="shared" si="4"/>
        <v>500</v>
      </c>
      <c r="M32" s="36">
        <f t="shared" si="5"/>
        <v>1000</v>
      </c>
      <c r="N32" s="36">
        <f t="shared" si="6"/>
        <v>2500</v>
      </c>
      <c r="O32" s="36">
        <f>VLOOKUP($A32,[16]HISTOJANV22!$A$6:$AU$39,7,0)</f>
        <v>0</v>
      </c>
      <c r="P32" s="36">
        <f>VLOOKUP($A32,[16]HISTOJANV22!$A$6:$AU$39,23,0)</f>
        <v>0</v>
      </c>
      <c r="Q32" s="36">
        <f>VLOOKUP($A32,[16]HISTOJANV22!$A$6:$AU$39,46,0)</f>
        <v>0</v>
      </c>
      <c r="R32" s="36">
        <f>VLOOKUP($A32,[16]HISTODEC21!$A$6:$AU$39,26,0)</f>
        <v>560000</v>
      </c>
      <c r="S32" s="36">
        <f t="shared" si="7"/>
        <v>67200</v>
      </c>
      <c r="T32" s="36" t="str">
        <f>VLOOKUP($A32,[16]HISTOJANV22!$A$6:$AU$39,28,0)</f>
        <v>OKK</v>
      </c>
      <c r="U32" s="36">
        <f>VLOOKUP($A32,[16]HISTOJANV22!$A$6:$AU$39,19,0)</f>
        <v>0</v>
      </c>
      <c r="V32" s="36">
        <f>VLOOKUP($A32,[16]HISTOJANV22!$A$6:$AU$39,20,0)</f>
        <v>0</v>
      </c>
      <c r="W32" s="36" t="str">
        <f>VLOOKUP($A32,[16]HISTOJANV22!$A$6:$AU$39,27,0)</f>
        <v>BANQUE</v>
      </c>
      <c r="X32" s="36">
        <f>VLOOKUP($A32,[16]HISTOJANV22!$A$6:$AU$39,33,0)</f>
        <v>0</v>
      </c>
      <c r="Y32" s="36"/>
      <c r="Z32" s="36"/>
      <c r="AA32" s="36">
        <f>VLOOKUP($A32,[16]HISTOJANV22!$A$6:$AU$39,43,0)</f>
        <v>0</v>
      </c>
      <c r="AB32" s="36">
        <f>VLOOKUP($A32,[16]HISTOJANV22!$A$6:$AU$39,44,0)</f>
        <v>0</v>
      </c>
      <c r="AC32" s="36">
        <f>VLOOKUP($A32,[16]HISTOJANV22!$A$6:$AU$39,47,0)</f>
        <v>0</v>
      </c>
      <c r="AD32" s="36">
        <f>VLOOKUP(A32,[16]HISTOJANV22!$A$6:$BB$36,54,0)</f>
        <v>0</v>
      </c>
      <c r="AE32" s="2"/>
      <c r="AF32" s="2"/>
    </row>
    <row r="33" spans="1:32" x14ac:dyDescent="0.25">
      <c r="A33" s="1" t="s">
        <v>53</v>
      </c>
      <c r="B33" s="1" t="str">
        <f>VLOOKUP(A33,[15]LISTADHERENT!$A$5:$J$50,3,0)</f>
        <v>TCHOUTOU NANA CLAUDE</v>
      </c>
      <c r="C33" s="5" t="e">
        <f>#REF!</f>
        <v>#REF!</v>
      </c>
      <c r="D33" s="5" t="e">
        <f>#REF!</f>
        <v>#REF!</v>
      </c>
      <c r="E33" s="36"/>
      <c r="F33" s="5" t="e">
        <f t="shared" si="1"/>
        <v>#REF!</v>
      </c>
      <c r="G33" s="6" t="e">
        <f t="shared" si="0"/>
        <v>#REF!</v>
      </c>
      <c r="H33" s="6" t="e">
        <f t="shared" si="2"/>
        <v>#REF!</v>
      </c>
      <c r="I33" s="36" t="e">
        <f>VLOOKUP($A33,[16]HISTOJANV22!$A$6:$AQ$37,22,0)</f>
        <v>#N/A</v>
      </c>
      <c r="J33" s="36" t="e">
        <f>VLOOKUP($A33,[16]HISTOJANV22!$A$6:$AU$39,45,0)</f>
        <v>#N/A</v>
      </c>
      <c r="K33" s="36" t="e">
        <f t="shared" si="3"/>
        <v>#N/A</v>
      </c>
      <c r="L33" s="36" t="e">
        <f t="shared" si="4"/>
        <v>#N/A</v>
      </c>
      <c r="M33" s="36" t="e">
        <f t="shared" si="5"/>
        <v>#N/A</v>
      </c>
      <c r="N33" s="36" t="e">
        <f t="shared" si="6"/>
        <v>#N/A</v>
      </c>
      <c r="O33" s="36" t="e">
        <f>VLOOKUP($A33,[16]HISTOJANV22!$A$6:$AU$39,7,0)</f>
        <v>#N/A</v>
      </c>
      <c r="P33" s="36" t="e">
        <f>VLOOKUP($A33,[16]HISTOJANV22!$A$6:$AU$39,23,0)</f>
        <v>#N/A</v>
      </c>
      <c r="Q33" s="36" t="e">
        <f>VLOOKUP($A33,[16]HISTOJANV22!$A$6:$AU$39,46,0)</f>
        <v>#N/A</v>
      </c>
      <c r="R33" s="36" t="e">
        <f>VLOOKUP($A33,[16]HISTODEC21!$A$6:$AU$39,26,0)</f>
        <v>#N/A</v>
      </c>
      <c r="S33" s="36" t="e">
        <f t="shared" si="7"/>
        <v>#N/A</v>
      </c>
      <c r="T33" s="36" t="e">
        <f>VLOOKUP($A33,[16]HISTOJANV22!$A$6:$AU$39,28,0)</f>
        <v>#N/A</v>
      </c>
      <c r="U33" s="36" t="e">
        <f>VLOOKUP($A33,[16]HISTOJANV22!$A$6:$AU$39,19,0)</f>
        <v>#N/A</v>
      </c>
      <c r="V33" s="36" t="e">
        <f>VLOOKUP($A33,[16]HISTOJANV22!$A$6:$AU$39,20,0)</f>
        <v>#N/A</v>
      </c>
      <c r="W33" s="36" t="e">
        <f>VLOOKUP($A33,[16]HISTOJANV22!$A$6:$AU$39,27,0)</f>
        <v>#N/A</v>
      </c>
      <c r="X33" s="36" t="e">
        <f>VLOOKUP($A33,[16]HISTOJANV22!$A$6:$AU$39,33,0)</f>
        <v>#N/A</v>
      </c>
      <c r="Y33" s="36"/>
      <c r="Z33" s="36"/>
      <c r="AA33" s="36" t="e">
        <f>VLOOKUP($A33,[16]HISTOJANV22!$A$6:$AU$39,43,0)</f>
        <v>#N/A</v>
      </c>
      <c r="AB33" s="36" t="e">
        <f>VLOOKUP($A33,[16]HISTOJANV22!$A$6:$AU$39,44,0)</f>
        <v>#N/A</v>
      </c>
      <c r="AC33" s="36" t="e">
        <f>VLOOKUP($A33,[16]HISTOJANV22!$A$6:$AU$39,47,0)</f>
        <v>#N/A</v>
      </c>
      <c r="AD33" s="36" t="e">
        <f>VLOOKUP(A33,[16]HISTOJANV22!$A$6:$BB$36,54,0)</f>
        <v>#N/A</v>
      </c>
      <c r="AE33" s="2"/>
      <c r="AF33" s="2"/>
    </row>
    <row r="34" spans="1:32" x14ac:dyDescent="0.25">
      <c r="A34" s="1" t="s">
        <v>313</v>
      </c>
      <c r="B34" s="1" t="str">
        <f>VLOOKUP(A34,[15]LISTADHERENT!$A$5:$J$50,3,0)</f>
        <v>YANTCHOU GERVAIS</v>
      </c>
      <c r="C34" s="5" t="e">
        <f>#REF!</f>
        <v>#REF!</v>
      </c>
      <c r="D34" s="5" t="e">
        <f>#REF!</f>
        <v>#REF!</v>
      </c>
      <c r="E34" s="36"/>
      <c r="F34" s="5" t="e">
        <f t="shared" si="1"/>
        <v>#REF!</v>
      </c>
      <c r="G34" s="6" t="e">
        <f t="shared" si="0"/>
        <v>#REF!</v>
      </c>
      <c r="H34" s="6" t="e">
        <f t="shared" si="2"/>
        <v>#REF!</v>
      </c>
      <c r="I34" s="36" t="e">
        <f>VLOOKUP($A34,[16]HISTOJANV22!$A$6:$AQ$37,22,0)</f>
        <v>#N/A</v>
      </c>
      <c r="J34" s="36" t="e">
        <f>VLOOKUP($A34,[16]HISTOJANV22!$A$6:$AU$39,45,0)</f>
        <v>#N/A</v>
      </c>
      <c r="K34" s="36" t="e">
        <f t="shared" si="3"/>
        <v>#N/A</v>
      </c>
      <c r="L34" s="36" t="e">
        <f t="shared" si="4"/>
        <v>#N/A</v>
      </c>
      <c r="M34" s="36" t="e">
        <f t="shared" si="5"/>
        <v>#N/A</v>
      </c>
      <c r="N34" s="36" t="e">
        <f t="shared" si="6"/>
        <v>#N/A</v>
      </c>
      <c r="O34" s="36" t="e">
        <f>VLOOKUP($A34,[16]HISTOJANV22!$A$6:$AU$39,7,0)</f>
        <v>#N/A</v>
      </c>
      <c r="P34" s="36" t="e">
        <f>VLOOKUP($A34,[16]HISTOJANV22!$A$6:$AU$39,23,0)</f>
        <v>#N/A</v>
      </c>
      <c r="Q34" s="36" t="e">
        <f>VLOOKUP($A34,[16]HISTOJANV22!$A$6:$AU$39,46,0)</f>
        <v>#N/A</v>
      </c>
      <c r="R34" s="36" t="e">
        <f>VLOOKUP($A34,[16]HISTODEC21!$A$6:$AU$39,26,0)</f>
        <v>#N/A</v>
      </c>
      <c r="S34" s="36" t="e">
        <f t="shared" si="7"/>
        <v>#N/A</v>
      </c>
      <c r="T34" s="36" t="e">
        <f>VLOOKUP($A34,[16]HISTOJANV22!$A$6:$AU$39,28,0)</f>
        <v>#N/A</v>
      </c>
      <c r="U34" s="36" t="e">
        <f>VLOOKUP($A34,[16]HISTOJANV22!$A$6:$AU$39,19,0)</f>
        <v>#N/A</v>
      </c>
      <c r="V34" s="36" t="e">
        <f>VLOOKUP($A34,[16]HISTOJANV22!$A$6:$AU$39,20,0)</f>
        <v>#N/A</v>
      </c>
      <c r="W34" s="36" t="e">
        <f>VLOOKUP($A34,[16]HISTOJANV22!$A$6:$AU$39,27,0)</f>
        <v>#N/A</v>
      </c>
      <c r="X34" s="36" t="e">
        <f>VLOOKUP($A34,[16]HISTOJANV22!$A$6:$AU$39,33,0)</f>
        <v>#N/A</v>
      </c>
      <c r="Y34" s="36"/>
      <c r="Z34" s="36"/>
      <c r="AA34" s="36" t="e">
        <f>VLOOKUP($A34,[16]HISTOJANV22!$A$6:$AU$39,43,0)</f>
        <v>#N/A</v>
      </c>
      <c r="AB34" s="36" t="e">
        <f>VLOOKUP($A34,[16]HISTOJANV22!$A$6:$AU$39,44,0)</f>
        <v>#N/A</v>
      </c>
      <c r="AC34" s="36" t="e">
        <f>VLOOKUP($A34,[16]HISTOJANV22!$A$6:$AU$39,47,0)</f>
        <v>#N/A</v>
      </c>
      <c r="AD34" s="36" t="e">
        <f>VLOOKUP(A34,[16]HISTOJANV22!$A$6:$BB$36,54,0)</f>
        <v>#N/A</v>
      </c>
      <c r="AE34" s="2"/>
      <c r="AF34" s="2"/>
    </row>
    <row r="35" spans="1:32" x14ac:dyDescent="0.25">
      <c r="A35" s="1" t="s">
        <v>55</v>
      </c>
      <c r="B35" s="1" t="str">
        <f>VLOOKUP(A35,[15]LISTADHERENT!$A$5:$J$50,3,0)</f>
        <v>YEPMOU JEAN JACQUES</v>
      </c>
      <c r="C35" s="5" t="e">
        <f>#REF!</f>
        <v>#REF!</v>
      </c>
      <c r="D35" s="5" t="e">
        <f>#REF!</f>
        <v>#REF!</v>
      </c>
      <c r="E35" s="36"/>
      <c r="F35" s="5" t="e">
        <f t="shared" si="1"/>
        <v>#REF!</v>
      </c>
      <c r="G35" s="6" t="e">
        <f t="shared" si="0"/>
        <v>#REF!</v>
      </c>
      <c r="H35" s="6" t="e">
        <f t="shared" si="2"/>
        <v>#REF!</v>
      </c>
      <c r="I35" s="36">
        <f>VLOOKUP($A35,[16]HISTOJANV22!$A$6:$AQ$37,22,0)</f>
        <v>0</v>
      </c>
      <c r="J35" s="36">
        <f>VLOOKUP($A35,[16]HISTOJANV22!$A$6:$AU$39,45,0)</f>
        <v>7000</v>
      </c>
      <c r="K35" s="36">
        <f t="shared" si="3"/>
        <v>3000</v>
      </c>
      <c r="L35" s="36">
        <f t="shared" si="4"/>
        <v>500</v>
      </c>
      <c r="M35" s="36">
        <f t="shared" si="5"/>
        <v>1000</v>
      </c>
      <c r="N35" s="36">
        <f t="shared" si="6"/>
        <v>2500</v>
      </c>
      <c r="O35" s="36">
        <f>VLOOKUP($A35,[16]HISTOJANV22!$A$6:$AU$39,7,0)</f>
        <v>3000</v>
      </c>
      <c r="P35" s="36">
        <f>VLOOKUP($A35,[16]HISTOJANV22!$A$6:$AU$39,23,0)</f>
        <v>0</v>
      </c>
      <c r="Q35" s="36">
        <f>VLOOKUP($A35,[16]HISTOJANV22!$A$6:$AU$39,46,0)</f>
        <v>0</v>
      </c>
      <c r="R35" s="36">
        <f>VLOOKUP($A35,[16]HISTODEC21!$A$6:$AU$39,26,0)</f>
        <v>1155000</v>
      </c>
      <c r="S35" s="36">
        <f>R35*0/1200*12</f>
        <v>0</v>
      </c>
      <c r="T35" s="36">
        <f>VLOOKUP($A35,[16]HISTOJANV22!$A$6:$AU$39,28,0)</f>
        <v>0</v>
      </c>
      <c r="U35" s="36">
        <f>VLOOKUP($A35,[16]HISTOJANV22!$A$6:$AU$39,19,0)</f>
        <v>0</v>
      </c>
      <c r="V35" s="36">
        <f>VLOOKUP($A35,[16]HISTOJANV22!$A$6:$AU$39,20,0)</f>
        <v>0</v>
      </c>
      <c r="W35" s="36" t="str">
        <f>VLOOKUP($A35,[16]HISTOJANV22!$A$6:$AU$39,27,0)</f>
        <v>BANQUE</v>
      </c>
      <c r="X35" s="36">
        <f>VLOOKUP($A35,[16]HISTOJANV22!$A$6:$AU$39,33,0)</f>
        <v>0</v>
      </c>
      <c r="Y35" s="36">
        <v>155000</v>
      </c>
      <c r="Z35" s="36"/>
      <c r="AA35" s="36">
        <f>VLOOKUP($A35,[16]HISTOJANV22!$A$6:$AU$39,43,0)</f>
        <v>0</v>
      </c>
      <c r="AB35" s="36">
        <f>VLOOKUP($A35,[16]HISTOJANV22!$A$6:$AU$39,44,0)</f>
        <v>0</v>
      </c>
      <c r="AC35" s="36">
        <f>VLOOKUP($A35,[16]HISTOJANV22!$A$6:$AU$39,47,0)</f>
        <v>0</v>
      </c>
      <c r="AD35" s="36">
        <f>VLOOKUP(A35,[16]HISTOJANV22!$A$6:$BB$36,54,0)</f>
        <v>0</v>
      </c>
    </row>
    <row r="36" spans="1:32" x14ac:dyDescent="0.25">
      <c r="A36" s="1" t="s">
        <v>56</v>
      </c>
      <c r="B36" s="1" t="str">
        <f>VLOOKUP(A36,[15]LISTADHERENT!$A$5:$J$50,3,0)</f>
        <v>YOUMBI EMMANUEL</v>
      </c>
      <c r="C36" s="5" t="e">
        <f>#REF!</f>
        <v>#REF!</v>
      </c>
      <c r="D36" s="5" t="e">
        <f>#REF!</f>
        <v>#REF!</v>
      </c>
      <c r="E36" s="36"/>
      <c r="F36" s="5" t="e">
        <f t="shared" si="1"/>
        <v>#REF!</v>
      </c>
      <c r="G36" s="6" t="e">
        <f t="shared" si="0"/>
        <v>#REF!</v>
      </c>
      <c r="H36" s="6" t="e">
        <f t="shared" si="2"/>
        <v>#REF!</v>
      </c>
      <c r="I36" s="36">
        <f>VLOOKUP($A36,[16]HISTOJANV22!$A$6:$AQ$37,22,0)</f>
        <v>0</v>
      </c>
      <c r="J36" s="36">
        <f>VLOOKUP($A36,[16]HISTOJANV22!$A$6:$AU$39,45,0)</f>
        <v>7000</v>
      </c>
      <c r="K36" s="36">
        <f t="shared" si="3"/>
        <v>3000</v>
      </c>
      <c r="L36" s="36">
        <f t="shared" si="4"/>
        <v>500</v>
      </c>
      <c r="M36" s="36">
        <f t="shared" si="5"/>
        <v>1000</v>
      </c>
      <c r="N36" s="36">
        <f t="shared" si="6"/>
        <v>2500</v>
      </c>
      <c r="O36" s="36">
        <f>VLOOKUP($A36,[16]HISTOJANV22!$A$6:$AU$39,7,0)</f>
        <v>0</v>
      </c>
      <c r="P36" s="36">
        <f>VLOOKUP($A36,[16]HISTOJANV22!$A$6:$AU$39,23,0)</f>
        <v>0</v>
      </c>
      <c r="Q36" s="36">
        <f>VLOOKUP($A36,[16]HISTOJANV22!$A$6:$AU$39,46,0)</f>
        <v>0</v>
      </c>
      <c r="R36" s="36" t="e">
        <f>VLOOKUP($A36,[16]HISTODEC21!$A$6:$AU$39,26,0)</f>
        <v>#REF!</v>
      </c>
      <c r="S36" s="36" t="e">
        <f t="shared" si="7"/>
        <v>#REF!</v>
      </c>
      <c r="T36" s="36">
        <f>VLOOKUP($A36,[16]HISTOJANV22!$A$6:$AU$39,28,0)</f>
        <v>0</v>
      </c>
      <c r="U36" s="36">
        <f>VLOOKUP($A36,[16]HISTOJANV22!$A$6:$AU$39,19,0)</f>
        <v>0</v>
      </c>
      <c r="V36" s="36">
        <f>VLOOKUP($A36,[16]HISTOJANV22!$A$6:$AU$39,20,0)</f>
        <v>0</v>
      </c>
      <c r="W36" s="36">
        <f>VLOOKUP($A36,[16]HISTOJANV22!$A$6:$AU$39,27,0)</f>
        <v>0</v>
      </c>
      <c r="X36" s="36">
        <f>VLOOKUP($A36,[16]HISTOJANV22!$A$6:$AU$39,33,0)</f>
        <v>0</v>
      </c>
      <c r="Y36" s="36"/>
      <c r="Z36" s="36"/>
      <c r="AA36" s="36">
        <f>VLOOKUP($A36,[16]HISTOJANV22!$A$6:$AU$39,43,0)</f>
        <v>0</v>
      </c>
      <c r="AB36" s="36">
        <f>VLOOKUP($A36,[16]HISTOJANV22!$A$6:$AU$39,44,0)</f>
        <v>0</v>
      </c>
      <c r="AC36" s="36">
        <f>VLOOKUP($A36,[16]HISTOJANV22!$A$6:$AU$39,47,0)</f>
        <v>0</v>
      </c>
      <c r="AD36" s="36">
        <f>VLOOKUP(A36,[16]HISTOJANV22!$A$6:$BB$36,54,0)</f>
        <v>70000</v>
      </c>
    </row>
    <row r="37" spans="1:32" x14ac:dyDescent="0.25">
      <c r="A37" s="15"/>
      <c r="B37" s="1"/>
      <c r="C37" s="5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2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2" x14ac:dyDescent="0.25">
      <c r="A39" s="1"/>
      <c r="B39" s="1"/>
      <c r="C39" s="1"/>
      <c r="D39" s="1"/>
      <c r="E39" s="1"/>
      <c r="F39" s="1"/>
      <c r="G39" s="1"/>
      <c r="H39" s="1"/>
    </row>
    <row r="40" spans="1:32" ht="18" x14ac:dyDescent="0.25">
      <c r="A40" s="1" t="s">
        <v>57</v>
      </c>
      <c r="B40" s="1"/>
      <c r="C40" s="9" t="e">
        <f t="shared" ref="C40:AE40" si="8">SUM(C6:C39)</f>
        <v>#REF!</v>
      </c>
      <c r="D40" s="9" t="e">
        <f t="shared" si="8"/>
        <v>#REF!</v>
      </c>
      <c r="E40" s="9">
        <f t="shared" si="8"/>
        <v>0</v>
      </c>
      <c r="F40" s="9" t="e">
        <f t="shared" si="8"/>
        <v>#REF!</v>
      </c>
      <c r="G40" s="9" t="e">
        <f t="shared" si="8"/>
        <v>#REF!</v>
      </c>
      <c r="H40" s="9" t="e">
        <f t="shared" si="8"/>
        <v>#REF!</v>
      </c>
      <c r="I40" s="9" t="e">
        <f t="shared" si="8"/>
        <v>#N/A</v>
      </c>
      <c r="J40" s="9" t="e">
        <f t="shared" si="8"/>
        <v>#N/A</v>
      </c>
      <c r="K40" s="9" t="e">
        <f t="shared" si="8"/>
        <v>#N/A</v>
      </c>
      <c r="L40" s="9" t="e">
        <f t="shared" si="8"/>
        <v>#N/A</v>
      </c>
      <c r="M40" s="9" t="e">
        <f t="shared" si="8"/>
        <v>#N/A</v>
      </c>
      <c r="N40" s="9" t="e">
        <f t="shared" si="8"/>
        <v>#N/A</v>
      </c>
      <c r="O40" s="9" t="e">
        <f t="shared" si="8"/>
        <v>#N/A</v>
      </c>
      <c r="P40" s="9" t="e">
        <f t="shared" si="8"/>
        <v>#N/A</v>
      </c>
      <c r="Q40" s="9" t="e">
        <f t="shared" si="8"/>
        <v>#N/A</v>
      </c>
      <c r="R40" s="9" t="e">
        <f t="shared" si="8"/>
        <v>#REF!</v>
      </c>
      <c r="S40" s="9" t="e">
        <f t="shared" si="8"/>
        <v>#REF!</v>
      </c>
      <c r="T40" s="9" t="e">
        <f t="shared" si="8"/>
        <v>#N/A</v>
      </c>
      <c r="U40" s="9" t="e">
        <f t="shared" si="8"/>
        <v>#N/A</v>
      </c>
      <c r="V40" s="9" t="e">
        <f t="shared" si="8"/>
        <v>#N/A</v>
      </c>
      <c r="W40" s="9" t="e">
        <f t="shared" si="8"/>
        <v>#N/A</v>
      </c>
      <c r="X40" s="9" t="e">
        <f t="shared" si="8"/>
        <v>#N/A</v>
      </c>
      <c r="Y40" s="9">
        <f t="shared" si="8"/>
        <v>548000</v>
      </c>
      <c r="Z40" s="9">
        <f t="shared" si="8"/>
        <v>0</v>
      </c>
      <c r="AA40" s="9" t="e">
        <f t="shared" si="8"/>
        <v>#N/A</v>
      </c>
      <c r="AB40" s="9" t="e">
        <f t="shared" si="8"/>
        <v>#N/A</v>
      </c>
      <c r="AC40" s="9" t="e">
        <f t="shared" si="8"/>
        <v>#N/A</v>
      </c>
      <c r="AD40" s="9" t="e">
        <f t="shared" si="8"/>
        <v>#N/A</v>
      </c>
      <c r="AE40" s="9">
        <f t="shared" si="8"/>
        <v>0</v>
      </c>
    </row>
  </sheetData>
  <autoFilter ref="A5:U36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3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E13" sqref="E1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138" bestFit="1" customWidth="1"/>
    <col min="11" max="11" width="17.5703125" style="138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6.85546875" bestFit="1" customWidth="1"/>
    <col min="19" max="19" width="15" customWidth="1"/>
    <col min="20" max="21" width="18.140625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37"/>
      <c r="J4" s="160">
        <v>44912</v>
      </c>
      <c r="K4" s="160"/>
      <c r="L4" s="160"/>
      <c r="M4" s="160"/>
      <c r="N4" s="160"/>
      <c r="O4" s="160"/>
      <c r="P4"/>
      <c r="Q4"/>
      <c r="AJ4" s="104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6" x14ac:dyDescent="0.25">
      <c r="A6" s="1" t="s">
        <v>16</v>
      </c>
      <c r="B6" s="1" t="str">
        <f>VLOOKUP(A6,[15]LISTADHERENT!$A$5:$J$45,3,0)</f>
        <v>ASELBY</v>
      </c>
      <c r="C6" s="5">
        <v>0</v>
      </c>
      <c r="D6" s="43">
        <f>VLOOKUP(A6,'[17]EPARGNE 2023'!$A$5:$BF$47,4,0)</f>
        <v>816543.52134848095</v>
      </c>
      <c r="E6" s="36"/>
      <c r="F6" s="5">
        <f>C6+D6-E6</f>
        <v>816543.52134848095</v>
      </c>
      <c r="G6" s="6">
        <v>51868.550111954391</v>
      </c>
      <c r="H6" s="6">
        <f>+F6+G6</f>
        <v>868412.0714604354</v>
      </c>
      <c r="I6" s="36"/>
      <c r="J6" s="36"/>
      <c r="K6" s="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VLOOKUP($A6,[16]HISTODEC22!$A$6:$CA$36,60,0)</f>
        <v>6000</v>
      </c>
      <c r="AF6" s="36">
        <f>VLOOKUP($A6,[16]HISTODEC22!$A$6:$CA$36,61,0)</f>
        <v>0</v>
      </c>
      <c r="AG6" s="36">
        <f>VLOOKUP($A6,[16]HISTODEC22!$A$6:$CA$36,62,0)</f>
        <v>0</v>
      </c>
      <c r="AH6" s="36">
        <f>VLOOKUP($A6,[16]HISTODEC22!$A$6:$CA$36,63,0)</f>
        <v>0</v>
      </c>
      <c r="AI6" s="36">
        <f>VLOOKUP($A6,[16]HISTODEC22!$A$6:$CA$36,64,0)</f>
        <v>0</v>
      </c>
      <c r="AJ6" s="36">
        <f>VLOOKUP($A6,[16]HISTODEC22!$A$6:$CA$36,65,0)</f>
        <v>0</v>
      </c>
    </row>
    <row r="7" spans="1:36" x14ac:dyDescent="0.25">
      <c r="A7" s="1" t="s">
        <v>17</v>
      </c>
      <c r="B7" s="1" t="str">
        <f>VLOOKUP(A7,[15]LISTADHERENT!$A$5:$J$45,3,0)</f>
        <v>BAKOP ACHILLE</v>
      </c>
      <c r="C7" s="5">
        <v>0</v>
      </c>
      <c r="D7" s="43">
        <f>VLOOKUP(A7,'[17]EPARGNE 2023'!$A$5:$BF$47,4,0)</f>
        <v>0</v>
      </c>
      <c r="E7" s="36"/>
      <c r="F7" s="5">
        <f t="shared" ref="F7:F37" si="0">C7+D7-E7</f>
        <v>0</v>
      </c>
      <c r="G7" s="6">
        <v>0</v>
      </c>
      <c r="H7" s="6">
        <f t="shared" ref="H7:H37" si="1">+F7+G7</f>
        <v>0</v>
      </c>
      <c r="I7" s="36"/>
      <c r="J7" s="36"/>
      <c r="K7" s="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spans="1:36" x14ac:dyDescent="0.25">
      <c r="A8" s="1" t="s">
        <v>19</v>
      </c>
      <c r="B8" s="1" t="str">
        <f>VLOOKUP(A8,[15]LISTADHERENT!$A$5:$J$45,3,0)</f>
        <v>BOUTCHOUANG WILLIAM</v>
      </c>
      <c r="C8" s="5">
        <v>600000</v>
      </c>
      <c r="D8" s="43">
        <f>VLOOKUP(A8,'[17]EPARGNE 2023'!$A$5:$BF$47,4,0)</f>
        <v>7023.6611389458412</v>
      </c>
      <c r="E8" s="36"/>
      <c r="F8" s="5">
        <f t="shared" si="0"/>
        <v>607023.66113894584</v>
      </c>
      <c r="G8" s="6">
        <v>38559.410936150474</v>
      </c>
      <c r="H8" s="6">
        <f t="shared" si="1"/>
        <v>645583.07207509631</v>
      </c>
      <c r="I8" s="36">
        <f>VLOOKUP($A8,[16]HISTODEC22!$A$6:$AQ$37,22,0)</f>
        <v>0</v>
      </c>
      <c r="J8" s="36">
        <f>VLOOKUP($A8,[16]HISTODEC22!$A$6:$AU$39,45,0)</f>
        <v>7000</v>
      </c>
      <c r="K8" s="6"/>
      <c r="L8" s="36">
        <f t="shared" ref="L8:L32" si="2">IF(J8=0,0,500)</f>
        <v>500</v>
      </c>
      <c r="M8" s="36">
        <f t="shared" ref="M8:M32" si="3">IF(J8=0,0,1000)</f>
        <v>1000</v>
      </c>
      <c r="N8" s="36">
        <f t="shared" ref="N8:N32" si="4">IF(J8=0,0,2500)</f>
        <v>2500</v>
      </c>
      <c r="O8" s="36">
        <f>VLOOKUP($A8,[16]HISTODEC22!$A$6:$AU$39,7,0)</f>
        <v>0</v>
      </c>
      <c r="P8" s="36">
        <f>VLOOKUP($A8,[16]HISTODEC22!$A$6:$AU$39,23,0)</f>
        <v>0</v>
      </c>
      <c r="Q8" s="36">
        <f>VLOOKUP($A8,[16]HISTODEC22!$A$6:$AU$39,46,0)</f>
        <v>0</v>
      </c>
      <c r="R8" s="36">
        <f>VLOOKUP($A8,[18]HISTODEC22!$A$6:$AU$39,26,0)</f>
        <v>500000</v>
      </c>
      <c r="S8" s="36">
        <f>VLOOKUP($A8,[18]HISTODEC22!$A$6:$BG$39,58,0)</f>
        <v>10000</v>
      </c>
      <c r="T8" s="36">
        <f>VLOOKUP($A8,[16]HISTODEC22!$A$6:$AU$39,28,0)</f>
        <v>0</v>
      </c>
      <c r="U8" s="36">
        <f>VLOOKUP($A8,[16]HISTODEC22!$A$6:$AU$39,19,0)</f>
        <v>0</v>
      </c>
      <c r="V8" s="36">
        <f>VLOOKUP($A8,[16]HISTODEC22!$A$6:$AU$39,20,0)</f>
        <v>0</v>
      </c>
      <c r="W8" s="36" t="str">
        <f>VLOOKUP($A8,[16]HISTODEC22!$A$6:$AU$39,27,0)</f>
        <v>BANQUE</v>
      </c>
      <c r="X8" s="36">
        <f>VLOOKUP($A8,[16]HISTODEC22!$A$6:$AU$39,33,0)</f>
        <v>0</v>
      </c>
      <c r="Y8" s="36">
        <f>VLOOKUP($A8,[16]HISTODEC22!$A$6:$BP$39,65,0)</f>
        <v>0</v>
      </c>
      <c r="Z8" s="36"/>
      <c r="AA8" s="36">
        <f>VLOOKUP($A8,[16]HISTODEC22!$A$6:$AU$39,43,0)</f>
        <v>0</v>
      </c>
      <c r="AB8" s="36">
        <f>VLOOKUP($A8,[16]HISTODEC22!$A$6:$AU$39,44,0)</f>
        <v>0</v>
      </c>
      <c r="AC8" s="36">
        <f>VLOOKUP($A8,[16]HISTODEC22!$A$6:$AU$39,47,0)</f>
        <v>0</v>
      </c>
      <c r="AD8" s="36">
        <f>VLOOKUP(A8,[16]HISTODEC22!$A$6:$BB$36,54,0)</f>
        <v>0</v>
      </c>
      <c r="AE8" s="36">
        <f>VLOOKUP($A8,[16]HISTODEC22!$A$6:$CA$36,60,0)</f>
        <v>0</v>
      </c>
      <c r="AF8" s="36">
        <f>VLOOKUP($A8,[16]HISTODEC22!$A$6:$CA$36,61,0)</f>
        <v>0</v>
      </c>
      <c r="AG8" s="36">
        <f>VLOOKUP($A8,[16]HISTODEC22!$A$6:$CA$36,62,0)</f>
        <v>0</v>
      </c>
      <c r="AH8" s="36">
        <f>VLOOKUP($A8,[16]HISTODEC22!$A$6:$CA$36,63,0)</f>
        <v>0</v>
      </c>
      <c r="AI8" s="36">
        <f>VLOOKUP($A8,[16]HISTODEC22!$A$6:$CA$36,64,0)</f>
        <v>0</v>
      </c>
      <c r="AJ8" s="36">
        <f>VLOOKUP($A8,[16]HISTODEC22!$A$6:$CA$36,65,0)</f>
        <v>0</v>
      </c>
    </row>
    <row r="9" spans="1:36" x14ac:dyDescent="0.25">
      <c r="A9" s="1" t="s">
        <v>23</v>
      </c>
      <c r="B9" s="1" t="str">
        <f>VLOOKUP(A9,[15]LISTADHERENT!$A$5:$J$45,3,0)</f>
        <v xml:space="preserve">DJOMO JEAN PAUL </v>
      </c>
      <c r="C9" s="5">
        <v>600000</v>
      </c>
      <c r="D9" s="43">
        <f>VLOOKUP(A9,'[17]EPARGNE 2023'!$A$5:$BF$47,4,0)</f>
        <v>4809.8069585817866</v>
      </c>
      <c r="E9" s="36"/>
      <c r="F9" s="5">
        <f t="shared" si="0"/>
        <v>604809.80695858179</v>
      </c>
      <c r="G9" s="6">
        <v>38418.782294207253</v>
      </c>
      <c r="H9" s="6">
        <f t="shared" si="1"/>
        <v>643228.58925278904</v>
      </c>
      <c r="I9" s="36">
        <f>VLOOKUP($A9,[16]HISTODEC22!$A$6:$AQ$37,22,0)</f>
        <v>0</v>
      </c>
      <c r="J9" s="36">
        <f>VLOOKUP($A9,[16]HISTODEC22!$A$6:$AU$39,45,0)</f>
        <v>7000</v>
      </c>
      <c r="K9" s="6"/>
      <c r="L9" s="36">
        <f t="shared" si="2"/>
        <v>500</v>
      </c>
      <c r="M9" s="36">
        <f t="shared" si="3"/>
        <v>1000</v>
      </c>
      <c r="N9" s="36">
        <f t="shared" si="4"/>
        <v>2500</v>
      </c>
      <c r="O9" s="36">
        <f>VLOOKUP($A9,[16]HISTODEC22!$A$6:$AU$39,7,0)</f>
        <v>0</v>
      </c>
      <c r="P9" s="36">
        <f>VLOOKUP($A9,[16]HISTODEC22!$A$6:$AU$39,23,0)</f>
        <v>0</v>
      </c>
      <c r="Q9" s="36">
        <f>VLOOKUP($A9,[16]HISTODEC22!$A$6:$AU$39,46,0)</f>
        <v>0</v>
      </c>
      <c r="R9" s="36">
        <f>VLOOKUP($A9,[18]HISTODEC22!$A$6:$AU$39,26,0)</f>
        <v>1000000</v>
      </c>
      <c r="S9" s="36">
        <f>VLOOKUP($A9,[18]HISTODEC22!$A$6:$BG$39,58,0)</f>
        <v>120000</v>
      </c>
      <c r="T9" s="36">
        <f>VLOOKUP($A9,[16]HISTODEC22!$A$6:$AU$39,28,0)</f>
        <v>0</v>
      </c>
      <c r="U9" s="36">
        <f>VLOOKUP($A9,[16]HISTODEC22!$A$6:$AU$39,19,0)</f>
        <v>1000000</v>
      </c>
      <c r="V9" s="36" t="str">
        <f>VLOOKUP($A9,[16]HISTODEC22!$A$6:$AU$39,20,0)</f>
        <v>BANQUE</v>
      </c>
      <c r="W9" s="36" t="str">
        <f>VLOOKUP($A9,[16]HISTODEC22!$A$6:$AU$39,27,0)</f>
        <v>BANQUE</v>
      </c>
      <c r="X9" s="36">
        <f>VLOOKUP($A9,[16]HISTODEC22!$A$6:$AU$39,33,0)</f>
        <v>0</v>
      </c>
      <c r="Y9" s="36">
        <f>VLOOKUP($A9,[16]HISTODEC22!$A$6:$BP$39,65,0)</f>
        <v>0</v>
      </c>
      <c r="Z9" s="36"/>
      <c r="AA9" s="36">
        <f>VLOOKUP($A9,[16]HISTODEC22!$A$6:$AU$39,43,0)</f>
        <v>0</v>
      </c>
      <c r="AB9" s="36">
        <f>VLOOKUP($A9,[16]HISTODEC22!$A$6:$AU$39,44,0)</f>
        <v>0</v>
      </c>
      <c r="AC9" s="36">
        <f>VLOOKUP($A9,[16]HISTODEC22!$A$6:$AU$39,47,0)</f>
        <v>0</v>
      </c>
      <c r="AD9" s="36">
        <f>VLOOKUP(A9,[16]HISTODEC22!$A$6:$BB$36,54,0)</f>
        <v>0</v>
      </c>
      <c r="AE9" s="36">
        <f>VLOOKUP($A9,[16]HISTODEC22!$A$6:$CA$36,60,0)</f>
        <v>0</v>
      </c>
      <c r="AF9" s="36">
        <f>VLOOKUP($A9,[16]HISTODEC22!$A$6:$CA$36,61,0)</f>
        <v>0</v>
      </c>
      <c r="AG9" s="36">
        <f>VLOOKUP($A9,[16]HISTODEC22!$A$6:$CA$36,62,0)</f>
        <v>0</v>
      </c>
      <c r="AH9" s="36">
        <f>VLOOKUP($A9,[16]HISTODEC22!$A$6:$CA$36,63,0)</f>
        <v>0</v>
      </c>
      <c r="AI9" s="36">
        <f>VLOOKUP($A9,[16]HISTODEC22!$A$6:$CA$36,64,0)</f>
        <v>0</v>
      </c>
      <c r="AJ9" s="36">
        <f>VLOOKUP($A9,[16]HISTODEC22!$A$6:$CA$36,65,0)</f>
        <v>0</v>
      </c>
    </row>
    <row r="10" spans="1:36" x14ac:dyDescent="0.25">
      <c r="A10" s="1" t="s">
        <v>154</v>
      </c>
      <c r="B10" s="1" t="str">
        <f>VLOOKUP(A10,[15]LISTADHERENT!$A$5:$J$45,3,0)</f>
        <v>DJOMOU TCHAPDA</v>
      </c>
      <c r="C10" s="5">
        <v>600000</v>
      </c>
      <c r="D10" s="43">
        <f>VLOOKUP(A10,'[17]EPARGNE 2023'!$A$5:$BF$47,4,0)</f>
        <v>48710.412466726033</v>
      </c>
      <c r="E10" s="36"/>
      <c r="F10" s="5">
        <f t="shared" si="0"/>
        <v>648710.41246672603</v>
      </c>
      <c r="G10" s="6">
        <v>41207.440457808705</v>
      </c>
      <c r="H10" s="6">
        <f t="shared" si="1"/>
        <v>689917.8529245347</v>
      </c>
      <c r="I10" s="36">
        <f>VLOOKUP($A10,[16]HISTODEC22!$A$6:$AQ$37,22,0)</f>
        <v>0</v>
      </c>
      <c r="J10" s="36">
        <f>VLOOKUP($A10,[16]HISTODEC22!$A$6:$AU$39,45,0)</f>
        <v>7000</v>
      </c>
      <c r="K10" s="6"/>
      <c r="L10" s="36">
        <f t="shared" si="2"/>
        <v>500</v>
      </c>
      <c r="M10" s="36">
        <f t="shared" si="3"/>
        <v>1000</v>
      </c>
      <c r="N10" s="36">
        <f t="shared" si="4"/>
        <v>2500</v>
      </c>
      <c r="O10" s="36">
        <f>VLOOKUP($A10,[16]HISTODEC22!$A$6:$AU$39,7,0)</f>
        <v>0</v>
      </c>
      <c r="P10" s="36">
        <f>VLOOKUP($A10,[16]HISTODEC22!$A$6:$AU$39,23,0)</f>
        <v>0</v>
      </c>
      <c r="Q10" s="36">
        <f>VLOOKUP($A10,[16]HISTODEC22!$A$6:$AU$39,46,0)</f>
        <v>0</v>
      </c>
      <c r="R10" s="36">
        <f>VLOOKUP($A10,[18]HISTODEC22!$A$6:$AU$39,26,0)</f>
        <v>0</v>
      </c>
      <c r="S10" s="36">
        <f>VLOOKUP($A10,[18]HISTODEC22!$A$6:$BG$39,58,0)</f>
        <v>0</v>
      </c>
      <c r="T10" s="36">
        <f>VLOOKUP($A10,[16]HISTODEC22!$A$6:$AU$39,28,0)</f>
        <v>0</v>
      </c>
      <c r="U10" s="36">
        <f>VLOOKUP($A10,[16]HISTODEC22!$A$6:$AU$39,19,0)</f>
        <v>0</v>
      </c>
      <c r="V10" s="36">
        <f>VLOOKUP($A10,[16]HISTODEC22!$A$6:$AU$39,20,0)</f>
        <v>0</v>
      </c>
      <c r="W10" s="36">
        <f>VLOOKUP($A10,[16]HISTODEC22!$A$6:$AU$39,27,0)</f>
        <v>0</v>
      </c>
      <c r="X10" s="36">
        <f>VLOOKUP($A10,[16]HISTODEC22!$A$6:$AU$39,33,0)</f>
        <v>0</v>
      </c>
      <c r="Y10" s="36">
        <f>VLOOKUP($A10,[16]HISTODEC22!$A$6:$BP$39,65,0)</f>
        <v>0</v>
      </c>
      <c r="Z10" s="36"/>
      <c r="AA10" s="36">
        <f>VLOOKUP($A10,[16]HISTODEC22!$A$6:$AU$39,43,0)</f>
        <v>0</v>
      </c>
      <c r="AB10" s="36">
        <f>VLOOKUP($A10,[16]HISTODEC22!$A$6:$AU$39,44,0)</f>
        <v>0</v>
      </c>
      <c r="AC10" s="36">
        <f>VLOOKUP($A10,[16]HISTODEC22!$A$6:$AU$39,47,0)</f>
        <v>0</v>
      </c>
      <c r="AD10" s="36">
        <f>VLOOKUP(A10,[16]HISTODEC22!$A$6:$BB$36,54,0)</f>
        <v>0</v>
      </c>
      <c r="AE10" s="36">
        <f>VLOOKUP($A10,[16]HISTODEC22!$A$6:$CA$36,60,0)</f>
        <v>0</v>
      </c>
      <c r="AF10" s="36">
        <f>VLOOKUP($A10,[16]HISTODEC22!$A$6:$CA$36,61,0)</f>
        <v>0</v>
      </c>
      <c r="AG10" s="36">
        <f>VLOOKUP($A10,[16]HISTODEC22!$A$6:$CA$36,62,0)</f>
        <v>0</v>
      </c>
      <c r="AH10" s="36">
        <f>VLOOKUP($A10,[16]HISTODEC22!$A$6:$CA$36,63,0)</f>
        <v>0</v>
      </c>
      <c r="AI10" s="36">
        <f>VLOOKUP($A10,[16]HISTODEC22!$A$6:$CA$36,64,0)</f>
        <v>0</v>
      </c>
      <c r="AJ10" s="36">
        <f>VLOOKUP($A10,[16]HISTODEC22!$A$6:$CA$36,65,0)</f>
        <v>0</v>
      </c>
    </row>
    <row r="11" spans="1:36" x14ac:dyDescent="0.25">
      <c r="A11" s="1" t="s">
        <v>24</v>
      </c>
      <c r="B11" s="1" t="str">
        <f>VLOOKUP(A11,[15]LISTADHERENT!$A$5:$J$45,3,0)</f>
        <v>DJOUKWE NANGUEN GUY BLAISE</v>
      </c>
      <c r="C11" s="5">
        <v>600000</v>
      </c>
      <c r="D11" s="43">
        <f>VLOOKUP(A11,'[17]EPARGNE 2023'!$A$5:$BF$47,4,0)</f>
        <v>4750.0783119258704</v>
      </c>
      <c r="E11" s="36"/>
      <c r="F11" s="5">
        <f t="shared" si="0"/>
        <v>604750.07831192587</v>
      </c>
      <c r="G11" s="6">
        <v>38414.98820580756</v>
      </c>
      <c r="H11" s="6">
        <f t="shared" si="1"/>
        <v>643165.06651773339</v>
      </c>
      <c r="I11" s="36">
        <f>VLOOKUP($A11,[16]HISTODEC22!$A$6:$AQ$37,22,0)</f>
        <v>0</v>
      </c>
      <c r="J11" s="36">
        <f>VLOOKUP($A11,[16]HISTODEC22!$A$6:$AU$39,45,0)</f>
        <v>7000</v>
      </c>
      <c r="K11" s="6"/>
      <c r="L11" s="36">
        <f t="shared" si="2"/>
        <v>500</v>
      </c>
      <c r="M11" s="36">
        <f t="shared" si="3"/>
        <v>1000</v>
      </c>
      <c r="N11" s="36">
        <f t="shared" si="4"/>
        <v>2500</v>
      </c>
      <c r="O11" s="36">
        <f>VLOOKUP($A11,[16]HISTODEC22!$A$6:$AU$39,7,0)</f>
        <v>0</v>
      </c>
      <c r="P11" s="36">
        <f>VLOOKUP($A11,[16]HISTODEC22!$A$6:$AU$39,23,0)</f>
        <v>0</v>
      </c>
      <c r="Q11" s="36">
        <f>VLOOKUP($A11,[16]HISTODEC22!$A$6:$AU$39,46,0)</f>
        <v>0</v>
      </c>
      <c r="R11" s="36">
        <f>VLOOKUP($A11,[18]HISTODEC22!$A$6:$AU$39,26,0)</f>
        <v>1000000</v>
      </c>
      <c r="S11" s="36">
        <f>VLOOKUP($A11,[18]HISTODEC22!$A$6:$BG$39,58,0)</f>
        <v>40000</v>
      </c>
      <c r="T11" s="36">
        <f>VLOOKUP($A11,[16]HISTODEC22!$A$6:$AU$39,28,0)</f>
        <v>0</v>
      </c>
      <c r="U11" s="36">
        <f>VLOOKUP($A11,[16]HISTODEC22!$A$6:$AU$39,19,0)</f>
        <v>1000000</v>
      </c>
      <c r="V11" s="36" t="str">
        <f>VLOOKUP($A11,[16]HISTODEC22!$A$6:$AU$39,20,0)</f>
        <v>BANQUE</v>
      </c>
      <c r="W11" s="36" t="str">
        <f>VLOOKUP($A11,[16]HISTODEC22!$A$6:$AU$39,27,0)</f>
        <v>BANQUE</v>
      </c>
      <c r="X11" s="36">
        <f>VLOOKUP($A11,[16]HISTODEC22!$A$6:$AU$39,33,0)</f>
        <v>0</v>
      </c>
      <c r="Y11" s="36">
        <f>VLOOKUP($A11,[16]HISTODEC22!$A$6:$BP$39,65,0)</f>
        <v>0</v>
      </c>
      <c r="Z11" s="36"/>
      <c r="AA11" s="36">
        <f>VLOOKUP($A11,[16]HISTODEC22!$A$6:$AU$39,43,0)</f>
        <v>0</v>
      </c>
      <c r="AB11" s="36">
        <f>VLOOKUP($A11,[16]HISTODEC22!$A$6:$AU$39,44,0)</f>
        <v>0</v>
      </c>
      <c r="AC11" s="36">
        <f>VLOOKUP($A11,[16]HISTODEC22!$A$6:$AU$39,47,0)</f>
        <v>0</v>
      </c>
      <c r="AD11" s="36">
        <f>VLOOKUP(A11,[16]HISTODEC22!$A$6:$BB$36,54,0)</f>
        <v>0</v>
      </c>
      <c r="AE11" s="36">
        <f>VLOOKUP($A11,[16]HISTODEC22!$A$6:$CA$36,60,0)</f>
        <v>0</v>
      </c>
      <c r="AF11" s="36">
        <f>VLOOKUP($A11,[16]HISTODEC22!$A$6:$CA$36,61,0)</f>
        <v>0</v>
      </c>
      <c r="AG11" s="36">
        <f>VLOOKUP($A11,[16]HISTODEC22!$A$6:$CA$36,62,0)</f>
        <v>0</v>
      </c>
      <c r="AH11" s="36">
        <f>VLOOKUP($A11,[16]HISTODEC22!$A$6:$CA$36,63,0)</f>
        <v>0</v>
      </c>
      <c r="AI11" s="36">
        <f>VLOOKUP($A11,[16]HISTODEC22!$A$6:$CA$36,64,0)</f>
        <v>0</v>
      </c>
      <c r="AJ11" s="36">
        <f>VLOOKUP($A11,[16]HISTODEC22!$A$6:$CA$36,65,0)</f>
        <v>0</v>
      </c>
    </row>
    <row r="12" spans="1:36" x14ac:dyDescent="0.25">
      <c r="A12" s="1" t="s">
        <v>25</v>
      </c>
      <c r="B12" s="1" t="str">
        <f>VLOOKUP(A12,[15]LISTADHERENT!$A$5:$J$45,3,0)</f>
        <v>DJUOMBESSY ANTOINE</v>
      </c>
      <c r="C12" s="5">
        <v>600000</v>
      </c>
      <c r="D12" s="43">
        <f>VLOOKUP(A12,'[17]EPARGNE 2023'!$A$5:$BF$47,4,0)</f>
        <v>10718.850200936431</v>
      </c>
      <c r="E12" s="36"/>
      <c r="F12" s="5">
        <f t="shared" si="0"/>
        <v>610718.85020093643</v>
      </c>
      <c r="G12" s="6">
        <v>38794.137064059098</v>
      </c>
      <c r="H12" s="6">
        <f t="shared" si="1"/>
        <v>649512.98726499558</v>
      </c>
      <c r="I12" s="36">
        <f>VLOOKUP($A12,[16]HISTODEC22!$A$6:$AQ$37,22,0)</f>
        <v>0</v>
      </c>
      <c r="J12" s="36">
        <f>VLOOKUP($A12,[16]HISTODEC22!$A$6:$AU$39,45,0)</f>
        <v>8000</v>
      </c>
      <c r="K12" s="6"/>
      <c r="L12" s="36">
        <f t="shared" si="2"/>
        <v>500</v>
      </c>
      <c r="M12" s="36">
        <f t="shared" si="3"/>
        <v>1000</v>
      </c>
      <c r="N12" s="36">
        <f t="shared" si="4"/>
        <v>2500</v>
      </c>
      <c r="O12" s="36">
        <f>VLOOKUP($A12,[16]HISTODEC22!$A$6:$AU$39,7,0)</f>
        <v>0</v>
      </c>
      <c r="P12" s="36">
        <f>VLOOKUP($A12,[16]HISTODEC22!$A$6:$AU$39,23,0)</f>
        <v>0</v>
      </c>
      <c r="Q12" s="36">
        <f>VLOOKUP($A12,[16]HISTODEC22!$A$6:$AU$39,46,0)</f>
        <v>0</v>
      </c>
      <c r="R12" s="36">
        <f>VLOOKUP($A12,[18]HISTODEC22!$A$6:$AU$39,26,0)</f>
        <v>1000000</v>
      </c>
      <c r="S12" s="36">
        <f>VLOOKUP($A12,[18]HISTODEC22!$A$6:$BG$39,58,0)</f>
        <v>60000</v>
      </c>
      <c r="T12" s="36">
        <f>VLOOKUP($A12,[16]HISTODEC22!$A$6:$AU$39,28,0)</f>
        <v>0</v>
      </c>
      <c r="U12" s="36">
        <f>VLOOKUP($A12,[16]HISTODEC22!$A$6:$AU$39,19,0)</f>
        <v>0</v>
      </c>
      <c r="V12" s="36">
        <f>VLOOKUP($A12,[16]HISTODEC22!$A$6:$AU$39,20,0)</f>
        <v>0</v>
      </c>
      <c r="W12" s="36" t="str">
        <f>VLOOKUP($A12,[16]HISTODEC22!$A$6:$AU$39,27,0)</f>
        <v>BANQUE</v>
      </c>
      <c r="X12" s="36">
        <f>VLOOKUP($A12,[16]HISTODEC22!$A$6:$AU$39,33,0)</f>
        <v>0</v>
      </c>
      <c r="Y12" s="36">
        <f>VLOOKUP($A12,[16]HISTODEC22!$A$6:$BP$39,65,0)</f>
        <v>0</v>
      </c>
      <c r="Z12" s="36"/>
      <c r="AA12" s="36">
        <f>VLOOKUP($A12,[16]HISTODEC22!$A$6:$AU$39,43,0)</f>
        <v>0</v>
      </c>
      <c r="AB12" s="36">
        <f>VLOOKUP($A12,[16]HISTODEC22!$A$6:$AU$39,44,0)</f>
        <v>0</v>
      </c>
      <c r="AC12" s="36">
        <f>VLOOKUP($A12,[16]HISTODEC22!$A$6:$AU$39,47,0)</f>
        <v>0</v>
      </c>
      <c r="AD12" s="36">
        <f>VLOOKUP(A12,[16]HISTODEC22!$A$6:$BB$36,54,0)</f>
        <v>9000</v>
      </c>
      <c r="AE12" s="36">
        <f>VLOOKUP($A12,[16]HISTODEC22!$A$6:$CA$36,60,0)</f>
        <v>0</v>
      </c>
      <c r="AF12" s="36">
        <f>VLOOKUP($A12,[16]HISTODEC22!$A$6:$CA$36,61,0)</f>
        <v>0</v>
      </c>
      <c r="AG12" s="36">
        <f>VLOOKUP($A12,[16]HISTODEC22!$A$6:$CA$36,62,0)</f>
        <v>0</v>
      </c>
      <c r="AH12" s="36">
        <f>VLOOKUP($A12,[16]HISTODEC22!$A$6:$CA$36,63,0)</f>
        <v>0</v>
      </c>
      <c r="AI12" s="36">
        <f>VLOOKUP($A12,[16]HISTODEC22!$A$6:$CA$36,64,0)</f>
        <v>0</v>
      </c>
      <c r="AJ12" s="36">
        <f>VLOOKUP($A12,[16]HISTODEC22!$A$6:$CA$36,65,0)</f>
        <v>0</v>
      </c>
    </row>
    <row r="13" spans="1:36" x14ac:dyDescent="0.25">
      <c r="A13" s="1" t="s">
        <v>79</v>
      </c>
      <c r="B13" s="1" t="str">
        <f>VLOOKUP(A13,[15]LISTADHERENT!$A$5:$J$45,3,0)</f>
        <v>DOMOU FABIEN</v>
      </c>
      <c r="C13" s="5">
        <v>600000</v>
      </c>
      <c r="D13" s="43">
        <f>VLOOKUP(A13,'[17]EPARGNE 2023'!$A$5:$BF$47,4,0)</f>
        <v>584.0460014406126</v>
      </c>
      <c r="E13" s="36"/>
      <c r="F13" s="5">
        <f t="shared" si="0"/>
        <v>600584.04600144061</v>
      </c>
      <c r="G13" s="6">
        <v>38150.353131234224</v>
      </c>
      <c r="H13" s="6">
        <f t="shared" si="1"/>
        <v>638734.39913267479</v>
      </c>
      <c r="I13" s="36">
        <f>VLOOKUP($A13,[16]HISTODEC22!$A$6:$AQ$37,22,0)</f>
        <v>0</v>
      </c>
      <c r="J13" s="36">
        <f>VLOOKUP($A13,[16]HISTODEC22!$A$6:$AU$39,45,0)</f>
        <v>12000</v>
      </c>
      <c r="K13" s="6"/>
      <c r="L13" s="36">
        <f t="shared" si="2"/>
        <v>500</v>
      </c>
      <c r="M13" s="36">
        <f t="shared" si="3"/>
        <v>1000</v>
      </c>
      <c r="N13" s="36">
        <f t="shared" si="4"/>
        <v>2500</v>
      </c>
      <c r="O13" s="36">
        <f>VLOOKUP($A13,[16]HISTODEC22!$A$6:$AU$39,7,0)</f>
        <v>0</v>
      </c>
      <c r="P13" s="36">
        <f>VLOOKUP($A13,[16]HISTODEC22!$A$6:$AU$39,23,0)</f>
        <v>0</v>
      </c>
      <c r="Q13" s="36">
        <f>VLOOKUP($A13,[16]HISTODEC22!$A$6:$AU$39,46,0)</f>
        <v>0</v>
      </c>
      <c r="R13" s="36">
        <f>VLOOKUP($A13,[18]HISTODEC22!$A$6:$AU$39,26,0)</f>
        <v>1000000</v>
      </c>
      <c r="S13" s="36">
        <f>VLOOKUP($A13,[18]HISTODEC22!$A$6:$BG$39,58,0)</f>
        <v>120000</v>
      </c>
      <c r="T13" s="36">
        <f>VLOOKUP($A13,[16]HISTODEC22!$A$6:$AU$39,28,0)</f>
        <v>0</v>
      </c>
      <c r="U13" s="36">
        <f>VLOOKUP($A13,[16]HISTODEC22!$A$6:$AU$39,19,0)</f>
        <v>1000000</v>
      </c>
      <c r="V13" s="36" t="str">
        <f>VLOOKUP($A13,[16]HISTODEC22!$A$6:$AU$39,20,0)</f>
        <v>BANQUE</v>
      </c>
      <c r="W13" s="36" t="str">
        <f>VLOOKUP($A13,[16]HISTODEC22!$A$6:$AU$39,27,0)</f>
        <v>BANQUE</v>
      </c>
      <c r="X13" s="36">
        <f>VLOOKUP($A13,[16]HISTODEC22!$A$6:$AU$39,33,0)</f>
        <v>0</v>
      </c>
      <c r="Y13" s="36">
        <f>VLOOKUP($A13,[16]HISTODEC22!$A$6:$BP$39,65,0)</f>
        <v>0</v>
      </c>
      <c r="Z13" s="36"/>
      <c r="AA13" s="36">
        <f>VLOOKUP($A13,[16]HISTODEC22!$A$6:$AU$39,43,0)</f>
        <v>0</v>
      </c>
      <c r="AB13" s="36">
        <f>VLOOKUP($A13,[16]HISTODEC22!$A$6:$AU$39,44,0)</f>
        <v>0</v>
      </c>
      <c r="AC13" s="36">
        <f>VLOOKUP($A13,[16]HISTODEC22!$A$6:$AU$39,47,0)</f>
        <v>0</v>
      </c>
      <c r="AD13" s="36">
        <f>VLOOKUP(A13,[16]HISTODEC22!$A$6:$BB$36,54,0)</f>
        <v>0</v>
      </c>
      <c r="AE13" s="36">
        <f>VLOOKUP($A13,[16]HISTODEC22!$A$6:$CA$36,60,0)</f>
        <v>0</v>
      </c>
      <c r="AF13" s="36">
        <f>VLOOKUP($A13,[16]HISTODEC22!$A$6:$CA$36,61,0)</f>
        <v>0</v>
      </c>
      <c r="AG13" s="36">
        <f>VLOOKUP($A13,[16]HISTODEC22!$A$6:$CA$36,62,0)</f>
        <v>0</v>
      </c>
      <c r="AH13" s="36">
        <f>VLOOKUP($A13,[16]HISTODEC22!$A$6:$CA$36,63,0)</f>
        <v>0</v>
      </c>
      <c r="AI13" s="36">
        <f>VLOOKUP($A13,[16]HISTODEC22!$A$6:$CA$36,64,0)</f>
        <v>0</v>
      </c>
      <c r="AJ13" s="36">
        <f>VLOOKUP($A13,[16]HISTODEC22!$A$6:$CA$36,65,0)</f>
        <v>0</v>
      </c>
    </row>
    <row r="14" spans="1:36" ht="14.25" customHeight="1" x14ac:dyDescent="0.25">
      <c r="A14" s="1" t="s">
        <v>26</v>
      </c>
      <c r="B14" s="1" t="str">
        <f>VLOOKUP(A14,[15]LISTADHERENT!$A$5:$J$45,3,0)</f>
        <v>DONHOU DAVID</v>
      </c>
      <c r="C14" s="5">
        <v>600000</v>
      </c>
      <c r="D14" s="43">
        <f>VLOOKUP(A14,'[17]EPARGNE 2023'!$A$5:$BF$47,4,0)</f>
        <v>458343.17855274049</v>
      </c>
      <c r="E14" s="36"/>
      <c r="F14" s="5">
        <f t="shared" si="0"/>
        <v>1058343.1785527405</v>
      </c>
      <c r="G14" s="6">
        <v>67228.169420476217</v>
      </c>
      <c r="H14" s="6">
        <f t="shared" si="1"/>
        <v>1125571.3479732168</v>
      </c>
      <c r="I14" s="36">
        <f>VLOOKUP($A14,[16]HISTODEC22!$A$6:$AQ$37,22,0)</f>
        <v>0</v>
      </c>
      <c r="J14" s="36">
        <f>VLOOKUP($A14,[16]HISTODEC22!$A$6:$AU$39,45,0)</f>
        <v>12000</v>
      </c>
      <c r="K14" s="6"/>
      <c r="L14" s="36">
        <f t="shared" si="2"/>
        <v>500</v>
      </c>
      <c r="M14" s="36">
        <f t="shared" si="3"/>
        <v>1000</v>
      </c>
      <c r="N14" s="36">
        <f t="shared" si="4"/>
        <v>2500</v>
      </c>
      <c r="O14" s="36">
        <f>VLOOKUP($A14,[16]HISTODEC22!$A$6:$AU$39,7,0)</f>
        <v>0</v>
      </c>
      <c r="P14" s="36">
        <f>VLOOKUP($A14,[16]HISTODEC22!$A$6:$AU$39,23,0)</f>
        <v>0</v>
      </c>
      <c r="Q14" s="36">
        <f>VLOOKUP($A14,[16]HISTODEC22!$A$6:$AU$39,46,0)</f>
        <v>0</v>
      </c>
      <c r="R14" s="36">
        <f>VLOOKUP($A14,[18]HISTODEC22!$A$6:$AU$39,26,0)</f>
        <v>0</v>
      </c>
      <c r="S14" s="36">
        <f>VLOOKUP($A14,[18]HISTODEC22!$A$6:$BG$39,58,0)</f>
        <v>0</v>
      </c>
      <c r="T14" s="36">
        <f>VLOOKUP($A14,[16]HISTODEC22!$A$6:$AU$39,28,0)</f>
        <v>0</v>
      </c>
      <c r="U14" s="36">
        <f>VLOOKUP($A14,[16]HISTODEC22!$A$6:$AU$39,19,0)</f>
        <v>0</v>
      </c>
      <c r="V14" s="36">
        <f>VLOOKUP($A14,[16]HISTODEC22!$A$6:$AU$39,20,0)</f>
        <v>0</v>
      </c>
      <c r="W14" s="36">
        <f>VLOOKUP($A14,[16]HISTODEC22!$A$6:$AU$39,27,0)</f>
        <v>0</v>
      </c>
      <c r="X14" s="36">
        <f>VLOOKUP($A14,[16]HISTODEC22!$A$6:$AU$39,33,0)</f>
        <v>0</v>
      </c>
      <c r="Y14" s="36">
        <f>VLOOKUP($A14,[16]HISTODEC22!$A$6:$BP$39,65,0)</f>
        <v>0</v>
      </c>
      <c r="Z14" s="36"/>
      <c r="AA14" s="36">
        <f>VLOOKUP($A14,[16]HISTODEC22!$A$6:$AU$39,43,0)</f>
        <v>0</v>
      </c>
      <c r="AB14" s="36">
        <f>VLOOKUP($A14,[16]HISTODEC22!$A$6:$AU$39,44,0)</f>
        <v>0</v>
      </c>
      <c r="AC14" s="36">
        <f>VLOOKUP($A14,[16]HISTODEC22!$A$6:$AU$39,47,0)</f>
        <v>0</v>
      </c>
      <c r="AD14" s="36">
        <f>VLOOKUP(A14,[16]HISTODEC22!$A$6:$BB$36,54,0)</f>
        <v>0</v>
      </c>
      <c r="AE14" s="36">
        <f>VLOOKUP($A14,[16]HISTODEC22!$A$6:$CA$36,60,0)</f>
        <v>0</v>
      </c>
      <c r="AF14" s="36">
        <f>VLOOKUP($A14,[16]HISTODEC22!$A$6:$CA$36,61,0)</f>
        <v>0</v>
      </c>
      <c r="AG14" s="36">
        <f>VLOOKUP($A14,[16]HISTODEC22!$A$6:$CA$36,62,0)</f>
        <v>0</v>
      </c>
      <c r="AH14" s="36">
        <f>VLOOKUP($A14,[16]HISTODEC22!$A$6:$CA$36,63,0)</f>
        <v>0</v>
      </c>
      <c r="AI14" s="36">
        <f>VLOOKUP($A14,[16]HISTODEC22!$A$6:$CA$36,64,0)</f>
        <v>0</v>
      </c>
      <c r="AJ14" s="36">
        <f>VLOOKUP($A14,[16]HISTODEC22!$A$6:$CA$36,65,0)</f>
        <v>0</v>
      </c>
    </row>
    <row r="15" spans="1:36" x14ac:dyDescent="0.25">
      <c r="A15" s="1" t="s">
        <v>28</v>
      </c>
      <c r="B15" s="1" t="str">
        <f>VLOOKUP(A15,[15]LISTADHERENT!$A$5:$J$45,3,0)</f>
        <v>HENGUE PAUL OMER</v>
      </c>
      <c r="C15" s="5">
        <v>600000</v>
      </c>
      <c r="D15" s="43">
        <f>VLOOKUP(A15,'[17]EPARGNE 2023'!$A$5:$BF$47,4,0)</f>
        <v>51112.01036672492</v>
      </c>
      <c r="E15" s="36"/>
      <c r="F15" s="5">
        <f t="shared" si="0"/>
        <v>651112.01036672492</v>
      </c>
      <c r="G15" s="6">
        <v>41359.994972991364</v>
      </c>
      <c r="H15" s="6">
        <f t="shared" si="1"/>
        <v>692472.00533971633</v>
      </c>
      <c r="I15" s="36">
        <f>VLOOKUP($A15,[16]HISTODEC22!$A$6:$AQ$37,22,0)</f>
        <v>0</v>
      </c>
      <c r="J15" s="36">
        <f>VLOOKUP($A15,[16]HISTODEC22!$A$6:$AU$39,45,0)</f>
        <v>7000</v>
      </c>
      <c r="K15" s="6"/>
      <c r="L15" s="36">
        <f t="shared" si="2"/>
        <v>500</v>
      </c>
      <c r="M15" s="36">
        <f t="shared" si="3"/>
        <v>1000</v>
      </c>
      <c r="N15" s="36">
        <f t="shared" si="4"/>
        <v>2500</v>
      </c>
      <c r="O15" s="36">
        <f>VLOOKUP($A15,[16]HISTODEC22!$A$6:$AU$39,7,0)</f>
        <v>0</v>
      </c>
      <c r="P15" s="36">
        <f>VLOOKUP($A15,[16]HISTODEC22!$A$6:$AU$39,23,0)</f>
        <v>0</v>
      </c>
      <c r="Q15" s="36">
        <f>VLOOKUP($A15,[16]HISTODEC22!$A$6:$AU$39,46,0)</f>
        <v>0</v>
      </c>
      <c r="R15" s="36">
        <f>VLOOKUP($A15,[18]HISTODEC22!$A$6:$AU$39,26,0)</f>
        <v>0</v>
      </c>
      <c r="S15" s="36">
        <f>VLOOKUP($A15,[18]HISTODEC22!$A$6:$BG$39,58,0)</f>
        <v>0</v>
      </c>
      <c r="T15" s="36">
        <f>VLOOKUP($A15,[16]HISTODEC22!$A$6:$AU$39,28,0)</f>
        <v>0</v>
      </c>
      <c r="U15" s="36">
        <f>VLOOKUP($A15,[16]HISTODEC22!$A$6:$AU$39,19,0)</f>
        <v>0</v>
      </c>
      <c r="V15" s="36">
        <f>VLOOKUP($A15,[16]HISTODEC22!$A$6:$AU$39,20,0)</f>
        <v>0</v>
      </c>
      <c r="W15" s="36">
        <f>VLOOKUP($A15,[16]HISTODEC22!$A$6:$AU$39,27,0)</f>
        <v>0</v>
      </c>
      <c r="X15" s="36">
        <f>VLOOKUP($A15,[16]HISTODEC22!$A$6:$AU$39,33,0)</f>
        <v>0</v>
      </c>
      <c r="Y15" s="36">
        <f>VLOOKUP($A15,[16]HISTODEC22!$A$6:$BP$39,65,0)</f>
        <v>0</v>
      </c>
      <c r="Z15" s="36"/>
      <c r="AA15" s="36">
        <f>VLOOKUP($A15,[16]HISTODEC22!$A$6:$AU$39,43,0)</f>
        <v>0</v>
      </c>
      <c r="AB15" s="36">
        <f>VLOOKUP($A15,[16]HISTODEC22!$A$6:$AU$39,44,0)</f>
        <v>0</v>
      </c>
      <c r="AC15" s="36">
        <f>VLOOKUP($A15,[16]HISTODEC22!$A$6:$AU$39,47,0)</f>
        <v>0</v>
      </c>
      <c r="AD15" s="36">
        <f>VLOOKUP(A15,[16]HISTODEC22!$A$6:$BB$36,54,0)</f>
        <v>0</v>
      </c>
      <c r="AE15" s="36">
        <f>VLOOKUP($A15,[16]HISTODEC22!$A$6:$CA$36,60,0)</f>
        <v>0</v>
      </c>
      <c r="AF15" s="36">
        <f>VLOOKUP($A15,[16]HISTODEC22!$A$6:$CA$36,61,0)</f>
        <v>0</v>
      </c>
      <c r="AG15" s="36">
        <f>VLOOKUP($A15,[16]HISTODEC22!$A$6:$CA$36,62,0)</f>
        <v>0</v>
      </c>
      <c r="AH15" s="36">
        <f>VLOOKUP($A15,[16]HISTODEC22!$A$6:$CA$36,63,0)</f>
        <v>0</v>
      </c>
      <c r="AI15" s="36">
        <f>VLOOKUP($A15,[16]HISTODEC22!$A$6:$CA$36,64,0)</f>
        <v>0</v>
      </c>
      <c r="AJ15" s="36">
        <f>VLOOKUP($A15,[16]HISTODEC22!$A$6:$CA$36,65,0)</f>
        <v>0</v>
      </c>
    </row>
    <row r="16" spans="1:36" x14ac:dyDescent="0.25">
      <c r="A16" s="1" t="s">
        <v>29</v>
      </c>
      <c r="B16" s="1" t="str">
        <f>VLOOKUP(A16,[15]LISTADHERENT!$A$5:$J$45,3,0)</f>
        <v>HOTCHO BENJAMIN</v>
      </c>
      <c r="C16" s="5">
        <v>600000</v>
      </c>
      <c r="D16" s="43">
        <f>VLOOKUP(A16,'[17]EPARGNE 2023'!$A$5:$BF$47,4,0)</f>
        <v>16229.566345777828</v>
      </c>
      <c r="E16" s="36"/>
      <c r="F16" s="5">
        <f t="shared" si="0"/>
        <v>616229.56634577783</v>
      </c>
      <c r="G16" s="6">
        <v>39144.189264631852</v>
      </c>
      <c r="H16" s="6">
        <f t="shared" si="1"/>
        <v>655373.75561040966</v>
      </c>
      <c r="I16" s="36">
        <f>VLOOKUP($A16,[16]HISTODEC22!$A$6:$AQ$37,22,0)</f>
        <v>0</v>
      </c>
      <c r="J16" s="36">
        <f>VLOOKUP($A16,[16]HISTODEC22!$A$6:$AU$39,45,0)</f>
        <v>52000</v>
      </c>
      <c r="K16" s="6"/>
      <c r="L16" s="36">
        <f t="shared" si="2"/>
        <v>500</v>
      </c>
      <c r="M16" s="36">
        <f t="shared" si="3"/>
        <v>1000</v>
      </c>
      <c r="N16" s="36">
        <f t="shared" si="4"/>
        <v>2500</v>
      </c>
      <c r="O16" s="36">
        <f>VLOOKUP($A16,[16]HISTODEC22!$A$6:$AU$39,7,0)</f>
        <v>0</v>
      </c>
      <c r="P16" s="36">
        <f>VLOOKUP($A16,[16]HISTODEC22!$A$6:$AU$39,23,0)</f>
        <v>0</v>
      </c>
      <c r="Q16" s="36">
        <f>VLOOKUP($A16,[16]HISTODEC22!$A$6:$AU$39,46,0)</f>
        <v>0</v>
      </c>
      <c r="R16" s="36">
        <f>VLOOKUP($A16,[18]HISTODEC22!$A$6:$AU$39,26,0)</f>
        <v>1000000</v>
      </c>
      <c r="S16" s="36">
        <f>VLOOKUP($A16,[18]HISTODEC22!$A$6:$BG$39,58,0)</f>
        <v>120000</v>
      </c>
      <c r="T16" s="36">
        <f>VLOOKUP($A16,[16]HISTODEC22!$A$6:$AU$39,28,0)</f>
        <v>0</v>
      </c>
      <c r="U16" s="36">
        <f>VLOOKUP($A16,[16]HISTODEC22!$A$6:$AU$39,19,0)</f>
        <v>1000000</v>
      </c>
      <c r="V16" s="36" t="str">
        <f>VLOOKUP($A16,[16]HISTODEC22!$A$6:$AU$39,20,0)</f>
        <v>BANQUE</v>
      </c>
      <c r="W16" s="36" t="str">
        <f>VLOOKUP($A16,[16]HISTODEC22!$A$6:$AU$39,27,0)</f>
        <v>BANQUE</v>
      </c>
      <c r="X16" s="36">
        <f>VLOOKUP($A16,[16]HISTODEC22!$A$6:$AU$39,33,0)</f>
        <v>0</v>
      </c>
      <c r="Y16" s="36">
        <f>VLOOKUP($A16,[16]HISTODEC22!$A$6:$BP$39,65,0)</f>
        <v>0</v>
      </c>
      <c r="Z16" s="36"/>
      <c r="AA16" s="36">
        <f>VLOOKUP($A16,[16]HISTODEC22!$A$6:$AU$39,43,0)</f>
        <v>0</v>
      </c>
      <c r="AB16" s="36">
        <f>VLOOKUP($A16,[16]HISTODEC22!$A$6:$AU$39,44,0)</f>
        <v>0</v>
      </c>
      <c r="AC16" s="36">
        <f>VLOOKUP($A16,[16]HISTODEC22!$A$6:$AU$39,47,0)</f>
        <v>0</v>
      </c>
      <c r="AD16" s="36">
        <f>VLOOKUP(A16,[16]HISTODEC22!$A$6:$BB$36,54,0)</f>
        <v>0</v>
      </c>
      <c r="AE16" s="36">
        <f>VLOOKUP($A16,[16]HISTODEC22!$A$6:$CA$36,60,0)</f>
        <v>0</v>
      </c>
      <c r="AF16" s="36">
        <f>VLOOKUP($A16,[16]HISTODEC22!$A$6:$CA$36,61,0)</f>
        <v>0</v>
      </c>
      <c r="AG16" s="36">
        <f>VLOOKUP($A16,[16]HISTODEC22!$A$6:$CA$36,62,0)</f>
        <v>0</v>
      </c>
      <c r="AH16" s="36">
        <f>VLOOKUP($A16,[16]HISTODEC22!$A$6:$CA$36,63,0)</f>
        <v>0</v>
      </c>
      <c r="AI16" s="36">
        <f>VLOOKUP($A16,[16]HISTODEC22!$A$6:$CA$36,64,0)</f>
        <v>0</v>
      </c>
      <c r="AJ16" s="36">
        <f>VLOOKUP($A16,[16]HISTODEC22!$A$6:$CA$36,65,0)</f>
        <v>0</v>
      </c>
    </row>
    <row r="17" spans="1:36" x14ac:dyDescent="0.25">
      <c r="A17" s="1" t="s">
        <v>33</v>
      </c>
      <c r="B17" s="1" t="str">
        <f>VLOOKUP(A17,[15]LISTADHERENT!$A$5:$J$45,3,0)</f>
        <v>KOUAMOU MOISE</v>
      </c>
      <c r="C17" s="5">
        <v>600000</v>
      </c>
      <c r="D17" s="43">
        <f>VLOOKUP(A17,'[17]EPARGNE 2023'!$A$5:$BF$47,4,0)</f>
        <v>53292.832106360001</v>
      </c>
      <c r="E17" s="36"/>
      <c r="F17" s="5">
        <f t="shared" si="0"/>
        <v>653292.83210636</v>
      </c>
      <c r="G17" s="6">
        <v>41498.525325299706</v>
      </c>
      <c r="H17" s="6">
        <f t="shared" si="1"/>
        <v>694791.35743165971</v>
      </c>
      <c r="I17" s="36">
        <f>VLOOKUP($A17,[16]HISTODEC22!$A$6:$AQ$37,22,0)</f>
        <v>0</v>
      </c>
      <c r="J17" s="36">
        <f>VLOOKUP($A17,[16]HISTODEC22!$A$6:$AU$39,45,0)</f>
        <v>7000</v>
      </c>
      <c r="K17" s="6"/>
      <c r="L17" s="36">
        <f t="shared" si="2"/>
        <v>500</v>
      </c>
      <c r="M17" s="36">
        <f t="shared" si="3"/>
        <v>1000</v>
      </c>
      <c r="N17" s="36">
        <f t="shared" si="4"/>
        <v>2500</v>
      </c>
      <c r="O17" s="36">
        <f>VLOOKUP($A17,[16]HISTODEC22!$A$6:$AU$39,7,0)</f>
        <v>0</v>
      </c>
      <c r="P17" s="36">
        <f>VLOOKUP($A17,[16]HISTODEC22!$A$6:$AU$39,23,0)</f>
        <v>0</v>
      </c>
      <c r="Q17" s="36">
        <f>VLOOKUP($A17,[16]HISTODEC22!$A$6:$AU$39,46,0)</f>
        <v>0</v>
      </c>
      <c r="R17" s="36">
        <f>VLOOKUP($A17,[18]HISTODEC22!$A$6:$AU$39,26,0)</f>
        <v>0</v>
      </c>
      <c r="S17" s="36">
        <f>VLOOKUP($A17,[18]HISTODEC22!$A$6:$BG$39,58,0)</f>
        <v>0</v>
      </c>
      <c r="T17" s="36">
        <f>VLOOKUP($A17,[16]HISTODEC22!$A$6:$AU$39,28,0)</f>
        <v>0</v>
      </c>
      <c r="U17" s="36">
        <f>VLOOKUP($A17,[16]HISTODEC22!$A$6:$AU$39,19,0)</f>
        <v>700000</v>
      </c>
      <c r="V17" s="36" t="str">
        <f>VLOOKUP($A17,[16]HISTODEC22!$A$6:$AU$39,20,0)</f>
        <v>BANQUE</v>
      </c>
      <c r="W17" s="36">
        <f>VLOOKUP($A17,[16]HISTODEC22!$A$6:$AU$39,27,0)</f>
        <v>0</v>
      </c>
      <c r="X17" s="36">
        <f>VLOOKUP($A17,[16]HISTODEC22!$A$6:$AU$39,33,0)</f>
        <v>0</v>
      </c>
      <c r="Y17" s="36">
        <f>VLOOKUP($A17,[16]HISTODEC22!$A$6:$BP$39,65,0)</f>
        <v>0</v>
      </c>
      <c r="Z17" s="36"/>
      <c r="AA17" s="36">
        <f>VLOOKUP($A17,[16]HISTODEC22!$A$6:$AU$39,43,0)</f>
        <v>0</v>
      </c>
      <c r="AB17" s="36">
        <f>VLOOKUP($A17,[16]HISTODEC22!$A$6:$AU$39,44,0)</f>
        <v>0</v>
      </c>
      <c r="AC17" s="36">
        <f>VLOOKUP($A17,[16]HISTODEC22!$A$6:$AU$39,47,0)</f>
        <v>0</v>
      </c>
      <c r="AD17" s="36">
        <f>VLOOKUP(A17,[16]HISTODEC22!$A$6:$BB$36,54,0)</f>
        <v>0</v>
      </c>
      <c r="AE17" s="36">
        <f>VLOOKUP($A17,[16]HISTODEC22!$A$6:$CA$36,60,0)</f>
        <v>0</v>
      </c>
      <c r="AF17" s="36">
        <f>VLOOKUP($A17,[16]HISTODEC22!$A$6:$CA$36,61,0)</f>
        <v>0</v>
      </c>
      <c r="AG17" s="36">
        <f>VLOOKUP($A17,[16]HISTODEC22!$A$6:$CA$36,62,0)</f>
        <v>0</v>
      </c>
      <c r="AH17" s="36">
        <f>VLOOKUP($A17,[16]HISTODEC22!$A$6:$CA$36,63,0)</f>
        <v>0</v>
      </c>
      <c r="AI17" s="36">
        <f>VLOOKUP($A17,[16]HISTODEC22!$A$6:$CA$36,64,0)</f>
        <v>0</v>
      </c>
      <c r="AJ17" s="36">
        <f>VLOOKUP($A17,[16]HISTODEC22!$A$6:$CA$36,65,0)</f>
        <v>0</v>
      </c>
    </row>
    <row r="18" spans="1:36" x14ac:dyDescent="0.25">
      <c r="A18" s="1" t="s">
        <v>35</v>
      </c>
      <c r="B18" s="1" t="str">
        <f>VLOOKUP(A18,[15]LISTADHERENT!$A$5:$J$45,3,0)</f>
        <v>KOUATCHO MESSACK</v>
      </c>
      <c r="C18" s="5">
        <v>600000</v>
      </c>
      <c r="D18" s="43">
        <f>VLOOKUP(A18,'[17]EPARGNE 2023'!$A$5:$BF$47,4,0)</f>
        <v>6459.0432257176144</v>
      </c>
      <c r="E18" s="36"/>
      <c r="F18" s="5">
        <f t="shared" si="0"/>
        <v>606459.04322571761</v>
      </c>
      <c r="G18" s="6">
        <v>38523.545226900802</v>
      </c>
      <c r="H18" s="6">
        <f t="shared" si="1"/>
        <v>644982.58845261845</v>
      </c>
      <c r="I18" s="36">
        <f>VLOOKUP($A18,[16]HISTODEC22!$A$6:$AQ$37,22,0)</f>
        <v>0</v>
      </c>
      <c r="J18" s="36">
        <f>VLOOKUP($A18,[16]HISTODEC22!$A$6:$AU$39,45,0)</f>
        <v>7000</v>
      </c>
      <c r="K18" s="6"/>
      <c r="L18" s="36">
        <f t="shared" si="2"/>
        <v>500</v>
      </c>
      <c r="M18" s="36">
        <f t="shared" si="3"/>
        <v>1000</v>
      </c>
      <c r="N18" s="36">
        <f t="shared" si="4"/>
        <v>2500</v>
      </c>
      <c r="O18" s="36">
        <f>VLOOKUP($A18,[16]HISTODEC22!$A$6:$AU$39,7,0)</f>
        <v>0</v>
      </c>
      <c r="P18" s="36">
        <f>VLOOKUP($A18,[16]HISTODEC22!$A$6:$AU$39,23,0)</f>
        <v>0</v>
      </c>
      <c r="Q18" s="36">
        <f>VLOOKUP($A18,[16]HISTODEC22!$A$6:$AU$39,46,0)</f>
        <v>0</v>
      </c>
      <c r="R18" s="36">
        <f>VLOOKUP($A18,[18]HISTODEC22!$A$6:$AU$39,26,0)</f>
        <v>1000000</v>
      </c>
      <c r="S18" s="36">
        <f>VLOOKUP($A18,[18]HISTODEC22!$A$6:$BG$39,58,0)</f>
        <v>60000</v>
      </c>
      <c r="T18" s="36">
        <f>VLOOKUP($A18,[16]HISTODEC22!$A$6:$AU$39,28,0)</f>
        <v>0</v>
      </c>
      <c r="U18" s="36">
        <f>VLOOKUP($A18,[16]HISTODEC22!$A$6:$AU$39,19,0)</f>
        <v>1000000</v>
      </c>
      <c r="V18" s="36" t="str">
        <f>VLOOKUP($A18,[16]HISTODEC22!$A$6:$AU$39,20,0)</f>
        <v>BANQUE</v>
      </c>
      <c r="W18" s="36" t="str">
        <f>VLOOKUP($A18,[16]HISTODEC22!$A$6:$AU$39,27,0)</f>
        <v>BANQUE</v>
      </c>
      <c r="X18" s="36">
        <f>VLOOKUP($A18,[16]HISTODEC22!$A$6:$AU$39,33,0)</f>
        <v>0</v>
      </c>
      <c r="Y18" s="36">
        <f>VLOOKUP($A18,[16]HISTODEC22!$A$6:$BP$39,65,0)</f>
        <v>0</v>
      </c>
      <c r="Z18" s="36"/>
      <c r="AA18" s="36">
        <f>VLOOKUP($A18,[16]HISTODEC22!$A$6:$AU$39,43,0)</f>
        <v>0</v>
      </c>
      <c r="AB18" s="36">
        <f>VLOOKUP($A18,[16]HISTODEC22!$A$6:$AU$39,44,0)</f>
        <v>0</v>
      </c>
      <c r="AC18" s="36">
        <f>VLOOKUP($A18,[16]HISTODEC22!$A$6:$AU$39,47,0)</f>
        <v>0</v>
      </c>
      <c r="AD18" s="36">
        <f>VLOOKUP(A18,[16]HISTODEC22!$A$6:$BB$36,54,0)</f>
        <v>0</v>
      </c>
      <c r="AE18" s="36">
        <f>VLOOKUP($A18,[16]HISTODEC22!$A$6:$CA$36,60,0)</f>
        <v>0</v>
      </c>
      <c r="AF18" s="36">
        <f>VLOOKUP($A18,[16]HISTODEC22!$A$6:$CA$36,61,0)</f>
        <v>0</v>
      </c>
      <c r="AG18" s="36">
        <f>VLOOKUP($A18,[16]HISTODEC22!$A$6:$CA$36,62,0)</f>
        <v>0</v>
      </c>
      <c r="AH18" s="36">
        <f>VLOOKUP($A18,[16]HISTODEC22!$A$6:$CA$36,63,0)</f>
        <v>0</v>
      </c>
      <c r="AI18" s="36">
        <f>VLOOKUP($A18,[16]HISTODEC22!$A$6:$CA$36,64,0)</f>
        <v>0</v>
      </c>
      <c r="AJ18" s="36">
        <f>VLOOKUP($A18,[16]HISTODEC22!$A$6:$CA$36,65,0)</f>
        <v>0</v>
      </c>
    </row>
    <row r="19" spans="1:36" x14ac:dyDescent="0.25">
      <c r="A19" s="1" t="s">
        <v>36</v>
      </c>
      <c r="B19" s="1" t="str">
        <f>VLOOKUP(A19,[15]LISTADHERENT!$A$5:$J$45,3,0)</f>
        <v>LOWE JEAN</v>
      </c>
      <c r="C19" s="5">
        <v>600000</v>
      </c>
      <c r="D19" s="43">
        <f>VLOOKUP(A19,'[17]EPARGNE 2023'!$A$5:$BF$47,4,0)</f>
        <v>746.1759009861853</v>
      </c>
      <c r="E19" s="36"/>
      <c r="F19" s="5">
        <f t="shared" si="0"/>
        <v>600746.17590098619</v>
      </c>
      <c r="G19" s="6">
        <v>38160.651961118194</v>
      </c>
      <c r="H19" s="6">
        <f t="shared" si="1"/>
        <v>638906.8278621044</v>
      </c>
      <c r="I19" s="36">
        <f>VLOOKUP($A19,[16]HISTODEC22!$A$6:$AQ$37,22,0)</f>
        <v>0</v>
      </c>
      <c r="J19" s="36">
        <f>VLOOKUP($A19,[16]HISTODEC22!$A$6:$AU$39,45,0)</f>
        <v>7000</v>
      </c>
      <c r="K19" s="6"/>
      <c r="L19" s="36">
        <f t="shared" si="2"/>
        <v>500</v>
      </c>
      <c r="M19" s="36">
        <f t="shared" si="3"/>
        <v>1000</v>
      </c>
      <c r="N19" s="36">
        <f t="shared" si="4"/>
        <v>2500</v>
      </c>
      <c r="O19" s="36">
        <f>VLOOKUP($A19,[16]HISTODEC22!$A$6:$AU$39,7,0)</f>
        <v>0</v>
      </c>
      <c r="P19" s="36">
        <f>VLOOKUP($A19,[16]HISTODEC22!$A$6:$AU$39,23,0)</f>
        <v>0</v>
      </c>
      <c r="Q19" s="36">
        <f>VLOOKUP($A19,[16]HISTODEC22!$A$6:$AU$39,46,0)</f>
        <v>0</v>
      </c>
      <c r="R19" s="36">
        <f>VLOOKUP($A19,[18]HISTODEC22!$A$6:$AU$39,26,0)</f>
        <v>1000000</v>
      </c>
      <c r="S19" s="36">
        <f>VLOOKUP($A19,[18]HISTODEC22!$A$6:$BG$39,58,0)</f>
        <v>40000</v>
      </c>
      <c r="T19" s="36">
        <f>VLOOKUP($A19,[16]HISTODEC22!$A$6:$AU$39,28,0)</f>
        <v>0</v>
      </c>
      <c r="U19" s="36">
        <f>VLOOKUP($A19,[16]HISTODEC22!$A$6:$AU$39,19,0)</f>
        <v>1000000</v>
      </c>
      <c r="V19" s="36" t="str">
        <f>VLOOKUP($A19,[16]HISTODEC22!$A$6:$AU$39,20,0)</f>
        <v>BANQUE</v>
      </c>
      <c r="W19" s="36" t="str">
        <f>VLOOKUP($A19,[16]HISTODEC22!$A$6:$AU$39,27,0)</f>
        <v>BANQUE</v>
      </c>
      <c r="X19" s="36">
        <f>VLOOKUP($A19,[16]HISTODEC22!$A$6:$AU$39,33,0)</f>
        <v>0</v>
      </c>
      <c r="Y19" s="36">
        <f>VLOOKUP($A19,[16]HISTODEC22!$A$6:$BP$39,65,0)</f>
        <v>0</v>
      </c>
      <c r="Z19" s="36"/>
      <c r="AA19" s="36">
        <f>VLOOKUP($A19,[16]HISTODEC22!$A$6:$AU$39,43,0)</f>
        <v>0</v>
      </c>
      <c r="AB19" s="36">
        <f>VLOOKUP($A19,[16]HISTODEC22!$A$6:$AU$39,44,0)</f>
        <v>0</v>
      </c>
      <c r="AC19" s="36">
        <f>VLOOKUP($A19,[16]HISTODEC22!$A$6:$AU$39,47,0)</f>
        <v>0</v>
      </c>
      <c r="AD19" s="36">
        <f>VLOOKUP(A19,[16]HISTODEC22!$A$6:$BB$36,54,0)</f>
        <v>0</v>
      </c>
      <c r="AE19" s="36">
        <f>VLOOKUP($A19,[16]HISTODEC22!$A$6:$CA$36,60,0)</f>
        <v>0</v>
      </c>
      <c r="AF19" s="36">
        <f>VLOOKUP($A19,[16]HISTODEC22!$A$6:$CA$36,61,0)</f>
        <v>0</v>
      </c>
      <c r="AG19" s="36">
        <f>VLOOKUP($A19,[16]HISTODEC22!$A$6:$CA$36,62,0)</f>
        <v>0</v>
      </c>
      <c r="AH19" s="36">
        <f>VLOOKUP($A19,[16]HISTODEC22!$A$6:$CA$36,63,0)</f>
        <v>0</v>
      </c>
      <c r="AI19" s="36">
        <f>VLOOKUP($A19,[16]HISTODEC22!$A$6:$CA$36,64,0)</f>
        <v>0</v>
      </c>
      <c r="AJ19" s="36">
        <f>VLOOKUP($A19,[16]HISTODEC22!$A$6:$CA$36,65,0)</f>
        <v>0</v>
      </c>
    </row>
    <row r="20" spans="1:36" x14ac:dyDescent="0.25">
      <c r="A20" s="1" t="s">
        <v>75</v>
      </c>
      <c r="B20" s="1" t="str">
        <f>VLOOKUP(A20,[15]LISTADHERENT!$A$5:$J$45,3,0)</f>
        <v>MBOGNING TUGMA GUY</v>
      </c>
      <c r="C20" s="5">
        <v>600000</v>
      </c>
      <c r="D20" s="43">
        <f>VLOOKUP(A20,'[17]EPARGNE 2023'!$A$5:$BF$47,4,0)</f>
        <v>47746</v>
      </c>
      <c r="E20" s="36"/>
      <c r="F20" s="5">
        <f t="shared" si="0"/>
        <v>647746</v>
      </c>
      <c r="G20" s="6">
        <v>41146.178963410508</v>
      </c>
      <c r="H20" s="6">
        <f t="shared" si="1"/>
        <v>688892.17896341055</v>
      </c>
      <c r="I20" s="36">
        <f>VLOOKUP($A20,[16]HISTODEC22!$A$6:$AQ$37,22,0)</f>
        <v>0</v>
      </c>
      <c r="J20" s="36">
        <f>VLOOKUP($A20,[16]HISTODEC22!$A$6:$AU$39,45,0)</f>
        <v>7000</v>
      </c>
      <c r="K20" s="6"/>
      <c r="L20" s="36">
        <f t="shared" si="2"/>
        <v>500</v>
      </c>
      <c r="M20" s="36">
        <f t="shared" si="3"/>
        <v>1000</v>
      </c>
      <c r="N20" s="36">
        <f t="shared" si="4"/>
        <v>2500</v>
      </c>
      <c r="O20" s="36">
        <f>VLOOKUP($A20,[16]HISTODEC22!$A$6:$AU$39,7,0)</f>
        <v>0</v>
      </c>
      <c r="P20" s="36">
        <f>VLOOKUP($A20,[16]HISTODEC22!$A$6:$AU$39,23,0)</f>
        <v>0</v>
      </c>
      <c r="Q20" s="36">
        <f>VLOOKUP($A20,[16]HISTODEC22!$A$6:$AU$39,46,0)</f>
        <v>0</v>
      </c>
      <c r="R20" s="36">
        <f>VLOOKUP($A20,[18]HISTODEC22!$A$6:$AU$39,26,0)</f>
        <v>1000000</v>
      </c>
      <c r="S20" s="36">
        <f>VLOOKUP($A20,[18]HISTODEC22!$A$6:$BG$39,58,0)</f>
        <v>60000</v>
      </c>
      <c r="T20" s="36">
        <f>VLOOKUP($A20,[16]HISTODEC22!$A$6:$AU$39,28,0)</f>
        <v>0</v>
      </c>
      <c r="U20" s="36">
        <f>VLOOKUP($A20,[16]HISTODEC22!$A$6:$AU$39,19,0)</f>
        <v>1000000</v>
      </c>
      <c r="V20" s="36" t="str">
        <f>VLOOKUP($A20,[16]HISTODEC22!$A$6:$AU$39,20,0)</f>
        <v>BANQUE</v>
      </c>
      <c r="W20" s="36" t="str">
        <f>VLOOKUP($A20,[16]HISTODEC22!$A$6:$AU$39,27,0)</f>
        <v>BANQUE</v>
      </c>
      <c r="X20" s="36">
        <f>VLOOKUP($A20,[16]HISTODEC22!$A$6:$AU$39,33,0)</f>
        <v>0</v>
      </c>
      <c r="Y20" s="36">
        <f>VLOOKUP($A20,[16]HISTODEC22!$A$6:$BP$39,65,0)</f>
        <v>0</v>
      </c>
      <c r="Z20" s="36"/>
      <c r="AA20" s="36">
        <f>VLOOKUP($A20,[16]HISTODEC22!$A$6:$AU$39,43,0)</f>
        <v>0</v>
      </c>
      <c r="AB20" s="36">
        <f>VLOOKUP($A20,[16]HISTODEC22!$A$6:$AU$39,44,0)</f>
        <v>0</v>
      </c>
      <c r="AC20" s="36">
        <f>VLOOKUP($A20,[16]HISTODEC22!$A$6:$AU$39,47,0)</f>
        <v>0</v>
      </c>
      <c r="AD20" s="36">
        <f>VLOOKUP(A20,[16]HISTODEC22!$A$6:$BB$36,54,0)</f>
        <v>0</v>
      </c>
      <c r="AE20" s="36">
        <f>VLOOKUP($A20,[16]HISTODEC22!$A$6:$CA$36,60,0)</f>
        <v>0</v>
      </c>
      <c r="AF20" s="36">
        <f>VLOOKUP($A20,[16]HISTODEC22!$A$6:$CA$36,61,0)</f>
        <v>0</v>
      </c>
      <c r="AG20" s="36">
        <f>VLOOKUP($A20,[16]HISTODEC22!$A$6:$CA$36,62,0)</f>
        <v>0</v>
      </c>
      <c r="AH20" s="36">
        <f>VLOOKUP($A20,[16]HISTODEC22!$A$6:$CA$36,63,0)</f>
        <v>0</v>
      </c>
      <c r="AI20" s="36">
        <f>VLOOKUP($A20,[16]HISTODEC22!$A$6:$CA$36,64,0)</f>
        <v>0</v>
      </c>
      <c r="AJ20" s="36">
        <f>VLOOKUP($A20,[16]HISTODEC22!$A$6:$CA$36,65,0)</f>
        <v>0</v>
      </c>
    </row>
    <row r="21" spans="1:36" x14ac:dyDescent="0.25">
      <c r="A21" s="1" t="s">
        <v>50</v>
      </c>
      <c r="B21" s="1" t="str">
        <f>VLOOKUP(A21,[15]LISTADHERENT!$A$5:$J$45,3,0)</f>
        <v>NANGUEN MARTIN</v>
      </c>
      <c r="C21" s="5">
        <v>600000</v>
      </c>
      <c r="D21" s="43">
        <f>VLOOKUP(A21,'[17]EPARGNE 2023'!$A$5:$BF$47,4,0)</f>
        <v>51342.559108640766</v>
      </c>
      <c r="E21" s="36"/>
      <c r="F21" s="5">
        <f t="shared" si="0"/>
        <v>651342.55910864077</v>
      </c>
      <c r="G21" s="6">
        <v>41374.639910659302</v>
      </c>
      <c r="H21" s="6">
        <f t="shared" si="1"/>
        <v>692717.19901930005</v>
      </c>
      <c r="I21" s="36">
        <f>VLOOKUP($A21,[16]HISTODEC22!$A$6:$AQ$37,22,0)</f>
        <v>0</v>
      </c>
      <c r="J21" s="36">
        <f>VLOOKUP($A21,[16]HISTODEC22!$A$6:$AU$39,45,0)</f>
        <v>7000</v>
      </c>
      <c r="K21" s="6"/>
      <c r="L21" s="36">
        <f t="shared" si="2"/>
        <v>500</v>
      </c>
      <c r="M21" s="36">
        <f t="shared" si="3"/>
        <v>1000</v>
      </c>
      <c r="N21" s="36">
        <f t="shared" si="4"/>
        <v>2500</v>
      </c>
      <c r="O21" s="36">
        <f>VLOOKUP($A21,[16]HISTODEC22!$A$6:$AU$39,7,0)</f>
        <v>0</v>
      </c>
      <c r="P21" s="36">
        <f>VLOOKUP($A21,[16]HISTODEC22!$A$6:$AU$39,23,0)</f>
        <v>0</v>
      </c>
      <c r="Q21" s="36">
        <f>VLOOKUP($A21,[16]HISTODEC22!$A$6:$AU$39,46,0)</f>
        <v>0</v>
      </c>
      <c r="R21" s="36">
        <f>VLOOKUP($A21,[18]HISTODEC22!$A$6:$AU$39,26,0)</f>
        <v>500000</v>
      </c>
      <c r="S21" s="36">
        <f>VLOOKUP($A21,[18]HISTODEC22!$A$6:$BG$39,58,0)</f>
        <v>60000</v>
      </c>
      <c r="T21" s="36">
        <f>VLOOKUP($A21,[16]HISTODEC22!$A$6:$AU$39,28,0)</f>
        <v>0</v>
      </c>
      <c r="U21" s="36">
        <f>VLOOKUP($A21,[16]HISTODEC22!$A$6:$AU$39,19,0)</f>
        <v>0</v>
      </c>
      <c r="V21" s="36">
        <f>VLOOKUP($A21,[16]HISTODEC22!$A$6:$AU$39,20,0)</f>
        <v>0</v>
      </c>
      <c r="W21" s="36" t="str">
        <f>VLOOKUP($A21,[16]HISTODEC22!$A$6:$AU$39,27,0)</f>
        <v>BANQUE</v>
      </c>
      <c r="X21" s="36">
        <f>VLOOKUP($A21,[16]HISTODEC22!$A$6:$AU$39,33,0)</f>
        <v>0</v>
      </c>
      <c r="Y21" s="36">
        <f>VLOOKUP($A21,[16]HISTODEC22!$A$6:$BP$39,65,0)</f>
        <v>0</v>
      </c>
      <c r="Z21" s="36"/>
      <c r="AA21" s="36">
        <f>VLOOKUP($A21,[16]HISTODEC22!$A$6:$AU$39,43,0)</f>
        <v>0</v>
      </c>
      <c r="AB21" s="36">
        <f>VLOOKUP($A21,[16]HISTODEC22!$A$6:$AU$39,44,0)</f>
        <v>0</v>
      </c>
      <c r="AC21" s="36">
        <f>VLOOKUP($A21,[16]HISTODEC22!$A$6:$AU$39,47,0)</f>
        <v>0</v>
      </c>
      <c r="AD21" s="36">
        <f>VLOOKUP(A21,[16]HISTODEC22!$A$6:$BB$36,54,0)</f>
        <v>0</v>
      </c>
      <c r="AE21" s="36">
        <f>VLOOKUP($A21,[16]HISTODEC22!$A$6:$CA$36,60,0)</f>
        <v>0</v>
      </c>
      <c r="AF21" s="36">
        <f>VLOOKUP($A21,[16]HISTODEC22!$A$6:$CA$36,61,0)</f>
        <v>0</v>
      </c>
      <c r="AG21" s="36">
        <f>VLOOKUP($A21,[16]HISTODEC22!$A$6:$CA$36,62,0)</f>
        <v>0</v>
      </c>
      <c r="AH21" s="36">
        <f>VLOOKUP($A21,[16]HISTODEC22!$A$6:$CA$36,63,0)</f>
        <v>70000</v>
      </c>
      <c r="AI21" s="36">
        <f>VLOOKUP($A21,[16]HISTODEC22!$A$6:$CA$36,64,0)</f>
        <v>0</v>
      </c>
      <c r="AJ21" s="36">
        <f>VLOOKUP($A21,[16]HISTODEC22!$A$6:$CA$36,65,0)</f>
        <v>0</v>
      </c>
    </row>
    <row r="22" spans="1:36" x14ac:dyDescent="0.25">
      <c r="A22" s="1" t="s">
        <v>37</v>
      </c>
      <c r="B22" s="1" t="str">
        <f>VLOOKUP(A22,[15]LISTADHERENT!$A$5:$J$45,3,0)</f>
        <v>NANKAM APPOLINAIRE</v>
      </c>
      <c r="C22" s="5">
        <v>600000</v>
      </c>
      <c r="D22" s="43">
        <f>VLOOKUP(A22,'[17]EPARGNE 2023'!$A$5:$BF$47,4,0)</f>
        <v>140918.4930248888</v>
      </c>
      <c r="E22" s="36"/>
      <c r="F22" s="5">
        <f t="shared" si="0"/>
        <v>740918.4930248888</v>
      </c>
      <c r="G22" s="6">
        <v>47064.690343595321</v>
      </c>
      <c r="H22" s="6">
        <f t="shared" si="1"/>
        <v>787983.18336848414</v>
      </c>
      <c r="I22" s="36">
        <f>VLOOKUP($A22,[16]HISTODEC22!$A$6:$AQ$37,22,0)</f>
        <v>0</v>
      </c>
      <c r="J22" s="36">
        <f>VLOOKUP($A22,[16]HISTODEC22!$A$6:$AU$39,45,0)</f>
        <v>7000</v>
      </c>
      <c r="K22" s="6"/>
      <c r="L22" s="36">
        <f t="shared" si="2"/>
        <v>500</v>
      </c>
      <c r="M22" s="36">
        <f t="shared" si="3"/>
        <v>1000</v>
      </c>
      <c r="N22" s="36">
        <f t="shared" si="4"/>
        <v>2500</v>
      </c>
      <c r="O22" s="36">
        <f>VLOOKUP($A22,[16]HISTODEC22!$A$6:$AU$39,7,0)</f>
        <v>0</v>
      </c>
      <c r="P22" s="36">
        <f>VLOOKUP($A22,[16]HISTODEC22!$A$6:$AU$39,23,0)</f>
        <v>0</v>
      </c>
      <c r="Q22" s="36">
        <f>VLOOKUP($A22,[16]HISTODEC22!$A$6:$AU$39,46,0)</f>
        <v>0</v>
      </c>
      <c r="R22" s="36">
        <f>VLOOKUP($A22,[18]HISTODEC22!$A$6:$AU$39,26,0)</f>
        <v>1000000</v>
      </c>
      <c r="S22" s="36">
        <f>VLOOKUP($A22,[18]HISTODEC22!$A$6:$BG$39,58,0)</f>
        <v>120000</v>
      </c>
      <c r="T22" s="36">
        <f>VLOOKUP($A22,[16]HISTODEC22!$A$6:$AU$39,28,0)</f>
        <v>0</v>
      </c>
      <c r="U22" s="36">
        <f>VLOOKUP($A22,[16]HISTODEC22!$A$6:$AU$39,19,0)</f>
        <v>1000000</v>
      </c>
      <c r="V22" s="36" t="str">
        <f>VLOOKUP($A22,[16]HISTODEC22!$A$6:$AU$39,20,0)</f>
        <v>BANQUE</v>
      </c>
      <c r="W22" s="36" t="str">
        <f>VLOOKUP($A22,[16]HISTODEC22!$A$6:$AU$39,27,0)</f>
        <v>BANQUE</v>
      </c>
      <c r="X22" s="36">
        <f>VLOOKUP($A22,[16]HISTODEC22!$A$6:$AU$39,33,0)</f>
        <v>0</v>
      </c>
      <c r="Y22" s="36">
        <f>VLOOKUP($A22,[16]HISTODEC22!$A$6:$BP$39,65,0)</f>
        <v>0</v>
      </c>
      <c r="Z22" s="36"/>
      <c r="AA22" s="36">
        <f>VLOOKUP($A22,[16]HISTODEC22!$A$6:$AU$39,43,0)</f>
        <v>0</v>
      </c>
      <c r="AB22" s="36">
        <f>VLOOKUP($A22,[16]HISTODEC22!$A$6:$AU$39,44,0)</f>
        <v>0</v>
      </c>
      <c r="AC22" s="36">
        <f>VLOOKUP($A22,[16]HISTODEC22!$A$6:$AU$39,47,0)</f>
        <v>0</v>
      </c>
      <c r="AD22" s="36">
        <f>VLOOKUP(A22,[16]HISTODEC22!$A$6:$BB$36,54,0)</f>
        <v>0</v>
      </c>
      <c r="AE22" s="36">
        <f>VLOOKUP($A22,[16]HISTODEC22!$A$6:$CA$36,60,0)</f>
        <v>0</v>
      </c>
      <c r="AF22" s="36">
        <f>VLOOKUP($A22,[16]HISTODEC22!$A$6:$CA$36,61,0)</f>
        <v>0</v>
      </c>
      <c r="AG22" s="36">
        <f>VLOOKUP($A22,[16]HISTODEC22!$A$6:$CA$36,62,0)</f>
        <v>0</v>
      </c>
      <c r="AH22" s="36">
        <f>VLOOKUP($A22,[16]HISTODEC22!$A$6:$CA$36,63,0)</f>
        <v>0</v>
      </c>
      <c r="AI22" s="36">
        <f>VLOOKUP($A22,[16]HISTODEC22!$A$6:$CA$36,64,0)</f>
        <v>0</v>
      </c>
      <c r="AJ22" s="36">
        <f>VLOOKUP($A22,[16]HISTODEC22!$A$6:$CA$36,65,0)</f>
        <v>0</v>
      </c>
    </row>
    <row r="23" spans="1:36" x14ac:dyDescent="0.25">
      <c r="A23" s="1" t="s">
        <v>38</v>
      </c>
      <c r="B23" s="1" t="str">
        <f>VLOOKUP(A23,[15]LISTADHERENT!$A$5:$J$45,3,0)</f>
        <v>NDJOMO ETIENNE</v>
      </c>
      <c r="C23" s="5">
        <v>600000</v>
      </c>
      <c r="D23" s="43">
        <f>VLOOKUP(A23,'[17]EPARGNE 2023'!$A$5:$BF$47,4,0)</f>
        <v>283210.4580118584</v>
      </c>
      <c r="E23" s="36"/>
      <c r="F23" s="5">
        <f t="shared" si="0"/>
        <v>883210.4580118584</v>
      </c>
      <c r="G23" s="6">
        <v>56103.373185958211</v>
      </c>
      <c r="H23" s="6">
        <f t="shared" si="1"/>
        <v>939313.83119781665</v>
      </c>
      <c r="I23" s="36">
        <f>VLOOKUP($A23,[16]HISTODEC22!$A$6:$AQ$37,22,0)</f>
        <v>0</v>
      </c>
      <c r="J23" s="36">
        <f>VLOOKUP($A23,[16]HISTODEC22!$A$6:$AU$39,45,0)</f>
        <v>27000</v>
      </c>
      <c r="K23" s="6"/>
      <c r="L23" s="36">
        <f t="shared" si="2"/>
        <v>500</v>
      </c>
      <c r="M23" s="36">
        <f t="shared" si="3"/>
        <v>1000</v>
      </c>
      <c r="N23" s="36">
        <f t="shared" si="4"/>
        <v>2500</v>
      </c>
      <c r="O23" s="36">
        <f>VLOOKUP($A23,[16]HISTODEC22!$A$6:$AU$39,7,0)</f>
        <v>0</v>
      </c>
      <c r="P23" s="36">
        <f>VLOOKUP($A23,[16]HISTODEC22!$A$6:$AU$39,23,0)</f>
        <v>0</v>
      </c>
      <c r="Q23" s="36">
        <f>VLOOKUP($A23,[16]HISTODEC22!$A$6:$AU$39,46,0)</f>
        <v>0</v>
      </c>
      <c r="R23" s="36">
        <f>VLOOKUP($A23,[18]HISTODEC22!$A$6:$AU$39,26,0)</f>
        <v>600000</v>
      </c>
      <c r="S23" s="36">
        <f>VLOOKUP($A23,[18]HISTODEC22!$A$6:$BG$39,58,0)</f>
        <v>48000</v>
      </c>
      <c r="T23" s="36">
        <f>VLOOKUP($A23,[16]HISTODEC22!$A$6:$AU$39,28,0)</f>
        <v>0</v>
      </c>
      <c r="U23" s="36">
        <f>VLOOKUP($A23,[16]HISTODEC22!$A$6:$AU$39,19,0)</f>
        <v>530000</v>
      </c>
      <c r="V23" s="36" t="str">
        <f>VLOOKUP($A23,[16]HISTODEC22!$A$6:$AU$39,20,0)</f>
        <v>BANQUE</v>
      </c>
      <c r="W23" s="36" t="str">
        <f>VLOOKUP($A23,[16]HISTODEC22!$A$6:$AU$39,27,0)</f>
        <v>BANQUE</v>
      </c>
      <c r="X23" s="36">
        <f>VLOOKUP($A23,[16]HISTODEC22!$A$6:$AU$39,33,0)</f>
        <v>0</v>
      </c>
      <c r="Y23" s="36">
        <f>VLOOKUP($A23,[16]HISTODEC22!$A$6:$BP$39,65,0)</f>
        <v>0</v>
      </c>
      <c r="Z23" s="36"/>
      <c r="AA23" s="36">
        <f>VLOOKUP($A23,[16]HISTODEC22!$A$6:$AU$39,43,0)</f>
        <v>0</v>
      </c>
      <c r="AB23" s="36">
        <f>VLOOKUP($A23,[16]HISTODEC22!$A$6:$AU$39,44,0)</f>
        <v>0</v>
      </c>
      <c r="AC23" s="36">
        <f>VLOOKUP($A23,[16]HISTODEC22!$A$6:$AU$39,47,0)</f>
        <v>0</v>
      </c>
      <c r="AD23" s="36">
        <f>VLOOKUP(A23,[16]HISTODEC22!$A$6:$BB$36,54,0)</f>
        <v>0</v>
      </c>
      <c r="AE23" s="36">
        <f>VLOOKUP($A23,[16]HISTODEC22!$A$6:$CA$36,60,0)</f>
        <v>0</v>
      </c>
      <c r="AF23" s="36">
        <f>VLOOKUP($A23,[16]HISTODEC22!$A$6:$CA$36,61,0)</f>
        <v>0</v>
      </c>
      <c r="AG23" s="36">
        <f>VLOOKUP($A23,[16]HISTODEC22!$A$6:$CA$36,62,0)</f>
        <v>0</v>
      </c>
      <c r="AH23" s="36">
        <f>VLOOKUP($A23,[16]HISTODEC22!$A$6:$CA$36,63,0)</f>
        <v>0</v>
      </c>
      <c r="AI23" s="36">
        <f>VLOOKUP($A23,[16]HISTODEC22!$A$6:$CA$36,64,0)</f>
        <v>0</v>
      </c>
      <c r="AJ23" s="36">
        <f>VLOOKUP($A23,[16]HISTODEC22!$A$6:$CA$36,65,0)</f>
        <v>0</v>
      </c>
    </row>
    <row r="24" spans="1:36" x14ac:dyDescent="0.25">
      <c r="A24" s="1" t="s">
        <v>39</v>
      </c>
      <c r="B24" s="1" t="str">
        <f>VLOOKUP(A24,[15]LISTADHERENT!$A$5:$J$45,3,0)</f>
        <v>NGONDIEP CLAUDE</v>
      </c>
      <c r="C24" s="5">
        <v>600000</v>
      </c>
      <c r="D24" s="43">
        <f>VLOOKUP(A24,'[17]EPARGNE 2023'!$A$5:$BF$47,4,0)</f>
        <v>39787.038443138823</v>
      </c>
      <c r="E24" s="36"/>
      <c r="F24" s="5">
        <f t="shared" si="0"/>
        <v>639787.03844313882</v>
      </c>
      <c r="G24" s="6">
        <v>40640.609100251932</v>
      </c>
      <c r="H24" s="6">
        <f t="shared" si="1"/>
        <v>680427.64754339075</v>
      </c>
      <c r="I24" s="36">
        <f>VLOOKUP($A24,[16]HISTODEC22!$A$6:$AQ$37,22,0)</f>
        <v>0</v>
      </c>
      <c r="J24" s="36">
        <f>VLOOKUP($A24,[16]HISTODEC22!$A$6:$AU$39,45,0)</f>
        <v>42000</v>
      </c>
      <c r="K24" s="6"/>
      <c r="L24" s="36">
        <f t="shared" si="2"/>
        <v>500</v>
      </c>
      <c r="M24" s="36">
        <f t="shared" si="3"/>
        <v>1000</v>
      </c>
      <c r="N24" s="36">
        <f t="shared" si="4"/>
        <v>2500</v>
      </c>
      <c r="O24" s="36">
        <f>VLOOKUP($A24,[16]HISTODEC22!$A$6:$AU$39,7,0)</f>
        <v>0</v>
      </c>
      <c r="P24" s="36">
        <f>VLOOKUP($A24,[16]HISTODEC22!$A$6:$AU$39,23,0)</f>
        <v>0</v>
      </c>
      <c r="Q24" s="36">
        <f>VLOOKUP($A24,[16]HISTODEC22!$A$6:$AU$39,46,0)</f>
        <v>0</v>
      </c>
      <c r="R24" s="36">
        <f>VLOOKUP($A24,[18]HISTODEC22!$A$6:$AU$39,26,0)</f>
        <v>1000000</v>
      </c>
      <c r="S24" s="36">
        <f>VLOOKUP($A24,[18]HISTODEC22!$A$6:$BG$39,58,0)</f>
        <v>120000</v>
      </c>
      <c r="T24" s="36">
        <f>VLOOKUP($A24,[16]HISTODEC22!$A$6:$AU$39,28,0)</f>
        <v>0</v>
      </c>
      <c r="U24" s="36">
        <f>VLOOKUP($A24,[16]HISTODEC22!$A$6:$AU$39,19,0)</f>
        <v>1000000</v>
      </c>
      <c r="V24" s="36" t="str">
        <f>VLOOKUP($A24,[16]HISTODEC22!$A$6:$AU$39,20,0)</f>
        <v>BANQUE</v>
      </c>
      <c r="W24" s="36" t="str">
        <f>VLOOKUP($A24,[16]HISTODEC22!$A$6:$AU$39,27,0)</f>
        <v>BANQUE</v>
      </c>
      <c r="X24" s="36">
        <f>VLOOKUP($A24,[16]HISTODEC22!$A$6:$AU$39,33,0)</f>
        <v>0</v>
      </c>
      <c r="Y24" s="36">
        <f>VLOOKUP($A24,[16]HISTODEC22!$A$6:$BP$39,65,0)</f>
        <v>0</v>
      </c>
      <c r="Z24" s="36"/>
      <c r="AA24" s="36">
        <f>VLOOKUP($A24,[16]HISTODEC22!$A$6:$AU$39,43,0)</f>
        <v>0</v>
      </c>
      <c r="AB24" s="36">
        <f>VLOOKUP($A24,[16]HISTODEC22!$A$6:$AU$39,44,0)</f>
        <v>0</v>
      </c>
      <c r="AC24" s="36">
        <f>VLOOKUP($A24,[16]HISTODEC22!$A$6:$AU$39,47,0)</f>
        <v>0</v>
      </c>
      <c r="AD24" s="36">
        <f>VLOOKUP(A24,[16]HISTODEC22!$A$6:$BB$36,54,0)</f>
        <v>0</v>
      </c>
      <c r="AE24" s="36">
        <f>VLOOKUP($A24,[16]HISTODEC22!$A$6:$CA$36,60,0)</f>
        <v>0</v>
      </c>
      <c r="AF24" s="36">
        <f>VLOOKUP($A24,[16]HISTODEC22!$A$6:$CA$36,61,0)</f>
        <v>0</v>
      </c>
      <c r="AG24" s="36">
        <f>VLOOKUP($A24,[16]HISTODEC22!$A$6:$CA$36,62,0)</f>
        <v>0</v>
      </c>
      <c r="AH24" s="36">
        <f>VLOOKUP($A24,[16]HISTODEC22!$A$6:$CA$36,63,0)</f>
        <v>0</v>
      </c>
      <c r="AI24" s="36">
        <f>VLOOKUP($A24,[16]HISTODEC22!$A$6:$CA$36,64,0)</f>
        <v>0</v>
      </c>
      <c r="AJ24" s="36">
        <f>VLOOKUP($A24,[16]HISTODEC22!$A$6:$CA$36,65,0)</f>
        <v>0</v>
      </c>
    </row>
    <row r="25" spans="1:36" x14ac:dyDescent="0.25">
      <c r="A25" s="1" t="s">
        <v>41</v>
      </c>
      <c r="B25" s="1" t="str">
        <f>VLOOKUP(A25,[15]LISTADHERENT!$A$5:$J$45,3,0)</f>
        <v>NGUIEMEGNI MATHIEU BLAISE</v>
      </c>
      <c r="C25" s="5">
        <v>600000</v>
      </c>
      <c r="D25" s="43">
        <f>VLOOKUP(A25,'[17]EPARGNE 2023'!$A$5:$BF$47,4,0)</f>
        <v>13695.736143450369</v>
      </c>
      <c r="E25" s="36"/>
      <c r="F25" s="5">
        <f t="shared" si="0"/>
        <v>613695.73614345037</v>
      </c>
      <c r="G25" s="6">
        <v>38983.235077392012</v>
      </c>
      <c r="H25" s="6">
        <f t="shared" si="1"/>
        <v>652678.97122084233</v>
      </c>
      <c r="I25" s="36">
        <f>VLOOKUP($A25,[16]HISTODEC22!$A$6:$AQ$37,22,0)</f>
        <v>0</v>
      </c>
      <c r="J25" s="36">
        <f>VLOOKUP($A25,[16]HISTODEC22!$A$6:$AU$39,45,0)</f>
        <v>7000</v>
      </c>
      <c r="K25" s="6"/>
      <c r="L25" s="36">
        <f t="shared" si="2"/>
        <v>500</v>
      </c>
      <c r="M25" s="36">
        <f t="shared" si="3"/>
        <v>1000</v>
      </c>
      <c r="N25" s="36">
        <f t="shared" si="4"/>
        <v>2500</v>
      </c>
      <c r="O25" s="36">
        <f>VLOOKUP($A25,[16]HISTODEC22!$A$6:$AU$39,7,0)</f>
        <v>0</v>
      </c>
      <c r="P25" s="36">
        <f>VLOOKUP($A25,[16]HISTODEC22!$A$6:$AU$39,23,0)</f>
        <v>0</v>
      </c>
      <c r="Q25" s="36">
        <f>VLOOKUP($A25,[16]HISTODEC22!$A$6:$AU$39,46,0)</f>
        <v>0</v>
      </c>
      <c r="R25" s="36">
        <f>VLOOKUP($A25,[18]HISTODEC22!$A$6:$AU$39,26,0)</f>
        <v>1000000</v>
      </c>
      <c r="S25" s="36">
        <f>VLOOKUP($A25,[18]HISTODEC22!$A$6:$BG$39,58,0)</f>
        <v>120000</v>
      </c>
      <c r="T25" s="36">
        <f>VLOOKUP($A25,[16]HISTODEC22!$A$6:$AU$39,28,0)</f>
        <v>0</v>
      </c>
      <c r="U25" s="36">
        <f>VLOOKUP($A25,[16]HISTODEC22!$A$6:$AU$39,19,0)</f>
        <v>1000000</v>
      </c>
      <c r="V25" s="36" t="str">
        <f>VLOOKUP($A25,[16]HISTODEC22!$A$6:$AU$39,20,0)</f>
        <v>BANQUE</v>
      </c>
      <c r="W25" s="36" t="str">
        <f>VLOOKUP($A25,[16]HISTODEC22!$A$6:$AU$39,27,0)</f>
        <v>BANQUE</v>
      </c>
      <c r="X25" s="36">
        <f>VLOOKUP($A25,[16]HISTODEC22!$A$6:$AU$39,33,0)</f>
        <v>0</v>
      </c>
      <c r="Y25" s="36">
        <f>VLOOKUP($A25,[16]HISTODEC22!$A$6:$BP$39,65,0)</f>
        <v>0</v>
      </c>
      <c r="Z25" s="36"/>
      <c r="AA25" s="36">
        <f>VLOOKUP($A25,[16]HISTODEC22!$A$6:$AU$39,43,0)</f>
        <v>0</v>
      </c>
      <c r="AB25" s="36">
        <f>VLOOKUP($A25,[16]HISTODEC22!$A$6:$AU$39,44,0)</f>
        <v>0</v>
      </c>
      <c r="AC25" s="36">
        <f>VLOOKUP($A25,[16]HISTODEC22!$A$6:$AU$39,47,0)</f>
        <v>0</v>
      </c>
      <c r="AD25" s="36">
        <f>VLOOKUP(A25,[16]HISTODEC22!$A$6:$BB$36,54,0)</f>
        <v>0</v>
      </c>
      <c r="AE25" s="36">
        <f>VLOOKUP($A25,[16]HISTODEC22!$A$6:$CA$36,60,0)</f>
        <v>0</v>
      </c>
      <c r="AF25" s="36">
        <f>VLOOKUP($A25,[16]HISTODEC22!$A$6:$CA$36,61,0)</f>
        <v>0</v>
      </c>
      <c r="AG25" s="36">
        <f>VLOOKUP($A25,[16]HISTODEC22!$A$6:$CA$36,62,0)</f>
        <v>0</v>
      </c>
      <c r="AH25" s="36">
        <f>VLOOKUP($A25,[16]HISTODEC22!$A$6:$CA$36,63,0)</f>
        <v>0</v>
      </c>
      <c r="AI25" s="36">
        <f>VLOOKUP($A25,[16]HISTODEC22!$A$6:$CA$36,64,0)</f>
        <v>0</v>
      </c>
      <c r="AJ25" s="36">
        <f>VLOOKUP($A25,[16]HISTODEC22!$A$6:$CA$36,65,0)</f>
        <v>0</v>
      </c>
    </row>
    <row r="26" spans="1:36" x14ac:dyDescent="0.25">
      <c r="A26" s="1" t="s">
        <v>43</v>
      </c>
      <c r="B26" s="1" t="str">
        <f>VLOOKUP(A26,[15]LISTADHERENT!$A$5:$J$45,3,0)</f>
        <v>NKAMGANG JUSTIN DEJOLIE</v>
      </c>
      <c r="C26" s="5">
        <v>600000</v>
      </c>
      <c r="D26" s="43">
        <f>VLOOKUP(A26,'[17]EPARGNE 2023'!$A$5:$BF$47,4,0)</f>
        <v>575.28052728832699</v>
      </c>
      <c r="E26" s="36"/>
      <c r="F26" s="5">
        <f t="shared" si="0"/>
        <v>600575.28052728833</v>
      </c>
      <c r="G26" s="6">
        <v>38149.796330006327</v>
      </c>
      <c r="H26" s="6">
        <f t="shared" si="1"/>
        <v>638725.07685729465</v>
      </c>
      <c r="I26" s="36">
        <f>VLOOKUP($A26,[16]HISTODEC22!$A$6:$AQ$37,22,0)</f>
        <v>0</v>
      </c>
      <c r="J26" s="36">
        <f>VLOOKUP($A26,[16]HISTODEC22!$A$6:$AU$39,45,0)</f>
        <v>7000</v>
      </c>
      <c r="K26" s="6"/>
      <c r="L26" s="36">
        <f t="shared" si="2"/>
        <v>500</v>
      </c>
      <c r="M26" s="36">
        <f t="shared" si="3"/>
        <v>1000</v>
      </c>
      <c r="N26" s="36">
        <f t="shared" si="4"/>
        <v>2500</v>
      </c>
      <c r="O26" s="36">
        <f>VLOOKUP($A26,[16]HISTODEC22!$A$6:$AU$39,7,0)</f>
        <v>0</v>
      </c>
      <c r="P26" s="36">
        <f>VLOOKUP($A26,[16]HISTODEC22!$A$6:$AU$39,23,0)</f>
        <v>0</v>
      </c>
      <c r="Q26" s="36">
        <f>VLOOKUP($A26,[16]HISTODEC22!$A$6:$AU$39,46,0)</f>
        <v>0</v>
      </c>
      <c r="R26" s="36">
        <f>VLOOKUP($A26,[18]HISTODEC22!$A$6:$AU$39,26,0)</f>
        <v>1000000</v>
      </c>
      <c r="S26" s="36">
        <f>VLOOKUP($A26,[18]HISTODEC22!$A$6:$BG$39,58,0)</f>
        <v>20000</v>
      </c>
      <c r="T26" s="36">
        <f>VLOOKUP($A26,[16]HISTODEC22!$A$6:$AU$39,28,0)</f>
        <v>0</v>
      </c>
      <c r="U26" s="36">
        <f>VLOOKUP($A26,[16]HISTODEC22!$A$6:$AU$39,19,0)</f>
        <v>1000000</v>
      </c>
      <c r="V26" s="36" t="str">
        <f>VLOOKUP($A26,[16]HISTODEC22!$A$6:$AU$39,20,0)</f>
        <v>BANQUE</v>
      </c>
      <c r="W26" s="36" t="str">
        <f>VLOOKUP($A26,[16]HISTODEC22!$A$6:$AU$39,27,0)</f>
        <v>BANQUE</v>
      </c>
      <c r="X26" s="36">
        <f>VLOOKUP($A26,[16]HISTODEC22!$A$6:$AU$39,33,0)</f>
        <v>0</v>
      </c>
      <c r="Y26" s="36">
        <f>VLOOKUP($A26,[16]HISTODEC22!$A$6:$BP$39,65,0)</f>
        <v>0</v>
      </c>
      <c r="Z26" s="36"/>
      <c r="AA26" s="36">
        <f>VLOOKUP($A26,[16]HISTODEC22!$A$6:$AU$39,43,0)</f>
        <v>0</v>
      </c>
      <c r="AB26" s="36">
        <f>VLOOKUP($A26,[16]HISTODEC22!$A$6:$AU$39,44,0)</f>
        <v>0</v>
      </c>
      <c r="AC26" s="36">
        <f>VLOOKUP($A26,[16]HISTODEC22!$A$6:$AU$39,47,0)</f>
        <v>0</v>
      </c>
      <c r="AD26" s="36">
        <f>VLOOKUP(A26,[16]HISTODEC22!$A$6:$BB$36,54,0)</f>
        <v>0</v>
      </c>
      <c r="AE26" s="36">
        <f>VLOOKUP($A26,[16]HISTODEC22!$A$6:$CA$36,60,0)</f>
        <v>0</v>
      </c>
      <c r="AF26" s="36">
        <f>VLOOKUP($A26,[16]HISTODEC22!$A$6:$CA$36,61,0)</f>
        <v>0</v>
      </c>
      <c r="AG26" s="36">
        <f>VLOOKUP($A26,[16]HISTODEC22!$A$6:$CA$36,62,0)</f>
        <v>0</v>
      </c>
      <c r="AH26" s="36">
        <f>VLOOKUP($A26,[16]HISTODEC22!$A$6:$CA$36,63,0)</f>
        <v>0</v>
      </c>
      <c r="AI26" s="36">
        <f>VLOOKUP($A26,[16]HISTODEC22!$A$6:$CA$36,64,0)</f>
        <v>0</v>
      </c>
      <c r="AJ26" s="36">
        <f>VLOOKUP($A26,[16]HISTODEC22!$A$6:$CA$36,65,0)</f>
        <v>0</v>
      </c>
    </row>
    <row r="27" spans="1:36" x14ac:dyDescent="0.25">
      <c r="A27" s="1" t="s">
        <v>172</v>
      </c>
      <c r="B27" s="1" t="str">
        <f>VLOOKUP(A27,[15]LISTADHERENT!$A$5:$J$45,3,0)</f>
        <v>NOUBE ETIENNE</v>
      </c>
      <c r="C27" s="5">
        <v>0</v>
      </c>
      <c r="D27" s="43">
        <f>VLOOKUP(A27,'[17]EPARGNE 2023'!$A$5:$BF$47,4,0)</f>
        <v>0</v>
      </c>
      <c r="E27" s="36"/>
      <c r="F27" s="5">
        <f t="shared" si="0"/>
        <v>0</v>
      </c>
      <c r="G27" s="6">
        <v>0</v>
      </c>
      <c r="H27" s="6">
        <f t="shared" si="1"/>
        <v>0</v>
      </c>
      <c r="I27" s="36"/>
      <c r="J27" s="36"/>
      <c r="K27" s="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 x14ac:dyDescent="0.25">
      <c r="A28" s="1" t="s">
        <v>45</v>
      </c>
      <c r="B28" s="1" t="str">
        <f>VLOOKUP(A28,[15]LISTADHERENT!$A$5:$J$45,3,0)</f>
        <v>PATEGO NJOSSU GUSTAVE</v>
      </c>
      <c r="C28" s="5">
        <v>600000</v>
      </c>
      <c r="D28" s="43">
        <f>VLOOKUP(A28,'[17]EPARGNE 2023'!$A$5:$BF$47,4,0)</f>
        <v>21451.962695348077</v>
      </c>
      <c r="E28" s="36"/>
      <c r="F28" s="5">
        <f t="shared" si="0"/>
        <v>621451.96269534808</v>
      </c>
      <c r="G28" s="6">
        <v>39475.926789552548</v>
      </c>
      <c r="H28" s="6">
        <f t="shared" si="1"/>
        <v>660927.88948490063</v>
      </c>
      <c r="I28" s="36">
        <f>VLOOKUP($A28,[16]HISTODEC22!$A$6:$AQ$37,22,0)</f>
        <v>0</v>
      </c>
      <c r="J28" s="36">
        <f>VLOOKUP($A28,[16]HISTODEC22!$A$6:$AU$39,45,0)</f>
        <v>7000</v>
      </c>
      <c r="K28" s="6"/>
      <c r="L28" s="36">
        <f t="shared" si="2"/>
        <v>500</v>
      </c>
      <c r="M28" s="36">
        <f t="shared" si="3"/>
        <v>1000</v>
      </c>
      <c r="N28" s="36">
        <f t="shared" si="4"/>
        <v>2500</v>
      </c>
      <c r="O28" s="36">
        <f>VLOOKUP($A28,[16]HISTODEC22!$A$6:$AU$39,7,0)</f>
        <v>0</v>
      </c>
      <c r="P28" s="36">
        <f>VLOOKUP($A28,[16]HISTODEC22!$A$6:$AU$39,23,0)</f>
        <v>0</v>
      </c>
      <c r="Q28" s="36">
        <f>VLOOKUP($A28,[16]HISTODEC22!$A$6:$AU$39,46,0)</f>
        <v>0</v>
      </c>
      <c r="R28" s="36">
        <f>VLOOKUP($A28,[18]HISTODEC22!$A$6:$AU$39,26,0)</f>
        <v>0</v>
      </c>
      <c r="S28" s="36">
        <f>VLOOKUP($A28,[18]HISTODEC22!$A$6:$BG$39,58,0)</f>
        <v>0</v>
      </c>
      <c r="T28" s="36">
        <f>VLOOKUP($A28,[16]HISTODEC22!$A$6:$AU$39,28,0)</f>
        <v>0</v>
      </c>
      <c r="U28" s="36">
        <f>VLOOKUP($A28,[16]HISTODEC22!$A$6:$AU$39,19,0)</f>
        <v>0</v>
      </c>
      <c r="V28" s="36">
        <f>VLOOKUP($A28,[16]HISTODEC22!$A$6:$AU$39,20,0)</f>
        <v>0</v>
      </c>
      <c r="W28" s="36">
        <f>VLOOKUP($A28,[16]HISTODEC22!$A$6:$AU$39,27,0)</f>
        <v>0</v>
      </c>
      <c r="X28" s="36">
        <f>VLOOKUP($A28,[16]HISTODEC22!$A$6:$AU$39,33,0)</f>
        <v>0</v>
      </c>
      <c r="Y28" s="36">
        <f>VLOOKUP($A28,[16]HISTODEC22!$A$6:$BP$39,65,0)</f>
        <v>0</v>
      </c>
      <c r="Z28" s="36"/>
      <c r="AA28" s="36">
        <f>VLOOKUP($A28,[16]HISTODEC22!$A$6:$AU$39,43,0)</f>
        <v>0</v>
      </c>
      <c r="AB28" s="36">
        <f>VLOOKUP($A28,[16]HISTODEC22!$A$6:$AU$39,44,0)</f>
        <v>0</v>
      </c>
      <c r="AC28" s="36">
        <f>VLOOKUP($A28,[16]HISTODEC22!$A$6:$AU$39,47,0)</f>
        <v>0</v>
      </c>
      <c r="AD28" s="36">
        <f>VLOOKUP(A28,[16]HISTODEC22!$A$6:$BB$36,54,0)</f>
        <v>0</v>
      </c>
      <c r="AE28" s="36">
        <f>VLOOKUP($A28,[16]HISTODEC22!$A$6:$CA$36,60,0)</f>
        <v>0</v>
      </c>
      <c r="AF28" s="36">
        <f>VLOOKUP($A28,[16]HISTODEC22!$A$6:$CA$36,61,0)</f>
        <v>0</v>
      </c>
      <c r="AG28" s="36">
        <f>VLOOKUP($A28,[16]HISTODEC22!$A$6:$CA$36,62,0)</f>
        <v>0</v>
      </c>
      <c r="AH28" s="36">
        <f>VLOOKUP($A28,[16]HISTODEC22!$A$6:$CA$36,63,0)</f>
        <v>0</v>
      </c>
      <c r="AI28" s="36">
        <f>VLOOKUP($A28,[16]HISTODEC22!$A$6:$CA$36,64,0)</f>
        <v>0</v>
      </c>
      <c r="AJ28" s="36">
        <f>VLOOKUP($A28,[16]HISTODEC22!$A$6:$CA$36,65,0)</f>
        <v>0</v>
      </c>
    </row>
    <row r="29" spans="1:36" x14ac:dyDescent="0.25">
      <c r="A29" s="1" t="s">
        <v>312</v>
      </c>
      <c r="B29" s="1" t="str">
        <f>VLOOKUP(A29,[15]LISTADHERENT!$A$5:$J$45,3,0)</f>
        <v>SEUMO POLYCARPE</v>
      </c>
      <c r="C29" s="5">
        <v>0</v>
      </c>
      <c r="D29" s="43">
        <f>VLOOKUP(A29,'[17]EPARGNE 2023'!$A$5:$BF$47,4,0)</f>
        <v>0</v>
      </c>
      <c r="E29" s="36"/>
      <c r="F29" s="5">
        <f t="shared" si="0"/>
        <v>0</v>
      </c>
      <c r="G29" s="6">
        <v>0</v>
      </c>
      <c r="H29" s="6">
        <f t="shared" si="1"/>
        <v>0</v>
      </c>
      <c r="I29" s="36"/>
      <c r="J29" s="36"/>
      <c r="K29" s="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1:36" x14ac:dyDescent="0.25">
      <c r="A30" s="1" t="s">
        <v>81</v>
      </c>
      <c r="B30" s="1" t="str">
        <f>VLOOKUP(A30,[15]LISTADHERENT!$A$5:$J$45,3,0)</f>
        <v>SIME BRICE</v>
      </c>
      <c r="C30" s="5">
        <v>600000</v>
      </c>
      <c r="D30" s="43">
        <f>VLOOKUP(A30,'[17]EPARGNE 2023'!$A$5:$BF$47,4,0)</f>
        <v>200752.48017057346</v>
      </c>
      <c r="E30" s="36"/>
      <c r="F30" s="5">
        <f t="shared" si="0"/>
        <v>800752.48017057346</v>
      </c>
      <c r="G30" s="6">
        <v>50865.470191237371</v>
      </c>
      <c r="H30" s="6">
        <f t="shared" si="1"/>
        <v>851617.95036181086</v>
      </c>
      <c r="I30" s="36">
        <f>VLOOKUP($A30,[16]HISTODEC22!$A$6:$AQ$37,22,0)</f>
        <v>0</v>
      </c>
      <c r="J30" s="36">
        <f>VLOOKUP($A30,[16]HISTODEC22!$A$6:$AU$39,45,0)</f>
        <v>7000</v>
      </c>
      <c r="K30" s="6"/>
      <c r="L30" s="36">
        <f t="shared" si="2"/>
        <v>500</v>
      </c>
      <c r="M30" s="36">
        <f t="shared" si="3"/>
        <v>1000</v>
      </c>
      <c r="N30" s="36">
        <f t="shared" si="4"/>
        <v>2500</v>
      </c>
      <c r="O30" s="36">
        <f>VLOOKUP($A30,[16]HISTODEC22!$A$6:$AU$39,7,0)</f>
        <v>0</v>
      </c>
      <c r="P30" s="36">
        <f>VLOOKUP($A30,[16]HISTODEC22!$A$6:$AU$39,23,0)</f>
        <v>0</v>
      </c>
      <c r="Q30" s="36">
        <f>VLOOKUP($A30,[16]HISTODEC22!$A$6:$AU$39,46,0)</f>
        <v>0</v>
      </c>
      <c r="R30" s="36">
        <f>VLOOKUP($A30,[18]HISTODEC22!$A$6:$AU$39,26,0)</f>
        <v>0</v>
      </c>
      <c r="S30" s="36">
        <f>VLOOKUP($A30,[18]HISTODEC22!$A$6:$BG$39,58,0)</f>
        <v>0</v>
      </c>
      <c r="T30" s="36">
        <f>VLOOKUP($A30,[16]HISTODEC22!$A$6:$AU$39,28,0)</f>
        <v>0</v>
      </c>
      <c r="U30" s="36">
        <f>VLOOKUP($A30,[16]HISTODEC22!$A$6:$AU$39,19,0)</f>
        <v>0</v>
      </c>
      <c r="V30" s="36">
        <f>VLOOKUP($A30,[16]HISTODEC22!$A$6:$AU$39,20,0)</f>
        <v>0</v>
      </c>
      <c r="W30" s="36">
        <f>VLOOKUP($A30,[16]HISTODEC22!$A$6:$AU$39,27,0)</f>
        <v>0</v>
      </c>
      <c r="X30" s="36">
        <f>VLOOKUP($A30,[16]HISTODEC22!$A$6:$AU$39,33,0)</f>
        <v>0</v>
      </c>
      <c r="Y30" s="36">
        <f>VLOOKUP($A30,[16]HISTODEC22!$A$6:$BP$39,65,0)</f>
        <v>0</v>
      </c>
      <c r="Z30" s="36"/>
      <c r="AA30" s="36">
        <f>VLOOKUP($A30,[16]HISTODEC22!$A$6:$AU$39,43,0)</f>
        <v>0</v>
      </c>
      <c r="AB30" s="36">
        <f>VLOOKUP($A30,[16]HISTODEC22!$A$6:$AU$39,44,0)</f>
        <v>0</v>
      </c>
      <c r="AC30" s="36">
        <f>VLOOKUP($A30,[16]HISTODEC22!$A$6:$AU$39,47,0)</f>
        <v>0</v>
      </c>
      <c r="AD30" s="36">
        <f>VLOOKUP(A30,[16]HISTODEC22!$A$6:$BB$36,54,0)</f>
        <v>0</v>
      </c>
      <c r="AE30" s="36">
        <f>VLOOKUP($A30,[16]HISTODEC22!$A$6:$CA$36,60,0)</f>
        <v>0</v>
      </c>
      <c r="AF30" s="36">
        <f>VLOOKUP($A30,[16]HISTODEC22!$A$6:$CA$36,61,0)</f>
        <v>0</v>
      </c>
      <c r="AG30" s="36">
        <f>VLOOKUP($A30,[16]HISTODEC22!$A$6:$CA$36,62,0)</f>
        <v>0</v>
      </c>
      <c r="AH30" s="36">
        <f>VLOOKUP($A30,[16]HISTODEC22!$A$6:$CA$36,63,0)</f>
        <v>0</v>
      </c>
      <c r="AI30" s="36">
        <f>VLOOKUP($A30,[16]HISTODEC22!$A$6:$CA$36,64,0)</f>
        <v>0</v>
      </c>
      <c r="AJ30" s="36">
        <f>VLOOKUP($A30,[16]HISTODEC22!$A$6:$CA$36,65,0)</f>
        <v>0</v>
      </c>
    </row>
    <row r="31" spans="1:36" x14ac:dyDescent="0.25">
      <c r="A31" s="1" t="s">
        <v>49</v>
      </c>
      <c r="B31" s="1" t="str">
        <f>VLOOKUP(A31,[15]LISTADHERENT!$A$5:$J$45,3,0)</f>
        <v>SIMO PIERRE</v>
      </c>
      <c r="C31" s="5">
        <v>600000</v>
      </c>
      <c r="D31" s="43">
        <f>VLOOKUP(A31,'[17]EPARGNE 2023'!$A$5:$BF$47,4,0)</f>
        <v>103606.47183067317</v>
      </c>
      <c r="E31" s="36"/>
      <c r="F31" s="5">
        <f t="shared" si="0"/>
        <v>703606.47183067317</v>
      </c>
      <c r="G31" s="6">
        <v>44694.552818170603</v>
      </c>
      <c r="H31" s="6">
        <f t="shared" si="1"/>
        <v>748301.0246488438</v>
      </c>
      <c r="I31" s="36">
        <f>VLOOKUP($A31,[16]HISTODEC22!$A$6:$AQ$37,22,0)</f>
        <v>0</v>
      </c>
      <c r="J31" s="36">
        <f>VLOOKUP($A31,[16]HISTODEC22!$A$6:$AU$39,45,0)</f>
        <v>7000</v>
      </c>
      <c r="K31" s="6"/>
      <c r="L31" s="36">
        <f t="shared" si="2"/>
        <v>500</v>
      </c>
      <c r="M31" s="36">
        <f t="shared" si="3"/>
        <v>1000</v>
      </c>
      <c r="N31" s="36">
        <f t="shared" si="4"/>
        <v>2500</v>
      </c>
      <c r="O31" s="36">
        <f>VLOOKUP($A31,[16]HISTODEC22!$A$6:$AU$39,7,0)</f>
        <v>0</v>
      </c>
      <c r="P31" s="36">
        <f>VLOOKUP($A31,[16]HISTODEC22!$A$6:$AU$39,23,0)</f>
        <v>0</v>
      </c>
      <c r="Q31" s="36">
        <f>VLOOKUP($A31,[16]HISTODEC22!$A$6:$AU$39,46,0)</f>
        <v>0</v>
      </c>
      <c r="R31" s="36">
        <f>VLOOKUP($A31,[18]HISTODEC22!$A$6:$AU$39,26,0)</f>
        <v>1000000</v>
      </c>
      <c r="S31" s="36">
        <f>VLOOKUP($A31,[18]HISTODEC22!$A$6:$BG$39,58,0)</f>
        <v>120000</v>
      </c>
      <c r="T31" s="36">
        <f>VLOOKUP($A31,[16]HISTODEC22!$A$6:$AU$39,28,0)</f>
        <v>0</v>
      </c>
      <c r="U31" s="36">
        <f>VLOOKUP($A31,[16]HISTODEC22!$A$6:$AU$39,19,0)</f>
        <v>800000</v>
      </c>
      <c r="V31" s="36" t="str">
        <f>VLOOKUP($A31,[16]HISTODEC22!$A$6:$AU$39,20,0)</f>
        <v>BANQUE</v>
      </c>
      <c r="W31" s="36" t="str">
        <f>VLOOKUP($A31,[16]HISTODEC22!$A$6:$AU$39,27,0)</f>
        <v>BANQUE</v>
      </c>
      <c r="X31" s="36">
        <f>VLOOKUP($A31,[16]HISTODEC22!$A$6:$AU$39,33,0)</f>
        <v>0</v>
      </c>
      <c r="Y31" s="36">
        <f>VLOOKUP($A31,[16]HISTODEC22!$A$6:$BP$39,65,0)</f>
        <v>0</v>
      </c>
      <c r="Z31" s="36"/>
      <c r="AA31" s="36">
        <f>VLOOKUP($A31,[16]HISTODEC22!$A$6:$AU$39,43,0)</f>
        <v>0</v>
      </c>
      <c r="AB31" s="36">
        <f>VLOOKUP($A31,[16]HISTODEC22!$A$6:$AU$39,44,0)</f>
        <v>0</v>
      </c>
      <c r="AC31" s="36">
        <f>VLOOKUP($A31,[16]HISTODEC22!$A$6:$AU$39,47,0)</f>
        <v>0</v>
      </c>
      <c r="AD31" s="36">
        <f>VLOOKUP(A31,[16]HISTODEC22!$A$6:$BB$36,54,0)</f>
        <v>0</v>
      </c>
      <c r="AE31" s="36">
        <f>VLOOKUP($A31,[16]HISTODEC22!$A$6:$CA$36,60,0)</f>
        <v>0</v>
      </c>
      <c r="AF31" s="36">
        <f>VLOOKUP($A31,[16]HISTODEC22!$A$6:$CA$36,61,0)</f>
        <v>0</v>
      </c>
      <c r="AG31" s="36">
        <f>VLOOKUP($A31,[16]HISTODEC22!$A$6:$CA$36,62,0)</f>
        <v>0</v>
      </c>
      <c r="AH31" s="36">
        <f>VLOOKUP($A31,[16]HISTODEC22!$A$6:$CA$36,63,0)</f>
        <v>0</v>
      </c>
      <c r="AI31" s="36">
        <f>VLOOKUP($A31,[16]HISTODEC22!$A$6:$CA$36,64,0)</f>
        <v>0</v>
      </c>
      <c r="AJ31" s="36">
        <f>VLOOKUP($A31,[16]HISTODEC22!$A$6:$CA$36,65,0)</f>
        <v>0</v>
      </c>
    </row>
    <row r="32" spans="1:36" x14ac:dyDescent="0.25">
      <c r="A32" s="1" t="s">
        <v>51</v>
      </c>
      <c r="B32" s="1" t="str">
        <f>VLOOKUP(A32,[15]LISTADHERENT!$A$5:$J$45,3,0)</f>
        <v>TCHOUAMOU MATHIEU</v>
      </c>
      <c r="C32" s="5">
        <v>600000</v>
      </c>
      <c r="D32" s="43">
        <f>VLOOKUP(A32,'[17]EPARGNE 2023'!$A$5:$BF$47,4,0)</f>
        <v>4207.8699443503283</v>
      </c>
      <c r="E32" s="36"/>
      <c r="F32" s="5">
        <f t="shared" si="0"/>
        <v>604207.86994435033</v>
      </c>
      <c r="G32" s="6">
        <v>38380.545997707901</v>
      </c>
      <c r="H32" s="6">
        <f t="shared" si="1"/>
        <v>642588.4159420582</v>
      </c>
      <c r="I32" s="36">
        <f>VLOOKUP($A32,[16]HISTODEC22!$A$6:$AQ$37,22,0)</f>
        <v>0</v>
      </c>
      <c r="J32" s="36">
        <f>VLOOKUP($A32,[16]HISTODEC22!$A$6:$AU$39,45,0)</f>
        <v>7000</v>
      </c>
      <c r="K32" s="6"/>
      <c r="L32" s="36">
        <f t="shared" si="2"/>
        <v>500</v>
      </c>
      <c r="M32" s="36">
        <f t="shared" si="3"/>
        <v>1000</v>
      </c>
      <c r="N32" s="36">
        <f t="shared" si="4"/>
        <v>2500</v>
      </c>
      <c r="O32" s="36">
        <f>VLOOKUP($A32,[16]HISTODEC22!$A$6:$AU$39,7,0)</f>
        <v>0</v>
      </c>
      <c r="P32" s="36">
        <f>VLOOKUP($A32,[16]HISTODEC22!$A$6:$AU$39,23,0)</f>
        <v>0</v>
      </c>
      <c r="Q32" s="36">
        <f>VLOOKUP($A32,[16]HISTODEC22!$A$6:$AU$39,46,0)</f>
        <v>0</v>
      </c>
      <c r="R32" s="36">
        <f>VLOOKUP($A32,[18]HISTODEC22!$A$6:$AU$39,26,0)</f>
        <v>1000000</v>
      </c>
      <c r="S32" s="36">
        <f>VLOOKUP($A32,[18]HISTODEC22!$A$6:$BG$39,58,0)</f>
        <v>30000</v>
      </c>
      <c r="T32" s="36">
        <f>VLOOKUP($A32,[16]HISTODEC22!$A$6:$AU$39,28,0)</f>
        <v>0</v>
      </c>
      <c r="U32" s="36">
        <f>VLOOKUP($A32,[16]HISTODEC22!$A$6:$AU$39,19,0)</f>
        <v>1000000</v>
      </c>
      <c r="V32" s="36" t="str">
        <f>VLOOKUP($A32,[16]HISTODEC22!$A$6:$AU$39,20,0)</f>
        <v>BANQUE</v>
      </c>
      <c r="W32" s="36">
        <f>VLOOKUP($A32,[16]HISTODEC22!$A$6:$AU$39,27,0)</f>
        <v>0</v>
      </c>
      <c r="X32" s="36">
        <f>VLOOKUP($A32,[16]HISTODEC22!$A$6:$AU$39,33,0)</f>
        <v>0</v>
      </c>
      <c r="Y32" s="36">
        <f>VLOOKUP($A32,[16]HISTODEC22!$A$6:$BP$39,65,0)</f>
        <v>0</v>
      </c>
      <c r="Z32" s="36"/>
      <c r="AA32" s="36">
        <f>VLOOKUP($A32,[16]HISTODEC22!$A$6:$AU$39,43,0)</f>
        <v>0</v>
      </c>
      <c r="AB32" s="36">
        <f>VLOOKUP($A32,[16]HISTODEC22!$A$6:$AU$39,44,0)</f>
        <v>0</v>
      </c>
      <c r="AC32" s="36">
        <f>VLOOKUP($A32,[16]HISTODEC22!$A$6:$AU$39,47,0)</f>
        <v>0</v>
      </c>
      <c r="AD32" s="36">
        <f>VLOOKUP(A32,[16]HISTODEC22!$A$6:$BB$36,54,0)</f>
        <v>0</v>
      </c>
      <c r="AE32" s="36">
        <f>VLOOKUP($A32,[16]HISTODEC22!$A$6:$CA$36,60,0)</f>
        <v>0</v>
      </c>
      <c r="AF32" s="36">
        <f>VLOOKUP($A32,[16]HISTODEC22!$A$6:$CA$36,61,0)</f>
        <v>0</v>
      </c>
      <c r="AG32" s="36">
        <f>VLOOKUP($A32,[16]HISTODEC22!$A$6:$CA$36,62,0)</f>
        <v>0</v>
      </c>
      <c r="AH32" s="36">
        <f>VLOOKUP($A32,[16]HISTODEC22!$A$6:$CA$36,63,0)</f>
        <v>0</v>
      </c>
      <c r="AI32" s="36">
        <f>VLOOKUP($A32,[16]HISTODEC22!$A$6:$CA$36,64,0)</f>
        <v>0</v>
      </c>
      <c r="AJ32" s="36">
        <f>VLOOKUP($A32,[16]HISTODEC22!$A$6:$CA$36,65,0)</f>
        <v>0</v>
      </c>
    </row>
    <row r="33" spans="1:36" x14ac:dyDescent="0.25">
      <c r="A33" s="1" t="s">
        <v>53</v>
      </c>
      <c r="B33" s="1" t="str">
        <f>VLOOKUP(A33,[15]LISTADHERENT!$A$5:$J$45,3,0)</f>
        <v>TCHOUTOU NANA CLAUDE</v>
      </c>
      <c r="C33" s="5">
        <v>0</v>
      </c>
      <c r="D33" s="43">
        <f>VLOOKUP(A33,'[17]EPARGNE 2023'!$A$5:$BF$47,4,0)</f>
        <v>0</v>
      </c>
      <c r="E33" s="36"/>
      <c r="F33" s="5">
        <f t="shared" si="0"/>
        <v>0</v>
      </c>
      <c r="G33" s="6">
        <v>0</v>
      </c>
      <c r="H33" s="6">
        <f t="shared" si="1"/>
        <v>0</v>
      </c>
      <c r="I33" s="36"/>
      <c r="J33" s="36"/>
      <c r="K33" s="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spans="1:36" x14ac:dyDescent="0.25">
      <c r="A34" s="1" t="s">
        <v>313</v>
      </c>
      <c r="B34" s="1" t="str">
        <f>VLOOKUP(A34,[15]LISTADHERENT!$A$5:$J$45,3,0)</f>
        <v>YANTCHOU GERVAIS</v>
      </c>
      <c r="C34" s="5">
        <v>0</v>
      </c>
      <c r="D34" s="43">
        <f>VLOOKUP(A34,'[17]EPARGNE 2023'!$A$5:$BF$47,4,0)</f>
        <v>0</v>
      </c>
      <c r="E34" s="36"/>
      <c r="F34" s="5">
        <f t="shared" si="0"/>
        <v>0</v>
      </c>
      <c r="G34" s="6">
        <v>0</v>
      </c>
      <c r="H34" s="6">
        <f t="shared" si="1"/>
        <v>0</v>
      </c>
      <c r="I34" s="36"/>
      <c r="J34" s="36"/>
      <c r="K34" s="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spans="1:36" x14ac:dyDescent="0.25">
      <c r="A35" s="1" t="s">
        <v>55</v>
      </c>
      <c r="B35" s="1" t="str">
        <f>VLOOKUP(A35,[15]LISTADHERENT!$A$5:$J$45,3,0)</f>
        <v>YEPMOU JEAN JACQUES</v>
      </c>
      <c r="C35" s="5">
        <v>600000</v>
      </c>
      <c r="D35" s="43">
        <f>VLOOKUP(A35,'[17]EPARGNE 2023'!$A$5:$BF$47,4,0)</f>
        <v>914734.42229355336</v>
      </c>
      <c r="E35" s="1"/>
      <c r="F35" s="5">
        <f t="shared" si="0"/>
        <v>1514734.4222935534</v>
      </c>
      <c r="G35" s="6">
        <v>96219.094555163261</v>
      </c>
      <c r="H35" s="6">
        <f t="shared" si="1"/>
        <v>1610953.5168487167</v>
      </c>
      <c r="I35" s="36">
        <f>VLOOKUP($A35,[16]HISTODEC22!$A$6:$AQ$37,22,0)</f>
        <v>0</v>
      </c>
      <c r="J35" s="36">
        <f>VLOOKUP($A35,[16]HISTODEC22!$A$6:$AU$39,45,0)</f>
        <v>7000</v>
      </c>
      <c r="K35" s="6"/>
      <c r="L35" s="36">
        <f t="shared" ref="L35:L36" si="5">IF(J35=0,0,500)</f>
        <v>500</v>
      </c>
      <c r="M35" s="36">
        <f t="shared" ref="M35:M36" si="6">IF(J35=0,0,1000)</f>
        <v>1000</v>
      </c>
      <c r="N35" s="36">
        <f t="shared" ref="N35:N36" si="7">IF(J35=0,0,2500)</f>
        <v>2500</v>
      </c>
      <c r="O35" s="36">
        <f>VLOOKUP($A35,[16]HISTODEC22!$A$6:$AU$39,7,0)</f>
        <v>0</v>
      </c>
      <c r="P35" s="36">
        <f>VLOOKUP($A35,[16]HISTODEC22!$A$6:$AU$39,23,0)</f>
        <v>0</v>
      </c>
      <c r="Q35" s="36">
        <f>VLOOKUP($A35,[16]HISTODEC22!$A$6:$AU$39,46,0)</f>
        <v>0</v>
      </c>
      <c r="R35" s="36">
        <f>VLOOKUP($A35,[18]HISTODEC22!$A$6:$AU$39,26,0)</f>
        <v>0</v>
      </c>
      <c r="S35" s="36">
        <f>VLOOKUP($A35,[18]HISTODEC22!$A$6:$BG$39,58,0)</f>
        <v>0</v>
      </c>
      <c r="T35" s="36">
        <f>VLOOKUP($A35,[16]HISTODEC22!$A$6:$AU$39,28,0)</f>
        <v>0</v>
      </c>
      <c r="U35" s="36">
        <f>VLOOKUP($A35,[16]HISTODEC22!$A$6:$AU$39,19,0)</f>
        <v>1011250</v>
      </c>
      <c r="V35" s="36" t="str">
        <f>VLOOKUP($A35,[16]HISTODEC22!$A$6:$AU$39,20,0)</f>
        <v>BANQUE</v>
      </c>
      <c r="W35" s="36">
        <f>VLOOKUP($A35,[16]HISTODEC22!$A$6:$AU$39,27,0)</f>
        <v>0</v>
      </c>
      <c r="X35" s="36">
        <f>VLOOKUP($A35,[16]HISTODEC22!$A$6:$AU$39,33,0)</f>
        <v>0</v>
      </c>
      <c r="Y35" s="36">
        <f>VLOOKUP($A35,[16]HISTODEC22!$A$6:$BP$39,65,0)</f>
        <v>0</v>
      </c>
      <c r="Z35" s="36"/>
      <c r="AA35" s="36">
        <f>VLOOKUP($A35,[16]HISTODEC22!$A$6:$AU$39,43,0)</f>
        <v>0</v>
      </c>
      <c r="AB35" s="36">
        <f>VLOOKUP($A35,[16]HISTODEC22!$A$6:$AU$39,44,0)</f>
        <v>0</v>
      </c>
      <c r="AC35" s="36">
        <f>VLOOKUP($A35,[16]HISTODEC22!$A$6:$AU$39,47,0)</f>
        <v>0</v>
      </c>
      <c r="AD35" s="36">
        <f>VLOOKUP(A35,[16]HISTODEC22!$A$6:$BB$36,54,0)</f>
        <v>0</v>
      </c>
      <c r="AE35" s="36">
        <f>VLOOKUP($A35,[16]HISTODEC22!$A$6:$CA$36,60,0)</f>
        <v>0</v>
      </c>
      <c r="AF35" s="36">
        <f>VLOOKUP($A35,[16]HISTODEC22!$A$6:$CA$36,61,0)</f>
        <v>0</v>
      </c>
      <c r="AG35" s="36">
        <f>VLOOKUP($A35,[16]HISTODEC22!$A$6:$CA$36,62,0)</f>
        <v>0</v>
      </c>
      <c r="AH35" s="36">
        <f>VLOOKUP($A35,[16]HISTODEC22!$A$6:$CA$36,63,0)</f>
        <v>0</v>
      </c>
      <c r="AI35" s="36">
        <f>VLOOKUP($A35,[16]HISTODEC22!$A$6:$CA$36,64,0)</f>
        <v>0</v>
      </c>
      <c r="AJ35" s="36">
        <f>VLOOKUP($A35,[16]HISTODEC22!$A$6:$CA$36,65,0)</f>
        <v>0</v>
      </c>
    </row>
    <row r="36" spans="1:36" x14ac:dyDescent="0.25">
      <c r="A36" s="1" t="s">
        <v>56</v>
      </c>
      <c r="B36" s="1" t="str">
        <f>VLOOKUP(A36,[15]LISTADHERENT!$A$5:$J$45,3,0)</f>
        <v>YOUMBI EMMANUEL</v>
      </c>
      <c r="C36" s="5">
        <v>600000</v>
      </c>
      <c r="D36" s="43">
        <f>VLOOKUP(A36,'[17]EPARGNE 2023'!$A$5:$BF$47,4,0)</f>
        <v>1057774.2356918815</v>
      </c>
      <c r="E36" s="1"/>
      <c r="F36" s="5">
        <f t="shared" si="0"/>
        <v>1657774.2356918815</v>
      </c>
      <c r="G36" s="6">
        <v>105305.28229075785</v>
      </c>
      <c r="H36" s="6">
        <f t="shared" si="1"/>
        <v>1763079.5179826394</v>
      </c>
      <c r="I36" s="36">
        <f>VLOOKUP($A36,[16]HISTODEC22!$A$6:$AQ$37,22,0)</f>
        <v>0</v>
      </c>
      <c r="J36" s="36">
        <f>VLOOKUP($A36,[16]HISTODEC22!$A$6:$AU$39,45,0)</f>
        <v>7000</v>
      </c>
      <c r="K36" s="6"/>
      <c r="L36" s="36">
        <f t="shared" si="5"/>
        <v>500</v>
      </c>
      <c r="M36" s="36">
        <f t="shared" si="6"/>
        <v>1000</v>
      </c>
      <c r="N36" s="36">
        <f t="shared" si="7"/>
        <v>2500</v>
      </c>
      <c r="O36" s="36">
        <f>VLOOKUP($A36,[16]HISTODEC22!$A$6:$AU$39,7,0)</f>
        <v>0</v>
      </c>
      <c r="P36" s="36">
        <f>VLOOKUP($A36,[16]HISTODEC22!$A$6:$AU$39,23,0)</f>
        <v>0</v>
      </c>
      <c r="Q36" s="36">
        <f>VLOOKUP($A36,[16]HISTODEC22!$A$6:$AU$39,46,0)</f>
        <v>0</v>
      </c>
      <c r="R36" s="36">
        <f>VLOOKUP($A36,[18]HISTODEC22!$A$6:$AU$39,26,0)</f>
        <v>0</v>
      </c>
      <c r="S36" s="36">
        <f>VLOOKUP($A36,[18]HISTODEC22!$A$6:$BG$39,58,0)</f>
        <v>0</v>
      </c>
      <c r="T36" s="36">
        <f>VLOOKUP($A36,[16]HISTODEC22!$A$6:$AU$39,28,0)</f>
        <v>0</v>
      </c>
      <c r="U36" s="36">
        <f>VLOOKUP($A36,[16]HISTODEC22!$A$6:$AU$39,19,0)</f>
        <v>0</v>
      </c>
      <c r="V36" s="36">
        <f>VLOOKUP($A36,[16]HISTODEC22!$A$6:$AU$39,20,0)</f>
        <v>0</v>
      </c>
      <c r="W36" s="36">
        <f>VLOOKUP($A36,[16]HISTODEC22!$A$6:$AU$39,27,0)</f>
        <v>0</v>
      </c>
      <c r="X36" s="36">
        <f>VLOOKUP($A36,[16]HISTODEC22!$A$6:$AU$39,33,0)</f>
        <v>0</v>
      </c>
      <c r="Y36" s="36">
        <f>VLOOKUP($A36,[16]HISTODEC22!$A$6:$BP$39,65,0)</f>
        <v>0</v>
      </c>
      <c r="Z36" s="36"/>
      <c r="AA36" s="36">
        <f>VLOOKUP($A36,[16]HISTODEC22!$A$6:$AU$39,43,0)</f>
        <v>0</v>
      </c>
      <c r="AB36" s="36">
        <f>VLOOKUP($A36,[16]HISTODEC22!$A$6:$AU$39,44,0)</f>
        <v>0</v>
      </c>
      <c r="AC36" s="36">
        <f>VLOOKUP($A36,[16]HISTODEC22!$A$6:$AU$39,47,0)</f>
        <v>0</v>
      </c>
      <c r="AD36" s="36">
        <f>VLOOKUP(A36,[16]HISTODEC22!$A$6:$BB$36,54,0)</f>
        <v>0</v>
      </c>
      <c r="AE36" s="36">
        <f>VLOOKUP($A36,[16]HISTODEC22!$A$6:$CA$36,60,0)</f>
        <v>0</v>
      </c>
      <c r="AF36" s="36">
        <f>VLOOKUP($A36,[16]HISTODEC22!$A$6:$CA$36,61,0)</f>
        <v>0</v>
      </c>
      <c r="AG36" s="36">
        <f>VLOOKUP($A36,[16]HISTODEC22!$A$6:$CA$36,62,0)</f>
        <v>0</v>
      </c>
      <c r="AH36" s="36">
        <f>VLOOKUP($A36,[16]HISTODEC22!$A$6:$CA$36,63,0)</f>
        <v>0</v>
      </c>
      <c r="AI36" s="36">
        <f>VLOOKUP($A36,[16]HISTODEC22!$A$6:$CA$36,64,0)</f>
        <v>0</v>
      </c>
      <c r="AJ36" s="36">
        <f>VLOOKUP($A36,[16]HISTODEC22!$A$6:$CA$36,65,0)</f>
        <v>0</v>
      </c>
    </row>
    <row r="37" spans="1:36" x14ac:dyDescent="0.25">
      <c r="A37" s="147" t="s">
        <v>44</v>
      </c>
      <c r="B37" s="1" t="str">
        <f>VLOOKUP(A37,[15]LISTADHERENT!$A$5:$J$45,3,0)</f>
        <v>NKEPSEU DIEUDONNE</v>
      </c>
      <c r="C37" s="5">
        <v>600000</v>
      </c>
      <c r="D37" s="5">
        <v>2434</v>
      </c>
      <c r="E37" s="5"/>
      <c r="F37" s="5">
        <f t="shared" si="0"/>
        <v>602434</v>
      </c>
      <c r="G37" s="6">
        <v>38267.866073496785</v>
      </c>
      <c r="H37" s="6">
        <f t="shared" si="1"/>
        <v>640701.86607349676</v>
      </c>
      <c r="K37" s="6"/>
    </row>
    <row r="38" spans="1:36" x14ac:dyDescent="0.25">
      <c r="A38" s="148"/>
      <c r="B38" s="1"/>
      <c r="C38" s="5"/>
      <c r="D38" s="5"/>
      <c r="E38" s="5"/>
      <c r="F38" s="5"/>
      <c r="G38" s="6"/>
      <c r="H38" s="6"/>
      <c r="J38" s="146"/>
      <c r="K38" s="146"/>
    </row>
    <row r="39" spans="1:36" ht="18" x14ac:dyDescent="0.25">
      <c r="A39" s="1" t="s">
        <v>57</v>
      </c>
      <c r="B39" s="1"/>
      <c r="C39" s="9">
        <f t="shared" ref="C39:AJ39" si="8">SUM(C6:C37)</f>
        <v>15600000</v>
      </c>
      <c r="D39" s="9">
        <f t="shared" si="8"/>
        <v>4361560.1908109896</v>
      </c>
      <c r="E39" s="9">
        <f t="shared" si="8"/>
        <v>0</v>
      </c>
      <c r="F39" s="9">
        <f t="shared" si="8"/>
        <v>19961560.190810993</v>
      </c>
      <c r="G39" s="9">
        <f t="shared" si="8"/>
        <v>1267999.9999999998</v>
      </c>
      <c r="H39" s="9">
        <f t="shared" si="8"/>
        <v>21229560.19081099</v>
      </c>
      <c r="I39" s="9">
        <f t="shared" si="8"/>
        <v>0</v>
      </c>
      <c r="J39" s="9">
        <f t="shared" si="8"/>
        <v>286000</v>
      </c>
      <c r="K39" s="9">
        <f t="shared" si="8"/>
        <v>0</v>
      </c>
      <c r="L39" s="9">
        <f t="shared" si="8"/>
        <v>12500</v>
      </c>
      <c r="M39" s="9">
        <f t="shared" si="8"/>
        <v>25000</v>
      </c>
      <c r="N39" s="9">
        <f t="shared" si="8"/>
        <v>62500</v>
      </c>
      <c r="O39" s="9">
        <f t="shared" si="8"/>
        <v>0</v>
      </c>
      <c r="P39" s="9">
        <f t="shared" si="8"/>
        <v>0</v>
      </c>
      <c r="Q39" s="9">
        <f t="shared" si="8"/>
        <v>0</v>
      </c>
      <c r="R39" s="9">
        <f t="shared" si="8"/>
        <v>15600000</v>
      </c>
      <c r="S39" s="9">
        <f t="shared" si="8"/>
        <v>1268000</v>
      </c>
      <c r="T39" s="9">
        <f t="shared" si="8"/>
        <v>0</v>
      </c>
      <c r="U39" s="9">
        <f t="shared" si="8"/>
        <v>15041250</v>
      </c>
      <c r="V39" s="9">
        <f t="shared" si="8"/>
        <v>0</v>
      </c>
      <c r="W39" s="9">
        <f t="shared" si="8"/>
        <v>0</v>
      </c>
      <c r="X39" s="9">
        <f t="shared" si="8"/>
        <v>0</v>
      </c>
      <c r="Y39" s="9">
        <f t="shared" si="8"/>
        <v>0</v>
      </c>
      <c r="Z39" s="9">
        <f t="shared" si="8"/>
        <v>0</v>
      </c>
      <c r="AA39" s="9">
        <f t="shared" si="8"/>
        <v>0</v>
      </c>
      <c r="AB39" s="9">
        <f t="shared" si="8"/>
        <v>0</v>
      </c>
      <c r="AC39" s="9">
        <f t="shared" si="8"/>
        <v>0</v>
      </c>
      <c r="AD39" s="9">
        <f t="shared" si="8"/>
        <v>9000</v>
      </c>
      <c r="AE39" s="9">
        <f t="shared" si="8"/>
        <v>6000</v>
      </c>
      <c r="AF39" s="9">
        <f t="shared" si="8"/>
        <v>0</v>
      </c>
      <c r="AG39" s="9">
        <f t="shared" si="8"/>
        <v>0</v>
      </c>
      <c r="AH39" s="9">
        <f t="shared" si="8"/>
        <v>70000</v>
      </c>
      <c r="AI39" s="9">
        <f t="shared" si="8"/>
        <v>0</v>
      </c>
      <c r="AJ39" s="9">
        <f t="shared" si="8"/>
        <v>0</v>
      </c>
    </row>
    <row r="41" spans="1:36" ht="18" x14ac:dyDescent="0.25">
      <c r="C41">
        <v>536000</v>
      </c>
      <c r="D41">
        <v>4361500</v>
      </c>
      <c r="H41" s="9"/>
    </row>
    <row r="42" spans="1:36" ht="18" x14ac:dyDescent="0.25">
      <c r="C42" s="2">
        <f>C39-C41</f>
        <v>15064000</v>
      </c>
      <c r="D42" s="2">
        <f>D39-D41</f>
        <v>60.190810989588499</v>
      </c>
      <c r="F42" s="9">
        <v>19359126.190810993</v>
      </c>
    </row>
    <row r="43" spans="1:36" x14ac:dyDescent="0.25">
      <c r="H43" s="2">
        <f>H39-H41</f>
        <v>21229560.19081099</v>
      </c>
    </row>
  </sheetData>
  <autoFilter ref="A5:U34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P30" activePane="bottomRight" state="frozen"/>
      <selection activeCell="J4" sqref="J4:O4"/>
      <selection pane="topRight" activeCell="J4" sqref="J4:O4"/>
      <selection pane="bottomLeft" activeCell="J4" sqref="J4:O4"/>
      <selection pane="bottomRight" activeCell="S32" sqref="S3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9" width="18.28515625" customWidth="1"/>
    <col min="10" max="10" width="15" bestFit="1" customWidth="1"/>
    <col min="11" max="11" width="17.5703125" style="142" bestFit="1" customWidth="1"/>
    <col min="12" max="12" width="17.5703125" style="142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6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2023</v>
      </c>
      <c r="C2" s="1"/>
      <c r="D2" s="1"/>
      <c r="E2" s="1"/>
      <c r="F2" s="1"/>
      <c r="G2" s="1"/>
      <c r="H2" s="1"/>
      <c r="I2" s="152">
        <f>IF(E2&gt;=700000,($T$41/$G$41*H2),0)</f>
        <v>0</v>
      </c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59">
        <f>H12+MVTJANV24!H12+MVTFEV24!H12+MVTMARS24!H12</f>
        <v>48586.869961775206</v>
      </c>
      <c r="I4" s="16"/>
      <c r="J4" s="141"/>
      <c r="K4" s="160">
        <v>45277</v>
      </c>
      <c r="L4" s="160"/>
      <c r="M4" s="160"/>
      <c r="N4" s="160"/>
      <c r="O4" s="160"/>
      <c r="P4" s="160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326</v>
      </c>
    </row>
    <row r="6" spans="1:39" x14ac:dyDescent="0.25">
      <c r="A6" s="1" t="s">
        <v>16</v>
      </c>
      <c r="B6" s="1" t="str">
        <f>VLOOKUP(A6,[19]LISTADHERENT!A$5:H$60,3,0)</f>
        <v>ASELBY</v>
      </c>
      <c r="D6" s="36">
        <f>VLOOKUP($A6,[20]DETAILFICHECASSATION!$A$6:$R$36,17,0)</f>
        <v>886523.25892224163</v>
      </c>
      <c r="E6" s="36"/>
      <c r="F6" s="36">
        <f>C6+D6-E6</f>
        <v>886523.25892224163</v>
      </c>
      <c r="G6" s="5">
        <f>[21]MVTNOV23!F6+[21]MVTNOV23!G6-[21]MVTDEC23!E6+L6</f>
        <v>886523.25892224174</v>
      </c>
      <c r="H6" s="36">
        <f>($T$41/$G$41*G6)</f>
        <v>48583.42060325596</v>
      </c>
      <c r="I6" s="6">
        <f>(F6+H6)</f>
        <v>935106.6795254976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>
        <f>VLOOKUP($A6,[22]HISTODEC23!$A$6:$CA$36,60,0)</f>
        <v>6000</v>
      </c>
      <c r="AG6" s="36">
        <f>VLOOKUP($A6,[22]HISTODEC23!$A$6:$CA$36,61,0)</f>
        <v>0</v>
      </c>
      <c r="AH6" s="36">
        <f>VLOOKUP($A6,[22]HISTODEC23!$A$6:$CA$36,62,0)</f>
        <v>0</v>
      </c>
      <c r="AI6" s="36">
        <f>VLOOKUP($A6,[22]HISTODEC23!$A$6:$CA$36,63,0)</f>
        <v>0</v>
      </c>
      <c r="AJ6" s="36">
        <f>VLOOKUP($A6,[22]HISTODEC23!$A$6:$CA$36,64,0)</f>
        <v>0</v>
      </c>
      <c r="AK6" s="36">
        <f>VLOOKUP($A6,[22]HISTODEC23!$A$6:$CA$36,65,0)</f>
        <v>0</v>
      </c>
      <c r="AL6" s="36">
        <f>VLOOKUP($A6,[20]DETAILFICHECASSATION!$A$6:$R$36,12,0)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>
        <f>VLOOKUP($A7,[23]FONDSCAISSE!$A$2:$G$33,4,0)</f>
        <v>678482.49636100209</v>
      </c>
      <c r="D7" s="36">
        <f>VLOOKUP($A7,[20]DETAILFICHECASSATION!$A$6:$R$36,17,0)</f>
        <v>0</v>
      </c>
      <c r="E7" s="36"/>
      <c r="F7" s="36">
        <f t="shared" ref="F7:F39" si="0">C7+D7-E7</f>
        <v>678482.49636100209</v>
      </c>
      <c r="G7" s="5">
        <f>IF(F7&gt;=700000,(C7+D7-E7),0)</f>
        <v>0</v>
      </c>
      <c r="H7" s="36">
        <f t="shared" ref="H7:H39" si="1">($T$41/$G$41*G7)</f>
        <v>0</v>
      </c>
      <c r="I7" s="6">
        <f t="shared" ref="I7:I39" si="2">(F7+H7)</f>
        <v>678482.49636100209</v>
      </c>
      <c r="J7" s="36">
        <f>VLOOKUP($A7,[22]HISTODEC23!$A$6:$AQ$40,22,0)</f>
        <v>0</v>
      </c>
      <c r="K7" s="36">
        <f>VLOOKUP($A7,[22]HISTODEC23!$A$6:$AU$36,45,0)</f>
        <v>15000</v>
      </c>
      <c r="L7" s="36">
        <f t="shared" ref="L7:L36" si="3">IF(K7=0,0,K7-(M7+N7+O7))</f>
        <v>9000</v>
      </c>
      <c r="M7" s="36">
        <f>IF(K7=0,0,1000)</f>
        <v>1000</v>
      </c>
      <c r="N7" s="36">
        <f t="shared" ref="N7:N36" si="4">IF(K7=0,0,1000)</f>
        <v>1000</v>
      </c>
      <c r="O7" s="36">
        <f>IF(K7=0,0,4000)</f>
        <v>4000</v>
      </c>
      <c r="P7" s="36">
        <f>VLOOKUP($A7,[22]HISTODEC23!$A$6:$AU$36,7,0)</f>
        <v>0</v>
      </c>
      <c r="Q7" s="36">
        <f>VLOOKUP($A7,[22]HISTODEC23!$A$6:$AU$36,23,0)</f>
        <v>0</v>
      </c>
      <c r="R7" s="36">
        <f>VLOOKUP($A7,[22]HISTODEC23!$A$6:$AU$36,46,0)</f>
        <v>0</v>
      </c>
      <c r="S7" s="36">
        <f>VLOOKUP($A7,[22]HISTODEC23!$A$6:$AU$36,26,0)</f>
        <v>600000</v>
      </c>
      <c r="T7" s="36">
        <f>VLOOKUP($A7,[22]HISTODEC23!$A$6:$BG$36,58,0)</f>
        <v>36000</v>
      </c>
      <c r="U7" s="36">
        <f>VLOOKUP($A7,[22]HISTODEC23!$A$6:$AU$36,28,0)</f>
        <v>0</v>
      </c>
      <c r="V7" s="36">
        <f>VLOOKUP($A7,[22]HISTODEC23!$A$6:$AU$36,19,0)</f>
        <v>600000</v>
      </c>
      <c r="W7" s="36" t="str">
        <f>VLOOKUP($A7,[22]HISTODEC23!$A$6:$AU$36,20,0)</f>
        <v>BANQUE</v>
      </c>
      <c r="X7" s="36" t="str">
        <f>VLOOKUP($A7,[22]HISTODEC23!$A$6:$AU$36,27,0)</f>
        <v>BANQUE</v>
      </c>
      <c r="Y7" s="36">
        <f>VLOOKUP($A7,[22]HISTODEC23!$A$6:$BM$36,33,0)</f>
        <v>0</v>
      </c>
      <c r="Z7" s="36">
        <f>VLOOKUP($A7,[22]HISTODEC23!$A$6:$BM$36,65,0)</f>
        <v>0</v>
      </c>
      <c r="AA7" s="36"/>
      <c r="AB7" s="36">
        <f>VLOOKUP($A7,[22]HISTODEC23!$A$6:$AU$36,43,0)</f>
        <v>0</v>
      </c>
      <c r="AC7" s="36">
        <f>VLOOKUP($A7,[22]HISTODEC23!$A$6:$AU$36,44,0)</f>
        <v>0</v>
      </c>
      <c r="AD7" s="36">
        <f>VLOOKUP($A7,[22]HISTODEC23!$A$6:$AU$36,47,0)</f>
        <v>0</v>
      </c>
      <c r="AE7" s="36">
        <f>VLOOKUP(A7,[22]HISTODEC23!$A$6:$BB$36,54,0)</f>
        <v>0</v>
      </c>
      <c r="AF7" s="36">
        <f>VLOOKUP($A7,[22]HISTODEC23!$A$6:$CA$36,60,0)</f>
        <v>0</v>
      </c>
      <c r="AG7" s="36">
        <f>VLOOKUP($A7,[22]HISTODEC23!$A$6:$CA$36,61,0)</f>
        <v>0</v>
      </c>
      <c r="AH7" s="36">
        <f>VLOOKUP($A7,[22]HISTODEC23!$A$6:$CA$36,62,0)</f>
        <v>0</v>
      </c>
      <c r="AI7" s="36">
        <f>VLOOKUP($A7,[22]HISTODEC23!$A$6:$CA$36,63,0)</f>
        <v>0</v>
      </c>
      <c r="AJ7" s="36">
        <f>VLOOKUP($A7,[22]HISTODEC23!$A$6:$CA$36,64,0)</f>
        <v>0</v>
      </c>
      <c r="AK7" s="36">
        <f>VLOOKUP($A7,[22]HISTODEC23!$A$6:$CA$36,65,0)</f>
        <v>0</v>
      </c>
      <c r="AL7" s="36">
        <f>VLOOKUP($A7,[20]DETAILFICHECASSATION!$A$6:$R$36,12,0)</f>
        <v>700000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>
        <f>VLOOKUP($A8,[23]FONDSCAISSE!$A$2:$G$33,4,0)</f>
        <v>700000</v>
      </c>
      <c r="D8" s="36">
        <f>VLOOKUP($A8,[20]DETAILFICHECASSATION!$A$6:$R$36,17,0)</f>
        <v>33.12626320522395</v>
      </c>
      <c r="E8" s="36"/>
      <c r="F8" s="36">
        <f t="shared" si="0"/>
        <v>700033.12626320519</v>
      </c>
      <c r="G8" s="5">
        <f t="shared" ref="G8:G39" si="5">IF(C8+D8+L8-E8&gt;=700000,(C8+D8-E8),0)</f>
        <v>700033.12626320519</v>
      </c>
      <c r="H8" s="36">
        <f t="shared" si="1"/>
        <v>38363.351967554583</v>
      </c>
      <c r="I8" s="6">
        <f t="shared" si="2"/>
        <v>738396.47823075973</v>
      </c>
      <c r="J8" s="36">
        <f>VLOOKUP($A8,[22]HISTODEC23!$A$6:$AQ$40,22,0)</f>
        <v>19000</v>
      </c>
      <c r="K8" s="36">
        <f>VLOOKUP($A8,[22]HISTODEC23!$A$6:$AU$36,45,0)</f>
        <v>15000</v>
      </c>
      <c r="L8" s="36">
        <f t="shared" si="3"/>
        <v>9000</v>
      </c>
      <c r="M8" s="36">
        <f>IF(K8=0,0,1000)</f>
        <v>1000</v>
      </c>
      <c r="N8" s="36">
        <f t="shared" si="4"/>
        <v>1000</v>
      </c>
      <c r="O8" s="36">
        <f>IF(K8=0,0,4000)</f>
        <v>4000</v>
      </c>
      <c r="P8" s="36">
        <f>VLOOKUP($A8,[22]HISTODEC23!$A$6:$AU$36,7,0)</f>
        <v>0</v>
      </c>
      <c r="Q8" s="36">
        <f>VLOOKUP($A8,[22]HISTODEC23!$A$6:$AU$36,23,0)</f>
        <v>0</v>
      </c>
      <c r="R8" s="36">
        <f>VLOOKUP($A8,[22]HISTODEC23!$A$6:$AU$36,46,0)</f>
        <v>0</v>
      </c>
      <c r="S8" s="36">
        <f>VLOOKUP($A8,[22]HISTODEC23!$A$6:$AU$36,26,0)</f>
        <v>500000</v>
      </c>
      <c r="T8" s="36">
        <f>VLOOKUP($A8,[22]HISTODEC23!$A$6:$BG$36,58,0)</f>
        <v>15000</v>
      </c>
      <c r="U8" s="36">
        <f>VLOOKUP($A8,[22]HISTODEC23!$A$6:$AU$36,28,0)</f>
        <v>0</v>
      </c>
      <c r="V8" s="36">
        <f>VLOOKUP($A8,[22]HISTODEC23!$A$6:$AU$36,19,0)</f>
        <v>0</v>
      </c>
      <c r="W8" s="36">
        <f>VLOOKUP($A8,[22]HISTODEC23!$A$6:$AU$36,20,0)</f>
        <v>0</v>
      </c>
      <c r="X8" s="36" t="str">
        <f>VLOOKUP($A8,[22]HISTODEC23!$A$6:$AU$36,27,0)</f>
        <v>BANQUE</v>
      </c>
      <c r="Y8" s="36">
        <f>VLOOKUP($A8,[22]HISTODEC23!$A$6:$BM$36,33,0)</f>
        <v>0</v>
      </c>
      <c r="Z8" s="36">
        <f>VLOOKUP($A8,[22]HISTODEC23!$A$6:$BM$36,65,0)</f>
        <v>0</v>
      </c>
      <c r="AA8" s="36"/>
      <c r="AB8" s="36">
        <f>VLOOKUP($A8,[22]HISTODEC23!$A$6:$AU$36,43,0)</f>
        <v>0</v>
      </c>
      <c r="AC8" s="36">
        <f>VLOOKUP($A8,[22]HISTODEC23!$A$6:$AU$36,44,0)</f>
        <v>0</v>
      </c>
      <c r="AD8" s="36">
        <f>VLOOKUP($A8,[22]HISTODEC23!$A$6:$AU$36,47,0)</f>
        <v>0</v>
      </c>
      <c r="AE8" s="36">
        <f>VLOOKUP(A8,[22]HISTODEC23!$A$6:$BB$36,54,0)</f>
        <v>0</v>
      </c>
      <c r="AF8" s="36">
        <f>VLOOKUP($A8,[22]HISTODEC23!$A$6:$CA$36,60,0)</f>
        <v>0</v>
      </c>
      <c r="AG8" s="36">
        <f>VLOOKUP($A8,[22]HISTODEC23!$A$6:$CA$36,61,0)</f>
        <v>0</v>
      </c>
      <c r="AH8" s="36">
        <f>VLOOKUP($A8,[22]HISTODEC23!$A$6:$CA$36,62,0)</f>
        <v>0</v>
      </c>
      <c r="AI8" s="36">
        <f>VLOOKUP($A8,[22]HISTODEC23!$A$6:$CA$36,63,0)</f>
        <v>0</v>
      </c>
      <c r="AJ8" s="36">
        <f>VLOOKUP($A8,[22]HISTODEC23!$A$6:$CA$36,64,0)</f>
        <v>0</v>
      </c>
      <c r="AK8" s="36">
        <f>VLOOKUP($A8,[22]HISTODEC23!$A$6:$CA$36,65,0)</f>
        <v>0</v>
      </c>
      <c r="AL8" s="36">
        <f>VLOOKUP($A8,[20]DETAILFICHECASSATION!$A$6:$R$36,12,0)</f>
        <v>100000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>
        <f>VLOOKUP($A9,[23]FONDSCAISSE!$A$2:$G$33,4,0)</f>
        <v>700000</v>
      </c>
      <c r="D9" s="36">
        <f>VLOOKUP($A9,[20]DETAILFICHECASSATION!$A$6:$R$36,17,0)</f>
        <v>53357.826243040035</v>
      </c>
      <c r="E9" s="36"/>
      <c r="F9" s="36">
        <f t="shared" si="0"/>
        <v>753357.82624304004</v>
      </c>
      <c r="G9" s="5">
        <f t="shared" si="5"/>
        <v>753357.82624304004</v>
      </c>
      <c r="H9" s="36">
        <f t="shared" si="1"/>
        <v>41285.662579926211</v>
      </c>
      <c r="I9" s="6">
        <f t="shared" si="2"/>
        <v>794643.48882296623</v>
      </c>
      <c r="J9" s="36">
        <f>VLOOKUP($A9,[22]HISTODEC23!$A$6:$AQ$40,22,0)</f>
        <v>9000</v>
      </c>
      <c r="K9" s="36">
        <f>VLOOKUP($A9,[22]HISTODEC23!$A$6:$AU$36,45,0)</f>
        <v>40000</v>
      </c>
      <c r="L9" s="36">
        <f t="shared" si="3"/>
        <v>34000</v>
      </c>
      <c r="M9" s="36">
        <f t="shared" ref="M9:M36" si="6">IF(K9=0,0,1000)</f>
        <v>1000</v>
      </c>
      <c r="N9" s="36">
        <f t="shared" si="4"/>
        <v>1000</v>
      </c>
      <c r="O9" s="36">
        <f t="shared" ref="O9:O36" si="7">IF(K9=0,0,4000)</f>
        <v>4000</v>
      </c>
      <c r="P9" s="36">
        <f>VLOOKUP($A9,[22]HISTODEC23!$A$6:$AU$36,7,0)</f>
        <v>0</v>
      </c>
      <c r="Q9" s="36">
        <f>VLOOKUP($A9,[22]HISTODEC23!$A$6:$AU$36,23,0)</f>
        <v>0</v>
      </c>
      <c r="R9" s="36">
        <f>VLOOKUP($A9,[22]HISTODEC23!$A$6:$AU$36,46,0)</f>
        <v>0</v>
      </c>
      <c r="S9" s="36">
        <f>VLOOKUP($A9,[22]HISTODEC23!$A$6:$AU$36,26,0)</f>
        <v>1000000</v>
      </c>
      <c r="T9" s="36">
        <f>VLOOKUP($A9,[22]HISTODEC23!$A$6:$BG$36,58,0)</f>
        <v>120000</v>
      </c>
      <c r="U9" s="36">
        <f>VLOOKUP($A9,[22]HISTODEC23!$A$6:$AU$36,28,0)</f>
        <v>0</v>
      </c>
      <c r="V9" s="36">
        <f>VLOOKUP($A9,[22]HISTODEC23!$A$6:$AU$36,19,0)</f>
        <v>1000000</v>
      </c>
      <c r="W9" s="36" t="str">
        <f>VLOOKUP($A9,[22]HISTODEC23!$A$6:$AU$36,20,0)</f>
        <v>BANQUE</v>
      </c>
      <c r="X9" s="36" t="str">
        <f>VLOOKUP($A9,[22]HISTODEC23!$A$6:$AU$36,27,0)</f>
        <v>BANQUE</v>
      </c>
      <c r="Y9" s="36">
        <f>VLOOKUP($A9,[22]HISTODEC23!$A$6:$BM$36,33,0)</f>
        <v>0</v>
      </c>
      <c r="Z9" s="36">
        <f>VLOOKUP($A9,[22]HISTODEC23!$A$6:$BM$36,65,0)</f>
        <v>0</v>
      </c>
      <c r="AA9" s="36"/>
      <c r="AB9" s="36">
        <f>VLOOKUP($A9,[22]HISTODEC23!$A$6:$AU$36,43,0)</f>
        <v>0</v>
      </c>
      <c r="AC9" s="36">
        <f>VLOOKUP($A9,[22]HISTODEC23!$A$6:$AU$36,44,0)</f>
        <v>0</v>
      </c>
      <c r="AD9" s="36">
        <f>VLOOKUP($A9,[22]HISTODEC23!$A$6:$AU$36,47,0)</f>
        <v>0</v>
      </c>
      <c r="AE9" s="36">
        <f>VLOOKUP(A9,[22]HISTODEC23!$A$6:$BB$36,54,0)</f>
        <v>0</v>
      </c>
      <c r="AF9" s="36">
        <f>VLOOKUP($A9,[22]HISTODEC23!$A$6:$CA$36,60,0)</f>
        <v>0</v>
      </c>
      <c r="AG9" s="36">
        <f>VLOOKUP($A9,[22]HISTODEC23!$A$6:$CA$36,61,0)</f>
        <v>0</v>
      </c>
      <c r="AH9" s="36">
        <f>VLOOKUP($A9,[22]HISTODEC23!$A$6:$CA$36,62,0)</f>
        <v>0</v>
      </c>
      <c r="AI9" s="36">
        <f>VLOOKUP($A9,[22]HISTODEC23!$A$6:$CA$36,63,0)</f>
        <v>0</v>
      </c>
      <c r="AJ9" s="36">
        <f>VLOOKUP($A9,[22]HISTODEC23!$A$6:$CA$36,64,0)</f>
        <v>0</v>
      </c>
      <c r="AK9" s="36">
        <f>VLOOKUP($A9,[22]HISTODEC23!$A$6:$CA$36,65,0)</f>
        <v>0</v>
      </c>
      <c r="AL9" s="36">
        <f>VLOOKUP($A9,[20]DETAILFICHECASSATION!$A$6:$R$36,12,0)</f>
        <v>100000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>
        <f>VLOOKUP($A10,[23]FONDSCAISSE!$A$2:$G$33,4,0)</f>
        <v>700000</v>
      </c>
      <c r="D10" s="36">
        <f>VLOOKUP($A10,[20]DETAILFICHECASSATION!$A$6:$R$36,17,0)</f>
        <v>294.67929590542917</v>
      </c>
      <c r="E10" s="36"/>
      <c r="F10" s="36">
        <f t="shared" si="0"/>
        <v>700294.6792959054</v>
      </c>
      <c r="G10" s="5">
        <f t="shared" si="5"/>
        <v>700294.6792959054</v>
      </c>
      <c r="H10" s="36">
        <f t="shared" si="1"/>
        <v>38377.685647883714</v>
      </c>
      <c r="I10" s="6">
        <f t="shared" si="2"/>
        <v>738672.36494378909</v>
      </c>
      <c r="J10" s="36">
        <f>VLOOKUP($A10,[22]HISTODEC23!$A$6:$AQ$40,22,0)</f>
        <v>22000</v>
      </c>
      <c r="K10" s="36">
        <f>VLOOKUP($A10,[22]HISTODEC23!$A$6:$AU$36,45,0)</f>
        <v>15000</v>
      </c>
      <c r="L10" s="36">
        <f t="shared" si="3"/>
        <v>9000</v>
      </c>
      <c r="M10" s="36">
        <f t="shared" si="6"/>
        <v>1000</v>
      </c>
      <c r="N10" s="36">
        <f t="shared" si="4"/>
        <v>1000</v>
      </c>
      <c r="O10" s="36">
        <f t="shared" si="7"/>
        <v>4000</v>
      </c>
      <c r="P10" s="36">
        <f>VLOOKUP($A10,[22]HISTODEC23!$A$6:$AU$36,7,0)</f>
        <v>0</v>
      </c>
      <c r="Q10" s="36">
        <f>VLOOKUP($A10,[22]HISTODEC23!$A$6:$AU$36,23,0)</f>
        <v>0</v>
      </c>
      <c r="R10" s="36">
        <f>VLOOKUP($A10,[22]HISTODEC23!$A$6:$AU$36,46,0)</f>
        <v>0</v>
      </c>
      <c r="S10" s="36">
        <f>VLOOKUP($A10,[22]HISTODEC23!$A$6:$AU$36,26,0)</f>
        <v>1000000</v>
      </c>
      <c r="T10" s="36">
        <f>VLOOKUP($A10,[22]HISTODEC23!$A$6:$BG$36,58,0)</f>
        <v>120000</v>
      </c>
      <c r="U10" s="36">
        <f>VLOOKUP($A10,[22]HISTODEC23!$A$6:$AU$36,28,0)</f>
        <v>0</v>
      </c>
      <c r="V10" s="36">
        <f>VLOOKUP($A10,[22]HISTODEC23!$A$6:$AU$36,19,0)</f>
        <v>0</v>
      </c>
      <c r="W10" s="36">
        <f>VLOOKUP($A10,[22]HISTODEC23!$A$6:$AU$36,20,0)</f>
        <v>0</v>
      </c>
      <c r="X10" s="36" t="str">
        <f>VLOOKUP($A10,[22]HISTODEC23!$A$6:$AU$36,27,0)</f>
        <v>BANQUE</v>
      </c>
      <c r="Y10" s="36">
        <f>VLOOKUP($A10,[22]HISTODEC23!$A$6:$BM$36,33,0)</f>
        <v>0</v>
      </c>
      <c r="Z10" s="36">
        <f>VLOOKUP($A10,[22]HISTODEC23!$A$6:$BM$36,65,0)</f>
        <v>0</v>
      </c>
      <c r="AA10" s="36"/>
      <c r="AB10" s="36">
        <f>VLOOKUP($A10,[22]HISTODEC23!$A$6:$AU$36,43,0)</f>
        <v>0</v>
      </c>
      <c r="AC10" s="36">
        <f>VLOOKUP($A10,[22]HISTODEC23!$A$6:$AU$36,44,0)</f>
        <v>0</v>
      </c>
      <c r="AD10" s="36">
        <f>VLOOKUP($A10,[22]HISTODEC23!$A$6:$AU$36,47,0)</f>
        <v>0</v>
      </c>
      <c r="AE10" s="36">
        <f>VLOOKUP(A10,[22]HISTODEC23!$A$6:$BB$36,54,0)</f>
        <v>0</v>
      </c>
      <c r="AF10" s="36">
        <f>VLOOKUP($A10,[22]HISTODEC23!$A$6:$CA$36,60,0)</f>
        <v>0</v>
      </c>
      <c r="AG10" s="36">
        <f>VLOOKUP($A10,[22]HISTODEC23!$A$6:$CA$36,61,0)</f>
        <v>0</v>
      </c>
      <c r="AH10" s="36">
        <f>VLOOKUP($A10,[22]HISTODEC23!$A$6:$CA$36,62,0)</f>
        <v>0</v>
      </c>
      <c r="AI10" s="36">
        <f>VLOOKUP($A10,[22]HISTODEC23!$A$6:$CA$36,63,0)</f>
        <v>0</v>
      </c>
      <c r="AJ10" s="36">
        <f>VLOOKUP($A10,[22]HISTODEC23!$A$6:$CA$36,64,0)</f>
        <v>0</v>
      </c>
      <c r="AK10" s="36">
        <f>VLOOKUP($A10,[22]HISTODEC23!$A$6:$CA$36,65,0)</f>
        <v>0</v>
      </c>
      <c r="AL10" s="36">
        <f>VLOOKUP($A10,[20]DETAILFICHECASSATION!$A$6:$R$36,12,0)</f>
        <v>100000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>
        <f>VLOOKUP($A11,[23]FONDSCAISSE!$A$2:$G$33,4,0)</f>
        <v>700000</v>
      </c>
      <c r="D11" s="36">
        <f>VLOOKUP($A11,[20]DETAILFICHECASSATION!$A$6:$R$36,17,0)</f>
        <v>2196.7678974067676</v>
      </c>
      <c r="E11" s="36"/>
      <c r="F11" s="36">
        <f t="shared" si="0"/>
        <v>702196.76789740683</v>
      </c>
      <c r="G11" s="5">
        <f t="shared" si="5"/>
        <v>702196.76789740683</v>
      </c>
      <c r="H11" s="36">
        <f t="shared" si="1"/>
        <v>38481.924278535938</v>
      </c>
      <c r="I11" s="6">
        <f t="shared" si="2"/>
        <v>740678.69217594271</v>
      </c>
      <c r="J11" s="36">
        <f>VLOOKUP($A11,[22]HISTODEC23!$A$6:$AQ$40,22,0)</f>
        <v>0</v>
      </c>
      <c r="K11" s="36">
        <f>VLOOKUP($A11,[22]HISTODEC23!$A$6:$AU$36,45,0)</f>
        <v>15000</v>
      </c>
      <c r="L11" s="36">
        <f t="shared" si="3"/>
        <v>9000</v>
      </c>
      <c r="M11" s="36">
        <f t="shared" si="6"/>
        <v>1000</v>
      </c>
      <c r="N11" s="36">
        <f t="shared" si="4"/>
        <v>1000</v>
      </c>
      <c r="O11" s="36">
        <f t="shared" si="7"/>
        <v>4000</v>
      </c>
      <c r="P11" s="36">
        <f>VLOOKUP($A11,[22]HISTODEC23!$A$6:$AU$36,7,0)</f>
        <v>0</v>
      </c>
      <c r="Q11" s="36">
        <f>VLOOKUP($A11,[22]HISTODEC23!$A$6:$AU$36,23,0)</f>
        <v>0</v>
      </c>
      <c r="R11" s="36">
        <f>VLOOKUP($A11,[22]HISTODEC23!$A$6:$AU$36,46,0)</f>
        <v>0</v>
      </c>
      <c r="S11" s="36">
        <f>VLOOKUP($A11,[22]HISTODEC23!$A$6:$AU$36,26,0)</f>
        <v>1000000</v>
      </c>
      <c r="T11" s="36">
        <f>VLOOKUP($A11,[22]HISTODEC23!$A$6:$BG$36,58,0)</f>
        <v>20000</v>
      </c>
      <c r="U11" s="36">
        <f>VLOOKUP($A11,[22]HISTODEC23!$A$6:$AU$36,28,0)</f>
        <v>0</v>
      </c>
      <c r="V11" s="36">
        <f>VLOOKUP($A11,[22]HISTODEC23!$A$6:$AU$36,19,0)</f>
        <v>1000000</v>
      </c>
      <c r="W11" s="36" t="str">
        <f>VLOOKUP($A11,[22]HISTODEC23!$A$6:$AU$36,20,0)</f>
        <v>BANQUE</v>
      </c>
      <c r="X11" s="36" t="str">
        <f>VLOOKUP($A11,[22]HISTODEC23!$A$6:$AU$36,27,0)</f>
        <v>BANQUE</v>
      </c>
      <c r="Y11" s="36">
        <f>VLOOKUP($A11,[22]HISTODEC23!$A$6:$BM$36,33,0)</f>
        <v>0</v>
      </c>
      <c r="Z11" s="36">
        <f>VLOOKUP($A11,[22]HISTODEC23!$A$6:$BM$36,65,0)</f>
        <v>0</v>
      </c>
      <c r="AA11" s="36"/>
      <c r="AB11" s="36">
        <f>VLOOKUP($A11,[22]HISTODEC23!$A$6:$AU$36,43,0)</f>
        <v>0</v>
      </c>
      <c r="AC11" s="36">
        <f>VLOOKUP($A11,[22]HISTODEC23!$A$6:$AU$36,44,0)</f>
        <v>0</v>
      </c>
      <c r="AD11" s="36">
        <f>VLOOKUP($A11,[22]HISTODEC23!$A$6:$AU$36,47,0)</f>
        <v>0</v>
      </c>
      <c r="AE11" s="36">
        <f>VLOOKUP(A11,[22]HISTODEC23!$A$6:$BB$36,54,0)</f>
        <v>0</v>
      </c>
      <c r="AF11" s="36">
        <f>VLOOKUP($A11,[22]HISTODEC23!$A$6:$CA$36,60,0)</f>
        <v>0</v>
      </c>
      <c r="AG11" s="36">
        <f>VLOOKUP($A11,[22]HISTODEC23!$A$6:$CA$36,61,0)</f>
        <v>0</v>
      </c>
      <c r="AH11" s="36">
        <f>VLOOKUP($A11,[22]HISTODEC23!$A$6:$CA$36,62,0)</f>
        <v>0</v>
      </c>
      <c r="AI11" s="36">
        <f>VLOOKUP($A11,[22]HISTODEC23!$A$6:$CA$36,63,0)</f>
        <v>0</v>
      </c>
      <c r="AJ11" s="36">
        <f>VLOOKUP($A11,[22]HISTODEC23!$A$6:$CA$36,64,0)</f>
        <v>0</v>
      </c>
      <c r="AK11" s="36">
        <f>VLOOKUP($A11,[22]HISTODEC23!$A$6:$CA$36,65,0)</f>
        <v>0</v>
      </c>
      <c r="AL11" s="36">
        <f>VLOOKUP($A11,[20]DETAILFICHECASSATION!$A$6:$R$36,12,0)</f>
        <v>100000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>
        <f>VLOOKUP($A12,[23]FONDSCAISSE!$A$2:$G$33,4,0)</f>
        <v>700000</v>
      </c>
      <c r="D12" s="36">
        <f>VLOOKUP($A12,[20]DETAILFICHECASSATION!$A$6:$R$36,17,0)</f>
        <v>14513.277451620379</v>
      </c>
      <c r="E12" s="36"/>
      <c r="F12" s="36">
        <f t="shared" si="0"/>
        <v>714513.27745162044</v>
      </c>
      <c r="G12" s="5">
        <f t="shared" si="5"/>
        <v>714513.27745162044</v>
      </c>
      <c r="H12" s="36">
        <f t="shared" si="1"/>
        <v>39156.896038175764</v>
      </c>
      <c r="I12" s="6">
        <f t="shared" si="2"/>
        <v>753670.17348979623</v>
      </c>
      <c r="J12" s="36">
        <f>VLOOKUP($A12,[22]HISTODEC23!$A$6:$AQ$40,22,0)</f>
        <v>0</v>
      </c>
      <c r="K12" s="36">
        <f>VLOOKUP($A12,[22]HISTODEC23!$A$6:$AU$36,45,0)</f>
        <v>20800</v>
      </c>
      <c r="L12" s="36">
        <f>IF(K12=0,0,K12-(M12+N12+O12))</f>
        <v>14800</v>
      </c>
      <c r="M12" s="36">
        <f t="shared" si="6"/>
        <v>1000</v>
      </c>
      <c r="N12" s="36">
        <f t="shared" si="4"/>
        <v>1000</v>
      </c>
      <c r="O12" s="36">
        <f t="shared" si="7"/>
        <v>4000</v>
      </c>
      <c r="P12" s="36">
        <f>VLOOKUP($A12,[22]HISTODEC23!$A$6:$AU$36,7,0)</f>
        <v>0</v>
      </c>
      <c r="Q12" s="36">
        <f>VLOOKUP($A12,[22]HISTODEC23!$A$6:$AU$36,23,0)</f>
        <v>0</v>
      </c>
      <c r="R12" s="36">
        <f>VLOOKUP($A12,[22]HISTODEC23!$A$6:$AU$36,46,0)</f>
        <v>0</v>
      </c>
      <c r="S12" s="36">
        <f>VLOOKUP($A12,[22]HISTODEC23!$A$6:$AU$36,26,0)</f>
        <v>1000000</v>
      </c>
      <c r="T12" s="36">
        <f>VLOOKUP($A12,[22]HISTODEC23!$A$6:$BG$36,58,0)</f>
        <v>60000</v>
      </c>
      <c r="U12" s="36">
        <f>VLOOKUP($A12,[22]HISTODEC23!$A$6:$AU$36,28,0)</f>
        <v>0</v>
      </c>
      <c r="V12" s="36">
        <f>VLOOKUP($A12,[22]HISTODEC23!$A$6:$AU$36,19,0)</f>
        <v>719200</v>
      </c>
      <c r="W12" s="36" t="str">
        <f>VLOOKUP($A12,[22]HISTODEC23!$A$6:$AU$36,20,0)</f>
        <v>BANQUE</v>
      </c>
      <c r="X12" s="36" t="str">
        <f>VLOOKUP($A12,[22]HISTODEC23!$A$6:$AU$36,27,0)</f>
        <v>BANQUE</v>
      </c>
      <c r="Y12" s="36">
        <f>VLOOKUP($A12,[22]HISTODEC23!$A$6:$BM$36,33,0)</f>
        <v>0</v>
      </c>
      <c r="Z12" s="36">
        <f>VLOOKUP($A12,[22]HISTODEC23!$A$6:$BM$36,65,0)</f>
        <v>0</v>
      </c>
      <c r="AA12" s="36"/>
      <c r="AB12" s="36">
        <f>VLOOKUP($A12,[22]HISTODEC23!$A$6:$AU$36,43,0)</f>
        <v>0</v>
      </c>
      <c r="AC12" s="36">
        <f>VLOOKUP($A12,[22]HISTODEC23!$A$6:$AU$36,44,0)</f>
        <v>0</v>
      </c>
      <c r="AD12" s="36">
        <f>VLOOKUP($A12,[22]HISTODEC23!$A$6:$AU$36,47,0)</f>
        <v>0</v>
      </c>
      <c r="AE12" s="36">
        <f>VLOOKUP(A12,[22]HISTODEC23!$A$6:$BB$36,54,0)</f>
        <v>0</v>
      </c>
      <c r="AF12" s="36">
        <f>VLOOKUP($A12,[22]HISTODEC23!$A$6:$CA$36,60,0)</f>
        <v>0</v>
      </c>
      <c r="AG12" s="36">
        <f>VLOOKUP($A12,[22]HISTODEC23!$A$6:$CA$36,61,0)</f>
        <v>0</v>
      </c>
      <c r="AH12" s="36">
        <f>VLOOKUP($A12,[22]HISTODEC23!$A$6:$CA$36,62,0)</f>
        <v>0</v>
      </c>
      <c r="AI12" s="36">
        <f>VLOOKUP($A12,[22]HISTODEC23!$A$6:$CA$36,63,0)</f>
        <v>0</v>
      </c>
      <c r="AJ12" s="36">
        <f>VLOOKUP($A12,[22]HISTODEC23!$A$6:$CA$36,64,0)</f>
        <v>0</v>
      </c>
      <c r="AK12" s="36">
        <f>VLOOKUP($A12,[22]HISTODEC23!$A$6:$CA$36,65,0)</f>
        <v>0</v>
      </c>
      <c r="AL12" s="36">
        <f>VLOOKUP($A12,[20]DETAILFICHECASSATION!$A$6:$R$36,12,0)</f>
        <v>100000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>
        <f>VLOOKUP($A13,[23]FONDSCAISSE!$A$2:$G$33,4,0)</f>
        <v>700000</v>
      </c>
      <c r="D13" s="36">
        <f>VLOOKUP($A13,[20]DETAILFICHECASSATION!$A$6:$R$36,17,0)</f>
        <v>41.235805909789633</v>
      </c>
      <c r="E13" s="36"/>
      <c r="F13" s="36">
        <f t="shared" si="0"/>
        <v>700041.23580590985</v>
      </c>
      <c r="G13" s="5">
        <f t="shared" si="5"/>
        <v>700041.23580590985</v>
      </c>
      <c r="H13" s="36">
        <f t="shared" si="1"/>
        <v>38363.796388296119</v>
      </c>
      <c r="I13" s="6">
        <f t="shared" si="2"/>
        <v>738405.03219420603</v>
      </c>
      <c r="J13" s="36">
        <f>VLOOKUP($A13,[22]HISTODEC23!$A$6:$AQ$40,22,0)</f>
        <v>0</v>
      </c>
      <c r="K13" s="36">
        <f>VLOOKUP($A13,[22]HISTODEC23!$A$6:$AU$36,45,0)</f>
        <v>15000</v>
      </c>
      <c r="L13" s="36">
        <f t="shared" si="3"/>
        <v>9000</v>
      </c>
      <c r="M13" s="36">
        <f t="shared" si="6"/>
        <v>1000</v>
      </c>
      <c r="N13" s="36">
        <f t="shared" si="4"/>
        <v>1000</v>
      </c>
      <c r="O13" s="36">
        <f t="shared" si="7"/>
        <v>4000</v>
      </c>
      <c r="P13" s="36">
        <f>VLOOKUP($A13,[22]HISTODEC23!$A$6:$AU$36,7,0)</f>
        <v>0</v>
      </c>
      <c r="Q13" s="36">
        <f>VLOOKUP($A13,[22]HISTODEC23!$A$6:$AU$36,23,0)</f>
        <v>0</v>
      </c>
      <c r="R13" s="36">
        <f>VLOOKUP($A13,[22]HISTODEC23!$A$6:$AU$36,46,0)</f>
        <v>0</v>
      </c>
      <c r="S13" s="36">
        <f>VLOOKUP($A13,[22]HISTODEC23!$A$6:$AU$36,26,0)</f>
        <v>1000000</v>
      </c>
      <c r="T13" s="36">
        <f>VLOOKUP($A13,[22]HISTODEC23!$A$6:$BG$36,58,0)</f>
        <v>120000</v>
      </c>
      <c r="U13" s="36">
        <f>VLOOKUP($A13,[22]HISTODEC23!$A$6:$AU$36,28,0)</f>
        <v>0</v>
      </c>
      <c r="V13" s="36">
        <f>VLOOKUP($A13,[22]HISTODEC23!$A$6:$AU$36,19,0)</f>
        <v>1000000</v>
      </c>
      <c r="W13" s="36" t="str">
        <f>VLOOKUP($A13,[22]HISTODEC23!$A$6:$AU$36,20,0)</f>
        <v>BANQUE</v>
      </c>
      <c r="X13" s="36" t="str">
        <f>VLOOKUP($A13,[22]HISTODEC23!$A$6:$AU$36,27,0)</f>
        <v>BANQUE</v>
      </c>
      <c r="Y13" s="36">
        <f>VLOOKUP($A13,[22]HISTODEC23!$A$6:$BM$36,33,0)</f>
        <v>0</v>
      </c>
      <c r="Z13" s="36">
        <f>VLOOKUP($A13,[22]HISTODEC23!$A$6:$BM$36,65,0)</f>
        <v>0</v>
      </c>
      <c r="AA13" s="36"/>
      <c r="AB13" s="36">
        <f>VLOOKUP($A13,[22]HISTODEC23!$A$6:$AU$36,43,0)</f>
        <v>0</v>
      </c>
      <c r="AC13" s="36">
        <f>VLOOKUP($A13,[22]HISTODEC23!$A$6:$AU$36,44,0)</f>
        <v>0</v>
      </c>
      <c r="AD13" s="36">
        <f>VLOOKUP($A13,[22]HISTODEC23!$A$6:$AU$36,47,0)</f>
        <v>0</v>
      </c>
      <c r="AE13" s="36">
        <f>VLOOKUP(A13,[22]HISTODEC23!$A$6:$BB$36,54,0)</f>
        <v>0</v>
      </c>
      <c r="AF13" s="36">
        <f>VLOOKUP($A13,[22]HISTODEC23!$A$6:$CA$36,60,0)</f>
        <v>0</v>
      </c>
      <c r="AG13" s="36">
        <f>VLOOKUP($A13,[22]HISTODEC23!$A$6:$CA$36,61,0)</f>
        <v>0</v>
      </c>
      <c r="AH13" s="36">
        <f>VLOOKUP($A13,[22]HISTODEC23!$A$6:$CA$36,62,0)</f>
        <v>0</v>
      </c>
      <c r="AI13" s="36">
        <f>VLOOKUP($A13,[22]HISTODEC23!$A$6:$CA$36,63,0)</f>
        <v>0</v>
      </c>
      <c r="AJ13" s="36">
        <f>VLOOKUP($A13,[22]HISTODEC23!$A$6:$CA$36,64,0)</f>
        <v>0</v>
      </c>
      <c r="AK13" s="36">
        <f>VLOOKUP($A13,[22]HISTODEC23!$A$6:$CA$36,65,0)</f>
        <v>0</v>
      </c>
      <c r="AL13" s="36">
        <f>VLOOKUP($A13,[20]DETAILFICHECASSATION!$A$6:$R$36,12,0)</f>
        <v>100000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>
        <f>VLOOKUP($A14,[23]FONDSCAISSE!$A$2:$G$33,4,0)</f>
        <v>700000</v>
      </c>
      <c r="D14" s="36">
        <f>VLOOKUP($A14,[20]DETAILFICHECASSATION!$A$6:$R$36,17,0)</f>
        <v>518031.2910165739</v>
      </c>
      <c r="E14" s="36"/>
      <c r="F14" s="36">
        <f t="shared" si="0"/>
        <v>1218031.291016574</v>
      </c>
      <c r="G14" s="5">
        <f t="shared" si="5"/>
        <v>1218031.291016574</v>
      </c>
      <c r="H14" s="36">
        <f t="shared" si="1"/>
        <v>66750.788457965886</v>
      </c>
      <c r="I14" s="6">
        <f t="shared" si="2"/>
        <v>1284782.07947454</v>
      </c>
      <c r="J14" s="36">
        <f>VLOOKUP($A14,[22]HISTODEC23!$A$6:$AQ$40,22,0)</f>
        <v>0</v>
      </c>
      <c r="K14" s="36">
        <f>VLOOKUP($A14,[22]HISTODEC23!$A$6:$AU$36,45,0)</f>
        <v>15000</v>
      </c>
      <c r="L14" s="36">
        <f t="shared" si="3"/>
        <v>9000</v>
      </c>
      <c r="M14" s="36">
        <f t="shared" si="6"/>
        <v>1000</v>
      </c>
      <c r="N14" s="36">
        <f t="shared" si="4"/>
        <v>1000</v>
      </c>
      <c r="O14" s="36">
        <f t="shared" si="7"/>
        <v>4000</v>
      </c>
      <c r="P14" s="36">
        <f>VLOOKUP($A14,[22]HISTODEC23!$A$6:$AU$36,7,0)</f>
        <v>0</v>
      </c>
      <c r="Q14" s="36">
        <f>VLOOKUP($A14,[22]HISTODEC23!$A$6:$AU$36,23,0)</f>
        <v>0</v>
      </c>
      <c r="R14" s="36">
        <f>VLOOKUP($A14,[22]HISTODEC23!$A$6:$AU$36,46,0)</f>
        <v>0</v>
      </c>
      <c r="S14" s="36">
        <f>VLOOKUP($A14,[22]HISTODEC23!$A$6:$AU$36,26,0)</f>
        <v>0</v>
      </c>
      <c r="T14" s="36">
        <f>VLOOKUP($A14,[22]HISTODEC23!$A$6:$BG$36,58,0)</f>
        <v>0</v>
      </c>
      <c r="U14" s="36">
        <f>VLOOKUP($A14,[22]HISTODEC23!$A$6:$AU$36,28,0)</f>
        <v>0</v>
      </c>
      <c r="V14" s="36">
        <f>VLOOKUP($A14,[22]HISTODEC23!$A$6:$AU$36,19,0)</f>
        <v>0</v>
      </c>
      <c r="W14" s="36">
        <f>VLOOKUP($A14,[22]HISTODEC23!$A$6:$AU$36,20,0)</f>
        <v>0</v>
      </c>
      <c r="X14" s="36">
        <f>VLOOKUP($A14,[22]HISTODEC23!$A$6:$AU$36,27,0)</f>
        <v>0</v>
      </c>
      <c r="Y14" s="36">
        <f>VLOOKUP($A14,[22]HISTODEC23!$A$6:$BM$36,33,0)</f>
        <v>0</v>
      </c>
      <c r="Z14" s="36">
        <f>VLOOKUP($A14,[22]HISTODEC23!$A$6:$BM$36,65,0)</f>
        <v>0</v>
      </c>
      <c r="AA14" s="36"/>
      <c r="AB14" s="36">
        <f>VLOOKUP($A14,[22]HISTODEC23!$A$6:$AU$36,43,0)</f>
        <v>0</v>
      </c>
      <c r="AC14" s="36">
        <f>VLOOKUP($A14,[22]HISTODEC23!$A$6:$AU$36,44,0)</f>
        <v>0</v>
      </c>
      <c r="AD14" s="36">
        <f>VLOOKUP($A14,[22]HISTODEC23!$A$6:$AU$36,47,0)</f>
        <v>0</v>
      </c>
      <c r="AE14" s="36">
        <f>VLOOKUP(A14,[22]HISTODEC23!$A$6:$BB$36,54,0)</f>
        <v>0</v>
      </c>
      <c r="AF14" s="36">
        <f>VLOOKUP($A14,[22]HISTODEC23!$A$6:$CA$36,60,0)</f>
        <v>0</v>
      </c>
      <c r="AG14" s="36">
        <f>VLOOKUP($A14,[22]HISTODEC23!$A$6:$CA$36,61,0)</f>
        <v>0</v>
      </c>
      <c r="AH14" s="36">
        <f>VLOOKUP($A14,[22]HISTODEC23!$A$6:$CA$36,62,0)</f>
        <v>0</v>
      </c>
      <c r="AI14" s="36">
        <f>VLOOKUP($A14,[22]HISTODEC23!$A$6:$CA$36,63,0)</f>
        <v>0</v>
      </c>
      <c r="AJ14" s="36">
        <f>VLOOKUP($A14,[22]HISTODEC23!$A$6:$CA$36,64,0)</f>
        <v>0</v>
      </c>
      <c r="AK14" s="36">
        <f>VLOOKUP($A14,[22]HISTODEC23!$A$6:$CA$36,65,0)</f>
        <v>0</v>
      </c>
      <c r="AL14" s="36">
        <f>VLOOKUP($A14,[20]DETAILFICHECASSATION!$A$6:$R$36,12,0)</f>
        <v>100000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>
        <f>VLOOKUP($A15,[23]FONDSCAISSE!$A$2:$G$33,4,0)</f>
        <v>700000</v>
      </c>
      <c r="D15" s="36">
        <f>VLOOKUP($A15,[20]DETAILFICHECASSATION!$A$6:$R$36,17,0)</f>
        <v>57899.603500921949</v>
      </c>
      <c r="E15" s="36"/>
      <c r="F15" s="36">
        <f t="shared" si="0"/>
        <v>757899.60350092198</v>
      </c>
      <c r="G15" s="5">
        <f t="shared" si="5"/>
        <v>757899.60350092198</v>
      </c>
      <c r="H15" s="36">
        <f t="shared" si="1"/>
        <v>41534.561943349836</v>
      </c>
      <c r="I15" s="6">
        <f t="shared" si="2"/>
        <v>799434.16544427187</v>
      </c>
      <c r="J15" s="36">
        <f>VLOOKUP($A15,[22]HISTODEC23!$A$6:$AQ$40,22,0)</f>
        <v>18000</v>
      </c>
      <c r="K15" s="36">
        <f>VLOOKUP($A15,[22]HISTODEC23!$A$6:$AU$36,45,0)</f>
        <v>15000</v>
      </c>
      <c r="L15" s="36">
        <f t="shared" si="3"/>
        <v>9000</v>
      </c>
      <c r="M15" s="36">
        <f t="shared" si="6"/>
        <v>1000</v>
      </c>
      <c r="N15" s="36">
        <f t="shared" si="4"/>
        <v>1000</v>
      </c>
      <c r="O15" s="36">
        <f t="shared" si="7"/>
        <v>4000</v>
      </c>
      <c r="P15" s="36">
        <f>VLOOKUP($A15,[22]HISTODEC23!$A$6:$AU$36,7,0)</f>
        <v>0</v>
      </c>
      <c r="Q15" s="36">
        <f>VLOOKUP($A15,[22]HISTODEC23!$A$6:$AU$36,23,0)</f>
        <v>0</v>
      </c>
      <c r="R15" s="36">
        <f>VLOOKUP($A15,[22]HISTODEC23!$A$6:$AU$36,46,0)</f>
        <v>0</v>
      </c>
      <c r="S15" s="36">
        <f>VLOOKUP($A15,[22]HISTODEC23!$A$6:$AU$36,26,0)</f>
        <v>0</v>
      </c>
      <c r="T15" s="36">
        <f>VLOOKUP($A15,[22]HISTODEC23!$A$6:$BG$36,58,0)</f>
        <v>0</v>
      </c>
      <c r="U15" s="36">
        <f>VLOOKUP($A15,[22]HISTODEC23!$A$6:$AU$36,28,0)</f>
        <v>0</v>
      </c>
      <c r="V15" s="36">
        <f>VLOOKUP($A15,[22]HISTODEC23!$A$6:$AU$36,19,0)</f>
        <v>0</v>
      </c>
      <c r="W15" s="36">
        <f>VLOOKUP($A15,[22]HISTODEC23!$A$6:$AU$36,20,0)</f>
        <v>0</v>
      </c>
      <c r="X15" s="36">
        <f>VLOOKUP($A15,[22]HISTODEC23!$A$6:$AU$36,27,0)</f>
        <v>0</v>
      </c>
      <c r="Y15" s="36">
        <f>VLOOKUP($A15,[22]HISTODEC23!$A$6:$BM$36,33,0)</f>
        <v>0</v>
      </c>
      <c r="Z15" s="36">
        <f>VLOOKUP($A15,[22]HISTODEC23!$A$6:$BM$36,65,0)</f>
        <v>0</v>
      </c>
      <c r="AA15" s="36"/>
      <c r="AB15" s="36">
        <f>VLOOKUP($A15,[22]HISTODEC23!$A$6:$AU$36,43,0)</f>
        <v>0</v>
      </c>
      <c r="AC15" s="36">
        <f>VLOOKUP($A15,[22]HISTODEC23!$A$6:$AU$36,44,0)</f>
        <v>0</v>
      </c>
      <c r="AD15" s="36">
        <f>VLOOKUP($A15,[22]HISTODEC23!$A$6:$AU$36,47,0)</f>
        <v>0</v>
      </c>
      <c r="AE15" s="36">
        <f>VLOOKUP(A15,[22]HISTODEC23!$A$6:$BB$36,54,0)</f>
        <v>0</v>
      </c>
      <c r="AF15" s="36">
        <f>VLOOKUP($A15,[22]HISTODEC23!$A$6:$CA$36,60,0)</f>
        <v>0</v>
      </c>
      <c r="AG15" s="36">
        <f>VLOOKUP($A15,[22]HISTODEC23!$A$6:$CA$36,61,0)</f>
        <v>0</v>
      </c>
      <c r="AH15" s="36">
        <f>VLOOKUP($A15,[22]HISTODEC23!$A$6:$CA$36,62,0)</f>
        <v>0</v>
      </c>
      <c r="AI15" s="36">
        <f>VLOOKUP($A15,[22]HISTODEC23!$A$6:$CA$36,63,0)</f>
        <v>0</v>
      </c>
      <c r="AJ15" s="36">
        <f>VLOOKUP($A15,[22]HISTODEC23!$A$6:$CA$36,64,0)</f>
        <v>0</v>
      </c>
      <c r="AK15" s="36">
        <f>VLOOKUP($A15,[22]HISTODEC23!$A$6:$CA$36,65,0)</f>
        <v>0</v>
      </c>
      <c r="AL15" s="36">
        <f>VLOOKUP($A15,[20]DETAILFICHECASSATION!$A$6:$R$36,12,0)</f>
        <v>100000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>
        <f>VLOOKUP($A16,[23]FONDSCAISSE!$A$2:$G$33,4,0)</f>
        <v>700000</v>
      </c>
      <c r="D16" s="36">
        <f>VLOOKUP($A16,[20]DETAILFICHECASSATION!$A$6:$R$36,17,0)</f>
        <v>29661.208104101592</v>
      </c>
      <c r="E16" s="36"/>
      <c r="F16" s="36">
        <f t="shared" si="0"/>
        <v>729661.20810410159</v>
      </c>
      <c r="G16" s="5">
        <f t="shared" si="5"/>
        <v>729661.20810410159</v>
      </c>
      <c r="H16" s="36">
        <f t="shared" si="1"/>
        <v>39987.035889275823</v>
      </c>
      <c r="I16" s="6">
        <f t="shared" si="2"/>
        <v>769648.24399337743</v>
      </c>
      <c r="J16" s="36">
        <f>VLOOKUP($A16,[22]HISTODEC23!$A$6:$AQ$40,22,0)</f>
        <v>12000</v>
      </c>
      <c r="K16" s="36">
        <f>VLOOKUP($A16,[22]HISTODEC23!$A$6:$AU$36,45,0)</f>
        <v>50000</v>
      </c>
      <c r="L16" s="36">
        <f t="shared" si="3"/>
        <v>44000</v>
      </c>
      <c r="M16" s="36">
        <f t="shared" si="6"/>
        <v>1000</v>
      </c>
      <c r="N16" s="36">
        <f t="shared" si="4"/>
        <v>1000</v>
      </c>
      <c r="O16" s="36">
        <f t="shared" si="7"/>
        <v>4000</v>
      </c>
      <c r="P16" s="36">
        <f>VLOOKUP($A16,[22]HISTODEC23!$A$6:$AU$36,7,0)</f>
        <v>0</v>
      </c>
      <c r="Q16" s="36">
        <f>VLOOKUP($A16,[22]HISTODEC23!$A$6:$AU$36,23,0)</f>
        <v>0</v>
      </c>
      <c r="R16" s="36">
        <f>VLOOKUP($A16,[22]HISTODEC23!$A$6:$AU$36,46,0)</f>
        <v>0</v>
      </c>
      <c r="S16" s="36">
        <f>VLOOKUP($A16,[22]HISTODEC23!$A$6:$AU$36,26,0)</f>
        <v>363500</v>
      </c>
      <c r="T16" s="36">
        <f>VLOOKUP($A16,[22]HISTODEC23!$A$6:$BG$36,58,0)</f>
        <v>0</v>
      </c>
      <c r="U16" s="36">
        <f>VLOOKUP($A16,[22]HISTODEC23!$A$6:$AU$36,28,0)</f>
        <v>0</v>
      </c>
      <c r="V16" s="36">
        <f>VLOOKUP($A16,[22]HISTODEC23!$A$6:$AU$36,19,0)</f>
        <v>363500</v>
      </c>
      <c r="W16" s="36" t="str">
        <f>VLOOKUP($A16,[22]HISTODEC23!$A$6:$AU$36,20,0)</f>
        <v>BANQUE</v>
      </c>
      <c r="X16" s="36">
        <f>VLOOKUP($A16,[22]HISTODEC23!$A$6:$AU$36,27,0)</f>
        <v>0</v>
      </c>
      <c r="Y16" s="36">
        <f>VLOOKUP($A16,[22]HISTODEC23!$A$6:$BM$36,33,0)</f>
        <v>0</v>
      </c>
      <c r="Z16" s="36">
        <f>VLOOKUP($A16,[22]HISTODEC23!$A$6:$BM$36,65,0)</f>
        <v>0</v>
      </c>
      <c r="AA16" s="36"/>
      <c r="AB16" s="36">
        <f>VLOOKUP($A16,[22]HISTODEC23!$A$6:$AU$36,43,0)</f>
        <v>0</v>
      </c>
      <c r="AC16" s="36">
        <f>VLOOKUP($A16,[22]HISTODEC23!$A$6:$AU$36,44,0)</f>
        <v>0</v>
      </c>
      <c r="AD16" s="36">
        <f>VLOOKUP($A16,[22]HISTODEC23!$A$6:$AU$36,47,0)</f>
        <v>0</v>
      </c>
      <c r="AE16" s="36">
        <f>VLOOKUP(A16,[22]HISTODEC23!$A$6:$BB$36,54,0)</f>
        <v>0</v>
      </c>
      <c r="AF16" s="36">
        <f>VLOOKUP($A16,[22]HISTODEC23!$A$6:$CA$36,60,0)</f>
        <v>0</v>
      </c>
      <c r="AG16" s="36">
        <f>VLOOKUP($A16,[22]HISTODEC23!$A$6:$CA$36,61,0)</f>
        <v>0</v>
      </c>
      <c r="AH16" s="36">
        <f>VLOOKUP($A16,[22]HISTODEC23!$A$6:$CA$36,62,0)</f>
        <v>0</v>
      </c>
      <c r="AI16" s="36">
        <f>VLOOKUP($A16,[22]HISTODEC23!$A$6:$CA$36,63,0)</f>
        <v>0</v>
      </c>
      <c r="AJ16" s="36">
        <f>VLOOKUP($A16,[22]HISTODEC23!$A$6:$CA$36,64,0)</f>
        <v>0</v>
      </c>
      <c r="AK16" s="36">
        <f>VLOOKUP($A16,[22]HISTODEC23!$A$6:$CA$36,65,0)</f>
        <v>0</v>
      </c>
      <c r="AL16" s="36">
        <f>VLOOKUP($A16,[20]DETAILFICHECASSATION!$A$6:$R$36,12,0)</f>
        <v>100000</v>
      </c>
    </row>
    <row r="17" spans="1:38" x14ac:dyDescent="0.25">
      <c r="A17" s="1" t="s">
        <v>33</v>
      </c>
      <c r="B17" s="1" t="str">
        <f>VLOOKUP(A17,[19]LISTADHERENT!A$5:H$60,3,0)</f>
        <v>KOUAMOU MOISE</v>
      </c>
      <c r="C17" s="36">
        <f>VLOOKUP($A17,[23]FONDSCAISSE!$A$2:$G$33,4,0)</f>
        <v>700000</v>
      </c>
      <c r="D17" s="36">
        <f>VLOOKUP($A17,[20]DETAILFICHECASSATION!$A$6:$R$36,17,0)</f>
        <v>9267.5051528789336</v>
      </c>
      <c r="E17" s="36"/>
      <c r="F17" s="36">
        <f t="shared" si="0"/>
        <v>709267.50515287893</v>
      </c>
      <c r="G17" s="5">
        <f t="shared" si="5"/>
        <v>709267.50515287893</v>
      </c>
      <c r="H17" s="36">
        <f t="shared" si="1"/>
        <v>38869.416201167878</v>
      </c>
      <c r="I17" s="6">
        <f t="shared" si="2"/>
        <v>748136.92135404679</v>
      </c>
      <c r="J17" s="36">
        <f>VLOOKUP($A17,[22]HISTODEC23!$A$6:$AQ$40,22,0)</f>
        <v>9000</v>
      </c>
      <c r="K17" s="36">
        <f>VLOOKUP($A17,[22]HISTODEC23!$A$6:$AU$36,45,0)</f>
        <v>15000</v>
      </c>
      <c r="L17" s="36">
        <f t="shared" si="3"/>
        <v>9000</v>
      </c>
      <c r="M17" s="36">
        <f t="shared" si="6"/>
        <v>1000</v>
      </c>
      <c r="N17" s="36">
        <f t="shared" si="4"/>
        <v>1000</v>
      </c>
      <c r="O17" s="36">
        <f t="shared" si="7"/>
        <v>4000</v>
      </c>
      <c r="P17" s="36">
        <f>VLOOKUP($A17,[22]HISTODEC23!$A$6:$AU$36,7,0)</f>
        <v>0</v>
      </c>
      <c r="Q17" s="36">
        <f>VLOOKUP($A17,[22]HISTODEC23!$A$6:$AU$36,23,0)</f>
        <v>0</v>
      </c>
      <c r="R17" s="36">
        <f>VLOOKUP($A17,[22]HISTODEC23!$A$6:$AU$36,46,0)</f>
        <v>0</v>
      </c>
      <c r="S17" s="36">
        <f>VLOOKUP($A17,[22]HISTODEC23!$A$6:$AU$36,26,0)</f>
        <v>0</v>
      </c>
      <c r="T17" s="36">
        <f>VLOOKUP($A17,[22]HISTODEC23!$A$6:$BG$36,58,0)</f>
        <v>0</v>
      </c>
      <c r="U17" s="36">
        <f>VLOOKUP($A17,[22]HISTODEC23!$A$6:$AU$36,28,0)</f>
        <v>0</v>
      </c>
      <c r="V17" s="36">
        <f>VLOOKUP($A17,[22]HISTODEC23!$A$6:$AU$36,19,0)</f>
        <v>1000000</v>
      </c>
      <c r="W17" s="36" t="str">
        <f>VLOOKUP($A17,[22]HISTODEC23!$A$6:$AU$36,20,0)</f>
        <v>BANQUE</v>
      </c>
      <c r="X17" s="36">
        <f>VLOOKUP($A17,[22]HISTODEC23!$A$6:$AU$36,27,0)</f>
        <v>0</v>
      </c>
      <c r="Y17" s="36">
        <f>VLOOKUP($A17,[22]HISTODEC23!$A$6:$BM$36,33,0)</f>
        <v>0</v>
      </c>
      <c r="Z17" s="36">
        <f>VLOOKUP($A17,[22]HISTODEC23!$A$6:$BM$36,65,0)</f>
        <v>0</v>
      </c>
      <c r="AA17" s="36"/>
      <c r="AB17" s="36">
        <f>VLOOKUP($A17,[22]HISTODEC23!$A$6:$AU$36,43,0)</f>
        <v>0</v>
      </c>
      <c r="AC17" s="36">
        <f>VLOOKUP($A17,[22]HISTODEC23!$A$6:$AU$36,44,0)</f>
        <v>0</v>
      </c>
      <c r="AD17" s="36">
        <f>VLOOKUP($A17,[22]HISTODEC23!$A$6:$AU$36,47,0)</f>
        <v>0</v>
      </c>
      <c r="AE17" s="36">
        <f>VLOOKUP(A17,[22]HISTODEC23!$A$6:$BB$36,54,0)</f>
        <v>0</v>
      </c>
      <c r="AF17" s="36">
        <f>VLOOKUP($A17,[22]HISTODEC23!$A$6:$CA$36,60,0)</f>
        <v>0</v>
      </c>
      <c r="AG17" s="36">
        <f>VLOOKUP($A17,[22]HISTODEC23!$A$6:$CA$36,61,0)</f>
        <v>0</v>
      </c>
      <c r="AH17" s="36">
        <f>VLOOKUP($A17,[22]HISTODEC23!$A$6:$CA$36,62,0)</f>
        <v>0</v>
      </c>
      <c r="AI17" s="36">
        <f>VLOOKUP($A17,[22]HISTODEC23!$A$6:$CA$36,63,0)</f>
        <v>0</v>
      </c>
      <c r="AJ17" s="36">
        <f>VLOOKUP($A17,[22]HISTODEC23!$A$6:$CA$36,64,0)</f>
        <v>0</v>
      </c>
      <c r="AK17" s="36">
        <f>VLOOKUP($A17,[22]HISTODEC23!$A$6:$CA$36,65,0)</f>
        <v>0</v>
      </c>
      <c r="AL17" s="36">
        <f>VLOOKUP($A17,[20]DETAILFICHECASSATION!$A$6:$R$36,12,0)</f>
        <v>100000</v>
      </c>
    </row>
    <row r="18" spans="1:38" x14ac:dyDescent="0.25">
      <c r="A18" s="1" t="s">
        <v>35</v>
      </c>
      <c r="B18" s="1" t="str">
        <f>VLOOKUP(A18,[19]LISTADHERENT!A$5:H$60,3,0)</f>
        <v>KOUATCHO MESSACK</v>
      </c>
      <c r="C18" s="36">
        <f>VLOOKUP($A18,[23]FONDSCAISSE!$A$2:$G$33,4,0)</f>
        <v>700000</v>
      </c>
      <c r="D18" s="36">
        <f>VLOOKUP($A18,[20]DETAILFICHECASSATION!$A$6:$R$36,17,0)</f>
        <v>24428.628065245139</v>
      </c>
      <c r="E18" s="36"/>
      <c r="F18" s="36">
        <f t="shared" si="0"/>
        <v>724428.62806524511</v>
      </c>
      <c r="G18" s="5">
        <f t="shared" si="5"/>
        <v>724428.62806524511</v>
      </c>
      <c r="H18" s="36">
        <f t="shared" si="1"/>
        <v>39700.279017068067</v>
      </c>
      <c r="I18" s="6">
        <f t="shared" si="2"/>
        <v>764128.90708231321</v>
      </c>
      <c r="J18" s="36">
        <f>VLOOKUP($A18,[22]HISTODEC23!$A$6:$AQ$40,22,0)</f>
        <v>3000</v>
      </c>
      <c r="K18" s="36">
        <f>VLOOKUP($A18,[22]HISTODEC23!$A$6:$AU$36,45,0)</f>
        <v>15000</v>
      </c>
      <c r="L18" s="36">
        <f t="shared" si="3"/>
        <v>9000</v>
      </c>
      <c r="M18" s="36">
        <f t="shared" si="6"/>
        <v>1000</v>
      </c>
      <c r="N18" s="36">
        <f t="shared" si="4"/>
        <v>1000</v>
      </c>
      <c r="O18" s="36">
        <f t="shared" si="7"/>
        <v>4000</v>
      </c>
      <c r="P18" s="36">
        <f>VLOOKUP($A18,[22]HISTODEC23!$A$6:$AU$36,7,0)</f>
        <v>0</v>
      </c>
      <c r="Q18" s="36">
        <f>VLOOKUP($A18,[22]HISTODEC23!$A$6:$AU$36,23,0)</f>
        <v>0</v>
      </c>
      <c r="R18" s="36">
        <f>VLOOKUP($A18,[22]HISTODEC23!$A$6:$AU$36,46,0)</f>
        <v>0</v>
      </c>
      <c r="S18" s="36">
        <f>VLOOKUP($A18,[22]HISTODEC23!$A$6:$AU$36,26,0)</f>
        <v>1000000</v>
      </c>
      <c r="T18" s="36">
        <f>VLOOKUP($A18,[22]HISTODEC23!$A$6:$BG$36,58,0)</f>
        <v>50000</v>
      </c>
      <c r="U18" s="36">
        <f>VLOOKUP($A18,[22]HISTODEC23!$A$6:$AU$36,28,0)</f>
        <v>0</v>
      </c>
      <c r="V18" s="36">
        <f>VLOOKUP($A18,[22]HISTODEC23!$A$6:$AU$36,19,0)</f>
        <v>1000000</v>
      </c>
      <c r="W18" s="36" t="str">
        <f>VLOOKUP($A18,[22]HISTODEC23!$A$6:$AU$36,20,0)</f>
        <v>BANQUE</v>
      </c>
      <c r="X18" s="36" t="str">
        <f>VLOOKUP($A18,[22]HISTODEC23!$A$6:$AU$36,27,0)</f>
        <v>BANQUE</v>
      </c>
      <c r="Y18" s="36">
        <f>VLOOKUP($A18,[22]HISTODEC23!$A$6:$BM$36,33,0)</f>
        <v>0</v>
      </c>
      <c r="Z18" s="36">
        <f>VLOOKUP($A18,[22]HISTODEC23!$A$6:$BM$36,65,0)</f>
        <v>0</v>
      </c>
      <c r="AA18" s="36"/>
      <c r="AB18" s="36">
        <f>VLOOKUP($A18,[22]HISTODEC23!$A$6:$AU$36,43,0)</f>
        <v>0</v>
      </c>
      <c r="AC18" s="36">
        <f>VLOOKUP($A18,[22]HISTODEC23!$A$6:$AU$36,44,0)</f>
        <v>0</v>
      </c>
      <c r="AD18" s="36">
        <f>VLOOKUP($A18,[22]HISTODEC23!$A$6:$AU$36,47,0)</f>
        <v>0</v>
      </c>
      <c r="AE18" s="36">
        <f>VLOOKUP(A18,[22]HISTODEC23!$A$6:$BB$36,54,0)</f>
        <v>0</v>
      </c>
      <c r="AF18" s="36">
        <f>VLOOKUP($A18,[22]HISTODEC23!$A$6:$CA$36,60,0)</f>
        <v>0</v>
      </c>
      <c r="AG18" s="36">
        <f>VLOOKUP($A18,[22]HISTODEC23!$A$6:$CA$36,61,0)</f>
        <v>0</v>
      </c>
      <c r="AH18" s="36">
        <f>VLOOKUP($A18,[22]HISTODEC23!$A$6:$CA$36,62,0)</f>
        <v>0</v>
      </c>
      <c r="AI18" s="36">
        <f>VLOOKUP($A18,[22]HISTODEC23!$A$6:$CA$36,63,0)</f>
        <v>0</v>
      </c>
      <c r="AJ18" s="36">
        <f>VLOOKUP($A18,[22]HISTODEC23!$A$6:$CA$36,64,0)</f>
        <v>0</v>
      </c>
      <c r="AK18" s="36">
        <f>VLOOKUP($A18,[22]HISTODEC23!$A$6:$CA$36,65,0)</f>
        <v>0</v>
      </c>
      <c r="AL18" s="36">
        <f>VLOOKUP($A18,[20]DETAILFICHECASSATION!$A$6:$R$36,12,0)</f>
        <v>100000</v>
      </c>
    </row>
    <row r="19" spans="1:38" x14ac:dyDescent="0.25">
      <c r="A19" s="1" t="s">
        <v>36</v>
      </c>
      <c r="B19" s="1" t="str">
        <f>VLOOKUP(A19,[19]LISTADHERENT!A$5:H$60,3,0)</f>
        <v>LOWE JEAN</v>
      </c>
      <c r="C19" s="36">
        <f>VLOOKUP($A19,[23]FONDSCAISSE!$A$2:$G$33,4,0)</f>
        <v>676217.13072703336</v>
      </c>
      <c r="D19" s="36"/>
      <c r="E19" s="36"/>
      <c r="F19" s="36">
        <f t="shared" si="0"/>
        <v>676217.13072703336</v>
      </c>
      <c r="G19" s="5">
        <f t="shared" si="5"/>
        <v>0</v>
      </c>
      <c r="H19" s="36">
        <f t="shared" si="1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</row>
    <row r="20" spans="1:38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/>
      <c r="F20" s="36">
        <f t="shared" si="0"/>
        <v>0</v>
      </c>
      <c r="G20" s="5">
        <f t="shared" si="5"/>
        <v>0</v>
      </c>
      <c r="H20" s="36">
        <f t="shared" si="1"/>
        <v>0</v>
      </c>
      <c r="I20" s="6">
        <f t="shared" si="2"/>
        <v>0</v>
      </c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</row>
    <row r="21" spans="1:38" x14ac:dyDescent="0.25">
      <c r="A21" s="1" t="s">
        <v>75</v>
      </c>
      <c r="B21" s="1" t="str">
        <f>VLOOKUP(A21,[19]LISTADHERENT!A$5:H$60,3,0)</f>
        <v>MBOGNING TUGMA GUY</v>
      </c>
      <c r="C21" s="36">
        <f>VLOOKUP($A21,[23]FONDSCAISSE!$A$2:$G$33,4,0)</f>
        <v>700000</v>
      </c>
      <c r="D21" s="36">
        <f>VLOOKUP($A21,[20]DETAILFICHECASSATION!$A$6:$R$36,17,0)</f>
        <v>31709.397241182596</v>
      </c>
      <c r="E21" s="36"/>
      <c r="F21" s="36">
        <f t="shared" si="0"/>
        <v>731709.39724118263</v>
      </c>
      <c r="G21" s="5">
        <f t="shared" si="5"/>
        <v>731709.39724118263</v>
      </c>
      <c r="H21" s="36">
        <f t="shared" si="1"/>
        <v>40099.281149984265</v>
      </c>
      <c r="I21" s="6">
        <f t="shared" si="2"/>
        <v>771808.67839116685</v>
      </c>
      <c r="J21" s="36">
        <f>VLOOKUP($A21,[22]HISTODEC23!$A$6:$AQ$40,22,0)</f>
        <v>0</v>
      </c>
      <c r="K21" s="36">
        <f>VLOOKUP($A21,[22]HISTODEC23!$A$6:$AU$36,45,0)</f>
        <v>15000</v>
      </c>
      <c r="L21" s="36">
        <f t="shared" si="3"/>
        <v>9000</v>
      </c>
      <c r="M21" s="36">
        <f t="shared" si="6"/>
        <v>1000</v>
      </c>
      <c r="N21" s="36">
        <f t="shared" si="4"/>
        <v>1000</v>
      </c>
      <c r="O21" s="36">
        <f t="shared" si="7"/>
        <v>4000</v>
      </c>
      <c r="P21" s="36">
        <f>VLOOKUP($A21,[22]HISTODEC23!$A$6:$AU$36,7,0)</f>
        <v>0</v>
      </c>
      <c r="Q21" s="36">
        <f>VLOOKUP($A21,[22]HISTODEC23!$A$6:$AU$36,23,0)</f>
        <v>0</v>
      </c>
      <c r="R21" s="36">
        <f>VLOOKUP($A21,[22]HISTODEC23!$A$6:$AU$36,46,0)</f>
        <v>0</v>
      </c>
      <c r="S21" s="36">
        <f>VLOOKUP($A21,[22]HISTODEC23!$A$6:$AU$36,26,0)</f>
        <v>1000000</v>
      </c>
      <c r="T21" s="36">
        <f>VLOOKUP($A21,[22]HISTODEC23!$A$6:$BG$36,58,0)</f>
        <v>60000</v>
      </c>
      <c r="U21" s="36">
        <f>VLOOKUP($A21,[22]HISTODEC23!$A$6:$AU$36,28,0)</f>
        <v>0</v>
      </c>
      <c r="V21" s="36">
        <f>VLOOKUP($A21,[22]HISTODEC23!$A$6:$AU$36,19,0)</f>
        <v>1000000</v>
      </c>
      <c r="W21" s="36" t="str">
        <f>VLOOKUP($A21,[22]HISTODEC23!$A$6:$AU$36,20,0)</f>
        <v>BANQUE</v>
      </c>
      <c r="X21" s="36" t="str">
        <f>VLOOKUP($A21,[22]HISTODEC23!$A$6:$AU$36,27,0)</f>
        <v>BANQUE</v>
      </c>
      <c r="Y21" s="36">
        <f>VLOOKUP($A21,[22]HISTODEC23!$A$6:$BM$36,33,0)</f>
        <v>0</v>
      </c>
      <c r="Z21" s="36">
        <f>VLOOKUP($A21,[22]HISTODEC23!$A$6:$BM$36,65,0)</f>
        <v>0</v>
      </c>
      <c r="AA21" s="36"/>
      <c r="AB21" s="36">
        <f>VLOOKUP($A21,[22]HISTODEC23!$A$6:$AU$36,43,0)</f>
        <v>0</v>
      </c>
      <c r="AC21" s="36">
        <f>VLOOKUP($A21,[22]HISTODEC23!$A$6:$AU$36,44,0)</f>
        <v>0</v>
      </c>
      <c r="AD21" s="36">
        <f>VLOOKUP($A21,[22]HISTODEC23!$A$6:$AU$36,47,0)</f>
        <v>0</v>
      </c>
      <c r="AE21" s="36">
        <f>VLOOKUP(A21,[22]HISTODEC23!$A$6:$BB$36,54,0)</f>
        <v>0</v>
      </c>
      <c r="AF21" s="36">
        <f>VLOOKUP($A21,[22]HISTODEC23!$A$6:$CA$36,60,0)</f>
        <v>0</v>
      </c>
      <c r="AG21" s="36">
        <f>VLOOKUP($A21,[22]HISTODEC23!$A$6:$CA$36,61,0)</f>
        <v>0</v>
      </c>
      <c r="AH21" s="36">
        <f>VLOOKUP($A21,[22]HISTODEC23!$A$6:$CA$36,62,0)</f>
        <v>0</v>
      </c>
      <c r="AI21" s="36">
        <f>VLOOKUP($A21,[22]HISTODEC23!$A$6:$CA$36,63,0)</f>
        <v>0</v>
      </c>
      <c r="AJ21" s="36">
        <f>VLOOKUP($A21,[22]HISTODEC23!$A$6:$CA$36,64,0)</f>
        <v>0</v>
      </c>
      <c r="AK21" s="36">
        <f>VLOOKUP($A21,[22]HISTODEC23!$A$6:$CA$36,65,0)</f>
        <v>0</v>
      </c>
      <c r="AL21" s="36">
        <f>VLOOKUP($A21,[20]DETAILFICHECASSATION!$A$6:$R$36,12,0)</f>
        <v>100000</v>
      </c>
    </row>
    <row r="22" spans="1:38" x14ac:dyDescent="0.25">
      <c r="A22" s="1" t="s">
        <v>50</v>
      </c>
      <c r="B22" s="1" t="str">
        <f>VLOOKUP(A22,[19]LISTADHERENT!A$5:H$60,3,0)</f>
        <v>NANGUEN MARTIN</v>
      </c>
      <c r="C22" s="36">
        <f>VLOOKUP($A22,[23]FONDSCAISSE!$A$2:$G$33,4,0)</f>
        <v>700000</v>
      </c>
      <c r="D22" s="36">
        <f>VLOOKUP($A22,[20]DETAILFICHECASSATION!$A$6:$R$36,17,0)</f>
        <v>1150.3620808817795</v>
      </c>
      <c r="E22" s="36"/>
      <c r="F22" s="36">
        <f t="shared" si="0"/>
        <v>701150.36208088184</v>
      </c>
      <c r="G22" s="5">
        <f t="shared" si="5"/>
        <v>701150.36208088184</v>
      </c>
      <c r="H22" s="36">
        <f t="shared" si="1"/>
        <v>38424.578942816566</v>
      </c>
      <c r="I22" s="6">
        <f t="shared" si="2"/>
        <v>739574.94102369843</v>
      </c>
      <c r="J22" s="36">
        <f>VLOOKUP($A22,[22]HISTODEC23!$A$6:$AQ$40,22,0)</f>
        <v>0</v>
      </c>
      <c r="K22" s="36">
        <f>VLOOKUP($A22,[22]HISTODEC23!$A$6:$AU$36,45,0)</f>
        <v>15000</v>
      </c>
      <c r="L22" s="36">
        <f t="shared" si="3"/>
        <v>9000</v>
      </c>
      <c r="M22" s="36">
        <f t="shared" si="6"/>
        <v>1000</v>
      </c>
      <c r="N22" s="36">
        <f t="shared" si="4"/>
        <v>1000</v>
      </c>
      <c r="O22" s="36">
        <f t="shared" si="7"/>
        <v>4000</v>
      </c>
      <c r="P22" s="36">
        <f>VLOOKUP($A22,[22]HISTODEC23!$A$6:$AU$36,7,0)</f>
        <v>0</v>
      </c>
      <c r="Q22" s="36">
        <f>VLOOKUP($A22,[22]HISTODEC23!$A$6:$AU$36,23,0)</f>
        <v>0</v>
      </c>
      <c r="R22" s="36">
        <f>VLOOKUP($A22,[22]HISTODEC23!$A$6:$AU$36,46,0)</f>
        <v>0</v>
      </c>
      <c r="S22" s="36">
        <f>VLOOKUP($A22,[22]HISTODEC23!$A$6:$AU$36,26,0)</f>
        <v>300000</v>
      </c>
      <c r="T22" s="36">
        <f>VLOOKUP($A22,[22]HISTODEC23!$A$6:$BG$36,58,0)</f>
        <v>18000</v>
      </c>
      <c r="U22" s="36">
        <f>VLOOKUP($A22,[22]HISTODEC23!$A$6:$AU$36,28,0)</f>
        <v>0</v>
      </c>
      <c r="V22" s="36">
        <f>VLOOKUP($A22,[22]HISTODEC23!$A$6:$AU$36,19,0)</f>
        <v>500000</v>
      </c>
      <c r="W22" s="36" t="str">
        <f>VLOOKUP($A22,[22]HISTODEC23!$A$6:$AU$36,20,0)</f>
        <v>BANQUE</v>
      </c>
      <c r="X22" s="36" t="str">
        <f>VLOOKUP($A22,[22]HISTODEC23!$A$6:$AU$36,27,0)</f>
        <v>BANQUE</v>
      </c>
      <c r="Y22" s="36">
        <f>VLOOKUP($A22,[22]HISTODEC23!$A$6:$BM$36,33,0)</f>
        <v>0</v>
      </c>
      <c r="Z22" s="36">
        <f>VLOOKUP($A22,[22]HISTODEC23!$A$6:$BM$36,65,0)</f>
        <v>0</v>
      </c>
      <c r="AA22" s="36"/>
      <c r="AB22" s="36">
        <f>VLOOKUP($A22,[22]HISTODEC23!$A$6:$AU$36,43,0)</f>
        <v>0</v>
      </c>
      <c r="AC22" s="36">
        <f>VLOOKUP($A22,[22]HISTODEC23!$A$6:$AU$36,44,0)</f>
        <v>0</v>
      </c>
      <c r="AD22" s="36">
        <f>VLOOKUP($A22,[22]HISTODEC23!$A$6:$AU$36,47,0)</f>
        <v>0</v>
      </c>
      <c r="AE22" s="36">
        <f>VLOOKUP(A22,[22]HISTODEC23!$A$6:$BB$36,54,0)</f>
        <v>0</v>
      </c>
      <c r="AF22" s="36">
        <f>VLOOKUP($A22,[22]HISTODEC23!$A$6:$CA$36,60,0)</f>
        <v>0</v>
      </c>
      <c r="AG22" s="36">
        <f>VLOOKUP($A22,[22]HISTODEC23!$A$6:$CA$36,61,0)</f>
        <v>0</v>
      </c>
      <c r="AH22" s="36">
        <f>VLOOKUP($A22,[22]HISTODEC23!$A$6:$CA$36,62,0)</f>
        <v>0</v>
      </c>
      <c r="AI22" s="36">
        <f>VLOOKUP($A22,[22]HISTODEC23!$A$6:$CA$36,63,0)</f>
        <v>0</v>
      </c>
      <c r="AJ22" s="36">
        <f>VLOOKUP($A22,[22]HISTODEC23!$A$6:$CA$36,64,0)</f>
        <v>0</v>
      </c>
      <c r="AK22" s="36">
        <f>VLOOKUP($A22,[22]HISTODEC23!$A$6:$CA$36,65,0)</f>
        <v>0</v>
      </c>
      <c r="AL22" s="36">
        <f>VLOOKUP($A22,[20]DETAILFICHECASSATION!$A$6:$R$36,12,0)</f>
        <v>100000</v>
      </c>
    </row>
    <row r="23" spans="1:38" x14ac:dyDescent="0.25">
      <c r="A23" s="1" t="s">
        <v>37</v>
      </c>
      <c r="B23" s="1" t="str">
        <f>VLOOKUP(A23,[19]LISTADHERENT!A$5:H$60,3,0)</f>
        <v>NANKAM APPOLINAIRE</v>
      </c>
      <c r="C23" s="36">
        <f>VLOOKUP($A23,[23]FONDSCAISSE!$A$2:$G$33,4,0)</f>
        <v>700000</v>
      </c>
      <c r="D23" s="36">
        <f>VLOOKUP($A23,[20]DETAILFICHECASSATION!$A$6:$R$36,17,0)</f>
        <v>100402.23439018801</v>
      </c>
      <c r="E23" s="36"/>
      <c r="F23" s="36">
        <f t="shared" si="0"/>
        <v>800402.23439018801</v>
      </c>
      <c r="G23" s="5">
        <f t="shared" si="5"/>
        <v>800402.23439018801</v>
      </c>
      <c r="H23" s="36">
        <f t="shared" si="1"/>
        <v>43863.799413947621</v>
      </c>
      <c r="I23" s="6">
        <f t="shared" si="2"/>
        <v>844266.03380413563</v>
      </c>
      <c r="J23" s="36">
        <f>VLOOKUP($A23,[22]HISTODEC23!$A$6:$AQ$40,22,0)</f>
        <v>20000</v>
      </c>
      <c r="K23" s="36">
        <f>VLOOKUP($A23,[22]HISTODEC23!$A$6:$AU$36,45,0)</f>
        <v>15000</v>
      </c>
      <c r="L23" s="36">
        <f t="shared" si="3"/>
        <v>9000</v>
      </c>
      <c r="M23" s="36">
        <f t="shared" si="6"/>
        <v>1000</v>
      </c>
      <c r="N23" s="36">
        <f t="shared" si="4"/>
        <v>1000</v>
      </c>
      <c r="O23" s="36">
        <f t="shared" si="7"/>
        <v>4000</v>
      </c>
      <c r="P23" s="36">
        <f>VLOOKUP($A23,[22]HISTODEC23!$A$6:$AU$36,7,0)</f>
        <v>0</v>
      </c>
      <c r="Q23" s="36">
        <f>VLOOKUP($A23,[22]HISTODEC23!$A$6:$AU$36,23,0)</f>
        <v>0</v>
      </c>
      <c r="R23" s="36">
        <f>VLOOKUP($A23,[22]HISTODEC23!$A$6:$AU$36,46,0)</f>
        <v>0</v>
      </c>
      <c r="S23" s="36">
        <f>VLOOKUP($A23,[22]HISTODEC23!$A$6:$AU$36,26,0)</f>
        <v>1000000</v>
      </c>
      <c r="T23" s="36">
        <f>VLOOKUP($A23,[22]HISTODEC23!$A$6:$BG$36,58,0)</f>
        <v>120000</v>
      </c>
      <c r="U23" s="36">
        <f>VLOOKUP($A23,[22]HISTODEC23!$A$6:$AU$36,28,0)</f>
        <v>0</v>
      </c>
      <c r="V23" s="36">
        <f>VLOOKUP($A23,[22]HISTODEC23!$A$6:$AU$36,19,0)</f>
        <v>107500</v>
      </c>
      <c r="W23" s="36" t="str">
        <f>VLOOKUP($A23,[22]HISTODEC23!$A$6:$AU$36,20,0)</f>
        <v>BANQUE</v>
      </c>
      <c r="X23" s="36" t="str">
        <f>VLOOKUP($A23,[22]HISTODEC23!$A$6:$AU$36,27,0)</f>
        <v>BANQUE</v>
      </c>
      <c r="Y23" s="36">
        <f>VLOOKUP($A23,[22]HISTODEC23!$A$6:$BM$36,33,0)</f>
        <v>0</v>
      </c>
      <c r="Z23" s="36">
        <f>VLOOKUP($A23,[22]HISTODEC23!$A$6:$BM$36,65,0)</f>
        <v>0</v>
      </c>
      <c r="AA23" s="36"/>
      <c r="AB23" s="36">
        <f>VLOOKUP($A23,[22]HISTODEC23!$A$6:$AU$36,43,0)</f>
        <v>0</v>
      </c>
      <c r="AC23" s="36">
        <f>VLOOKUP($A23,[22]HISTODEC23!$A$6:$AU$36,44,0)</f>
        <v>0</v>
      </c>
      <c r="AD23" s="36">
        <f>VLOOKUP($A23,[22]HISTODEC23!$A$6:$AU$36,47,0)</f>
        <v>0</v>
      </c>
      <c r="AE23" s="36">
        <f>VLOOKUP(A23,[22]HISTODEC23!$A$6:$BB$36,54,0)</f>
        <v>0</v>
      </c>
      <c r="AF23" s="36">
        <f>VLOOKUP($A23,[22]HISTODEC23!$A$6:$CA$36,60,0)</f>
        <v>0</v>
      </c>
      <c r="AG23" s="36">
        <f>VLOOKUP($A23,[22]HISTODEC23!$A$6:$CA$36,61,0)</f>
        <v>0</v>
      </c>
      <c r="AH23" s="36">
        <f>VLOOKUP($A23,[22]HISTODEC23!$A$6:$CA$36,62,0)</f>
        <v>0</v>
      </c>
      <c r="AI23" s="36">
        <f>VLOOKUP($A23,[22]HISTODEC23!$A$6:$CA$36,63,0)</f>
        <v>0</v>
      </c>
      <c r="AJ23" s="36">
        <f>VLOOKUP($A23,[22]HISTODEC23!$A$6:$CA$36,64,0)</f>
        <v>0</v>
      </c>
      <c r="AK23" s="36">
        <f>VLOOKUP($A23,[22]HISTODEC23!$A$6:$CA$36,65,0)</f>
        <v>0</v>
      </c>
      <c r="AL23" s="36">
        <f>VLOOKUP($A23,[20]DETAILFICHECASSATION!$A$6:$R$36,12,0)</f>
        <v>100000</v>
      </c>
    </row>
    <row r="24" spans="1:38" x14ac:dyDescent="0.25">
      <c r="A24" s="1" t="s">
        <v>38</v>
      </c>
      <c r="B24" s="1" t="str">
        <f>VLOOKUP(A24,[19]LISTADHERENT!A$5:H$60,3,0)</f>
        <v>NDJOMO ETIENNE</v>
      </c>
      <c r="C24" s="36">
        <f>VLOOKUP($A24,[23]FONDSCAISSE!$A$2:$G$33,4,0)</f>
        <v>700000</v>
      </c>
      <c r="D24" s="36">
        <f>VLOOKUP($A24,[20]DETAILFICHECASSATION!$A$6:$R$36,17,0)</f>
        <v>224970.61781197961</v>
      </c>
      <c r="E24" s="36"/>
      <c r="F24" s="36">
        <f t="shared" si="0"/>
        <v>924970.61781197961</v>
      </c>
      <c r="G24" s="5">
        <f t="shared" si="5"/>
        <v>924970.61781197961</v>
      </c>
      <c r="H24" s="36">
        <f t="shared" si="1"/>
        <v>50690.420266519504</v>
      </c>
      <c r="I24" s="6">
        <f t="shared" si="2"/>
        <v>975661.03807849914</v>
      </c>
      <c r="J24" s="36">
        <f>VLOOKUP($A24,[22]HISTODEC23!$A$6:$AQ$40,22,0)</f>
        <v>0</v>
      </c>
      <c r="K24" s="36">
        <f>VLOOKUP($A24,[22]HISTODEC23!$A$6:$AU$36,45,0)</f>
        <v>25000</v>
      </c>
      <c r="L24" s="36">
        <f t="shared" si="3"/>
        <v>19000</v>
      </c>
      <c r="M24" s="36">
        <f t="shared" si="6"/>
        <v>1000</v>
      </c>
      <c r="N24" s="36">
        <f t="shared" si="4"/>
        <v>1000</v>
      </c>
      <c r="O24" s="36">
        <f t="shared" si="7"/>
        <v>4000</v>
      </c>
      <c r="P24" s="36">
        <f>VLOOKUP($A24,[22]HISTODEC23!$A$6:$AU$36,7,0)</f>
        <v>0</v>
      </c>
      <c r="Q24" s="36">
        <f>VLOOKUP($A24,[22]HISTODEC23!$A$6:$AU$36,23,0)</f>
        <v>0</v>
      </c>
      <c r="R24" s="36">
        <f>VLOOKUP($A24,[22]HISTODEC23!$A$6:$AU$36,46,0)</f>
        <v>0</v>
      </c>
      <c r="S24" s="36">
        <f>VLOOKUP($A24,[22]HISTODEC23!$A$6:$AU$36,26,0)</f>
        <v>500000</v>
      </c>
      <c r="T24" s="36">
        <f>VLOOKUP($A24,[22]HISTODEC23!$A$6:$BG$36,58,0)</f>
        <v>30000</v>
      </c>
      <c r="U24" s="36">
        <f>VLOOKUP($A24,[22]HISTODEC23!$A$6:$AU$36,28,0)</f>
        <v>0</v>
      </c>
      <c r="V24" s="36">
        <f>VLOOKUP($A24,[22]HISTODEC23!$A$6:$AU$36,19,0)</f>
        <v>600000</v>
      </c>
      <c r="W24" s="36" t="str">
        <f>VLOOKUP($A24,[22]HISTODEC23!$A$6:$AU$36,20,0)</f>
        <v>BANQUE</v>
      </c>
      <c r="X24" s="36" t="str">
        <f>VLOOKUP($A24,[22]HISTODEC23!$A$6:$AU$36,27,0)</f>
        <v>BANQUE</v>
      </c>
      <c r="Y24" s="36">
        <f>VLOOKUP($A24,[22]HISTODEC23!$A$6:$BM$36,33,0)</f>
        <v>0</v>
      </c>
      <c r="Z24" s="36">
        <f>VLOOKUP($A24,[22]HISTODEC23!$A$6:$BM$36,65,0)</f>
        <v>0</v>
      </c>
      <c r="AA24" s="36"/>
      <c r="AB24" s="36">
        <f>VLOOKUP($A24,[22]HISTODEC23!$A$6:$AU$36,43,0)</f>
        <v>0</v>
      </c>
      <c r="AC24" s="36">
        <f>VLOOKUP($A24,[22]HISTODEC23!$A$6:$AU$36,44,0)</f>
        <v>0</v>
      </c>
      <c r="AD24" s="36">
        <f>VLOOKUP($A24,[22]HISTODEC23!$A$6:$AU$36,47,0)</f>
        <v>0</v>
      </c>
      <c r="AE24" s="36">
        <f>VLOOKUP(A24,[22]HISTODEC23!$A$6:$BB$36,54,0)</f>
        <v>0</v>
      </c>
      <c r="AF24" s="36">
        <f>VLOOKUP($A24,[22]HISTODEC23!$A$6:$CA$36,60,0)</f>
        <v>0</v>
      </c>
      <c r="AG24" s="36">
        <f>VLOOKUP($A24,[22]HISTODEC23!$A$6:$CA$36,61,0)</f>
        <v>0</v>
      </c>
      <c r="AH24" s="36">
        <f>VLOOKUP($A24,[22]HISTODEC23!$A$6:$CA$36,62,0)</f>
        <v>0</v>
      </c>
      <c r="AI24" s="36">
        <f>VLOOKUP($A24,[22]HISTODEC23!$A$6:$CA$36,63,0)</f>
        <v>0</v>
      </c>
      <c r="AJ24" s="36">
        <f>VLOOKUP($A24,[22]HISTODEC23!$A$6:$CA$36,64,0)</f>
        <v>0</v>
      </c>
      <c r="AK24" s="36">
        <f>VLOOKUP($A24,[22]HISTODEC23!$A$6:$CA$36,65,0)</f>
        <v>0</v>
      </c>
      <c r="AL24" s="36">
        <f>VLOOKUP($A24,[20]DETAILFICHECASSATION!$A$6:$R$36,12,0)</f>
        <v>100000</v>
      </c>
    </row>
    <row r="25" spans="1:38" x14ac:dyDescent="0.25">
      <c r="A25" s="1" t="s">
        <v>39</v>
      </c>
      <c r="B25" s="1" t="str">
        <f>VLOOKUP(A25,[19]LISTADHERENT!A$5:H$60,3,0)</f>
        <v>NGONDIEP CLAUDE</v>
      </c>
      <c r="C25" s="36">
        <f>VLOOKUP($A25,[23]FONDSCAISSE!$A$2:$G$33,4,0)</f>
        <v>700000</v>
      </c>
      <c r="D25" s="36">
        <f>VLOOKUP($A25,[20]DETAILFICHECASSATION!$A$6:$R$36,17,0)</f>
        <v>57632.732271146844</v>
      </c>
      <c r="E25" s="36"/>
      <c r="F25" s="36">
        <f t="shared" si="0"/>
        <v>757632.73227114684</v>
      </c>
      <c r="G25" s="5">
        <f t="shared" si="5"/>
        <v>757632.73227114684</v>
      </c>
      <c r="H25" s="36">
        <f t="shared" si="1"/>
        <v>41519.936814146982</v>
      </c>
      <c r="I25" s="6">
        <f t="shared" si="2"/>
        <v>799152.66908529378</v>
      </c>
      <c r="J25" s="36">
        <f>VLOOKUP($A25,[22]HISTODEC23!$A$6:$AQ$40,22,0)</f>
        <v>15000</v>
      </c>
      <c r="K25" s="36">
        <f>VLOOKUP($A25,[22]HISTODEC23!$A$6:$AU$36,45,0)</f>
        <v>15000</v>
      </c>
      <c r="L25" s="36">
        <f t="shared" si="3"/>
        <v>9000</v>
      </c>
      <c r="M25" s="36">
        <f t="shared" si="6"/>
        <v>1000</v>
      </c>
      <c r="N25" s="36">
        <f t="shared" si="4"/>
        <v>1000</v>
      </c>
      <c r="O25" s="36">
        <f t="shared" si="7"/>
        <v>4000</v>
      </c>
      <c r="P25" s="36">
        <f>VLOOKUP($A25,[22]HISTODEC23!$A$6:$AU$36,7,0)</f>
        <v>0</v>
      </c>
      <c r="Q25" s="36">
        <f>VLOOKUP($A25,[22]HISTODEC23!$A$6:$AU$36,23,0)</f>
        <v>0</v>
      </c>
      <c r="R25" s="36">
        <f>VLOOKUP($A25,[22]HISTODEC23!$A$6:$AU$36,46,0)</f>
        <v>0</v>
      </c>
      <c r="S25" s="36">
        <f>VLOOKUP($A25,[22]HISTODEC23!$A$6:$AU$36,26,0)</f>
        <v>1000000</v>
      </c>
      <c r="T25" s="36">
        <f>VLOOKUP($A25,[22]HISTODEC23!$A$6:$BG$36,58,0)</f>
        <v>120000</v>
      </c>
      <c r="U25" s="36">
        <f>VLOOKUP($A25,[22]HISTODEC23!$A$6:$AU$36,28,0)</f>
        <v>0</v>
      </c>
      <c r="V25" s="36">
        <f>VLOOKUP($A25,[22]HISTODEC23!$A$6:$AU$36,19,0)</f>
        <v>1000000</v>
      </c>
      <c r="W25" s="36" t="str">
        <f>VLOOKUP($A25,[22]HISTODEC23!$A$6:$AU$36,20,0)</f>
        <v>BANQUE</v>
      </c>
      <c r="X25" s="36" t="str">
        <f>VLOOKUP($A25,[22]HISTODEC23!$A$6:$AU$36,27,0)</f>
        <v>BANQUE</v>
      </c>
      <c r="Y25" s="36">
        <f>VLOOKUP($A25,[22]HISTODEC23!$A$6:$BM$36,33,0)</f>
        <v>0</v>
      </c>
      <c r="Z25" s="36">
        <f>VLOOKUP($A25,[22]HISTODEC23!$A$6:$BM$36,65,0)</f>
        <v>0</v>
      </c>
      <c r="AA25" s="36"/>
      <c r="AB25" s="36">
        <f>VLOOKUP($A25,[22]HISTODEC23!$A$6:$AU$36,43,0)</f>
        <v>0</v>
      </c>
      <c r="AC25" s="36">
        <f>VLOOKUP($A25,[22]HISTODEC23!$A$6:$AU$36,44,0)</f>
        <v>0</v>
      </c>
      <c r="AD25" s="36">
        <f>VLOOKUP($A25,[22]HISTODEC23!$A$6:$AU$36,47,0)</f>
        <v>0</v>
      </c>
      <c r="AE25" s="36">
        <f>VLOOKUP(A25,[22]HISTODEC23!$A$6:$BB$36,54,0)</f>
        <v>0</v>
      </c>
      <c r="AF25" s="36">
        <f>VLOOKUP($A25,[22]HISTODEC23!$A$6:$CA$36,60,0)</f>
        <v>0</v>
      </c>
      <c r="AG25" s="36">
        <f>VLOOKUP($A25,[22]HISTODEC23!$A$6:$CA$36,61,0)</f>
        <v>0</v>
      </c>
      <c r="AH25" s="36">
        <f>VLOOKUP($A25,[22]HISTODEC23!$A$6:$CA$36,62,0)</f>
        <v>0</v>
      </c>
      <c r="AI25" s="36">
        <f>VLOOKUP($A25,[22]HISTODEC23!$A$6:$CA$36,63,0)</f>
        <v>0</v>
      </c>
      <c r="AJ25" s="36">
        <f>VLOOKUP($A25,[22]HISTODEC23!$A$6:$CA$36,64,0)</f>
        <v>0</v>
      </c>
      <c r="AK25" s="36">
        <f>VLOOKUP($A25,[22]HISTODEC23!$A$6:$CA$36,65,0)</f>
        <v>0</v>
      </c>
      <c r="AL25" s="36">
        <f>VLOOKUP($A25,[20]DETAILFICHECASSATION!$A$6:$R$36,12,0)</f>
        <v>100000</v>
      </c>
    </row>
    <row r="26" spans="1:38" x14ac:dyDescent="0.25">
      <c r="A26" s="1" t="s">
        <v>41</v>
      </c>
      <c r="B26" s="1" t="str">
        <f>VLOOKUP(A26,[19]LISTADHERENT!A$5:H$60,3,0)</f>
        <v>NGUIEMEGNI MATHIEU BLAISE</v>
      </c>
      <c r="C26" s="36">
        <f>VLOOKUP($A26,[23]FONDSCAISSE!$A$2:$G$33,4,0)</f>
        <v>700000</v>
      </c>
      <c r="D26" s="36">
        <f>VLOOKUP($A26,[20]DETAILFICHECASSATION!$A$6:$R$36,17,0)</f>
        <v>20382.784231808502</v>
      </c>
      <c r="E26" s="36"/>
      <c r="F26" s="36">
        <f t="shared" si="0"/>
        <v>720382.7842318085</v>
      </c>
      <c r="G26" s="5">
        <f t="shared" si="5"/>
        <v>720382.7842318085</v>
      </c>
      <c r="H26" s="36">
        <f t="shared" si="1"/>
        <v>39478.557893931487</v>
      </c>
      <c r="I26" s="6">
        <f t="shared" si="2"/>
        <v>759861.34212574002</v>
      </c>
      <c r="J26" s="36">
        <f>VLOOKUP($A26,[22]HISTODEC23!$A$6:$AQ$40,22,0)</f>
        <v>15000</v>
      </c>
      <c r="K26" s="36">
        <f>VLOOKUP($A26,[22]HISTODEC23!$A$6:$AU$36,45,0)</f>
        <v>123000</v>
      </c>
      <c r="L26" s="36">
        <f t="shared" si="3"/>
        <v>117000</v>
      </c>
      <c r="M26" s="36">
        <f t="shared" si="6"/>
        <v>1000</v>
      </c>
      <c r="N26" s="36">
        <f t="shared" si="4"/>
        <v>1000</v>
      </c>
      <c r="O26" s="36">
        <f t="shared" si="7"/>
        <v>4000</v>
      </c>
      <c r="P26" s="36">
        <f>VLOOKUP($A26,[22]HISTODEC23!$A$6:$AU$36,7,0)</f>
        <v>0</v>
      </c>
      <c r="Q26" s="36">
        <f>VLOOKUP($A26,[22]HISTODEC23!$A$6:$AU$36,23,0)</f>
        <v>0</v>
      </c>
      <c r="R26" s="36">
        <f>VLOOKUP($A26,[22]HISTODEC23!$A$6:$AU$36,46,0)</f>
        <v>0</v>
      </c>
      <c r="S26" s="36">
        <f>VLOOKUP($A26,[22]HISTODEC23!$A$6:$AU$36,26,0)</f>
        <v>1000000</v>
      </c>
      <c r="T26" s="36">
        <f>VLOOKUP($A26,[22]HISTODEC23!$A$6:$BG$36,58,0)</f>
        <v>120000</v>
      </c>
      <c r="U26" s="36">
        <f>VLOOKUP($A26,[22]HISTODEC23!$A$6:$AU$36,28,0)</f>
        <v>0</v>
      </c>
      <c r="V26" s="36">
        <f>VLOOKUP($A26,[22]HISTODEC23!$A$6:$AU$36,19,0)</f>
        <v>1000000</v>
      </c>
      <c r="W26" s="36" t="str">
        <f>VLOOKUP($A26,[22]HISTODEC23!$A$6:$AU$36,20,0)</f>
        <v>BANQUE</v>
      </c>
      <c r="X26" s="36" t="str">
        <f>VLOOKUP($A26,[22]HISTODEC23!$A$6:$AU$36,27,0)</f>
        <v>BANQUE</v>
      </c>
      <c r="Y26" s="36">
        <f>VLOOKUP($A26,[22]HISTODEC23!$A$6:$BM$36,33,0)</f>
        <v>0</v>
      </c>
      <c r="Z26" s="36">
        <f>VLOOKUP($A26,[22]HISTODEC23!$A$6:$BM$36,65,0)</f>
        <v>0</v>
      </c>
      <c r="AA26" s="36"/>
      <c r="AB26" s="36">
        <f>VLOOKUP($A26,[22]HISTODEC23!$A$6:$AU$36,43,0)</f>
        <v>0</v>
      </c>
      <c r="AC26" s="36">
        <f>VLOOKUP($A26,[22]HISTODEC23!$A$6:$AU$36,44,0)</f>
        <v>0</v>
      </c>
      <c r="AD26" s="36">
        <f>VLOOKUP($A26,[22]HISTODEC23!$A$6:$AU$36,47,0)</f>
        <v>0</v>
      </c>
      <c r="AE26" s="36">
        <f>VLOOKUP(A26,[22]HISTODEC23!$A$6:$BB$36,54,0)</f>
        <v>0</v>
      </c>
      <c r="AF26" s="36">
        <f>VLOOKUP($A26,[22]HISTODEC23!$A$6:$CA$36,60,0)</f>
        <v>0</v>
      </c>
      <c r="AG26" s="36">
        <f>VLOOKUP($A26,[22]HISTODEC23!$A$6:$CA$36,61,0)</f>
        <v>0</v>
      </c>
      <c r="AH26" s="36">
        <f>VLOOKUP($A26,[22]HISTODEC23!$A$6:$CA$36,62,0)</f>
        <v>0</v>
      </c>
      <c r="AI26" s="36">
        <f>VLOOKUP($A26,[22]HISTODEC23!$A$6:$CA$36,63,0)</f>
        <v>0</v>
      </c>
      <c r="AJ26" s="36">
        <f>VLOOKUP($A26,[22]HISTODEC23!$A$6:$CA$36,64,0)</f>
        <v>0</v>
      </c>
      <c r="AK26" s="36">
        <f>VLOOKUP($A26,[22]HISTODEC23!$A$6:$CA$36,65,0)</f>
        <v>0</v>
      </c>
      <c r="AL26" s="36">
        <f>VLOOKUP($A26,[20]DETAILFICHECASSATION!$A$6:$R$36,12,0)</f>
        <v>100000</v>
      </c>
    </row>
    <row r="27" spans="1:38" x14ac:dyDescent="0.25">
      <c r="A27" s="1" t="s">
        <v>43</v>
      </c>
      <c r="B27" s="1" t="str">
        <f>VLOOKUP(A27,[19]LISTADHERENT!A$5:H$60,3,0)</f>
        <v>NKAMGANG JUSTIN DEJOLIE</v>
      </c>
      <c r="C27" s="36">
        <f>VLOOKUP($A27,[23]FONDSCAISSE!$A$2:$G$33,4,0)</f>
        <v>700000</v>
      </c>
      <c r="D27" s="36">
        <f>VLOOKUP($A27,[20]DETAILFICHECASSATION!$A$6:$R$36,17,0)</f>
        <v>19031.484583758342</v>
      </c>
      <c r="E27" s="36"/>
      <c r="F27" s="36">
        <f t="shared" si="0"/>
        <v>719031.48458375828</v>
      </c>
      <c r="G27" s="5">
        <f t="shared" si="5"/>
        <v>719031.48458375828</v>
      </c>
      <c r="H27" s="36">
        <f t="shared" si="1"/>
        <v>39404.503706969641</v>
      </c>
      <c r="I27" s="6">
        <f t="shared" si="2"/>
        <v>758435.98829072795</v>
      </c>
      <c r="J27" s="36">
        <f>VLOOKUP($A27,[22]HISTODEC23!$A$6:$AQ$40,22,0)</f>
        <v>0</v>
      </c>
      <c r="K27" s="36">
        <f>VLOOKUP($A27,[22]HISTODEC23!$A$6:$AU$36,45,0)</f>
        <v>15000</v>
      </c>
      <c r="L27" s="36">
        <f t="shared" si="3"/>
        <v>9000</v>
      </c>
      <c r="M27" s="36">
        <f t="shared" si="6"/>
        <v>1000</v>
      </c>
      <c r="N27" s="36">
        <f t="shared" si="4"/>
        <v>1000</v>
      </c>
      <c r="O27" s="36">
        <f t="shared" si="7"/>
        <v>4000</v>
      </c>
      <c r="P27" s="36">
        <f>VLOOKUP($A27,[22]HISTODEC23!$A$6:$AU$36,7,0)</f>
        <v>0</v>
      </c>
      <c r="Q27" s="36">
        <f>VLOOKUP($A27,[22]HISTODEC23!$A$6:$AU$36,23,0)</f>
        <v>0</v>
      </c>
      <c r="R27" s="36">
        <f>VLOOKUP($A27,[22]HISTODEC23!$A$6:$AU$36,46,0)</f>
        <v>0</v>
      </c>
      <c r="S27" s="36">
        <f>VLOOKUP($A27,[22]HISTODEC23!$A$6:$AU$36,26,0)</f>
        <v>1000000</v>
      </c>
      <c r="T27" s="36">
        <f>VLOOKUP($A27,[22]HISTODEC23!$A$6:$BG$36,58,0)</f>
        <v>30000</v>
      </c>
      <c r="U27" s="36">
        <f>VLOOKUP($A27,[22]HISTODEC23!$A$6:$AU$36,28,0)</f>
        <v>0</v>
      </c>
      <c r="V27" s="36">
        <f>VLOOKUP($A27,[22]HISTODEC23!$A$6:$AU$36,19,0)</f>
        <v>1000000</v>
      </c>
      <c r="W27" s="36" t="str">
        <f>VLOOKUP($A27,[22]HISTODEC23!$A$6:$AU$36,20,0)</f>
        <v>BANQUE</v>
      </c>
      <c r="X27" s="36" t="str">
        <f>VLOOKUP($A27,[22]HISTODEC23!$A$6:$AU$36,27,0)</f>
        <v>BANQUE</v>
      </c>
      <c r="Y27" s="36">
        <f>VLOOKUP($A27,[22]HISTODEC23!$A$6:$BM$36,33,0)</f>
        <v>0</v>
      </c>
      <c r="Z27" s="36">
        <f>VLOOKUP($A27,[22]HISTODEC23!$A$6:$BM$36,65,0)</f>
        <v>0</v>
      </c>
      <c r="AA27" s="36"/>
      <c r="AB27" s="36">
        <f>VLOOKUP($A27,[22]HISTODEC23!$A$6:$AU$36,43,0)</f>
        <v>0</v>
      </c>
      <c r="AC27" s="36">
        <f>VLOOKUP($A27,[22]HISTODEC23!$A$6:$AU$36,44,0)</f>
        <v>0</v>
      </c>
      <c r="AD27" s="36">
        <f>VLOOKUP($A27,[22]HISTODEC23!$A$6:$AU$36,47,0)</f>
        <v>0</v>
      </c>
      <c r="AE27" s="36">
        <f>VLOOKUP(A27,[22]HISTODEC23!$A$6:$BB$36,54,0)</f>
        <v>0</v>
      </c>
      <c r="AF27" s="36">
        <f>VLOOKUP($A27,[22]HISTODEC23!$A$6:$CA$36,60,0)</f>
        <v>0</v>
      </c>
      <c r="AG27" s="36">
        <f>VLOOKUP($A27,[22]HISTODEC23!$A$6:$CA$36,61,0)</f>
        <v>0</v>
      </c>
      <c r="AH27" s="36">
        <f>VLOOKUP($A27,[22]HISTODEC23!$A$6:$CA$36,62,0)</f>
        <v>0</v>
      </c>
      <c r="AI27" s="36">
        <f>VLOOKUP($A27,[22]HISTODEC23!$A$6:$CA$36,63,0)</f>
        <v>0</v>
      </c>
      <c r="AJ27" s="36">
        <f>VLOOKUP($A27,[22]HISTODEC23!$A$6:$CA$36,64,0)</f>
        <v>0</v>
      </c>
      <c r="AK27" s="36">
        <f>VLOOKUP($A27,[22]HISTODEC23!$A$6:$CA$36,65,0)</f>
        <v>0</v>
      </c>
      <c r="AL27" s="36">
        <f>VLOOKUP($A27,[20]DETAILFICHECASSATION!$A$6:$R$36,12,0)</f>
        <v>100000</v>
      </c>
    </row>
    <row r="28" spans="1:38" x14ac:dyDescent="0.25">
      <c r="A28" s="1" t="s">
        <v>172</v>
      </c>
      <c r="B28" s="1" t="str">
        <f>VLOOKUP(A28,[19]LISTADHERENT!A$5:H$60,3,0)</f>
        <v>NOUBE ETIENNE</v>
      </c>
      <c r="C28" s="36">
        <f>VLOOKUP($A28,[23]FONDSCAISSE!$A$2:$G$33,4,0)</f>
        <v>666018.81693285913</v>
      </c>
      <c r="D28" s="36">
        <f>VLOOKUP($A28,[20]DETAILFICHECASSATION!$A$6:$R$36,17,0)</f>
        <v>0</v>
      </c>
      <c r="E28" s="36"/>
      <c r="F28" s="36">
        <f t="shared" si="0"/>
        <v>666018.81693285913</v>
      </c>
      <c r="G28" s="5">
        <f t="shared" si="5"/>
        <v>0</v>
      </c>
      <c r="H28" s="36">
        <f t="shared" si="1"/>
        <v>0</v>
      </c>
      <c r="I28" s="6">
        <f t="shared" si="2"/>
        <v>666018.81693285913</v>
      </c>
      <c r="J28" s="36">
        <f>VLOOKUP($A28,[22]HISTODEC23!$A$6:$AQ$40,22,0)</f>
        <v>0</v>
      </c>
      <c r="K28" s="36">
        <f>VLOOKUP($A28,[22]HISTODEC23!$A$6:$AU$36,45,0)</f>
        <v>25000</v>
      </c>
      <c r="L28" s="36">
        <f t="shared" si="3"/>
        <v>19000</v>
      </c>
      <c r="M28" s="36">
        <f t="shared" si="6"/>
        <v>1000</v>
      </c>
      <c r="N28" s="36">
        <f t="shared" si="4"/>
        <v>1000</v>
      </c>
      <c r="O28" s="36">
        <f t="shared" si="7"/>
        <v>4000</v>
      </c>
      <c r="P28" s="36">
        <f>VLOOKUP($A28,[22]HISTODEC23!$A$6:$AU$36,7,0)</f>
        <v>0</v>
      </c>
      <c r="Q28" s="36">
        <f>VLOOKUP($A28,[22]HISTODEC23!$A$6:$AU$36,23,0)</f>
        <v>0</v>
      </c>
      <c r="R28" s="36">
        <f>VLOOKUP($A28,[22]HISTODEC23!$A$6:$AU$36,46,0)</f>
        <v>0</v>
      </c>
      <c r="S28" s="36">
        <f>VLOOKUP($A28,[22]HISTODEC23!$A$6:$AU$36,26,0)</f>
        <v>0</v>
      </c>
      <c r="T28" s="36">
        <f>VLOOKUP($A28,[22]HISTODEC23!$A$6:$BG$36,58,0)</f>
        <v>0</v>
      </c>
      <c r="U28" s="36">
        <f>VLOOKUP($A28,[22]HISTODEC23!$A$6:$AU$36,28,0)</f>
        <v>0</v>
      </c>
      <c r="V28" s="36">
        <f>VLOOKUP($A28,[22]HISTODEC23!$A$6:$AU$36,19,0)</f>
        <v>0</v>
      </c>
      <c r="W28" s="36">
        <f>VLOOKUP($A28,[22]HISTODEC23!$A$6:$AU$36,20,0)</f>
        <v>0</v>
      </c>
      <c r="X28" s="36">
        <f>VLOOKUP($A28,[22]HISTODEC23!$A$6:$AU$36,27,0)</f>
        <v>0</v>
      </c>
      <c r="Y28" s="36">
        <f>VLOOKUP($A28,[22]HISTODEC23!$A$6:$BM$36,33,0)</f>
        <v>0</v>
      </c>
      <c r="Z28" s="36">
        <f>VLOOKUP($A28,[22]HISTODEC23!$A$6:$BM$36,65,0)</f>
        <v>0</v>
      </c>
      <c r="AA28" s="36"/>
      <c r="AB28" s="36">
        <f>VLOOKUP($A28,[22]HISTODEC23!$A$6:$AU$36,43,0)</f>
        <v>0</v>
      </c>
      <c r="AC28" s="36">
        <f>VLOOKUP($A28,[22]HISTODEC23!$A$6:$AU$36,44,0)</f>
        <v>0</v>
      </c>
      <c r="AD28" s="36">
        <f>VLOOKUP($A28,[22]HISTODEC23!$A$6:$AU$36,47,0)</f>
        <v>0</v>
      </c>
      <c r="AE28" s="36">
        <f>VLOOKUP(A28,[22]HISTODEC23!$A$6:$BB$36,54,0)</f>
        <v>0</v>
      </c>
      <c r="AF28" s="36">
        <f>VLOOKUP($A28,[22]HISTODEC23!$A$6:$CA$36,60,0)</f>
        <v>0</v>
      </c>
      <c r="AG28" s="36">
        <f>VLOOKUP($A28,[22]HISTODEC23!$A$6:$CA$36,61,0)</f>
        <v>0</v>
      </c>
      <c r="AH28" s="36">
        <f>VLOOKUP($A28,[22]HISTODEC23!$A$6:$CA$36,62,0)</f>
        <v>0</v>
      </c>
      <c r="AI28" s="36">
        <f>VLOOKUP($A28,[22]HISTODEC23!$A$6:$CA$36,63,0)</f>
        <v>0</v>
      </c>
      <c r="AJ28" s="36">
        <f>VLOOKUP($A28,[22]HISTODEC23!$A$6:$CA$36,64,0)</f>
        <v>0</v>
      </c>
      <c r="AK28" s="36">
        <f>VLOOKUP($A28,[22]HISTODEC23!$A$6:$CA$36,65,0)</f>
        <v>0</v>
      </c>
      <c r="AL28" s="36">
        <f>VLOOKUP($A28,[20]DETAILFICHECASSATION!$A$6:$R$36,12,0)</f>
        <v>700000</v>
      </c>
    </row>
    <row r="29" spans="1:38" x14ac:dyDescent="0.25">
      <c r="A29" s="1" t="s">
        <v>45</v>
      </c>
      <c r="B29" s="1" t="str">
        <f>VLOOKUP(A29,[19]LISTADHERENT!A$5:H$60,3,0)</f>
        <v>PATEGO NJOSSU GUSTAVE</v>
      </c>
      <c r="C29" s="36">
        <f>VLOOKUP($A29,[23]FONDSCAISSE!$A$2:$G$33,4,0)</f>
        <v>700000</v>
      </c>
      <c r="D29" s="36">
        <f>VLOOKUP($A29,[20]DETAILFICHECASSATION!$A$6:$R$36,17,0)</f>
        <v>43697.666300758487</v>
      </c>
      <c r="E29" s="36"/>
      <c r="F29" s="36">
        <f t="shared" si="0"/>
        <v>743697.66630075849</v>
      </c>
      <c r="G29" s="5">
        <f t="shared" si="5"/>
        <v>743697.66630075849</v>
      </c>
      <c r="H29" s="36">
        <f t="shared" si="1"/>
        <v>40756.2646099946</v>
      </c>
      <c r="I29" s="6">
        <f t="shared" si="2"/>
        <v>784453.93091075309</v>
      </c>
      <c r="J29" s="36">
        <f>VLOOKUP($A29,[22]HISTODEC23!$A$6:$AQ$40,22,0)</f>
        <v>0</v>
      </c>
      <c r="K29" s="36">
        <f>VLOOKUP($A29,[22]HISTODEC23!$A$6:$AU$36,45,0)</f>
        <v>15000</v>
      </c>
      <c r="L29" s="36">
        <f t="shared" si="3"/>
        <v>9000</v>
      </c>
      <c r="M29" s="36">
        <f t="shared" si="6"/>
        <v>1000</v>
      </c>
      <c r="N29" s="36">
        <f t="shared" si="4"/>
        <v>1000</v>
      </c>
      <c r="O29" s="36">
        <f t="shared" si="7"/>
        <v>4000</v>
      </c>
      <c r="P29" s="36">
        <f>VLOOKUP($A29,[22]HISTODEC23!$A$6:$AU$36,7,0)</f>
        <v>0</v>
      </c>
      <c r="Q29" s="36">
        <f>VLOOKUP($A29,[22]HISTODEC23!$A$6:$AU$36,23,0)</f>
        <v>0</v>
      </c>
      <c r="R29" s="36">
        <f>VLOOKUP($A29,[22]HISTODEC23!$A$6:$AU$36,46,0)</f>
        <v>0</v>
      </c>
      <c r="S29" s="36">
        <f>VLOOKUP($A29,[22]HISTODEC23!$A$6:$AU$36,26,0)</f>
        <v>0</v>
      </c>
      <c r="T29" s="36">
        <f>VLOOKUP($A29,[22]HISTODEC23!$A$6:$BG$36,58,0)</f>
        <v>0</v>
      </c>
      <c r="U29" s="36">
        <f>VLOOKUP($A29,[22]HISTODEC23!$A$6:$AU$36,28,0)</f>
        <v>0</v>
      </c>
      <c r="V29" s="36">
        <f>VLOOKUP($A29,[22]HISTODEC23!$A$6:$AU$36,19,0)</f>
        <v>0</v>
      </c>
      <c r="W29" s="36">
        <f>VLOOKUP($A29,[22]HISTODEC23!$A$6:$AU$36,20,0)</f>
        <v>0</v>
      </c>
      <c r="X29" s="36">
        <f>VLOOKUP($A29,[22]HISTODEC23!$A$6:$AU$36,27,0)</f>
        <v>0</v>
      </c>
      <c r="Y29" s="36">
        <f>VLOOKUP($A29,[22]HISTODEC23!$A$6:$BM$36,33,0)</f>
        <v>0</v>
      </c>
      <c r="Z29" s="36">
        <f>VLOOKUP($A29,[22]HISTODEC23!$A$6:$BM$36,65,0)</f>
        <v>0</v>
      </c>
      <c r="AA29" s="36"/>
      <c r="AB29" s="36">
        <f>VLOOKUP($A29,[22]HISTODEC23!$A$6:$AU$36,43,0)</f>
        <v>0</v>
      </c>
      <c r="AC29" s="36">
        <f>VLOOKUP($A29,[22]HISTODEC23!$A$6:$AU$36,44,0)</f>
        <v>0</v>
      </c>
      <c r="AD29" s="36">
        <f>VLOOKUP($A29,[22]HISTODEC23!$A$6:$AU$36,47,0)</f>
        <v>0</v>
      </c>
      <c r="AE29" s="36">
        <f>VLOOKUP(A29,[22]HISTODEC23!$A$6:$BB$36,54,0)</f>
        <v>0</v>
      </c>
      <c r="AF29" s="36">
        <f>VLOOKUP($A29,[22]HISTODEC23!$A$6:$CA$36,60,0)</f>
        <v>0</v>
      </c>
      <c r="AG29" s="36">
        <f>VLOOKUP($A29,[22]HISTODEC23!$A$6:$CA$36,61,0)</f>
        <v>0</v>
      </c>
      <c r="AH29" s="36">
        <f>VLOOKUP($A29,[22]HISTODEC23!$A$6:$CA$36,62,0)</f>
        <v>0</v>
      </c>
      <c r="AI29" s="36">
        <f>VLOOKUP($A29,[22]HISTODEC23!$A$6:$CA$36,63,0)</f>
        <v>0</v>
      </c>
      <c r="AJ29" s="36">
        <f>VLOOKUP($A29,[22]HISTODEC23!$A$6:$CA$36,64,0)</f>
        <v>0</v>
      </c>
      <c r="AK29" s="36">
        <f>VLOOKUP($A29,[22]HISTODEC23!$A$6:$CA$36,65,0)</f>
        <v>0</v>
      </c>
      <c r="AL29" s="36">
        <f>VLOOKUP($A29,[20]DETAILFICHECASSATION!$A$6:$R$36,12,0)</f>
        <v>100000</v>
      </c>
    </row>
    <row r="30" spans="1:38" x14ac:dyDescent="0.25">
      <c r="A30" s="1" t="s">
        <v>312</v>
      </c>
      <c r="B30" s="1" t="str">
        <f>VLOOKUP(A30,[19]LISTADHERENT!A$5:H$60,3,0)</f>
        <v>SEUMO POLYCARPE</v>
      </c>
      <c r="C30" s="36">
        <f>VLOOKUP($A30,[23]FONDSCAISSE!$A$2:$G$33,4,0)</f>
        <v>0</v>
      </c>
      <c r="D30" s="36">
        <f>VLOOKUP($A30,[20]DETAILFICHECASSATION!$A$6:$R$36,17,0)</f>
        <v>245500</v>
      </c>
      <c r="E30" s="36"/>
      <c r="F30" s="36">
        <f t="shared" si="0"/>
        <v>245500</v>
      </c>
      <c r="G30" s="5">
        <f t="shared" si="5"/>
        <v>0</v>
      </c>
      <c r="H30" s="36">
        <f t="shared" si="1"/>
        <v>0</v>
      </c>
      <c r="I30" s="6">
        <f t="shared" si="2"/>
        <v>245500</v>
      </c>
      <c r="J30" s="36">
        <f>VLOOKUP($A30,[22]HISTODEC23!$A$6:$AQ$40,22,0)</f>
        <v>0</v>
      </c>
      <c r="K30" s="36">
        <f>VLOOKUP($A30,[22]HISTODEC23!$A$6:$AU$36,45,0)</f>
        <v>15000</v>
      </c>
      <c r="L30" s="36">
        <f t="shared" si="3"/>
        <v>9000</v>
      </c>
      <c r="M30" s="36">
        <f t="shared" si="6"/>
        <v>1000</v>
      </c>
      <c r="N30" s="36">
        <f t="shared" si="4"/>
        <v>1000</v>
      </c>
      <c r="O30" s="36">
        <f t="shared" si="7"/>
        <v>4000</v>
      </c>
      <c r="P30" s="36">
        <f>VLOOKUP($A30,[22]HISTODEC23!$A$6:$AU$36,7,0)</f>
        <v>0</v>
      </c>
      <c r="Q30" s="36">
        <f>VLOOKUP($A30,[22]HISTODEC23!$A$6:$AU$36,23,0)</f>
        <v>0</v>
      </c>
      <c r="R30" s="36">
        <f>VLOOKUP($A30,[22]HISTODEC23!$A$6:$AU$36,46,0)</f>
        <v>0</v>
      </c>
      <c r="S30" s="36">
        <f>VLOOKUP($A30,[22]HISTODEC23!$A$6:$AU$36,26,0)</f>
        <v>0</v>
      </c>
      <c r="T30" s="36">
        <f>VLOOKUP($A30,[22]HISTODEC23!$A$6:$BG$36,58,0)</f>
        <v>0</v>
      </c>
      <c r="U30" s="36">
        <f>VLOOKUP($A30,[22]HISTODEC23!$A$6:$AU$36,28,0)</f>
        <v>0</v>
      </c>
      <c r="V30" s="36">
        <f>VLOOKUP($A30,[22]HISTODEC23!$A$6:$AU$36,19,0)</f>
        <v>0</v>
      </c>
      <c r="W30" s="36">
        <f>VLOOKUP($A30,[22]HISTODEC23!$A$6:$AU$36,20,0)</f>
        <v>0</v>
      </c>
      <c r="X30" s="36">
        <f>VLOOKUP($A30,[22]HISTODEC23!$A$6:$AU$36,27,0)</f>
        <v>0</v>
      </c>
      <c r="Y30" s="36">
        <f>VLOOKUP($A30,[22]HISTODEC23!$A$6:$BM$36,33,0)</f>
        <v>0</v>
      </c>
      <c r="Z30" s="36">
        <f>VLOOKUP($A30,[22]HISTODEC23!$A$6:$BM$36,65,0)</f>
        <v>0</v>
      </c>
      <c r="AA30" s="36"/>
      <c r="AB30" s="36">
        <f>VLOOKUP($A30,[22]HISTODEC23!$A$6:$AU$36,43,0)</f>
        <v>0</v>
      </c>
      <c r="AC30" s="36">
        <f>VLOOKUP($A30,[22]HISTODEC23!$A$6:$AU$36,44,0)</f>
        <v>0</v>
      </c>
      <c r="AD30" s="36">
        <f>VLOOKUP($A30,[22]HISTODEC23!$A$6:$AU$36,47,0)</f>
        <v>0</v>
      </c>
      <c r="AE30" s="36">
        <f>VLOOKUP(A30,[22]HISTODEC23!$A$6:$BB$36,54,0)</f>
        <v>0</v>
      </c>
      <c r="AF30" s="36">
        <f>VLOOKUP($A30,[22]HISTODEC23!$A$6:$CA$36,60,0)</f>
        <v>0</v>
      </c>
      <c r="AG30" s="36">
        <f>VLOOKUP($A30,[22]HISTODEC23!$A$6:$CA$36,61,0)</f>
        <v>0</v>
      </c>
      <c r="AH30" s="36">
        <f>VLOOKUP($A30,[22]HISTODEC23!$A$6:$CA$36,62,0)</f>
        <v>0</v>
      </c>
      <c r="AI30" s="36">
        <f>VLOOKUP($A30,[22]HISTODEC23!$A$6:$CA$36,63,0)</f>
        <v>0</v>
      </c>
      <c r="AJ30" s="36">
        <f>VLOOKUP($A30,[22]HISTODEC23!$A$6:$CA$36,64,0)</f>
        <v>0</v>
      </c>
      <c r="AK30" s="36">
        <f>VLOOKUP($A30,[22]HISTODEC23!$A$6:$CA$36,65,0)</f>
        <v>0</v>
      </c>
      <c r="AL30" s="36">
        <f>VLOOKUP($A30,[20]DETAILFICHECASSATION!$A$6:$R$36,12,0)</f>
        <v>0</v>
      </c>
    </row>
    <row r="31" spans="1:38" x14ac:dyDescent="0.25">
      <c r="A31" s="1" t="s">
        <v>81</v>
      </c>
      <c r="B31" s="1" t="str">
        <f>VLOOKUP(A31,[19]LISTADHERENT!A$5:H$60,3,0)</f>
        <v>SIME BRICE</v>
      </c>
      <c r="C31" s="36">
        <f>VLOOKUP($A31,[23]FONDSCAISSE!$A$2:$G$33,4,0)</f>
        <v>700000</v>
      </c>
      <c r="D31" s="36">
        <f>VLOOKUP($A31,[20]DETAILFICHECASSATION!$A$6:$R$36,17,0)</f>
        <v>104364.15055016428</v>
      </c>
      <c r="E31" s="36"/>
      <c r="F31" s="36">
        <f t="shared" si="0"/>
        <v>804364.15055016428</v>
      </c>
      <c r="G31" s="5">
        <f t="shared" si="5"/>
        <v>804364.15055016428</v>
      </c>
      <c r="H31" s="36">
        <f t="shared" si="1"/>
        <v>44080.921116348269</v>
      </c>
      <c r="I31" s="6">
        <f t="shared" si="2"/>
        <v>848445.07166651252</v>
      </c>
      <c r="J31" s="36">
        <f>VLOOKUP($A31,[22]HISTODEC23!$A$6:$AQ$40,22,0)</f>
        <v>34000</v>
      </c>
      <c r="K31" s="36">
        <f>VLOOKUP($A31,[22]HISTODEC23!$A$6:$AU$36,45,0)</f>
        <v>15000</v>
      </c>
      <c r="L31" s="36">
        <f t="shared" si="3"/>
        <v>9000</v>
      </c>
      <c r="M31" s="36">
        <f t="shared" si="6"/>
        <v>1000</v>
      </c>
      <c r="N31" s="36">
        <f t="shared" si="4"/>
        <v>1000</v>
      </c>
      <c r="O31" s="36">
        <f t="shared" si="7"/>
        <v>4000</v>
      </c>
      <c r="P31" s="36">
        <f>VLOOKUP($A31,[22]HISTODEC23!$A$6:$AU$36,7,0)</f>
        <v>0</v>
      </c>
      <c r="Q31" s="36">
        <f>VLOOKUP($A31,[22]HISTODEC23!$A$6:$AU$36,23,0)</f>
        <v>0</v>
      </c>
      <c r="R31" s="36">
        <f>VLOOKUP($A31,[22]HISTODEC23!$A$6:$AU$36,46,0)</f>
        <v>0</v>
      </c>
      <c r="S31" s="36">
        <f>VLOOKUP($A31,[22]HISTODEC23!$A$6:$AU$36,26,0)</f>
        <v>1000000</v>
      </c>
      <c r="T31" s="36">
        <f>VLOOKUP($A31,[22]HISTODEC23!$A$6:$BG$36,58,0)</f>
        <v>60000</v>
      </c>
      <c r="U31" s="36">
        <f>VLOOKUP($A31,[22]HISTODEC23!$A$6:$AU$36,28,0)</f>
        <v>0</v>
      </c>
      <c r="V31" s="36">
        <f>VLOOKUP($A31,[22]HISTODEC23!$A$6:$AU$36,19,0)</f>
        <v>0</v>
      </c>
      <c r="W31" s="36">
        <f>VLOOKUP($A31,[22]HISTODEC23!$A$6:$AU$36,20,0)</f>
        <v>0</v>
      </c>
      <c r="X31" s="36" t="str">
        <f>VLOOKUP($A31,[22]HISTODEC23!$A$6:$AU$36,27,0)</f>
        <v>BANQUE</v>
      </c>
      <c r="Y31" s="36">
        <f>VLOOKUP($A31,[22]HISTODEC23!$A$6:$BM$36,33,0)</f>
        <v>0</v>
      </c>
      <c r="Z31" s="36">
        <f>VLOOKUP($A31,[22]HISTODEC23!$A$6:$BM$36,65,0)</f>
        <v>0</v>
      </c>
      <c r="AA31" s="36"/>
      <c r="AB31" s="36">
        <f>VLOOKUP($A31,[22]HISTODEC23!$A$6:$AU$36,43,0)</f>
        <v>0</v>
      </c>
      <c r="AC31" s="36">
        <f>VLOOKUP($A31,[22]HISTODEC23!$A$6:$AU$36,44,0)</f>
        <v>0</v>
      </c>
      <c r="AD31" s="36">
        <f>VLOOKUP($A31,[22]HISTODEC23!$A$6:$AU$36,47,0)</f>
        <v>0</v>
      </c>
      <c r="AE31" s="36">
        <f>VLOOKUP(A31,[22]HISTODEC23!$A$6:$BB$36,54,0)</f>
        <v>0</v>
      </c>
      <c r="AF31" s="36">
        <f>VLOOKUP($A31,[22]HISTODEC23!$A$6:$CA$36,60,0)</f>
        <v>0</v>
      </c>
      <c r="AG31" s="36">
        <f>VLOOKUP($A31,[22]HISTODEC23!$A$6:$CA$36,61,0)</f>
        <v>0</v>
      </c>
      <c r="AH31" s="36">
        <f>VLOOKUP($A31,[22]HISTODEC23!$A$6:$CA$36,62,0)</f>
        <v>0</v>
      </c>
      <c r="AI31" s="36">
        <f>VLOOKUP($A31,[22]HISTODEC23!$A$6:$CA$36,63,0)</f>
        <v>0</v>
      </c>
      <c r="AJ31" s="36">
        <f>VLOOKUP($A31,[22]HISTODEC23!$A$6:$CA$36,64,0)</f>
        <v>0</v>
      </c>
      <c r="AK31" s="36">
        <f>VLOOKUP($A31,[22]HISTODEC23!$A$6:$CA$36,65,0)</f>
        <v>0</v>
      </c>
      <c r="AL31" s="36">
        <f>VLOOKUP($A31,[20]DETAILFICHECASSATION!$A$6:$R$36,12,0)</f>
        <v>100000</v>
      </c>
    </row>
    <row r="32" spans="1:38" x14ac:dyDescent="0.25">
      <c r="A32" s="1" t="s">
        <v>49</v>
      </c>
      <c r="B32" s="1" t="str">
        <f>VLOOKUP(A32,[19]LISTADHERENT!A$5:H$60,3,0)</f>
        <v>SIMO PIERRE</v>
      </c>
      <c r="C32" s="36">
        <f>VLOOKUP($A32,[23]FONDSCAISSE!$A$2:$G$33,4,0)</f>
        <v>700000</v>
      </c>
      <c r="D32" s="36">
        <f>VLOOKUP($A32,[20]DETAILFICHECASSATION!$A$6:$R$36,17,0)</f>
        <v>686.61218299972825</v>
      </c>
      <c r="E32" s="36"/>
      <c r="F32" s="36">
        <f t="shared" si="0"/>
        <v>700686.61218299973</v>
      </c>
      <c r="G32" s="5">
        <f t="shared" si="5"/>
        <v>700686.61218299973</v>
      </c>
      <c r="H32" s="36">
        <f t="shared" si="1"/>
        <v>38399.164430431505</v>
      </c>
      <c r="I32" s="6">
        <f t="shared" si="2"/>
        <v>739085.77661343128</v>
      </c>
      <c r="J32" s="36">
        <f>VLOOKUP($A32,[22]HISTODEC23!$A$6:$AQ$40,22,0)</f>
        <v>0</v>
      </c>
      <c r="K32" s="36">
        <f>VLOOKUP($A32,[22]HISTODEC23!$A$6:$AU$36,45,0)</f>
        <v>15000</v>
      </c>
      <c r="L32" s="36">
        <f t="shared" si="3"/>
        <v>9000</v>
      </c>
      <c r="M32" s="36">
        <f t="shared" si="6"/>
        <v>1000</v>
      </c>
      <c r="N32" s="36">
        <f t="shared" si="4"/>
        <v>1000</v>
      </c>
      <c r="O32" s="36">
        <f t="shared" si="7"/>
        <v>4000</v>
      </c>
      <c r="P32" s="36">
        <f>VLOOKUP($A32,[22]HISTODEC23!$A$6:$AU$36,7,0)</f>
        <v>0</v>
      </c>
      <c r="Q32" s="36">
        <f>VLOOKUP($A32,[22]HISTODEC23!$A$6:$AU$36,23,0)</f>
        <v>0</v>
      </c>
      <c r="R32" s="36">
        <f>VLOOKUP($A32,[22]HISTODEC23!$A$6:$AU$36,46,0)</f>
        <v>0</v>
      </c>
      <c r="S32" s="36">
        <f>VLOOKUP($A32,[22]HISTODEC23!$A$6:$AU$36,26,0)</f>
        <v>250000</v>
      </c>
      <c r="T32" s="36">
        <f>VLOOKUP($A32,[22]HISTODEC23!$A$6:$BG$36,58,0)</f>
        <v>15000</v>
      </c>
      <c r="U32" s="36">
        <f>VLOOKUP($A32,[22]HISTODEC23!$A$6:$AU$36,28,0)</f>
        <v>0</v>
      </c>
      <c r="V32" s="36">
        <f>VLOOKUP($A32,[22]HISTODEC23!$A$6:$AU$36,19,0)</f>
        <v>1000000</v>
      </c>
      <c r="W32" s="36" t="str">
        <f>VLOOKUP($A32,[22]HISTODEC23!$A$6:$AU$36,20,0)</f>
        <v>BANQUE</v>
      </c>
      <c r="X32" s="36" t="str">
        <f>VLOOKUP($A32,[22]HISTODEC23!$A$6:$AU$36,27,0)</f>
        <v>BANQUE</v>
      </c>
      <c r="Y32" s="36">
        <f>VLOOKUP($A32,[22]HISTODEC23!$A$6:$BM$36,33,0)</f>
        <v>0</v>
      </c>
      <c r="Z32" s="36">
        <f>VLOOKUP($A32,[22]HISTODEC23!$A$6:$BM$36,65,0)</f>
        <v>0</v>
      </c>
      <c r="AA32" s="36"/>
      <c r="AB32" s="36">
        <f>VLOOKUP($A32,[22]HISTODEC23!$A$6:$AU$36,43,0)</f>
        <v>0</v>
      </c>
      <c r="AC32" s="36">
        <f>VLOOKUP($A32,[22]HISTODEC23!$A$6:$AU$36,44,0)</f>
        <v>0</v>
      </c>
      <c r="AD32" s="36">
        <f>VLOOKUP($A32,[22]HISTODEC23!$A$6:$AU$36,47,0)</f>
        <v>0</v>
      </c>
      <c r="AE32" s="36">
        <f>VLOOKUP(A32,[22]HISTODEC23!$A$6:$BB$36,54,0)</f>
        <v>0</v>
      </c>
      <c r="AF32" s="36">
        <f>VLOOKUP($A32,[22]HISTODEC23!$A$6:$CA$36,60,0)</f>
        <v>0</v>
      </c>
      <c r="AG32" s="36">
        <f>VLOOKUP($A32,[22]HISTODEC23!$A$6:$CA$36,61,0)</f>
        <v>0</v>
      </c>
      <c r="AH32" s="36">
        <f>VLOOKUP($A32,[22]HISTODEC23!$A$6:$CA$36,62,0)</f>
        <v>0</v>
      </c>
      <c r="AI32" s="36">
        <f>VLOOKUP($A32,[22]HISTODEC23!$A$6:$CA$36,63,0)</f>
        <v>0</v>
      </c>
      <c r="AJ32" s="36">
        <f>VLOOKUP($A32,[22]HISTODEC23!$A$6:$CA$36,64,0)</f>
        <v>0</v>
      </c>
      <c r="AK32" s="36">
        <f>VLOOKUP($A32,[22]HISTODEC23!$A$6:$CA$36,65,0)</f>
        <v>0</v>
      </c>
      <c r="AL32" s="36">
        <f>VLOOKUP($A32,[20]DETAILFICHECASSATION!$A$6:$R$36,12,0)</f>
        <v>100000</v>
      </c>
    </row>
    <row r="33" spans="1:38" x14ac:dyDescent="0.25">
      <c r="A33" s="1" t="s">
        <v>51</v>
      </c>
      <c r="B33" s="1" t="str">
        <f>VLOOKUP(A33,[19]LISTADHERENT!A$5:H$60,3,0)</f>
        <v>TCHOUAMOU MATHIEU</v>
      </c>
      <c r="C33" s="36">
        <f>VLOOKUP($A33,[23]FONDSCAISSE!$A$2:$G$33,4,0)</f>
        <v>700000</v>
      </c>
      <c r="D33" s="36">
        <f>VLOOKUP($A33,[20]DETAILFICHECASSATION!$A$6:$R$36,17,0)</f>
        <v>975.80620651689242</v>
      </c>
      <c r="E33" s="36"/>
      <c r="F33" s="36">
        <f t="shared" si="0"/>
        <v>700975.80620651692</v>
      </c>
      <c r="G33" s="5">
        <f t="shared" si="5"/>
        <v>700975.80620651692</v>
      </c>
      <c r="H33" s="36">
        <f t="shared" si="1"/>
        <v>38415.012897732369</v>
      </c>
      <c r="I33" s="6">
        <f t="shared" si="2"/>
        <v>739390.81910424924</v>
      </c>
      <c r="J33" s="36">
        <f>VLOOKUP($A33,[22]HISTODEC23!$A$6:$AQ$40,22,0)</f>
        <v>0</v>
      </c>
      <c r="K33" s="36">
        <f>VLOOKUP($A33,[22]HISTODEC23!$A$6:$AU$36,45,0)</f>
        <v>15000</v>
      </c>
      <c r="L33" s="36">
        <f>18000+10000</f>
        <v>28000</v>
      </c>
      <c r="M33" s="36">
        <f>IF(K33=0,0,1000)+1000</f>
        <v>2000</v>
      </c>
      <c r="N33" s="36">
        <f>IF(K33=0,0,1000)+1000</f>
        <v>2000</v>
      </c>
      <c r="O33" s="36">
        <f>IF(K33=0,0,4000)+4000</f>
        <v>8000</v>
      </c>
      <c r="P33" s="36">
        <f>VLOOKUP($A33,[22]HISTODEC23!$A$6:$AU$36,7,0)</f>
        <v>0</v>
      </c>
      <c r="Q33" s="36">
        <f>VLOOKUP($A33,[22]HISTODEC23!$A$6:$AU$36,23,0)</f>
        <v>0</v>
      </c>
      <c r="R33" s="36">
        <f>VLOOKUP($A33,[22]HISTODEC23!$A$6:$AU$36,46,0)</f>
        <v>0</v>
      </c>
      <c r="S33" s="36">
        <f>VLOOKUP($A33,[22]HISTODEC23!$A$6:$AU$36,26,0)</f>
        <v>0</v>
      </c>
      <c r="T33" s="36">
        <f>VLOOKUP($A33,[22]HISTODEC23!$A$6:$BG$36,58,0)</f>
        <v>0</v>
      </c>
      <c r="U33" s="36">
        <f>VLOOKUP($A33,[22]HISTODEC23!$A$6:$AU$36,28,0)</f>
        <v>0</v>
      </c>
      <c r="V33" s="36">
        <f>VLOOKUP($A33,[22]HISTODEC23!$A$6:$AU$36,19,0)</f>
        <v>200000</v>
      </c>
      <c r="W33" s="36" t="str">
        <f>VLOOKUP($A33,[22]HISTODEC23!$A$6:$AU$36,20,0)</f>
        <v>BANQUE</v>
      </c>
      <c r="X33" s="36">
        <f>VLOOKUP($A33,[22]HISTODEC23!$A$6:$AU$36,27,0)</f>
        <v>0</v>
      </c>
      <c r="Y33" s="36">
        <f>VLOOKUP($A33,[22]HISTODEC23!$A$6:$BM$36,33,0)</f>
        <v>0</v>
      </c>
      <c r="Z33" s="36">
        <f>VLOOKUP($A33,[22]HISTODEC23!$A$6:$BM$36,65,0)</f>
        <v>0</v>
      </c>
      <c r="AA33" s="36"/>
      <c r="AB33" s="36">
        <f>VLOOKUP($A33,[22]HISTODEC23!$A$6:$AU$36,43,0)</f>
        <v>0</v>
      </c>
      <c r="AC33" s="36">
        <f>VLOOKUP($A33,[22]HISTODEC23!$A$6:$AU$36,44,0)</f>
        <v>0</v>
      </c>
      <c r="AD33" s="36">
        <f>VLOOKUP($A33,[22]HISTODEC23!$A$6:$AU$36,47,0)</f>
        <v>0</v>
      </c>
      <c r="AE33" s="36">
        <f>VLOOKUP(A33,[22]HISTODEC23!$A$6:$BB$36,54,0)</f>
        <v>0</v>
      </c>
      <c r="AF33" s="36">
        <f>VLOOKUP($A33,[22]HISTODEC23!$A$6:$CA$36,60,0)</f>
        <v>0</v>
      </c>
      <c r="AG33" s="36">
        <f>VLOOKUP($A33,[22]HISTODEC23!$A$6:$CA$36,61,0)</f>
        <v>0</v>
      </c>
      <c r="AH33" s="36">
        <f>VLOOKUP($A33,[22]HISTODEC23!$A$6:$CA$36,62,0)</f>
        <v>0</v>
      </c>
      <c r="AI33" s="36">
        <f>VLOOKUP($A33,[22]HISTODEC23!$A$6:$CA$36,63,0)</f>
        <v>0</v>
      </c>
      <c r="AJ33" s="36">
        <f>VLOOKUP($A33,[22]HISTODEC23!$A$6:$CA$36,64,0)</f>
        <v>0</v>
      </c>
      <c r="AK33" s="36">
        <f>VLOOKUP($A33,[22]HISTODEC23!$A$6:$CA$36,65,0)</f>
        <v>0</v>
      </c>
      <c r="AL33" s="36">
        <f>VLOOKUP($A33,[20]DETAILFICHECASSATION!$A$6:$R$36,12,0)</f>
        <v>100000</v>
      </c>
    </row>
    <row r="34" spans="1:38" x14ac:dyDescent="0.25">
      <c r="A34" s="1" t="s">
        <v>328</v>
      </c>
      <c r="B34" s="1" t="str">
        <f>VLOOKUP(A34,[19]LISTADHERENT!A$5:H$60,3,0)</f>
        <v>TCHOUATEU AUGUSTIN</v>
      </c>
      <c r="C34" s="36">
        <f>VLOOKUP($A34,[23]FONDSCAISSE!$A$2:$G$33,4,0)</f>
        <v>0</v>
      </c>
      <c r="D34" s="36"/>
      <c r="E34" s="36"/>
      <c r="F34" s="36">
        <f t="shared" si="0"/>
        <v>0</v>
      </c>
      <c r="G34" s="5">
        <f t="shared" si="5"/>
        <v>0</v>
      </c>
      <c r="H34" s="36">
        <f t="shared" si="1"/>
        <v>0</v>
      </c>
      <c r="I34" s="6">
        <f t="shared" si="2"/>
        <v>0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</row>
    <row r="35" spans="1:38" x14ac:dyDescent="0.25">
      <c r="A35" s="1" t="s">
        <v>53</v>
      </c>
      <c r="B35" s="1" t="str">
        <f>VLOOKUP(A35,[19]LISTADHERENT!A$5:H$60,3,0)</f>
        <v>TCHOUTOU NANA CLAUDE</v>
      </c>
      <c r="C35" s="36">
        <f>VLOOKUP($A35,[23]FONDSCAISSE!$A$2:$G$33,4,0)</f>
        <v>0</v>
      </c>
      <c r="D35" s="36">
        <f>VLOOKUP($A35,[20]DETAILFICHECASSATION!$A$6:$R$36,17,0)</f>
        <v>103000</v>
      </c>
      <c r="E35" s="36"/>
      <c r="F35" s="36">
        <f t="shared" si="0"/>
        <v>103000</v>
      </c>
      <c r="G35" s="5">
        <f t="shared" si="5"/>
        <v>0</v>
      </c>
      <c r="H35" s="36">
        <f t="shared" si="1"/>
        <v>0</v>
      </c>
      <c r="I35" s="6">
        <f t="shared" si="2"/>
        <v>103000</v>
      </c>
      <c r="J35" s="36">
        <f>VLOOKUP($A35,[22]HISTODEC23!$A$6:$AQ$40,22,0)</f>
        <v>0</v>
      </c>
      <c r="K35" s="36">
        <f>VLOOKUP($A35,[22]HISTODEC23!$A$6:$AU$36,45,0)</f>
        <v>25000</v>
      </c>
      <c r="L35" s="36">
        <f t="shared" si="3"/>
        <v>19000</v>
      </c>
      <c r="M35" s="36">
        <f t="shared" si="6"/>
        <v>1000</v>
      </c>
      <c r="N35" s="36">
        <f t="shared" si="4"/>
        <v>1000</v>
      </c>
      <c r="O35" s="36">
        <f t="shared" si="7"/>
        <v>4000</v>
      </c>
      <c r="P35" s="36">
        <f>VLOOKUP($A35,[22]HISTODEC23!$A$6:$AU$36,7,0)</f>
        <v>0</v>
      </c>
      <c r="Q35" s="36">
        <f>VLOOKUP($A35,[22]HISTODEC23!$A$6:$AU$36,23,0)</f>
        <v>0</v>
      </c>
      <c r="R35" s="36">
        <f>VLOOKUP($A35,[22]HISTODEC23!$A$6:$AU$36,46,0)</f>
        <v>0</v>
      </c>
      <c r="S35" s="36">
        <f>VLOOKUP($A35,[22]HISTODEC23!$A$6:$AU$36,26,0)</f>
        <v>0</v>
      </c>
      <c r="T35" s="36">
        <f>VLOOKUP($A35,[22]HISTODEC23!$A$6:$BG$36,58,0)</f>
        <v>0</v>
      </c>
      <c r="U35" s="36">
        <f>VLOOKUP($A35,[22]HISTODEC23!$A$6:$AU$36,28,0)</f>
        <v>0</v>
      </c>
      <c r="V35" s="36">
        <f>VLOOKUP($A35,[22]HISTODEC23!$A$6:$AU$36,19,0)</f>
        <v>0</v>
      </c>
      <c r="W35" s="36">
        <f>VLOOKUP($A35,[22]HISTODEC23!$A$6:$AU$36,20,0)</f>
        <v>0</v>
      </c>
      <c r="X35" s="36">
        <f>VLOOKUP($A35,[22]HISTODEC23!$A$6:$AU$36,27,0)</f>
        <v>0</v>
      </c>
      <c r="Y35" s="36">
        <f>VLOOKUP($A35,[22]HISTODEC23!$A$6:$BM$36,33,0)</f>
        <v>0</v>
      </c>
      <c r="Z35" s="36">
        <f>VLOOKUP($A35,[22]HISTODEC23!$A$6:$BM$36,65,0)</f>
        <v>0</v>
      </c>
      <c r="AA35" s="36"/>
      <c r="AB35" s="36">
        <f>VLOOKUP($A35,[22]HISTODEC23!$A$6:$AU$36,43,0)</f>
        <v>0</v>
      </c>
      <c r="AC35" s="36">
        <f>VLOOKUP($A35,[22]HISTODEC23!$A$6:$AU$36,44,0)</f>
        <v>0</v>
      </c>
      <c r="AD35" s="36">
        <f>VLOOKUP($A35,[22]HISTODEC23!$A$6:$AU$36,47,0)</f>
        <v>0</v>
      </c>
      <c r="AE35" s="36">
        <f>VLOOKUP(A35,[22]HISTODEC23!$A$6:$BB$36,54,0)</f>
        <v>70000</v>
      </c>
      <c r="AF35" s="36">
        <f>VLOOKUP($A35,[22]HISTODEC23!$A$6:$CA$36,60,0)</f>
        <v>0</v>
      </c>
      <c r="AG35" s="36">
        <f>VLOOKUP($A35,[22]HISTODEC23!$A$6:$CA$36,61,0)</f>
        <v>0</v>
      </c>
      <c r="AH35" s="36">
        <f>VLOOKUP($A35,[22]HISTODEC23!$A$6:$CA$36,62,0)</f>
        <v>0</v>
      </c>
      <c r="AI35" s="36">
        <f>VLOOKUP($A35,[22]HISTODEC23!$A$6:$CA$36,63,0)</f>
        <v>0</v>
      </c>
      <c r="AJ35" s="36">
        <f>VLOOKUP($A35,[22]HISTODEC23!$A$6:$CA$36,64,0)</f>
        <v>0</v>
      </c>
      <c r="AK35" s="36">
        <f>VLOOKUP($A35,[22]HISTODEC23!$A$6:$CA$36,65,0)</f>
        <v>0</v>
      </c>
      <c r="AL35" s="36">
        <f>VLOOKUP($A35,[20]DETAILFICHECASSATION!$A$6:$R$36,12,0)</f>
        <v>0</v>
      </c>
    </row>
    <row r="36" spans="1:38" x14ac:dyDescent="0.25">
      <c r="A36" s="1" t="s">
        <v>313</v>
      </c>
      <c r="B36" s="1" t="str">
        <f>VLOOKUP(A36,[19]LISTADHERENT!A$5:H$60,3,0)</f>
        <v>YANTCHOU GERVAIS</v>
      </c>
      <c r="C36" s="36">
        <f>VLOOKUP($A36,[23]FONDSCAISSE!$A$2:$G$33,4,0)</f>
        <v>698024.13813217054</v>
      </c>
      <c r="D36" s="36">
        <f>VLOOKUP($A36,[20]DETAILFICHECASSATION!$A$6:$R$36,17,0)</f>
        <v>0</v>
      </c>
      <c r="E36" s="36"/>
      <c r="F36" s="36">
        <f t="shared" si="0"/>
        <v>698024.13813217054</v>
      </c>
      <c r="G36" s="5">
        <f t="shared" si="5"/>
        <v>698024.13813217054</v>
      </c>
      <c r="H36" s="36">
        <f t="shared" si="1"/>
        <v>38253.255008027918</v>
      </c>
      <c r="I36" s="6">
        <f t="shared" si="2"/>
        <v>736277.39314019843</v>
      </c>
      <c r="J36" s="36">
        <f>VLOOKUP($A36,[22]HISTODEC23!$A$6:$AQ$40,22,0)</f>
        <v>0</v>
      </c>
      <c r="K36" s="36">
        <f>VLOOKUP($A36,[22]HISTODEC23!$A$6:$AU$36,45,0)</f>
        <v>15000</v>
      </c>
      <c r="L36" s="36">
        <f t="shared" si="3"/>
        <v>9000</v>
      </c>
      <c r="M36" s="36">
        <f t="shared" si="6"/>
        <v>1000</v>
      </c>
      <c r="N36" s="36">
        <f t="shared" si="4"/>
        <v>1000</v>
      </c>
      <c r="O36" s="36">
        <f t="shared" si="7"/>
        <v>4000</v>
      </c>
      <c r="P36" s="36">
        <f>VLOOKUP($A36,[22]HISTODEC23!$A$6:$AU$36,7,0)</f>
        <v>0</v>
      </c>
      <c r="Q36" s="36">
        <f>VLOOKUP($A36,[22]HISTODEC23!$A$6:$AU$36,23,0)</f>
        <v>0</v>
      </c>
      <c r="R36" s="36">
        <f>VLOOKUP($A36,[22]HISTODEC23!$A$6:$AU$36,46,0)</f>
        <v>0</v>
      </c>
      <c r="S36" s="36">
        <f>VLOOKUP($A36,[22]HISTODEC23!$A$6:$AU$36,26,0)</f>
        <v>700000</v>
      </c>
      <c r="T36" s="36">
        <f>VLOOKUP($A36,[22]HISTODEC23!$A$6:$BG$36,58,0)</f>
        <v>84000</v>
      </c>
      <c r="U36" s="36">
        <f>VLOOKUP($A36,[22]HISTODEC23!$A$6:$AU$36,28,0)</f>
        <v>0</v>
      </c>
      <c r="V36" s="36">
        <f>VLOOKUP($A36,[22]HISTODEC23!$A$6:$AU$36,19,0)</f>
        <v>0</v>
      </c>
      <c r="W36" s="36">
        <f>VLOOKUP($A36,[22]HISTODEC23!$A$6:$AU$36,20,0)</f>
        <v>0</v>
      </c>
      <c r="X36" s="36" t="str">
        <f>VLOOKUP($A36,[22]HISTODEC23!$A$6:$AU$36,27,0)</f>
        <v>BANQUE</v>
      </c>
      <c r="Y36" s="36">
        <f>VLOOKUP($A36,[22]HISTODEC23!$A$6:$BM$36,33,0)</f>
        <v>0</v>
      </c>
      <c r="Z36" s="36">
        <f>VLOOKUP($A36,[22]HISTODEC23!$A$6:$BM$36,65,0)</f>
        <v>0</v>
      </c>
      <c r="AA36" s="36"/>
      <c r="AB36" s="36">
        <f>VLOOKUP($A36,[22]HISTODEC23!$A$6:$AU$36,43,0)</f>
        <v>0</v>
      </c>
      <c r="AC36" s="36">
        <f>VLOOKUP($A36,[22]HISTODEC23!$A$6:$AU$36,44,0)</f>
        <v>0</v>
      </c>
      <c r="AD36" s="36">
        <f>VLOOKUP($A36,[22]HISTODEC23!$A$6:$AU$36,47,0)</f>
        <v>0</v>
      </c>
      <c r="AE36" s="36">
        <f>VLOOKUP(A36,[22]HISTODEC23!$A$6:$BB$36,54,0)</f>
        <v>0</v>
      </c>
      <c r="AF36" s="36">
        <f>VLOOKUP($A36,[22]HISTODEC23!$A$6:$CA$36,60,0)</f>
        <v>0</v>
      </c>
      <c r="AG36" s="36">
        <f>VLOOKUP($A36,[22]HISTODEC23!$A$6:$CA$36,61,0)</f>
        <v>0</v>
      </c>
      <c r="AH36" s="36">
        <f>VLOOKUP($A36,[22]HISTODEC23!$A$6:$CA$36,62,0)</f>
        <v>0</v>
      </c>
      <c r="AI36" s="36">
        <f>VLOOKUP($A36,[22]HISTODEC23!$A$6:$CA$36,63,0)</f>
        <v>0</v>
      </c>
      <c r="AJ36" s="36">
        <f>VLOOKUP($A36,[22]HISTODEC23!$A$6:$CA$36,64,0)</f>
        <v>0</v>
      </c>
      <c r="AK36" s="36">
        <f>VLOOKUP($A36,[22]HISTODEC23!$A$6:$CA$36,65,0)</f>
        <v>0</v>
      </c>
      <c r="AL36" s="36">
        <f>VLOOKUP($A36,[20]DETAILFICHECASSATION!$A$6:$R$36,12,0)</f>
        <v>700000</v>
      </c>
    </row>
    <row r="37" spans="1:38" x14ac:dyDescent="0.25">
      <c r="A37" s="1" t="s">
        <v>55</v>
      </c>
      <c r="B37" s="1" t="str">
        <f>VLOOKUP(A37,[19]LISTADHERENT!A$5:H$60,3,0)</f>
        <v>YEPMOU JEAN JACQUES</v>
      </c>
      <c r="C37" s="36">
        <f>VLOOKUP($A37,[23]FONDSCAISSE!$A$2:$G$33,4,0)</f>
        <v>700000</v>
      </c>
      <c r="D37" s="36">
        <f>VLOOKUP($A37,[20]DETAILFICHECASSATION!$A$6:$R$36,17,0)</f>
        <v>1003326.8477058813</v>
      </c>
      <c r="E37" s="36"/>
      <c r="F37" s="36">
        <f t="shared" si="0"/>
        <v>1703326.8477058813</v>
      </c>
      <c r="G37" s="5">
        <f t="shared" si="5"/>
        <v>1703326.8477058813</v>
      </c>
      <c r="H37" s="36">
        <f t="shared" si="1"/>
        <v>93346.050240709315</v>
      </c>
      <c r="I37" s="6">
        <f t="shared" si="2"/>
        <v>1796672.8979465906</v>
      </c>
      <c r="J37" s="36">
        <f>VLOOKUP($A37,[22]HISTODEC23!$A$6:$AQ$40,22,0)</f>
        <v>0</v>
      </c>
      <c r="K37" s="36">
        <f>VLOOKUP($A37,[22]HISTODEC23!$A$6:$AU$36,45,0)</f>
        <v>15000</v>
      </c>
      <c r="L37" s="36">
        <f t="shared" ref="L37:L39" si="8">IF(K37=0,0,K37-(M37+N37+O37))</f>
        <v>9000</v>
      </c>
      <c r="M37" s="36">
        <f t="shared" ref="M37:M39" si="9">IF(K37=0,0,1000)</f>
        <v>1000</v>
      </c>
      <c r="N37" s="36">
        <f t="shared" ref="N37:N39" si="10">IF(K37=0,0,1000)</f>
        <v>1000</v>
      </c>
      <c r="O37" s="36">
        <f t="shared" ref="O37:O39" si="11">IF(K37=0,0,4000)</f>
        <v>4000</v>
      </c>
      <c r="P37" s="36">
        <f>VLOOKUP($A37,[22]HISTODEC23!$A$6:$AU$36,7,0)</f>
        <v>0</v>
      </c>
      <c r="Q37" s="36">
        <f>VLOOKUP($A37,[22]HISTODEC23!$A$6:$AU$36,23,0)</f>
        <v>0</v>
      </c>
      <c r="R37" s="36">
        <f>VLOOKUP($A37,[22]HISTODEC23!$A$6:$AU$36,46,0)</f>
        <v>0</v>
      </c>
      <c r="S37" s="36">
        <f>VLOOKUP($A37,[22]HISTODEC23!$A$6:$AU$36,26,0)</f>
        <v>0</v>
      </c>
      <c r="T37" s="36">
        <f>VLOOKUP($A37,[22]HISTODEC23!$A$6:$BG$36,58,0)</f>
        <v>0</v>
      </c>
      <c r="U37" s="36">
        <f>VLOOKUP($A37,[22]HISTODEC23!$A$6:$AU$36,28,0)</f>
        <v>0</v>
      </c>
      <c r="V37" s="36">
        <f>VLOOKUP($A37,[22]HISTODEC23!$A$6:$AU$36,19,0)</f>
        <v>227500</v>
      </c>
      <c r="W37" s="36" t="str">
        <f>VLOOKUP($A37,[22]HISTODEC23!$A$6:$AU$36,20,0)</f>
        <v>BANQUE</v>
      </c>
      <c r="X37" s="36">
        <f>VLOOKUP($A37,[22]HISTODEC23!$A$6:$AU$36,27,0)</f>
        <v>0</v>
      </c>
      <c r="Y37" s="36">
        <f>VLOOKUP($A37,[22]HISTODEC23!$A$6:$BM$36,33,0)</f>
        <v>0</v>
      </c>
      <c r="Z37" s="36">
        <f>VLOOKUP($A37,[22]HISTODEC23!$A$6:$BM$36,65,0)</f>
        <v>0</v>
      </c>
      <c r="AA37" s="36"/>
      <c r="AB37" s="36">
        <f>VLOOKUP($A37,[22]HISTODEC23!$A$6:$AU$36,43,0)</f>
        <v>0</v>
      </c>
      <c r="AC37" s="36">
        <f>VLOOKUP($A37,[22]HISTODEC23!$A$6:$AU$36,44,0)</f>
        <v>0</v>
      </c>
      <c r="AD37" s="36">
        <f>VLOOKUP($A37,[22]HISTODEC23!$A$6:$AU$36,47,0)</f>
        <v>0</v>
      </c>
      <c r="AE37" s="36">
        <f>VLOOKUP(A37,[22]HISTODEC23!$A$6:$BB$36,54,0)</f>
        <v>70000</v>
      </c>
      <c r="AF37" s="36">
        <f>VLOOKUP($A37,[22]HISTODEC23!$A$6:$CA$36,60,0)</f>
        <v>0</v>
      </c>
      <c r="AG37" s="36">
        <f>VLOOKUP($A37,[22]HISTODEC23!$A$6:$CA$36,61,0)</f>
        <v>0</v>
      </c>
      <c r="AH37" s="36">
        <f>VLOOKUP($A37,[22]HISTODEC23!$A$6:$CA$36,62,0)</f>
        <v>0</v>
      </c>
      <c r="AI37" s="36">
        <f>VLOOKUP($A37,[22]HISTODEC23!$A$6:$CA$36,63,0)</f>
        <v>0</v>
      </c>
      <c r="AJ37" s="36">
        <f>VLOOKUP($A37,[22]HISTODEC23!$A$6:$CA$36,64,0)</f>
        <v>0</v>
      </c>
      <c r="AK37" s="36">
        <f>VLOOKUP($A37,[22]HISTODEC23!$A$6:$CA$36,65,0)</f>
        <v>0</v>
      </c>
      <c r="AL37" s="36">
        <f>VLOOKUP($A37,[20]DETAILFICHECASSATION!$A$6:$R$36,12,0)</f>
        <v>100000</v>
      </c>
    </row>
    <row r="38" spans="1:38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/>
      <c r="F38" s="36">
        <f t="shared" si="0"/>
        <v>0</v>
      </c>
      <c r="G38" s="5">
        <f t="shared" si="5"/>
        <v>0</v>
      </c>
      <c r="H38" s="36">
        <f t="shared" si="1"/>
        <v>0</v>
      </c>
      <c r="I38" s="6">
        <f t="shared" si="2"/>
        <v>0</v>
      </c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</row>
    <row r="39" spans="1:38" x14ac:dyDescent="0.25">
      <c r="A39" s="1" t="s">
        <v>56</v>
      </c>
      <c r="B39" s="1" t="str">
        <f>VLOOKUP(A39,[19]LISTADHERENT!A$5:H$60,3,0)</f>
        <v>YOUMBI EMMANUEL</v>
      </c>
      <c r="C39" s="36">
        <f>VLOOKUP($A39,[23]FONDSCAISSE!$A$2:$G$33,4,0)</f>
        <v>700000</v>
      </c>
      <c r="D39" s="36">
        <f>VLOOKUP($A39,[20]DETAILFICHECASSATION!$A$6:$R$36,17,0)</f>
        <v>1157834.9698456018</v>
      </c>
      <c r="E39" s="36"/>
      <c r="F39" s="36">
        <f t="shared" si="0"/>
        <v>1857834.9698456018</v>
      </c>
      <c r="G39" s="5">
        <f t="shared" si="5"/>
        <v>1857834.9698456018</v>
      </c>
      <c r="H39" s="36">
        <f t="shared" si="1"/>
        <v>101813.43449598433</v>
      </c>
      <c r="I39" s="6">
        <f t="shared" si="2"/>
        <v>1959648.4043415862</v>
      </c>
      <c r="J39" s="36">
        <f>VLOOKUP($A39,[22]HISTODEC23!$A$6:$AQ$40,22,0)</f>
        <v>11000</v>
      </c>
      <c r="K39" s="36">
        <f>VLOOKUP($A39,[22]HISTODEC23!$A$6:$AU$36,45,0)</f>
        <v>15000</v>
      </c>
      <c r="L39" s="36">
        <f t="shared" si="8"/>
        <v>9000</v>
      </c>
      <c r="M39" s="36">
        <f t="shared" si="9"/>
        <v>1000</v>
      </c>
      <c r="N39" s="36">
        <f t="shared" si="10"/>
        <v>1000</v>
      </c>
      <c r="O39" s="36">
        <f t="shared" si="11"/>
        <v>4000</v>
      </c>
      <c r="P39" s="36">
        <f>VLOOKUP($A39,[22]HISTODEC23!$A$6:$AU$36,7,0)</f>
        <v>0</v>
      </c>
      <c r="Q39" s="36">
        <f>VLOOKUP($A39,[22]HISTODEC23!$A$6:$AU$36,23,0)</f>
        <v>0</v>
      </c>
      <c r="R39" s="36">
        <f>VLOOKUP($A39,[22]HISTODEC23!$A$6:$AU$36,46,0)</f>
        <v>0</v>
      </c>
      <c r="S39" s="36">
        <f>VLOOKUP($A39,[22]HISTODEC23!$A$6:$AU$36,26,0)</f>
        <v>0</v>
      </c>
      <c r="T39" s="36">
        <f>VLOOKUP($A39,[22]HISTODEC23!$A$6:$BG$36,58,0)</f>
        <v>0</v>
      </c>
      <c r="U39" s="36">
        <f>VLOOKUP($A39,[22]HISTODEC23!$A$6:$AU$36,28,0)</f>
        <v>0</v>
      </c>
      <c r="V39" s="36">
        <f>VLOOKUP($A39,[22]HISTODEC23!$A$6:$AU$36,19,0)</f>
        <v>0</v>
      </c>
      <c r="W39" s="36">
        <f>VLOOKUP($A39,[22]HISTODEC23!$A$6:$AU$36,20,0)</f>
        <v>0</v>
      </c>
      <c r="X39" s="36">
        <f>VLOOKUP($A39,[22]HISTODEC23!$A$6:$AU$36,27,0)</f>
        <v>0</v>
      </c>
      <c r="Y39" s="36">
        <f>VLOOKUP($A39,[22]HISTODEC23!$A$6:$BM$36,33,0)</f>
        <v>0</v>
      </c>
      <c r="Z39" s="36">
        <f>VLOOKUP($A39,[22]HISTODEC23!$A$6:$BM$36,65,0)</f>
        <v>0</v>
      </c>
      <c r="AA39" s="36"/>
      <c r="AB39" s="36">
        <f>VLOOKUP($A39,[22]HISTODEC23!$A$6:$AU$36,43,0)</f>
        <v>0</v>
      </c>
      <c r="AC39" s="36">
        <f>VLOOKUP($A39,[22]HISTODEC23!$A$6:$AU$36,44,0)</f>
        <v>0</v>
      </c>
      <c r="AD39" s="36">
        <f>VLOOKUP($A39,[22]HISTODEC23!$A$6:$AU$36,47,0)</f>
        <v>0</v>
      </c>
      <c r="AE39" s="36">
        <f>VLOOKUP(A39,[22]HISTODEC23!$A$6:$BB$36,54,0)</f>
        <v>0</v>
      </c>
      <c r="AF39" s="36">
        <f>VLOOKUP($A39,[22]HISTODEC23!$A$6:$CA$36,60,0)</f>
        <v>0</v>
      </c>
      <c r="AG39" s="36">
        <f>VLOOKUP($A39,[22]HISTODEC23!$A$6:$CA$36,61,0)</f>
        <v>0</v>
      </c>
      <c r="AH39" s="36">
        <f>VLOOKUP($A39,[22]HISTODEC23!$A$6:$CA$36,62,0)</f>
        <v>0</v>
      </c>
      <c r="AI39" s="36">
        <f>VLOOKUP($A39,[22]HISTODEC23!$A$6:$CA$36,63,0)</f>
        <v>0</v>
      </c>
      <c r="AJ39" s="36">
        <f>VLOOKUP($A39,[22]HISTODEC23!$A$6:$CA$36,64,0)</f>
        <v>0</v>
      </c>
      <c r="AK39" s="36">
        <f>VLOOKUP($A39,[22]HISTODEC23!$A$6:$CA$36,65,0)</f>
        <v>0</v>
      </c>
      <c r="AL39" s="36">
        <f>VLOOKUP($A39,[20]DETAILFICHECASSATION!$A$6:$R$36,12,0)</f>
        <v>100000</v>
      </c>
    </row>
    <row r="40" spans="1:38" x14ac:dyDescent="0.25">
      <c r="A40" s="15"/>
      <c r="B40" s="1"/>
      <c r="C40" s="1"/>
      <c r="D40" s="1"/>
      <c r="E40" s="1"/>
      <c r="F40" s="1"/>
      <c r="G40" s="1"/>
      <c r="H40" s="36"/>
      <c r="I40" s="1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10"/>
      <c r="W40" s="2"/>
    </row>
    <row r="41" spans="1:38" ht="18" x14ac:dyDescent="0.25">
      <c r="A41" s="1" t="s">
        <v>57</v>
      </c>
      <c r="B41" s="1"/>
      <c r="C41" s="9">
        <f t="shared" ref="C41:AL41" si="12">SUM(C6:C40)</f>
        <v>19518742.582153067</v>
      </c>
      <c r="D41" s="9">
        <f t="shared" si="12"/>
        <v>4710914.0731219202</v>
      </c>
      <c r="E41" s="9">
        <f t="shared" si="12"/>
        <v>0</v>
      </c>
      <c r="F41" s="9">
        <f t="shared" si="12"/>
        <v>24229656.655274983</v>
      </c>
      <c r="G41" s="9">
        <f t="shared" si="12"/>
        <v>21860438.211254086</v>
      </c>
      <c r="H41" s="36">
        <f t="shared" si="12"/>
        <v>1198000</v>
      </c>
      <c r="I41" s="153">
        <f t="shared" si="12"/>
        <v>25427656.655274987</v>
      </c>
      <c r="J41" s="9">
        <f t="shared" si="12"/>
        <v>187000</v>
      </c>
      <c r="K41" s="9">
        <f t="shared" si="12"/>
        <v>638800</v>
      </c>
      <c r="L41" s="9">
        <f t="shared" si="12"/>
        <v>483800</v>
      </c>
      <c r="M41" s="9">
        <f t="shared" si="12"/>
        <v>30000</v>
      </c>
      <c r="N41" s="9">
        <f t="shared" si="12"/>
        <v>30000</v>
      </c>
      <c r="O41" s="9">
        <f t="shared" si="12"/>
        <v>120000</v>
      </c>
      <c r="P41" s="9">
        <f t="shared" si="12"/>
        <v>0</v>
      </c>
      <c r="Q41" s="9">
        <f t="shared" si="12"/>
        <v>0</v>
      </c>
      <c r="R41" s="9">
        <f t="shared" si="12"/>
        <v>0</v>
      </c>
      <c r="S41" s="9">
        <f t="shared" si="12"/>
        <v>15213500</v>
      </c>
      <c r="T41" s="9">
        <f t="shared" si="12"/>
        <v>1198000</v>
      </c>
      <c r="U41" s="9">
        <f t="shared" si="12"/>
        <v>0</v>
      </c>
      <c r="V41" s="9">
        <f t="shared" si="12"/>
        <v>13317700</v>
      </c>
      <c r="W41" s="9">
        <f t="shared" si="12"/>
        <v>0</v>
      </c>
      <c r="X41" s="9">
        <f t="shared" si="12"/>
        <v>0</v>
      </c>
      <c r="Y41" s="9">
        <f t="shared" si="12"/>
        <v>0</v>
      </c>
      <c r="Z41" s="9">
        <f t="shared" si="12"/>
        <v>0</v>
      </c>
      <c r="AA41" s="9">
        <f t="shared" si="12"/>
        <v>0</v>
      </c>
      <c r="AB41" s="9">
        <f t="shared" si="12"/>
        <v>0</v>
      </c>
      <c r="AC41" s="9">
        <f t="shared" si="12"/>
        <v>0</v>
      </c>
      <c r="AD41" s="9">
        <f t="shared" si="12"/>
        <v>0</v>
      </c>
      <c r="AE41" s="9">
        <f t="shared" si="12"/>
        <v>140000</v>
      </c>
      <c r="AF41" s="9">
        <f t="shared" si="12"/>
        <v>6000</v>
      </c>
      <c r="AG41" s="9">
        <f t="shared" si="12"/>
        <v>0</v>
      </c>
      <c r="AH41" s="9">
        <f t="shared" si="12"/>
        <v>0</v>
      </c>
      <c r="AI41" s="9">
        <f t="shared" si="12"/>
        <v>0</v>
      </c>
      <c r="AJ41" s="9">
        <f t="shared" si="12"/>
        <v>0</v>
      </c>
      <c r="AK41" s="9">
        <f t="shared" si="12"/>
        <v>0</v>
      </c>
      <c r="AL41" s="9">
        <f t="shared" si="12"/>
        <v>4500000</v>
      </c>
    </row>
    <row r="44" spans="1:38" x14ac:dyDescent="0.25">
      <c r="G44" s="2"/>
      <c r="H44" s="2"/>
      <c r="I44" s="2"/>
    </row>
  </sheetData>
  <autoFilter ref="A5:V36">
    <sortState ref="A5:L48">
      <sortCondition ref="B5:B48"/>
    </sortState>
  </autoFilter>
  <mergeCells count="2">
    <mergeCell ref="AL1:AM1"/>
    <mergeCell ref="K4:P4"/>
  </mergeCells>
  <dataValidations disablePrompts="1" count="1">
    <dataValidation type="list" allowBlank="1" showInputMessage="1" showErrorMessage="1" sqref="V40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AA6" activePane="bottomRight" state="frozen"/>
      <selection activeCell="B43" sqref="B43"/>
      <selection pane="topRight" activeCell="B43" sqref="B43"/>
      <selection pane="bottomLeft" activeCell="B43" sqref="B43"/>
      <selection pane="bottomRight" activeCell="A32" sqref="A32:XFD3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0" bestFit="1" customWidth="1"/>
    <col min="12" max="12" width="17.5703125" style="150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49"/>
      <c r="K4" s="163">
        <v>45308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/>
      <c r="F6" s="36">
        <f>MVTDEC23!I6-E6+L6</f>
        <v>935106.6795254976</v>
      </c>
      <c r="G6" s="5">
        <f>IF(MVTDEC23!I6&gt;700000,(MVTDEC23!I6-E6+L6),0)</f>
        <v>935106.6795254976</v>
      </c>
      <c r="H6" s="36">
        <f t="shared" ref="H6:H39" si="0">$T$41/$G$41*G6</f>
        <v>6975.6164456769748</v>
      </c>
      <c r="I6" s="6">
        <f>F6+H6</f>
        <v>942082.29597117461</v>
      </c>
      <c r="J6" s="36">
        <f>VLOOKUP($A6,[24]HISTOJANV24!$A$6:$AQ$42,22,0)</f>
        <v>0</v>
      </c>
      <c r="K6" s="36">
        <f>VLOOKUP($A6,[24]HISTOJANV24!$A$6:$AU$38,45,0)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" si="1">IF(K6=0,0,1000)</f>
        <v>0</v>
      </c>
      <c r="O6" s="36">
        <f>IF(K6=0,0,4000)</f>
        <v>0</v>
      </c>
      <c r="P6" s="36">
        <f>VLOOKUP($A6,[24]HISTOJANV24!$A$6:$AU$38,7,0)</f>
        <v>0</v>
      </c>
      <c r="Q6" s="36">
        <f>VLOOKUP($A6,[24]HISTOJANV24!$A$6:$AU$38,23,0)</f>
        <v>0</v>
      </c>
      <c r="R6" s="36">
        <f>VLOOKUP($A6,[24]HISTOJANV24!$A$6:$AU$38,46,0)</f>
        <v>0</v>
      </c>
      <c r="S6" s="36">
        <f>VLOOKUP($A6,[24]HISTOJANV24!$A$6:$AU$38,26,0)</f>
        <v>0</v>
      </c>
      <c r="T6" s="36">
        <f>VLOOKUP($A6,[24]HISTOJANV24!$A$6:$BG$38,58,0)</f>
        <v>0</v>
      </c>
      <c r="U6" s="36">
        <f>VLOOKUP($A6,[24]HISTOJANV24!$A$6:$AU$38,28,0)</f>
        <v>0</v>
      </c>
      <c r="V6" s="36">
        <f>VLOOKUP($A6,[24]HISTOJANV24!$A$6:$AU$38,19,0)</f>
        <v>0</v>
      </c>
      <c r="W6" s="36">
        <f>VLOOKUP($A6,[24]HISTOJANV24!$A$6:$AU$38,20,0)</f>
        <v>0</v>
      </c>
      <c r="X6" s="36">
        <f>VLOOKUP($A6,[24]HISTOJANV24!$A$6:$AU$38,27,0)</f>
        <v>0</v>
      </c>
      <c r="Y6" s="36">
        <f>VLOOKUP($A6,[24]HISTOJANV24!$A$6:$BM$38,33,0)</f>
        <v>0</v>
      </c>
      <c r="Z6" s="36">
        <f>VLOOKUP($A6,[24]HISTOJANV24!$A$6:$BM$38,65,0)</f>
        <v>0</v>
      </c>
      <c r="AA6" s="36"/>
      <c r="AB6" s="36">
        <f>VLOOKUP($A6,[24]HISTOJANV24!$A$6:$AU$38,43,0)</f>
        <v>0</v>
      </c>
      <c r="AC6" s="36">
        <f>VLOOKUP($A6,[24]HISTOJANV24!$A$6:$AU$38,44,0)</f>
        <v>0</v>
      </c>
      <c r="AD6" s="36">
        <f>VLOOKUP($A6,[24]HISTOJANV24!$A$6:$AU$38,47,0)</f>
        <v>0</v>
      </c>
      <c r="AE6" s="36">
        <f>VLOOKUP(A6,[24]HISTOJANV24!$A$6:$BB$38,54,0)</f>
        <v>0</v>
      </c>
      <c r="AF6" s="36">
        <f>VLOOKUP($A6,[24]HISTOJANV24!$A$6:$CA$38,60,0)</f>
        <v>27000</v>
      </c>
      <c r="AG6" s="36">
        <f>VLOOKUP($A6,[24]HISTOJANV24!$A$6:$CA$38,61,0)</f>
        <v>500000</v>
      </c>
      <c r="AH6" s="36">
        <f>VLOOKUP($A6,[24]HISTOJANV24!$A$6:$CA$38,62,0)</f>
        <v>0</v>
      </c>
      <c r="AI6" s="36">
        <f>VLOOKUP($A6,[24]HISTOJANV24!$A$6:$CA$38,63,0)</f>
        <v>100000</v>
      </c>
      <c r="AJ6" s="36">
        <f>VLOOKUP($A6,[24]HISTOJANV24!$A$6:$CA$38,64,0)</f>
        <v>0</v>
      </c>
      <c r="AK6" s="36">
        <f>VLOOKUP($A6,[24]HISTOJANV24!$A$6:$CA$38,65,0)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VLOOKUP($A7,[24]HISTOJANV24!$A$6:$BA$38,48,0)</f>
        <v>0</v>
      </c>
      <c r="F7" s="36">
        <f>MVTDEC23!I7-E7+L7</f>
        <v>697482.49636100209</v>
      </c>
      <c r="G7" s="5">
        <f>IF(MVTDEC23!I7&gt;700000,(MVTDEC23!I7-E7+L7),0)</f>
        <v>0</v>
      </c>
      <c r="H7" s="36">
        <f t="shared" si="0"/>
        <v>0</v>
      </c>
      <c r="I7" s="6">
        <f t="shared" ref="I7:I39" si="2">F7+H7</f>
        <v>697482.49636100209</v>
      </c>
      <c r="J7" s="36">
        <f>VLOOKUP($A7,[24]HISTOJANV24!$A$6:$AQ$42,22,0)</f>
        <v>0</v>
      </c>
      <c r="K7" s="36">
        <f>VLOOKUP($A7,[24]HISTOJANV24!$A$6:$AU$38,45,0)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ref="N7" si="3">IF(K7=0,0,1000)</f>
        <v>1000</v>
      </c>
      <c r="O7" s="36">
        <f>IF(K7=0,0,4000)</f>
        <v>4000</v>
      </c>
      <c r="P7" s="36">
        <f>VLOOKUP($A7,[24]HISTOJANV24!$A$6:$AU$38,7,0)</f>
        <v>0</v>
      </c>
      <c r="Q7" s="36">
        <f>VLOOKUP($A7,[24]HISTOJANV24!$A$6:$AU$38,23,0)</f>
        <v>0</v>
      </c>
      <c r="R7" s="36">
        <f>VLOOKUP($A7,[24]HISTOJANV24!$A$6:$AU$38,46,0)</f>
        <v>0</v>
      </c>
      <c r="S7" s="36">
        <f>VLOOKUP($A7,[24]HISTOJANV24!$A$6:$AU$38,26,0)</f>
        <v>0</v>
      </c>
      <c r="T7" s="36">
        <f>VLOOKUP($A7,[24]HISTOJANV24!$A$6:$BG$38,58,0)</f>
        <v>6000</v>
      </c>
      <c r="U7" s="36">
        <f>VLOOKUP($A7,[24]HISTOJANV24!$A$6:$AU$38,28,0)</f>
        <v>0</v>
      </c>
      <c r="V7" s="36">
        <f>VLOOKUP($A7,[24]HISTOJANV24!$A$6:$AU$38,19,0)</f>
        <v>0</v>
      </c>
      <c r="W7" s="36">
        <f>VLOOKUP($A7,[24]HISTOJANV24!$A$6:$AU$38,20,0)</f>
        <v>0</v>
      </c>
      <c r="X7" s="36">
        <f>VLOOKUP($A7,[24]HISTOJANV24!$A$6:$AU$38,27,0)</f>
        <v>0</v>
      </c>
      <c r="Y7" s="36">
        <f>VLOOKUP($A7,[24]HISTOJANV24!$A$6:$BM$38,33,0)</f>
        <v>0</v>
      </c>
      <c r="Z7" s="36">
        <f>VLOOKUP($A7,[24]HISTOJANV24!$A$6:$BM$38,65,0)</f>
        <v>0</v>
      </c>
      <c r="AA7" s="36"/>
      <c r="AB7" s="36">
        <f>VLOOKUP($A7,[24]HISTOJANV24!$A$6:$AU$38,43,0)</f>
        <v>0</v>
      </c>
      <c r="AC7" s="36">
        <f>VLOOKUP($A7,[24]HISTOJANV24!$A$6:$AU$38,44,0)</f>
        <v>0</v>
      </c>
      <c r="AD7" s="36">
        <f>VLOOKUP($A7,[24]HISTOJANV24!$A$6:$AU$38,47,0)</f>
        <v>0</v>
      </c>
      <c r="AE7" s="36">
        <f>VLOOKUP(A7,[24]HISTOJANV24!$A$6:$BB$38,54,0)</f>
        <v>0</v>
      </c>
      <c r="AF7" s="36">
        <f>VLOOKUP($A7,[24]HISTOJANV24!$A$6:$CA$38,60,0)</f>
        <v>0</v>
      </c>
      <c r="AG7" s="36">
        <f>VLOOKUP($A7,[24]HISTOJANV24!$A$6:$CA$38,61,0)</f>
        <v>0</v>
      </c>
      <c r="AH7" s="36">
        <f>VLOOKUP($A7,[24]HISTOJANV24!$A$6:$CA$38,62,0)</f>
        <v>0</v>
      </c>
      <c r="AI7" s="36">
        <f>VLOOKUP($A7,[24]HISTOJANV24!$A$6:$CA$38,63,0)</f>
        <v>0</v>
      </c>
      <c r="AJ7" s="36">
        <f>VLOOKUP($A7,[24]HISTOJANV24!$A$6:$CA$38,64,0)</f>
        <v>0</v>
      </c>
      <c r="AK7" s="36">
        <f>VLOOKUP($A7,[24]HISTOJANV24!$A$6:$CA$38,65,0)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VLOOKUP($A8,[24]HISTOJANV24!$A$6:$BA$38,48,0)</f>
        <v>0</v>
      </c>
      <c r="F8" s="36">
        <f>MVTDEC23!I8-E8+L8</f>
        <v>757396.47823075973</v>
      </c>
      <c r="G8" s="5">
        <f>IF(MVTDEC23!I8&gt;700000,(MVTDEC23!I8-E8+L8),0)</f>
        <v>757396.47823075973</v>
      </c>
      <c r="H8" s="36">
        <f t="shared" si="0"/>
        <v>5649.9514388296593</v>
      </c>
      <c r="I8" s="6">
        <f t="shared" si="2"/>
        <v>763046.42966958939</v>
      </c>
      <c r="J8" s="36">
        <f>VLOOKUP($A8,[24]HISTOJANV24!$A$6:$AQ$42,22,0)</f>
        <v>0</v>
      </c>
      <c r="K8" s="36">
        <f>VLOOKUP($A8,[24]HISTOJANV24!$A$6:$AU$38,45,0)</f>
        <v>25000</v>
      </c>
      <c r="L8" s="36">
        <f t="shared" ref="L8:L39" si="4">IF(K8=0,0,K8-(M8+N8+O8))</f>
        <v>19000</v>
      </c>
      <c r="M8" s="36">
        <f t="shared" ref="M8:M39" si="5">IF(K8=0,0,1000)</f>
        <v>1000</v>
      </c>
      <c r="N8" s="36">
        <f t="shared" ref="N8:N39" si="6">IF(K8=0,0,1000)</f>
        <v>1000</v>
      </c>
      <c r="O8" s="36">
        <f t="shared" ref="O8:O39" si="7">IF(K8=0,0,4000)</f>
        <v>4000</v>
      </c>
      <c r="P8" s="36">
        <f>VLOOKUP($A8,[24]HISTOJANV24!$A$6:$AU$38,7,0)</f>
        <v>0</v>
      </c>
      <c r="Q8" s="36">
        <f>VLOOKUP($A8,[24]HISTOJANV24!$A$6:$AU$38,23,0)</f>
        <v>0</v>
      </c>
      <c r="R8" s="36">
        <f>VLOOKUP($A8,[24]HISTOJANV24!$A$6:$AU$38,46,0)</f>
        <v>0</v>
      </c>
      <c r="S8" s="36">
        <f>VLOOKUP($A8,[24]HISTOJANV24!$A$6:$AU$38,26,0)</f>
        <v>0</v>
      </c>
      <c r="T8" s="36">
        <f>VLOOKUP($A8,[24]HISTOJANV24!$A$6:$BG$38,58,0)</f>
        <v>0</v>
      </c>
      <c r="U8" s="36">
        <f>VLOOKUP($A8,[24]HISTOJANV24!$A$6:$AU$38,28,0)</f>
        <v>0</v>
      </c>
      <c r="V8" s="36">
        <f>VLOOKUP($A8,[24]HISTOJANV24!$A$6:$AU$38,19,0)</f>
        <v>0</v>
      </c>
      <c r="W8" s="36">
        <f>VLOOKUP($A8,[24]HISTOJANV24!$A$6:$AU$38,20,0)</f>
        <v>0</v>
      </c>
      <c r="X8" s="36">
        <f>VLOOKUP($A8,[24]HISTOJANV24!$A$6:$AU$38,27,0)</f>
        <v>0</v>
      </c>
      <c r="Y8" s="36">
        <f>VLOOKUP($A8,[24]HISTOJANV24!$A$6:$BM$38,33,0)</f>
        <v>0</v>
      </c>
      <c r="Z8" s="36">
        <f>VLOOKUP($A8,[24]HISTOJANV24!$A$6:$BM$38,65,0)</f>
        <v>0</v>
      </c>
      <c r="AA8" s="36"/>
      <c r="AB8" s="36">
        <f>VLOOKUP($A8,[24]HISTOJANV24!$A$6:$AU$38,43,0)</f>
        <v>0</v>
      </c>
      <c r="AC8" s="36">
        <f>VLOOKUP($A8,[24]HISTOJANV24!$A$6:$AU$38,44,0)</f>
        <v>0</v>
      </c>
      <c r="AD8" s="36">
        <f>VLOOKUP($A8,[24]HISTOJANV24!$A$6:$AU$38,47,0)</f>
        <v>0</v>
      </c>
      <c r="AE8" s="36">
        <f>VLOOKUP(A8,[24]HISTOJANV24!$A$6:$BB$38,54,0)</f>
        <v>0</v>
      </c>
      <c r="AF8" s="36">
        <f>VLOOKUP($A8,[24]HISTOJANV24!$A$6:$CA$38,60,0)</f>
        <v>0</v>
      </c>
      <c r="AG8" s="36">
        <f>VLOOKUP($A8,[24]HISTOJANV24!$A$6:$CA$38,61,0)</f>
        <v>0</v>
      </c>
      <c r="AH8" s="36">
        <f>VLOOKUP($A8,[24]HISTOJANV24!$A$6:$CA$38,62,0)</f>
        <v>0</v>
      </c>
      <c r="AI8" s="36">
        <f>VLOOKUP($A8,[24]HISTOJANV24!$A$6:$CA$38,63,0)</f>
        <v>0</v>
      </c>
      <c r="AJ8" s="36">
        <f>VLOOKUP($A8,[24]HISTOJANV24!$A$6:$CA$38,64,0)</f>
        <v>0</v>
      </c>
      <c r="AK8" s="36">
        <f>VLOOKUP($A8,[24]HISTOJANV24!$A$6:$CA$38,65,0)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VLOOKUP($A9,[24]HISTOJANV24!$A$6:$BA$38,48,0)</f>
        <v>0</v>
      </c>
      <c r="F9" s="36">
        <f>MVTDEC23!I9-E9+L9</f>
        <v>813643.48882296623</v>
      </c>
      <c r="G9" s="5">
        <f>IF(MVTDEC23!I9&gt;700000,(MVTDEC23!I9-E9+L9),0)</f>
        <v>813643.48882296623</v>
      </c>
      <c r="H9" s="36">
        <f t="shared" si="0"/>
        <v>6069.5373328222649</v>
      </c>
      <c r="I9" s="6">
        <f t="shared" si="2"/>
        <v>819713.02615578845</v>
      </c>
      <c r="J9" s="36">
        <f>VLOOKUP($A9,[24]HISTOJANV24!$A$6:$AQ$42,22,0)</f>
        <v>0</v>
      </c>
      <c r="K9" s="36">
        <f>VLOOKUP($A9,[24]HISTOJANV24!$A$6:$AU$38,45,0)</f>
        <v>25000</v>
      </c>
      <c r="L9" s="36">
        <f t="shared" si="4"/>
        <v>19000</v>
      </c>
      <c r="M9" s="36">
        <f t="shared" si="5"/>
        <v>1000</v>
      </c>
      <c r="N9" s="36">
        <f t="shared" si="6"/>
        <v>1000</v>
      </c>
      <c r="O9" s="36">
        <f t="shared" si="7"/>
        <v>4000</v>
      </c>
      <c r="P9" s="36">
        <f>VLOOKUP($A9,[24]HISTOJANV24!$A$6:$AU$38,7,0)</f>
        <v>0</v>
      </c>
      <c r="Q9" s="36">
        <f>VLOOKUP($A9,[24]HISTOJANV24!$A$6:$AU$38,23,0)</f>
        <v>0</v>
      </c>
      <c r="R9" s="36">
        <f>VLOOKUP($A9,[24]HISTOJANV24!$A$6:$AU$38,46,0)</f>
        <v>0</v>
      </c>
      <c r="S9" s="36">
        <f>VLOOKUP($A9,[24]HISTOJANV24!$A$6:$AU$38,26,0)</f>
        <v>0</v>
      </c>
      <c r="T9" s="36">
        <f>VLOOKUP($A9,[24]HISTOJANV24!$A$6:$BG$38,58,0)</f>
        <v>0</v>
      </c>
      <c r="U9" s="36">
        <f>VLOOKUP($A9,[24]HISTOJANV24!$A$6:$AU$38,28,0)</f>
        <v>0</v>
      </c>
      <c r="V9" s="36">
        <f>VLOOKUP($A9,[24]HISTOJANV24!$A$6:$AU$38,19,0)</f>
        <v>0</v>
      </c>
      <c r="W9" s="36">
        <f>VLOOKUP($A9,[24]HISTOJANV24!$A$6:$AU$38,20,0)</f>
        <v>0</v>
      </c>
      <c r="X9" s="36">
        <f>VLOOKUP($A9,[24]HISTOJANV24!$A$6:$AU$38,27,0)</f>
        <v>0</v>
      </c>
      <c r="Y9" s="36">
        <f>VLOOKUP($A9,[24]HISTOJANV24!$A$6:$BM$38,33,0)</f>
        <v>0</v>
      </c>
      <c r="Z9" s="36">
        <f>VLOOKUP($A9,[24]HISTOJANV24!$A$6:$BM$38,65,0)</f>
        <v>0</v>
      </c>
      <c r="AA9" s="36"/>
      <c r="AB9" s="36">
        <f>VLOOKUP($A9,[24]HISTOJANV24!$A$6:$AU$38,43,0)</f>
        <v>0</v>
      </c>
      <c r="AC9" s="36">
        <f>VLOOKUP($A9,[24]HISTOJANV24!$A$6:$AU$38,44,0)</f>
        <v>0</v>
      </c>
      <c r="AD9" s="36">
        <f>VLOOKUP($A9,[24]HISTOJANV24!$A$6:$AU$38,47,0)</f>
        <v>0</v>
      </c>
      <c r="AE9" s="36">
        <f>VLOOKUP(A9,[24]HISTOJANV24!$A$6:$BB$38,54,0)</f>
        <v>0</v>
      </c>
      <c r="AF9" s="36">
        <f>VLOOKUP($A9,[24]HISTOJANV24!$A$6:$CA$38,60,0)</f>
        <v>0</v>
      </c>
      <c r="AG9" s="36">
        <f>VLOOKUP($A9,[24]HISTOJANV24!$A$6:$CA$38,61,0)</f>
        <v>0</v>
      </c>
      <c r="AH9" s="36">
        <f>VLOOKUP($A9,[24]HISTOJANV24!$A$6:$CA$38,62,0)</f>
        <v>0</v>
      </c>
      <c r="AI9" s="36">
        <f>VLOOKUP($A9,[24]HISTOJANV24!$A$6:$CA$38,63,0)</f>
        <v>0</v>
      </c>
      <c r="AJ9" s="36">
        <f>VLOOKUP($A9,[24]HISTOJANV24!$A$6:$CA$38,64,0)</f>
        <v>0</v>
      </c>
      <c r="AK9" s="36">
        <f>VLOOKUP($A9,[24]HISTOJANV24!$A$6:$CA$38,65,0)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VLOOKUP($A10,[24]HISTOJANV24!$A$6:$BA$38,48,0)</f>
        <v>0</v>
      </c>
      <c r="F10" s="36">
        <f>MVTDEC23!I10-E10+L10</f>
        <v>757672.36494378909</v>
      </c>
      <c r="G10" s="5">
        <f>IF(MVTDEC23!I10&gt;700000,(MVTDEC23!I10-E10+L10),0)</f>
        <v>757672.36494378909</v>
      </c>
      <c r="H10" s="36">
        <f t="shared" si="0"/>
        <v>5652.0094712816654</v>
      </c>
      <c r="I10" s="6">
        <f t="shared" si="2"/>
        <v>763324.37441507075</v>
      </c>
      <c r="J10" s="36">
        <f>VLOOKUP($A10,[24]HISTOJANV24!$A$6:$AQ$42,22,0)</f>
        <v>0</v>
      </c>
      <c r="K10" s="36">
        <f>VLOOKUP($A10,[24]HISTOJANV24!$A$6:$AU$38,45,0)</f>
        <v>25000</v>
      </c>
      <c r="L10" s="36">
        <f t="shared" si="4"/>
        <v>19000</v>
      </c>
      <c r="M10" s="36">
        <f t="shared" si="5"/>
        <v>1000</v>
      </c>
      <c r="N10" s="36">
        <f t="shared" si="6"/>
        <v>1000</v>
      </c>
      <c r="O10" s="36">
        <f t="shared" si="7"/>
        <v>4000</v>
      </c>
      <c r="P10" s="36">
        <f>VLOOKUP($A10,[24]HISTOJANV24!$A$6:$AU$38,7,0)</f>
        <v>0</v>
      </c>
      <c r="Q10" s="36">
        <f>VLOOKUP($A10,[24]HISTOJANV24!$A$6:$AU$38,23,0)</f>
        <v>0</v>
      </c>
      <c r="R10" s="36">
        <f>VLOOKUP($A10,[24]HISTOJANV24!$A$6:$AU$38,46,0)</f>
        <v>0</v>
      </c>
      <c r="S10" s="36">
        <f>VLOOKUP($A10,[24]HISTOJANV24!$A$6:$AU$38,26,0)</f>
        <v>0</v>
      </c>
      <c r="T10" s="36">
        <f>VLOOKUP($A10,[24]HISTOJANV24!$A$6:$BG$38,58,0)</f>
        <v>0</v>
      </c>
      <c r="U10" s="36">
        <f>VLOOKUP($A10,[24]HISTOJANV24!$A$6:$AU$38,28,0)</f>
        <v>0</v>
      </c>
      <c r="V10" s="36">
        <f>VLOOKUP($A10,[24]HISTOJANV24!$A$6:$AU$38,19,0)</f>
        <v>0</v>
      </c>
      <c r="W10" s="36">
        <f>VLOOKUP($A10,[24]HISTOJANV24!$A$6:$AU$38,20,0)</f>
        <v>0</v>
      </c>
      <c r="X10" s="36">
        <f>VLOOKUP($A10,[24]HISTOJANV24!$A$6:$AU$38,27,0)</f>
        <v>0</v>
      </c>
      <c r="Y10" s="36">
        <f>VLOOKUP($A10,[24]HISTOJANV24!$A$6:$BM$38,33,0)</f>
        <v>0</v>
      </c>
      <c r="Z10" s="36">
        <f>VLOOKUP($A10,[24]HISTOJANV24!$A$6:$BM$38,65,0)</f>
        <v>0</v>
      </c>
      <c r="AA10" s="36"/>
      <c r="AB10" s="36">
        <f>VLOOKUP($A10,[24]HISTOJANV24!$A$6:$AU$38,43,0)</f>
        <v>0</v>
      </c>
      <c r="AC10" s="36">
        <f>VLOOKUP($A10,[24]HISTOJANV24!$A$6:$AU$38,44,0)</f>
        <v>0</v>
      </c>
      <c r="AD10" s="36">
        <f>VLOOKUP($A10,[24]HISTOJANV24!$A$6:$AU$38,47,0)</f>
        <v>0</v>
      </c>
      <c r="AE10" s="36">
        <f>VLOOKUP(A10,[24]HISTOJANV24!$A$6:$BB$38,54,0)</f>
        <v>0</v>
      </c>
      <c r="AF10" s="36">
        <f>VLOOKUP($A10,[24]HISTOJANV24!$A$6:$CA$38,60,0)</f>
        <v>0</v>
      </c>
      <c r="AG10" s="36">
        <f>VLOOKUP($A10,[24]HISTOJANV24!$A$6:$CA$38,61,0)</f>
        <v>0</v>
      </c>
      <c r="AH10" s="36">
        <f>VLOOKUP($A10,[24]HISTOJANV24!$A$6:$CA$38,62,0)</f>
        <v>0</v>
      </c>
      <c r="AI10" s="36">
        <f>VLOOKUP($A10,[24]HISTOJANV24!$A$6:$CA$38,63,0)</f>
        <v>0</v>
      </c>
      <c r="AJ10" s="36">
        <f>VLOOKUP($A10,[24]HISTOJANV24!$A$6:$CA$38,64,0)</f>
        <v>0</v>
      </c>
      <c r="AK10" s="36">
        <f>VLOOKUP($A10,[24]HISTOJANV24!$A$6:$CA$38,65,0)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VLOOKUP($A11,[24]HISTOJANV24!$A$6:$BA$38,48,0)</f>
        <v>0</v>
      </c>
      <c r="F11" s="36">
        <f>MVTDEC23!I11-E11+L11</f>
        <v>759678.69217594271</v>
      </c>
      <c r="G11" s="5">
        <f>IF(MVTDEC23!I11&gt;700000,(MVTDEC23!I11-E11+L11),0)</f>
        <v>759678.69217594271</v>
      </c>
      <c r="H11" s="36">
        <f t="shared" si="0"/>
        <v>5666.9760729993668</v>
      </c>
      <c r="I11" s="6">
        <f t="shared" si="2"/>
        <v>765345.66824894212</v>
      </c>
      <c r="J11" s="36">
        <f>VLOOKUP($A11,[24]HISTOJANV24!$A$6:$AQ$42,22,0)</f>
        <v>0</v>
      </c>
      <c r="K11" s="36">
        <f>VLOOKUP($A11,[24]HISTOJANV24!$A$6:$AU$38,45,0)</f>
        <v>25000</v>
      </c>
      <c r="L11" s="36">
        <f t="shared" si="4"/>
        <v>19000</v>
      </c>
      <c r="M11" s="36">
        <f t="shared" si="5"/>
        <v>1000</v>
      </c>
      <c r="N11" s="36">
        <f t="shared" si="6"/>
        <v>1000</v>
      </c>
      <c r="O11" s="36">
        <f t="shared" si="7"/>
        <v>4000</v>
      </c>
      <c r="P11" s="36">
        <f>VLOOKUP($A11,[24]HISTOJANV24!$A$6:$AU$38,7,0)</f>
        <v>0</v>
      </c>
      <c r="Q11" s="36">
        <f>VLOOKUP($A11,[24]HISTOJANV24!$A$6:$AU$38,23,0)</f>
        <v>0</v>
      </c>
      <c r="R11" s="36">
        <f>VLOOKUP($A11,[24]HISTOJANV24!$A$6:$AU$38,46,0)</f>
        <v>0</v>
      </c>
      <c r="S11" s="36">
        <f>VLOOKUP($A11,[24]HISTOJANV24!$A$6:$AU$38,26,0)</f>
        <v>0</v>
      </c>
      <c r="T11" s="36">
        <f>VLOOKUP($A11,[24]HISTOJANV24!$A$6:$BG$38,58,0)</f>
        <v>0</v>
      </c>
      <c r="U11" s="36">
        <f>VLOOKUP($A11,[24]HISTOJANV24!$A$6:$AU$38,28,0)</f>
        <v>0</v>
      </c>
      <c r="V11" s="36">
        <f>VLOOKUP($A11,[24]HISTOJANV24!$A$6:$AU$38,19,0)</f>
        <v>0</v>
      </c>
      <c r="W11" s="36">
        <f>VLOOKUP($A11,[24]HISTOJANV24!$A$6:$AU$38,20,0)</f>
        <v>0</v>
      </c>
      <c r="X11" s="36">
        <f>VLOOKUP($A11,[24]HISTOJANV24!$A$6:$AU$38,27,0)</f>
        <v>0</v>
      </c>
      <c r="Y11" s="36">
        <f>VLOOKUP($A11,[24]HISTOJANV24!$A$6:$BM$38,33,0)</f>
        <v>0</v>
      </c>
      <c r="Z11" s="36">
        <f>VLOOKUP($A11,[24]HISTOJANV24!$A$6:$BM$38,65,0)</f>
        <v>0</v>
      </c>
      <c r="AA11" s="36"/>
      <c r="AB11" s="36">
        <f>VLOOKUP($A11,[24]HISTOJANV24!$A$6:$AU$38,43,0)</f>
        <v>0</v>
      </c>
      <c r="AC11" s="36">
        <f>VLOOKUP($A11,[24]HISTOJANV24!$A$6:$AU$38,44,0)</f>
        <v>0</v>
      </c>
      <c r="AD11" s="36">
        <f>VLOOKUP($A11,[24]HISTOJANV24!$A$6:$AU$38,47,0)</f>
        <v>0</v>
      </c>
      <c r="AE11" s="36">
        <f>VLOOKUP(A11,[24]HISTOJANV24!$A$6:$BB$38,54,0)</f>
        <v>0</v>
      </c>
      <c r="AF11" s="36">
        <f>VLOOKUP($A11,[24]HISTOJANV24!$A$6:$CA$38,60,0)</f>
        <v>0</v>
      </c>
      <c r="AG11" s="36">
        <f>VLOOKUP($A11,[24]HISTOJANV24!$A$6:$CA$38,61,0)</f>
        <v>0</v>
      </c>
      <c r="AH11" s="36">
        <f>VLOOKUP($A11,[24]HISTOJANV24!$A$6:$CA$38,62,0)</f>
        <v>0</v>
      </c>
      <c r="AI11" s="36">
        <f>VLOOKUP($A11,[24]HISTOJANV24!$A$6:$CA$38,63,0)</f>
        <v>0</v>
      </c>
      <c r="AJ11" s="36">
        <f>VLOOKUP($A11,[24]HISTOJANV24!$A$6:$CA$38,64,0)</f>
        <v>0</v>
      </c>
      <c r="AK11" s="36">
        <f>VLOOKUP($A11,[24]HISTOJANV24!$A$6:$CA$38,65,0)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VLOOKUP($A12,[24]HISTOJANV24!$A$6:$BA$38,48,0)</f>
        <v>0</v>
      </c>
      <c r="F12" s="36">
        <f>MVTDEC23!I12-E12+L12</f>
        <v>777670.17348979623</v>
      </c>
      <c r="G12" s="5">
        <f>IF(MVTDEC23!I12&gt;700000,(MVTDEC23!I12-E12+L12),0)</f>
        <v>777670.17348979623</v>
      </c>
      <c r="H12" s="36">
        <f t="shared" si="0"/>
        <v>5801.1871482519682</v>
      </c>
      <c r="I12" s="6">
        <f t="shared" si="2"/>
        <v>783471.36063804815</v>
      </c>
      <c r="J12" s="36">
        <f>VLOOKUP($A12,[24]HISTOJANV24!$A$6:$AQ$42,22,0)</f>
        <v>0</v>
      </c>
      <c r="K12" s="36">
        <f>VLOOKUP($A12,[24]HISTOJANV24!$A$6:$AU$38,45,0)</f>
        <v>30000</v>
      </c>
      <c r="L12" s="36">
        <f t="shared" si="4"/>
        <v>24000</v>
      </c>
      <c r="M12" s="36">
        <f t="shared" si="5"/>
        <v>1000</v>
      </c>
      <c r="N12" s="36">
        <f t="shared" si="6"/>
        <v>1000</v>
      </c>
      <c r="O12" s="36">
        <f t="shared" si="7"/>
        <v>4000</v>
      </c>
      <c r="P12" s="36">
        <f>VLOOKUP($A12,[24]HISTOJANV24!$A$6:$AU$38,7,0)</f>
        <v>0</v>
      </c>
      <c r="Q12" s="36">
        <f>VLOOKUP($A12,[24]HISTOJANV24!$A$6:$AU$38,23,0)</f>
        <v>0</v>
      </c>
      <c r="R12" s="36">
        <f>VLOOKUP($A12,[24]HISTOJANV24!$A$6:$AU$38,46,0)</f>
        <v>0</v>
      </c>
      <c r="S12" s="36">
        <f>VLOOKUP($A12,[24]HISTOJANV24!$A$6:$AU$38,26,0)</f>
        <v>0</v>
      </c>
      <c r="T12" s="36">
        <f>VLOOKUP($A12,[24]HISTOJANV24!$A$6:$BG$38,58,0)</f>
        <v>0</v>
      </c>
      <c r="U12" s="36">
        <f>VLOOKUP($A12,[24]HISTOJANV24!$A$6:$AU$38,28,0)</f>
        <v>0</v>
      </c>
      <c r="V12" s="36">
        <f>VLOOKUP($A12,[24]HISTOJANV24!$A$6:$AU$38,19,0)</f>
        <v>0</v>
      </c>
      <c r="W12" s="36">
        <f>VLOOKUP($A12,[24]HISTOJANV24!$A$6:$AU$38,20,0)</f>
        <v>0</v>
      </c>
      <c r="X12" s="36">
        <f>VLOOKUP($A12,[24]HISTOJANV24!$A$6:$AU$38,27,0)</f>
        <v>0</v>
      </c>
      <c r="Y12" s="36">
        <f>VLOOKUP($A12,[24]HISTOJANV24!$A$6:$BM$38,33,0)</f>
        <v>0</v>
      </c>
      <c r="Z12" s="36">
        <f>VLOOKUP($A12,[24]HISTOJANV24!$A$6:$BM$38,65,0)</f>
        <v>0</v>
      </c>
      <c r="AA12" s="36"/>
      <c r="AB12" s="36">
        <f>VLOOKUP($A12,[24]HISTOJANV24!$A$6:$AU$38,43,0)</f>
        <v>0</v>
      </c>
      <c r="AC12" s="36">
        <f>VLOOKUP($A12,[24]HISTOJANV24!$A$6:$AU$38,44,0)</f>
        <v>0</v>
      </c>
      <c r="AD12" s="36">
        <f>VLOOKUP($A12,[24]HISTOJANV24!$A$6:$AU$38,47,0)</f>
        <v>0</v>
      </c>
      <c r="AE12" s="36">
        <f>VLOOKUP(A12,[24]HISTOJANV24!$A$6:$BB$38,54,0)</f>
        <v>0</v>
      </c>
      <c r="AF12" s="36">
        <f>VLOOKUP($A12,[24]HISTOJANV24!$A$6:$CA$38,60,0)</f>
        <v>0</v>
      </c>
      <c r="AG12" s="36">
        <f>VLOOKUP($A12,[24]HISTOJANV24!$A$6:$CA$38,61,0)</f>
        <v>0</v>
      </c>
      <c r="AH12" s="36">
        <f>VLOOKUP($A12,[24]HISTOJANV24!$A$6:$CA$38,62,0)</f>
        <v>0</v>
      </c>
      <c r="AI12" s="36">
        <f>VLOOKUP($A12,[24]HISTOJANV24!$A$6:$CA$38,63,0)</f>
        <v>0</v>
      </c>
      <c r="AJ12" s="36">
        <f>VLOOKUP($A12,[24]HISTOJANV24!$A$6:$CA$38,64,0)</f>
        <v>0</v>
      </c>
      <c r="AK12" s="36">
        <f>VLOOKUP($A12,[24]HISTOJANV24!$A$6:$CA$38,65,0)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VLOOKUP($A13,[24]HISTOJANV24!$A$6:$BA$38,48,0)</f>
        <v>0</v>
      </c>
      <c r="F13" s="36">
        <f>MVTDEC23!I13-E13+L13</f>
        <v>757405.03219420603</v>
      </c>
      <c r="G13" s="5">
        <f>IF(MVTDEC23!I13&gt;700000,(MVTDEC23!I13-E13+L13),0)</f>
        <v>757405.03219420603</v>
      </c>
      <c r="H13" s="36">
        <f t="shared" si="0"/>
        <v>5650.015248841285</v>
      </c>
      <c r="I13" s="6">
        <f t="shared" si="2"/>
        <v>763055.04744304728</v>
      </c>
      <c r="J13" s="36">
        <f>VLOOKUP($A13,[24]HISTOJANV24!$A$6:$AQ$42,22,0)</f>
        <v>0</v>
      </c>
      <c r="K13" s="36">
        <f>VLOOKUP($A13,[24]HISTOJANV24!$A$6:$AU$38,45,0)</f>
        <v>25000</v>
      </c>
      <c r="L13" s="36">
        <f t="shared" si="4"/>
        <v>19000</v>
      </c>
      <c r="M13" s="36">
        <f t="shared" si="5"/>
        <v>1000</v>
      </c>
      <c r="N13" s="36">
        <f t="shared" si="6"/>
        <v>1000</v>
      </c>
      <c r="O13" s="36">
        <f t="shared" si="7"/>
        <v>4000</v>
      </c>
      <c r="P13" s="36">
        <f>VLOOKUP($A13,[24]HISTOJANV24!$A$6:$AU$38,7,0)</f>
        <v>0</v>
      </c>
      <c r="Q13" s="36">
        <f>VLOOKUP($A13,[24]HISTOJANV24!$A$6:$AU$38,23,0)</f>
        <v>0</v>
      </c>
      <c r="R13" s="36">
        <f>VLOOKUP($A13,[24]HISTOJANV24!$A$6:$AU$38,46,0)</f>
        <v>0</v>
      </c>
      <c r="S13" s="36">
        <f>VLOOKUP($A13,[24]HISTOJANV24!$A$6:$AU$38,26,0)</f>
        <v>0</v>
      </c>
      <c r="T13" s="36">
        <f>VLOOKUP($A13,[24]HISTOJANV24!$A$6:$BG$38,58,0)</f>
        <v>0</v>
      </c>
      <c r="U13" s="36">
        <f>VLOOKUP($A13,[24]HISTOJANV24!$A$6:$AU$38,28,0)</f>
        <v>0</v>
      </c>
      <c r="V13" s="36">
        <f>VLOOKUP($A13,[24]HISTOJANV24!$A$6:$AU$38,19,0)</f>
        <v>0</v>
      </c>
      <c r="W13" s="36">
        <f>VLOOKUP($A13,[24]HISTOJANV24!$A$6:$AU$38,20,0)</f>
        <v>0</v>
      </c>
      <c r="X13" s="36">
        <f>VLOOKUP($A13,[24]HISTOJANV24!$A$6:$AU$38,27,0)</f>
        <v>0</v>
      </c>
      <c r="Y13" s="36">
        <f>VLOOKUP($A13,[24]HISTOJANV24!$A$6:$BM$38,33,0)</f>
        <v>0</v>
      </c>
      <c r="Z13" s="36">
        <f>VLOOKUP($A13,[24]HISTOJANV24!$A$6:$BM$38,65,0)</f>
        <v>0</v>
      </c>
      <c r="AA13" s="36"/>
      <c r="AB13" s="36">
        <f>VLOOKUP($A13,[24]HISTOJANV24!$A$6:$AU$38,43,0)</f>
        <v>0</v>
      </c>
      <c r="AC13" s="36">
        <f>VLOOKUP($A13,[24]HISTOJANV24!$A$6:$AU$38,44,0)</f>
        <v>0</v>
      </c>
      <c r="AD13" s="36">
        <f>VLOOKUP($A13,[24]HISTOJANV24!$A$6:$AU$38,47,0)</f>
        <v>0</v>
      </c>
      <c r="AE13" s="36">
        <f>VLOOKUP(A13,[24]HISTOJANV24!$A$6:$BB$38,54,0)</f>
        <v>0</v>
      </c>
      <c r="AF13" s="36">
        <f>VLOOKUP($A13,[24]HISTOJANV24!$A$6:$CA$38,60,0)</f>
        <v>0</v>
      </c>
      <c r="AG13" s="36">
        <f>VLOOKUP($A13,[24]HISTOJANV24!$A$6:$CA$38,61,0)</f>
        <v>0</v>
      </c>
      <c r="AH13" s="36">
        <f>VLOOKUP($A13,[24]HISTOJANV24!$A$6:$CA$38,62,0)</f>
        <v>0</v>
      </c>
      <c r="AI13" s="36">
        <f>VLOOKUP($A13,[24]HISTOJANV24!$A$6:$CA$38,63,0)</f>
        <v>0</v>
      </c>
      <c r="AJ13" s="36">
        <f>VLOOKUP($A13,[24]HISTOJANV24!$A$6:$CA$38,64,0)</f>
        <v>0</v>
      </c>
      <c r="AK13" s="36">
        <f>VLOOKUP($A13,[24]HISTOJANV24!$A$6:$CA$38,65,0)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VLOOKUP($A14,[24]HISTOJANV24!$A$6:$BA$38,48,0)</f>
        <v>0</v>
      </c>
      <c r="F14" s="36">
        <f>MVTDEC23!I14-E14+L14</f>
        <v>1303782.07947454</v>
      </c>
      <c r="G14" s="5">
        <f>IF(MVTDEC23!I14&gt;700000,(MVTDEC23!I14-E14+L14),0)</f>
        <v>1303782.07947454</v>
      </c>
      <c r="H14" s="36">
        <f t="shared" si="0"/>
        <v>9725.8247794534545</v>
      </c>
      <c r="I14" s="6">
        <f t="shared" si="2"/>
        <v>1313507.9042539934</v>
      </c>
      <c r="J14" s="36">
        <f>VLOOKUP($A14,[24]HISTOJANV24!$A$6:$AQ$42,22,0)</f>
        <v>0</v>
      </c>
      <c r="K14" s="36">
        <f>VLOOKUP($A14,[24]HISTOJANV24!$A$6:$AU$38,45,0)</f>
        <v>25000</v>
      </c>
      <c r="L14" s="36">
        <f t="shared" si="4"/>
        <v>19000</v>
      </c>
      <c r="M14" s="36">
        <f t="shared" si="5"/>
        <v>1000</v>
      </c>
      <c r="N14" s="36">
        <f t="shared" si="6"/>
        <v>1000</v>
      </c>
      <c r="O14" s="36">
        <f t="shared" si="7"/>
        <v>4000</v>
      </c>
      <c r="P14" s="36">
        <f>VLOOKUP($A14,[24]HISTOJANV24!$A$6:$AU$38,7,0)</f>
        <v>0</v>
      </c>
      <c r="Q14" s="36">
        <f>VLOOKUP($A14,[24]HISTOJANV24!$A$6:$AU$38,23,0)</f>
        <v>0</v>
      </c>
      <c r="R14" s="36">
        <f>VLOOKUP($A14,[24]HISTOJANV24!$A$6:$AU$38,46,0)</f>
        <v>0</v>
      </c>
      <c r="S14" s="36">
        <f>VLOOKUP($A14,[24]HISTOJANV24!$A$6:$AU$38,26,0)</f>
        <v>0</v>
      </c>
      <c r="T14" s="36">
        <f>VLOOKUP($A14,[24]HISTOJANV24!$A$6:$BG$38,58,0)</f>
        <v>0</v>
      </c>
      <c r="U14" s="36">
        <f>VLOOKUP($A14,[24]HISTOJANV24!$A$6:$AU$38,28,0)</f>
        <v>0</v>
      </c>
      <c r="V14" s="36">
        <f>VLOOKUP($A14,[24]HISTOJANV24!$A$6:$AU$38,19,0)</f>
        <v>0</v>
      </c>
      <c r="W14" s="36">
        <f>VLOOKUP($A14,[24]HISTOJANV24!$A$6:$AU$38,20,0)</f>
        <v>0</v>
      </c>
      <c r="X14" s="36">
        <f>VLOOKUP($A14,[24]HISTOJANV24!$A$6:$AU$38,27,0)</f>
        <v>0</v>
      </c>
      <c r="Y14" s="36">
        <f>VLOOKUP($A14,[24]HISTOJANV24!$A$6:$BM$38,33,0)</f>
        <v>0</v>
      </c>
      <c r="Z14" s="36">
        <f>VLOOKUP($A14,[24]HISTOJANV24!$A$6:$BM$38,65,0)</f>
        <v>0</v>
      </c>
      <c r="AA14" s="36"/>
      <c r="AB14" s="36">
        <f>VLOOKUP($A14,[24]HISTOJANV24!$A$6:$AU$38,43,0)</f>
        <v>0</v>
      </c>
      <c r="AC14" s="36">
        <f>VLOOKUP($A14,[24]HISTOJANV24!$A$6:$AU$38,44,0)</f>
        <v>0</v>
      </c>
      <c r="AD14" s="36">
        <f>VLOOKUP($A14,[24]HISTOJANV24!$A$6:$AU$38,47,0)</f>
        <v>0</v>
      </c>
      <c r="AE14" s="36">
        <f>VLOOKUP(A14,[24]HISTOJANV24!$A$6:$BB$38,54,0)</f>
        <v>0</v>
      </c>
      <c r="AF14" s="36">
        <f>VLOOKUP($A14,[24]HISTOJANV24!$A$6:$CA$38,60,0)</f>
        <v>0</v>
      </c>
      <c r="AG14" s="36">
        <f>VLOOKUP($A14,[24]HISTOJANV24!$A$6:$CA$38,61,0)</f>
        <v>0</v>
      </c>
      <c r="AH14" s="36">
        <f>VLOOKUP($A14,[24]HISTOJANV24!$A$6:$CA$38,62,0)</f>
        <v>0</v>
      </c>
      <c r="AI14" s="36">
        <f>VLOOKUP($A14,[24]HISTOJANV24!$A$6:$CA$38,63,0)</f>
        <v>0</v>
      </c>
      <c r="AJ14" s="36">
        <f>VLOOKUP($A14,[24]HISTOJANV24!$A$6:$CA$38,64,0)</f>
        <v>0</v>
      </c>
      <c r="AK14" s="36">
        <f>VLOOKUP($A14,[24]HISTOJANV24!$A$6:$CA$38,65,0)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VLOOKUP($A15,[24]HISTOJANV24!$A$6:$BA$38,48,0)</f>
        <v>0</v>
      </c>
      <c r="F15" s="36">
        <f>MVTDEC23!I15-E15+L15</f>
        <v>818434.16544427187</v>
      </c>
      <c r="G15" s="5">
        <f>IF(MVTDEC23!I15&gt;700000,(MVTDEC23!I15-E15+L15),0)</f>
        <v>818434.16544427187</v>
      </c>
      <c r="H15" s="36">
        <f t="shared" si="0"/>
        <v>6105.2743490977309</v>
      </c>
      <c r="I15" s="6">
        <f t="shared" si="2"/>
        <v>824539.43979336962</v>
      </c>
      <c r="J15" s="36">
        <f>VLOOKUP($A15,[24]HISTOJANV24!$A$6:$AQ$42,22,0)</f>
        <v>0</v>
      </c>
      <c r="K15" s="36">
        <f>VLOOKUP($A15,[24]HISTOJANV24!$A$6:$AU$38,45,0)</f>
        <v>25000</v>
      </c>
      <c r="L15" s="36">
        <f t="shared" si="4"/>
        <v>19000</v>
      </c>
      <c r="M15" s="36">
        <f t="shared" si="5"/>
        <v>1000</v>
      </c>
      <c r="N15" s="36">
        <f t="shared" si="6"/>
        <v>1000</v>
      </c>
      <c r="O15" s="36">
        <f t="shared" si="7"/>
        <v>4000</v>
      </c>
      <c r="P15" s="36">
        <f>VLOOKUP($A15,[24]HISTOJANV24!$A$6:$AU$38,7,0)</f>
        <v>0</v>
      </c>
      <c r="Q15" s="36">
        <f>VLOOKUP($A15,[24]HISTOJANV24!$A$6:$AU$38,23,0)</f>
        <v>0</v>
      </c>
      <c r="R15" s="36">
        <f>VLOOKUP($A15,[24]HISTOJANV24!$A$6:$AU$38,46,0)</f>
        <v>0</v>
      </c>
      <c r="S15" s="36">
        <f>VLOOKUP($A15,[24]HISTOJANV24!$A$6:$AU$38,26,0)</f>
        <v>0</v>
      </c>
      <c r="T15" s="36">
        <f>VLOOKUP($A15,[24]HISTOJANV24!$A$6:$BG$38,58,0)</f>
        <v>0</v>
      </c>
      <c r="U15" s="36">
        <f>VLOOKUP($A15,[24]HISTOJANV24!$A$6:$AU$38,28,0)</f>
        <v>0</v>
      </c>
      <c r="V15" s="36">
        <f>VLOOKUP($A15,[24]HISTOJANV24!$A$6:$AU$38,19,0)</f>
        <v>0</v>
      </c>
      <c r="W15" s="36">
        <f>VLOOKUP($A15,[24]HISTOJANV24!$A$6:$AU$38,20,0)</f>
        <v>0</v>
      </c>
      <c r="X15" s="36">
        <f>VLOOKUP($A15,[24]HISTOJANV24!$A$6:$AU$38,27,0)</f>
        <v>0</v>
      </c>
      <c r="Y15" s="36">
        <f>VLOOKUP($A15,[24]HISTOJANV24!$A$6:$BM$38,33,0)</f>
        <v>0</v>
      </c>
      <c r="Z15" s="36">
        <f>VLOOKUP($A15,[24]HISTOJANV24!$A$6:$BM$38,65,0)</f>
        <v>0</v>
      </c>
      <c r="AA15" s="36"/>
      <c r="AB15" s="36">
        <f>VLOOKUP($A15,[24]HISTOJANV24!$A$6:$AU$38,43,0)</f>
        <v>0</v>
      </c>
      <c r="AC15" s="36">
        <f>VLOOKUP($A15,[24]HISTOJANV24!$A$6:$AU$38,44,0)</f>
        <v>0</v>
      </c>
      <c r="AD15" s="36">
        <f>VLOOKUP($A15,[24]HISTOJANV24!$A$6:$AU$38,47,0)</f>
        <v>0</v>
      </c>
      <c r="AE15" s="36">
        <f>VLOOKUP(A15,[24]HISTOJANV24!$A$6:$BB$38,54,0)</f>
        <v>0</v>
      </c>
      <c r="AF15" s="36">
        <f>VLOOKUP($A15,[24]HISTOJANV24!$A$6:$CA$38,60,0)</f>
        <v>0</v>
      </c>
      <c r="AG15" s="36">
        <f>VLOOKUP($A15,[24]HISTOJANV24!$A$6:$CA$38,61,0)</f>
        <v>0</v>
      </c>
      <c r="AH15" s="36">
        <f>VLOOKUP($A15,[24]HISTOJANV24!$A$6:$CA$38,62,0)</f>
        <v>0</v>
      </c>
      <c r="AI15" s="36">
        <f>VLOOKUP($A15,[24]HISTOJANV24!$A$6:$CA$38,63,0)</f>
        <v>0</v>
      </c>
      <c r="AJ15" s="36">
        <f>VLOOKUP($A15,[24]HISTOJANV24!$A$6:$CA$38,64,0)</f>
        <v>0</v>
      </c>
      <c r="AK15" s="36">
        <f>VLOOKUP($A15,[24]HISTOJANV24!$A$6:$CA$38,65,0)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VLOOKUP($A16,[24]HISTOJANV24!$A$6:$BA$38,48,0)</f>
        <v>0</v>
      </c>
      <c r="F16" s="36">
        <f>MVTDEC23!I16-E16+L16</f>
        <v>823648.24399337743</v>
      </c>
      <c r="G16" s="5">
        <f>IF(MVTDEC23!I16&gt;700000,(MVTDEC23!I16-E16+L16),0)</f>
        <v>823648.24399337743</v>
      </c>
      <c r="H16" s="36">
        <f t="shared" si="0"/>
        <v>6144.1698172539936</v>
      </c>
      <c r="I16" s="6">
        <f t="shared" si="2"/>
        <v>829792.41381063138</v>
      </c>
      <c r="J16" s="36">
        <f>VLOOKUP($A16,[24]HISTOJANV24!$A$6:$AQ$42,22,0)</f>
        <v>0</v>
      </c>
      <c r="K16" s="36">
        <f>VLOOKUP($A16,[24]HISTOJANV24!$A$6:$AU$38,45,0)</f>
        <v>60000</v>
      </c>
      <c r="L16" s="36">
        <f t="shared" si="4"/>
        <v>54000</v>
      </c>
      <c r="M16" s="36">
        <f t="shared" si="5"/>
        <v>1000</v>
      </c>
      <c r="N16" s="36">
        <f t="shared" si="6"/>
        <v>1000</v>
      </c>
      <c r="O16" s="36">
        <f t="shared" si="7"/>
        <v>4000</v>
      </c>
      <c r="P16" s="36">
        <f>VLOOKUP($A16,[24]HISTOJANV24!$A$6:$AU$38,7,0)</f>
        <v>0</v>
      </c>
      <c r="Q16" s="36">
        <f>VLOOKUP($A16,[24]HISTOJANV24!$A$6:$AU$38,23,0)</f>
        <v>0</v>
      </c>
      <c r="R16" s="36">
        <f>VLOOKUP($A16,[24]HISTOJANV24!$A$6:$AU$38,46,0)</f>
        <v>0</v>
      </c>
      <c r="S16" s="36">
        <f>VLOOKUP($A16,[24]HISTOJANV24!$A$6:$AU$38,26,0)</f>
        <v>0</v>
      </c>
      <c r="T16" s="36">
        <f>VLOOKUP($A16,[24]HISTOJANV24!$A$6:$BG$38,58,0)</f>
        <v>0</v>
      </c>
      <c r="U16" s="36">
        <f>VLOOKUP($A16,[24]HISTOJANV24!$A$6:$AU$38,28,0)</f>
        <v>0</v>
      </c>
      <c r="V16" s="36">
        <f>VLOOKUP($A16,[24]HISTOJANV24!$A$6:$AU$38,19,0)</f>
        <v>0</v>
      </c>
      <c r="W16" s="36">
        <f>VLOOKUP($A16,[24]HISTOJANV24!$A$6:$AU$38,20,0)</f>
        <v>0</v>
      </c>
      <c r="X16" s="36">
        <f>VLOOKUP($A16,[24]HISTOJANV24!$A$6:$AU$38,27,0)</f>
        <v>0</v>
      </c>
      <c r="Y16" s="36">
        <f>VLOOKUP($A16,[24]HISTOJANV24!$A$6:$BM$38,33,0)</f>
        <v>0</v>
      </c>
      <c r="Z16" s="36">
        <f>VLOOKUP($A16,[24]HISTOJANV24!$A$6:$BM$38,65,0)</f>
        <v>0</v>
      </c>
      <c r="AA16" s="36"/>
      <c r="AB16" s="36">
        <f>VLOOKUP($A16,[24]HISTOJANV24!$A$6:$AU$38,43,0)</f>
        <v>0</v>
      </c>
      <c r="AC16" s="36">
        <f>VLOOKUP($A16,[24]HISTOJANV24!$A$6:$AU$38,44,0)</f>
        <v>0</v>
      </c>
      <c r="AD16" s="36">
        <f>VLOOKUP($A16,[24]HISTOJANV24!$A$6:$AU$38,47,0)</f>
        <v>0</v>
      </c>
      <c r="AE16" s="36">
        <f>VLOOKUP(A16,[24]HISTOJANV24!$A$6:$BB$38,54,0)</f>
        <v>0</v>
      </c>
      <c r="AF16" s="36">
        <f>VLOOKUP($A16,[24]HISTOJANV24!$A$6:$CA$38,60,0)</f>
        <v>0</v>
      </c>
      <c r="AG16" s="36">
        <f>VLOOKUP($A16,[24]HISTOJANV24!$A$6:$CA$38,61,0)</f>
        <v>0</v>
      </c>
      <c r="AH16" s="36">
        <f>VLOOKUP($A16,[24]HISTOJANV24!$A$6:$CA$38,62,0)</f>
        <v>0</v>
      </c>
      <c r="AI16" s="36">
        <f>VLOOKUP($A16,[24]HISTOJANV24!$A$6:$CA$38,63,0)</f>
        <v>0</v>
      </c>
      <c r="AJ16" s="36">
        <f>VLOOKUP($A16,[24]HISTOJANV24!$A$6:$CA$38,64,0)</f>
        <v>0</v>
      </c>
      <c r="AK16" s="36">
        <f>VLOOKUP($A16,[24]HISTOJANV24!$A$6:$CA$38,65,0)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VLOOKUP($A17,[24]HISTOJANV24!$A$6:$BA$38,48,0)</f>
        <v>0</v>
      </c>
      <c r="F17" s="36">
        <f>MVTDEC23!I17-E17+L17</f>
        <v>767136.92135404679</v>
      </c>
      <c r="G17" s="5">
        <f>IF(MVTDEC23!I17&gt;700000,(MVTDEC23!I17-E17+L17),0)</f>
        <v>767136.92135404679</v>
      </c>
      <c r="H17" s="36">
        <f t="shared" si="0"/>
        <v>5722.6122343588495</v>
      </c>
      <c r="I17" s="6">
        <f t="shared" si="2"/>
        <v>772859.53358840558</v>
      </c>
      <c r="J17" s="36">
        <f>VLOOKUP($A17,[24]HISTOJANV24!$A$6:$AQ$42,22,0)</f>
        <v>0</v>
      </c>
      <c r="K17" s="36">
        <f>VLOOKUP($A17,[24]HISTOJANV24!$A$6:$AU$38,45,0)</f>
        <v>25000</v>
      </c>
      <c r="L17" s="36">
        <f t="shared" si="4"/>
        <v>19000</v>
      </c>
      <c r="M17" s="36">
        <f t="shared" si="5"/>
        <v>1000</v>
      </c>
      <c r="N17" s="36">
        <f t="shared" si="6"/>
        <v>1000</v>
      </c>
      <c r="O17" s="36">
        <f t="shared" si="7"/>
        <v>4000</v>
      </c>
      <c r="P17" s="36">
        <f>VLOOKUP($A17,[24]HISTOJANV24!$A$6:$AU$38,7,0)</f>
        <v>0</v>
      </c>
      <c r="Q17" s="36">
        <f>VLOOKUP($A17,[24]HISTOJANV24!$A$6:$AU$38,23,0)</f>
        <v>0</v>
      </c>
      <c r="R17" s="36">
        <f>VLOOKUP($A17,[24]HISTOJANV24!$A$6:$AU$38,46,0)</f>
        <v>0</v>
      </c>
      <c r="S17" s="36">
        <f>VLOOKUP($A17,[24]HISTOJANV24!$A$6:$AU$38,26,0)</f>
        <v>1000000</v>
      </c>
      <c r="T17" s="36">
        <f>VLOOKUP($A17,[24]HISTOJANV24!$A$6:$BG$38,58,0)</f>
        <v>110000</v>
      </c>
      <c r="U17" s="36">
        <f>VLOOKUP($A17,[24]HISTOJANV24!$A$6:$AU$38,28,0)</f>
        <v>0</v>
      </c>
      <c r="V17" s="36">
        <f>VLOOKUP($A17,[24]HISTOJANV24!$A$6:$AU$38,19,0)</f>
        <v>0</v>
      </c>
      <c r="W17" s="36">
        <f>VLOOKUP($A17,[24]HISTOJANV24!$A$6:$AU$38,20,0)</f>
        <v>0</v>
      </c>
      <c r="X17" s="36">
        <f>VLOOKUP($A17,[24]HISTOJANV24!$A$6:$AU$38,27,0)</f>
        <v>0</v>
      </c>
      <c r="Y17" s="36">
        <f>VLOOKUP($A17,[24]HISTOJANV24!$A$6:$BM$38,33,0)</f>
        <v>0</v>
      </c>
      <c r="Z17" s="36">
        <f>VLOOKUP($A17,[24]HISTOJANV24!$A$6:$BM$38,65,0)</f>
        <v>0</v>
      </c>
      <c r="AA17" s="36"/>
      <c r="AB17" s="36">
        <f>VLOOKUP($A17,[24]HISTOJANV24!$A$6:$AU$38,43,0)</f>
        <v>0</v>
      </c>
      <c r="AC17" s="36">
        <f>VLOOKUP($A17,[24]HISTOJANV24!$A$6:$AU$38,44,0)</f>
        <v>0</v>
      </c>
      <c r="AD17" s="36">
        <f>VLOOKUP($A17,[24]HISTOJANV24!$A$6:$AU$38,47,0)</f>
        <v>0</v>
      </c>
      <c r="AE17" s="36">
        <f>VLOOKUP(A17,[24]HISTOJANV24!$A$6:$BB$38,54,0)</f>
        <v>0</v>
      </c>
      <c r="AF17" s="36">
        <f>VLOOKUP($A17,[24]HISTOJANV24!$A$6:$CA$38,60,0)</f>
        <v>0</v>
      </c>
      <c r="AG17" s="36">
        <f>VLOOKUP($A17,[24]HISTOJANV24!$A$6:$CA$38,61,0)</f>
        <v>0</v>
      </c>
      <c r="AH17" s="36">
        <f>VLOOKUP($A17,[24]HISTOJANV24!$A$6:$CA$38,62,0)</f>
        <v>0</v>
      </c>
      <c r="AI17" s="36">
        <f>VLOOKUP($A17,[24]HISTOJANV24!$A$6:$CA$38,63,0)</f>
        <v>100000</v>
      </c>
      <c r="AJ17" s="36">
        <f>VLOOKUP($A17,[24]HISTOJANV24!$A$6:$CA$38,64,0)</f>
        <v>0</v>
      </c>
      <c r="AK17" s="36">
        <f>VLOOKUP($A17,[24]HISTOJANV24!$A$6:$CA$38,65,0)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VLOOKUP($A18,[24]HISTOJANV24!$A$6:$BA$38,48,0)</f>
        <v>0</v>
      </c>
      <c r="F18" s="36">
        <f>MVTDEC23!I18-E18+L18</f>
        <v>783128.90708231321</v>
      </c>
      <c r="G18" s="5">
        <f>IF(MVTDEC23!I18&gt;700000,(MVTDEC23!I18-E18+L18),0)</f>
        <v>783128.90708231321</v>
      </c>
      <c r="H18" s="36">
        <f t="shared" si="0"/>
        <v>5841.9076699360321</v>
      </c>
      <c r="I18" s="6">
        <f t="shared" si="2"/>
        <v>788970.81475224928</v>
      </c>
      <c r="J18" s="36">
        <f>VLOOKUP($A18,[24]HISTOJANV24!$A$6:$AQ$42,22,0)</f>
        <v>0</v>
      </c>
      <c r="K18" s="36">
        <f>VLOOKUP($A18,[24]HISTOJANV24!$A$6:$AU$38,45,0)</f>
        <v>25000</v>
      </c>
      <c r="L18" s="36">
        <f t="shared" si="4"/>
        <v>19000</v>
      </c>
      <c r="M18" s="36">
        <f t="shared" si="5"/>
        <v>1000</v>
      </c>
      <c r="N18" s="36">
        <f t="shared" si="6"/>
        <v>1000</v>
      </c>
      <c r="O18" s="36">
        <f t="shared" si="7"/>
        <v>4000</v>
      </c>
      <c r="P18" s="36">
        <f>VLOOKUP($A18,[24]HISTOJANV24!$A$6:$AU$38,7,0)</f>
        <v>0</v>
      </c>
      <c r="Q18" s="36">
        <f>VLOOKUP($A18,[24]HISTOJANV24!$A$6:$AU$38,23,0)</f>
        <v>0</v>
      </c>
      <c r="R18" s="36">
        <f>VLOOKUP($A18,[24]HISTOJANV24!$A$6:$AU$38,46,0)</f>
        <v>0</v>
      </c>
      <c r="S18" s="36">
        <f>VLOOKUP($A18,[24]HISTOJANV24!$A$6:$AU$38,26,0)</f>
        <v>0</v>
      </c>
      <c r="T18" s="36">
        <f>VLOOKUP($A18,[24]HISTOJANV24!$A$6:$BG$38,58,0)</f>
        <v>0</v>
      </c>
      <c r="U18" s="36">
        <f>VLOOKUP($A18,[24]HISTOJANV24!$A$6:$AU$38,28,0)</f>
        <v>0</v>
      </c>
      <c r="V18" s="36">
        <f>VLOOKUP($A18,[24]HISTOJANV24!$A$6:$AU$38,19,0)</f>
        <v>0</v>
      </c>
      <c r="W18" s="36">
        <f>VLOOKUP($A18,[24]HISTOJANV24!$A$6:$AU$38,20,0)</f>
        <v>0</v>
      </c>
      <c r="X18" s="36">
        <f>VLOOKUP($A18,[24]HISTOJANV24!$A$6:$AU$38,27,0)</f>
        <v>0</v>
      </c>
      <c r="Y18" s="36">
        <f>VLOOKUP($A18,[24]HISTOJANV24!$A$6:$BM$38,33,0)</f>
        <v>0</v>
      </c>
      <c r="Z18" s="36">
        <f>VLOOKUP($A18,[24]HISTOJANV24!$A$6:$BM$38,65,0)</f>
        <v>0</v>
      </c>
      <c r="AA18" s="36"/>
      <c r="AB18" s="36">
        <f>VLOOKUP($A18,[24]HISTOJANV24!$A$6:$AU$38,43,0)</f>
        <v>0</v>
      </c>
      <c r="AC18" s="36">
        <f>VLOOKUP($A18,[24]HISTOJANV24!$A$6:$AU$38,44,0)</f>
        <v>0</v>
      </c>
      <c r="AD18" s="36">
        <f>VLOOKUP($A18,[24]HISTOJANV24!$A$6:$AU$38,47,0)</f>
        <v>0</v>
      </c>
      <c r="AE18" s="36">
        <f>VLOOKUP(A18,[24]HISTOJANV24!$A$6:$BB$38,54,0)</f>
        <v>0</v>
      </c>
      <c r="AF18" s="36">
        <f>VLOOKUP($A18,[24]HISTOJANV24!$A$6:$CA$38,60,0)</f>
        <v>0</v>
      </c>
      <c r="AG18" s="36">
        <f>VLOOKUP($A18,[24]HISTOJANV24!$A$6:$CA$38,61,0)</f>
        <v>0</v>
      </c>
      <c r="AH18" s="36">
        <f>VLOOKUP($A18,[24]HISTOJANV24!$A$6:$CA$38,62,0)</f>
        <v>0</v>
      </c>
      <c r="AI18" s="36">
        <f>VLOOKUP($A18,[24]HISTOJANV24!$A$6:$CA$38,63,0)</f>
        <v>0</v>
      </c>
      <c r="AJ18" s="36">
        <f>VLOOKUP($A18,[24]HISTOJANV24!$A$6:$CA$38,64,0)</f>
        <v>0</v>
      </c>
      <c r="AK18" s="36">
        <f>VLOOKUP($A18,[24]HISTOJANV24!$A$6:$CA$38,65,0)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MVTDEC23!I19-E19+L19</f>
        <v>676217.13072703336</v>
      </c>
      <c r="G19" s="5">
        <f>IF(MVTDEC23!I19&gt;700000,(MVTDEC23!I19-E19+L19),0)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MVTDEC23!I20-E20+L20</f>
        <v>19000</v>
      </c>
      <c r="G20" s="5">
        <f>IF(MVTDEC23!I20&gt;700000,(MVTDEC23!I20-E20+L20),0)</f>
        <v>0</v>
      </c>
      <c r="H20" s="36">
        <f t="shared" si="0"/>
        <v>0</v>
      </c>
      <c r="I20" s="6">
        <f t="shared" si="2"/>
        <v>19000</v>
      </c>
      <c r="J20" s="36">
        <f>VLOOKUP($A20,[24]HISTOJANV24!$A$6:$AQ$42,22,0)</f>
        <v>0</v>
      </c>
      <c r="K20" s="36">
        <f>VLOOKUP($A20,[24]HISTOJANV24!$A$6:$AU$38,45,0)</f>
        <v>25000</v>
      </c>
      <c r="L20" s="36">
        <f t="shared" ref="L20" si="8">IF(K20=0,0,K20-(M20+N20+O20))</f>
        <v>19000</v>
      </c>
      <c r="M20" s="36">
        <f t="shared" ref="M20" si="9">IF(K20=0,0,1000)</f>
        <v>1000</v>
      </c>
      <c r="N20" s="36">
        <f t="shared" ref="N20" si="10">IF(K20=0,0,1000)</f>
        <v>1000</v>
      </c>
      <c r="O20" s="36">
        <f t="shared" ref="O20" si="11">IF(K20=0,0,4000)</f>
        <v>4000</v>
      </c>
      <c r="P20" s="36">
        <f>VLOOKUP($A20,[24]HISTOJANV24!$A$6:$AU$38,7,0)</f>
        <v>0</v>
      </c>
      <c r="Q20" s="36">
        <f>VLOOKUP($A20,[24]HISTOJANV24!$A$6:$AU$38,23,0)</f>
        <v>25000</v>
      </c>
      <c r="R20" s="36">
        <f>VLOOKUP($A20,[24]HISTOJANV24!$A$6:$AU$38,46,0)</f>
        <v>0</v>
      </c>
      <c r="S20" s="36">
        <f>VLOOKUP($A20,[24]HISTOJANV24!$A$6:$AU$38,26,0)</f>
        <v>0</v>
      </c>
      <c r="T20" s="36">
        <f>VLOOKUP($A20,[24]HISTOJANV24!$A$6:$BG$38,58,0)</f>
        <v>0</v>
      </c>
      <c r="U20" s="36">
        <f>VLOOKUP($A20,[24]HISTOJANV24!$A$6:$AU$38,28,0)</f>
        <v>0</v>
      </c>
      <c r="V20" s="36">
        <f>VLOOKUP($A20,[24]HISTOJANV24!$A$6:$AU$38,19,0)</f>
        <v>0</v>
      </c>
      <c r="W20" s="36">
        <f>VLOOKUP($A20,[24]HISTOJANV24!$A$6:$AU$38,20,0)</f>
        <v>0</v>
      </c>
      <c r="X20" s="36">
        <f>VLOOKUP($A20,[24]HISTOJANV24!$A$6:$AU$38,27,0)</f>
        <v>0</v>
      </c>
      <c r="Y20" s="36">
        <f>VLOOKUP($A20,[24]HISTOJANV24!$A$6:$BM$38,33,0)</f>
        <v>0</v>
      </c>
      <c r="Z20" s="36">
        <f>VLOOKUP($A20,[24]HISTOJANV24!$A$6:$BM$38,65,0)</f>
        <v>0</v>
      </c>
      <c r="AA20" s="36"/>
      <c r="AB20" s="36">
        <f>VLOOKUP($A20,[24]HISTOJANV24!$A$6:$AU$38,43,0)</f>
        <v>0</v>
      </c>
      <c r="AC20" s="36">
        <f>VLOOKUP($A20,[24]HISTOJANV24!$A$6:$AU$38,44,0)</f>
        <v>0</v>
      </c>
      <c r="AD20" s="36">
        <f>VLOOKUP($A20,[24]HISTOJANV24!$A$6:$AU$38,47,0)</f>
        <v>0</v>
      </c>
      <c r="AE20" s="36">
        <f>VLOOKUP(A20,[24]HISTOJANV24!$A$6:$BB$38,54,0)</f>
        <v>0</v>
      </c>
      <c r="AF20" s="36">
        <f>VLOOKUP($A20,[24]HISTOJANV24!$A$6:$CA$38,60,0)</f>
        <v>0</v>
      </c>
      <c r="AG20" s="36">
        <f>VLOOKUP($A20,[24]HISTOJANV24!$A$6:$CA$38,61,0)</f>
        <v>0</v>
      </c>
      <c r="AH20" s="36">
        <f>VLOOKUP($A20,[24]HISTOJANV24!$A$6:$CA$38,62,0)</f>
        <v>0</v>
      </c>
      <c r="AI20" s="36">
        <f>VLOOKUP($A20,[24]HISTOJANV24!$A$6:$CA$38,63,0)</f>
        <v>0</v>
      </c>
      <c r="AJ20" s="36">
        <f>VLOOKUP($A20,[24]HISTOJANV24!$A$6:$CA$38,64,0)</f>
        <v>0</v>
      </c>
      <c r="AK20" s="36">
        <f>VLOOKUP($A20,[24]HISTOJANV24!$A$6:$CA$38,65,0)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MVTDEC23!I21-E21+L21</f>
        <v>790808.67839116685</v>
      </c>
      <c r="G21" s="5">
        <f>IF(MVTDEC23!I21&gt;700000,(MVTDEC23!I21-E21+L21),0)</f>
        <v>790808.67839116685</v>
      </c>
      <c r="H21" s="36">
        <f t="shared" si="0"/>
        <v>5899.1964694003464</v>
      </c>
      <c r="I21" s="6">
        <f t="shared" si="2"/>
        <v>796707.87486056716</v>
      </c>
      <c r="J21" s="36">
        <f>VLOOKUP($A21,[24]HISTOJANV24!$A$6:$AQ$42,22,0)</f>
        <v>0</v>
      </c>
      <c r="K21" s="36">
        <f>VLOOKUP($A21,[24]HISTOJANV24!$A$6:$AU$38,45,0)</f>
        <v>25000</v>
      </c>
      <c r="L21" s="36">
        <f t="shared" si="4"/>
        <v>19000</v>
      </c>
      <c r="M21" s="36">
        <f t="shared" si="5"/>
        <v>1000</v>
      </c>
      <c r="N21" s="36">
        <f t="shared" si="6"/>
        <v>1000</v>
      </c>
      <c r="O21" s="36">
        <f t="shared" si="7"/>
        <v>4000</v>
      </c>
      <c r="P21" s="36">
        <f>VLOOKUP($A21,[24]HISTOJANV24!$A$6:$AU$38,7,0)</f>
        <v>0</v>
      </c>
      <c r="Q21" s="36">
        <f>VLOOKUP($A21,[24]HISTOJANV24!$A$6:$AU$38,23,0)</f>
        <v>0</v>
      </c>
      <c r="R21" s="36">
        <f>VLOOKUP($A21,[24]HISTOJANV24!$A$6:$AU$38,46,0)</f>
        <v>0</v>
      </c>
      <c r="S21" s="36">
        <f>VLOOKUP($A21,[24]HISTOJANV24!$A$6:$AU$38,26,0)</f>
        <v>0</v>
      </c>
      <c r="T21" s="36">
        <f>VLOOKUP($A21,[24]HISTOJANV24!$A$6:$BG$38,58,0)</f>
        <v>0</v>
      </c>
      <c r="U21" s="36">
        <f>VLOOKUP($A21,[24]HISTOJANV24!$A$6:$AU$38,28,0)</f>
        <v>0</v>
      </c>
      <c r="V21" s="36">
        <f>VLOOKUP($A21,[24]HISTOJANV24!$A$6:$AU$38,19,0)</f>
        <v>0</v>
      </c>
      <c r="W21" s="36">
        <f>VLOOKUP($A21,[24]HISTOJANV24!$A$6:$AU$38,20,0)</f>
        <v>0</v>
      </c>
      <c r="X21" s="36">
        <f>VLOOKUP($A21,[24]HISTOJANV24!$A$6:$AU$38,27,0)</f>
        <v>0</v>
      </c>
      <c r="Y21" s="36">
        <f>VLOOKUP($A21,[24]HISTOJANV24!$A$6:$BM$38,33,0)</f>
        <v>0</v>
      </c>
      <c r="Z21" s="36">
        <f>VLOOKUP($A21,[24]HISTOJANV24!$A$6:$BM$38,65,0)</f>
        <v>0</v>
      </c>
      <c r="AA21" s="36"/>
      <c r="AB21" s="36">
        <f>VLOOKUP($A21,[24]HISTOJANV24!$A$6:$AU$38,43,0)</f>
        <v>0</v>
      </c>
      <c r="AC21" s="36">
        <f>VLOOKUP($A21,[24]HISTOJANV24!$A$6:$AU$38,44,0)</f>
        <v>0</v>
      </c>
      <c r="AD21" s="36">
        <f>VLOOKUP($A21,[24]HISTOJANV24!$A$6:$AU$38,47,0)</f>
        <v>0</v>
      </c>
      <c r="AE21" s="36">
        <f>VLOOKUP(A21,[24]HISTOJANV24!$A$6:$BB$38,54,0)</f>
        <v>0</v>
      </c>
      <c r="AF21" s="36">
        <f>VLOOKUP($A21,[24]HISTOJANV24!$A$6:$CA$38,60,0)</f>
        <v>0</v>
      </c>
      <c r="AG21" s="36">
        <f>VLOOKUP($A21,[24]HISTOJANV24!$A$6:$CA$38,61,0)</f>
        <v>0</v>
      </c>
      <c r="AH21" s="36">
        <f>VLOOKUP($A21,[24]HISTOJANV24!$A$6:$CA$38,62,0)</f>
        <v>0</v>
      </c>
      <c r="AI21" s="36">
        <f>VLOOKUP($A21,[24]HISTOJANV24!$A$6:$CA$38,63,0)</f>
        <v>0</v>
      </c>
      <c r="AJ21" s="36">
        <f>VLOOKUP($A21,[24]HISTOJANV24!$A$6:$CA$38,64,0)</f>
        <v>0</v>
      </c>
      <c r="AK21" s="36">
        <f>VLOOKUP($A21,[24]HISTOJANV24!$A$6:$CA$38,65,0)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MVTDEC23!I22-E22+L22</f>
        <v>758574.94102369843</v>
      </c>
      <c r="G22" s="5">
        <f>IF(MVTDEC23!I22&gt;700000,(MVTDEC23!I22-E22+L22),0)</f>
        <v>758574.94102369843</v>
      </c>
      <c r="H22" s="36">
        <f t="shared" si="0"/>
        <v>5658.7424191734344</v>
      </c>
      <c r="I22" s="6">
        <f t="shared" si="2"/>
        <v>764233.6834428719</v>
      </c>
      <c r="J22" s="36">
        <f>VLOOKUP($A22,[24]HISTOJANV24!$A$6:$AQ$42,22,0)</f>
        <v>0</v>
      </c>
      <c r="K22" s="36">
        <f>VLOOKUP($A22,[24]HISTOJANV24!$A$6:$AU$38,45,0)</f>
        <v>25000</v>
      </c>
      <c r="L22" s="36">
        <f t="shared" si="4"/>
        <v>19000</v>
      </c>
      <c r="M22" s="36">
        <f t="shared" si="5"/>
        <v>1000</v>
      </c>
      <c r="N22" s="36">
        <f t="shared" si="6"/>
        <v>1000</v>
      </c>
      <c r="O22" s="36">
        <f t="shared" si="7"/>
        <v>4000</v>
      </c>
      <c r="P22" s="36">
        <f>VLOOKUP($A22,[24]HISTOJANV24!$A$6:$AU$38,7,0)</f>
        <v>0</v>
      </c>
      <c r="Q22" s="36">
        <f>VLOOKUP($A22,[24]HISTOJANV24!$A$6:$AU$38,23,0)</f>
        <v>0</v>
      </c>
      <c r="R22" s="36">
        <f>VLOOKUP($A22,[24]HISTOJANV24!$A$6:$AU$38,46,0)</f>
        <v>0</v>
      </c>
      <c r="S22" s="36">
        <f>VLOOKUP($A22,[24]HISTOJANV24!$A$6:$AU$38,26,0)</f>
        <v>0</v>
      </c>
      <c r="T22" s="36">
        <f>VLOOKUP($A22,[24]HISTOJANV24!$A$6:$BG$38,58,0)</f>
        <v>0</v>
      </c>
      <c r="U22" s="36">
        <f>VLOOKUP($A22,[24]HISTOJANV24!$A$6:$AU$38,28,0)</f>
        <v>0</v>
      </c>
      <c r="V22" s="36">
        <f>VLOOKUP($A22,[24]HISTOJANV24!$A$6:$AU$38,19,0)</f>
        <v>0</v>
      </c>
      <c r="W22" s="36">
        <f>VLOOKUP($A22,[24]HISTOJANV24!$A$6:$AU$38,20,0)</f>
        <v>0</v>
      </c>
      <c r="X22" s="36">
        <f>VLOOKUP($A22,[24]HISTOJANV24!$A$6:$AU$38,27,0)</f>
        <v>0</v>
      </c>
      <c r="Y22" s="36">
        <f>VLOOKUP($A22,[24]HISTOJANV24!$A$6:$BM$38,33,0)</f>
        <v>0</v>
      </c>
      <c r="Z22" s="36">
        <f>VLOOKUP($A22,[24]HISTOJANV24!$A$6:$BM$38,65,0)</f>
        <v>0</v>
      </c>
      <c r="AA22" s="36"/>
      <c r="AB22" s="36">
        <f>VLOOKUP($A22,[24]HISTOJANV24!$A$6:$AU$38,43,0)</f>
        <v>0</v>
      </c>
      <c r="AC22" s="36">
        <f>VLOOKUP($A22,[24]HISTOJANV24!$A$6:$AU$38,44,0)</f>
        <v>0</v>
      </c>
      <c r="AD22" s="36">
        <f>VLOOKUP($A22,[24]HISTOJANV24!$A$6:$AU$38,47,0)</f>
        <v>0</v>
      </c>
      <c r="AE22" s="36">
        <f>VLOOKUP(A22,[24]HISTOJANV24!$A$6:$BB$38,54,0)</f>
        <v>0</v>
      </c>
      <c r="AF22" s="36">
        <f>VLOOKUP($A22,[24]HISTOJANV24!$A$6:$CA$38,60,0)</f>
        <v>0</v>
      </c>
      <c r="AG22" s="36">
        <f>VLOOKUP($A22,[24]HISTOJANV24!$A$6:$CA$38,61,0)</f>
        <v>0</v>
      </c>
      <c r="AH22" s="36">
        <f>VLOOKUP($A22,[24]HISTOJANV24!$A$6:$CA$38,62,0)</f>
        <v>0</v>
      </c>
      <c r="AI22" s="36">
        <f>VLOOKUP($A22,[24]HISTOJANV24!$A$6:$CA$38,63,0)</f>
        <v>0</v>
      </c>
      <c r="AJ22" s="36">
        <f>VLOOKUP($A22,[24]HISTOJANV24!$A$6:$CA$38,64,0)</f>
        <v>0</v>
      </c>
      <c r="AK22" s="36">
        <f>VLOOKUP($A22,[24]HISTOJANV24!$A$6:$CA$38,65,0)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MVTDEC23!I23-E23+L23</f>
        <v>863266.03380413563</v>
      </c>
      <c r="G23" s="5">
        <f>IF(MVTDEC23!I23&gt;700000,(MVTDEC23!I23-E23+L23),0)</f>
        <v>863266.03380413563</v>
      </c>
      <c r="H23" s="36">
        <f t="shared" si="0"/>
        <v>6439.7066925605959</v>
      </c>
      <c r="I23" s="6">
        <f t="shared" si="2"/>
        <v>869705.74049669621</v>
      </c>
      <c r="J23" s="36">
        <f>VLOOKUP($A23,[24]HISTOJANV24!$A$6:$AQ$42,22,0)</f>
        <v>0</v>
      </c>
      <c r="K23" s="36">
        <f>VLOOKUP($A23,[24]HISTOJANV24!$A$6:$AU$38,45,0)</f>
        <v>25000</v>
      </c>
      <c r="L23" s="36">
        <f t="shared" si="4"/>
        <v>19000</v>
      </c>
      <c r="M23" s="36">
        <f t="shared" si="5"/>
        <v>1000</v>
      </c>
      <c r="N23" s="36">
        <f t="shared" si="6"/>
        <v>1000</v>
      </c>
      <c r="O23" s="36">
        <f t="shared" si="7"/>
        <v>4000</v>
      </c>
      <c r="P23" s="36">
        <f>VLOOKUP($A23,[24]HISTOJANV24!$A$6:$AU$38,7,0)</f>
        <v>0</v>
      </c>
      <c r="Q23" s="36">
        <f>VLOOKUP($A23,[24]HISTOJANV24!$A$6:$AU$38,23,0)</f>
        <v>0</v>
      </c>
      <c r="R23" s="36">
        <f>VLOOKUP($A23,[24]HISTOJANV24!$A$6:$AU$38,46,0)</f>
        <v>0</v>
      </c>
      <c r="S23" s="36">
        <f>VLOOKUP($A23,[24]HISTOJANV24!$A$6:$AU$38,26,0)</f>
        <v>0</v>
      </c>
      <c r="T23" s="36">
        <f>VLOOKUP($A23,[24]HISTOJANV24!$A$6:$BG$38,58,0)</f>
        <v>0</v>
      </c>
      <c r="U23" s="36">
        <f>VLOOKUP($A23,[24]HISTOJANV24!$A$6:$AU$38,28,0)</f>
        <v>0</v>
      </c>
      <c r="V23" s="36">
        <f>VLOOKUP($A23,[24]HISTOJANV24!$A$6:$AU$38,19,0)</f>
        <v>0</v>
      </c>
      <c r="W23" s="36">
        <f>VLOOKUP($A23,[24]HISTOJANV24!$A$6:$AU$38,20,0)</f>
        <v>0</v>
      </c>
      <c r="X23" s="36">
        <f>VLOOKUP($A23,[24]HISTOJANV24!$A$6:$AU$38,27,0)</f>
        <v>0</v>
      </c>
      <c r="Y23" s="36">
        <f>VLOOKUP($A23,[24]HISTOJANV24!$A$6:$BM$38,33,0)</f>
        <v>0</v>
      </c>
      <c r="Z23" s="36">
        <f>VLOOKUP($A23,[24]HISTOJANV24!$A$6:$BM$38,65,0)</f>
        <v>0</v>
      </c>
      <c r="AA23" s="36"/>
      <c r="AB23" s="36">
        <f>VLOOKUP($A23,[24]HISTOJANV24!$A$6:$AU$38,43,0)</f>
        <v>0</v>
      </c>
      <c r="AC23" s="36">
        <f>VLOOKUP($A23,[24]HISTOJANV24!$A$6:$AU$38,44,0)</f>
        <v>0</v>
      </c>
      <c r="AD23" s="36">
        <f>VLOOKUP($A23,[24]HISTOJANV24!$A$6:$AU$38,47,0)</f>
        <v>0</v>
      </c>
      <c r="AE23" s="36">
        <f>VLOOKUP(A23,[24]HISTOJANV24!$A$6:$BB$38,54,0)</f>
        <v>0</v>
      </c>
      <c r="AF23" s="36">
        <f>VLOOKUP($A23,[24]HISTOJANV24!$A$6:$CA$38,60,0)</f>
        <v>0</v>
      </c>
      <c r="AG23" s="36">
        <f>VLOOKUP($A23,[24]HISTOJANV24!$A$6:$CA$38,61,0)</f>
        <v>0</v>
      </c>
      <c r="AH23" s="36">
        <f>VLOOKUP($A23,[24]HISTOJANV24!$A$6:$CA$38,62,0)</f>
        <v>0</v>
      </c>
      <c r="AI23" s="36">
        <f>VLOOKUP($A23,[24]HISTOJANV24!$A$6:$CA$38,63,0)</f>
        <v>0</v>
      </c>
      <c r="AJ23" s="36">
        <f>VLOOKUP($A23,[24]HISTOJANV24!$A$6:$CA$38,64,0)</f>
        <v>0</v>
      </c>
      <c r="AK23" s="36">
        <f>VLOOKUP($A23,[24]HISTOJANV24!$A$6:$CA$38,65,0)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MVTDEC23!I24-E24+L24</f>
        <v>1004661.0380784991</v>
      </c>
      <c r="G24" s="5">
        <f>IF(MVTDEC23!I24&gt;700000,(MVTDEC23!I24-E24+L24),0)</f>
        <v>1004661.0380784991</v>
      </c>
      <c r="H24" s="36">
        <f t="shared" si="0"/>
        <v>7494.4711795957064</v>
      </c>
      <c r="I24" s="6">
        <f t="shared" si="2"/>
        <v>1012155.5092580948</v>
      </c>
      <c r="J24" s="36">
        <f>VLOOKUP($A24,[24]HISTOJANV24!$A$6:$AQ$42,22,0)</f>
        <v>0</v>
      </c>
      <c r="K24" s="36">
        <f>VLOOKUP($A24,[24]HISTOJANV24!$A$6:$AU$38,45,0)</f>
        <v>35000</v>
      </c>
      <c r="L24" s="36">
        <f t="shared" si="4"/>
        <v>29000</v>
      </c>
      <c r="M24" s="36">
        <f t="shared" si="5"/>
        <v>1000</v>
      </c>
      <c r="N24" s="36">
        <f t="shared" si="6"/>
        <v>1000</v>
      </c>
      <c r="O24" s="36">
        <f t="shared" si="7"/>
        <v>4000</v>
      </c>
      <c r="P24" s="36">
        <f>VLOOKUP($A24,[24]HISTOJANV24!$A$6:$AU$38,7,0)</f>
        <v>0</v>
      </c>
      <c r="Q24" s="36">
        <f>VLOOKUP($A24,[24]HISTOJANV24!$A$6:$AU$38,23,0)</f>
        <v>0</v>
      </c>
      <c r="R24" s="36">
        <f>VLOOKUP($A24,[24]HISTOJANV24!$A$6:$AU$38,46,0)</f>
        <v>0</v>
      </c>
      <c r="S24" s="36">
        <f>VLOOKUP($A24,[24]HISTOJANV24!$A$6:$AU$38,26,0)</f>
        <v>0</v>
      </c>
      <c r="T24" s="36">
        <f>VLOOKUP($A24,[24]HISTOJANV24!$A$6:$BG$38,58,0)</f>
        <v>0</v>
      </c>
      <c r="U24" s="36">
        <f>VLOOKUP($A24,[24]HISTOJANV24!$A$6:$AU$38,28,0)</f>
        <v>0</v>
      </c>
      <c r="V24" s="36">
        <f>VLOOKUP($A24,[24]HISTOJANV24!$A$6:$AU$38,19,0)</f>
        <v>0</v>
      </c>
      <c r="W24" s="36">
        <f>VLOOKUP($A24,[24]HISTOJANV24!$A$6:$AU$38,20,0)</f>
        <v>0</v>
      </c>
      <c r="X24" s="36">
        <f>VLOOKUP($A24,[24]HISTOJANV24!$A$6:$AU$38,27,0)</f>
        <v>0</v>
      </c>
      <c r="Y24" s="36">
        <f>VLOOKUP($A24,[24]HISTOJANV24!$A$6:$BM$38,33,0)</f>
        <v>0</v>
      </c>
      <c r="Z24" s="36">
        <f>VLOOKUP($A24,[24]HISTOJANV24!$A$6:$BM$38,65,0)</f>
        <v>0</v>
      </c>
      <c r="AA24" s="36"/>
      <c r="AB24" s="36">
        <f>VLOOKUP($A24,[24]HISTOJANV24!$A$6:$AU$38,43,0)</f>
        <v>0</v>
      </c>
      <c r="AC24" s="36">
        <f>VLOOKUP($A24,[24]HISTOJANV24!$A$6:$AU$38,44,0)</f>
        <v>0</v>
      </c>
      <c r="AD24" s="36">
        <f>VLOOKUP($A24,[24]HISTOJANV24!$A$6:$AU$38,47,0)</f>
        <v>0</v>
      </c>
      <c r="AE24" s="36">
        <f>VLOOKUP(A24,[24]HISTOJANV24!$A$6:$BB$38,54,0)</f>
        <v>0</v>
      </c>
      <c r="AF24" s="36">
        <f>VLOOKUP($A24,[24]HISTOJANV24!$A$6:$CA$38,60,0)</f>
        <v>0</v>
      </c>
      <c r="AG24" s="36">
        <f>VLOOKUP($A24,[24]HISTOJANV24!$A$6:$CA$38,61,0)</f>
        <v>0</v>
      </c>
      <c r="AH24" s="36">
        <f>VLOOKUP($A24,[24]HISTOJANV24!$A$6:$CA$38,62,0)</f>
        <v>0</v>
      </c>
      <c r="AI24" s="36">
        <f>VLOOKUP($A24,[24]HISTOJANV24!$A$6:$CA$38,63,0)</f>
        <v>0</v>
      </c>
      <c r="AJ24" s="36">
        <f>VLOOKUP($A24,[24]HISTOJANV24!$A$6:$CA$38,64,0)</f>
        <v>0</v>
      </c>
      <c r="AK24" s="36">
        <f>VLOOKUP($A24,[24]HISTOJANV24!$A$6:$CA$38,65,0)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MVTDEC23!I25-E25+L25</f>
        <v>818152.66908529378</v>
      </c>
      <c r="G25" s="5">
        <f>IF(MVTDEC23!I25&gt;700000,(MVTDEC23!I25-E25+L25),0)</f>
        <v>818152.66908529378</v>
      </c>
      <c r="H25" s="36">
        <f t="shared" si="0"/>
        <v>6103.1744703629511</v>
      </c>
      <c r="I25" s="6">
        <f t="shared" si="2"/>
        <v>824255.84355565673</v>
      </c>
      <c r="J25" s="36">
        <f>VLOOKUP($A25,[24]HISTOJANV24!$A$6:$AQ$42,22,0)</f>
        <v>0</v>
      </c>
      <c r="K25" s="36">
        <f>VLOOKUP($A25,[24]HISTOJANV24!$A$6:$AU$38,45,0)</f>
        <v>25000</v>
      </c>
      <c r="L25" s="36">
        <f t="shared" si="4"/>
        <v>19000</v>
      </c>
      <c r="M25" s="36">
        <f t="shared" si="5"/>
        <v>1000</v>
      </c>
      <c r="N25" s="36">
        <f t="shared" si="6"/>
        <v>1000</v>
      </c>
      <c r="O25" s="36">
        <f t="shared" si="7"/>
        <v>4000</v>
      </c>
      <c r="P25" s="36">
        <f>VLOOKUP($A25,[24]HISTOJANV24!$A$6:$AU$38,7,0)</f>
        <v>0</v>
      </c>
      <c r="Q25" s="36">
        <f>VLOOKUP($A25,[24]HISTOJANV24!$A$6:$AU$38,23,0)</f>
        <v>0</v>
      </c>
      <c r="R25" s="36">
        <f>VLOOKUP($A25,[24]HISTOJANV24!$A$6:$AU$38,46,0)</f>
        <v>0</v>
      </c>
      <c r="S25" s="36">
        <f>VLOOKUP($A25,[24]HISTOJANV24!$A$6:$AU$38,26,0)</f>
        <v>0</v>
      </c>
      <c r="T25" s="36">
        <f>VLOOKUP($A25,[24]HISTOJANV24!$A$6:$BG$38,58,0)</f>
        <v>0</v>
      </c>
      <c r="U25" s="36">
        <f>VLOOKUP($A25,[24]HISTOJANV24!$A$6:$AU$38,28,0)</f>
        <v>0</v>
      </c>
      <c r="V25" s="36">
        <f>VLOOKUP($A25,[24]HISTOJANV24!$A$6:$AU$38,19,0)</f>
        <v>0</v>
      </c>
      <c r="W25" s="36">
        <f>VLOOKUP($A25,[24]HISTOJANV24!$A$6:$AU$38,20,0)</f>
        <v>0</v>
      </c>
      <c r="X25" s="36">
        <f>VLOOKUP($A25,[24]HISTOJANV24!$A$6:$AU$38,27,0)</f>
        <v>0</v>
      </c>
      <c r="Y25" s="36">
        <f>VLOOKUP($A25,[24]HISTOJANV24!$A$6:$BM$38,33,0)</f>
        <v>0</v>
      </c>
      <c r="Z25" s="36">
        <f>VLOOKUP($A25,[24]HISTOJANV24!$A$6:$BM$38,65,0)</f>
        <v>0</v>
      </c>
      <c r="AA25" s="36"/>
      <c r="AB25" s="36">
        <f>VLOOKUP($A25,[24]HISTOJANV24!$A$6:$AU$38,43,0)</f>
        <v>0</v>
      </c>
      <c r="AC25" s="36">
        <f>VLOOKUP($A25,[24]HISTOJANV24!$A$6:$AU$38,44,0)</f>
        <v>0</v>
      </c>
      <c r="AD25" s="36">
        <f>VLOOKUP($A25,[24]HISTOJANV24!$A$6:$AU$38,47,0)</f>
        <v>0</v>
      </c>
      <c r="AE25" s="36">
        <f>VLOOKUP(A25,[24]HISTOJANV24!$A$6:$BB$38,54,0)</f>
        <v>0</v>
      </c>
      <c r="AF25" s="36">
        <f>VLOOKUP($A25,[24]HISTOJANV24!$A$6:$CA$38,60,0)</f>
        <v>0</v>
      </c>
      <c r="AG25" s="36">
        <f>VLOOKUP($A25,[24]HISTOJANV24!$A$6:$CA$38,61,0)</f>
        <v>0</v>
      </c>
      <c r="AH25" s="36">
        <f>VLOOKUP($A25,[24]HISTOJANV24!$A$6:$CA$38,62,0)</f>
        <v>0</v>
      </c>
      <c r="AI25" s="36">
        <f>VLOOKUP($A25,[24]HISTOJANV24!$A$6:$CA$38,63,0)</f>
        <v>0</v>
      </c>
      <c r="AJ25" s="36">
        <f>VLOOKUP($A25,[24]HISTOJANV24!$A$6:$CA$38,64,0)</f>
        <v>0</v>
      </c>
      <c r="AK25" s="36">
        <f>VLOOKUP($A25,[24]HISTOJANV24!$A$6:$CA$38,65,0)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MVTDEC23!I26-E26+L26</f>
        <v>778861.34212574002</v>
      </c>
      <c r="G26" s="5">
        <f>IF(MVTDEC23!I26&gt;700000,(MVTDEC23!I26-E26+L26),0)</f>
        <v>778861.34212574002</v>
      </c>
      <c r="H26" s="36">
        <f t="shared" si="0"/>
        <v>5810.0729103884132</v>
      </c>
      <c r="I26" s="6">
        <f t="shared" si="2"/>
        <v>784671.41503612848</v>
      </c>
      <c r="J26" s="36">
        <f>VLOOKUP($A26,[24]HISTOJANV24!$A$6:$AQ$42,22,0)</f>
        <v>0</v>
      </c>
      <c r="K26" s="36">
        <f>VLOOKUP($A26,[24]HISTOJANV24!$A$6:$AU$38,45,0)</f>
        <v>25000</v>
      </c>
      <c r="L26" s="36">
        <f t="shared" si="4"/>
        <v>19000</v>
      </c>
      <c r="M26" s="36">
        <f t="shared" si="5"/>
        <v>1000</v>
      </c>
      <c r="N26" s="36">
        <f t="shared" si="6"/>
        <v>1000</v>
      </c>
      <c r="O26" s="36">
        <f t="shared" si="7"/>
        <v>4000</v>
      </c>
      <c r="P26" s="36">
        <f>VLOOKUP($A26,[24]HISTOJANV24!$A$6:$AU$38,7,0)</f>
        <v>0</v>
      </c>
      <c r="Q26" s="36">
        <f>VLOOKUP($A26,[24]HISTOJANV24!$A$6:$AU$38,23,0)</f>
        <v>0</v>
      </c>
      <c r="R26" s="36">
        <f>VLOOKUP($A26,[24]HISTOJANV24!$A$6:$AU$38,46,0)</f>
        <v>0</v>
      </c>
      <c r="S26" s="36">
        <f>VLOOKUP($A26,[24]HISTOJANV24!$A$6:$AU$38,26,0)</f>
        <v>0</v>
      </c>
      <c r="T26" s="36">
        <f>VLOOKUP($A26,[24]HISTOJANV24!$A$6:$BG$38,58,0)</f>
        <v>0</v>
      </c>
      <c r="U26" s="36">
        <f>VLOOKUP($A26,[24]HISTOJANV24!$A$6:$AU$38,28,0)</f>
        <v>0</v>
      </c>
      <c r="V26" s="36">
        <f>VLOOKUP($A26,[24]HISTOJANV24!$A$6:$AU$38,19,0)</f>
        <v>0</v>
      </c>
      <c r="W26" s="36">
        <f>VLOOKUP($A26,[24]HISTOJANV24!$A$6:$AU$38,20,0)</f>
        <v>0</v>
      </c>
      <c r="X26" s="36">
        <f>VLOOKUP($A26,[24]HISTOJANV24!$A$6:$AU$38,27,0)</f>
        <v>0</v>
      </c>
      <c r="Y26" s="36">
        <f>VLOOKUP($A26,[24]HISTOJANV24!$A$6:$BM$38,33,0)</f>
        <v>0</v>
      </c>
      <c r="Z26" s="36">
        <f>VLOOKUP($A26,[24]HISTOJANV24!$A$6:$BM$38,65,0)</f>
        <v>0</v>
      </c>
      <c r="AA26" s="36"/>
      <c r="AB26" s="36">
        <f>VLOOKUP($A26,[24]HISTOJANV24!$A$6:$AU$38,43,0)</f>
        <v>0</v>
      </c>
      <c r="AC26" s="36">
        <f>VLOOKUP($A26,[24]HISTOJANV24!$A$6:$AU$38,44,0)</f>
        <v>0</v>
      </c>
      <c r="AD26" s="36">
        <f>VLOOKUP($A26,[24]HISTOJANV24!$A$6:$AU$38,47,0)</f>
        <v>0</v>
      </c>
      <c r="AE26" s="36">
        <f>VLOOKUP(A26,[24]HISTOJANV24!$A$6:$BB$38,54,0)</f>
        <v>0</v>
      </c>
      <c r="AF26" s="36">
        <f>VLOOKUP($A26,[24]HISTOJANV24!$A$6:$CA$38,60,0)</f>
        <v>0</v>
      </c>
      <c r="AG26" s="36">
        <f>VLOOKUP($A26,[24]HISTOJANV24!$A$6:$CA$38,61,0)</f>
        <v>0</v>
      </c>
      <c r="AH26" s="36">
        <f>VLOOKUP($A26,[24]HISTOJANV24!$A$6:$CA$38,62,0)</f>
        <v>0</v>
      </c>
      <c r="AI26" s="36">
        <f>VLOOKUP($A26,[24]HISTOJANV24!$A$6:$CA$38,63,0)</f>
        <v>0</v>
      </c>
      <c r="AJ26" s="36">
        <f>VLOOKUP($A26,[24]HISTOJANV24!$A$6:$CA$38,64,0)</f>
        <v>0</v>
      </c>
      <c r="AK26" s="36">
        <f>VLOOKUP($A26,[24]HISTOJANV24!$A$6:$CA$38,65,0)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MVTDEC23!I27-E27+L27</f>
        <v>777435.98829072795</v>
      </c>
      <c r="G27" s="5">
        <f>IF(MVTDEC23!I27&gt;700000,(MVTDEC23!I27-E27+L27),0)</f>
        <v>777435.98829072795</v>
      </c>
      <c r="H27" s="36">
        <f t="shared" si="0"/>
        <v>5799.4401966348714</v>
      </c>
      <c r="I27" s="6">
        <f t="shared" si="2"/>
        <v>783235.42848736281</v>
      </c>
      <c r="J27" s="36">
        <f>VLOOKUP($A27,[24]HISTOJANV24!$A$6:$AQ$42,22,0)</f>
        <v>0</v>
      </c>
      <c r="K27" s="36">
        <f>VLOOKUP($A27,[24]HISTOJANV24!$A$6:$AU$38,45,0)</f>
        <v>25000</v>
      </c>
      <c r="L27" s="36">
        <f t="shared" si="4"/>
        <v>19000</v>
      </c>
      <c r="M27" s="36">
        <f t="shared" si="5"/>
        <v>1000</v>
      </c>
      <c r="N27" s="36">
        <f t="shared" si="6"/>
        <v>1000</v>
      </c>
      <c r="O27" s="36">
        <f t="shared" si="7"/>
        <v>4000</v>
      </c>
      <c r="P27" s="36">
        <f>VLOOKUP($A27,[24]HISTOJANV24!$A$6:$AU$38,7,0)</f>
        <v>0</v>
      </c>
      <c r="Q27" s="36">
        <f>VLOOKUP($A27,[24]HISTOJANV24!$A$6:$AU$38,23,0)</f>
        <v>0</v>
      </c>
      <c r="R27" s="36">
        <f>VLOOKUP($A27,[24]HISTOJANV24!$A$6:$AU$38,46,0)</f>
        <v>0</v>
      </c>
      <c r="S27" s="36">
        <f>VLOOKUP($A27,[24]HISTOJANV24!$A$6:$AU$38,26,0)</f>
        <v>0</v>
      </c>
      <c r="T27" s="36">
        <f>VLOOKUP($A27,[24]HISTOJANV24!$A$6:$BG$38,58,0)</f>
        <v>0</v>
      </c>
      <c r="U27" s="36">
        <f>VLOOKUP($A27,[24]HISTOJANV24!$A$6:$AU$38,28,0)</f>
        <v>0</v>
      </c>
      <c r="V27" s="36">
        <f>VLOOKUP($A27,[24]HISTOJANV24!$A$6:$AU$38,19,0)</f>
        <v>0</v>
      </c>
      <c r="W27" s="36">
        <f>VLOOKUP($A27,[24]HISTOJANV24!$A$6:$AU$38,20,0)</f>
        <v>0</v>
      </c>
      <c r="X27" s="36">
        <f>VLOOKUP($A27,[24]HISTOJANV24!$A$6:$AU$38,27,0)</f>
        <v>0</v>
      </c>
      <c r="Y27" s="36">
        <f>VLOOKUP($A27,[24]HISTOJANV24!$A$6:$BM$38,33,0)</f>
        <v>0</v>
      </c>
      <c r="Z27" s="36">
        <f>VLOOKUP($A27,[24]HISTOJANV24!$A$6:$BM$38,65,0)</f>
        <v>0</v>
      </c>
      <c r="AA27" s="36"/>
      <c r="AB27" s="36">
        <f>VLOOKUP($A27,[24]HISTOJANV24!$A$6:$AU$38,43,0)</f>
        <v>0</v>
      </c>
      <c r="AC27" s="36">
        <f>VLOOKUP($A27,[24]HISTOJANV24!$A$6:$AU$38,44,0)</f>
        <v>0</v>
      </c>
      <c r="AD27" s="36">
        <f>VLOOKUP($A27,[24]HISTOJANV24!$A$6:$AU$38,47,0)</f>
        <v>0</v>
      </c>
      <c r="AE27" s="36">
        <f>VLOOKUP(A27,[24]HISTOJANV24!$A$6:$BB$38,54,0)</f>
        <v>0</v>
      </c>
      <c r="AF27" s="36">
        <f>VLOOKUP($A27,[24]HISTOJANV24!$A$6:$CA$38,60,0)</f>
        <v>0</v>
      </c>
      <c r="AG27" s="36">
        <f>VLOOKUP($A27,[24]HISTOJANV24!$A$6:$CA$38,61,0)</f>
        <v>0</v>
      </c>
      <c r="AH27" s="36">
        <f>VLOOKUP($A27,[24]HISTOJANV24!$A$6:$CA$38,62,0)</f>
        <v>0</v>
      </c>
      <c r="AI27" s="36">
        <f>VLOOKUP($A27,[24]HISTOJANV24!$A$6:$CA$38,63,0)</f>
        <v>0</v>
      </c>
      <c r="AJ27" s="36">
        <f>VLOOKUP($A27,[24]HISTOJANV24!$A$6:$CA$38,64,0)</f>
        <v>0</v>
      </c>
      <c r="AK27" s="36">
        <f>VLOOKUP($A27,[24]HISTOJANV24!$A$6:$CA$38,65,0)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MVTDEC23!I28-E28+L28</f>
        <v>685018.81693285913</v>
      </c>
      <c r="G28" s="5">
        <f>IF(MVTDEC23!I28&gt;700000,(MVTDEC23!I28-E28+L28),0)</f>
        <v>0</v>
      </c>
      <c r="H28" s="36">
        <f t="shared" si="0"/>
        <v>0</v>
      </c>
      <c r="I28" s="6">
        <f t="shared" si="2"/>
        <v>685018.81693285913</v>
      </c>
      <c r="J28" s="36">
        <f>VLOOKUP($A28,[24]HISTOJANV24!$A$6:$AQ$42,22,0)</f>
        <v>0</v>
      </c>
      <c r="K28" s="36">
        <f>VLOOKUP($A28,[24]HISTOJANV24!$A$6:$AU$38,45,0)</f>
        <v>25000</v>
      </c>
      <c r="L28" s="36">
        <f t="shared" si="4"/>
        <v>19000</v>
      </c>
      <c r="M28" s="36">
        <f t="shared" si="5"/>
        <v>1000</v>
      </c>
      <c r="N28" s="36">
        <f t="shared" si="6"/>
        <v>1000</v>
      </c>
      <c r="O28" s="36">
        <f t="shared" si="7"/>
        <v>4000</v>
      </c>
      <c r="P28" s="36">
        <f>VLOOKUP($A28,[24]HISTOJANV24!$A$6:$AU$38,7,0)</f>
        <v>0</v>
      </c>
      <c r="Q28" s="36">
        <f>VLOOKUP($A28,[24]HISTOJANV24!$A$6:$AU$38,23,0)</f>
        <v>0</v>
      </c>
      <c r="R28" s="36">
        <f>VLOOKUP($A28,[24]HISTOJANV24!$A$6:$AU$38,46,0)</f>
        <v>0</v>
      </c>
      <c r="S28" s="36">
        <f>VLOOKUP($A28,[24]HISTOJANV24!$A$6:$AU$38,26,0)</f>
        <v>0</v>
      </c>
      <c r="T28" s="36">
        <f>VLOOKUP($A28,[24]HISTOJANV24!$A$6:$BG$38,58,0)</f>
        <v>0</v>
      </c>
      <c r="U28" s="36">
        <f>VLOOKUP($A28,[24]HISTOJANV24!$A$6:$AU$38,28,0)</f>
        <v>0</v>
      </c>
      <c r="V28" s="36">
        <f>VLOOKUP($A28,[24]HISTOJANV24!$A$6:$AU$38,19,0)</f>
        <v>0</v>
      </c>
      <c r="W28" s="36">
        <f>VLOOKUP($A28,[24]HISTOJANV24!$A$6:$AU$38,20,0)</f>
        <v>0</v>
      </c>
      <c r="X28" s="36">
        <f>VLOOKUP($A28,[24]HISTOJANV24!$A$6:$AU$38,27,0)</f>
        <v>0</v>
      </c>
      <c r="Y28" s="36">
        <f>VLOOKUP($A28,[24]HISTOJANV24!$A$6:$BM$38,33,0)</f>
        <v>0</v>
      </c>
      <c r="Z28" s="36">
        <f>VLOOKUP($A28,[24]HISTOJANV24!$A$6:$BM$38,65,0)</f>
        <v>0</v>
      </c>
      <c r="AA28" s="36"/>
      <c r="AB28" s="36">
        <f>VLOOKUP($A28,[24]HISTOJANV24!$A$6:$AU$38,43,0)</f>
        <v>0</v>
      </c>
      <c r="AC28" s="36">
        <f>VLOOKUP($A28,[24]HISTOJANV24!$A$6:$AU$38,44,0)</f>
        <v>0</v>
      </c>
      <c r="AD28" s="36">
        <f>VLOOKUP($A28,[24]HISTOJANV24!$A$6:$AU$38,47,0)</f>
        <v>0</v>
      </c>
      <c r="AE28" s="36">
        <f>VLOOKUP(A28,[24]HISTOJANV24!$A$6:$BB$38,54,0)</f>
        <v>0</v>
      </c>
      <c r="AF28" s="36">
        <f>VLOOKUP($A28,[24]HISTOJANV24!$A$6:$CA$38,60,0)</f>
        <v>0</v>
      </c>
      <c r="AG28" s="36">
        <f>VLOOKUP($A28,[24]HISTOJANV24!$A$6:$CA$38,61,0)</f>
        <v>0</v>
      </c>
      <c r="AH28" s="36">
        <f>VLOOKUP($A28,[24]HISTOJANV24!$A$6:$CA$38,62,0)</f>
        <v>0</v>
      </c>
      <c r="AI28" s="36">
        <f>VLOOKUP($A28,[24]HISTOJANV24!$A$6:$CA$38,63,0)</f>
        <v>0</v>
      </c>
      <c r="AJ28" s="36">
        <f>VLOOKUP($A28,[24]HISTOJANV24!$A$6:$CA$38,64,0)</f>
        <v>0</v>
      </c>
      <c r="AK28" s="36">
        <f>VLOOKUP($A28,[24]HISTOJANV24!$A$6:$CA$38,65,0)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MVTDEC23!I29-E29+L29</f>
        <v>803453.93091075309</v>
      </c>
      <c r="G29" s="5">
        <f>IF(MVTDEC23!I29&gt;700000,(MVTDEC23!I29-E29+L29),0)</f>
        <v>803453.93091075309</v>
      </c>
      <c r="H29" s="36">
        <f t="shared" si="0"/>
        <v>5993.526275150557</v>
      </c>
      <c r="I29" s="6">
        <f t="shared" si="2"/>
        <v>809447.45718590368</v>
      </c>
      <c r="J29" s="36">
        <f>VLOOKUP($A29,[24]HISTOJANV24!$A$6:$AQ$42,22,0)</f>
        <v>0</v>
      </c>
      <c r="K29" s="36">
        <f>VLOOKUP($A29,[24]HISTOJANV24!$A$6:$AU$38,45,0)</f>
        <v>25000</v>
      </c>
      <c r="L29" s="36">
        <f t="shared" si="4"/>
        <v>19000</v>
      </c>
      <c r="M29" s="36">
        <f t="shared" si="5"/>
        <v>1000</v>
      </c>
      <c r="N29" s="36">
        <f t="shared" si="6"/>
        <v>1000</v>
      </c>
      <c r="O29" s="36">
        <f t="shared" si="7"/>
        <v>4000</v>
      </c>
      <c r="P29" s="36">
        <f>VLOOKUP($A29,[24]HISTOJANV24!$A$6:$AU$38,7,0)</f>
        <v>0</v>
      </c>
      <c r="Q29" s="36">
        <f>VLOOKUP($A29,[24]HISTOJANV24!$A$6:$AU$38,23,0)</f>
        <v>0</v>
      </c>
      <c r="R29" s="36">
        <f>VLOOKUP($A29,[24]HISTOJANV24!$A$6:$AU$38,46,0)</f>
        <v>0</v>
      </c>
      <c r="S29" s="36">
        <f>VLOOKUP($A29,[24]HISTOJANV24!$A$6:$AU$38,26,0)</f>
        <v>0</v>
      </c>
      <c r="T29" s="36">
        <f>VLOOKUP($A29,[24]HISTOJANV24!$A$6:$BG$38,58,0)</f>
        <v>0</v>
      </c>
      <c r="U29" s="36">
        <f>VLOOKUP($A29,[24]HISTOJANV24!$A$6:$AU$38,28,0)</f>
        <v>0</v>
      </c>
      <c r="V29" s="36">
        <f>VLOOKUP($A29,[24]HISTOJANV24!$A$6:$AU$38,19,0)</f>
        <v>0</v>
      </c>
      <c r="W29" s="36">
        <f>VLOOKUP($A29,[24]HISTOJANV24!$A$6:$AU$38,20,0)</f>
        <v>0</v>
      </c>
      <c r="X29" s="36">
        <f>VLOOKUP($A29,[24]HISTOJANV24!$A$6:$AU$38,27,0)</f>
        <v>0</v>
      </c>
      <c r="Y29" s="36">
        <f>VLOOKUP($A29,[24]HISTOJANV24!$A$6:$BM$38,33,0)</f>
        <v>0</v>
      </c>
      <c r="Z29" s="36">
        <f>VLOOKUP($A29,[24]HISTOJANV24!$A$6:$BM$38,65,0)</f>
        <v>0</v>
      </c>
      <c r="AA29" s="36"/>
      <c r="AB29" s="36">
        <f>VLOOKUP($A29,[24]HISTOJANV24!$A$6:$AU$38,43,0)</f>
        <v>0</v>
      </c>
      <c r="AC29" s="36">
        <f>VLOOKUP($A29,[24]HISTOJANV24!$A$6:$AU$38,44,0)</f>
        <v>0</v>
      </c>
      <c r="AD29" s="36">
        <f>VLOOKUP($A29,[24]HISTOJANV24!$A$6:$AU$38,47,0)</f>
        <v>0</v>
      </c>
      <c r="AE29" s="36">
        <f>VLOOKUP(A29,[24]HISTOJANV24!$A$6:$BB$38,54,0)</f>
        <v>0</v>
      </c>
      <c r="AF29" s="36">
        <f>VLOOKUP($A29,[24]HISTOJANV24!$A$6:$CA$38,60,0)</f>
        <v>0</v>
      </c>
      <c r="AG29" s="36">
        <f>VLOOKUP($A29,[24]HISTOJANV24!$A$6:$CA$38,61,0)</f>
        <v>0</v>
      </c>
      <c r="AH29" s="36">
        <f>VLOOKUP($A29,[24]HISTOJANV24!$A$6:$CA$38,62,0)</f>
        <v>0</v>
      </c>
      <c r="AI29" s="36">
        <f>VLOOKUP($A29,[24]HISTOJANV24!$A$6:$CA$38,63,0)</f>
        <v>0</v>
      </c>
      <c r="AJ29" s="36">
        <f>VLOOKUP($A29,[24]HISTOJANV24!$A$6:$CA$38,64,0)</f>
        <v>0</v>
      </c>
      <c r="AK29" s="36">
        <f>VLOOKUP($A29,[24]HISTOJANV24!$A$6:$CA$38,65,0)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MVTDEC23!I30-E30+L30</f>
        <v>714500</v>
      </c>
      <c r="G30" s="5">
        <f>IF(MVTDEC23!I30&gt;700000,(MVTDEC23!I30-E30+L30),0)</f>
        <v>0</v>
      </c>
      <c r="H30" s="36">
        <f t="shared" si="0"/>
        <v>0</v>
      </c>
      <c r="I30" s="6">
        <f t="shared" si="2"/>
        <v>714500</v>
      </c>
      <c r="J30" s="36">
        <f>VLOOKUP($A30,[24]HISTOJANV24!$A$6:$AQ$42,22,0)</f>
        <v>0</v>
      </c>
      <c r="K30" s="36">
        <f>VLOOKUP($A30,[24]HISTOJANV24!$A$6:$AU$38,45,0)</f>
        <v>475000</v>
      </c>
      <c r="L30" s="36">
        <f t="shared" si="4"/>
        <v>469000</v>
      </c>
      <c r="M30" s="36">
        <f t="shared" si="5"/>
        <v>1000</v>
      </c>
      <c r="N30" s="36">
        <f t="shared" si="6"/>
        <v>1000</v>
      </c>
      <c r="O30" s="36">
        <f t="shared" si="7"/>
        <v>4000</v>
      </c>
      <c r="P30" s="36">
        <f>VLOOKUP($A30,[24]HISTOJANV24!$A$6:$AU$38,7,0)</f>
        <v>0</v>
      </c>
      <c r="Q30" s="36">
        <f>VLOOKUP($A30,[24]HISTOJANV24!$A$6:$AU$38,23,0)</f>
        <v>0</v>
      </c>
      <c r="R30" s="36">
        <f>VLOOKUP($A30,[24]HISTOJANV24!$A$6:$AU$38,46,0)</f>
        <v>0</v>
      </c>
      <c r="S30" s="36">
        <f>VLOOKUP($A30,[24]HISTOJANV24!$A$6:$AU$38,26,0)</f>
        <v>0</v>
      </c>
      <c r="T30" s="36">
        <f>VLOOKUP($A30,[24]HISTOJANV24!$A$6:$BG$38,58,0)</f>
        <v>0</v>
      </c>
      <c r="U30" s="36">
        <f>VLOOKUP($A30,[24]HISTOJANV24!$A$6:$AU$38,28,0)</f>
        <v>0</v>
      </c>
      <c r="V30" s="36">
        <f>VLOOKUP($A30,[24]HISTOJANV24!$A$6:$AU$38,19,0)</f>
        <v>0</v>
      </c>
      <c r="W30" s="36">
        <f>VLOOKUP($A30,[24]HISTOJANV24!$A$6:$AU$38,20,0)</f>
        <v>0</v>
      </c>
      <c r="X30" s="36">
        <f>VLOOKUP($A30,[24]HISTOJANV24!$A$6:$AU$38,27,0)</f>
        <v>0</v>
      </c>
      <c r="Y30" s="36">
        <f>VLOOKUP($A30,[24]HISTOJANV24!$A$6:$BM$38,33,0)</f>
        <v>0</v>
      </c>
      <c r="Z30" s="36">
        <f>VLOOKUP($A30,[24]HISTOJANV24!$A$6:$BM$38,65,0)</f>
        <v>0</v>
      </c>
      <c r="AA30" s="36"/>
      <c r="AB30" s="36">
        <f>VLOOKUP($A30,[24]HISTOJANV24!$A$6:$AU$38,43,0)</f>
        <v>0</v>
      </c>
      <c r="AC30" s="36">
        <f>VLOOKUP($A30,[24]HISTOJANV24!$A$6:$AU$38,44,0)</f>
        <v>0</v>
      </c>
      <c r="AD30" s="36">
        <f>VLOOKUP($A30,[24]HISTOJANV24!$A$6:$AU$38,47,0)</f>
        <v>0</v>
      </c>
      <c r="AE30" s="36">
        <f>VLOOKUP(A30,[24]HISTOJANV24!$A$6:$BB$38,54,0)</f>
        <v>0</v>
      </c>
      <c r="AF30" s="36">
        <f>VLOOKUP($A30,[24]HISTOJANV24!$A$6:$CA$38,60,0)</f>
        <v>0</v>
      </c>
      <c r="AG30" s="36">
        <f>VLOOKUP($A30,[24]HISTOJANV24!$A$6:$CA$38,61,0)</f>
        <v>0</v>
      </c>
      <c r="AH30" s="36">
        <f>VLOOKUP($A30,[24]HISTOJANV24!$A$6:$CA$38,62,0)</f>
        <v>0</v>
      </c>
      <c r="AI30" s="36">
        <f>VLOOKUP($A30,[24]HISTOJANV24!$A$6:$CA$38,63,0)</f>
        <v>0</v>
      </c>
      <c r="AJ30" s="36">
        <f>VLOOKUP($A30,[24]HISTOJANV24!$A$6:$CA$38,64,0)</f>
        <v>0</v>
      </c>
      <c r="AK30" s="36">
        <f>VLOOKUP($A30,[24]HISTOJANV24!$A$6:$CA$38,65,0)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MVTDEC23!I31-E31+L31</f>
        <v>867445.07166651252</v>
      </c>
      <c r="G31" s="5">
        <f>IF(MVTDEC23!I31&gt;700000,(MVTDEC23!I31-E31+L31),0)</f>
        <v>867445.07166651252</v>
      </c>
      <c r="H31" s="36">
        <f t="shared" si="0"/>
        <v>6470.8810664349176</v>
      </c>
      <c r="I31" s="6">
        <f t="shared" si="2"/>
        <v>873915.95273294742</v>
      </c>
      <c r="J31" s="36">
        <f>VLOOKUP($A31,[24]HISTOJANV24!$A$6:$AQ$42,22,0)</f>
        <v>0</v>
      </c>
      <c r="K31" s="36">
        <f>VLOOKUP($A31,[24]HISTOJANV24!$A$6:$AU$38,45,0)</f>
        <v>25000</v>
      </c>
      <c r="L31" s="36">
        <f t="shared" si="4"/>
        <v>19000</v>
      </c>
      <c r="M31" s="36">
        <f t="shared" si="5"/>
        <v>1000</v>
      </c>
      <c r="N31" s="36">
        <f t="shared" si="6"/>
        <v>1000</v>
      </c>
      <c r="O31" s="36">
        <f t="shared" si="7"/>
        <v>4000</v>
      </c>
      <c r="P31" s="36">
        <f>VLOOKUP($A31,[24]HISTOJANV24!$A$6:$AU$38,7,0)</f>
        <v>0</v>
      </c>
      <c r="Q31" s="36">
        <f>VLOOKUP($A31,[24]HISTOJANV24!$A$6:$AU$38,23,0)</f>
        <v>0</v>
      </c>
      <c r="R31" s="36">
        <f>VLOOKUP($A31,[24]HISTOJANV24!$A$6:$AU$38,46,0)</f>
        <v>0</v>
      </c>
      <c r="S31" s="36">
        <f>VLOOKUP($A31,[24]HISTOJANV24!$A$6:$AU$38,26,0)</f>
        <v>0</v>
      </c>
      <c r="T31" s="36">
        <f>VLOOKUP($A31,[24]HISTOJANV24!$A$6:$BG$38,58,0)</f>
        <v>0</v>
      </c>
      <c r="U31" s="36">
        <f>VLOOKUP($A31,[24]HISTOJANV24!$A$6:$AU$38,28,0)</f>
        <v>0</v>
      </c>
      <c r="V31" s="36">
        <f>VLOOKUP($A31,[24]HISTOJANV24!$A$6:$AU$38,19,0)</f>
        <v>0</v>
      </c>
      <c r="W31" s="36">
        <f>VLOOKUP($A31,[24]HISTOJANV24!$A$6:$AU$38,20,0)</f>
        <v>0</v>
      </c>
      <c r="X31" s="36">
        <f>VLOOKUP($A31,[24]HISTOJANV24!$A$6:$AU$38,27,0)</f>
        <v>0</v>
      </c>
      <c r="Y31" s="36">
        <f>VLOOKUP($A31,[24]HISTOJANV24!$A$6:$BM$38,33,0)</f>
        <v>0</v>
      </c>
      <c r="Z31" s="36">
        <f>VLOOKUP($A31,[24]HISTOJANV24!$A$6:$BM$38,65,0)</f>
        <v>0</v>
      </c>
      <c r="AA31" s="36"/>
      <c r="AB31" s="36">
        <f>VLOOKUP($A31,[24]HISTOJANV24!$A$6:$AU$38,43,0)</f>
        <v>0</v>
      </c>
      <c r="AC31" s="36">
        <f>VLOOKUP($A31,[24]HISTOJANV24!$A$6:$AU$38,44,0)</f>
        <v>0</v>
      </c>
      <c r="AD31" s="36">
        <f>VLOOKUP($A31,[24]HISTOJANV24!$A$6:$AU$38,47,0)</f>
        <v>0</v>
      </c>
      <c r="AE31" s="36">
        <f>VLOOKUP(A31,[24]HISTOJANV24!$A$6:$BB$38,54,0)</f>
        <v>0</v>
      </c>
      <c r="AF31" s="36">
        <f>VLOOKUP($A31,[24]HISTOJANV24!$A$6:$CA$38,60,0)</f>
        <v>0</v>
      </c>
      <c r="AG31" s="36">
        <f>VLOOKUP($A31,[24]HISTOJANV24!$A$6:$CA$38,61,0)</f>
        <v>0</v>
      </c>
      <c r="AH31" s="36">
        <f>VLOOKUP($A31,[24]HISTOJANV24!$A$6:$CA$38,62,0)</f>
        <v>0</v>
      </c>
      <c r="AI31" s="36">
        <f>VLOOKUP($A31,[24]HISTOJANV24!$A$6:$CA$38,63,0)</f>
        <v>0</v>
      </c>
      <c r="AJ31" s="36">
        <f>VLOOKUP($A31,[24]HISTOJANV24!$A$6:$CA$38,64,0)</f>
        <v>0</v>
      </c>
      <c r="AK31" s="36">
        <f>VLOOKUP($A31,[24]HISTOJANV24!$A$6:$CA$38,65,0)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MVTDEC23!I32-E32+L32</f>
        <v>758085.77661343128</v>
      </c>
      <c r="G32" s="5">
        <f>IF(MVTDEC23!I32&gt;700000,(MVTDEC23!I32-E32+L32),0)</f>
        <v>758085.77661343128</v>
      </c>
      <c r="H32" s="36">
        <f t="shared" si="0"/>
        <v>5655.0933988214138</v>
      </c>
      <c r="I32" s="6">
        <f t="shared" si="2"/>
        <v>763740.87001225271</v>
      </c>
      <c r="J32" s="36">
        <f>VLOOKUP($A32,[24]HISTOJANV24!$A$6:$AQ$42,22,0)</f>
        <v>0</v>
      </c>
      <c r="K32" s="36">
        <f>VLOOKUP($A32,[24]HISTOJANV24!$A$6:$AU$38,45,0)</f>
        <v>25000</v>
      </c>
      <c r="L32" s="36">
        <f t="shared" si="4"/>
        <v>19000</v>
      </c>
      <c r="M32" s="36">
        <f t="shared" si="5"/>
        <v>1000</v>
      </c>
      <c r="N32" s="36">
        <f t="shared" si="6"/>
        <v>1000</v>
      </c>
      <c r="O32" s="36">
        <f t="shared" si="7"/>
        <v>4000</v>
      </c>
      <c r="P32" s="36">
        <f>VLOOKUP($A32,[24]HISTOJANV24!$A$6:$AU$38,7,0)</f>
        <v>0</v>
      </c>
      <c r="Q32" s="36">
        <f>VLOOKUP($A32,[24]HISTOJANV24!$A$6:$AU$38,23,0)</f>
        <v>0</v>
      </c>
      <c r="R32" s="36">
        <f>VLOOKUP($A32,[24]HISTOJANV24!$A$6:$AU$38,46,0)</f>
        <v>0</v>
      </c>
      <c r="S32" s="36">
        <f>VLOOKUP($A32,[24]HISTOJANV24!$A$6:$AU$38,26,0)</f>
        <v>0</v>
      </c>
      <c r="T32" s="36">
        <f>VLOOKUP($A32,[24]HISTOJANV24!$A$6:$BG$38,58,0)</f>
        <v>0</v>
      </c>
      <c r="U32" s="36">
        <f>VLOOKUP($A32,[24]HISTOJANV24!$A$6:$AU$38,28,0)</f>
        <v>0</v>
      </c>
      <c r="V32" s="36">
        <f>VLOOKUP($A32,[24]HISTOJANV24!$A$6:$AU$38,19,0)</f>
        <v>0</v>
      </c>
      <c r="W32" s="36">
        <f>VLOOKUP($A32,[24]HISTOJANV24!$A$6:$AU$38,20,0)</f>
        <v>0</v>
      </c>
      <c r="X32" s="36">
        <f>VLOOKUP($A32,[24]HISTOJANV24!$A$6:$AU$38,27,0)</f>
        <v>0</v>
      </c>
      <c r="Y32" s="36">
        <f>VLOOKUP($A32,[24]HISTOJANV24!$A$6:$BM$38,33,0)</f>
        <v>0</v>
      </c>
      <c r="Z32" s="36">
        <f>VLOOKUP($A32,[24]HISTOJANV24!$A$6:$BM$38,65,0)</f>
        <v>0</v>
      </c>
      <c r="AA32" s="36"/>
      <c r="AB32" s="36">
        <f>VLOOKUP($A32,[24]HISTOJANV24!$A$6:$AU$38,43,0)</f>
        <v>0</v>
      </c>
      <c r="AC32" s="36">
        <f>VLOOKUP($A32,[24]HISTOJANV24!$A$6:$AU$38,44,0)</f>
        <v>0</v>
      </c>
      <c r="AD32" s="36">
        <f>VLOOKUP($A32,[24]HISTOJANV24!$A$6:$AU$38,47,0)</f>
        <v>0</v>
      </c>
      <c r="AE32" s="36">
        <f>VLOOKUP(A32,[24]HISTOJANV24!$A$6:$BB$38,54,0)</f>
        <v>0</v>
      </c>
      <c r="AF32" s="36">
        <f>VLOOKUP($A32,[24]HISTOJANV24!$A$6:$CA$38,60,0)</f>
        <v>0</v>
      </c>
      <c r="AG32" s="36">
        <f>VLOOKUP($A32,[24]HISTOJANV24!$A$6:$CA$38,61,0)</f>
        <v>0</v>
      </c>
      <c r="AH32" s="36">
        <f>VLOOKUP($A32,[24]HISTOJANV24!$A$6:$CA$38,62,0)</f>
        <v>0</v>
      </c>
      <c r="AI32" s="36">
        <f>VLOOKUP($A32,[24]HISTOJANV24!$A$6:$CA$38,63,0)</f>
        <v>0</v>
      </c>
      <c r="AJ32" s="36">
        <f>VLOOKUP($A32,[24]HISTOJANV24!$A$6:$CA$38,64,0)</f>
        <v>0</v>
      </c>
      <c r="AK32" s="36">
        <f>VLOOKUP($A32,[24]HISTOJANV24!$A$6:$CA$38,65,0)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MVTDEC23!I33-E33+L33</f>
        <v>758390.81910424924</v>
      </c>
      <c r="G33" s="5">
        <f>IF(MVTDEC23!I33&gt;700000,(MVTDEC23!I33-E33+L33),0)</f>
        <v>758390.81910424924</v>
      </c>
      <c r="H33" s="36">
        <f t="shared" si="0"/>
        <v>5657.3689246647964</v>
      </c>
      <c r="I33" s="6">
        <f t="shared" si="2"/>
        <v>764048.18802891404</v>
      </c>
      <c r="J33" s="36">
        <f>VLOOKUP($A33,[24]HISTOJANV24!$A$6:$AQ$42,22,0)</f>
        <v>0</v>
      </c>
      <c r="K33" s="36">
        <f>VLOOKUP($A33,[24]HISTOJANV24!$A$6:$AU$38,45,0)</f>
        <v>25000</v>
      </c>
      <c r="L33" s="36">
        <f t="shared" si="4"/>
        <v>19000</v>
      </c>
      <c r="M33" s="36">
        <f t="shared" si="5"/>
        <v>1000</v>
      </c>
      <c r="N33" s="36">
        <f t="shared" si="6"/>
        <v>1000</v>
      </c>
      <c r="O33" s="36">
        <f t="shared" si="7"/>
        <v>4000</v>
      </c>
      <c r="P33" s="36">
        <f>VLOOKUP($A33,[24]HISTOJANV24!$A$6:$AU$38,7,0)</f>
        <v>0</v>
      </c>
      <c r="Q33" s="36">
        <f>VLOOKUP($A33,[24]HISTOJANV24!$A$6:$AU$38,23,0)</f>
        <v>0</v>
      </c>
      <c r="R33" s="36">
        <f>VLOOKUP($A33,[24]HISTOJANV24!$A$6:$AU$38,46,0)</f>
        <v>0</v>
      </c>
      <c r="S33" s="36">
        <f>VLOOKUP($A33,[24]HISTOJANV24!$A$6:$AU$38,26,0)</f>
        <v>1000000</v>
      </c>
      <c r="T33" s="36">
        <f>VLOOKUP($A33,[24]HISTOJANV24!$A$6:$BG$38,58,0)</f>
        <v>60000</v>
      </c>
      <c r="U33" s="36">
        <f>VLOOKUP($A33,[24]HISTOJANV24!$A$6:$AU$38,28,0)</f>
        <v>0</v>
      </c>
      <c r="V33" s="36">
        <f>VLOOKUP($A33,[24]HISTOJANV24!$A$6:$AU$38,19,0)</f>
        <v>0</v>
      </c>
      <c r="W33" s="36">
        <f>VLOOKUP($A33,[24]HISTOJANV24!$A$6:$AU$38,20,0)</f>
        <v>0</v>
      </c>
      <c r="X33" s="36">
        <f>VLOOKUP($A33,[24]HISTOJANV24!$A$6:$AU$38,27,0)</f>
        <v>0</v>
      </c>
      <c r="Y33" s="36">
        <f>VLOOKUP($A33,[24]HISTOJANV24!$A$6:$BM$38,33,0)</f>
        <v>0</v>
      </c>
      <c r="Z33" s="36">
        <f>VLOOKUP($A33,[24]HISTOJANV24!$A$6:$BM$38,65,0)</f>
        <v>0</v>
      </c>
      <c r="AA33" s="36"/>
      <c r="AB33" s="36">
        <f>VLOOKUP($A33,[24]HISTOJANV24!$A$6:$AU$38,43,0)</f>
        <v>0</v>
      </c>
      <c r="AC33" s="36">
        <f>VLOOKUP($A33,[24]HISTOJANV24!$A$6:$AU$38,44,0)</f>
        <v>0</v>
      </c>
      <c r="AD33" s="36">
        <f>VLOOKUP($A33,[24]HISTOJANV24!$A$6:$AU$38,47,0)</f>
        <v>0</v>
      </c>
      <c r="AE33" s="36">
        <f>VLOOKUP(A33,[24]HISTOJANV24!$A$6:$BB$38,54,0)</f>
        <v>0</v>
      </c>
      <c r="AF33" s="36">
        <f>VLOOKUP($A33,[24]HISTOJANV24!$A$6:$CA$38,60,0)</f>
        <v>0</v>
      </c>
      <c r="AG33" s="36">
        <f>VLOOKUP($A33,[24]HISTOJANV24!$A$6:$CA$38,61,0)</f>
        <v>0</v>
      </c>
      <c r="AH33" s="36">
        <f>VLOOKUP($A33,[24]HISTOJANV24!$A$6:$CA$38,62,0)</f>
        <v>0</v>
      </c>
      <c r="AI33" s="36">
        <f>VLOOKUP($A33,[24]HISTOJANV24!$A$6:$CA$38,63,0)</f>
        <v>0</v>
      </c>
      <c r="AJ33" s="36">
        <f>VLOOKUP($A33,[24]HISTOJANV24!$A$6:$CA$38,64,0)</f>
        <v>0</v>
      </c>
      <c r="AK33" s="36">
        <f>VLOOKUP($A33,[24]HISTOJANV24!$A$6:$CA$38,65,0)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MVTDEC23!I34-E34+L34</f>
        <v>264000</v>
      </c>
      <c r="G34" s="5">
        <f>IF(MVTDEC23!I34&gt;700000,(MVTDEC23!I34-E34+L34),0)</f>
        <v>0</v>
      </c>
      <c r="H34" s="36">
        <f t="shared" si="0"/>
        <v>0</v>
      </c>
      <c r="I34" s="6">
        <f t="shared" si="2"/>
        <v>264000</v>
      </c>
      <c r="J34" s="36">
        <f>VLOOKUP($A34,[24]HISTOJANV24!$A$6:$AQ$42,22,0)</f>
        <v>0</v>
      </c>
      <c r="K34" s="36">
        <f>VLOOKUP($A34,[24]HISTOJANV24!$A$6:$AU$38,45,0)</f>
        <v>270000</v>
      </c>
      <c r="L34" s="36">
        <f t="shared" ref="L34" si="12">IF(K34=0,0,K34-(M34+N34+O34))</f>
        <v>264000</v>
      </c>
      <c r="M34" s="36">
        <f t="shared" ref="M34" si="13">IF(K34=0,0,1000)</f>
        <v>1000</v>
      </c>
      <c r="N34" s="36">
        <f t="shared" ref="N34" si="14">IF(K34=0,0,1000)</f>
        <v>1000</v>
      </c>
      <c r="O34" s="36">
        <f t="shared" ref="O34" si="15">IF(K34=0,0,4000)</f>
        <v>4000</v>
      </c>
      <c r="P34" s="36">
        <f>VLOOKUP($A34,[24]HISTOJANV24!$A$6:$AU$38,7,0)</f>
        <v>0</v>
      </c>
      <c r="Q34" s="36">
        <f>VLOOKUP($A34,[24]HISTOJANV24!$A$6:$AU$38,23,0)</f>
        <v>25000</v>
      </c>
      <c r="R34" s="36">
        <f>VLOOKUP($A34,[24]HISTOJANV24!$A$6:$AU$38,46,0)</f>
        <v>120000</v>
      </c>
      <c r="S34" s="36">
        <f>VLOOKUP($A34,[24]HISTOJANV24!$A$6:$AU$38,26,0)</f>
        <v>0</v>
      </c>
      <c r="T34" s="36">
        <f>VLOOKUP($A34,[24]HISTOJANV24!$A$6:$BG$38,58,0)</f>
        <v>0</v>
      </c>
      <c r="U34" s="36">
        <f>VLOOKUP($A34,[24]HISTOJANV24!$A$6:$AU$38,28,0)</f>
        <v>0</v>
      </c>
      <c r="V34" s="36">
        <f>VLOOKUP($A34,[24]HISTOJANV24!$A$6:$AU$38,19,0)</f>
        <v>0</v>
      </c>
      <c r="W34" s="36">
        <f>VLOOKUP($A34,[24]HISTOJANV24!$A$6:$AU$38,20,0)</f>
        <v>0</v>
      </c>
      <c r="X34" s="36">
        <f>VLOOKUP($A34,[24]HISTOJANV24!$A$6:$AU$38,27,0)</f>
        <v>0</v>
      </c>
      <c r="Y34" s="36">
        <f>VLOOKUP($A34,[24]HISTOJANV24!$A$6:$BM$38,33,0)</f>
        <v>0</v>
      </c>
      <c r="Z34" s="36">
        <f>VLOOKUP($A34,[24]HISTOJANV24!$A$6:$BM$38,65,0)</f>
        <v>0</v>
      </c>
      <c r="AA34" s="36"/>
      <c r="AB34" s="36">
        <f>VLOOKUP($A34,[24]HISTOJANV24!$A$6:$AU$38,43,0)</f>
        <v>0</v>
      </c>
      <c r="AC34" s="36">
        <f>VLOOKUP($A34,[24]HISTOJANV24!$A$6:$AU$38,44,0)</f>
        <v>0</v>
      </c>
      <c r="AD34" s="36">
        <f>VLOOKUP($A34,[24]HISTOJANV24!$A$6:$AU$38,47,0)</f>
        <v>0</v>
      </c>
      <c r="AE34" s="36">
        <f>VLOOKUP(A34,[24]HISTOJANV24!$A$6:$BB$38,54,0)</f>
        <v>0</v>
      </c>
      <c r="AF34" s="36">
        <f>VLOOKUP($A34,[24]HISTOJANV24!$A$6:$CA$38,60,0)</f>
        <v>0</v>
      </c>
      <c r="AG34" s="36">
        <f>VLOOKUP($A34,[24]HISTOJANV24!$A$6:$CA$38,61,0)</f>
        <v>0</v>
      </c>
      <c r="AH34" s="36">
        <f>VLOOKUP($A34,[24]HISTOJANV24!$A$6:$CA$38,62,0)</f>
        <v>0</v>
      </c>
      <c r="AI34" s="36">
        <f>VLOOKUP($A34,[24]HISTOJANV24!$A$6:$CA$38,63,0)</f>
        <v>0</v>
      </c>
      <c r="AJ34" s="36">
        <f>VLOOKUP($A34,[24]HISTOJANV24!$A$6:$CA$38,64,0)</f>
        <v>0</v>
      </c>
      <c r="AK34" s="36">
        <f>VLOOKUP($A34,[24]HISTOJANV24!$A$6:$CA$38,65,0)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MVTDEC23!I35-E35+L35</f>
        <v>122000</v>
      </c>
      <c r="G35" s="5">
        <f>IF(MVTDEC23!I35&gt;700000,(MVTDEC23!I35-E35+L35),0)</f>
        <v>0</v>
      </c>
      <c r="H35" s="36">
        <f t="shared" si="0"/>
        <v>0</v>
      </c>
      <c r="I35" s="6">
        <f t="shared" si="2"/>
        <v>122000</v>
      </c>
      <c r="J35" s="36">
        <f>VLOOKUP($A35,[24]HISTOJANV24!$A$6:$AQ$42,22,0)</f>
        <v>0</v>
      </c>
      <c r="K35" s="36">
        <f>VLOOKUP($A35,[24]HISTOJANV24!$A$6:$AU$38,45,0)</f>
        <v>25000</v>
      </c>
      <c r="L35" s="36">
        <f t="shared" si="4"/>
        <v>19000</v>
      </c>
      <c r="M35" s="36">
        <f t="shared" si="5"/>
        <v>1000</v>
      </c>
      <c r="N35" s="36">
        <f t="shared" si="6"/>
        <v>1000</v>
      </c>
      <c r="O35" s="36">
        <f t="shared" si="7"/>
        <v>4000</v>
      </c>
      <c r="P35" s="36">
        <f>VLOOKUP($A35,[24]HISTOJANV24!$A$6:$AU$38,7,0)</f>
        <v>0</v>
      </c>
      <c r="Q35" s="36">
        <f>VLOOKUP($A35,[24]HISTOJANV24!$A$6:$AU$38,23,0)</f>
        <v>0</v>
      </c>
      <c r="R35" s="36">
        <f>VLOOKUP($A35,[24]HISTOJANV24!$A$6:$AU$38,46,0)</f>
        <v>0</v>
      </c>
      <c r="S35" s="36">
        <f>VLOOKUP($A35,[24]HISTOJANV24!$A$6:$AU$38,26,0)</f>
        <v>0</v>
      </c>
      <c r="T35" s="36">
        <f>VLOOKUP($A35,[24]HISTOJANV24!$A$6:$BG$38,58,0)</f>
        <v>0</v>
      </c>
      <c r="U35" s="36">
        <f>VLOOKUP($A35,[24]HISTOJANV24!$A$6:$AU$38,28,0)</f>
        <v>0</v>
      </c>
      <c r="V35" s="36">
        <f>VLOOKUP($A35,[24]HISTOJANV24!$A$6:$AU$38,19,0)</f>
        <v>0</v>
      </c>
      <c r="W35" s="36">
        <f>VLOOKUP($A35,[24]HISTOJANV24!$A$6:$AU$38,20,0)</f>
        <v>0</v>
      </c>
      <c r="X35" s="36">
        <f>VLOOKUP($A35,[24]HISTOJANV24!$A$6:$AU$38,27,0)</f>
        <v>0</v>
      </c>
      <c r="Y35" s="36">
        <f>VLOOKUP($A35,[24]HISTOJANV24!$A$6:$BM$38,33,0)</f>
        <v>0</v>
      </c>
      <c r="Z35" s="36">
        <f>VLOOKUP($A35,[24]HISTOJANV24!$A$6:$BM$38,65,0)</f>
        <v>0</v>
      </c>
      <c r="AA35" s="36"/>
      <c r="AB35" s="36">
        <f>VLOOKUP($A35,[24]HISTOJANV24!$A$6:$AU$38,43,0)</f>
        <v>0</v>
      </c>
      <c r="AC35" s="36">
        <f>VLOOKUP($A35,[24]HISTOJANV24!$A$6:$AU$38,44,0)</f>
        <v>0</v>
      </c>
      <c r="AD35" s="36">
        <f>VLOOKUP($A35,[24]HISTOJANV24!$A$6:$AU$38,47,0)</f>
        <v>0</v>
      </c>
      <c r="AE35" s="36">
        <f>VLOOKUP(A35,[24]HISTOJANV24!$A$6:$BB$38,54,0)</f>
        <v>0</v>
      </c>
      <c r="AF35" s="36">
        <f>VLOOKUP($A35,[24]HISTOJANV24!$A$6:$CA$38,60,0)</f>
        <v>0</v>
      </c>
      <c r="AG35" s="36">
        <f>VLOOKUP($A35,[24]HISTOJANV24!$A$6:$CA$38,61,0)</f>
        <v>0</v>
      </c>
      <c r="AH35" s="36">
        <f>VLOOKUP($A35,[24]HISTOJANV24!$A$6:$CA$38,62,0)</f>
        <v>0</v>
      </c>
      <c r="AI35" s="36">
        <f>VLOOKUP($A35,[24]HISTOJANV24!$A$6:$CA$38,63,0)</f>
        <v>0</v>
      </c>
      <c r="AJ35" s="36">
        <f>VLOOKUP($A35,[24]HISTOJANV24!$A$6:$CA$38,64,0)</f>
        <v>0</v>
      </c>
      <c r="AK35" s="36">
        <f>VLOOKUP($A35,[24]HISTOJANV24!$A$6:$CA$38,65,0)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MVTDEC23!I36-E36+L36</f>
        <v>765277.39314019843</v>
      </c>
      <c r="G36" s="5">
        <f>IF(MVTDEC23!I36&gt;700000,(MVTDEC23!I36-E36+L36),0)</f>
        <v>765277.39314019843</v>
      </c>
      <c r="H36" s="36">
        <f t="shared" si="0"/>
        <v>5708.7407094582868</v>
      </c>
      <c r="I36" s="6">
        <f t="shared" si="2"/>
        <v>770986.13384965668</v>
      </c>
      <c r="J36" s="36">
        <f>VLOOKUP($A36,[24]HISTOJANV24!$A$6:$AQ$42,22,0)</f>
        <v>0</v>
      </c>
      <c r="K36" s="36">
        <f>VLOOKUP($A36,[24]HISTOJANV24!$A$6:$AU$38,45,0)</f>
        <v>35000</v>
      </c>
      <c r="L36" s="36">
        <f t="shared" si="4"/>
        <v>29000</v>
      </c>
      <c r="M36" s="36">
        <f t="shared" si="5"/>
        <v>1000</v>
      </c>
      <c r="N36" s="36">
        <f t="shared" si="6"/>
        <v>1000</v>
      </c>
      <c r="O36" s="36">
        <f t="shared" si="7"/>
        <v>4000</v>
      </c>
      <c r="P36" s="36">
        <f>VLOOKUP($A36,[24]HISTOJANV24!$A$6:$AU$38,7,0)</f>
        <v>0</v>
      </c>
      <c r="Q36" s="36">
        <f>VLOOKUP($A36,[24]HISTOJANV24!$A$6:$AU$38,23,0)</f>
        <v>0</v>
      </c>
      <c r="R36" s="36">
        <f>VLOOKUP($A36,[24]HISTOJANV24!$A$6:$AU$38,46,0)</f>
        <v>0</v>
      </c>
      <c r="S36" s="36">
        <f>VLOOKUP($A36,[24]HISTOJANV24!$A$6:$AU$38,26,0)</f>
        <v>0</v>
      </c>
      <c r="T36" s="36">
        <f>VLOOKUP($A36,[24]HISTOJANV24!$A$6:$BG$38,58,0)</f>
        <v>0</v>
      </c>
      <c r="U36" s="36">
        <f>VLOOKUP($A36,[24]HISTOJANV24!$A$6:$AU$38,28,0)</f>
        <v>0</v>
      </c>
      <c r="V36" s="36">
        <f>VLOOKUP($A36,[24]HISTOJANV24!$A$6:$AU$38,19,0)</f>
        <v>0</v>
      </c>
      <c r="W36" s="36">
        <f>VLOOKUP($A36,[24]HISTOJANV24!$A$6:$AU$38,20,0)</f>
        <v>0</v>
      </c>
      <c r="X36" s="36">
        <f>VLOOKUP($A36,[24]HISTOJANV24!$A$6:$AU$38,27,0)</f>
        <v>0</v>
      </c>
      <c r="Y36" s="36">
        <f>VLOOKUP($A36,[24]HISTOJANV24!$A$6:$BM$38,33,0)</f>
        <v>0</v>
      </c>
      <c r="Z36" s="36">
        <f>VLOOKUP($A36,[24]HISTOJANV24!$A$6:$BM$38,65,0)</f>
        <v>0</v>
      </c>
      <c r="AA36" s="36"/>
      <c r="AB36" s="36">
        <f>VLOOKUP($A36,[24]HISTOJANV24!$A$6:$AU$38,43,0)</f>
        <v>0</v>
      </c>
      <c r="AC36" s="36">
        <f>VLOOKUP($A36,[24]HISTOJANV24!$A$6:$AU$38,44,0)</f>
        <v>0</v>
      </c>
      <c r="AD36" s="36">
        <f>VLOOKUP($A36,[24]HISTOJANV24!$A$6:$AU$38,47,0)</f>
        <v>0</v>
      </c>
      <c r="AE36" s="36">
        <f>VLOOKUP(A36,[24]HISTOJANV24!$A$6:$BB$38,54,0)</f>
        <v>0</v>
      </c>
      <c r="AF36" s="36">
        <f>VLOOKUP($A36,[24]HISTOJANV24!$A$6:$CA$38,60,0)</f>
        <v>0</v>
      </c>
      <c r="AG36" s="36">
        <f>VLOOKUP($A36,[24]HISTOJANV24!$A$6:$CA$38,61,0)</f>
        <v>0</v>
      </c>
      <c r="AH36" s="36">
        <f>VLOOKUP($A36,[24]HISTOJANV24!$A$6:$CA$38,62,0)</f>
        <v>0</v>
      </c>
      <c r="AI36" s="36">
        <f>VLOOKUP($A36,[24]HISTOJANV24!$A$6:$CA$38,63,0)</f>
        <v>0</v>
      </c>
      <c r="AJ36" s="36">
        <f>VLOOKUP($A36,[24]HISTOJANV24!$A$6:$CA$38,64,0)</f>
        <v>0</v>
      </c>
      <c r="AK36" s="36">
        <f>VLOOKUP($A36,[24]HISTOJANV24!$A$6:$CA$38,65,0)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MVTDEC23!I37-E37+L37</f>
        <v>1815672.8979465906</v>
      </c>
      <c r="G37" s="5">
        <f>IF(MVTDEC23!I37&gt;700000,(MVTDEC23!I37-E37+L37),0)</f>
        <v>1815672.8979465906</v>
      </c>
      <c r="H37" s="36">
        <f t="shared" si="0"/>
        <v>13544.377346671343</v>
      </c>
      <c r="I37" s="6">
        <f t="shared" si="2"/>
        <v>1829217.275293262</v>
      </c>
      <c r="J37" s="36">
        <f>VLOOKUP($A37,[24]HISTOJANV24!$A$6:$AQ$42,22,0)</f>
        <v>0</v>
      </c>
      <c r="K37" s="36">
        <f>VLOOKUP($A37,[24]HISTOJANV24!$A$6:$AU$38,45,0)</f>
        <v>25000</v>
      </c>
      <c r="L37" s="36">
        <f t="shared" si="4"/>
        <v>19000</v>
      </c>
      <c r="M37" s="36">
        <f t="shared" si="5"/>
        <v>1000</v>
      </c>
      <c r="N37" s="36">
        <f t="shared" si="6"/>
        <v>1000</v>
      </c>
      <c r="O37" s="36">
        <f t="shared" si="7"/>
        <v>4000</v>
      </c>
      <c r="P37" s="36">
        <f>VLOOKUP($A37,[24]HISTOJANV24!$A$6:$AU$38,7,0)</f>
        <v>0</v>
      </c>
      <c r="Q37" s="36">
        <f>VLOOKUP($A37,[24]HISTOJANV24!$A$6:$AU$38,23,0)</f>
        <v>0</v>
      </c>
      <c r="R37" s="36">
        <f>VLOOKUP($A37,[24]HISTOJANV24!$A$6:$AU$38,46,0)</f>
        <v>0</v>
      </c>
      <c r="S37" s="36">
        <f>VLOOKUP($A37,[24]HISTOJANV24!$A$6:$AU$38,26,0)</f>
        <v>0</v>
      </c>
      <c r="T37" s="36">
        <f>VLOOKUP($A37,[24]HISTOJANV24!$A$6:$BG$38,58,0)</f>
        <v>0</v>
      </c>
      <c r="U37" s="36">
        <f>VLOOKUP($A37,[24]HISTOJANV24!$A$6:$AU$38,28,0)</f>
        <v>0</v>
      </c>
      <c r="V37" s="36">
        <f>VLOOKUP($A37,[24]HISTOJANV24!$A$6:$AU$38,19,0)</f>
        <v>0</v>
      </c>
      <c r="W37" s="36">
        <f>VLOOKUP($A37,[24]HISTOJANV24!$A$6:$AU$38,20,0)</f>
        <v>0</v>
      </c>
      <c r="X37" s="36">
        <f>VLOOKUP($A37,[24]HISTOJANV24!$A$6:$AU$38,27,0)</f>
        <v>0</v>
      </c>
      <c r="Y37" s="36">
        <f>VLOOKUP($A37,[24]HISTOJANV24!$A$6:$BM$38,33,0)</f>
        <v>0</v>
      </c>
      <c r="Z37" s="36">
        <f>VLOOKUP($A37,[24]HISTOJANV24!$A$6:$BM$38,65,0)</f>
        <v>0</v>
      </c>
      <c r="AA37" s="36"/>
      <c r="AB37" s="36">
        <f>VLOOKUP($A37,[24]HISTOJANV24!$A$6:$AU$38,43,0)</f>
        <v>0</v>
      </c>
      <c r="AC37" s="36">
        <f>VLOOKUP($A37,[24]HISTOJANV24!$A$6:$AU$38,44,0)</f>
        <v>0</v>
      </c>
      <c r="AD37" s="36">
        <f>VLOOKUP($A37,[24]HISTOJANV24!$A$6:$AU$38,47,0)</f>
        <v>0</v>
      </c>
      <c r="AE37" s="36">
        <f>VLOOKUP(A37,[24]HISTOJANV24!$A$6:$BB$38,54,0)</f>
        <v>0</v>
      </c>
      <c r="AF37" s="36">
        <f>VLOOKUP($A37,[24]HISTOJANV24!$A$6:$CA$38,60,0)</f>
        <v>0</v>
      </c>
      <c r="AG37" s="36">
        <f>VLOOKUP($A37,[24]HISTOJANV24!$A$6:$CA$38,61,0)</f>
        <v>0</v>
      </c>
      <c r="AH37" s="36">
        <f>VLOOKUP($A37,[24]HISTOJANV24!$A$6:$CA$38,62,0)</f>
        <v>0</v>
      </c>
      <c r="AI37" s="36">
        <f>VLOOKUP($A37,[24]HISTOJANV24!$A$6:$CA$38,63,0)</f>
        <v>0</v>
      </c>
      <c r="AJ37" s="36">
        <f>VLOOKUP($A37,[24]HISTOJANV24!$A$6:$CA$38,64,0)</f>
        <v>0</v>
      </c>
      <c r="AK37" s="36">
        <f>VLOOKUP($A37,[24]HISTOJANV24!$A$6:$CA$38,65,0)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MVTDEC23!I38-E38+L38</f>
        <v>19000</v>
      </c>
      <c r="G38" s="5">
        <f>IF(MVTDEC23!I38&gt;700000,(MVTDEC23!I38-E38+L38),0)</f>
        <v>0</v>
      </c>
      <c r="H38" s="36">
        <f t="shared" si="0"/>
        <v>0</v>
      </c>
      <c r="I38" s="6">
        <f t="shared" si="2"/>
        <v>19000</v>
      </c>
      <c r="J38" s="36">
        <f>VLOOKUP($A38,[24]HISTOJANV24!$A$6:$AQ$42,22,0)</f>
        <v>0</v>
      </c>
      <c r="K38" s="36">
        <f>VLOOKUP($A38,[24]HISTOJANV24!$A$6:$AU$38,45,0)</f>
        <v>25000</v>
      </c>
      <c r="L38" s="36">
        <f t="shared" ref="L38" si="16">IF(K38=0,0,K38-(M38+N38+O38))</f>
        <v>19000</v>
      </c>
      <c r="M38" s="36">
        <f t="shared" ref="M38" si="17">IF(K38=0,0,1000)</f>
        <v>1000</v>
      </c>
      <c r="N38" s="36">
        <f t="shared" ref="N38" si="18">IF(K38=0,0,1000)</f>
        <v>1000</v>
      </c>
      <c r="O38" s="36">
        <f t="shared" ref="O38" si="19">IF(K38=0,0,4000)</f>
        <v>4000</v>
      </c>
      <c r="P38" s="36">
        <f>VLOOKUP($A38,[24]HISTOJANV24!$A$6:$AU$38,7,0)</f>
        <v>0</v>
      </c>
      <c r="Q38" s="36">
        <f>VLOOKUP($A38,[24]HISTOJANV24!$A$6:$AU$38,23,0)</f>
        <v>25000</v>
      </c>
      <c r="R38" s="36">
        <f>VLOOKUP($A38,[24]HISTOJANV24!$A$6:$AU$38,46,0)</f>
        <v>0</v>
      </c>
      <c r="S38" s="36">
        <f>VLOOKUP($A38,[24]HISTOJANV24!$A$6:$AU$38,26,0)</f>
        <v>0</v>
      </c>
      <c r="T38" s="36">
        <f>VLOOKUP($A38,[24]HISTOJANV24!$A$6:$BG$38,58,0)</f>
        <v>0</v>
      </c>
      <c r="U38" s="36">
        <f>VLOOKUP($A38,[24]HISTOJANV24!$A$6:$AU$38,28,0)</f>
        <v>0</v>
      </c>
      <c r="V38" s="36">
        <f>VLOOKUP($A38,[24]HISTOJANV24!$A$6:$AU$38,19,0)</f>
        <v>0</v>
      </c>
      <c r="W38" s="36">
        <f>VLOOKUP($A38,[24]HISTOJANV24!$A$6:$AU$38,20,0)</f>
        <v>0</v>
      </c>
      <c r="X38" s="36">
        <f>VLOOKUP($A38,[24]HISTOJANV24!$A$6:$AU$38,27,0)</f>
        <v>0</v>
      </c>
      <c r="Y38" s="36">
        <f>VLOOKUP($A38,[24]HISTOJANV24!$A$6:$BM$38,33,0)</f>
        <v>0</v>
      </c>
      <c r="Z38" s="36">
        <f>VLOOKUP($A38,[24]HISTOJANV24!$A$6:$BM$38,65,0)</f>
        <v>0</v>
      </c>
      <c r="AA38" s="36"/>
      <c r="AB38" s="36">
        <f>VLOOKUP($A38,[24]HISTOJANV24!$A$6:$AU$38,43,0)</f>
        <v>0</v>
      </c>
      <c r="AC38" s="36">
        <f>VLOOKUP($A38,[24]HISTOJANV24!$A$6:$AU$38,44,0)</f>
        <v>0</v>
      </c>
      <c r="AD38" s="36">
        <f>VLOOKUP($A38,[24]HISTOJANV24!$A$6:$AU$38,47,0)</f>
        <v>0</v>
      </c>
      <c r="AE38" s="36">
        <f>VLOOKUP(A38,[24]HISTOJANV24!$A$6:$BB$38,54,0)</f>
        <v>0</v>
      </c>
      <c r="AF38" s="36">
        <f>VLOOKUP($A38,[24]HISTOJANV24!$A$6:$CA$38,60,0)</f>
        <v>0</v>
      </c>
      <c r="AG38" s="36">
        <f>VLOOKUP($A38,[24]HISTOJANV24!$A$6:$CA$38,61,0)</f>
        <v>0</v>
      </c>
      <c r="AH38" s="36">
        <f>VLOOKUP($A38,[24]HISTOJANV24!$A$6:$CA$38,62,0)</f>
        <v>0</v>
      </c>
      <c r="AI38" s="36">
        <f>VLOOKUP($A38,[24]HISTOJANV24!$A$6:$CA$38,63,0)</f>
        <v>0</v>
      </c>
      <c r="AJ38" s="36">
        <f>VLOOKUP($A38,[24]HISTOJANV24!$A$6:$CA$38,64,0)</f>
        <v>0</v>
      </c>
      <c r="AK38" s="36">
        <f>VLOOKUP($A38,[24]HISTOJANV24!$A$6:$CA$38,65,0)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MVTDEC23!I39-E39+L39</f>
        <v>1978648.4043415862</v>
      </c>
      <c r="G39" s="5">
        <f>IF(MVTDEC23!I39&gt;700000,(MVTDEC23!I39-E39+L39),0)</f>
        <v>1978648.4043415862</v>
      </c>
      <c r="H39" s="36">
        <f t="shared" si="0"/>
        <v>14760.125931879118</v>
      </c>
      <c r="I39" s="6">
        <f t="shared" si="2"/>
        <v>1993408.5302734652</v>
      </c>
      <c r="J39" s="36">
        <f>VLOOKUP($A39,[24]HISTOJANV24!$A$6:$AQ$42,22,0)</f>
        <v>0</v>
      </c>
      <c r="K39" s="36">
        <f>VLOOKUP($A39,[24]HISTOJANV24!$A$6:$AU$38,45,0)</f>
        <v>25000</v>
      </c>
      <c r="L39" s="36">
        <f t="shared" si="4"/>
        <v>19000</v>
      </c>
      <c r="M39" s="36">
        <f t="shared" si="5"/>
        <v>1000</v>
      </c>
      <c r="N39" s="36">
        <f t="shared" si="6"/>
        <v>1000</v>
      </c>
      <c r="O39" s="36">
        <f t="shared" si="7"/>
        <v>4000</v>
      </c>
      <c r="P39" s="36">
        <f>VLOOKUP($A39,[24]HISTOJANV24!$A$6:$AU$38,7,0)</f>
        <v>0</v>
      </c>
      <c r="Q39" s="36">
        <f>VLOOKUP($A39,[24]HISTOJANV24!$A$6:$AU$38,23,0)</f>
        <v>0</v>
      </c>
      <c r="R39" s="36">
        <f>VLOOKUP($A39,[24]HISTOJANV24!$A$6:$AU$38,46,0)</f>
        <v>0</v>
      </c>
      <c r="S39" s="36">
        <f>VLOOKUP($A39,[24]HISTOJANV24!$A$6:$AU$38,26,0)</f>
        <v>0</v>
      </c>
      <c r="T39" s="36">
        <f>VLOOKUP($A39,[24]HISTOJANV24!$A$6:$BG$38,58,0)</f>
        <v>0</v>
      </c>
      <c r="U39" s="36">
        <f>VLOOKUP($A39,[24]HISTOJANV24!$A$6:$AU$38,28,0)</f>
        <v>0</v>
      </c>
      <c r="V39" s="36">
        <f>VLOOKUP($A39,[24]HISTOJANV24!$A$6:$AU$38,19,0)</f>
        <v>0</v>
      </c>
      <c r="W39" s="36">
        <f>VLOOKUP($A39,[24]HISTOJANV24!$A$6:$AU$38,20,0)</f>
        <v>0</v>
      </c>
      <c r="X39" s="36">
        <f>VLOOKUP($A39,[24]HISTOJANV24!$A$6:$AU$38,27,0)</f>
        <v>0</v>
      </c>
      <c r="Y39" s="36">
        <f>VLOOKUP($A39,[24]HISTOJANV24!$A$6:$BM$38,33,0)</f>
        <v>0</v>
      </c>
      <c r="Z39" s="36">
        <f>VLOOKUP($A39,[24]HISTOJANV24!$A$6:$BM$38,65,0)</f>
        <v>0</v>
      </c>
      <c r="AA39" s="36"/>
      <c r="AB39" s="36">
        <f>VLOOKUP($A39,[24]HISTOJANV24!$A$6:$AU$38,43,0)</f>
        <v>0</v>
      </c>
      <c r="AC39" s="36">
        <f>VLOOKUP($A39,[24]HISTOJANV24!$A$6:$AU$38,44,0)</f>
        <v>0</v>
      </c>
      <c r="AD39" s="36">
        <f>VLOOKUP($A39,[24]HISTOJANV24!$A$6:$AU$38,47,0)</f>
        <v>0</v>
      </c>
      <c r="AE39" s="36">
        <f>VLOOKUP(A39,[24]HISTOJANV24!$A$6:$BB$38,54,0)</f>
        <v>0</v>
      </c>
      <c r="AF39" s="36">
        <f>VLOOKUP($A39,[24]HISTOJANV24!$A$6:$CA$38,60,0)</f>
        <v>0</v>
      </c>
      <c r="AG39" s="36">
        <f>VLOOKUP($A39,[24]HISTOJANV24!$A$6:$CA$38,61,0)</f>
        <v>0</v>
      </c>
      <c r="AH39" s="36">
        <f>VLOOKUP($A39,[24]HISTOJANV24!$A$6:$CA$38,62,0)</f>
        <v>0</v>
      </c>
      <c r="AI39" s="36">
        <f>VLOOKUP($A39,[24]HISTOJANV24!$A$6:$CA$38,63,0)</f>
        <v>0</v>
      </c>
      <c r="AJ39" s="36">
        <f>VLOOKUP($A39,[24]HISTOJANV24!$A$6:$CA$38,64,0)</f>
        <v>0</v>
      </c>
      <c r="AK39" s="36">
        <f>VLOOKUP($A39,[24]HISTOJANV24!$A$6:$CA$38,65,0)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20">SUM(C6:C40)</f>
        <v>0</v>
      </c>
      <c r="D41" s="9">
        <f t="shared" si="20"/>
        <v>0</v>
      </c>
      <c r="E41" s="9">
        <f t="shared" si="20"/>
        <v>0</v>
      </c>
      <c r="F41" s="9">
        <f t="shared" si="20"/>
        <v>26790656.655274987</v>
      </c>
      <c r="G41" s="9">
        <f t="shared" si="20"/>
        <v>23593438.21125409</v>
      </c>
      <c r="H41" s="36">
        <f t="shared" si="20"/>
        <v>175999.99999999994</v>
      </c>
      <c r="I41" s="9">
        <f t="shared" si="20"/>
        <v>26966656.655274987</v>
      </c>
      <c r="J41" s="9">
        <f t="shared" si="20"/>
        <v>0</v>
      </c>
      <c r="K41" s="9">
        <f t="shared" si="20"/>
        <v>1555000</v>
      </c>
      <c r="L41" s="9">
        <f t="shared" si="20"/>
        <v>1363000</v>
      </c>
      <c r="M41" s="9">
        <f t="shared" si="20"/>
        <v>32000</v>
      </c>
      <c r="N41" s="9">
        <f t="shared" si="20"/>
        <v>32000</v>
      </c>
      <c r="O41" s="9">
        <f t="shared" si="20"/>
        <v>128000</v>
      </c>
      <c r="P41" s="9">
        <f t="shared" si="20"/>
        <v>0</v>
      </c>
      <c r="Q41" s="9">
        <f t="shared" si="20"/>
        <v>75000</v>
      </c>
      <c r="R41" s="9">
        <f t="shared" si="20"/>
        <v>120000</v>
      </c>
      <c r="S41" s="9">
        <f t="shared" si="20"/>
        <v>2000000</v>
      </c>
      <c r="T41" s="9">
        <f t="shared" si="20"/>
        <v>176000</v>
      </c>
      <c r="U41" s="9">
        <f t="shared" si="20"/>
        <v>0</v>
      </c>
      <c r="V41" s="9">
        <f t="shared" si="20"/>
        <v>0</v>
      </c>
      <c r="W41" s="9">
        <f t="shared" si="20"/>
        <v>0</v>
      </c>
      <c r="X41" s="9">
        <f t="shared" si="20"/>
        <v>0</v>
      </c>
      <c r="Y41" s="9">
        <f t="shared" si="20"/>
        <v>0</v>
      </c>
      <c r="Z41" s="9">
        <f t="shared" si="20"/>
        <v>0</v>
      </c>
      <c r="AA41" s="9">
        <f t="shared" si="20"/>
        <v>0</v>
      </c>
      <c r="AB41" s="9">
        <f t="shared" si="20"/>
        <v>0</v>
      </c>
      <c r="AC41" s="9">
        <f t="shared" si="20"/>
        <v>0</v>
      </c>
      <c r="AD41" s="9">
        <f t="shared" si="20"/>
        <v>0</v>
      </c>
      <c r="AE41" s="9">
        <f t="shared" si="20"/>
        <v>0</v>
      </c>
      <c r="AF41" s="9">
        <f t="shared" si="20"/>
        <v>27000</v>
      </c>
      <c r="AG41" s="9">
        <f t="shared" si="20"/>
        <v>500000</v>
      </c>
      <c r="AH41" s="9">
        <f t="shared" si="20"/>
        <v>0</v>
      </c>
      <c r="AI41" s="9">
        <f t="shared" si="20"/>
        <v>200000</v>
      </c>
      <c r="AJ41" s="9">
        <f t="shared" si="20"/>
        <v>0</v>
      </c>
      <c r="AK41" s="9">
        <f t="shared" si="2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C30" activePane="bottomRight" state="frozen"/>
      <selection activeCell="B43" sqref="B43"/>
      <selection pane="topRight" activeCell="B43" sqref="B43"/>
      <selection pane="bottomLeft" activeCell="B43" sqref="B43"/>
      <selection pane="bottomRight" activeCell="A32" sqref="A32:XFD3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4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45339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VLOOKUP($A6,[24]HISTOFEV24!$A$6:$BA$38,48,0)</f>
        <v>0</v>
      </c>
      <c r="F6" s="36">
        <f>MVTJANV24!I6-E6+L6</f>
        <v>942082.29597117461</v>
      </c>
      <c r="G6" s="5">
        <f>IF(MVTJANV24!I6+L6&gt;700000,(MVTJANV24!I6-E6+L6),0)</f>
        <v>942082.29597117461</v>
      </c>
      <c r="H6" s="36">
        <f t="shared" ref="H6:H39" si="0">$T$41/$G$41*G6</f>
        <v>924.22207670968476</v>
      </c>
      <c r="I6" s="6">
        <f>F6+H6</f>
        <v>943006.51804788434</v>
      </c>
      <c r="J6" s="36">
        <f>VLOOKUP($A6,[24]HISTOFEV24!$A$6:$AQ$42,22,0)</f>
        <v>0</v>
      </c>
      <c r="K6" s="36">
        <f>VLOOKUP($A6,[24]HISTOFEV24!$A$6:$AU$38,45,0)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" si="1">IF(K6=0,0,1000)</f>
        <v>0</v>
      </c>
      <c r="O6" s="36">
        <f>IF(K6=0,0,4000)</f>
        <v>0</v>
      </c>
      <c r="P6" s="36">
        <f>VLOOKUP($A6,[24]HISTOFEV24!$A$6:$AU$38,7,0)</f>
        <v>0</v>
      </c>
      <c r="Q6" s="36">
        <f>VLOOKUP($A6,[24]HISTOFEV24!$A$6:$AU$38,23,0)</f>
        <v>0</v>
      </c>
      <c r="R6" s="36">
        <f>VLOOKUP($A6,[24]HISTOFEV24!$A$6:$AU$38,46,0)</f>
        <v>0</v>
      </c>
      <c r="S6" s="36">
        <f>VLOOKUP($A6,[24]HISTOFEV24!$A$6:$AU$38,26,0)</f>
        <v>0</v>
      </c>
      <c r="T6" s="36">
        <f>VLOOKUP($A6,[24]HISTOFEV24!$A$6:$BG$38,58,0)</f>
        <v>0</v>
      </c>
      <c r="U6" s="36">
        <f>VLOOKUP($A6,[24]HISTOFEV24!$A$6:$AU$38,28,0)</f>
        <v>0</v>
      </c>
      <c r="V6" s="36">
        <f>VLOOKUP($A6,[24]HISTOFEV24!$A$6:$AU$38,19,0)</f>
        <v>0</v>
      </c>
      <c r="W6" s="36">
        <f>VLOOKUP($A6,[24]HISTOFEV24!$A$6:$AU$38,20,0)</f>
        <v>0</v>
      </c>
      <c r="X6" s="36">
        <f>VLOOKUP($A6,[24]HISTOFEV24!$A$6:$AU$38,27,0)</f>
        <v>0</v>
      </c>
      <c r="Y6" s="36">
        <f>VLOOKUP($A6,[24]HISTOFEV24!$A$6:$BM$38,33,0)</f>
        <v>0</v>
      </c>
      <c r="Z6" s="36">
        <f>VLOOKUP($A6,[24]HISTOFEV24!$A$6:$BM$38,65,0)</f>
        <v>0</v>
      </c>
      <c r="AA6" s="36"/>
      <c r="AB6" s="36">
        <f>VLOOKUP($A6,[24]HISTOFEV24!$A$6:$AU$38,43,0)</f>
        <v>0</v>
      </c>
      <c r="AC6" s="36">
        <f>VLOOKUP($A6,[24]HISTOFEV24!$A$6:$AU$38,44,0)</f>
        <v>0</v>
      </c>
      <c r="AD6" s="36">
        <f>VLOOKUP($A6,[24]HISTOFEV24!$A$6:$AU$38,47,0)</f>
        <v>0</v>
      </c>
      <c r="AE6" s="36">
        <f>VLOOKUP(A6,[24]HISTOFEV24!$A$6:$BB$38,54,0)</f>
        <v>0</v>
      </c>
      <c r="AF6" s="36">
        <f>VLOOKUP($A6,[24]HISTOFEV24!$A$6:$CA$38,60,0)</f>
        <v>27000</v>
      </c>
      <c r="AG6" s="36">
        <f>VLOOKUP($A6,[24]HISTOFEV24!$A$6:$CA$38,61,0)</f>
        <v>0</v>
      </c>
      <c r="AH6" s="36">
        <f>VLOOKUP($A6,[24]HISTOFEV24!$A$6:$CA$38,62,0)</f>
        <v>100000</v>
      </c>
      <c r="AI6" s="36">
        <f>VLOOKUP($A6,[24]HISTOFEV24!$A$6:$CA$38,63,0)</f>
        <v>100000</v>
      </c>
      <c r="AJ6" s="36">
        <f>VLOOKUP($A6,[24]HISTOFEV24!$A$6:$CA$38,64,0)</f>
        <v>0</v>
      </c>
      <c r="AK6" s="36">
        <f>VLOOKUP($A6,[24]HISTOFEV24!$A$6:$CA$38,65,0)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VLOOKUP($A7,[24]HISTOFEV24!$A$6:$BA$38,48,0)</f>
        <v>0</v>
      </c>
      <c r="F7" s="36">
        <f>MVTJANV24!I7-E7+L7</f>
        <v>738482.49636100209</v>
      </c>
      <c r="G7" s="5">
        <f>IF(MVTJANV24!I7+L7&gt;700000,(MVTJANV24!I7-E7+L7),0)</f>
        <v>738482.49636100209</v>
      </c>
      <c r="H7" s="36">
        <f t="shared" si="0"/>
        <v>724.48217031498177</v>
      </c>
      <c r="I7" s="6">
        <f t="shared" ref="I7:I39" si="2">F7+H7</f>
        <v>739206.97853131709</v>
      </c>
      <c r="J7" s="36">
        <f>VLOOKUP($A7,[24]HISTOFEV24!$A$6:$AQ$42,22,0)</f>
        <v>0</v>
      </c>
      <c r="K7" s="36">
        <f>VLOOKUP($A7,[24]HISTOFEV24!$A$6:$AU$38,45,0)</f>
        <v>47000</v>
      </c>
      <c r="L7" s="36">
        <f>IF(K7=0,0,K7-(M7+N7+O7))</f>
        <v>41000</v>
      </c>
      <c r="M7" s="36">
        <f>IF(K7=0,0,1000)</f>
        <v>1000</v>
      </c>
      <c r="N7" s="36">
        <f t="shared" ref="N7:N39" si="3">IF(K7=0,0,1000)</f>
        <v>1000</v>
      </c>
      <c r="O7" s="36">
        <f>IF(K7=0,0,4000)</f>
        <v>4000</v>
      </c>
      <c r="P7" s="36">
        <f>VLOOKUP($A7,[24]HISTOFEV24!$A$6:$AU$38,7,0)</f>
        <v>0</v>
      </c>
      <c r="Q7" s="36">
        <f>VLOOKUP($A7,[24]HISTOFEV24!$A$6:$AU$38,23,0)</f>
        <v>0</v>
      </c>
      <c r="R7" s="36">
        <f>VLOOKUP($A7,[24]HISTOFEV24!$A$6:$AU$38,46,0)</f>
        <v>0</v>
      </c>
      <c r="S7" s="36">
        <f>VLOOKUP($A7,[24]HISTOFEV24!$A$6:$AU$38,26,0)</f>
        <v>0</v>
      </c>
      <c r="T7" s="36">
        <f>VLOOKUP($A7,[24]HISTOFEV24!$A$6:$BG$38,58,0)</f>
        <v>6000</v>
      </c>
      <c r="U7" s="36">
        <f>VLOOKUP($A7,[24]HISTOFEV24!$A$6:$AU$38,28,0)</f>
        <v>0</v>
      </c>
      <c r="V7" s="36">
        <f>VLOOKUP($A7,[24]HISTOFEV24!$A$6:$AU$38,19,0)</f>
        <v>0</v>
      </c>
      <c r="W7" s="36">
        <f>VLOOKUP($A7,[24]HISTOFEV24!$A$6:$AU$38,20,0)</f>
        <v>0</v>
      </c>
      <c r="X7" s="36">
        <f>VLOOKUP($A7,[24]HISTOFEV24!$A$6:$AU$38,27,0)</f>
        <v>0</v>
      </c>
      <c r="Y7" s="36">
        <f>VLOOKUP($A7,[24]HISTOFEV24!$A$6:$BM$38,33,0)</f>
        <v>0</v>
      </c>
      <c r="Z7" s="36">
        <f>VLOOKUP($A7,[24]HISTOFEV24!$A$6:$BM$38,65,0)</f>
        <v>0</v>
      </c>
      <c r="AA7" s="36"/>
      <c r="AB7" s="36">
        <f>VLOOKUP($A7,[24]HISTOFEV24!$A$6:$AU$38,43,0)</f>
        <v>0</v>
      </c>
      <c r="AC7" s="36">
        <f>VLOOKUP($A7,[24]HISTOFEV24!$A$6:$AU$38,44,0)</f>
        <v>0</v>
      </c>
      <c r="AD7" s="36">
        <f>VLOOKUP($A7,[24]HISTOFEV24!$A$6:$AU$38,47,0)</f>
        <v>0</v>
      </c>
      <c r="AE7" s="36">
        <f>VLOOKUP(A7,[24]HISTOFEV24!$A$6:$BB$38,54,0)</f>
        <v>0</v>
      </c>
      <c r="AF7" s="36">
        <f>VLOOKUP($A7,[24]HISTOFEV24!$A$6:$CA$38,60,0)</f>
        <v>0</v>
      </c>
      <c r="AG7" s="36">
        <f>VLOOKUP($A7,[24]HISTOFEV24!$A$6:$CA$38,61,0)</f>
        <v>0</v>
      </c>
      <c r="AH7" s="36">
        <f>VLOOKUP($A7,[24]HISTOFEV24!$A$6:$CA$38,62,0)</f>
        <v>0</v>
      </c>
      <c r="AI7" s="36">
        <f>VLOOKUP($A7,[24]HISTOFEV24!$A$6:$CA$38,63,0)</f>
        <v>0</v>
      </c>
      <c r="AJ7" s="36">
        <f>VLOOKUP($A7,[24]HISTOFEV24!$A$6:$CA$38,64,0)</f>
        <v>0</v>
      </c>
      <c r="AK7" s="36">
        <f>VLOOKUP($A7,[24]HISTOFEV24!$A$6:$CA$38,65,0)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VLOOKUP($A8,[24]HISTOFEV24!$A$6:$BA$38,48,0)</f>
        <v>0</v>
      </c>
      <c r="F8" s="36">
        <f>MVTJANV24!I8-E8+L8</f>
        <v>779046.42966958939</v>
      </c>
      <c r="G8" s="5">
        <f>IF(MVTJANV24!I8+L8&gt;700000,(MVTJANV24!I8-E8+L8),0)</f>
        <v>779046.42966958939</v>
      </c>
      <c r="H8" s="36">
        <f t="shared" si="0"/>
        <v>764.2770829699615</v>
      </c>
      <c r="I8" s="6">
        <f t="shared" si="2"/>
        <v>779810.7067525594</v>
      </c>
      <c r="J8" s="36">
        <f>VLOOKUP($A8,[24]HISTOFEV24!$A$6:$AQ$42,22,0)</f>
        <v>0</v>
      </c>
      <c r="K8" s="36">
        <f>VLOOKUP($A8,[24]HISTOFEV24!$A$6:$AU$38,45,0)</f>
        <v>22000</v>
      </c>
      <c r="L8" s="36">
        <f t="shared" ref="L8:L39" si="4">IF(K8=0,0,K8-(M8+N8+O8))</f>
        <v>16000</v>
      </c>
      <c r="M8" s="36">
        <f t="shared" ref="M8:M39" si="5">IF(K8=0,0,1000)</f>
        <v>1000</v>
      </c>
      <c r="N8" s="36">
        <f t="shared" si="3"/>
        <v>1000</v>
      </c>
      <c r="O8" s="36">
        <f t="shared" ref="O8:O39" si="6">IF(K8=0,0,4000)</f>
        <v>4000</v>
      </c>
      <c r="P8" s="36">
        <f>VLOOKUP($A8,[24]HISTOFEV24!$A$6:$AU$38,7,0)</f>
        <v>0</v>
      </c>
      <c r="Q8" s="36">
        <f>VLOOKUP($A8,[24]HISTOFEV24!$A$6:$AU$38,23,0)</f>
        <v>0</v>
      </c>
      <c r="R8" s="36">
        <f>VLOOKUP($A8,[24]HISTOFEV24!$A$6:$AU$38,46,0)</f>
        <v>0</v>
      </c>
      <c r="S8" s="36">
        <f>VLOOKUP($A8,[24]HISTOFEV24!$A$6:$AU$38,26,0)</f>
        <v>0</v>
      </c>
      <c r="T8" s="36">
        <f>VLOOKUP($A8,[24]HISTOFEV24!$A$6:$BG$38,58,0)</f>
        <v>0</v>
      </c>
      <c r="U8" s="36">
        <f>VLOOKUP($A8,[24]HISTOFEV24!$A$6:$AU$38,28,0)</f>
        <v>0</v>
      </c>
      <c r="V8" s="36">
        <f>VLOOKUP($A8,[24]HISTOFEV24!$A$6:$AU$38,19,0)</f>
        <v>0</v>
      </c>
      <c r="W8" s="36">
        <f>VLOOKUP($A8,[24]HISTOFEV24!$A$6:$AU$38,20,0)</f>
        <v>0</v>
      </c>
      <c r="X8" s="36">
        <f>VLOOKUP($A8,[24]HISTOFEV24!$A$6:$AU$38,27,0)</f>
        <v>0</v>
      </c>
      <c r="Y8" s="36">
        <f>VLOOKUP($A8,[24]HISTOFEV24!$A$6:$BM$38,33,0)</f>
        <v>0</v>
      </c>
      <c r="Z8" s="36">
        <f>VLOOKUP($A8,[24]HISTOFEV24!$A$6:$BM$38,65,0)</f>
        <v>0</v>
      </c>
      <c r="AA8" s="36"/>
      <c r="AB8" s="36">
        <f>VLOOKUP($A8,[24]HISTOFEV24!$A$6:$AU$38,43,0)</f>
        <v>0</v>
      </c>
      <c r="AC8" s="36">
        <f>VLOOKUP($A8,[24]HISTOFEV24!$A$6:$AU$38,44,0)</f>
        <v>0</v>
      </c>
      <c r="AD8" s="36">
        <f>VLOOKUP($A8,[24]HISTOFEV24!$A$6:$AU$38,47,0)</f>
        <v>0</v>
      </c>
      <c r="AE8" s="36">
        <f>VLOOKUP(A8,[24]HISTOFEV24!$A$6:$BB$38,54,0)</f>
        <v>0</v>
      </c>
      <c r="AF8" s="36">
        <f>VLOOKUP($A8,[24]HISTOFEV24!$A$6:$CA$38,60,0)</f>
        <v>0</v>
      </c>
      <c r="AG8" s="36">
        <f>VLOOKUP($A8,[24]HISTOFEV24!$A$6:$CA$38,61,0)</f>
        <v>0</v>
      </c>
      <c r="AH8" s="36">
        <f>VLOOKUP($A8,[24]HISTOFEV24!$A$6:$CA$38,62,0)</f>
        <v>0</v>
      </c>
      <c r="AI8" s="36">
        <f>VLOOKUP($A8,[24]HISTOFEV24!$A$6:$CA$38,63,0)</f>
        <v>0</v>
      </c>
      <c r="AJ8" s="36">
        <f>VLOOKUP($A8,[24]HISTOFEV24!$A$6:$CA$38,64,0)</f>
        <v>0</v>
      </c>
      <c r="AK8" s="36">
        <f>VLOOKUP($A8,[24]HISTOFEV24!$A$6:$CA$38,65,0)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VLOOKUP($A9,[24]HISTOFEV24!$A$6:$BA$38,48,0)</f>
        <v>0</v>
      </c>
      <c r="F9" s="36">
        <f>MVTJANV24!I9-E9+L9</f>
        <v>838713.02615578845</v>
      </c>
      <c r="G9" s="5">
        <f>IF(MVTJANV24!I9+L9&gt;700000,(MVTJANV24!I9-E9+L9),0)</f>
        <v>838713.02615578845</v>
      </c>
      <c r="H9" s="36">
        <f t="shared" si="0"/>
        <v>822.81250599033103</v>
      </c>
      <c r="I9" s="6">
        <f t="shared" si="2"/>
        <v>839535.83866177883</v>
      </c>
      <c r="J9" s="36">
        <f>VLOOKUP($A9,[24]HISTOFEV24!$A$6:$AQ$42,22,0)</f>
        <v>0</v>
      </c>
      <c r="K9" s="36">
        <f>VLOOKUP($A9,[24]HISTOFEV24!$A$6:$AU$38,45,0)</f>
        <v>25000</v>
      </c>
      <c r="L9" s="36">
        <f t="shared" si="4"/>
        <v>19000</v>
      </c>
      <c r="M9" s="36">
        <f t="shared" si="5"/>
        <v>1000</v>
      </c>
      <c r="N9" s="36">
        <f t="shared" si="3"/>
        <v>1000</v>
      </c>
      <c r="O9" s="36">
        <f t="shared" si="6"/>
        <v>4000</v>
      </c>
      <c r="P9" s="36">
        <f>VLOOKUP($A9,[24]HISTOFEV24!$A$6:$AU$38,7,0)</f>
        <v>0</v>
      </c>
      <c r="Q9" s="36">
        <f>VLOOKUP($A9,[24]HISTOFEV24!$A$6:$AU$38,23,0)</f>
        <v>0</v>
      </c>
      <c r="R9" s="36">
        <f>VLOOKUP($A9,[24]HISTOFEV24!$A$6:$AU$38,46,0)</f>
        <v>0</v>
      </c>
      <c r="S9" s="36">
        <f>VLOOKUP($A9,[24]HISTOFEV24!$A$6:$AU$38,26,0)</f>
        <v>0</v>
      </c>
      <c r="T9" s="36">
        <f>VLOOKUP($A9,[24]HISTOFEV24!$A$6:$BG$38,58,0)</f>
        <v>0</v>
      </c>
      <c r="U9" s="36">
        <f>VLOOKUP($A9,[24]HISTOFEV24!$A$6:$AU$38,28,0)</f>
        <v>0</v>
      </c>
      <c r="V9" s="36">
        <f>VLOOKUP($A9,[24]HISTOFEV24!$A$6:$AU$38,19,0)</f>
        <v>0</v>
      </c>
      <c r="W9" s="36">
        <f>VLOOKUP($A9,[24]HISTOFEV24!$A$6:$AU$38,20,0)</f>
        <v>0</v>
      </c>
      <c r="X9" s="36">
        <f>VLOOKUP($A9,[24]HISTOFEV24!$A$6:$AU$38,27,0)</f>
        <v>0</v>
      </c>
      <c r="Y9" s="36">
        <f>VLOOKUP($A9,[24]HISTOFEV24!$A$6:$BM$38,33,0)</f>
        <v>0</v>
      </c>
      <c r="Z9" s="36">
        <f>VLOOKUP($A9,[24]HISTOFEV24!$A$6:$BM$38,65,0)</f>
        <v>0</v>
      </c>
      <c r="AA9" s="36"/>
      <c r="AB9" s="36">
        <f>VLOOKUP($A9,[24]HISTOFEV24!$A$6:$AU$38,43,0)</f>
        <v>0</v>
      </c>
      <c r="AC9" s="36">
        <f>VLOOKUP($A9,[24]HISTOFEV24!$A$6:$AU$38,44,0)</f>
        <v>0</v>
      </c>
      <c r="AD9" s="36">
        <f>VLOOKUP($A9,[24]HISTOFEV24!$A$6:$AU$38,47,0)</f>
        <v>0</v>
      </c>
      <c r="AE9" s="36">
        <f>VLOOKUP(A9,[24]HISTOFEV24!$A$6:$BB$38,54,0)</f>
        <v>0</v>
      </c>
      <c r="AF9" s="36">
        <f>VLOOKUP($A9,[24]HISTOFEV24!$A$6:$CA$38,60,0)</f>
        <v>0</v>
      </c>
      <c r="AG9" s="36">
        <f>VLOOKUP($A9,[24]HISTOFEV24!$A$6:$CA$38,61,0)</f>
        <v>0</v>
      </c>
      <c r="AH9" s="36">
        <f>VLOOKUP($A9,[24]HISTOFEV24!$A$6:$CA$38,62,0)</f>
        <v>0</v>
      </c>
      <c r="AI9" s="36">
        <f>VLOOKUP($A9,[24]HISTOFEV24!$A$6:$CA$38,63,0)</f>
        <v>0</v>
      </c>
      <c r="AJ9" s="36">
        <f>VLOOKUP($A9,[24]HISTOFEV24!$A$6:$CA$38,64,0)</f>
        <v>0</v>
      </c>
      <c r="AK9" s="36">
        <f>VLOOKUP($A9,[24]HISTOFEV24!$A$6:$CA$38,65,0)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VLOOKUP($A10,[24]HISTOFEV24!$A$6:$BA$38,48,0)</f>
        <v>0</v>
      </c>
      <c r="F10" s="36">
        <f>MVTJANV24!I10-E10+L10</f>
        <v>782324.37441507075</v>
      </c>
      <c r="G10" s="5">
        <f>IF(MVTJANV24!I10+L10&gt;700000,(MVTJANV24!I10-E10+L10),0)</f>
        <v>782324.37441507075</v>
      </c>
      <c r="H10" s="36">
        <f t="shared" si="0"/>
        <v>767.4928836627081</v>
      </c>
      <c r="I10" s="6">
        <f t="shared" si="2"/>
        <v>783091.86729873344</v>
      </c>
      <c r="J10" s="36">
        <f>VLOOKUP($A10,[24]HISTOFEV24!$A$6:$AQ$42,22,0)</f>
        <v>0</v>
      </c>
      <c r="K10" s="36">
        <f>VLOOKUP($A10,[24]HISTOFEV24!$A$6:$AU$38,45,0)</f>
        <v>25000</v>
      </c>
      <c r="L10" s="36">
        <f t="shared" si="4"/>
        <v>19000</v>
      </c>
      <c r="M10" s="36">
        <f t="shared" si="5"/>
        <v>1000</v>
      </c>
      <c r="N10" s="36">
        <f t="shared" si="3"/>
        <v>1000</v>
      </c>
      <c r="O10" s="36">
        <f t="shared" si="6"/>
        <v>4000</v>
      </c>
      <c r="P10" s="36">
        <f>VLOOKUP($A10,[24]HISTOFEV24!$A$6:$AU$38,7,0)</f>
        <v>3000</v>
      </c>
      <c r="Q10" s="36">
        <f>VLOOKUP($A10,[24]HISTOFEV24!$A$6:$AU$38,23,0)</f>
        <v>0</v>
      </c>
      <c r="R10" s="36">
        <f>VLOOKUP($A10,[24]HISTOFEV24!$A$6:$AU$38,46,0)</f>
        <v>0</v>
      </c>
      <c r="S10" s="36">
        <f>VLOOKUP($A10,[24]HISTOFEV24!$A$6:$AU$38,26,0)</f>
        <v>0</v>
      </c>
      <c r="T10" s="36">
        <f>VLOOKUP($A10,[24]HISTOFEV24!$A$6:$BG$38,58,0)</f>
        <v>0</v>
      </c>
      <c r="U10" s="36">
        <f>VLOOKUP($A10,[24]HISTOFEV24!$A$6:$AU$38,28,0)</f>
        <v>0</v>
      </c>
      <c r="V10" s="36">
        <f>VLOOKUP($A10,[24]HISTOFEV24!$A$6:$AU$38,19,0)</f>
        <v>0</v>
      </c>
      <c r="W10" s="36">
        <f>VLOOKUP($A10,[24]HISTOFEV24!$A$6:$AU$38,20,0)</f>
        <v>0</v>
      </c>
      <c r="X10" s="36">
        <f>VLOOKUP($A10,[24]HISTOFEV24!$A$6:$AU$38,27,0)</f>
        <v>0</v>
      </c>
      <c r="Y10" s="36">
        <f>VLOOKUP($A10,[24]HISTOFEV24!$A$6:$BM$38,33,0)</f>
        <v>0</v>
      </c>
      <c r="Z10" s="36">
        <f>VLOOKUP($A10,[24]HISTOFEV24!$A$6:$BM$38,65,0)</f>
        <v>0</v>
      </c>
      <c r="AA10" s="36"/>
      <c r="AB10" s="36">
        <f>VLOOKUP($A10,[24]HISTOFEV24!$A$6:$AU$38,43,0)</f>
        <v>0</v>
      </c>
      <c r="AC10" s="36">
        <f>VLOOKUP($A10,[24]HISTOFEV24!$A$6:$AU$38,44,0)</f>
        <v>0</v>
      </c>
      <c r="AD10" s="36">
        <f>VLOOKUP($A10,[24]HISTOFEV24!$A$6:$AU$38,47,0)</f>
        <v>0</v>
      </c>
      <c r="AE10" s="36">
        <f>VLOOKUP(A10,[24]HISTOFEV24!$A$6:$BB$38,54,0)</f>
        <v>0</v>
      </c>
      <c r="AF10" s="36">
        <f>VLOOKUP($A10,[24]HISTOFEV24!$A$6:$CA$38,60,0)</f>
        <v>0</v>
      </c>
      <c r="AG10" s="36">
        <f>VLOOKUP($A10,[24]HISTOFEV24!$A$6:$CA$38,61,0)</f>
        <v>0</v>
      </c>
      <c r="AH10" s="36">
        <f>VLOOKUP($A10,[24]HISTOFEV24!$A$6:$CA$38,62,0)</f>
        <v>0</v>
      </c>
      <c r="AI10" s="36">
        <f>VLOOKUP($A10,[24]HISTOFEV24!$A$6:$CA$38,63,0)</f>
        <v>0</v>
      </c>
      <c r="AJ10" s="36">
        <f>VLOOKUP($A10,[24]HISTOFEV24!$A$6:$CA$38,64,0)</f>
        <v>0</v>
      </c>
      <c r="AK10" s="36">
        <f>VLOOKUP($A10,[24]HISTOFEV24!$A$6:$CA$38,65,0)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VLOOKUP($A11,[24]HISTOFEV24!$A$6:$BA$38,48,0)</f>
        <v>0</v>
      </c>
      <c r="F11" s="36">
        <f>MVTJANV24!I11-E11+L11</f>
        <v>784345.66824894212</v>
      </c>
      <c r="G11" s="5">
        <f>IF(MVTJANV24!I11+L11&gt;700000,(MVTJANV24!I11-E11+L11),0)</f>
        <v>784345.66824894212</v>
      </c>
      <c r="H11" s="36">
        <f t="shared" si="0"/>
        <v>769.47585732941445</v>
      </c>
      <c r="I11" s="6">
        <f t="shared" si="2"/>
        <v>785115.14410627156</v>
      </c>
      <c r="J11" s="36">
        <f>VLOOKUP($A11,[24]HISTOFEV24!$A$6:$AQ$42,22,0)</f>
        <v>0</v>
      </c>
      <c r="K11" s="36">
        <f>VLOOKUP($A11,[24]HISTOFEV24!$A$6:$AU$38,45,0)</f>
        <v>25000</v>
      </c>
      <c r="L11" s="36">
        <f t="shared" si="4"/>
        <v>19000</v>
      </c>
      <c r="M11" s="36">
        <f t="shared" si="5"/>
        <v>1000</v>
      </c>
      <c r="N11" s="36">
        <f t="shared" si="3"/>
        <v>1000</v>
      </c>
      <c r="O11" s="36">
        <f t="shared" si="6"/>
        <v>4000</v>
      </c>
      <c r="P11" s="36">
        <f>VLOOKUP($A11,[24]HISTOFEV24!$A$6:$AU$38,7,0)</f>
        <v>0</v>
      </c>
      <c r="Q11" s="36">
        <f>VLOOKUP($A11,[24]HISTOFEV24!$A$6:$AU$38,23,0)</f>
        <v>0</v>
      </c>
      <c r="R11" s="36">
        <f>VLOOKUP($A11,[24]HISTOFEV24!$A$6:$AU$38,46,0)</f>
        <v>0</v>
      </c>
      <c r="S11" s="36">
        <f>VLOOKUP($A11,[24]HISTOFEV24!$A$6:$AU$38,26,0)</f>
        <v>1000000</v>
      </c>
      <c r="T11" s="36">
        <f>VLOOKUP($A11,[24]HISTOFEV24!$A$6:$BG$38,58,0)</f>
        <v>20000</v>
      </c>
      <c r="U11" s="36">
        <f>VLOOKUP($A11,[24]HISTOFEV24!$A$6:$AU$38,28,0)</f>
        <v>0</v>
      </c>
      <c r="V11" s="36">
        <f>VLOOKUP($A11,[24]HISTOFEV24!$A$6:$AU$38,19,0)</f>
        <v>1000000</v>
      </c>
      <c r="W11" s="36">
        <f>VLOOKUP($A11,[24]HISTOFEV24!$A$6:$AU$38,20,0)</f>
        <v>0</v>
      </c>
      <c r="X11" s="36">
        <f>VLOOKUP($A11,[24]HISTOFEV24!$A$6:$AU$38,27,0)</f>
        <v>0</v>
      </c>
      <c r="Y11" s="36">
        <f>VLOOKUP($A11,[24]HISTOFEV24!$A$6:$BM$38,33,0)</f>
        <v>0</v>
      </c>
      <c r="Z11" s="36">
        <f>VLOOKUP($A11,[24]HISTOFEV24!$A$6:$BM$38,65,0)</f>
        <v>0</v>
      </c>
      <c r="AA11" s="36"/>
      <c r="AB11" s="36">
        <f>VLOOKUP($A11,[24]HISTOFEV24!$A$6:$AU$38,43,0)</f>
        <v>0</v>
      </c>
      <c r="AC11" s="36">
        <f>VLOOKUP($A11,[24]HISTOFEV24!$A$6:$AU$38,44,0)</f>
        <v>0</v>
      </c>
      <c r="AD11" s="36">
        <f>VLOOKUP($A11,[24]HISTOFEV24!$A$6:$AU$38,47,0)</f>
        <v>0</v>
      </c>
      <c r="AE11" s="36">
        <f>VLOOKUP(A11,[24]HISTOFEV24!$A$6:$BB$38,54,0)</f>
        <v>0</v>
      </c>
      <c r="AF11" s="36">
        <f>VLOOKUP($A11,[24]HISTOFEV24!$A$6:$CA$38,60,0)</f>
        <v>0</v>
      </c>
      <c r="AG11" s="36">
        <f>VLOOKUP($A11,[24]HISTOFEV24!$A$6:$CA$38,61,0)</f>
        <v>0</v>
      </c>
      <c r="AH11" s="36">
        <f>VLOOKUP($A11,[24]HISTOFEV24!$A$6:$CA$38,62,0)</f>
        <v>0</v>
      </c>
      <c r="AI11" s="36">
        <f>VLOOKUP($A11,[24]HISTOFEV24!$A$6:$CA$38,63,0)</f>
        <v>0</v>
      </c>
      <c r="AJ11" s="36">
        <f>VLOOKUP($A11,[24]HISTOFEV24!$A$6:$CA$38,64,0)</f>
        <v>0</v>
      </c>
      <c r="AK11" s="36">
        <f>VLOOKUP($A11,[24]HISTOFEV24!$A$6:$CA$38,65,0)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VLOOKUP($A12,[24]HISTOFEV24!$A$6:$BA$38,48,0)</f>
        <v>0</v>
      </c>
      <c r="F12" s="36">
        <f>MVTJANV24!I12-E12+L12</f>
        <v>807471.36063804815</v>
      </c>
      <c r="G12" s="5">
        <f>IF(MVTJANV24!I12+L12&gt;700000,(MVTJANV24!I12-E12+L12),0)</f>
        <v>807471.36063804815</v>
      </c>
      <c r="H12" s="36">
        <f t="shared" si="0"/>
        <v>792.16312736581358</v>
      </c>
      <c r="I12" s="6">
        <f t="shared" si="2"/>
        <v>808263.52376541402</v>
      </c>
      <c r="J12" s="36">
        <f>VLOOKUP($A12,[24]HISTOFEV24!$A$6:$AQ$42,22,0)</f>
        <v>0</v>
      </c>
      <c r="K12" s="36">
        <f>VLOOKUP($A12,[24]HISTOFEV24!$A$6:$AU$38,45,0)</f>
        <v>30000</v>
      </c>
      <c r="L12" s="36">
        <f t="shared" si="4"/>
        <v>24000</v>
      </c>
      <c r="M12" s="36">
        <f t="shared" si="5"/>
        <v>1000</v>
      </c>
      <c r="N12" s="36">
        <f t="shared" si="3"/>
        <v>1000</v>
      </c>
      <c r="O12" s="36">
        <f t="shared" si="6"/>
        <v>4000</v>
      </c>
      <c r="P12" s="36">
        <f>VLOOKUP($A12,[24]HISTOFEV24!$A$6:$AU$38,7,0)</f>
        <v>0</v>
      </c>
      <c r="Q12" s="36">
        <f>VLOOKUP($A12,[24]HISTOFEV24!$A$6:$AU$38,23,0)</f>
        <v>0</v>
      </c>
      <c r="R12" s="36">
        <f>VLOOKUP($A12,[24]HISTOFEV24!$A$6:$AU$38,46,0)</f>
        <v>0</v>
      </c>
      <c r="S12" s="36">
        <f>VLOOKUP($A12,[24]HISTOFEV24!$A$6:$AU$38,26,0)</f>
        <v>0</v>
      </c>
      <c r="T12" s="36">
        <f>VLOOKUP($A12,[24]HISTOFEV24!$A$6:$BG$38,58,0)</f>
        <v>0</v>
      </c>
      <c r="U12" s="36">
        <f>VLOOKUP($A12,[24]HISTOFEV24!$A$6:$AU$38,28,0)</f>
        <v>0</v>
      </c>
      <c r="V12" s="36">
        <f>VLOOKUP($A12,[24]HISTOFEV24!$A$6:$AU$38,19,0)</f>
        <v>0</v>
      </c>
      <c r="W12" s="36">
        <f>VLOOKUP($A12,[24]HISTOFEV24!$A$6:$AU$38,20,0)</f>
        <v>0</v>
      </c>
      <c r="X12" s="36">
        <f>VLOOKUP($A12,[24]HISTOFEV24!$A$6:$AU$38,27,0)</f>
        <v>0</v>
      </c>
      <c r="Y12" s="36">
        <f>VLOOKUP($A12,[24]HISTOFEV24!$A$6:$BM$38,33,0)</f>
        <v>0</v>
      </c>
      <c r="Z12" s="36">
        <f>VLOOKUP($A12,[24]HISTOFEV24!$A$6:$BM$38,65,0)</f>
        <v>0</v>
      </c>
      <c r="AA12" s="36"/>
      <c r="AB12" s="36">
        <f>VLOOKUP($A12,[24]HISTOFEV24!$A$6:$AU$38,43,0)</f>
        <v>0</v>
      </c>
      <c r="AC12" s="36">
        <f>VLOOKUP($A12,[24]HISTOFEV24!$A$6:$AU$38,44,0)</f>
        <v>0</v>
      </c>
      <c r="AD12" s="36">
        <f>VLOOKUP($A12,[24]HISTOFEV24!$A$6:$AU$38,47,0)</f>
        <v>0</v>
      </c>
      <c r="AE12" s="36">
        <f>VLOOKUP(A12,[24]HISTOFEV24!$A$6:$BB$38,54,0)</f>
        <v>0</v>
      </c>
      <c r="AF12" s="36">
        <f>VLOOKUP($A12,[24]HISTOFEV24!$A$6:$CA$38,60,0)</f>
        <v>0</v>
      </c>
      <c r="AG12" s="36">
        <f>VLOOKUP($A12,[24]HISTOFEV24!$A$6:$CA$38,61,0)</f>
        <v>0</v>
      </c>
      <c r="AH12" s="36">
        <f>VLOOKUP($A12,[24]HISTOFEV24!$A$6:$CA$38,62,0)</f>
        <v>0</v>
      </c>
      <c r="AI12" s="36">
        <f>VLOOKUP($A12,[24]HISTOFEV24!$A$6:$CA$38,63,0)</f>
        <v>0</v>
      </c>
      <c r="AJ12" s="36">
        <f>VLOOKUP($A12,[24]HISTOFEV24!$A$6:$CA$38,64,0)</f>
        <v>0</v>
      </c>
      <c r="AK12" s="36">
        <f>VLOOKUP($A12,[24]HISTOFEV24!$A$6:$CA$38,65,0)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VLOOKUP($A13,[24]HISTOFEV24!$A$6:$BA$38,48,0)</f>
        <v>0</v>
      </c>
      <c r="F13" s="36">
        <f>MVTJANV24!I13-E13+L13</f>
        <v>782055.04744304728</v>
      </c>
      <c r="G13" s="5">
        <f>IF(MVTJANV24!I13+L13&gt;700000,(MVTJANV24!I13-E13+L13),0)</f>
        <v>782055.04744304728</v>
      </c>
      <c r="H13" s="36">
        <f t="shared" si="0"/>
        <v>767.22866265519951</v>
      </c>
      <c r="I13" s="6">
        <f t="shared" si="2"/>
        <v>782822.27610570251</v>
      </c>
      <c r="J13" s="36">
        <f>VLOOKUP($A13,[24]HISTOFEV24!$A$6:$AQ$42,22,0)</f>
        <v>0</v>
      </c>
      <c r="K13" s="36">
        <f>VLOOKUP($A13,[24]HISTOFEV24!$A$6:$AU$38,45,0)</f>
        <v>25000</v>
      </c>
      <c r="L13" s="36">
        <f t="shared" si="4"/>
        <v>19000</v>
      </c>
      <c r="M13" s="36">
        <f t="shared" si="5"/>
        <v>1000</v>
      </c>
      <c r="N13" s="36">
        <f t="shared" si="3"/>
        <v>1000</v>
      </c>
      <c r="O13" s="36">
        <f t="shared" si="6"/>
        <v>4000</v>
      </c>
      <c r="P13" s="36">
        <f>VLOOKUP($A13,[24]HISTOFEV24!$A$6:$AU$38,7,0)</f>
        <v>0</v>
      </c>
      <c r="Q13" s="36">
        <f>VLOOKUP($A13,[24]HISTOFEV24!$A$6:$AU$38,23,0)</f>
        <v>0</v>
      </c>
      <c r="R13" s="36">
        <f>VLOOKUP($A13,[24]HISTOFEV24!$A$6:$AU$38,46,0)</f>
        <v>0</v>
      </c>
      <c r="S13" s="36">
        <f>VLOOKUP($A13,[24]HISTOFEV24!$A$6:$AU$38,26,0)</f>
        <v>0</v>
      </c>
      <c r="T13" s="36">
        <f>VLOOKUP($A13,[24]HISTOFEV24!$A$6:$BG$38,58,0)</f>
        <v>0</v>
      </c>
      <c r="U13" s="36">
        <f>VLOOKUP($A13,[24]HISTOFEV24!$A$6:$AU$38,28,0)</f>
        <v>0</v>
      </c>
      <c r="V13" s="36">
        <f>VLOOKUP($A13,[24]HISTOFEV24!$A$6:$AU$38,19,0)</f>
        <v>0</v>
      </c>
      <c r="W13" s="36">
        <f>VLOOKUP($A13,[24]HISTOFEV24!$A$6:$AU$38,20,0)</f>
        <v>0</v>
      </c>
      <c r="X13" s="36">
        <f>VLOOKUP($A13,[24]HISTOFEV24!$A$6:$AU$38,27,0)</f>
        <v>0</v>
      </c>
      <c r="Y13" s="36">
        <f>VLOOKUP($A13,[24]HISTOFEV24!$A$6:$BM$38,33,0)</f>
        <v>0</v>
      </c>
      <c r="Z13" s="36">
        <f>VLOOKUP($A13,[24]HISTOFEV24!$A$6:$BM$38,65,0)</f>
        <v>0</v>
      </c>
      <c r="AA13" s="36"/>
      <c r="AB13" s="36">
        <f>VLOOKUP($A13,[24]HISTOFEV24!$A$6:$AU$38,43,0)</f>
        <v>0</v>
      </c>
      <c r="AC13" s="36">
        <f>VLOOKUP($A13,[24]HISTOFEV24!$A$6:$AU$38,44,0)</f>
        <v>0</v>
      </c>
      <c r="AD13" s="36">
        <f>VLOOKUP($A13,[24]HISTOFEV24!$A$6:$AU$38,47,0)</f>
        <v>0</v>
      </c>
      <c r="AE13" s="36">
        <f>VLOOKUP(A13,[24]HISTOFEV24!$A$6:$BB$38,54,0)</f>
        <v>0</v>
      </c>
      <c r="AF13" s="36">
        <f>VLOOKUP($A13,[24]HISTOFEV24!$A$6:$CA$38,60,0)</f>
        <v>0</v>
      </c>
      <c r="AG13" s="36">
        <f>VLOOKUP($A13,[24]HISTOFEV24!$A$6:$CA$38,61,0)</f>
        <v>0</v>
      </c>
      <c r="AH13" s="36">
        <f>VLOOKUP($A13,[24]HISTOFEV24!$A$6:$CA$38,62,0)</f>
        <v>0</v>
      </c>
      <c r="AI13" s="36">
        <f>VLOOKUP($A13,[24]HISTOFEV24!$A$6:$CA$38,63,0)</f>
        <v>0</v>
      </c>
      <c r="AJ13" s="36">
        <f>VLOOKUP($A13,[24]HISTOFEV24!$A$6:$CA$38,64,0)</f>
        <v>0</v>
      </c>
      <c r="AK13" s="36">
        <f>VLOOKUP($A13,[24]HISTOFEV24!$A$6:$CA$38,65,0)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VLOOKUP($A14,[24]HISTOFEV24!$A$6:$BA$38,48,0)</f>
        <v>0</v>
      </c>
      <c r="F14" s="36">
        <f>MVTJANV24!I14-E14+L14</f>
        <v>1332507.9042539934</v>
      </c>
      <c r="G14" s="5">
        <f>IF(MVTJANV24!I14+L14&gt;700000,(MVTJANV24!I14-E14+L14),0)</f>
        <v>1332507.9042539934</v>
      </c>
      <c r="H14" s="36">
        <f t="shared" si="0"/>
        <v>1307.2459038540062</v>
      </c>
      <c r="I14" s="6">
        <f t="shared" si="2"/>
        <v>1333815.1501578474</v>
      </c>
      <c r="J14" s="36">
        <f>VLOOKUP($A14,[24]HISTOFEV24!$A$6:$AQ$42,22,0)</f>
        <v>0</v>
      </c>
      <c r="K14" s="36">
        <f>VLOOKUP($A14,[24]HISTOFEV24!$A$6:$AU$38,45,0)</f>
        <v>25000</v>
      </c>
      <c r="L14" s="36">
        <f t="shared" si="4"/>
        <v>19000</v>
      </c>
      <c r="M14" s="36">
        <f t="shared" si="5"/>
        <v>1000</v>
      </c>
      <c r="N14" s="36">
        <f t="shared" si="3"/>
        <v>1000</v>
      </c>
      <c r="O14" s="36">
        <f t="shared" si="6"/>
        <v>4000</v>
      </c>
      <c r="P14" s="36">
        <f>VLOOKUP($A14,[24]HISTOFEV24!$A$6:$AU$38,7,0)</f>
        <v>0</v>
      </c>
      <c r="Q14" s="36">
        <f>VLOOKUP($A14,[24]HISTOFEV24!$A$6:$AU$38,23,0)</f>
        <v>0</v>
      </c>
      <c r="R14" s="36">
        <f>VLOOKUP($A14,[24]HISTOFEV24!$A$6:$AU$38,46,0)</f>
        <v>0</v>
      </c>
      <c r="S14" s="36">
        <f>VLOOKUP($A14,[24]HISTOFEV24!$A$6:$AU$38,26,0)</f>
        <v>0</v>
      </c>
      <c r="T14" s="36">
        <f>VLOOKUP($A14,[24]HISTOFEV24!$A$6:$BG$38,58,0)</f>
        <v>0</v>
      </c>
      <c r="U14" s="36">
        <f>VLOOKUP($A14,[24]HISTOFEV24!$A$6:$AU$38,28,0)</f>
        <v>0</v>
      </c>
      <c r="V14" s="36">
        <f>VLOOKUP($A14,[24]HISTOFEV24!$A$6:$AU$38,19,0)</f>
        <v>0</v>
      </c>
      <c r="W14" s="36">
        <f>VLOOKUP($A14,[24]HISTOFEV24!$A$6:$AU$38,20,0)</f>
        <v>0</v>
      </c>
      <c r="X14" s="36">
        <f>VLOOKUP($A14,[24]HISTOFEV24!$A$6:$AU$38,27,0)</f>
        <v>0</v>
      </c>
      <c r="Y14" s="36">
        <f>VLOOKUP($A14,[24]HISTOFEV24!$A$6:$BM$38,33,0)</f>
        <v>0</v>
      </c>
      <c r="Z14" s="36">
        <f>VLOOKUP($A14,[24]HISTOFEV24!$A$6:$BM$38,65,0)</f>
        <v>0</v>
      </c>
      <c r="AA14" s="36"/>
      <c r="AB14" s="36">
        <f>VLOOKUP($A14,[24]HISTOFEV24!$A$6:$AU$38,43,0)</f>
        <v>0</v>
      </c>
      <c r="AC14" s="36">
        <f>VLOOKUP($A14,[24]HISTOFEV24!$A$6:$AU$38,44,0)</f>
        <v>0</v>
      </c>
      <c r="AD14" s="36">
        <f>VLOOKUP($A14,[24]HISTOFEV24!$A$6:$AU$38,47,0)</f>
        <v>0</v>
      </c>
      <c r="AE14" s="36">
        <f>VLOOKUP(A14,[24]HISTOFEV24!$A$6:$BB$38,54,0)</f>
        <v>0</v>
      </c>
      <c r="AF14" s="36">
        <f>VLOOKUP($A14,[24]HISTOFEV24!$A$6:$CA$38,60,0)</f>
        <v>0</v>
      </c>
      <c r="AG14" s="36">
        <f>VLOOKUP($A14,[24]HISTOFEV24!$A$6:$CA$38,61,0)</f>
        <v>0</v>
      </c>
      <c r="AH14" s="36">
        <f>VLOOKUP($A14,[24]HISTOFEV24!$A$6:$CA$38,62,0)</f>
        <v>0</v>
      </c>
      <c r="AI14" s="36">
        <f>VLOOKUP($A14,[24]HISTOFEV24!$A$6:$CA$38,63,0)</f>
        <v>0</v>
      </c>
      <c r="AJ14" s="36">
        <f>VLOOKUP($A14,[24]HISTOFEV24!$A$6:$CA$38,64,0)</f>
        <v>0</v>
      </c>
      <c r="AK14" s="36">
        <f>VLOOKUP($A14,[24]HISTOFEV24!$A$6:$CA$38,65,0)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VLOOKUP($A15,[24]HISTOFEV24!$A$6:$BA$38,48,0)</f>
        <v>0</v>
      </c>
      <c r="F15" s="36">
        <f>MVTJANV24!I15-E15+L15</f>
        <v>843539.43979336962</v>
      </c>
      <c r="G15" s="5">
        <f>IF(MVTJANV24!I15+L15&gt;700000,(MVTJANV24!I15-E15+L15),0)</f>
        <v>843539.43979336962</v>
      </c>
      <c r="H15" s="36">
        <f t="shared" si="0"/>
        <v>827.54741933522814</v>
      </c>
      <c r="I15" s="6">
        <f t="shared" si="2"/>
        <v>844366.98721270484</v>
      </c>
      <c r="J15" s="36">
        <f>VLOOKUP($A15,[24]HISTOFEV24!$A$6:$AQ$42,22,0)</f>
        <v>0</v>
      </c>
      <c r="K15" s="36">
        <f>VLOOKUP($A15,[24]HISTOFEV24!$A$6:$AU$38,45,0)</f>
        <v>25000</v>
      </c>
      <c r="L15" s="36">
        <f t="shared" si="4"/>
        <v>19000</v>
      </c>
      <c r="M15" s="36">
        <f t="shared" si="5"/>
        <v>1000</v>
      </c>
      <c r="N15" s="36">
        <f t="shared" si="3"/>
        <v>1000</v>
      </c>
      <c r="O15" s="36">
        <f t="shared" si="6"/>
        <v>4000</v>
      </c>
      <c r="P15" s="36">
        <f>VLOOKUP($A15,[24]HISTOFEV24!$A$6:$AU$38,7,0)</f>
        <v>0</v>
      </c>
      <c r="Q15" s="36">
        <f>VLOOKUP($A15,[24]HISTOFEV24!$A$6:$AU$38,23,0)</f>
        <v>0</v>
      </c>
      <c r="R15" s="36">
        <f>VLOOKUP($A15,[24]HISTOFEV24!$A$6:$AU$38,46,0)</f>
        <v>0</v>
      </c>
      <c r="S15" s="36">
        <f>VLOOKUP($A15,[24]HISTOFEV24!$A$6:$AU$38,26,0)</f>
        <v>0</v>
      </c>
      <c r="T15" s="36">
        <f>VLOOKUP($A15,[24]HISTOFEV24!$A$6:$BG$38,58,0)</f>
        <v>0</v>
      </c>
      <c r="U15" s="36">
        <f>VLOOKUP($A15,[24]HISTOFEV24!$A$6:$AU$38,28,0)</f>
        <v>0</v>
      </c>
      <c r="V15" s="36">
        <f>VLOOKUP($A15,[24]HISTOFEV24!$A$6:$AU$38,19,0)</f>
        <v>0</v>
      </c>
      <c r="W15" s="36">
        <f>VLOOKUP($A15,[24]HISTOFEV24!$A$6:$AU$38,20,0)</f>
        <v>0</v>
      </c>
      <c r="X15" s="36">
        <f>VLOOKUP($A15,[24]HISTOFEV24!$A$6:$AU$38,27,0)</f>
        <v>0</v>
      </c>
      <c r="Y15" s="36">
        <f>VLOOKUP($A15,[24]HISTOFEV24!$A$6:$BM$38,33,0)</f>
        <v>0</v>
      </c>
      <c r="Z15" s="36">
        <f>VLOOKUP($A15,[24]HISTOFEV24!$A$6:$BM$38,65,0)</f>
        <v>0</v>
      </c>
      <c r="AA15" s="36"/>
      <c r="AB15" s="36">
        <f>VLOOKUP($A15,[24]HISTOFEV24!$A$6:$AU$38,43,0)</f>
        <v>0</v>
      </c>
      <c r="AC15" s="36">
        <f>VLOOKUP($A15,[24]HISTOFEV24!$A$6:$AU$38,44,0)</f>
        <v>0</v>
      </c>
      <c r="AD15" s="36">
        <f>VLOOKUP($A15,[24]HISTOFEV24!$A$6:$AU$38,47,0)</f>
        <v>0</v>
      </c>
      <c r="AE15" s="36">
        <f>VLOOKUP(A15,[24]HISTOFEV24!$A$6:$BB$38,54,0)</f>
        <v>0</v>
      </c>
      <c r="AF15" s="36">
        <f>VLOOKUP($A15,[24]HISTOFEV24!$A$6:$CA$38,60,0)</f>
        <v>0</v>
      </c>
      <c r="AG15" s="36">
        <f>VLOOKUP($A15,[24]HISTOFEV24!$A$6:$CA$38,61,0)</f>
        <v>0</v>
      </c>
      <c r="AH15" s="36">
        <f>VLOOKUP($A15,[24]HISTOFEV24!$A$6:$CA$38,62,0)</f>
        <v>0</v>
      </c>
      <c r="AI15" s="36">
        <f>VLOOKUP($A15,[24]HISTOFEV24!$A$6:$CA$38,63,0)</f>
        <v>0</v>
      </c>
      <c r="AJ15" s="36">
        <f>VLOOKUP($A15,[24]HISTOFEV24!$A$6:$CA$38,64,0)</f>
        <v>0</v>
      </c>
      <c r="AK15" s="36">
        <f>VLOOKUP($A15,[24]HISTOFEV24!$A$6:$CA$38,65,0)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VLOOKUP($A16,[24]HISTOFEV24!$A$6:$BA$38,48,0)</f>
        <v>0</v>
      </c>
      <c r="F16" s="36">
        <f>MVTJANV24!I16-E16+L16</f>
        <v>883792.41381063138</v>
      </c>
      <c r="G16" s="5">
        <f>IF(MVTJANV24!I16+L16&gt;700000,(MVTJANV24!I16-E16+L16),0)</f>
        <v>883792.41381063138</v>
      </c>
      <c r="H16" s="36">
        <f t="shared" si="0"/>
        <v>867.03726793876558</v>
      </c>
      <c r="I16" s="6">
        <f t="shared" si="2"/>
        <v>884659.4510785701</v>
      </c>
      <c r="J16" s="36">
        <f>VLOOKUP($A16,[24]HISTOFEV24!$A$6:$AQ$42,22,0)</f>
        <v>0</v>
      </c>
      <c r="K16" s="36">
        <f>VLOOKUP($A16,[24]HISTOFEV24!$A$6:$AU$38,45,0)</f>
        <v>60000</v>
      </c>
      <c r="L16" s="36">
        <f t="shared" si="4"/>
        <v>54000</v>
      </c>
      <c r="M16" s="36">
        <f t="shared" si="5"/>
        <v>1000</v>
      </c>
      <c r="N16" s="36">
        <f t="shared" si="3"/>
        <v>1000</v>
      </c>
      <c r="O16" s="36">
        <f t="shared" si="6"/>
        <v>4000</v>
      </c>
      <c r="P16" s="36">
        <f>VLOOKUP($A16,[24]HISTOFEV24!$A$6:$AU$38,7,0)</f>
        <v>0</v>
      </c>
      <c r="Q16" s="36">
        <f>VLOOKUP($A16,[24]HISTOFEV24!$A$6:$AU$38,23,0)</f>
        <v>0</v>
      </c>
      <c r="R16" s="36">
        <f>VLOOKUP($A16,[24]HISTOFEV24!$A$6:$AU$38,46,0)</f>
        <v>0</v>
      </c>
      <c r="S16" s="36">
        <f>VLOOKUP($A16,[24]HISTOFEV24!$A$6:$AU$38,26,0)</f>
        <v>0</v>
      </c>
      <c r="T16" s="36">
        <f>VLOOKUP($A16,[24]HISTOFEV24!$A$6:$BG$38,58,0)</f>
        <v>0</v>
      </c>
      <c r="U16" s="36">
        <f>VLOOKUP($A16,[24]HISTOFEV24!$A$6:$AU$38,28,0)</f>
        <v>0</v>
      </c>
      <c r="V16" s="36">
        <f>VLOOKUP($A16,[24]HISTOFEV24!$A$6:$AU$38,19,0)</f>
        <v>0</v>
      </c>
      <c r="W16" s="36">
        <f>VLOOKUP($A16,[24]HISTOFEV24!$A$6:$AU$38,20,0)</f>
        <v>0</v>
      </c>
      <c r="X16" s="36">
        <f>VLOOKUP($A16,[24]HISTOFEV24!$A$6:$AU$38,27,0)</f>
        <v>0</v>
      </c>
      <c r="Y16" s="36">
        <f>VLOOKUP($A16,[24]HISTOFEV24!$A$6:$BM$38,33,0)</f>
        <v>0</v>
      </c>
      <c r="Z16" s="36">
        <f>VLOOKUP($A16,[24]HISTOFEV24!$A$6:$BM$38,65,0)</f>
        <v>0</v>
      </c>
      <c r="AA16" s="36"/>
      <c r="AB16" s="36">
        <f>VLOOKUP($A16,[24]HISTOFEV24!$A$6:$AU$38,43,0)</f>
        <v>0</v>
      </c>
      <c r="AC16" s="36">
        <f>VLOOKUP($A16,[24]HISTOFEV24!$A$6:$AU$38,44,0)</f>
        <v>0</v>
      </c>
      <c r="AD16" s="36">
        <f>VLOOKUP($A16,[24]HISTOFEV24!$A$6:$AU$38,47,0)</f>
        <v>0</v>
      </c>
      <c r="AE16" s="36">
        <f>VLOOKUP(A16,[24]HISTOFEV24!$A$6:$BB$38,54,0)</f>
        <v>0</v>
      </c>
      <c r="AF16" s="36">
        <f>VLOOKUP($A16,[24]HISTOFEV24!$A$6:$CA$38,60,0)</f>
        <v>0</v>
      </c>
      <c r="AG16" s="36">
        <f>VLOOKUP($A16,[24]HISTOFEV24!$A$6:$CA$38,61,0)</f>
        <v>0</v>
      </c>
      <c r="AH16" s="36">
        <f>VLOOKUP($A16,[24]HISTOFEV24!$A$6:$CA$38,62,0)</f>
        <v>0</v>
      </c>
      <c r="AI16" s="36">
        <f>VLOOKUP($A16,[24]HISTOFEV24!$A$6:$CA$38,63,0)</f>
        <v>0</v>
      </c>
      <c r="AJ16" s="36">
        <f>VLOOKUP($A16,[24]HISTOFEV24!$A$6:$CA$38,64,0)</f>
        <v>0</v>
      </c>
      <c r="AK16" s="36">
        <f>VLOOKUP($A16,[24]HISTOFEV24!$A$6:$CA$38,65,0)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VLOOKUP($A17,[24]HISTOFEV24!$A$6:$BA$38,48,0)</f>
        <v>0</v>
      </c>
      <c r="F17" s="36">
        <f>MVTJANV24!I17-E17+L17</f>
        <v>791859.53358840558</v>
      </c>
      <c r="G17" s="5">
        <f>IF(MVTJANV24!I17+L17&gt;700000,(MVTJANV24!I17-E17+L17),0)</f>
        <v>791859.53358840558</v>
      </c>
      <c r="H17" s="36">
        <f t="shared" si="0"/>
        <v>776.84727303041416</v>
      </c>
      <c r="I17" s="6">
        <f t="shared" si="2"/>
        <v>792636.38086143602</v>
      </c>
      <c r="J17" s="36">
        <f>VLOOKUP($A17,[24]HISTOFEV24!$A$6:$AQ$42,22,0)</f>
        <v>0</v>
      </c>
      <c r="K17" s="36">
        <f>VLOOKUP($A17,[24]HISTOFEV24!$A$6:$AU$38,45,0)</f>
        <v>25000</v>
      </c>
      <c r="L17" s="36">
        <f t="shared" si="4"/>
        <v>19000</v>
      </c>
      <c r="M17" s="36">
        <f t="shared" si="5"/>
        <v>1000</v>
      </c>
      <c r="N17" s="36">
        <f t="shared" si="3"/>
        <v>1000</v>
      </c>
      <c r="O17" s="36">
        <f t="shared" si="6"/>
        <v>4000</v>
      </c>
      <c r="P17" s="36">
        <f>VLOOKUP($A17,[24]HISTOFEV24!$A$6:$AU$38,7,0)</f>
        <v>0</v>
      </c>
      <c r="Q17" s="36">
        <f>VLOOKUP($A17,[24]HISTOFEV24!$A$6:$AU$38,23,0)</f>
        <v>0</v>
      </c>
      <c r="R17" s="36">
        <f>VLOOKUP($A17,[24]HISTOFEV24!$A$6:$AU$38,46,0)</f>
        <v>0</v>
      </c>
      <c r="S17" s="36">
        <f>VLOOKUP($A17,[24]HISTOFEV24!$A$6:$AU$38,26,0)</f>
        <v>0</v>
      </c>
      <c r="T17" s="36">
        <f>VLOOKUP($A17,[24]HISTOFEV24!$A$6:$BG$38,58,0)</f>
        <v>0</v>
      </c>
      <c r="U17" s="36">
        <f>VLOOKUP($A17,[24]HISTOFEV24!$A$6:$AU$38,28,0)</f>
        <v>0</v>
      </c>
      <c r="V17" s="36">
        <f>VLOOKUP($A17,[24]HISTOFEV24!$A$6:$AU$38,19,0)</f>
        <v>0</v>
      </c>
      <c r="W17" s="36">
        <f>VLOOKUP($A17,[24]HISTOFEV24!$A$6:$AU$38,20,0)</f>
        <v>0</v>
      </c>
      <c r="X17" s="36">
        <f>VLOOKUP($A17,[24]HISTOFEV24!$A$6:$AU$38,27,0)</f>
        <v>0</v>
      </c>
      <c r="Y17" s="36">
        <f>VLOOKUP($A17,[24]HISTOFEV24!$A$6:$BM$38,33,0)</f>
        <v>0</v>
      </c>
      <c r="Z17" s="36">
        <f>VLOOKUP($A17,[24]HISTOFEV24!$A$6:$BM$38,65,0)</f>
        <v>0</v>
      </c>
      <c r="AA17" s="36"/>
      <c r="AB17" s="36">
        <f>VLOOKUP($A17,[24]HISTOFEV24!$A$6:$AU$38,43,0)</f>
        <v>0</v>
      </c>
      <c r="AC17" s="36">
        <f>VLOOKUP($A17,[24]HISTOFEV24!$A$6:$AU$38,44,0)</f>
        <v>0</v>
      </c>
      <c r="AD17" s="36">
        <f>VLOOKUP($A17,[24]HISTOFEV24!$A$6:$AU$38,47,0)</f>
        <v>0</v>
      </c>
      <c r="AE17" s="36">
        <f>VLOOKUP(A17,[24]HISTOFEV24!$A$6:$BB$38,54,0)</f>
        <v>0</v>
      </c>
      <c r="AF17" s="36">
        <f>VLOOKUP($A17,[24]HISTOFEV24!$A$6:$CA$38,60,0)</f>
        <v>0</v>
      </c>
      <c r="AG17" s="36">
        <f>VLOOKUP($A17,[24]HISTOFEV24!$A$6:$CA$38,61,0)</f>
        <v>0</v>
      </c>
      <c r="AH17" s="36">
        <f>VLOOKUP($A17,[24]HISTOFEV24!$A$6:$CA$38,62,0)</f>
        <v>0</v>
      </c>
      <c r="AI17" s="36">
        <f>VLOOKUP($A17,[24]HISTOFEV24!$A$6:$CA$38,63,0)</f>
        <v>0</v>
      </c>
      <c r="AJ17" s="36">
        <f>VLOOKUP($A17,[24]HISTOFEV24!$A$6:$CA$38,64,0)</f>
        <v>0</v>
      </c>
      <c r="AK17" s="36">
        <f>VLOOKUP($A17,[24]HISTOFEV24!$A$6:$CA$38,65,0)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VLOOKUP($A18,[24]HISTOFEV24!$A$6:$BA$38,48,0)</f>
        <v>0</v>
      </c>
      <c r="F18" s="36">
        <f>MVTJANV24!I18-E18+L18</f>
        <v>817970.81475224928</v>
      </c>
      <c r="G18" s="5">
        <f>IF(MVTJANV24!I18+L18&gt;700000,(MVTJANV24!I18-E18+L18),0)</f>
        <v>817970.81475224928</v>
      </c>
      <c r="H18" s="36">
        <f t="shared" si="0"/>
        <v>802.46353034254241</v>
      </c>
      <c r="I18" s="6">
        <f t="shared" si="2"/>
        <v>818773.27828259184</v>
      </c>
      <c r="J18" s="36">
        <f>VLOOKUP($A18,[24]HISTOFEV24!$A$6:$AQ$42,22,0)</f>
        <v>0</v>
      </c>
      <c r="K18" s="36">
        <f>VLOOKUP($A18,[24]HISTOFEV24!$A$6:$AU$38,45,0)</f>
        <v>35000</v>
      </c>
      <c r="L18" s="36">
        <f t="shared" si="4"/>
        <v>29000</v>
      </c>
      <c r="M18" s="36">
        <f t="shared" si="5"/>
        <v>1000</v>
      </c>
      <c r="N18" s="36">
        <f t="shared" si="3"/>
        <v>1000</v>
      </c>
      <c r="O18" s="36">
        <f t="shared" si="6"/>
        <v>4000</v>
      </c>
      <c r="P18" s="36">
        <f>VLOOKUP($A18,[24]HISTOFEV24!$A$6:$AU$38,7,0)</f>
        <v>0</v>
      </c>
      <c r="Q18" s="36">
        <f>VLOOKUP($A18,[24]HISTOFEV24!$A$6:$AU$38,23,0)</f>
        <v>0</v>
      </c>
      <c r="R18" s="36">
        <f>VLOOKUP($A18,[24]HISTOFEV24!$A$6:$AU$38,46,0)</f>
        <v>0</v>
      </c>
      <c r="S18" s="36">
        <f>VLOOKUP($A18,[24]HISTOFEV24!$A$6:$AU$38,26,0)</f>
        <v>0</v>
      </c>
      <c r="T18" s="36">
        <f>VLOOKUP($A18,[24]HISTOFEV24!$A$6:$BG$38,58,0)</f>
        <v>0</v>
      </c>
      <c r="U18" s="36">
        <f>VLOOKUP($A18,[24]HISTOFEV24!$A$6:$AU$38,28,0)</f>
        <v>0</v>
      </c>
      <c r="V18" s="36">
        <f>VLOOKUP($A18,[24]HISTOFEV24!$A$6:$AU$38,19,0)</f>
        <v>0</v>
      </c>
      <c r="W18" s="36">
        <f>VLOOKUP($A18,[24]HISTOFEV24!$A$6:$AU$38,20,0)</f>
        <v>0</v>
      </c>
      <c r="X18" s="36">
        <f>VLOOKUP($A18,[24]HISTOFEV24!$A$6:$AU$38,27,0)</f>
        <v>0</v>
      </c>
      <c r="Y18" s="36">
        <f>VLOOKUP($A18,[24]HISTOFEV24!$A$6:$BM$38,33,0)</f>
        <v>0</v>
      </c>
      <c r="Z18" s="36">
        <f>VLOOKUP($A18,[24]HISTOFEV24!$A$6:$BM$38,65,0)</f>
        <v>0</v>
      </c>
      <c r="AA18" s="36"/>
      <c r="AB18" s="36">
        <f>VLOOKUP($A18,[24]HISTOFEV24!$A$6:$AU$38,43,0)</f>
        <v>0</v>
      </c>
      <c r="AC18" s="36">
        <f>VLOOKUP($A18,[24]HISTOFEV24!$A$6:$AU$38,44,0)</f>
        <v>0</v>
      </c>
      <c r="AD18" s="36">
        <f>VLOOKUP($A18,[24]HISTOFEV24!$A$6:$AU$38,47,0)</f>
        <v>0</v>
      </c>
      <c r="AE18" s="36">
        <f>VLOOKUP(A18,[24]HISTOFEV24!$A$6:$BB$38,54,0)</f>
        <v>0</v>
      </c>
      <c r="AF18" s="36">
        <f>VLOOKUP($A18,[24]HISTOFEV24!$A$6:$CA$38,60,0)</f>
        <v>0</v>
      </c>
      <c r="AG18" s="36">
        <f>VLOOKUP($A18,[24]HISTOFEV24!$A$6:$CA$38,61,0)</f>
        <v>0</v>
      </c>
      <c r="AH18" s="36">
        <f>VLOOKUP($A18,[24]HISTOFEV24!$A$6:$CA$38,62,0)</f>
        <v>0</v>
      </c>
      <c r="AI18" s="36">
        <f>VLOOKUP($A18,[24]HISTOFEV24!$A$6:$CA$38,63,0)</f>
        <v>0</v>
      </c>
      <c r="AJ18" s="36">
        <f>VLOOKUP($A18,[24]HISTOFEV24!$A$6:$CA$38,64,0)</f>
        <v>0</v>
      </c>
      <c r="AK18" s="36">
        <f>VLOOKUP($A18,[24]HISTOFEV24!$A$6:$CA$38,65,0)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MVTJANV24!I19-E19+L19</f>
        <v>676217.13072703336</v>
      </c>
      <c r="G19" s="5">
        <f>IF(MVTJANV24!I19+L19&gt;700000,(MVTJANV24!I19-E19+L19),0)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MVTJANV24!I20-E20+L20</f>
        <v>38000</v>
      </c>
      <c r="G20" s="5">
        <f>IF(MVTJANV24!I20+L20&gt;700000,(MVTJANV24!I20-E20+L20),0)</f>
        <v>0</v>
      </c>
      <c r="H20" s="36">
        <f t="shared" si="0"/>
        <v>0</v>
      </c>
      <c r="I20" s="6">
        <f t="shared" si="2"/>
        <v>38000</v>
      </c>
      <c r="J20" s="36">
        <f>VLOOKUP($A20,[24]HISTOFEV24!$A$6:$AQ$42,22,0)</f>
        <v>0</v>
      </c>
      <c r="K20" s="36">
        <f>VLOOKUP($A20,[24]HISTOFEV24!$A$6:$AU$38,45,0)</f>
        <v>25000</v>
      </c>
      <c r="L20" s="36">
        <f t="shared" ref="L20" si="7">IF(K20=0,0,K20-(M20+N20+O20))</f>
        <v>19000</v>
      </c>
      <c r="M20" s="36">
        <f t="shared" ref="M20" si="8">IF(K20=0,0,1000)</f>
        <v>1000</v>
      </c>
      <c r="N20" s="36">
        <f t="shared" ref="N20" si="9">IF(K20=0,0,1000)</f>
        <v>1000</v>
      </c>
      <c r="O20" s="36">
        <f t="shared" ref="O20" si="10">IF(K20=0,0,4000)</f>
        <v>4000</v>
      </c>
      <c r="P20" s="36">
        <f>VLOOKUP($A20,[24]HISTOFEV24!$A$6:$AU$38,7,0)</f>
        <v>0</v>
      </c>
      <c r="Q20" s="36">
        <f>VLOOKUP($A20,[24]HISTOFEV24!$A$6:$AU$38,23,0)</f>
        <v>0</v>
      </c>
      <c r="R20" s="36">
        <f>VLOOKUP($A20,[24]HISTOFEV24!$A$6:$AU$38,46,0)</f>
        <v>0</v>
      </c>
      <c r="S20" s="36">
        <f>VLOOKUP($A20,[24]HISTOFEV24!$A$6:$AU$38,26,0)</f>
        <v>0</v>
      </c>
      <c r="T20" s="36">
        <f>VLOOKUP($A20,[24]HISTOFEV24!$A$6:$BG$38,58,0)</f>
        <v>0</v>
      </c>
      <c r="U20" s="36">
        <f>VLOOKUP($A20,[24]HISTOFEV24!$A$6:$AU$38,28,0)</f>
        <v>0</v>
      </c>
      <c r="V20" s="36">
        <f>VLOOKUP($A20,[24]HISTOFEV24!$A$6:$AU$38,19,0)</f>
        <v>0</v>
      </c>
      <c r="W20" s="36">
        <f>VLOOKUP($A20,[24]HISTOFEV24!$A$6:$AU$38,20,0)</f>
        <v>0</v>
      </c>
      <c r="X20" s="36">
        <f>VLOOKUP($A20,[24]HISTOFEV24!$A$6:$AU$38,27,0)</f>
        <v>0</v>
      </c>
      <c r="Y20" s="36">
        <f>VLOOKUP($A20,[24]HISTOFEV24!$A$6:$BM$38,33,0)</f>
        <v>0</v>
      </c>
      <c r="Z20" s="36">
        <f>VLOOKUP($A20,[24]HISTOFEV24!$A$6:$BM$38,65,0)</f>
        <v>0</v>
      </c>
      <c r="AA20" s="36"/>
      <c r="AB20" s="36">
        <f>VLOOKUP($A20,[24]HISTOFEV24!$A$6:$AU$38,43,0)</f>
        <v>0</v>
      </c>
      <c r="AC20" s="36">
        <f>VLOOKUP($A20,[24]HISTOFEV24!$A$6:$AU$38,44,0)</f>
        <v>0</v>
      </c>
      <c r="AD20" s="36">
        <f>VLOOKUP($A20,[24]HISTOFEV24!$A$6:$AU$38,47,0)</f>
        <v>0</v>
      </c>
      <c r="AE20" s="36">
        <f>VLOOKUP(A20,[24]HISTOFEV24!$A$6:$BB$38,54,0)</f>
        <v>0</v>
      </c>
      <c r="AF20" s="36">
        <f>VLOOKUP($A20,[24]HISTOFEV24!$A$6:$CA$38,60,0)</f>
        <v>0</v>
      </c>
      <c r="AG20" s="36">
        <f>VLOOKUP($A20,[24]HISTOFEV24!$A$6:$CA$38,61,0)</f>
        <v>0</v>
      </c>
      <c r="AH20" s="36">
        <f>VLOOKUP($A20,[24]HISTOFEV24!$A$6:$CA$38,62,0)</f>
        <v>0</v>
      </c>
      <c r="AI20" s="36">
        <f>VLOOKUP($A20,[24]HISTOFEV24!$A$6:$CA$38,63,0)</f>
        <v>0</v>
      </c>
      <c r="AJ20" s="36">
        <f>VLOOKUP($A20,[24]HISTOFEV24!$A$6:$CA$38,64,0)</f>
        <v>0</v>
      </c>
      <c r="AK20" s="36">
        <f>VLOOKUP($A20,[24]HISTOFEV24!$A$6:$CA$38,65,0)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MVTJANV24!I21-E21+L21</f>
        <v>815707.87486056716</v>
      </c>
      <c r="G21" s="5">
        <f>IF(MVTJANV24!I21+L21&gt;700000,(MVTJANV24!I21-E21+L21),0)</f>
        <v>815707.87486056716</v>
      </c>
      <c r="H21" s="36">
        <f t="shared" si="0"/>
        <v>800.24349180121339</v>
      </c>
      <c r="I21" s="6">
        <f t="shared" si="2"/>
        <v>816508.11835236836</v>
      </c>
      <c r="J21" s="36">
        <f>VLOOKUP($A21,[24]HISTOFEV24!$A$6:$AQ$42,22,0)</f>
        <v>0</v>
      </c>
      <c r="K21" s="36">
        <f>VLOOKUP($A21,[24]HISTOFEV24!$A$6:$AU$38,45,0)</f>
        <v>25000</v>
      </c>
      <c r="L21" s="36">
        <f t="shared" si="4"/>
        <v>19000</v>
      </c>
      <c r="M21" s="36">
        <f t="shared" si="5"/>
        <v>1000</v>
      </c>
      <c r="N21" s="36">
        <f t="shared" si="3"/>
        <v>1000</v>
      </c>
      <c r="O21" s="36">
        <f t="shared" si="6"/>
        <v>4000</v>
      </c>
      <c r="P21" s="36">
        <f>VLOOKUP($A21,[24]HISTOFEV24!$A$6:$AU$38,7,0)</f>
        <v>0</v>
      </c>
      <c r="Q21" s="36">
        <f>VLOOKUP($A21,[24]HISTOFEV24!$A$6:$AU$38,23,0)</f>
        <v>0</v>
      </c>
      <c r="R21" s="36">
        <f>VLOOKUP($A21,[24]HISTOFEV24!$A$6:$AU$38,46,0)</f>
        <v>0</v>
      </c>
      <c r="S21" s="36">
        <f>VLOOKUP($A21,[24]HISTOFEV24!$A$6:$AU$38,26,0)</f>
        <v>0</v>
      </c>
      <c r="T21" s="36">
        <f>VLOOKUP($A21,[24]HISTOFEV24!$A$6:$BG$38,58,0)</f>
        <v>0</v>
      </c>
      <c r="U21" s="36">
        <f>VLOOKUP($A21,[24]HISTOFEV24!$A$6:$AU$38,28,0)</f>
        <v>0</v>
      </c>
      <c r="V21" s="36">
        <f>VLOOKUP($A21,[24]HISTOFEV24!$A$6:$AU$38,19,0)</f>
        <v>0</v>
      </c>
      <c r="W21" s="36">
        <f>VLOOKUP($A21,[24]HISTOFEV24!$A$6:$AU$38,20,0)</f>
        <v>0</v>
      </c>
      <c r="X21" s="36">
        <f>VLOOKUP($A21,[24]HISTOFEV24!$A$6:$AU$38,27,0)</f>
        <v>0</v>
      </c>
      <c r="Y21" s="36">
        <f>VLOOKUP($A21,[24]HISTOFEV24!$A$6:$BM$38,33,0)</f>
        <v>0</v>
      </c>
      <c r="Z21" s="36">
        <f>VLOOKUP($A21,[24]HISTOFEV24!$A$6:$BM$38,65,0)</f>
        <v>0</v>
      </c>
      <c r="AA21" s="36"/>
      <c r="AB21" s="36">
        <f>VLOOKUP($A21,[24]HISTOFEV24!$A$6:$AU$38,43,0)</f>
        <v>0</v>
      </c>
      <c r="AC21" s="36">
        <f>VLOOKUP($A21,[24]HISTOFEV24!$A$6:$AU$38,44,0)</f>
        <v>0</v>
      </c>
      <c r="AD21" s="36">
        <f>VLOOKUP($A21,[24]HISTOFEV24!$A$6:$AU$38,47,0)</f>
        <v>0</v>
      </c>
      <c r="AE21" s="36">
        <f>VLOOKUP(A21,[24]HISTOFEV24!$A$6:$BB$38,54,0)</f>
        <v>0</v>
      </c>
      <c r="AF21" s="36">
        <f>VLOOKUP($A21,[24]HISTOFEV24!$A$6:$CA$38,60,0)</f>
        <v>0</v>
      </c>
      <c r="AG21" s="36">
        <f>VLOOKUP($A21,[24]HISTOFEV24!$A$6:$CA$38,61,0)</f>
        <v>0</v>
      </c>
      <c r="AH21" s="36">
        <f>VLOOKUP($A21,[24]HISTOFEV24!$A$6:$CA$38,62,0)</f>
        <v>0</v>
      </c>
      <c r="AI21" s="36">
        <f>VLOOKUP($A21,[24]HISTOFEV24!$A$6:$CA$38,63,0)</f>
        <v>0</v>
      </c>
      <c r="AJ21" s="36">
        <f>VLOOKUP($A21,[24]HISTOFEV24!$A$6:$CA$38,64,0)</f>
        <v>0</v>
      </c>
      <c r="AK21" s="36">
        <f>VLOOKUP($A21,[24]HISTOFEV24!$A$6:$CA$38,65,0)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MVTJANV24!I22-E22+L22</f>
        <v>783233.6834428719</v>
      </c>
      <c r="G22" s="5">
        <f>IF(MVTJANV24!I22+L22&gt;700000,(MVTJANV24!I22-E22+L22),0)</f>
        <v>783233.6834428719</v>
      </c>
      <c r="H22" s="36">
        <f t="shared" si="0"/>
        <v>768.38495379462677</v>
      </c>
      <c r="I22" s="6">
        <f t="shared" si="2"/>
        <v>784002.06839666655</v>
      </c>
      <c r="J22" s="36">
        <f>VLOOKUP($A22,[24]HISTOFEV24!$A$6:$AQ$42,22,0)</f>
        <v>0</v>
      </c>
      <c r="K22" s="36">
        <f>VLOOKUP($A22,[24]HISTOFEV24!$A$6:$AU$38,45,0)</f>
        <v>25000</v>
      </c>
      <c r="L22" s="36">
        <f t="shared" si="4"/>
        <v>19000</v>
      </c>
      <c r="M22" s="36">
        <f t="shared" si="5"/>
        <v>1000</v>
      </c>
      <c r="N22" s="36">
        <f t="shared" si="3"/>
        <v>1000</v>
      </c>
      <c r="O22" s="36">
        <f t="shared" si="6"/>
        <v>4000</v>
      </c>
      <c r="P22" s="36">
        <f>VLOOKUP($A22,[24]HISTOFEV24!$A$6:$AU$38,7,0)</f>
        <v>0</v>
      </c>
      <c r="Q22" s="36">
        <f>VLOOKUP($A22,[24]HISTOFEV24!$A$6:$AU$38,23,0)</f>
        <v>0</v>
      </c>
      <c r="R22" s="36">
        <f>VLOOKUP($A22,[24]HISTOFEV24!$A$6:$AU$38,46,0)</f>
        <v>0</v>
      </c>
      <c r="S22" s="36">
        <f>VLOOKUP($A22,[24]HISTOFEV24!$A$6:$AU$38,26,0)</f>
        <v>0</v>
      </c>
      <c r="T22" s="36">
        <f>VLOOKUP($A22,[24]HISTOFEV24!$A$6:$BG$38,58,0)</f>
        <v>0</v>
      </c>
      <c r="U22" s="36">
        <f>VLOOKUP($A22,[24]HISTOFEV24!$A$6:$AU$38,28,0)</f>
        <v>0</v>
      </c>
      <c r="V22" s="36">
        <f>VLOOKUP($A22,[24]HISTOFEV24!$A$6:$AU$38,19,0)</f>
        <v>0</v>
      </c>
      <c r="W22" s="36">
        <f>VLOOKUP($A22,[24]HISTOFEV24!$A$6:$AU$38,20,0)</f>
        <v>0</v>
      </c>
      <c r="X22" s="36">
        <f>VLOOKUP($A22,[24]HISTOFEV24!$A$6:$AU$38,27,0)</f>
        <v>0</v>
      </c>
      <c r="Y22" s="36">
        <f>VLOOKUP($A22,[24]HISTOFEV24!$A$6:$BM$38,33,0)</f>
        <v>0</v>
      </c>
      <c r="Z22" s="36">
        <f>VLOOKUP($A22,[24]HISTOFEV24!$A$6:$BM$38,65,0)</f>
        <v>0</v>
      </c>
      <c r="AA22" s="36"/>
      <c r="AB22" s="36">
        <f>VLOOKUP($A22,[24]HISTOFEV24!$A$6:$AU$38,43,0)</f>
        <v>0</v>
      </c>
      <c r="AC22" s="36">
        <f>VLOOKUP($A22,[24]HISTOFEV24!$A$6:$AU$38,44,0)</f>
        <v>0</v>
      </c>
      <c r="AD22" s="36">
        <f>VLOOKUP($A22,[24]HISTOFEV24!$A$6:$AU$38,47,0)</f>
        <v>0</v>
      </c>
      <c r="AE22" s="36">
        <f>VLOOKUP(A22,[24]HISTOFEV24!$A$6:$BB$38,54,0)</f>
        <v>0</v>
      </c>
      <c r="AF22" s="36">
        <f>VLOOKUP($A22,[24]HISTOFEV24!$A$6:$CA$38,60,0)</f>
        <v>0</v>
      </c>
      <c r="AG22" s="36">
        <f>VLOOKUP($A22,[24]HISTOFEV24!$A$6:$CA$38,61,0)</f>
        <v>0</v>
      </c>
      <c r="AH22" s="36">
        <f>VLOOKUP($A22,[24]HISTOFEV24!$A$6:$CA$38,62,0)</f>
        <v>0</v>
      </c>
      <c r="AI22" s="36">
        <f>VLOOKUP($A22,[24]HISTOFEV24!$A$6:$CA$38,63,0)</f>
        <v>0</v>
      </c>
      <c r="AJ22" s="36">
        <f>VLOOKUP($A22,[24]HISTOFEV24!$A$6:$CA$38,64,0)</f>
        <v>0</v>
      </c>
      <c r="AK22" s="36">
        <f>VLOOKUP($A22,[24]HISTOFEV24!$A$6:$CA$38,65,0)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MVTJANV24!I23-E23+L23</f>
        <v>888705.74049669621</v>
      </c>
      <c r="G23" s="5">
        <f>IF(MVTJANV24!I23+L23&gt;700000,(MVTJANV24!I23-E23+L23),0)</f>
        <v>888705.74049669621</v>
      </c>
      <c r="H23" s="36">
        <f t="shared" si="0"/>
        <v>871.85744661399133</v>
      </c>
      <c r="I23" s="6">
        <f t="shared" si="2"/>
        <v>889577.59794331016</v>
      </c>
      <c r="J23" s="36">
        <f>VLOOKUP($A23,[24]HISTOFEV24!$A$6:$AQ$42,22,0)</f>
        <v>0</v>
      </c>
      <c r="K23" s="36">
        <f>VLOOKUP($A23,[24]HISTOFEV24!$A$6:$AU$38,45,0)</f>
        <v>25000</v>
      </c>
      <c r="L23" s="36">
        <f t="shared" si="4"/>
        <v>19000</v>
      </c>
      <c r="M23" s="36">
        <f t="shared" si="5"/>
        <v>1000</v>
      </c>
      <c r="N23" s="36">
        <f t="shared" si="3"/>
        <v>1000</v>
      </c>
      <c r="O23" s="36">
        <f t="shared" si="6"/>
        <v>4000</v>
      </c>
      <c r="P23" s="36">
        <f>VLOOKUP($A23,[24]HISTOFEV24!$A$6:$AU$38,7,0)</f>
        <v>0</v>
      </c>
      <c r="Q23" s="36">
        <f>VLOOKUP($A23,[24]HISTOFEV24!$A$6:$AU$38,23,0)</f>
        <v>0</v>
      </c>
      <c r="R23" s="36">
        <f>VLOOKUP($A23,[24]HISTOFEV24!$A$6:$AU$38,46,0)</f>
        <v>0</v>
      </c>
      <c r="S23" s="36">
        <f>VLOOKUP($A23,[24]HISTOFEV24!$A$6:$AU$38,26,0)</f>
        <v>0</v>
      </c>
      <c r="T23" s="36">
        <f>VLOOKUP($A23,[24]HISTOFEV24!$A$6:$BG$38,58,0)</f>
        <v>0</v>
      </c>
      <c r="U23" s="36">
        <f>VLOOKUP($A23,[24]HISTOFEV24!$A$6:$AU$38,28,0)</f>
        <v>0</v>
      </c>
      <c r="V23" s="36">
        <f>VLOOKUP($A23,[24]HISTOFEV24!$A$6:$AU$38,19,0)</f>
        <v>0</v>
      </c>
      <c r="W23" s="36">
        <f>VLOOKUP($A23,[24]HISTOFEV24!$A$6:$AU$38,20,0)</f>
        <v>0</v>
      </c>
      <c r="X23" s="36">
        <f>VLOOKUP($A23,[24]HISTOFEV24!$A$6:$AU$38,27,0)</f>
        <v>0</v>
      </c>
      <c r="Y23" s="36">
        <f>VLOOKUP($A23,[24]HISTOFEV24!$A$6:$BM$38,33,0)</f>
        <v>0</v>
      </c>
      <c r="Z23" s="36">
        <f>VLOOKUP($A23,[24]HISTOFEV24!$A$6:$BM$38,65,0)</f>
        <v>0</v>
      </c>
      <c r="AA23" s="36"/>
      <c r="AB23" s="36">
        <f>VLOOKUP($A23,[24]HISTOFEV24!$A$6:$AU$38,43,0)</f>
        <v>0</v>
      </c>
      <c r="AC23" s="36">
        <f>VLOOKUP($A23,[24]HISTOFEV24!$A$6:$AU$38,44,0)</f>
        <v>0</v>
      </c>
      <c r="AD23" s="36">
        <f>VLOOKUP($A23,[24]HISTOFEV24!$A$6:$AU$38,47,0)</f>
        <v>0</v>
      </c>
      <c r="AE23" s="36">
        <f>VLOOKUP(A23,[24]HISTOFEV24!$A$6:$BB$38,54,0)</f>
        <v>0</v>
      </c>
      <c r="AF23" s="36">
        <f>VLOOKUP($A23,[24]HISTOFEV24!$A$6:$CA$38,60,0)</f>
        <v>0</v>
      </c>
      <c r="AG23" s="36">
        <f>VLOOKUP($A23,[24]HISTOFEV24!$A$6:$CA$38,61,0)</f>
        <v>0</v>
      </c>
      <c r="AH23" s="36">
        <f>VLOOKUP($A23,[24]HISTOFEV24!$A$6:$CA$38,62,0)</f>
        <v>0</v>
      </c>
      <c r="AI23" s="36">
        <f>VLOOKUP($A23,[24]HISTOFEV24!$A$6:$CA$38,63,0)</f>
        <v>0</v>
      </c>
      <c r="AJ23" s="36">
        <f>VLOOKUP($A23,[24]HISTOFEV24!$A$6:$CA$38,64,0)</f>
        <v>0</v>
      </c>
      <c r="AK23" s="36">
        <f>VLOOKUP($A23,[24]HISTOFEV24!$A$6:$CA$38,65,0)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MVTJANV24!I24-E24+L24</f>
        <v>1041155.5092580948</v>
      </c>
      <c r="G24" s="5">
        <f>IF(MVTJANV24!I24+L24&gt;700000,(MVTJANV24!I24-E24+L24),0)</f>
        <v>1041155.5092580948</v>
      </c>
      <c r="H24" s="36">
        <f t="shared" si="0"/>
        <v>1021.4170365575881</v>
      </c>
      <c r="I24" s="6">
        <f t="shared" si="2"/>
        <v>1042176.9262946524</v>
      </c>
      <c r="J24" s="36">
        <f>VLOOKUP($A24,[24]HISTOFEV24!$A$6:$AQ$42,22,0)</f>
        <v>0</v>
      </c>
      <c r="K24" s="36">
        <f>VLOOKUP($A24,[24]HISTOFEV24!$A$6:$AU$38,45,0)</f>
        <v>35000</v>
      </c>
      <c r="L24" s="36">
        <f t="shared" si="4"/>
        <v>29000</v>
      </c>
      <c r="M24" s="36">
        <f t="shared" si="5"/>
        <v>1000</v>
      </c>
      <c r="N24" s="36">
        <f t="shared" si="3"/>
        <v>1000</v>
      </c>
      <c r="O24" s="36">
        <f t="shared" si="6"/>
        <v>4000</v>
      </c>
      <c r="P24" s="36">
        <f>VLOOKUP($A24,[24]HISTOFEV24!$A$6:$AU$38,7,0)</f>
        <v>0</v>
      </c>
      <c r="Q24" s="36">
        <f>VLOOKUP($A24,[24]HISTOFEV24!$A$6:$AU$38,23,0)</f>
        <v>0</v>
      </c>
      <c r="R24" s="36">
        <f>VLOOKUP($A24,[24]HISTOFEV24!$A$6:$AU$38,46,0)</f>
        <v>0</v>
      </c>
      <c r="S24" s="36">
        <f>VLOOKUP($A24,[24]HISTOFEV24!$A$6:$AU$38,26,0)</f>
        <v>0</v>
      </c>
      <c r="T24" s="36">
        <f>VLOOKUP($A24,[24]HISTOFEV24!$A$6:$BG$38,58,0)</f>
        <v>0</v>
      </c>
      <c r="U24" s="36">
        <f>VLOOKUP($A24,[24]HISTOFEV24!$A$6:$AU$38,28,0)</f>
        <v>0</v>
      </c>
      <c r="V24" s="36">
        <f>VLOOKUP($A24,[24]HISTOFEV24!$A$6:$AU$38,19,0)</f>
        <v>0</v>
      </c>
      <c r="W24" s="36">
        <f>VLOOKUP($A24,[24]HISTOFEV24!$A$6:$AU$38,20,0)</f>
        <v>0</v>
      </c>
      <c r="X24" s="36">
        <f>VLOOKUP($A24,[24]HISTOFEV24!$A$6:$AU$38,27,0)</f>
        <v>0</v>
      </c>
      <c r="Y24" s="36">
        <f>VLOOKUP($A24,[24]HISTOFEV24!$A$6:$BM$38,33,0)</f>
        <v>0</v>
      </c>
      <c r="Z24" s="36">
        <f>VLOOKUP($A24,[24]HISTOFEV24!$A$6:$BM$38,65,0)</f>
        <v>0</v>
      </c>
      <c r="AA24" s="36"/>
      <c r="AB24" s="36">
        <f>VLOOKUP($A24,[24]HISTOFEV24!$A$6:$AU$38,43,0)</f>
        <v>0</v>
      </c>
      <c r="AC24" s="36">
        <f>VLOOKUP($A24,[24]HISTOFEV24!$A$6:$AU$38,44,0)</f>
        <v>0</v>
      </c>
      <c r="AD24" s="36">
        <f>VLOOKUP($A24,[24]HISTOFEV24!$A$6:$AU$38,47,0)</f>
        <v>0</v>
      </c>
      <c r="AE24" s="36">
        <f>VLOOKUP(A24,[24]HISTOFEV24!$A$6:$BB$38,54,0)</f>
        <v>0</v>
      </c>
      <c r="AF24" s="36">
        <f>VLOOKUP($A24,[24]HISTOFEV24!$A$6:$CA$38,60,0)</f>
        <v>0</v>
      </c>
      <c r="AG24" s="36">
        <f>VLOOKUP($A24,[24]HISTOFEV24!$A$6:$CA$38,61,0)</f>
        <v>0</v>
      </c>
      <c r="AH24" s="36">
        <f>VLOOKUP($A24,[24]HISTOFEV24!$A$6:$CA$38,62,0)</f>
        <v>0</v>
      </c>
      <c r="AI24" s="36">
        <f>VLOOKUP($A24,[24]HISTOFEV24!$A$6:$CA$38,63,0)</f>
        <v>0</v>
      </c>
      <c r="AJ24" s="36">
        <f>VLOOKUP($A24,[24]HISTOFEV24!$A$6:$CA$38,64,0)</f>
        <v>0</v>
      </c>
      <c r="AK24" s="36">
        <f>VLOOKUP($A24,[24]HISTOFEV24!$A$6:$CA$38,65,0)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MVTJANV24!I25-E25+L25</f>
        <v>858255.84355565673</v>
      </c>
      <c r="G25" s="5">
        <f>IF(MVTJANV24!I25+L25&gt;700000,(MVTJANV24!I25-E25+L25),0)</f>
        <v>858255.84355565673</v>
      </c>
      <c r="H25" s="36">
        <f t="shared" si="0"/>
        <v>841.98482602999889</v>
      </c>
      <c r="I25" s="6">
        <f t="shared" si="2"/>
        <v>859097.8283816867</v>
      </c>
      <c r="J25" s="36">
        <f>VLOOKUP($A25,[24]HISTOFEV24!$A$6:$AQ$42,22,0)</f>
        <v>0</v>
      </c>
      <c r="K25" s="36">
        <f>VLOOKUP($A25,[24]HISTOFEV24!$A$6:$AU$38,45,0)</f>
        <v>40000</v>
      </c>
      <c r="L25" s="36">
        <f t="shared" si="4"/>
        <v>34000</v>
      </c>
      <c r="M25" s="36">
        <f t="shared" si="5"/>
        <v>1000</v>
      </c>
      <c r="N25" s="36">
        <f t="shared" si="3"/>
        <v>1000</v>
      </c>
      <c r="O25" s="36">
        <f t="shared" si="6"/>
        <v>4000</v>
      </c>
      <c r="P25" s="36">
        <f>VLOOKUP($A25,[24]HISTOFEV24!$A$6:$AU$38,7,0)</f>
        <v>0</v>
      </c>
      <c r="Q25" s="36">
        <f>VLOOKUP($A25,[24]HISTOFEV24!$A$6:$AU$38,23,0)</f>
        <v>0</v>
      </c>
      <c r="R25" s="36">
        <f>VLOOKUP($A25,[24]HISTOFEV24!$A$6:$AU$38,46,0)</f>
        <v>0</v>
      </c>
      <c r="S25" s="36">
        <f>VLOOKUP($A25,[24]HISTOFEV24!$A$6:$AU$38,26,0)</f>
        <v>0</v>
      </c>
      <c r="T25" s="36">
        <f>VLOOKUP($A25,[24]HISTOFEV24!$A$6:$BG$38,58,0)</f>
        <v>0</v>
      </c>
      <c r="U25" s="36">
        <f>VLOOKUP($A25,[24]HISTOFEV24!$A$6:$AU$38,28,0)</f>
        <v>0</v>
      </c>
      <c r="V25" s="36">
        <f>VLOOKUP($A25,[24]HISTOFEV24!$A$6:$AU$38,19,0)</f>
        <v>0</v>
      </c>
      <c r="W25" s="36">
        <f>VLOOKUP($A25,[24]HISTOFEV24!$A$6:$AU$38,20,0)</f>
        <v>0</v>
      </c>
      <c r="X25" s="36">
        <f>VLOOKUP($A25,[24]HISTOFEV24!$A$6:$AU$38,27,0)</f>
        <v>0</v>
      </c>
      <c r="Y25" s="36">
        <f>VLOOKUP($A25,[24]HISTOFEV24!$A$6:$BM$38,33,0)</f>
        <v>0</v>
      </c>
      <c r="Z25" s="36">
        <f>VLOOKUP($A25,[24]HISTOFEV24!$A$6:$BM$38,65,0)</f>
        <v>0</v>
      </c>
      <c r="AA25" s="36"/>
      <c r="AB25" s="36">
        <f>VLOOKUP($A25,[24]HISTOFEV24!$A$6:$AU$38,43,0)</f>
        <v>0</v>
      </c>
      <c r="AC25" s="36">
        <f>VLOOKUP($A25,[24]HISTOFEV24!$A$6:$AU$38,44,0)</f>
        <v>0</v>
      </c>
      <c r="AD25" s="36">
        <f>VLOOKUP($A25,[24]HISTOFEV24!$A$6:$AU$38,47,0)</f>
        <v>0</v>
      </c>
      <c r="AE25" s="36">
        <f>VLOOKUP(A25,[24]HISTOFEV24!$A$6:$BB$38,54,0)</f>
        <v>0</v>
      </c>
      <c r="AF25" s="36">
        <f>VLOOKUP($A25,[24]HISTOFEV24!$A$6:$CA$38,60,0)</f>
        <v>0</v>
      </c>
      <c r="AG25" s="36">
        <f>VLOOKUP($A25,[24]HISTOFEV24!$A$6:$CA$38,61,0)</f>
        <v>0</v>
      </c>
      <c r="AH25" s="36">
        <f>VLOOKUP($A25,[24]HISTOFEV24!$A$6:$CA$38,62,0)</f>
        <v>0</v>
      </c>
      <c r="AI25" s="36">
        <f>VLOOKUP($A25,[24]HISTOFEV24!$A$6:$CA$38,63,0)</f>
        <v>0</v>
      </c>
      <c r="AJ25" s="36">
        <f>VLOOKUP($A25,[24]HISTOFEV24!$A$6:$CA$38,64,0)</f>
        <v>0</v>
      </c>
      <c r="AK25" s="36">
        <f>VLOOKUP($A25,[24]HISTOFEV24!$A$6:$CA$38,65,0)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MVTJANV24!I26-E26+L26</f>
        <v>803671.41503612848</v>
      </c>
      <c r="G26" s="5">
        <f>IF(MVTJANV24!I26+L26&gt;700000,(MVTJANV24!I26-E26+L26),0)</f>
        <v>803671.41503612848</v>
      </c>
      <c r="H26" s="36">
        <f t="shared" si="0"/>
        <v>788.43522203248006</v>
      </c>
      <c r="I26" s="6">
        <f t="shared" si="2"/>
        <v>804459.85025816096</v>
      </c>
      <c r="J26" s="36">
        <f>VLOOKUP($A26,[24]HISTOFEV24!$A$6:$AQ$42,22,0)</f>
        <v>0</v>
      </c>
      <c r="K26" s="36">
        <f>VLOOKUP($A26,[24]HISTOFEV24!$A$6:$AU$38,45,0)</f>
        <v>25000</v>
      </c>
      <c r="L26" s="36">
        <f t="shared" si="4"/>
        <v>19000</v>
      </c>
      <c r="M26" s="36">
        <f t="shared" si="5"/>
        <v>1000</v>
      </c>
      <c r="N26" s="36">
        <f t="shared" si="3"/>
        <v>1000</v>
      </c>
      <c r="O26" s="36">
        <f t="shared" si="6"/>
        <v>4000</v>
      </c>
      <c r="P26" s="36">
        <f>VLOOKUP($A26,[24]HISTOFEV24!$A$6:$AU$38,7,0)</f>
        <v>0</v>
      </c>
      <c r="Q26" s="36">
        <f>VLOOKUP($A26,[24]HISTOFEV24!$A$6:$AU$38,23,0)</f>
        <v>0</v>
      </c>
      <c r="R26" s="36">
        <f>VLOOKUP($A26,[24]HISTOFEV24!$A$6:$AU$38,46,0)</f>
        <v>0</v>
      </c>
      <c r="S26" s="36">
        <f>VLOOKUP($A26,[24]HISTOFEV24!$A$6:$AU$38,26,0)</f>
        <v>0</v>
      </c>
      <c r="T26" s="36">
        <f>VLOOKUP($A26,[24]HISTOFEV24!$A$6:$BG$38,58,0)</f>
        <v>0</v>
      </c>
      <c r="U26" s="36">
        <f>VLOOKUP($A26,[24]HISTOFEV24!$A$6:$AU$38,28,0)</f>
        <v>0</v>
      </c>
      <c r="V26" s="36">
        <f>VLOOKUP($A26,[24]HISTOFEV24!$A$6:$AU$38,19,0)</f>
        <v>0</v>
      </c>
      <c r="W26" s="36">
        <f>VLOOKUP($A26,[24]HISTOFEV24!$A$6:$AU$38,20,0)</f>
        <v>0</v>
      </c>
      <c r="X26" s="36">
        <f>VLOOKUP($A26,[24]HISTOFEV24!$A$6:$AU$38,27,0)</f>
        <v>0</v>
      </c>
      <c r="Y26" s="36">
        <f>VLOOKUP($A26,[24]HISTOFEV24!$A$6:$BM$38,33,0)</f>
        <v>0</v>
      </c>
      <c r="Z26" s="36">
        <f>VLOOKUP($A26,[24]HISTOFEV24!$A$6:$BM$38,65,0)</f>
        <v>0</v>
      </c>
      <c r="AA26" s="36"/>
      <c r="AB26" s="36">
        <f>VLOOKUP($A26,[24]HISTOFEV24!$A$6:$AU$38,43,0)</f>
        <v>0</v>
      </c>
      <c r="AC26" s="36">
        <f>VLOOKUP($A26,[24]HISTOFEV24!$A$6:$AU$38,44,0)</f>
        <v>0</v>
      </c>
      <c r="AD26" s="36">
        <f>VLOOKUP($A26,[24]HISTOFEV24!$A$6:$AU$38,47,0)</f>
        <v>0</v>
      </c>
      <c r="AE26" s="36">
        <f>VLOOKUP(A26,[24]HISTOFEV24!$A$6:$BB$38,54,0)</f>
        <v>0</v>
      </c>
      <c r="AF26" s="36">
        <f>VLOOKUP($A26,[24]HISTOFEV24!$A$6:$CA$38,60,0)</f>
        <v>0</v>
      </c>
      <c r="AG26" s="36">
        <f>VLOOKUP($A26,[24]HISTOFEV24!$A$6:$CA$38,61,0)</f>
        <v>0</v>
      </c>
      <c r="AH26" s="36">
        <f>VLOOKUP($A26,[24]HISTOFEV24!$A$6:$CA$38,62,0)</f>
        <v>0</v>
      </c>
      <c r="AI26" s="36">
        <f>VLOOKUP($A26,[24]HISTOFEV24!$A$6:$CA$38,63,0)</f>
        <v>0</v>
      </c>
      <c r="AJ26" s="36">
        <f>VLOOKUP($A26,[24]HISTOFEV24!$A$6:$CA$38,64,0)</f>
        <v>0</v>
      </c>
      <c r="AK26" s="36">
        <f>VLOOKUP($A26,[24]HISTOFEV24!$A$6:$CA$38,65,0)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MVTJANV24!I27-E27+L27</f>
        <v>802235.42848736281</v>
      </c>
      <c r="G27" s="5">
        <f>IF(MVTJANV24!I27+L27&gt;700000,(MVTJANV24!I27-E27+L27),0)</f>
        <v>802235.42848736281</v>
      </c>
      <c r="H27" s="36">
        <f t="shared" si="0"/>
        <v>787.02645925676177</v>
      </c>
      <c r="I27" s="6">
        <f t="shared" si="2"/>
        <v>803022.45494661957</v>
      </c>
      <c r="J27" s="36">
        <f>VLOOKUP($A27,[24]HISTOFEV24!$A$6:$AQ$42,22,0)</f>
        <v>0</v>
      </c>
      <c r="K27" s="36">
        <f>VLOOKUP($A27,[24]HISTOFEV24!$A$6:$AU$38,45,0)</f>
        <v>25000</v>
      </c>
      <c r="L27" s="36">
        <f t="shared" si="4"/>
        <v>19000</v>
      </c>
      <c r="M27" s="36">
        <f t="shared" si="5"/>
        <v>1000</v>
      </c>
      <c r="N27" s="36">
        <f t="shared" si="3"/>
        <v>1000</v>
      </c>
      <c r="O27" s="36">
        <f t="shared" si="6"/>
        <v>4000</v>
      </c>
      <c r="P27" s="36">
        <f>VLOOKUP($A27,[24]HISTOFEV24!$A$6:$AU$38,7,0)</f>
        <v>0</v>
      </c>
      <c r="Q27" s="36">
        <f>VLOOKUP($A27,[24]HISTOFEV24!$A$6:$AU$38,23,0)</f>
        <v>0</v>
      </c>
      <c r="R27" s="36">
        <f>VLOOKUP($A27,[24]HISTOFEV24!$A$6:$AU$38,46,0)</f>
        <v>0</v>
      </c>
      <c r="S27" s="36">
        <f>VLOOKUP($A27,[24]HISTOFEV24!$A$6:$AU$38,26,0)</f>
        <v>0</v>
      </c>
      <c r="T27" s="36">
        <f>VLOOKUP($A27,[24]HISTOFEV24!$A$6:$BG$38,58,0)</f>
        <v>0</v>
      </c>
      <c r="U27" s="36">
        <f>VLOOKUP($A27,[24]HISTOFEV24!$A$6:$AU$38,28,0)</f>
        <v>0</v>
      </c>
      <c r="V27" s="36">
        <f>VLOOKUP($A27,[24]HISTOFEV24!$A$6:$AU$38,19,0)</f>
        <v>0</v>
      </c>
      <c r="W27" s="36">
        <f>VLOOKUP($A27,[24]HISTOFEV24!$A$6:$AU$38,20,0)</f>
        <v>0</v>
      </c>
      <c r="X27" s="36">
        <f>VLOOKUP($A27,[24]HISTOFEV24!$A$6:$AU$38,27,0)</f>
        <v>0</v>
      </c>
      <c r="Y27" s="36">
        <f>VLOOKUP($A27,[24]HISTOFEV24!$A$6:$BM$38,33,0)</f>
        <v>0</v>
      </c>
      <c r="Z27" s="36">
        <f>VLOOKUP($A27,[24]HISTOFEV24!$A$6:$BM$38,65,0)</f>
        <v>0</v>
      </c>
      <c r="AA27" s="36"/>
      <c r="AB27" s="36">
        <f>VLOOKUP($A27,[24]HISTOFEV24!$A$6:$AU$38,43,0)</f>
        <v>0</v>
      </c>
      <c r="AC27" s="36">
        <f>VLOOKUP($A27,[24]HISTOFEV24!$A$6:$AU$38,44,0)</f>
        <v>0</v>
      </c>
      <c r="AD27" s="36">
        <f>VLOOKUP($A27,[24]HISTOFEV24!$A$6:$AU$38,47,0)</f>
        <v>0</v>
      </c>
      <c r="AE27" s="36">
        <f>VLOOKUP(A27,[24]HISTOFEV24!$A$6:$BB$38,54,0)</f>
        <v>0</v>
      </c>
      <c r="AF27" s="36">
        <f>VLOOKUP($A27,[24]HISTOFEV24!$A$6:$CA$38,60,0)</f>
        <v>0</v>
      </c>
      <c r="AG27" s="36">
        <f>VLOOKUP($A27,[24]HISTOFEV24!$A$6:$CA$38,61,0)</f>
        <v>0</v>
      </c>
      <c r="AH27" s="36">
        <f>VLOOKUP($A27,[24]HISTOFEV24!$A$6:$CA$38,62,0)</f>
        <v>0</v>
      </c>
      <c r="AI27" s="36">
        <f>VLOOKUP($A27,[24]HISTOFEV24!$A$6:$CA$38,63,0)</f>
        <v>0</v>
      </c>
      <c r="AJ27" s="36">
        <f>VLOOKUP($A27,[24]HISTOFEV24!$A$6:$CA$38,64,0)</f>
        <v>0</v>
      </c>
      <c r="AK27" s="36">
        <f>VLOOKUP($A27,[24]HISTOFEV24!$A$6:$CA$38,65,0)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MVTJANV24!I28-E28+L28</f>
        <v>704018.81693285913</v>
      </c>
      <c r="G28" s="5">
        <f>IF(MVTJANV24!I28+L28&gt;700000,(MVTJANV24!I28-E28+L28),0)</f>
        <v>704018.81693285913</v>
      </c>
      <c r="H28" s="36">
        <f t="shared" si="0"/>
        <v>690.67186148277995</v>
      </c>
      <c r="I28" s="6">
        <f t="shared" si="2"/>
        <v>704709.48879434192</v>
      </c>
      <c r="J28" s="36">
        <f>VLOOKUP($A28,[24]HISTOFEV24!$A$6:$AQ$42,22,0)</f>
        <v>0</v>
      </c>
      <c r="K28" s="36">
        <f>VLOOKUP($A28,[24]HISTOFEV24!$A$6:$AU$38,45,0)</f>
        <v>25000</v>
      </c>
      <c r="L28" s="36">
        <f t="shared" si="4"/>
        <v>19000</v>
      </c>
      <c r="M28" s="36">
        <f t="shared" si="5"/>
        <v>1000</v>
      </c>
      <c r="N28" s="36">
        <f t="shared" si="3"/>
        <v>1000</v>
      </c>
      <c r="O28" s="36">
        <f t="shared" si="6"/>
        <v>4000</v>
      </c>
      <c r="P28" s="36">
        <f>VLOOKUP($A28,[24]HISTOFEV24!$A$6:$AU$38,7,0)</f>
        <v>0</v>
      </c>
      <c r="Q28" s="36">
        <f>VLOOKUP($A28,[24]HISTOFEV24!$A$6:$AU$38,23,0)</f>
        <v>0</v>
      </c>
      <c r="R28" s="36">
        <f>VLOOKUP($A28,[24]HISTOFEV24!$A$6:$AU$38,46,0)</f>
        <v>0</v>
      </c>
      <c r="S28" s="36">
        <f>VLOOKUP($A28,[24]HISTOFEV24!$A$6:$AU$38,26,0)</f>
        <v>0</v>
      </c>
      <c r="T28" s="36">
        <f>VLOOKUP($A28,[24]HISTOFEV24!$A$6:$BG$38,58,0)</f>
        <v>0</v>
      </c>
      <c r="U28" s="36">
        <f>VLOOKUP($A28,[24]HISTOFEV24!$A$6:$AU$38,28,0)</f>
        <v>0</v>
      </c>
      <c r="V28" s="36">
        <f>VLOOKUP($A28,[24]HISTOFEV24!$A$6:$AU$38,19,0)</f>
        <v>0</v>
      </c>
      <c r="W28" s="36">
        <f>VLOOKUP($A28,[24]HISTOFEV24!$A$6:$AU$38,20,0)</f>
        <v>0</v>
      </c>
      <c r="X28" s="36">
        <f>VLOOKUP($A28,[24]HISTOFEV24!$A$6:$AU$38,27,0)</f>
        <v>0</v>
      </c>
      <c r="Y28" s="36">
        <f>VLOOKUP($A28,[24]HISTOFEV24!$A$6:$BM$38,33,0)</f>
        <v>0</v>
      </c>
      <c r="Z28" s="36">
        <f>VLOOKUP($A28,[24]HISTOFEV24!$A$6:$BM$38,65,0)</f>
        <v>0</v>
      </c>
      <c r="AA28" s="36"/>
      <c r="AB28" s="36">
        <f>VLOOKUP($A28,[24]HISTOFEV24!$A$6:$AU$38,43,0)</f>
        <v>0</v>
      </c>
      <c r="AC28" s="36">
        <f>VLOOKUP($A28,[24]HISTOFEV24!$A$6:$AU$38,44,0)</f>
        <v>0</v>
      </c>
      <c r="AD28" s="36">
        <f>VLOOKUP($A28,[24]HISTOFEV24!$A$6:$AU$38,47,0)</f>
        <v>0</v>
      </c>
      <c r="AE28" s="36">
        <f>VLOOKUP(A28,[24]HISTOFEV24!$A$6:$BB$38,54,0)</f>
        <v>0</v>
      </c>
      <c r="AF28" s="36">
        <f>VLOOKUP($A28,[24]HISTOFEV24!$A$6:$CA$38,60,0)</f>
        <v>0</v>
      </c>
      <c r="AG28" s="36">
        <f>VLOOKUP($A28,[24]HISTOFEV24!$A$6:$CA$38,61,0)</f>
        <v>0</v>
      </c>
      <c r="AH28" s="36">
        <f>VLOOKUP($A28,[24]HISTOFEV24!$A$6:$CA$38,62,0)</f>
        <v>0</v>
      </c>
      <c r="AI28" s="36">
        <f>VLOOKUP($A28,[24]HISTOFEV24!$A$6:$CA$38,63,0)</f>
        <v>0</v>
      </c>
      <c r="AJ28" s="36">
        <f>VLOOKUP($A28,[24]HISTOFEV24!$A$6:$CA$38,64,0)</f>
        <v>0</v>
      </c>
      <c r="AK28" s="36">
        <f>VLOOKUP($A28,[24]HISTOFEV24!$A$6:$CA$38,65,0)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MVTJANV24!I29-E29+L29</f>
        <v>828447.45718590368</v>
      </c>
      <c r="G29" s="5">
        <f>IF(MVTJANV24!I29+L29&gt;700000,(MVTJANV24!I29-E29+L29),0)</f>
        <v>828447.45718590368</v>
      </c>
      <c r="H29" s="36">
        <f t="shared" si="0"/>
        <v>812.74155410796629</v>
      </c>
      <c r="I29" s="6">
        <f t="shared" si="2"/>
        <v>829260.19874001166</v>
      </c>
      <c r="J29" s="36">
        <f>VLOOKUP($A29,[24]HISTOFEV24!$A$6:$AQ$42,22,0)</f>
        <v>0</v>
      </c>
      <c r="K29" s="36">
        <f>VLOOKUP($A29,[24]HISTOFEV24!$A$6:$AU$38,45,0)</f>
        <v>25000</v>
      </c>
      <c r="L29" s="36">
        <f t="shared" si="4"/>
        <v>19000</v>
      </c>
      <c r="M29" s="36">
        <f t="shared" si="5"/>
        <v>1000</v>
      </c>
      <c r="N29" s="36">
        <f t="shared" si="3"/>
        <v>1000</v>
      </c>
      <c r="O29" s="36">
        <f t="shared" si="6"/>
        <v>4000</v>
      </c>
      <c r="P29" s="36">
        <f>VLOOKUP($A29,[24]HISTOFEV24!$A$6:$AU$38,7,0)</f>
        <v>0</v>
      </c>
      <c r="Q29" s="36">
        <f>VLOOKUP($A29,[24]HISTOFEV24!$A$6:$AU$38,23,0)</f>
        <v>0</v>
      </c>
      <c r="R29" s="36">
        <f>VLOOKUP($A29,[24]HISTOFEV24!$A$6:$AU$38,46,0)</f>
        <v>0</v>
      </c>
      <c r="S29" s="36">
        <f>VLOOKUP($A29,[24]HISTOFEV24!$A$6:$AU$38,26,0)</f>
        <v>0</v>
      </c>
      <c r="T29" s="36">
        <f>VLOOKUP($A29,[24]HISTOFEV24!$A$6:$BG$38,58,0)</f>
        <v>0</v>
      </c>
      <c r="U29" s="36">
        <f>VLOOKUP($A29,[24]HISTOFEV24!$A$6:$AU$38,28,0)</f>
        <v>0</v>
      </c>
      <c r="V29" s="36">
        <f>VLOOKUP($A29,[24]HISTOFEV24!$A$6:$AU$38,19,0)</f>
        <v>0</v>
      </c>
      <c r="W29" s="36">
        <f>VLOOKUP($A29,[24]HISTOFEV24!$A$6:$AU$38,20,0)</f>
        <v>0</v>
      </c>
      <c r="X29" s="36">
        <f>VLOOKUP($A29,[24]HISTOFEV24!$A$6:$AU$38,27,0)</f>
        <v>0</v>
      </c>
      <c r="Y29" s="36">
        <f>VLOOKUP($A29,[24]HISTOFEV24!$A$6:$BM$38,33,0)</f>
        <v>0</v>
      </c>
      <c r="Z29" s="36">
        <f>VLOOKUP($A29,[24]HISTOFEV24!$A$6:$BM$38,65,0)</f>
        <v>0</v>
      </c>
      <c r="AA29" s="36"/>
      <c r="AB29" s="36">
        <f>VLOOKUP($A29,[24]HISTOFEV24!$A$6:$AU$38,43,0)</f>
        <v>0</v>
      </c>
      <c r="AC29" s="36">
        <f>VLOOKUP($A29,[24]HISTOFEV24!$A$6:$AU$38,44,0)</f>
        <v>0</v>
      </c>
      <c r="AD29" s="36">
        <f>VLOOKUP($A29,[24]HISTOFEV24!$A$6:$AU$38,47,0)</f>
        <v>0</v>
      </c>
      <c r="AE29" s="36">
        <f>VLOOKUP(A29,[24]HISTOFEV24!$A$6:$BB$38,54,0)</f>
        <v>0</v>
      </c>
      <c r="AF29" s="36">
        <f>VLOOKUP($A29,[24]HISTOFEV24!$A$6:$CA$38,60,0)</f>
        <v>0</v>
      </c>
      <c r="AG29" s="36">
        <f>VLOOKUP($A29,[24]HISTOFEV24!$A$6:$CA$38,61,0)</f>
        <v>0</v>
      </c>
      <c r="AH29" s="36">
        <f>VLOOKUP($A29,[24]HISTOFEV24!$A$6:$CA$38,62,0)</f>
        <v>0</v>
      </c>
      <c r="AI29" s="36">
        <f>VLOOKUP($A29,[24]HISTOFEV24!$A$6:$CA$38,63,0)</f>
        <v>0</v>
      </c>
      <c r="AJ29" s="36">
        <f>VLOOKUP($A29,[24]HISTOFEV24!$A$6:$CA$38,64,0)</f>
        <v>0</v>
      </c>
      <c r="AK29" s="36">
        <f>VLOOKUP($A29,[24]HISTOFEV24!$A$6:$CA$38,65,0)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MVTJANV24!I30-E30+L30</f>
        <v>733500</v>
      </c>
      <c r="G30" s="5">
        <f>IF(MVTJANV24!I30+L30&gt;700000,(MVTJANV24!I30-E30+L30),0)</f>
        <v>733500</v>
      </c>
      <c r="H30" s="36">
        <f t="shared" si="0"/>
        <v>719.59413329989627</v>
      </c>
      <c r="I30" s="6">
        <f t="shared" si="2"/>
        <v>734219.59413329989</v>
      </c>
      <c r="J30" s="36">
        <f>VLOOKUP($A30,[24]HISTOFEV24!$A$6:$AQ$42,22,0)</f>
        <v>0</v>
      </c>
      <c r="K30" s="36">
        <f>VLOOKUP($A30,[24]HISTOFEV24!$A$6:$AU$38,45,0)</f>
        <v>25000</v>
      </c>
      <c r="L30" s="36">
        <f t="shared" si="4"/>
        <v>19000</v>
      </c>
      <c r="M30" s="36">
        <f t="shared" si="5"/>
        <v>1000</v>
      </c>
      <c r="N30" s="36">
        <f t="shared" si="3"/>
        <v>1000</v>
      </c>
      <c r="O30" s="36">
        <f t="shared" si="6"/>
        <v>4000</v>
      </c>
      <c r="P30" s="36">
        <f>VLOOKUP($A30,[24]HISTOFEV24!$A$6:$AU$38,7,0)</f>
        <v>0</v>
      </c>
      <c r="Q30" s="36">
        <f>VLOOKUP($A30,[24]HISTOFEV24!$A$6:$AU$38,23,0)</f>
        <v>0</v>
      </c>
      <c r="R30" s="36">
        <f>VLOOKUP($A30,[24]HISTOFEV24!$A$6:$AU$38,46,0)</f>
        <v>0</v>
      </c>
      <c r="S30" s="36">
        <f>VLOOKUP($A30,[24]HISTOFEV24!$A$6:$AU$38,26,0)</f>
        <v>0</v>
      </c>
      <c r="T30" s="36">
        <f>VLOOKUP($A30,[24]HISTOFEV24!$A$6:$BG$38,58,0)</f>
        <v>0</v>
      </c>
      <c r="U30" s="36">
        <f>VLOOKUP($A30,[24]HISTOFEV24!$A$6:$AU$38,28,0)</f>
        <v>0</v>
      </c>
      <c r="V30" s="36">
        <f>VLOOKUP($A30,[24]HISTOFEV24!$A$6:$AU$38,19,0)</f>
        <v>0</v>
      </c>
      <c r="W30" s="36">
        <f>VLOOKUP($A30,[24]HISTOFEV24!$A$6:$AU$38,20,0)</f>
        <v>0</v>
      </c>
      <c r="X30" s="36">
        <f>VLOOKUP($A30,[24]HISTOFEV24!$A$6:$AU$38,27,0)</f>
        <v>0</v>
      </c>
      <c r="Y30" s="36">
        <f>VLOOKUP($A30,[24]HISTOFEV24!$A$6:$BM$38,33,0)</f>
        <v>0</v>
      </c>
      <c r="Z30" s="36">
        <f>VLOOKUP($A30,[24]HISTOFEV24!$A$6:$BM$38,65,0)</f>
        <v>0</v>
      </c>
      <c r="AA30" s="36"/>
      <c r="AB30" s="36">
        <f>VLOOKUP($A30,[24]HISTOFEV24!$A$6:$AU$38,43,0)</f>
        <v>0</v>
      </c>
      <c r="AC30" s="36">
        <f>VLOOKUP($A30,[24]HISTOFEV24!$A$6:$AU$38,44,0)</f>
        <v>0</v>
      </c>
      <c r="AD30" s="36">
        <f>VLOOKUP($A30,[24]HISTOFEV24!$A$6:$AU$38,47,0)</f>
        <v>0</v>
      </c>
      <c r="AE30" s="36">
        <f>VLOOKUP(A30,[24]HISTOFEV24!$A$6:$BB$38,54,0)</f>
        <v>0</v>
      </c>
      <c r="AF30" s="36">
        <f>VLOOKUP($A30,[24]HISTOFEV24!$A$6:$CA$38,60,0)</f>
        <v>0</v>
      </c>
      <c r="AG30" s="36">
        <f>VLOOKUP($A30,[24]HISTOFEV24!$A$6:$CA$38,61,0)</f>
        <v>0</v>
      </c>
      <c r="AH30" s="36">
        <f>VLOOKUP($A30,[24]HISTOFEV24!$A$6:$CA$38,62,0)</f>
        <v>0</v>
      </c>
      <c r="AI30" s="36">
        <f>VLOOKUP($A30,[24]HISTOFEV24!$A$6:$CA$38,63,0)</f>
        <v>0</v>
      </c>
      <c r="AJ30" s="36">
        <f>VLOOKUP($A30,[24]HISTOFEV24!$A$6:$CA$38,64,0)</f>
        <v>0</v>
      </c>
      <c r="AK30" s="36">
        <f>VLOOKUP($A30,[24]HISTOFEV24!$A$6:$CA$38,65,0)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MVTJANV24!I31-E31+L31</f>
        <v>892915.95273294742</v>
      </c>
      <c r="G31" s="5">
        <f>IF(MVTJANV24!I31+L31&gt;700000,(MVTJANV24!I31-E31+L31),0)</f>
        <v>892915.95273294742</v>
      </c>
      <c r="H31" s="36">
        <f t="shared" si="0"/>
        <v>875.98784064964752</v>
      </c>
      <c r="I31" s="6">
        <f t="shared" si="2"/>
        <v>893791.94057359709</v>
      </c>
      <c r="J31" s="36">
        <f>VLOOKUP($A31,[24]HISTOFEV24!$A$6:$AQ$42,22,0)</f>
        <v>0</v>
      </c>
      <c r="K31" s="36">
        <f>VLOOKUP($A31,[24]HISTOFEV24!$A$6:$AU$38,45,0)</f>
        <v>25000</v>
      </c>
      <c r="L31" s="36">
        <f t="shared" si="4"/>
        <v>19000</v>
      </c>
      <c r="M31" s="36">
        <f t="shared" si="5"/>
        <v>1000</v>
      </c>
      <c r="N31" s="36">
        <f t="shared" si="3"/>
        <v>1000</v>
      </c>
      <c r="O31" s="36">
        <f t="shared" si="6"/>
        <v>4000</v>
      </c>
      <c r="P31" s="36">
        <f>VLOOKUP($A31,[24]HISTOFEV24!$A$6:$AU$38,7,0)</f>
        <v>0</v>
      </c>
      <c r="Q31" s="36">
        <f>VLOOKUP($A31,[24]HISTOFEV24!$A$6:$AU$38,23,0)</f>
        <v>0</v>
      </c>
      <c r="R31" s="36">
        <f>VLOOKUP($A31,[24]HISTOFEV24!$A$6:$AU$38,46,0)</f>
        <v>0</v>
      </c>
      <c r="S31" s="36">
        <f>VLOOKUP($A31,[24]HISTOFEV24!$A$6:$AU$38,26,0)</f>
        <v>0</v>
      </c>
      <c r="T31" s="36">
        <f>VLOOKUP($A31,[24]HISTOFEV24!$A$6:$BG$38,58,0)</f>
        <v>0</v>
      </c>
      <c r="U31" s="36">
        <f>VLOOKUP($A31,[24]HISTOFEV24!$A$6:$AU$38,28,0)</f>
        <v>0</v>
      </c>
      <c r="V31" s="36">
        <f>VLOOKUP($A31,[24]HISTOFEV24!$A$6:$AU$38,19,0)</f>
        <v>0</v>
      </c>
      <c r="W31" s="36">
        <f>VLOOKUP($A31,[24]HISTOFEV24!$A$6:$AU$38,20,0)</f>
        <v>0</v>
      </c>
      <c r="X31" s="36">
        <f>VLOOKUP($A31,[24]HISTOFEV24!$A$6:$AU$38,27,0)</f>
        <v>0</v>
      </c>
      <c r="Y31" s="36">
        <f>VLOOKUP($A31,[24]HISTOFEV24!$A$6:$BM$38,33,0)</f>
        <v>0</v>
      </c>
      <c r="Z31" s="36">
        <f>VLOOKUP($A31,[24]HISTOFEV24!$A$6:$BM$38,65,0)</f>
        <v>0</v>
      </c>
      <c r="AA31" s="36"/>
      <c r="AB31" s="36">
        <f>VLOOKUP($A31,[24]HISTOFEV24!$A$6:$AU$38,43,0)</f>
        <v>0</v>
      </c>
      <c r="AC31" s="36">
        <f>VLOOKUP($A31,[24]HISTOFEV24!$A$6:$AU$38,44,0)</f>
        <v>0</v>
      </c>
      <c r="AD31" s="36">
        <f>VLOOKUP($A31,[24]HISTOFEV24!$A$6:$AU$38,47,0)</f>
        <v>0</v>
      </c>
      <c r="AE31" s="36">
        <f>VLOOKUP(A31,[24]HISTOFEV24!$A$6:$BB$38,54,0)</f>
        <v>0</v>
      </c>
      <c r="AF31" s="36">
        <f>VLOOKUP($A31,[24]HISTOFEV24!$A$6:$CA$38,60,0)</f>
        <v>0</v>
      </c>
      <c r="AG31" s="36">
        <f>VLOOKUP($A31,[24]HISTOFEV24!$A$6:$CA$38,61,0)</f>
        <v>0</v>
      </c>
      <c r="AH31" s="36">
        <f>VLOOKUP($A31,[24]HISTOFEV24!$A$6:$CA$38,62,0)</f>
        <v>0</v>
      </c>
      <c r="AI31" s="36">
        <f>VLOOKUP($A31,[24]HISTOFEV24!$A$6:$CA$38,63,0)</f>
        <v>0</v>
      </c>
      <c r="AJ31" s="36">
        <f>VLOOKUP($A31,[24]HISTOFEV24!$A$6:$CA$38,64,0)</f>
        <v>0</v>
      </c>
      <c r="AK31" s="36">
        <f>VLOOKUP($A31,[24]HISTOFEV24!$A$6:$CA$38,65,0)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MVTJANV24!I32-E32+L32</f>
        <v>782740.87001225271</v>
      </c>
      <c r="G32" s="5">
        <f>IF(MVTJANV24!I32+L32&gt;700000,(MVTJANV24!I32-E32+L32),0)</f>
        <v>782740.87001225271</v>
      </c>
      <c r="H32" s="36">
        <f t="shared" si="0"/>
        <v>767.90148323772837</v>
      </c>
      <c r="I32" s="6">
        <f t="shared" si="2"/>
        <v>783508.77149549045</v>
      </c>
      <c r="J32" s="36">
        <f>VLOOKUP($A32,[24]HISTOFEV24!$A$6:$AQ$42,22,0)</f>
        <v>0</v>
      </c>
      <c r="K32" s="36">
        <f>VLOOKUP($A32,[24]HISTOFEV24!$A$6:$AU$38,45,0)</f>
        <v>25000</v>
      </c>
      <c r="L32" s="36">
        <f t="shared" si="4"/>
        <v>19000</v>
      </c>
      <c r="M32" s="36">
        <f t="shared" si="5"/>
        <v>1000</v>
      </c>
      <c r="N32" s="36">
        <f t="shared" si="3"/>
        <v>1000</v>
      </c>
      <c r="O32" s="36">
        <f t="shared" si="6"/>
        <v>4000</v>
      </c>
      <c r="P32" s="36">
        <f>VLOOKUP($A32,[24]HISTOFEV24!$A$6:$AU$38,7,0)</f>
        <v>0</v>
      </c>
      <c r="Q32" s="36">
        <f>VLOOKUP($A32,[24]HISTOFEV24!$A$6:$AU$38,23,0)</f>
        <v>0</v>
      </c>
      <c r="R32" s="36">
        <f>VLOOKUP($A32,[24]HISTOFEV24!$A$6:$AU$38,46,0)</f>
        <v>0</v>
      </c>
      <c r="S32" s="36">
        <f>VLOOKUP($A32,[24]HISTOFEV24!$A$6:$AU$38,26,0)</f>
        <v>0</v>
      </c>
      <c r="T32" s="36">
        <f>VLOOKUP($A32,[24]HISTOFEV24!$A$6:$BG$38,58,0)</f>
        <v>0</v>
      </c>
      <c r="U32" s="36">
        <f>VLOOKUP($A32,[24]HISTOFEV24!$A$6:$AU$38,28,0)</f>
        <v>0</v>
      </c>
      <c r="V32" s="36">
        <f>VLOOKUP($A32,[24]HISTOFEV24!$A$6:$AU$38,19,0)</f>
        <v>0</v>
      </c>
      <c r="W32" s="36">
        <f>VLOOKUP($A32,[24]HISTOFEV24!$A$6:$AU$38,20,0)</f>
        <v>0</v>
      </c>
      <c r="X32" s="36">
        <f>VLOOKUP($A32,[24]HISTOFEV24!$A$6:$AU$38,27,0)</f>
        <v>0</v>
      </c>
      <c r="Y32" s="36">
        <f>VLOOKUP($A32,[24]HISTOFEV24!$A$6:$BM$38,33,0)</f>
        <v>0</v>
      </c>
      <c r="Z32" s="36">
        <f>VLOOKUP($A32,[24]HISTOFEV24!$A$6:$BM$38,65,0)</f>
        <v>0</v>
      </c>
      <c r="AA32" s="36"/>
      <c r="AB32" s="36">
        <f>VLOOKUP($A32,[24]HISTOFEV24!$A$6:$AU$38,43,0)</f>
        <v>0</v>
      </c>
      <c r="AC32" s="36">
        <f>VLOOKUP($A32,[24]HISTOFEV24!$A$6:$AU$38,44,0)</f>
        <v>0</v>
      </c>
      <c r="AD32" s="36">
        <f>VLOOKUP($A32,[24]HISTOFEV24!$A$6:$AU$38,47,0)</f>
        <v>0</v>
      </c>
      <c r="AE32" s="36">
        <f>VLOOKUP(A32,[24]HISTOFEV24!$A$6:$BB$38,54,0)</f>
        <v>0</v>
      </c>
      <c r="AF32" s="36">
        <f>VLOOKUP($A32,[24]HISTOFEV24!$A$6:$CA$38,60,0)</f>
        <v>0</v>
      </c>
      <c r="AG32" s="36">
        <f>VLOOKUP($A32,[24]HISTOFEV24!$A$6:$CA$38,61,0)</f>
        <v>0</v>
      </c>
      <c r="AH32" s="36">
        <f>VLOOKUP($A32,[24]HISTOFEV24!$A$6:$CA$38,62,0)</f>
        <v>0</v>
      </c>
      <c r="AI32" s="36">
        <f>VLOOKUP($A32,[24]HISTOFEV24!$A$6:$CA$38,63,0)</f>
        <v>0</v>
      </c>
      <c r="AJ32" s="36">
        <f>VLOOKUP($A32,[24]HISTOFEV24!$A$6:$CA$38,64,0)</f>
        <v>0</v>
      </c>
      <c r="AK32" s="36">
        <f>VLOOKUP($A32,[24]HISTOFEV24!$A$6:$CA$38,65,0)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MVTJANV24!I33-E33+L33</f>
        <v>783048.18802891404</v>
      </c>
      <c r="G33" s="5">
        <f>IF(MVTJANV24!I33+L33&gt;700000,(MVTJANV24!I33-E33+L33),0)</f>
        <v>783048.18802891404</v>
      </c>
      <c r="H33" s="36">
        <f t="shared" si="0"/>
        <v>768.20297504665382</v>
      </c>
      <c r="I33" s="6">
        <f t="shared" si="2"/>
        <v>783816.39100396074</v>
      </c>
      <c r="J33" s="36">
        <f>VLOOKUP($A33,[24]HISTOFEV24!$A$6:$AQ$42,22,0)</f>
        <v>0</v>
      </c>
      <c r="K33" s="36">
        <f>VLOOKUP($A33,[24]HISTOFEV24!$A$6:$AU$38,45,0)</f>
        <v>25000</v>
      </c>
      <c r="L33" s="36">
        <f t="shared" si="4"/>
        <v>19000</v>
      </c>
      <c r="M33" s="36">
        <f t="shared" si="5"/>
        <v>1000</v>
      </c>
      <c r="N33" s="36">
        <f t="shared" si="3"/>
        <v>1000</v>
      </c>
      <c r="O33" s="36">
        <f t="shared" si="6"/>
        <v>4000</v>
      </c>
      <c r="P33" s="36">
        <f>VLOOKUP($A33,[24]HISTOFEV24!$A$6:$AU$38,7,0)</f>
        <v>0</v>
      </c>
      <c r="Q33" s="36">
        <f>VLOOKUP($A33,[24]HISTOFEV24!$A$6:$AU$38,23,0)</f>
        <v>0</v>
      </c>
      <c r="R33" s="36">
        <f>VLOOKUP($A33,[24]HISTOFEV24!$A$6:$AU$38,46,0)</f>
        <v>0</v>
      </c>
      <c r="S33" s="36">
        <f>VLOOKUP($A33,[24]HISTOFEV24!$A$6:$AU$38,26,0)</f>
        <v>0</v>
      </c>
      <c r="T33" s="36">
        <f>VLOOKUP($A33,[24]HISTOFEV24!$A$6:$BG$38,58,0)</f>
        <v>0</v>
      </c>
      <c r="U33" s="36">
        <f>VLOOKUP($A33,[24]HISTOFEV24!$A$6:$AU$38,28,0)</f>
        <v>0</v>
      </c>
      <c r="V33" s="36">
        <f>VLOOKUP($A33,[24]HISTOFEV24!$A$6:$AU$38,19,0)</f>
        <v>0</v>
      </c>
      <c r="W33" s="36">
        <f>VLOOKUP($A33,[24]HISTOFEV24!$A$6:$AU$38,20,0)</f>
        <v>0</v>
      </c>
      <c r="X33" s="36">
        <f>VLOOKUP($A33,[24]HISTOFEV24!$A$6:$AU$38,27,0)</f>
        <v>0</v>
      </c>
      <c r="Y33" s="36">
        <f>VLOOKUP($A33,[24]HISTOFEV24!$A$6:$BM$38,33,0)</f>
        <v>0</v>
      </c>
      <c r="Z33" s="36">
        <f>VLOOKUP($A33,[24]HISTOFEV24!$A$6:$BM$38,65,0)</f>
        <v>0</v>
      </c>
      <c r="AA33" s="36"/>
      <c r="AB33" s="36">
        <f>VLOOKUP($A33,[24]HISTOFEV24!$A$6:$AU$38,43,0)</f>
        <v>0</v>
      </c>
      <c r="AC33" s="36">
        <f>VLOOKUP($A33,[24]HISTOFEV24!$A$6:$AU$38,44,0)</f>
        <v>0</v>
      </c>
      <c r="AD33" s="36">
        <f>VLOOKUP($A33,[24]HISTOFEV24!$A$6:$AU$38,47,0)</f>
        <v>0</v>
      </c>
      <c r="AE33" s="36">
        <f>VLOOKUP(A33,[24]HISTOFEV24!$A$6:$BB$38,54,0)</f>
        <v>0</v>
      </c>
      <c r="AF33" s="36">
        <f>VLOOKUP($A33,[24]HISTOFEV24!$A$6:$CA$38,60,0)</f>
        <v>0</v>
      </c>
      <c r="AG33" s="36">
        <f>VLOOKUP($A33,[24]HISTOFEV24!$A$6:$CA$38,61,0)</f>
        <v>0</v>
      </c>
      <c r="AH33" s="36">
        <f>VLOOKUP($A33,[24]HISTOFEV24!$A$6:$CA$38,62,0)</f>
        <v>0</v>
      </c>
      <c r="AI33" s="36">
        <f>VLOOKUP($A33,[24]HISTOFEV24!$A$6:$CA$38,63,0)</f>
        <v>0</v>
      </c>
      <c r="AJ33" s="36">
        <f>VLOOKUP($A33,[24]HISTOFEV24!$A$6:$CA$38,64,0)</f>
        <v>0</v>
      </c>
      <c r="AK33" s="36">
        <f>VLOOKUP($A33,[24]HISTOFEV24!$A$6:$CA$38,65,0)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MVTJANV24!I34-E34+L34</f>
        <v>313000</v>
      </c>
      <c r="G34" s="5">
        <f>IF(MVTJANV24!I34+L34&gt;700000,(MVTJANV24!I34-E34+L34),0)</f>
        <v>0</v>
      </c>
      <c r="H34" s="36">
        <f t="shared" si="0"/>
        <v>0</v>
      </c>
      <c r="I34" s="6">
        <f t="shared" si="2"/>
        <v>313000</v>
      </c>
      <c r="J34" s="36">
        <f>VLOOKUP($A34,[24]HISTOFEV24!$A$6:$AQ$42,22,0)</f>
        <v>0</v>
      </c>
      <c r="K34" s="36">
        <f>VLOOKUP($A34,[24]HISTOFEV24!$A$6:$AU$38,45,0)</f>
        <v>55000</v>
      </c>
      <c r="L34" s="36">
        <f t="shared" si="4"/>
        <v>49000</v>
      </c>
      <c r="M34" s="36">
        <f t="shared" si="5"/>
        <v>1000</v>
      </c>
      <c r="N34" s="36">
        <f t="shared" si="3"/>
        <v>1000</v>
      </c>
      <c r="O34" s="36">
        <f t="shared" si="6"/>
        <v>4000</v>
      </c>
      <c r="P34" s="36">
        <f>VLOOKUP($A34,[24]HISTOFEV24!$A$6:$AU$38,7,0)</f>
        <v>0</v>
      </c>
      <c r="Q34" s="36">
        <f>VLOOKUP($A34,[24]HISTOFEV24!$A$6:$AU$38,23,0)</f>
        <v>0</v>
      </c>
      <c r="R34" s="36">
        <f>VLOOKUP($A34,[24]HISTOFEV24!$A$6:$AU$38,46,0)</f>
        <v>0</v>
      </c>
      <c r="S34" s="36">
        <f>VLOOKUP($A34,[24]HISTOFEV24!$A$6:$AU$38,26,0)</f>
        <v>0</v>
      </c>
      <c r="T34" s="36">
        <f>VLOOKUP($A34,[24]HISTOFEV24!$A$6:$BG$38,58,0)</f>
        <v>0</v>
      </c>
      <c r="U34" s="36">
        <f>VLOOKUP($A34,[24]HISTOFEV24!$A$6:$AU$38,28,0)</f>
        <v>0</v>
      </c>
      <c r="V34" s="36">
        <f>VLOOKUP($A34,[24]HISTOFEV24!$A$6:$AU$38,19,0)</f>
        <v>0</v>
      </c>
      <c r="W34" s="36">
        <f>VLOOKUP($A34,[24]HISTOFEV24!$A$6:$AU$38,20,0)</f>
        <v>0</v>
      </c>
      <c r="X34" s="36">
        <f>VLOOKUP($A34,[24]HISTOFEV24!$A$6:$AU$38,27,0)</f>
        <v>0</v>
      </c>
      <c r="Y34" s="36">
        <f>VLOOKUP($A34,[24]HISTOFEV24!$A$6:$BM$38,33,0)</f>
        <v>0</v>
      </c>
      <c r="Z34" s="36">
        <f>VLOOKUP($A34,[24]HISTOFEV24!$A$6:$BM$38,65,0)</f>
        <v>0</v>
      </c>
      <c r="AA34" s="36"/>
      <c r="AB34" s="36">
        <f>VLOOKUP($A34,[24]HISTOFEV24!$A$6:$AU$38,43,0)</f>
        <v>0</v>
      </c>
      <c r="AC34" s="36">
        <f>VLOOKUP($A34,[24]HISTOFEV24!$A$6:$AU$38,44,0)</f>
        <v>0</v>
      </c>
      <c r="AD34" s="36">
        <f>VLOOKUP($A34,[24]HISTOFEV24!$A$6:$AU$38,47,0)</f>
        <v>0</v>
      </c>
      <c r="AE34" s="36">
        <f>VLOOKUP(A34,[24]HISTOFEV24!$A$6:$BB$38,54,0)</f>
        <v>0</v>
      </c>
      <c r="AF34" s="36">
        <f>VLOOKUP($A34,[24]HISTOFEV24!$A$6:$CA$38,60,0)</f>
        <v>0</v>
      </c>
      <c r="AG34" s="36">
        <f>VLOOKUP($A34,[24]HISTOFEV24!$A$6:$CA$38,61,0)</f>
        <v>0</v>
      </c>
      <c r="AH34" s="36">
        <f>VLOOKUP($A34,[24]HISTOFEV24!$A$6:$CA$38,62,0)</f>
        <v>0</v>
      </c>
      <c r="AI34" s="36">
        <f>VLOOKUP($A34,[24]HISTOFEV24!$A$6:$CA$38,63,0)</f>
        <v>0</v>
      </c>
      <c r="AJ34" s="36">
        <f>VLOOKUP($A34,[24]HISTOFEV24!$A$6:$CA$38,64,0)</f>
        <v>0</v>
      </c>
      <c r="AK34" s="36">
        <f>VLOOKUP($A34,[24]HISTOFEV24!$A$6:$CA$38,65,0)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MVTJANV24!I35-E35+L35</f>
        <v>141000</v>
      </c>
      <c r="G35" s="5">
        <f>IF(MVTJANV24!I35+L35&gt;700000,(MVTJANV24!I35-E35+L35),0)</f>
        <v>0</v>
      </c>
      <c r="H35" s="36">
        <f t="shared" si="0"/>
        <v>0</v>
      </c>
      <c r="I35" s="6">
        <f t="shared" si="2"/>
        <v>141000</v>
      </c>
      <c r="J35" s="36">
        <f>VLOOKUP($A35,[24]HISTOFEV24!$A$6:$AQ$42,22,0)</f>
        <v>0</v>
      </c>
      <c r="K35" s="36">
        <f>VLOOKUP($A35,[24]HISTOFEV24!$A$6:$AU$38,45,0)</f>
        <v>25000</v>
      </c>
      <c r="L35" s="36">
        <f t="shared" si="4"/>
        <v>19000</v>
      </c>
      <c r="M35" s="36">
        <f t="shared" si="5"/>
        <v>1000</v>
      </c>
      <c r="N35" s="36">
        <f t="shared" si="3"/>
        <v>1000</v>
      </c>
      <c r="O35" s="36">
        <f t="shared" si="6"/>
        <v>4000</v>
      </c>
      <c r="P35" s="36">
        <f>VLOOKUP($A35,[24]HISTOFEV24!$A$6:$AU$38,7,0)</f>
        <v>0</v>
      </c>
      <c r="Q35" s="36">
        <f>VLOOKUP($A35,[24]HISTOFEV24!$A$6:$AU$38,23,0)</f>
        <v>0</v>
      </c>
      <c r="R35" s="36">
        <f>VLOOKUP($A35,[24]HISTOFEV24!$A$6:$AU$38,46,0)</f>
        <v>0</v>
      </c>
      <c r="S35" s="36">
        <f>VLOOKUP($A35,[24]HISTOFEV24!$A$6:$AU$38,26,0)</f>
        <v>0</v>
      </c>
      <c r="T35" s="36">
        <f>VLOOKUP($A35,[24]HISTOFEV24!$A$6:$BG$38,58,0)</f>
        <v>0</v>
      </c>
      <c r="U35" s="36">
        <f>VLOOKUP($A35,[24]HISTOFEV24!$A$6:$AU$38,28,0)</f>
        <v>0</v>
      </c>
      <c r="V35" s="36">
        <f>VLOOKUP($A35,[24]HISTOFEV24!$A$6:$AU$38,19,0)</f>
        <v>0</v>
      </c>
      <c r="W35" s="36">
        <f>VLOOKUP($A35,[24]HISTOFEV24!$A$6:$AU$38,20,0)</f>
        <v>0</v>
      </c>
      <c r="X35" s="36">
        <f>VLOOKUP($A35,[24]HISTOFEV24!$A$6:$AU$38,27,0)</f>
        <v>0</v>
      </c>
      <c r="Y35" s="36">
        <f>VLOOKUP($A35,[24]HISTOFEV24!$A$6:$BM$38,33,0)</f>
        <v>0</v>
      </c>
      <c r="Z35" s="36">
        <f>VLOOKUP($A35,[24]HISTOFEV24!$A$6:$BM$38,65,0)</f>
        <v>0</v>
      </c>
      <c r="AA35" s="36"/>
      <c r="AB35" s="36">
        <f>VLOOKUP($A35,[24]HISTOFEV24!$A$6:$AU$38,43,0)</f>
        <v>0</v>
      </c>
      <c r="AC35" s="36">
        <f>VLOOKUP($A35,[24]HISTOFEV24!$A$6:$AU$38,44,0)</f>
        <v>0</v>
      </c>
      <c r="AD35" s="36">
        <f>VLOOKUP($A35,[24]HISTOFEV24!$A$6:$AU$38,47,0)</f>
        <v>0</v>
      </c>
      <c r="AE35" s="36">
        <f>VLOOKUP(A35,[24]HISTOFEV24!$A$6:$BB$38,54,0)</f>
        <v>0</v>
      </c>
      <c r="AF35" s="36">
        <f>VLOOKUP($A35,[24]HISTOFEV24!$A$6:$CA$38,60,0)</f>
        <v>0</v>
      </c>
      <c r="AG35" s="36">
        <f>VLOOKUP($A35,[24]HISTOFEV24!$A$6:$CA$38,61,0)</f>
        <v>0</v>
      </c>
      <c r="AH35" s="36">
        <f>VLOOKUP($A35,[24]HISTOFEV24!$A$6:$CA$38,62,0)</f>
        <v>0</v>
      </c>
      <c r="AI35" s="36">
        <f>VLOOKUP($A35,[24]HISTOFEV24!$A$6:$CA$38,63,0)</f>
        <v>0</v>
      </c>
      <c r="AJ35" s="36">
        <f>VLOOKUP($A35,[24]HISTOFEV24!$A$6:$CA$38,64,0)</f>
        <v>0</v>
      </c>
      <c r="AK35" s="36">
        <f>VLOOKUP($A35,[24]HISTOFEV24!$A$6:$CA$38,65,0)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MVTJANV24!I36-E36+L36</f>
        <v>799986.13384965668</v>
      </c>
      <c r="G36" s="5">
        <f>IF(MVTJANV24!I36+L36&gt;700000,(MVTJANV24!I36-E36+L36),0)</f>
        <v>799986.13384965668</v>
      </c>
      <c r="H36" s="36">
        <f t="shared" si="0"/>
        <v>784.81980727945268</v>
      </c>
      <c r="I36" s="6">
        <f t="shared" si="2"/>
        <v>800770.95365693618</v>
      </c>
      <c r="J36" s="36">
        <f>VLOOKUP($A36,[24]HISTOFEV24!$A$6:$AQ$42,22,0)</f>
        <v>0</v>
      </c>
      <c r="K36" s="36">
        <f>VLOOKUP($A36,[24]HISTOFEV24!$A$6:$AU$38,45,0)</f>
        <v>35000</v>
      </c>
      <c r="L36" s="36">
        <f t="shared" si="4"/>
        <v>29000</v>
      </c>
      <c r="M36" s="36">
        <f t="shared" si="5"/>
        <v>1000</v>
      </c>
      <c r="N36" s="36">
        <f t="shared" si="3"/>
        <v>1000</v>
      </c>
      <c r="O36" s="36">
        <f t="shared" si="6"/>
        <v>4000</v>
      </c>
      <c r="P36" s="36">
        <f>VLOOKUP($A36,[24]HISTOFEV24!$A$6:$AU$38,7,0)</f>
        <v>0</v>
      </c>
      <c r="Q36" s="36">
        <f>VLOOKUP($A36,[24]HISTOFEV24!$A$6:$AU$38,23,0)</f>
        <v>0</v>
      </c>
      <c r="R36" s="36">
        <f>VLOOKUP($A36,[24]HISTOFEV24!$A$6:$AU$38,46,0)</f>
        <v>0</v>
      </c>
      <c r="S36" s="36">
        <f>VLOOKUP($A36,[24]HISTOFEV24!$A$6:$AU$38,26,0)</f>
        <v>0</v>
      </c>
      <c r="T36" s="36">
        <f>VLOOKUP($A36,[24]HISTOFEV24!$A$6:$BG$38,58,0)</f>
        <v>0</v>
      </c>
      <c r="U36" s="36">
        <f>VLOOKUP($A36,[24]HISTOFEV24!$A$6:$AU$38,28,0)</f>
        <v>0</v>
      </c>
      <c r="V36" s="36">
        <f>VLOOKUP($A36,[24]HISTOFEV24!$A$6:$AU$38,19,0)</f>
        <v>0</v>
      </c>
      <c r="W36" s="36">
        <f>VLOOKUP($A36,[24]HISTOFEV24!$A$6:$AU$38,20,0)</f>
        <v>0</v>
      </c>
      <c r="X36" s="36">
        <f>VLOOKUP($A36,[24]HISTOFEV24!$A$6:$AU$38,27,0)</f>
        <v>0</v>
      </c>
      <c r="Y36" s="36">
        <f>VLOOKUP($A36,[24]HISTOFEV24!$A$6:$BM$38,33,0)</f>
        <v>0</v>
      </c>
      <c r="Z36" s="36">
        <f>VLOOKUP($A36,[24]HISTOFEV24!$A$6:$BM$38,65,0)</f>
        <v>0</v>
      </c>
      <c r="AA36" s="36"/>
      <c r="AB36" s="36">
        <f>VLOOKUP($A36,[24]HISTOFEV24!$A$6:$AU$38,43,0)</f>
        <v>0</v>
      </c>
      <c r="AC36" s="36">
        <f>VLOOKUP($A36,[24]HISTOFEV24!$A$6:$AU$38,44,0)</f>
        <v>0</v>
      </c>
      <c r="AD36" s="36">
        <f>VLOOKUP($A36,[24]HISTOFEV24!$A$6:$AU$38,47,0)</f>
        <v>0</v>
      </c>
      <c r="AE36" s="36">
        <f>VLOOKUP(A36,[24]HISTOFEV24!$A$6:$BB$38,54,0)</f>
        <v>0</v>
      </c>
      <c r="AF36" s="36">
        <f>VLOOKUP($A36,[24]HISTOFEV24!$A$6:$CA$38,60,0)</f>
        <v>0</v>
      </c>
      <c r="AG36" s="36">
        <f>VLOOKUP($A36,[24]HISTOFEV24!$A$6:$CA$38,61,0)</f>
        <v>0</v>
      </c>
      <c r="AH36" s="36">
        <f>VLOOKUP($A36,[24]HISTOFEV24!$A$6:$CA$38,62,0)</f>
        <v>0</v>
      </c>
      <c r="AI36" s="36">
        <f>VLOOKUP($A36,[24]HISTOFEV24!$A$6:$CA$38,63,0)</f>
        <v>0</v>
      </c>
      <c r="AJ36" s="36">
        <f>VLOOKUP($A36,[24]HISTOFEV24!$A$6:$CA$38,64,0)</f>
        <v>0</v>
      </c>
      <c r="AK36" s="36">
        <f>VLOOKUP($A36,[24]HISTOFEV24!$A$6:$CA$38,65,0)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MVTJANV24!I37-E37+L37</f>
        <v>1848217.275293262</v>
      </c>
      <c r="G37" s="5">
        <f>IF(MVTJANV24!I37+L37&gt;700000,(MVTJANV24!I37-E37+L37),0)</f>
        <v>1848217.275293262</v>
      </c>
      <c r="H37" s="36">
        <f t="shared" si="0"/>
        <v>1813.1783345119982</v>
      </c>
      <c r="I37" s="6">
        <f t="shared" si="2"/>
        <v>1850030.453627774</v>
      </c>
      <c r="J37" s="36">
        <f>VLOOKUP($A37,[24]HISTOFEV24!$A$6:$AQ$42,22,0)</f>
        <v>0</v>
      </c>
      <c r="K37" s="36">
        <f>VLOOKUP($A37,[24]HISTOFEV24!$A$6:$AU$38,45,0)</f>
        <v>25000</v>
      </c>
      <c r="L37" s="36">
        <f t="shared" si="4"/>
        <v>19000</v>
      </c>
      <c r="M37" s="36">
        <f t="shared" si="5"/>
        <v>1000</v>
      </c>
      <c r="N37" s="36">
        <f t="shared" si="3"/>
        <v>1000</v>
      </c>
      <c r="O37" s="36">
        <f t="shared" si="6"/>
        <v>4000</v>
      </c>
      <c r="P37" s="36">
        <f>VLOOKUP($A37,[24]HISTOFEV24!$A$6:$AU$38,7,0)</f>
        <v>0</v>
      </c>
      <c r="Q37" s="36">
        <f>VLOOKUP($A37,[24]HISTOFEV24!$A$6:$AU$38,23,0)</f>
        <v>0</v>
      </c>
      <c r="R37" s="36">
        <f>VLOOKUP($A37,[24]HISTOFEV24!$A$6:$AU$38,46,0)</f>
        <v>0</v>
      </c>
      <c r="S37" s="36">
        <f>VLOOKUP($A37,[24]HISTOFEV24!$A$6:$AU$38,26,0)</f>
        <v>0</v>
      </c>
      <c r="T37" s="36">
        <f>VLOOKUP($A37,[24]HISTOFEV24!$A$6:$BG$38,58,0)</f>
        <v>0</v>
      </c>
      <c r="U37" s="36">
        <f>VLOOKUP($A37,[24]HISTOFEV24!$A$6:$AU$38,28,0)</f>
        <v>0</v>
      </c>
      <c r="V37" s="36">
        <f>VLOOKUP($A37,[24]HISTOFEV24!$A$6:$AU$38,19,0)</f>
        <v>0</v>
      </c>
      <c r="W37" s="36">
        <f>VLOOKUP($A37,[24]HISTOFEV24!$A$6:$AU$38,20,0)</f>
        <v>0</v>
      </c>
      <c r="X37" s="36">
        <f>VLOOKUP($A37,[24]HISTOFEV24!$A$6:$AU$38,27,0)</f>
        <v>0</v>
      </c>
      <c r="Y37" s="36">
        <f>VLOOKUP($A37,[24]HISTOFEV24!$A$6:$BM$38,33,0)</f>
        <v>0</v>
      </c>
      <c r="Z37" s="36">
        <f>VLOOKUP($A37,[24]HISTOFEV24!$A$6:$BM$38,65,0)</f>
        <v>0</v>
      </c>
      <c r="AA37" s="36"/>
      <c r="AB37" s="36">
        <f>VLOOKUP($A37,[24]HISTOFEV24!$A$6:$AU$38,43,0)</f>
        <v>0</v>
      </c>
      <c r="AC37" s="36">
        <f>VLOOKUP($A37,[24]HISTOFEV24!$A$6:$AU$38,44,0)</f>
        <v>0</v>
      </c>
      <c r="AD37" s="36">
        <f>VLOOKUP($A37,[24]HISTOFEV24!$A$6:$AU$38,47,0)</f>
        <v>0</v>
      </c>
      <c r="AE37" s="36">
        <f>VLOOKUP(A37,[24]HISTOFEV24!$A$6:$BB$38,54,0)</f>
        <v>0</v>
      </c>
      <c r="AF37" s="36">
        <f>VLOOKUP($A37,[24]HISTOFEV24!$A$6:$CA$38,60,0)</f>
        <v>0</v>
      </c>
      <c r="AG37" s="36">
        <f>VLOOKUP($A37,[24]HISTOFEV24!$A$6:$CA$38,61,0)</f>
        <v>0</v>
      </c>
      <c r="AH37" s="36">
        <f>VLOOKUP($A37,[24]HISTOFEV24!$A$6:$CA$38,62,0)</f>
        <v>0</v>
      </c>
      <c r="AI37" s="36">
        <f>VLOOKUP($A37,[24]HISTOFEV24!$A$6:$CA$38,63,0)</f>
        <v>0</v>
      </c>
      <c r="AJ37" s="36">
        <f>VLOOKUP($A37,[24]HISTOFEV24!$A$6:$CA$38,64,0)</f>
        <v>0</v>
      </c>
      <c r="AK37" s="36">
        <f>VLOOKUP($A37,[24]HISTOFEV24!$A$6:$CA$38,65,0)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MVTJANV24!I38-E38+L38</f>
        <v>38000</v>
      </c>
      <c r="G38" s="5">
        <f>IF(MVTJANV24!I38+L38&gt;700000,(MVTJANV24!I38-E38+L38),0)</f>
        <v>0</v>
      </c>
      <c r="H38" s="36">
        <f t="shared" si="0"/>
        <v>0</v>
      </c>
      <c r="I38" s="6">
        <f t="shared" si="2"/>
        <v>38000</v>
      </c>
      <c r="J38" s="36">
        <f>VLOOKUP($A38,[24]HISTOFEV24!$A$6:$AQ$42,22,0)</f>
        <v>0</v>
      </c>
      <c r="K38" s="36">
        <f>VLOOKUP($A38,[24]HISTOFEV24!$A$6:$AU$38,45,0)</f>
        <v>25000</v>
      </c>
      <c r="L38" s="36">
        <f t="shared" si="4"/>
        <v>19000</v>
      </c>
      <c r="M38" s="36">
        <f t="shared" si="5"/>
        <v>1000</v>
      </c>
      <c r="N38" s="36">
        <f t="shared" si="3"/>
        <v>1000</v>
      </c>
      <c r="O38" s="36">
        <f t="shared" si="6"/>
        <v>4000</v>
      </c>
      <c r="P38" s="36">
        <f>VLOOKUP($A38,[24]HISTOFEV24!$A$6:$AU$38,7,0)</f>
        <v>3000</v>
      </c>
      <c r="Q38" s="36">
        <f>VLOOKUP($A38,[24]HISTOFEV24!$A$6:$AU$38,23,0)</f>
        <v>0</v>
      </c>
      <c r="R38" s="36">
        <f>VLOOKUP($A38,[24]HISTOFEV24!$A$6:$AU$38,46,0)</f>
        <v>0</v>
      </c>
      <c r="S38" s="36">
        <f>VLOOKUP($A38,[24]HISTOFEV24!$A$6:$AU$38,26,0)</f>
        <v>0</v>
      </c>
      <c r="T38" s="36">
        <f>VLOOKUP($A38,[24]HISTOFEV24!$A$6:$BG$38,58,0)</f>
        <v>0</v>
      </c>
      <c r="U38" s="36">
        <f>VLOOKUP($A38,[24]HISTOFEV24!$A$6:$AU$38,28,0)</f>
        <v>0</v>
      </c>
      <c r="V38" s="36">
        <f>VLOOKUP($A38,[24]HISTOFEV24!$A$6:$AU$38,19,0)</f>
        <v>0</v>
      </c>
      <c r="W38" s="36">
        <f>VLOOKUP($A38,[24]HISTOFEV24!$A$6:$AU$38,20,0)</f>
        <v>0</v>
      </c>
      <c r="X38" s="36">
        <f>VLOOKUP($A38,[24]HISTOFEV24!$A$6:$AU$38,27,0)</f>
        <v>0</v>
      </c>
      <c r="Y38" s="36">
        <f>VLOOKUP($A38,[24]HISTOFEV24!$A$6:$BM$38,33,0)</f>
        <v>0</v>
      </c>
      <c r="Z38" s="36">
        <f>VLOOKUP($A38,[24]HISTOFEV24!$A$6:$BM$38,65,0)</f>
        <v>0</v>
      </c>
      <c r="AA38" s="36"/>
      <c r="AB38" s="36">
        <f>VLOOKUP($A38,[24]HISTOFEV24!$A$6:$AU$38,43,0)</f>
        <v>0</v>
      </c>
      <c r="AC38" s="36">
        <f>VLOOKUP($A38,[24]HISTOFEV24!$A$6:$AU$38,44,0)</f>
        <v>0</v>
      </c>
      <c r="AD38" s="36">
        <f>VLOOKUP($A38,[24]HISTOFEV24!$A$6:$AU$38,47,0)</f>
        <v>0</v>
      </c>
      <c r="AE38" s="36">
        <f>VLOOKUP(A38,[24]HISTOFEV24!$A$6:$BB$38,54,0)</f>
        <v>0</v>
      </c>
      <c r="AF38" s="36">
        <f>VLOOKUP($A38,[24]HISTOFEV24!$A$6:$CA$38,60,0)</f>
        <v>0</v>
      </c>
      <c r="AG38" s="36">
        <f>VLOOKUP($A38,[24]HISTOFEV24!$A$6:$CA$38,61,0)</f>
        <v>0</v>
      </c>
      <c r="AH38" s="36">
        <f>VLOOKUP($A38,[24]HISTOFEV24!$A$6:$CA$38,62,0)</f>
        <v>0</v>
      </c>
      <c r="AI38" s="36">
        <f>VLOOKUP($A38,[24]HISTOFEV24!$A$6:$CA$38,63,0)</f>
        <v>0</v>
      </c>
      <c r="AJ38" s="36">
        <f>VLOOKUP($A38,[24]HISTOFEV24!$A$6:$CA$38,64,0)</f>
        <v>0</v>
      </c>
      <c r="AK38" s="36">
        <f>VLOOKUP($A38,[24]HISTOFEV24!$A$6:$CA$38,65,0)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MVTJANV24!I39-E39+L39</f>
        <v>2012408.5302734652</v>
      </c>
      <c r="G39" s="5">
        <f>IF(MVTJANV24!I39+L39&gt;700000,(MVTJANV24!I39-E39+L39),0)</f>
        <v>2012408.5302734652</v>
      </c>
      <c r="H39" s="36">
        <f t="shared" si="0"/>
        <v>1974.2568127981626</v>
      </c>
      <c r="I39" s="6">
        <f t="shared" si="2"/>
        <v>2014382.7870862633</v>
      </c>
      <c r="J39" s="36">
        <f>VLOOKUP($A39,[24]HISTOFEV24!$A$6:$AQ$42,22,0)</f>
        <v>0</v>
      </c>
      <c r="K39" s="36">
        <f>VLOOKUP($A39,[24]HISTOFEV24!$A$6:$AU$38,45,0)</f>
        <v>25000</v>
      </c>
      <c r="L39" s="36">
        <f t="shared" si="4"/>
        <v>19000</v>
      </c>
      <c r="M39" s="36">
        <f t="shared" si="5"/>
        <v>1000</v>
      </c>
      <c r="N39" s="36">
        <f t="shared" si="3"/>
        <v>1000</v>
      </c>
      <c r="O39" s="36">
        <f t="shared" si="6"/>
        <v>4000</v>
      </c>
      <c r="P39" s="36">
        <f>VLOOKUP($A39,[24]HISTOFEV24!$A$6:$AU$38,7,0)</f>
        <v>0</v>
      </c>
      <c r="Q39" s="36">
        <f>VLOOKUP($A39,[24]HISTOFEV24!$A$6:$AU$38,23,0)</f>
        <v>0</v>
      </c>
      <c r="R39" s="36">
        <f>VLOOKUP($A39,[24]HISTOFEV24!$A$6:$AU$38,46,0)</f>
        <v>0</v>
      </c>
      <c r="S39" s="36">
        <f>VLOOKUP($A39,[24]HISTOFEV24!$A$6:$AU$38,26,0)</f>
        <v>0</v>
      </c>
      <c r="T39" s="36">
        <f>VLOOKUP($A39,[24]HISTOFEV24!$A$6:$BG$38,58,0)</f>
        <v>0</v>
      </c>
      <c r="U39" s="36">
        <f>VLOOKUP($A39,[24]HISTOFEV24!$A$6:$AU$38,28,0)</f>
        <v>0</v>
      </c>
      <c r="V39" s="36">
        <f>VLOOKUP($A39,[24]HISTOFEV24!$A$6:$AU$38,19,0)</f>
        <v>0</v>
      </c>
      <c r="W39" s="36">
        <f>VLOOKUP($A39,[24]HISTOFEV24!$A$6:$AU$38,20,0)</f>
        <v>0</v>
      </c>
      <c r="X39" s="36">
        <f>VLOOKUP($A39,[24]HISTOFEV24!$A$6:$AU$38,27,0)</f>
        <v>0</v>
      </c>
      <c r="Y39" s="36">
        <f>VLOOKUP($A39,[24]HISTOFEV24!$A$6:$BM$38,33,0)</f>
        <v>0</v>
      </c>
      <c r="Z39" s="36">
        <f>VLOOKUP($A39,[24]HISTOFEV24!$A$6:$BM$38,65,0)</f>
        <v>0</v>
      </c>
      <c r="AA39" s="36"/>
      <c r="AB39" s="36">
        <f>VLOOKUP($A39,[24]HISTOFEV24!$A$6:$AU$38,43,0)</f>
        <v>0</v>
      </c>
      <c r="AC39" s="36">
        <f>VLOOKUP($A39,[24]HISTOFEV24!$A$6:$AU$38,44,0)</f>
        <v>0</v>
      </c>
      <c r="AD39" s="36">
        <f>VLOOKUP($A39,[24]HISTOFEV24!$A$6:$AU$38,47,0)</f>
        <v>0</v>
      </c>
      <c r="AE39" s="36">
        <f>VLOOKUP(A39,[24]HISTOFEV24!$A$6:$BB$38,54,0)</f>
        <v>0</v>
      </c>
      <c r="AF39" s="36">
        <f>VLOOKUP($A39,[24]HISTOFEV24!$A$6:$CA$38,60,0)</f>
        <v>0</v>
      </c>
      <c r="AG39" s="36">
        <f>VLOOKUP($A39,[24]HISTOFEV24!$A$6:$CA$38,61,0)</f>
        <v>0</v>
      </c>
      <c r="AH39" s="36">
        <f>VLOOKUP($A39,[24]HISTOFEV24!$A$6:$CA$38,62,0)</f>
        <v>0</v>
      </c>
      <c r="AI39" s="36">
        <f>VLOOKUP($A39,[24]HISTOFEV24!$A$6:$CA$38,63,0)</f>
        <v>0</v>
      </c>
      <c r="AJ39" s="36">
        <f>VLOOKUP($A39,[24]HISTOFEV24!$A$6:$CA$38,64,0)</f>
        <v>0</v>
      </c>
      <c r="AK39" s="36">
        <f>VLOOKUP($A39,[24]HISTOFEV24!$A$6:$CA$38,65,0)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1">SUM(C6:C40)</f>
        <v>0</v>
      </c>
      <c r="D41" s="9">
        <f t="shared" si="11"/>
        <v>0</v>
      </c>
      <c r="E41" s="9">
        <f t="shared" si="11"/>
        <v>0</v>
      </c>
      <c r="F41" s="9">
        <f t="shared" si="11"/>
        <v>27708656.655274987</v>
      </c>
      <c r="G41" s="9">
        <f t="shared" si="11"/>
        <v>26502439.524547953</v>
      </c>
      <c r="H41" s="36">
        <f t="shared" si="11"/>
        <v>25999.999999999993</v>
      </c>
      <c r="I41" s="9">
        <f t="shared" si="11"/>
        <v>27734656.655274983</v>
      </c>
      <c r="J41" s="9">
        <f t="shared" si="11"/>
        <v>0</v>
      </c>
      <c r="K41" s="9">
        <f t="shared" si="11"/>
        <v>934000</v>
      </c>
      <c r="L41" s="9">
        <f t="shared" si="11"/>
        <v>742000</v>
      </c>
      <c r="M41" s="9">
        <f t="shared" si="11"/>
        <v>32000</v>
      </c>
      <c r="N41" s="9">
        <f t="shared" si="11"/>
        <v>32000</v>
      </c>
      <c r="O41" s="9">
        <f t="shared" si="11"/>
        <v>128000</v>
      </c>
      <c r="P41" s="9">
        <f t="shared" si="11"/>
        <v>6000</v>
      </c>
      <c r="Q41" s="9">
        <f t="shared" si="11"/>
        <v>0</v>
      </c>
      <c r="R41" s="9">
        <f t="shared" si="11"/>
        <v>0</v>
      </c>
      <c r="S41" s="9">
        <f t="shared" si="11"/>
        <v>1000000</v>
      </c>
      <c r="T41" s="9">
        <f t="shared" si="11"/>
        <v>26000</v>
      </c>
      <c r="U41" s="9">
        <f t="shared" si="11"/>
        <v>0</v>
      </c>
      <c r="V41" s="9">
        <f t="shared" si="11"/>
        <v>1000000</v>
      </c>
      <c r="W41" s="9">
        <f t="shared" si="11"/>
        <v>0</v>
      </c>
      <c r="X41" s="9">
        <f t="shared" si="11"/>
        <v>0</v>
      </c>
      <c r="Y41" s="9">
        <f t="shared" si="11"/>
        <v>0</v>
      </c>
      <c r="Z41" s="9">
        <f t="shared" si="11"/>
        <v>0</v>
      </c>
      <c r="AA41" s="9">
        <f t="shared" si="11"/>
        <v>0</v>
      </c>
      <c r="AB41" s="9">
        <f t="shared" si="11"/>
        <v>0</v>
      </c>
      <c r="AC41" s="9">
        <f t="shared" si="11"/>
        <v>0</v>
      </c>
      <c r="AD41" s="9">
        <f t="shared" si="11"/>
        <v>0</v>
      </c>
      <c r="AE41" s="9">
        <f t="shared" si="11"/>
        <v>0</v>
      </c>
      <c r="AF41" s="9">
        <f t="shared" si="11"/>
        <v>27000</v>
      </c>
      <c r="AG41" s="9">
        <f t="shared" si="11"/>
        <v>0</v>
      </c>
      <c r="AH41" s="9">
        <f t="shared" si="11"/>
        <v>100000</v>
      </c>
      <c r="AI41" s="9">
        <f t="shared" si="11"/>
        <v>100000</v>
      </c>
      <c r="AJ41" s="9">
        <f t="shared" si="11"/>
        <v>0</v>
      </c>
      <c r="AK41" s="9">
        <f t="shared" si="11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P27" activePane="bottomRight" state="frozen"/>
      <selection activeCell="B43" sqref="B43"/>
      <selection pane="topRight" activeCell="B43" sqref="B43"/>
      <selection pane="bottomLeft" activeCell="B43" sqref="B43"/>
      <selection pane="bottomRight" activeCell="A32" sqref="A32:XFD3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45368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VLOOKUP($A6,[24]HISTOMARS24!$A$6:$BA$38,48,0)</f>
        <v>0</v>
      </c>
      <c r="F6" s="36">
        <f>MVTFEV24!I6-E6+L6</f>
        <v>943006.51804788434</v>
      </c>
      <c r="G6" s="5">
        <f>IF(MVTFEV24!I6+L6&gt;700000,(MVTFEV24!I6-E6+L6),0)</f>
        <v>943006.51804788434</v>
      </c>
      <c r="H6" s="36">
        <f t="shared" ref="H6:H39" si="0">$T$41/$G$41*G6</f>
        <v>3214.0716406663601</v>
      </c>
      <c r="I6" s="6">
        <f>F6+H6</f>
        <v>946220.58968855068</v>
      </c>
      <c r="J6" s="36">
        <f>VLOOKUP($A6,[24]HISTOMARS24!$A$6:$AQ$42,22,0)</f>
        <v>0</v>
      </c>
      <c r="K6" s="36">
        <f>VLOOKUP($A6,[24]HISTOMARS24!$A$6:$AU$38,45,0)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VLOOKUP($A6,[24]HISTOMARS24!$A$6:$AU$38,7,0)</f>
        <v>0</v>
      </c>
      <c r="Q6" s="36">
        <f>VLOOKUP($A6,[24]HISTOMARS24!$A$6:$AU$38,23,0)</f>
        <v>0</v>
      </c>
      <c r="R6" s="36">
        <f>VLOOKUP($A6,[24]HISTOMARS24!$A$6:$AU$38,46,0)</f>
        <v>0</v>
      </c>
      <c r="S6" s="36">
        <f>VLOOKUP($A6,[24]HISTOMARS24!$A$6:$AU$38,26,0)</f>
        <v>0</v>
      </c>
      <c r="T6" s="36">
        <f>VLOOKUP($A6,[24]HISTOMARS24!$A$6:$BG$38,58,0)</f>
        <v>0</v>
      </c>
      <c r="U6" s="36">
        <f>VLOOKUP($A6,[24]HISTOMARS24!$A$6:$AU$38,28,0)</f>
        <v>0</v>
      </c>
      <c r="V6" s="36">
        <f>VLOOKUP($A6,[24]HISTOMARS24!$A$6:$AU$38,19,0)</f>
        <v>0</v>
      </c>
      <c r="W6" s="36">
        <f>VLOOKUP($A6,[24]HISTOMARS24!$A$6:$AU$38,20,0)</f>
        <v>0</v>
      </c>
      <c r="X6" s="36">
        <f>VLOOKUP($A6,[24]HISTOMARS24!$A$6:$AU$38,27,0)</f>
        <v>0</v>
      </c>
      <c r="Y6" s="36">
        <f>VLOOKUP($A6,[24]HISTOMARS24!$A$6:$BM$38,33,0)</f>
        <v>0</v>
      </c>
      <c r="Z6" s="36">
        <f>VLOOKUP($A6,[24]HISTOMARS24!$A$6:$BM$38,65,0)</f>
        <v>0</v>
      </c>
      <c r="AA6" s="36"/>
      <c r="AB6" s="36">
        <f>VLOOKUP($A6,[24]HISTOMARS24!$A$6:$AU$38,43,0)</f>
        <v>0</v>
      </c>
      <c r="AC6" s="36">
        <f>VLOOKUP($A6,[24]HISTOMARS24!$A$6:$AU$38,44,0)</f>
        <v>0</v>
      </c>
      <c r="AD6" s="36">
        <f>VLOOKUP($A6,[24]HISTOMARS24!$A$6:$AU$38,47,0)</f>
        <v>0</v>
      </c>
      <c r="AE6" s="36">
        <f>VLOOKUP(A6,[24]HISTOMARS24!$A$6:$BB$38,54,0)</f>
        <v>0</v>
      </c>
      <c r="AF6" s="36">
        <f>VLOOKUP($A6,[24]HISTOMARS24!$A$6:$CA$38,60,0)</f>
        <v>48000</v>
      </c>
      <c r="AG6" s="36">
        <f>VLOOKUP($A6,[24]HISTOMARS24!$A$6:$CA$38,61,0)</f>
        <v>0</v>
      </c>
      <c r="AH6" s="36">
        <f>VLOOKUP($A6,[24]HISTOMARS24!$A$6:$CA$38,62,0)</f>
        <v>100000</v>
      </c>
      <c r="AI6" s="36">
        <f>VLOOKUP($A6,[24]HISTOMARS24!$A$6:$CA$38,63,0)</f>
        <v>100000</v>
      </c>
      <c r="AJ6" s="36">
        <f>VLOOKUP($A6,[24]HISTOMARS24!$A$6:$CA$38,64,0)</f>
        <v>0</v>
      </c>
      <c r="AK6" s="36">
        <f>VLOOKUP($A6,[24]HISTOMARS24!$A$6:$CA$38,65,0)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VLOOKUP($A7,[24]HISTOMARS24!$A$6:$BA$38,48,0)</f>
        <v>0</v>
      </c>
      <c r="F7" s="36">
        <f>MVTFEV24!I7-E7+L7</f>
        <v>758206.97853131709</v>
      </c>
      <c r="G7" s="5">
        <f>IF(MVTFEV24!I7+L7&gt;700000,(MVTFEV24!I7-E7+L7),0)</f>
        <v>758206.97853131709</v>
      </c>
      <c r="H7" s="36">
        <f t="shared" si="0"/>
        <v>2584.2149559024474</v>
      </c>
      <c r="I7" s="6">
        <f t="shared" ref="I7:I39" si="2">F7+H7</f>
        <v>760791.19348721951</v>
      </c>
      <c r="J7" s="36">
        <f>VLOOKUP($A7,[24]HISTOMARS24!$A$6:$AQ$42,22,0)</f>
        <v>0</v>
      </c>
      <c r="K7" s="36">
        <f>VLOOKUP($A7,[24]HISTOMARS24!$A$6:$AU$38,45,0)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VLOOKUP($A7,[24]HISTOMARS24!$A$6:$AU$38,7,0)</f>
        <v>0</v>
      </c>
      <c r="Q7" s="36">
        <f>VLOOKUP($A7,[24]HISTOMARS24!$A$6:$AU$38,23,0)</f>
        <v>0</v>
      </c>
      <c r="R7" s="36">
        <f>VLOOKUP($A7,[24]HISTOMARS24!$A$6:$AU$38,46,0)</f>
        <v>0</v>
      </c>
      <c r="S7" s="36">
        <f>VLOOKUP($A7,[24]HISTOMARS24!$A$6:$AU$38,26,0)</f>
        <v>0</v>
      </c>
      <c r="T7" s="36">
        <f>VLOOKUP($A7,[24]HISTOMARS24!$A$6:$BG$38,58,0)</f>
        <v>6000</v>
      </c>
      <c r="U7" s="36">
        <f>VLOOKUP($A7,[24]HISTOMARS24!$A$6:$AU$38,28,0)</f>
        <v>0</v>
      </c>
      <c r="V7" s="36">
        <f>VLOOKUP($A7,[24]HISTOMARS24!$A$6:$AU$38,19,0)</f>
        <v>0</v>
      </c>
      <c r="W7" s="36">
        <f>VLOOKUP($A7,[24]HISTOMARS24!$A$6:$AU$38,20,0)</f>
        <v>0</v>
      </c>
      <c r="X7" s="36">
        <f>VLOOKUP($A7,[24]HISTOMARS24!$A$6:$AU$38,27,0)</f>
        <v>0</v>
      </c>
      <c r="Y7" s="36">
        <f>VLOOKUP($A7,[24]HISTOMARS24!$A$6:$BM$38,33,0)</f>
        <v>0</v>
      </c>
      <c r="Z7" s="36">
        <f>VLOOKUP($A7,[24]HISTOMARS24!$A$6:$BM$38,65,0)</f>
        <v>0</v>
      </c>
      <c r="AA7" s="36"/>
      <c r="AB7" s="36">
        <f>VLOOKUP($A7,[24]HISTOMARS24!$A$6:$AU$38,43,0)</f>
        <v>0</v>
      </c>
      <c r="AC7" s="36">
        <f>VLOOKUP($A7,[24]HISTOMARS24!$A$6:$AU$38,44,0)</f>
        <v>0</v>
      </c>
      <c r="AD7" s="36">
        <f>VLOOKUP($A7,[24]HISTOMARS24!$A$6:$AU$38,47,0)</f>
        <v>0</v>
      </c>
      <c r="AE7" s="36">
        <f>VLOOKUP(A7,[24]HISTOMARS24!$A$6:$BB$38,54,0)</f>
        <v>0</v>
      </c>
      <c r="AF7" s="36">
        <f>VLOOKUP($A7,[24]HISTOMARS24!$A$6:$CA$38,60,0)</f>
        <v>0</v>
      </c>
      <c r="AG7" s="36">
        <f>VLOOKUP($A7,[24]HISTOMARS24!$A$6:$CA$38,61,0)</f>
        <v>0</v>
      </c>
      <c r="AH7" s="36">
        <f>VLOOKUP($A7,[24]HISTOMARS24!$A$6:$CA$38,62,0)</f>
        <v>0</v>
      </c>
      <c r="AI7" s="36">
        <f>VLOOKUP($A7,[24]HISTOMARS24!$A$6:$CA$38,63,0)</f>
        <v>0</v>
      </c>
      <c r="AJ7" s="36">
        <f>VLOOKUP($A7,[24]HISTOMARS24!$A$6:$CA$38,64,0)</f>
        <v>0</v>
      </c>
      <c r="AK7" s="36">
        <f>VLOOKUP($A7,[24]HISTOMARS24!$A$6:$CA$38,65,0)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VLOOKUP($A8,[24]HISTOMARS24!$A$6:$BA$38,48,0)</f>
        <v>0</v>
      </c>
      <c r="F8" s="36">
        <f>MVTFEV24!I8-E8+L8</f>
        <v>798810.7067525594</v>
      </c>
      <c r="G8" s="5">
        <f>IF(MVTFEV24!I8+L8&gt;700000,(MVTFEV24!I8-E8+L8),0)</f>
        <v>798810.7067525594</v>
      </c>
      <c r="H8" s="36">
        <f t="shared" si="0"/>
        <v>2722.6056126832445</v>
      </c>
      <c r="I8" s="6">
        <f t="shared" si="2"/>
        <v>801533.31236524263</v>
      </c>
      <c r="J8" s="36">
        <f>VLOOKUP($A8,[24]HISTOMARS24!$A$6:$AQ$42,22,0)</f>
        <v>0</v>
      </c>
      <c r="K8" s="36">
        <f>VLOOKUP($A8,[24]HISTOMARS24!$A$6:$AU$38,45,0)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VLOOKUP($A8,[24]HISTOMARS24!$A$6:$AU$38,7,0)</f>
        <v>0</v>
      </c>
      <c r="Q8" s="36">
        <f>VLOOKUP($A8,[24]HISTOMARS24!$A$6:$AU$38,23,0)</f>
        <v>0</v>
      </c>
      <c r="R8" s="36">
        <f>VLOOKUP($A8,[24]HISTOMARS24!$A$6:$AU$38,46,0)</f>
        <v>0</v>
      </c>
      <c r="S8" s="36">
        <f>VLOOKUP($A8,[24]HISTOMARS24!$A$6:$AU$38,26,0)</f>
        <v>0</v>
      </c>
      <c r="T8" s="36">
        <f>VLOOKUP($A8,[24]HISTOMARS24!$A$6:$BG$38,58,0)</f>
        <v>25000</v>
      </c>
      <c r="U8" s="36">
        <f>VLOOKUP($A8,[24]HISTOMARS24!$A$6:$AU$38,28,0)</f>
        <v>0</v>
      </c>
      <c r="V8" s="36">
        <f>VLOOKUP($A8,[24]HISTOMARS24!$A$6:$AU$38,19,0)</f>
        <v>0</v>
      </c>
      <c r="W8" s="36">
        <f>VLOOKUP($A8,[24]HISTOMARS24!$A$6:$AU$38,20,0)</f>
        <v>0</v>
      </c>
      <c r="X8" s="36">
        <f>VLOOKUP($A8,[24]HISTOMARS24!$A$6:$AU$38,27,0)</f>
        <v>0</v>
      </c>
      <c r="Y8" s="36">
        <f>VLOOKUP($A8,[24]HISTOMARS24!$A$6:$BM$38,33,0)</f>
        <v>0</v>
      </c>
      <c r="Z8" s="36">
        <f>VLOOKUP($A8,[24]HISTOMARS24!$A$6:$BM$38,65,0)</f>
        <v>0</v>
      </c>
      <c r="AA8" s="36"/>
      <c r="AB8" s="36">
        <f>VLOOKUP($A8,[24]HISTOMARS24!$A$6:$AU$38,43,0)</f>
        <v>0</v>
      </c>
      <c r="AC8" s="36">
        <f>VLOOKUP($A8,[24]HISTOMARS24!$A$6:$AU$38,44,0)</f>
        <v>0</v>
      </c>
      <c r="AD8" s="36">
        <f>VLOOKUP($A8,[24]HISTOMARS24!$A$6:$AU$38,47,0)</f>
        <v>0</v>
      </c>
      <c r="AE8" s="36">
        <f>VLOOKUP(A8,[24]HISTOMARS24!$A$6:$BB$38,54,0)</f>
        <v>0</v>
      </c>
      <c r="AF8" s="36">
        <f>VLOOKUP($A8,[24]HISTOMARS24!$A$6:$CA$38,60,0)</f>
        <v>0</v>
      </c>
      <c r="AG8" s="36">
        <f>VLOOKUP($A8,[24]HISTOMARS24!$A$6:$CA$38,61,0)</f>
        <v>0</v>
      </c>
      <c r="AH8" s="36">
        <f>VLOOKUP($A8,[24]HISTOMARS24!$A$6:$CA$38,62,0)</f>
        <v>0</v>
      </c>
      <c r="AI8" s="36">
        <f>VLOOKUP($A8,[24]HISTOMARS24!$A$6:$CA$38,63,0)</f>
        <v>0</v>
      </c>
      <c r="AJ8" s="36">
        <f>VLOOKUP($A8,[24]HISTOMARS24!$A$6:$CA$38,64,0)</f>
        <v>0</v>
      </c>
      <c r="AK8" s="36">
        <f>VLOOKUP($A8,[24]HISTOMARS24!$A$6:$CA$38,65,0)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VLOOKUP($A9,[24]HISTOMARS24!$A$6:$BA$38,48,0)</f>
        <v>0</v>
      </c>
      <c r="F9" s="36">
        <f>MVTFEV24!I9-E9+L9</f>
        <v>858535.83866177883</v>
      </c>
      <c r="G9" s="5">
        <f>IF(MVTFEV24!I9+L9&gt;700000,(MVTFEV24!I9-E9+L9),0)</f>
        <v>858535.83866177883</v>
      </c>
      <c r="H9" s="36">
        <f t="shared" si="0"/>
        <v>2926.168206398776</v>
      </c>
      <c r="I9" s="6">
        <f t="shared" si="2"/>
        <v>861462.00686817756</v>
      </c>
      <c r="J9" s="36">
        <f>VLOOKUP($A9,[24]HISTOMARS24!$A$6:$AQ$42,22,0)</f>
        <v>0</v>
      </c>
      <c r="K9" s="36">
        <f>VLOOKUP($A9,[24]HISTOMARS24!$A$6:$AU$38,45,0)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VLOOKUP($A9,[24]HISTOMARS24!$A$6:$AU$38,7,0)</f>
        <v>0</v>
      </c>
      <c r="Q9" s="36">
        <f>VLOOKUP($A9,[24]HISTOMARS24!$A$6:$AU$38,23,0)</f>
        <v>0</v>
      </c>
      <c r="R9" s="36">
        <f>VLOOKUP($A9,[24]HISTOMARS24!$A$6:$AU$38,46,0)</f>
        <v>0</v>
      </c>
      <c r="S9" s="36">
        <f>VLOOKUP($A9,[24]HISTOMARS24!$A$6:$AU$38,26,0)</f>
        <v>0</v>
      </c>
      <c r="T9" s="36">
        <f>VLOOKUP($A9,[24]HISTOMARS24!$A$6:$BG$38,58,0)</f>
        <v>0</v>
      </c>
      <c r="U9" s="36">
        <f>VLOOKUP($A9,[24]HISTOMARS24!$A$6:$AU$38,28,0)</f>
        <v>0</v>
      </c>
      <c r="V9" s="36">
        <f>VLOOKUP($A9,[24]HISTOMARS24!$A$6:$AU$38,19,0)</f>
        <v>0</v>
      </c>
      <c r="W9" s="36">
        <f>VLOOKUP($A9,[24]HISTOMARS24!$A$6:$AU$38,20,0)</f>
        <v>0</v>
      </c>
      <c r="X9" s="36">
        <f>VLOOKUP($A9,[24]HISTOMARS24!$A$6:$AU$38,27,0)</f>
        <v>0</v>
      </c>
      <c r="Y9" s="36">
        <f>VLOOKUP($A9,[24]HISTOMARS24!$A$6:$BM$38,33,0)</f>
        <v>0</v>
      </c>
      <c r="Z9" s="36">
        <f>VLOOKUP($A9,[24]HISTOMARS24!$A$6:$BM$38,65,0)</f>
        <v>0</v>
      </c>
      <c r="AA9" s="36"/>
      <c r="AB9" s="36">
        <f>VLOOKUP($A9,[24]HISTOMARS24!$A$6:$AU$38,43,0)</f>
        <v>0</v>
      </c>
      <c r="AC9" s="36">
        <f>VLOOKUP($A9,[24]HISTOMARS24!$A$6:$AU$38,44,0)</f>
        <v>0</v>
      </c>
      <c r="AD9" s="36">
        <f>VLOOKUP($A9,[24]HISTOMARS24!$A$6:$AU$38,47,0)</f>
        <v>0</v>
      </c>
      <c r="AE9" s="36">
        <f>VLOOKUP(A9,[24]HISTOMARS24!$A$6:$BB$38,54,0)</f>
        <v>0</v>
      </c>
      <c r="AF9" s="36">
        <f>VLOOKUP($A9,[24]HISTOMARS24!$A$6:$CA$38,60,0)</f>
        <v>0</v>
      </c>
      <c r="AG9" s="36">
        <f>VLOOKUP($A9,[24]HISTOMARS24!$A$6:$CA$38,61,0)</f>
        <v>0</v>
      </c>
      <c r="AH9" s="36">
        <f>VLOOKUP($A9,[24]HISTOMARS24!$A$6:$CA$38,62,0)</f>
        <v>0</v>
      </c>
      <c r="AI9" s="36">
        <f>VLOOKUP($A9,[24]HISTOMARS24!$A$6:$CA$38,63,0)</f>
        <v>0</v>
      </c>
      <c r="AJ9" s="36">
        <f>VLOOKUP($A9,[24]HISTOMARS24!$A$6:$CA$38,64,0)</f>
        <v>0</v>
      </c>
      <c r="AK9" s="36">
        <f>VLOOKUP($A9,[24]HISTOMARS24!$A$6:$CA$38,65,0)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VLOOKUP($A10,[24]HISTOMARS24!$A$6:$BA$38,48,0)</f>
        <v>0</v>
      </c>
      <c r="F10" s="36">
        <f>MVTFEV24!I10-E10+L10</f>
        <v>796091.86729873344</v>
      </c>
      <c r="G10" s="5">
        <f>IF(MVTFEV24!I10+L10&gt;700000,(MVTFEV24!I10-E10+L10),0)</f>
        <v>796091.86729873344</v>
      </c>
      <c r="H10" s="36">
        <f t="shared" si="0"/>
        <v>2713.3389272289842</v>
      </c>
      <c r="I10" s="6">
        <f t="shared" si="2"/>
        <v>798805.20622596238</v>
      </c>
      <c r="J10" s="36">
        <f>VLOOKUP($A10,[24]HISTOMARS24!$A$6:$AQ$42,22,0)</f>
        <v>0</v>
      </c>
      <c r="K10" s="36">
        <f>VLOOKUP($A10,[24]HISTOMARS24!$A$6:$AU$38,45,0)</f>
        <v>19000</v>
      </c>
      <c r="L10" s="36">
        <f t="shared" si="3"/>
        <v>13000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VLOOKUP($A10,[24]HISTOMARS24!$A$6:$AU$38,7,0)</f>
        <v>0</v>
      </c>
      <c r="Q10" s="36">
        <f>VLOOKUP($A10,[24]HISTOMARS24!$A$6:$AU$38,23,0)</f>
        <v>0</v>
      </c>
      <c r="R10" s="36">
        <f>VLOOKUP($A10,[24]HISTOMARS24!$A$6:$AU$38,46,0)</f>
        <v>0</v>
      </c>
      <c r="S10" s="36">
        <f>VLOOKUP($A10,[24]HISTOMARS24!$A$6:$AU$38,26,0)</f>
        <v>0</v>
      </c>
      <c r="T10" s="36">
        <f>VLOOKUP($A10,[24]HISTOMARS24!$A$6:$BG$38,58,0)</f>
        <v>0</v>
      </c>
      <c r="U10" s="36">
        <f>VLOOKUP($A10,[24]HISTOMARS24!$A$6:$AU$38,28,0)</f>
        <v>0</v>
      </c>
      <c r="V10" s="36">
        <f>VLOOKUP($A10,[24]HISTOMARS24!$A$6:$AU$38,19,0)</f>
        <v>0</v>
      </c>
      <c r="W10" s="36">
        <f>VLOOKUP($A10,[24]HISTOMARS24!$A$6:$AU$38,20,0)</f>
        <v>0</v>
      </c>
      <c r="X10" s="36">
        <f>VLOOKUP($A10,[24]HISTOMARS24!$A$6:$AU$38,27,0)</f>
        <v>0</v>
      </c>
      <c r="Y10" s="36">
        <f>VLOOKUP($A10,[24]HISTOMARS24!$A$6:$BM$38,33,0)</f>
        <v>0</v>
      </c>
      <c r="Z10" s="36">
        <f>VLOOKUP($A10,[24]HISTOMARS24!$A$6:$BM$38,65,0)</f>
        <v>0</v>
      </c>
      <c r="AA10" s="36"/>
      <c r="AB10" s="36">
        <f>VLOOKUP($A10,[24]HISTOMARS24!$A$6:$AU$38,43,0)</f>
        <v>0</v>
      </c>
      <c r="AC10" s="36">
        <f>VLOOKUP($A10,[24]HISTOMARS24!$A$6:$AU$38,44,0)</f>
        <v>0</v>
      </c>
      <c r="AD10" s="36">
        <f>VLOOKUP($A10,[24]HISTOMARS24!$A$6:$AU$38,47,0)</f>
        <v>0</v>
      </c>
      <c r="AE10" s="36">
        <f>VLOOKUP(A10,[24]HISTOMARS24!$A$6:$BB$38,54,0)</f>
        <v>0</v>
      </c>
      <c r="AF10" s="36">
        <f>VLOOKUP($A10,[24]HISTOMARS24!$A$6:$CA$38,60,0)</f>
        <v>0</v>
      </c>
      <c r="AG10" s="36">
        <f>VLOOKUP($A10,[24]HISTOMARS24!$A$6:$CA$38,61,0)</f>
        <v>0</v>
      </c>
      <c r="AH10" s="36">
        <f>VLOOKUP($A10,[24]HISTOMARS24!$A$6:$CA$38,62,0)</f>
        <v>0</v>
      </c>
      <c r="AI10" s="36">
        <f>VLOOKUP($A10,[24]HISTOMARS24!$A$6:$CA$38,63,0)</f>
        <v>0</v>
      </c>
      <c r="AJ10" s="36">
        <f>VLOOKUP($A10,[24]HISTOMARS24!$A$6:$CA$38,64,0)</f>
        <v>0</v>
      </c>
      <c r="AK10" s="36">
        <f>VLOOKUP($A10,[24]HISTOMARS24!$A$6:$CA$38,65,0)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VLOOKUP($A11,[24]HISTOMARS24!$A$6:$BA$38,48,0)</f>
        <v>0</v>
      </c>
      <c r="F11" s="36">
        <f>MVTFEV24!I11-E11+L11</f>
        <v>804115.14410627156</v>
      </c>
      <c r="G11" s="5">
        <f>IF(MVTFEV24!I11+L11&gt;700000,(MVTFEV24!I11-E11+L11),0)</f>
        <v>804115.14410627156</v>
      </c>
      <c r="H11" s="36">
        <f t="shared" si="0"/>
        <v>2740.6848532207864</v>
      </c>
      <c r="I11" s="6">
        <f t="shared" si="2"/>
        <v>806855.82895949238</v>
      </c>
      <c r="J11" s="36">
        <f>VLOOKUP($A11,[24]HISTOMARS24!$A$6:$AQ$42,22,0)</f>
        <v>0</v>
      </c>
      <c r="K11" s="36">
        <f>VLOOKUP($A11,[24]HISTOMARS24!$A$6:$AU$38,45,0)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VLOOKUP($A11,[24]HISTOMARS24!$A$6:$AU$38,7,0)</f>
        <v>0</v>
      </c>
      <c r="Q11" s="36">
        <f>VLOOKUP($A11,[24]HISTOMARS24!$A$6:$AU$38,23,0)</f>
        <v>0</v>
      </c>
      <c r="R11" s="36">
        <f>VLOOKUP($A11,[24]HISTOMARS24!$A$6:$AU$38,46,0)</f>
        <v>0</v>
      </c>
      <c r="S11" s="36">
        <f>VLOOKUP($A11,[24]HISTOMARS24!$A$6:$AU$38,26,0)</f>
        <v>0</v>
      </c>
      <c r="T11" s="36">
        <f>VLOOKUP($A11,[24]HISTOMARS24!$A$6:$BG$38,58,0)</f>
        <v>0</v>
      </c>
      <c r="U11" s="36">
        <f>VLOOKUP($A11,[24]HISTOMARS24!$A$6:$AU$38,28,0)</f>
        <v>0</v>
      </c>
      <c r="V11" s="36">
        <f>VLOOKUP($A11,[24]HISTOMARS24!$A$6:$AU$38,19,0)</f>
        <v>0</v>
      </c>
      <c r="W11" s="36">
        <f>VLOOKUP($A11,[24]HISTOMARS24!$A$6:$AU$38,20,0)</f>
        <v>0</v>
      </c>
      <c r="X11" s="36">
        <f>VLOOKUP($A11,[24]HISTOMARS24!$A$6:$AU$38,27,0)</f>
        <v>0</v>
      </c>
      <c r="Y11" s="36">
        <f>VLOOKUP($A11,[24]HISTOMARS24!$A$6:$BM$38,33,0)</f>
        <v>0</v>
      </c>
      <c r="Z11" s="36">
        <f>VLOOKUP($A11,[24]HISTOMARS24!$A$6:$BM$38,65,0)</f>
        <v>0</v>
      </c>
      <c r="AA11" s="36"/>
      <c r="AB11" s="36">
        <f>VLOOKUP($A11,[24]HISTOMARS24!$A$6:$AU$38,43,0)</f>
        <v>0</v>
      </c>
      <c r="AC11" s="36">
        <f>VLOOKUP($A11,[24]HISTOMARS24!$A$6:$AU$38,44,0)</f>
        <v>0</v>
      </c>
      <c r="AD11" s="36">
        <f>VLOOKUP($A11,[24]HISTOMARS24!$A$6:$AU$38,47,0)</f>
        <v>0</v>
      </c>
      <c r="AE11" s="36">
        <f>VLOOKUP(A11,[24]HISTOMARS24!$A$6:$BB$38,54,0)</f>
        <v>0</v>
      </c>
      <c r="AF11" s="36">
        <f>VLOOKUP($A11,[24]HISTOMARS24!$A$6:$CA$38,60,0)</f>
        <v>0</v>
      </c>
      <c r="AG11" s="36">
        <f>VLOOKUP($A11,[24]HISTOMARS24!$A$6:$CA$38,61,0)</f>
        <v>0</v>
      </c>
      <c r="AH11" s="36">
        <f>VLOOKUP($A11,[24]HISTOMARS24!$A$6:$CA$38,62,0)</f>
        <v>0</v>
      </c>
      <c r="AI11" s="36">
        <f>VLOOKUP($A11,[24]HISTOMARS24!$A$6:$CA$38,63,0)</f>
        <v>0</v>
      </c>
      <c r="AJ11" s="36">
        <f>VLOOKUP($A11,[24]HISTOMARS24!$A$6:$CA$38,64,0)</f>
        <v>0</v>
      </c>
      <c r="AK11" s="36">
        <f>VLOOKUP($A11,[24]HISTOMARS24!$A$6:$CA$38,65,0)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VLOOKUP($A12,[24]HISTOMARS24!$A$6:$BA$38,48,0)</f>
        <v>0</v>
      </c>
      <c r="F12" s="36">
        <f>MVTFEV24!I12-E12+L12</f>
        <v>832263.52376541402</v>
      </c>
      <c r="G12" s="5">
        <f>IF(MVTFEV24!I12+L12&gt;700000,(MVTFEV24!I12-E12+L12),0)</f>
        <v>832263.52376541402</v>
      </c>
      <c r="H12" s="36">
        <f t="shared" si="0"/>
        <v>2836.6236479816575</v>
      </c>
      <c r="I12" s="6">
        <f t="shared" si="2"/>
        <v>835100.14741339569</v>
      </c>
      <c r="J12" s="36">
        <f>VLOOKUP($A12,[24]HISTOMARS24!$A$6:$AQ$42,22,0)</f>
        <v>0</v>
      </c>
      <c r="K12" s="36">
        <f>VLOOKUP($A12,[24]HISTOMARS24!$A$6:$AU$38,45,0)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VLOOKUP($A12,[24]HISTOMARS24!$A$6:$AU$38,7,0)</f>
        <v>0</v>
      </c>
      <c r="Q12" s="36">
        <f>VLOOKUP($A12,[24]HISTOMARS24!$A$6:$AU$38,23,0)</f>
        <v>0</v>
      </c>
      <c r="R12" s="36">
        <f>VLOOKUP($A12,[24]HISTOMARS24!$A$6:$AU$38,46,0)</f>
        <v>0</v>
      </c>
      <c r="S12" s="36">
        <f>VLOOKUP($A12,[24]HISTOMARS24!$A$6:$AU$38,26,0)</f>
        <v>0</v>
      </c>
      <c r="T12" s="36">
        <f>VLOOKUP($A12,[24]HISTOMARS24!$A$6:$BG$38,58,0)</f>
        <v>0</v>
      </c>
      <c r="U12" s="36">
        <f>VLOOKUP($A12,[24]HISTOMARS24!$A$6:$AU$38,28,0)</f>
        <v>0</v>
      </c>
      <c r="V12" s="36">
        <f>VLOOKUP($A12,[24]HISTOMARS24!$A$6:$AU$38,19,0)</f>
        <v>0</v>
      </c>
      <c r="W12" s="36">
        <f>VLOOKUP($A12,[24]HISTOMARS24!$A$6:$AU$38,20,0)</f>
        <v>0</v>
      </c>
      <c r="X12" s="36">
        <f>VLOOKUP($A12,[24]HISTOMARS24!$A$6:$AU$38,27,0)</f>
        <v>0</v>
      </c>
      <c r="Y12" s="36">
        <f>VLOOKUP($A12,[24]HISTOMARS24!$A$6:$BM$38,33,0)</f>
        <v>0</v>
      </c>
      <c r="Z12" s="36">
        <f>VLOOKUP($A12,[24]HISTOMARS24!$A$6:$BM$38,65,0)</f>
        <v>0</v>
      </c>
      <c r="AA12" s="36"/>
      <c r="AB12" s="36">
        <f>VLOOKUP($A12,[24]HISTOMARS24!$A$6:$AU$38,43,0)</f>
        <v>0</v>
      </c>
      <c r="AC12" s="36">
        <f>VLOOKUP($A12,[24]HISTOMARS24!$A$6:$AU$38,44,0)</f>
        <v>0</v>
      </c>
      <c r="AD12" s="36">
        <f>VLOOKUP($A12,[24]HISTOMARS24!$A$6:$AU$38,47,0)</f>
        <v>0</v>
      </c>
      <c r="AE12" s="36">
        <f>VLOOKUP(A12,[24]HISTOMARS24!$A$6:$BB$38,54,0)</f>
        <v>0</v>
      </c>
      <c r="AF12" s="36">
        <f>VLOOKUP($A12,[24]HISTOMARS24!$A$6:$CA$38,60,0)</f>
        <v>0</v>
      </c>
      <c r="AG12" s="36">
        <f>VLOOKUP($A12,[24]HISTOMARS24!$A$6:$CA$38,61,0)</f>
        <v>0</v>
      </c>
      <c r="AH12" s="36">
        <f>VLOOKUP($A12,[24]HISTOMARS24!$A$6:$CA$38,62,0)</f>
        <v>0</v>
      </c>
      <c r="AI12" s="36">
        <f>VLOOKUP($A12,[24]HISTOMARS24!$A$6:$CA$38,63,0)</f>
        <v>0</v>
      </c>
      <c r="AJ12" s="36">
        <f>VLOOKUP($A12,[24]HISTOMARS24!$A$6:$CA$38,64,0)</f>
        <v>0</v>
      </c>
      <c r="AK12" s="36">
        <f>VLOOKUP($A12,[24]HISTOMARS24!$A$6:$CA$38,65,0)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VLOOKUP($A13,[24]HISTOMARS24!$A$6:$BA$38,48,0)</f>
        <v>0</v>
      </c>
      <c r="F13" s="36">
        <f>MVTFEV24!I13-E13+L13</f>
        <v>801822.27610570251</v>
      </c>
      <c r="G13" s="5">
        <f>IF(MVTFEV24!I13+L13&gt;700000,(MVTFEV24!I13-E13+L13),0)</f>
        <v>801822.27610570251</v>
      </c>
      <c r="H13" s="36">
        <f t="shared" si="0"/>
        <v>2732.8700164456645</v>
      </c>
      <c r="I13" s="6">
        <f t="shared" si="2"/>
        <v>804555.14612214814</v>
      </c>
      <c r="J13" s="36">
        <f>VLOOKUP($A13,[24]HISTOMARS24!$A$6:$AQ$42,22,0)</f>
        <v>0</v>
      </c>
      <c r="K13" s="36">
        <f>VLOOKUP($A13,[24]HISTOMARS24!$A$6:$AU$38,45,0)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VLOOKUP($A13,[24]HISTOMARS24!$A$6:$AU$38,7,0)</f>
        <v>0</v>
      </c>
      <c r="Q13" s="36">
        <f>VLOOKUP($A13,[24]HISTOMARS24!$A$6:$AU$38,23,0)</f>
        <v>0</v>
      </c>
      <c r="R13" s="36">
        <f>VLOOKUP($A13,[24]HISTOMARS24!$A$6:$AU$38,46,0)</f>
        <v>0</v>
      </c>
      <c r="S13" s="36">
        <f>VLOOKUP($A13,[24]HISTOMARS24!$A$6:$AU$38,26,0)</f>
        <v>0</v>
      </c>
      <c r="T13" s="36">
        <f>VLOOKUP($A13,[24]HISTOMARS24!$A$6:$BG$38,58,0)</f>
        <v>0</v>
      </c>
      <c r="U13" s="36">
        <f>VLOOKUP($A13,[24]HISTOMARS24!$A$6:$AU$38,28,0)</f>
        <v>0</v>
      </c>
      <c r="V13" s="36">
        <f>VLOOKUP($A13,[24]HISTOMARS24!$A$6:$AU$38,19,0)</f>
        <v>0</v>
      </c>
      <c r="W13" s="36">
        <f>VLOOKUP($A13,[24]HISTOMARS24!$A$6:$AU$38,20,0)</f>
        <v>0</v>
      </c>
      <c r="X13" s="36">
        <f>VLOOKUP($A13,[24]HISTOMARS24!$A$6:$AU$38,27,0)</f>
        <v>0</v>
      </c>
      <c r="Y13" s="36">
        <f>VLOOKUP($A13,[24]HISTOMARS24!$A$6:$BM$38,33,0)</f>
        <v>0</v>
      </c>
      <c r="Z13" s="36">
        <f>VLOOKUP($A13,[24]HISTOMARS24!$A$6:$BM$38,65,0)</f>
        <v>0</v>
      </c>
      <c r="AA13" s="36"/>
      <c r="AB13" s="36">
        <f>VLOOKUP($A13,[24]HISTOMARS24!$A$6:$AU$38,43,0)</f>
        <v>0</v>
      </c>
      <c r="AC13" s="36">
        <f>VLOOKUP($A13,[24]HISTOMARS24!$A$6:$AU$38,44,0)</f>
        <v>0</v>
      </c>
      <c r="AD13" s="36">
        <f>VLOOKUP($A13,[24]HISTOMARS24!$A$6:$AU$38,47,0)</f>
        <v>0</v>
      </c>
      <c r="AE13" s="36">
        <f>VLOOKUP(A13,[24]HISTOMARS24!$A$6:$BB$38,54,0)</f>
        <v>0</v>
      </c>
      <c r="AF13" s="36">
        <f>VLOOKUP($A13,[24]HISTOMARS24!$A$6:$CA$38,60,0)</f>
        <v>0</v>
      </c>
      <c r="AG13" s="36">
        <f>VLOOKUP($A13,[24]HISTOMARS24!$A$6:$CA$38,61,0)</f>
        <v>0</v>
      </c>
      <c r="AH13" s="36">
        <f>VLOOKUP($A13,[24]HISTOMARS24!$A$6:$CA$38,62,0)</f>
        <v>0</v>
      </c>
      <c r="AI13" s="36">
        <f>VLOOKUP($A13,[24]HISTOMARS24!$A$6:$CA$38,63,0)</f>
        <v>0</v>
      </c>
      <c r="AJ13" s="36">
        <f>VLOOKUP($A13,[24]HISTOMARS24!$A$6:$CA$38,64,0)</f>
        <v>0</v>
      </c>
      <c r="AK13" s="36">
        <f>VLOOKUP($A13,[24]HISTOMARS24!$A$6:$CA$38,65,0)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VLOOKUP($A14,[24]HISTOMARS24!$A$6:$BA$38,48,0)</f>
        <v>0</v>
      </c>
      <c r="F14" s="36">
        <f>MVTFEV24!I14-E14+L14</f>
        <v>1352815.1501578474</v>
      </c>
      <c r="G14" s="5">
        <f>IF(MVTFEV24!I14+L14&gt;700000,(MVTFEV24!I14-E14+L14),0)</f>
        <v>1352815.1501578474</v>
      </c>
      <c r="H14" s="36">
        <f t="shared" si="0"/>
        <v>4610.8321904147797</v>
      </c>
      <c r="I14" s="6">
        <f t="shared" si="2"/>
        <v>1357425.9823482623</v>
      </c>
      <c r="J14" s="36">
        <f>VLOOKUP($A14,[24]HISTOMARS24!$A$6:$AQ$42,22,0)</f>
        <v>0</v>
      </c>
      <c r="K14" s="36">
        <f>VLOOKUP($A14,[24]HISTOMARS24!$A$6:$AU$38,45,0)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VLOOKUP($A14,[24]HISTOMARS24!$A$6:$AU$38,7,0)</f>
        <v>0</v>
      </c>
      <c r="Q14" s="36">
        <f>VLOOKUP($A14,[24]HISTOMARS24!$A$6:$AU$38,23,0)</f>
        <v>0</v>
      </c>
      <c r="R14" s="36">
        <f>VLOOKUP($A14,[24]HISTOMARS24!$A$6:$AU$38,46,0)</f>
        <v>0</v>
      </c>
      <c r="S14" s="36">
        <f>VLOOKUP($A14,[24]HISTOMARS24!$A$6:$AU$38,26,0)</f>
        <v>0</v>
      </c>
      <c r="T14" s="36">
        <f>VLOOKUP($A14,[24]HISTOMARS24!$A$6:$BG$38,58,0)</f>
        <v>0</v>
      </c>
      <c r="U14" s="36">
        <f>VLOOKUP($A14,[24]HISTOMARS24!$A$6:$AU$38,28,0)</f>
        <v>0</v>
      </c>
      <c r="V14" s="36">
        <f>VLOOKUP($A14,[24]HISTOMARS24!$A$6:$AU$38,19,0)</f>
        <v>0</v>
      </c>
      <c r="W14" s="36">
        <f>VLOOKUP($A14,[24]HISTOMARS24!$A$6:$AU$38,20,0)</f>
        <v>0</v>
      </c>
      <c r="X14" s="36">
        <f>VLOOKUP($A14,[24]HISTOMARS24!$A$6:$AU$38,27,0)</f>
        <v>0</v>
      </c>
      <c r="Y14" s="36">
        <f>VLOOKUP($A14,[24]HISTOMARS24!$A$6:$BM$38,33,0)</f>
        <v>0</v>
      </c>
      <c r="Z14" s="36">
        <f>VLOOKUP($A14,[24]HISTOMARS24!$A$6:$BM$38,65,0)</f>
        <v>0</v>
      </c>
      <c r="AA14" s="36"/>
      <c r="AB14" s="36">
        <f>VLOOKUP($A14,[24]HISTOMARS24!$A$6:$AU$38,43,0)</f>
        <v>0</v>
      </c>
      <c r="AC14" s="36">
        <f>VLOOKUP($A14,[24]HISTOMARS24!$A$6:$AU$38,44,0)</f>
        <v>0</v>
      </c>
      <c r="AD14" s="36">
        <f>VLOOKUP($A14,[24]HISTOMARS24!$A$6:$AU$38,47,0)</f>
        <v>0</v>
      </c>
      <c r="AE14" s="36">
        <f>VLOOKUP(A14,[24]HISTOMARS24!$A$6:$BB$38,54,0)</f>
        <v>0</v>
      </c>
      <c r="AF14" s="36">
        <f>VLOOKUP($A14,[24]HISTOMARS24!$A$6:$CA$38,60,0)</f>
        <v>0</v>
      </c>
      <c r="AG14" s="36">
        <f>VLOOKUP($A14,[24]HISTOMARS24!$A$6:$CA$38,61,0)</f>
        <v>0</v>
      </c>
      <c r="AH14" s="36">
        <f>VLOOKUP($A14,[24]HISTOMARS24!$A$6:$CA$38,62,0)</f>
        <v>0</v>
      </c>
      <c r="AI14" s="36">
        <f>VLOOKUP($A14,[24]HISTOMARS24!$A$6:$CA$38,63,0)</f>
        <v>0</v>
      </c>
      <c r="AJ14" s="36">
        <f>VLOOKUP($A14,[24]HISTOMARS24!$A$6:$CA$38,64,0)</f>
        <v>0</v>
      </c>
      <c r="AK14" s="36">
        <f>VLOOKUP($A14,[24]HISTOMARS24!$A$6:$CA$38,65,0)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VLOOKUP($A15,[24]HISTOMARS24!$A$6:$BA$38,48,0)</f>
        <v>0</v>
      </c>
      <c r="F15" s="36">
        <f>MVTFEV24!I15-E15+L15</f>
        <v>863366.98721270484</v>
      </c>
      <c r="G15" s="5">
        <f>IF(MVTFEV24!I15+L15&gt;700000,(MVTFEV24!I15-E15+L15),0)</f>
        <v>863366.98721270484</v>
      </c>
      <c r="H15" s="36">
        <f t="shared" si="0"/>
        <v>2942.6343254045296</v>
      </c>
      <c r="I15" s="6">
        <f t="shared" si="2"/>
        <v>866309.62153810938</v>
      </c>
      <c r="J15" s="36">
        <f>VLOOKUP($A15,[24]HISTOMARS24!$A$6:$AQ$42,22,0)</f>
        <v>0</v>
      </c>
      <c r="K15" s="36">
        <f>VLOOKUP($A15,[24]HISTOMARS24!$A$6:$AU$38,45,0)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VLOOKUP($A15,[24]HISTOMARS24!$A$6:$AU$38,7,0)</f>
        <v>0</v>
      </c>
      <c r="Q15" s="36">
        <f>VLOOKUP($A15,[24]HISTOMARS24!$A$6:$AU$38,23,0)</f>
        <v>0</v>
      </c>
      <c r="R15" s="36">
        <f>VLOOKUP($A15,[24]HISTOMARS24!$A$6:$AU$38,46,0)</f>
        <v>0</v>
      </c>
      <c r="S15" s="36">
        <f>VLOOKUP($A15,[24]HISTOMARS24!$A$6:$AU$38,26,0)</f>
        <v>0</v>
      </c>
      <c r="T15" s="36">
        <f>VLOOKUP($A15,[24]HISTOMARS24!$A$6:$BG$38,58,0)</f>
        <v>0</v>
      </c>
      <c r="U15" s="36">
        <f>VLOOKUP($A15,[24]HISTOMARS24!$A$6:$AU$38,28,0)</f>
        <v>0</v>
      </c>
      <c r="V15" s="36">
        <f>VLOOKUP($A15,[24]HISTOMARS24!$A$6:$AU$38,19,0)</f>
        <v>0</v>
      </c>
      <c r="W15" s="36">
        <f>VLOOKUP($A15,[24]HISTOMARS24!$A$6:$AU$38,20,0)</f>
        <v>0</v>
      </c>
      <c r="X15" s="36">
        <f>VLOOKUP($A15,[24]HISTOMARS24!$A$6:$AU$38,27,0)</f>
        <v>0</v>
      </c>
      <c r="Y15" s="36">
        <f>VLOOKUP($A15,[24]HISTOMARS24!$A$6:$BM$38,33,0)</f>
        <v>0</v>
      </c>
      <c r="Z15" s="36">
        <f>VLOOKUP($A15,[24]HISTOMARS24!$A$6:$BM$38,65,0)</f>
        <v>0</v>
      </c>
      <c r="AA15" s="36"/>
      <c r="AB15" s="36">
        <f>VLOOKUP($A15,[24]HISTOMARS24!$A$6:$AU$38,43,0)</f>
        <v>0</v>
      </c>
      <c r="AC15" s="36">
        <f>VLOOKUP($A15,[24]HISTOMARS24!$A$6:$AU$38,44,0)</f>
        <v>0</v>
      </c>
      <c r="AD15" s="36">
        <f>VLOOKUP($A15,[24]HISTOMARS24!$A$6:$AU$38,47,0)</f>
        <v>0</v>
      </c>
      <c r="AE15" s="36">
        <f>VLOOKUP(A15,[24]HISTOMARS24!$A$6:$BB$38,54,0)</f>
        <v>0</v>
      </c>
      <c r="AF15" s="36">
        <f>VLOOKUP($A15,[24]HISTOMARS24!$A$6:$CA$38,60,0)</f>
        <v>0</v>
      </c>
      <c r="AG15" s="36">
        <f>VLOOKUP($A15,[24]HISTOMARS24!$A$6:$CA$38,61,0)</f>
        <v>0</v>
      </c>
      <c r="AH15" s="36">
        <f>VLOOKUP($A15,[24]HISTOMARS24!$A$6:$CA$38,62,0)</f>
        <v>0</v>
      </c>
      <c r="AI15" s="36">
        <f>VLOOKUP($A15,[24]HISTOMARS24!$A$6:$CA$38,63,0)</f>
        <v>0</v>
      </c>
      <c r="AJ15" s="36">
        <f>VLOOKUP($A15,[24]HISTOMARS24!$A$6:$CA$38,64,0)</f>
        <v>0</v>
      </c>
      <c r="AK15" s="36">
        <f>VLOOKUP($A15,[24]HISTOMARS24!$A$6:$CA$38,65,0)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VLOOKUP($A16,[24]HISTOMARS24!$A$6:$BA$38,48,0)</f>
        <v>0</v>
      </c>
      <c r="F16" s="36">
        <f>MVTFEV24!I16-E16+L16</f>
        <v>938659.4510785701</v>
      </c>
      <c r="G16" s="5">
        <f>IF(MVTFEV24!I16+L16&gt;700000,(MVTFEV24!I16-E16+L16),0)</f>
        <v>938659.4510785701</v>
      </c>
      <c r="H16" s="36">
        <f t="shared" si="0"/>
        <v>3199.2554284782691</v>
      </c>
      <c r="I16" s="6">
        <f t="shared" si="2"/>
        <v>941858.70650704834</v>
      </c>
      <c r="J16" s="36">
        <f>VLOOKUP($A16,[24]HISTOMARS24!$A$6:$AQ$42,22,0)</f>
        <v>0</v>
      </c>
      <c r="K16" s="36">
        <f>VLOOKUP($A16,[24]HISTOMARS24!$A$6:$AU$38,45,0)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VLOOKUP($A16,[24]HISTOMARS24!$A$6:$AU$38,7,0)</f>
        <v>0</v>
      </c>
      <c r="Q16" s="36">
        <f>VLOOKUP($A16,[24]HISTOMARS24!$A$6:$AU$38,23,0)</f>
        <v>0</v>
      </c>
      <c r="R16" s="36">
        <f>VLOOKUP($A16,[24]HISTOMARS24!$A$6:$AU$38,46,0)</f>
        <v>0</v>
      </c>
      <c r="S16" s="36">
        <f>VLOOKUP($A16,[24]HISTOMARS24!$A$6:$AU$38,26,0)</f>
        <v>0</v>
      </c>
      <c r="T16" s="36">
        <f>VLOOKUP($A16,[24]HISTOMARS24!$A$6:$BG$38,58,0)</f>
        <v>0</v>
      </c>
      <c r="U16" s="36">
        <f>VLOOKUP($A16,[24]HISTOMARS24!$A$6:$AU$38,28,0)</f>
        <v>0</v>
      </c>
      <c r="V16" s="36">
        <f>VLOOKUP($A16,[24]HISTOMARS24!$A$6:$AU$38,19,0)</f>
        <v>0</v>
      </c>
      <c r="W16" s="36">
        <f>VLOOKUP($A16,[24]HISTOMARS24!$A$6:$AU$38,20,0)</f>
        <v>0</v>
      </c>
      <c r="X16" s="36">
        <f>VLOOKUP($A16,[24]HISTOMARS24!$A$6:$AU$38,27,0)</f>
        <v>0</v>
      </c>
      <c r="Y16" s="36">
        <f>VLOOKUP($A16,[24]HISTOMARS24!$A$6:$BM$38,33,0)</f>
        <v>0</v>
      </c>
      <c r="Z16" s="36">
        <f>VLOOKUP($A16,[24]HISTOMARS24!$A$6:$BM$38,65,0)</f>
        <v>0</v>
      </c>
      <c r="AA16" s="36"/>
      <c r="AB16" s="36">
        <f>VLOOKUP($A16,[24]HISTOMARS24!$A$6:$AU$38,43,0)</f>
        <v>0</v>
      </c>
      <c r="AC16" s="36">
        <f>VLOOKUP($A16,[24]HISTOMARS24!$A$6:$AU$38,44,0)</f>
        <v>0</v>
      </c>
      <c r="AD16" s="36">
        <f>VLOOKUP($A16,[24]HISTOMARS24!$A$6:$AU$38,47,0)</f>
        <v>0</v>
      </c>
      <c r="AE16" s="36">
        <f>VLOOKUP(A16,[24]HISTOMARS24!$A$6:$BB$38,54,0)</f>
        <v>0</v>
      </c>
      <c r="AF16" s="36">
        <f>VLOOKUP($A16,[24]HISTOMARS24!$A$6:$CA$38,60,0)</f>
        <v>0</v>
      </c>
      <c r="AG16" s="36">
        <f>VLOOKUP($A16,[24]HISTOMARS24!$A$6:$CA$38,61,0)</f>
        <v>0</v>
      </c>
      <c r="AH16" s="36">
        <f>VLOOKUP($A16,[24]HISTOMARS24!$A$6:$CA$38,62,0)</f>
        <v>0</v>
      </c>
      <c r="AI16" s="36">
        <f>VLOOKUP($A16,[24]HISTOMARS24!$A$6:$CA$38,63,0)</f>
        <v>0</v>
      </c>
      <c r="AJ16" s="36">
        <f>VLOOKUP($A16,[24]HISTOMARS24!$A$6:$CA$38,64,0)</f>
        <v>0</v>
      </c>
      <c r="AK16" s="36">
        <f>VLOOKUP($A16,[24]HISTOMARS24!$A$6:$CA$38,65,0)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VLOOKUP($A17,[24]HISTOMARS24!$A$6:$BA$38,48,0)</f>
        <v>0</v>
      </c>
      <c r="F17" s="36">
        <f>MVTFEV24!I17-E17+L17</f>
        <v>811636.38086143602</v>
      </c>
      <c r="G17" s="5">
        <f>IF(MVTFEV24!I17+L17&gt;700000,(MVTFEV24!I17-E17+L17),0)</f>
        <v>811636.38086143602</v>
      </c>
      <c r="H17" s="36">
        <f t="shared" si="0"/>
        <v>2766.3196641100617</v>
      </c>
      <c r="I17" s="6">
        <f t="shared" si="2"/>
        <v>814402.7005255461</v>
      </c>
      <c r="J17" s="36">
        <f>VLOOKUP($A17,[24]HISTOMARS24!$A$6:$AQ$42,22,0)</f>
        <v>0</v>
      </c>
      <c r="K17" s="36">
        <f>VLOOKUP($A17,[24]HISTOMARS24!$A$6:$AU$38,45,0)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VLOOKUP($A17,[24]HISTOMARS24!$A$6:$AU$38,7,0)</f>
        <v>0</v>
      </c>
      <c r="Q17" s="36">
        <f>VLOOKUP($A17,[24]HISTOMARS24!$A$6:$AU$38,23,0)</f>
        <v>0</v>
      </c>
      <c r="R17" s="36">
        <f>VLOOKUP($A17,[24]HISTOMARS24!$A$6:$AU$38,46,0)</f>
        <v>0</v>
      </c>
      <c r="S17" s="36">
        <f>VLOOKUP($A17,[24]HISTOMARS24!$A$6:$AU$38,26,0)</f>
        <v>0</v>
      </c>
      <c r="T17" s="36">
        <f>VLOOKUP($A17,[24]HISTOMARS24!$A$6:$BG$38,58,0)</f>
        <v>0</v>
      </c>
      <c r="U17" s="36">
        <f>VLOOKUP($A17,[24]HISTOMARS24!$A$6:$AU$38,28,0)</f>
        <v>0</v>
      </c>
      <c r="V17" s="36">
        <f>VLOOKUP($A17,[24]HISTOMARS24!$A$6:$AU$38,19,0)</f>
        <v>500000</v>
      </c>
      <c r="W17" s="36" t="str">
        <f>VLOOKUP($A17,[24]HISTOMARS24!$A$6:$AU$38,20,0)</f>
        <v>BANQUE</v>
      </c>
      <c r="X17" s="36">
        <f>VLOOKUP($A17,[24]HISTOMARS24!$A$6:$AU$38,27,0)</f>
        <v>0</v>
      </c>
      <c r="Y17" s="36">
        <f>VLOOKUP($A17,[24]HISTOMARS24!$A$6:$BM$38,33,0)</f>
        <v>0</v>
      </c>
      <c r="Z17" s="36">
        <f>VLOOKUP($A17,[24]HISTOMARS24!$A$6:$BM$38,65,0)</f>
        <v>0</v>
      </c>
      <c r="AA17" s="36"/>
      <c r="AB17" s="36">
        <f>VLOOKUP($A17,[24]HISTOMARS24!$A$6:$AU$38,43,0)</f>
        <v>0</v>
      </c>
      <c r="AC17" s="36">
        <f>VLOOKUP($A17,[24]HISTOMARS24!$A$6:$AU$38,44,0)</f>
        <v>0</v>
      </c>
      <c r="AD17" s="36">
        <f>VLOOKUP($A17,[24]HISTOMARS24!$A$6:$AU$38,47,0)</f>
        <v>0</v>
      </c>
      <c r="AE17" s="36">
        <f>VLOOKUP(A17,[24]HISTOMARS24!$A$6:$BB$38,54,0)</f>
        <v>0</v>
      </c>
      <c r="AF17" s="36">
        <f>VLOOKUP($A17,[24]HISTOMARS24!$A$6:$CA$38,60,0)</f>
        <v>0</v>
      </c>
      <c r="AG17" s="36">
        <f>VLOOKUP($A17,[24]HISTOMARS24!$A$6:$CA$38,61,0)</f>
        <v>0</v>
      </c>
      <c r="AH17" s="36">
        <f>VLOOKUP($A17,[24]HISTOMARS24!$A$6:$CA$38,62,0)</f>
        <v>0</v>
      </c>
      <c r="AI17" s="36">
        <f>VLOOKUP($A17,[24]HISTOMARS24!$A$6:$CA$38,63,0)</f>
        <v>0</v>
      </c>
      <c r="AJ17" s="36">
        <f>VLOOKUP($A17,[24]HISTOMARS24!$A$6:$CA$38,64,0)</f>
        <v>0</v>
      </c>
      <c r="AK17" s="36">
        <f>VLOOKUP($A17,[24]HISTOMARS24!$A$6:$CA$38,65,0)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VLOOKUP($A18,[24]HISTOMARS24!$A$6:$BA$38,48,0)</f>
        <v>0</v>
      </c>
      <c r="F18" s="36">
        <f>MVTFEV24!I18-E18+L18</f>
        <v>847773.27828259184</v>
      </c>
      <c r="G18" s="5">
        <f>IF(MVTFEV24!I18+L18&gt;700000,(MVTFEV24!I18-E18+L18),0)</f>
        <v>847773.27828259184</v>
      </c>
      <c r="H18" s="36">
        <f t="shared" si="0"/>
        <v>2889.4859147775978</v>
      </c>
      <c r="I18" s="6">
        <f t="shared" si="2"/>
        <v>850662.76419736946</v>
      </c>
      <c r="J18" s="36">
        <f>VLOOKUP($A18,[24]HISTOMARS24!$A$6:$AQ$42,22,0)</f>
        <v>0</v>
      </c>
      <c r="K18" s="36">
        <f>VLOOKUP($A18,[24]HISTOMARS24!$A$6:$AU$38,45,0)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VLOOKUP($A18,[24]HISTOMARS24!$A$6:$AU$38,7,0)</f>
        <v>0</v>
      </c>
      <c r="Q18" s="36">
        <f>VLOOKUP($A18,[24]HISTOMARS24!$A$6:$AU$38,23,0)</f>
        <v>0</v>
      </c>
      <c r="R18" s="36">
        <f>VLOOKUP($A18,[24]HISTOMARS24!$A$6:$AU$38,46,0)</f>
        <v>0</v>
      </c>
      <c r="S18" s="36">
        <f>VLOOKUP($A18,[24]HISTOMARS24!$A$6:$AU$38,26,0)</f>
        <v>0</v>
      </c>
      <c r="T18" s="36">
        <f>VLOOKUP($A18,[24]HISTOMARS24!$A$6:$BG$38,58,0)</f>
        <v>0</v>
      </c>
      <c r="U18" s="36">
        <f>VLOOKUP($A18,[24]HISTOMARS24!$A$6:$AU$38,28,0)</f>
        <v>0</v>
      </c>
      <c r="V18" s="36">
        <f>VLOOKUP($A18,[24]HISTOMARS24!$A$6:$AU$38,19,0)</f>
        <v>0</v>
      </c>
      <c r="W18" s="36">
        <f>VLOOKUP($A18,[24]HISTOMARS24!$A$6:$AU$38,20,0)</f>
        <v>0</v>
      </c>
      <c r="X18" s="36">
        <f>VLOOKUP($A18,[24]HISTOMARS24!$A$6:$AU$38,27,0)</f>
        <v>0</v>
      </c>
      <c r="Y18" s="36">
        <f>VLOOKUP($A18,[24]HISTOMARS24!$A$6:$BM$38,33,0)</f>
        <v>0</v>
      </c>
      <c r="Z18" s="36">
        <f>VLOOKUP($A18,[24]HISTOMARS24!$A$6:$BM$38,65,0)</f>
        <v>0</v>
      </c>
      <c r="AA18" s="36"/>
      <c r="AB18" s="36">
        <f>VLOOKUP($A18,[24]HISTOMARS24!$A$6:$AU$38,43,0)</f>
        <v>0</v>
      </c>
      <c r="AC18" s="36">
        <f>VLOOKUP($A18,[24]HISTOMARS24!$A$6:$AU$38,44,0)</f>
        <v>0</v>
      </c>
      <c r="AD18" s="36">
        <f>VLOOKUP($A18,[24]HISTOMARS24!$A$6:$AU$38,47,0)</f>
        <v>0</v>
      </c>
      <c r="AE18" s="36">
        <f>VLOOKUP(A18,[24]HISTOMARS24!$A$6:$BB$38,54,0)</f>
        <v>0</v>
      </c>
      <c r="AF18" s="36">
        <f>VLOOKUP($A18,[24]HISTOMARS24!$A$6:$CA$38,60,0)</f>
        <v>0</v>
      </c>
      <c r="AG18" s="36">
        <f>VLOOKUP($A18,[24]HISTOMARS24!$A$6:$CA$38,61,0)</f>
        <v>0</v>
      </c>
      <c r="AH18" s="36">
        <f>VLOOKUP($A18,[24]HISTOMARS24!$A$6:$CA$38,62,0)</f>
        <v>0</v>
      </c>
      <c r="AI18" s="36">
        <f>VLOOKUP($A18,[24]HISTOMARS24!$A$6:$CA$38,63,0)</f>
        <v>0</v>
      </c>
      <c r="AJ18" s="36">
        <f>VLOOKUP($A18,[24]HISTOMARS24!$A$6:$CA$38,64,0)</f>
        <v>0</v>
      </c>
      <c r="AK18" s="36">
        <f>VLOOKUP($A18,[24]HISTOMARS24!$A$6:$CA$38,65,0)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MVTFEV24!I19-E19+L19</f>
        <v>676217.13072703336</v>
      </c>
      <c r="G19" s="5">
        <f>IF(MVTFEV24!I19+L19&gt;700000,(MVTFEV24!I19-E19+L19),0)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MVTFEV24!I20-E20+L20</f>
        <v>57000</v>
      </c>
      <c r="G20" s="5">
        <f>IF(MVTFEV24!I20+L20&gt;700000,(MVTFEV24!I20-E20+L20),0)</f>
        <v>0</v>
      </c>
      <c r="H20" s="36">
        <f t="shared" si="0"/>
        <v>0</v>
      </c>
      <c r="I20" s="6">
        <f t="shared" si="2"/>
        <v>57000</v>
      </c>
      <c r="J20" s="36">
        <f>VLOOKUP($A20,[24]HISTOMARS24!$A$6:$AQ$42,22,0)</f>
        <v>0</v>
      </c>
      <c r="K20" s="36">
        <f>VLOOKUP($A20,[24]HISTOMARS24!$A$6:$AU$38,45,0)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VLOOKUP($A20,[24]HISTOMARS24!$A$6:$AU$38,7,0)</f>
        <v>0</v>
      </c>
      <c r="Q20" s="36">
        <f>VLOOKUP($A20,[24]HISTOMARS24!$A$6:$AU$38,23,0)</f>
        <v>0</v>
      </c>
      <c r="R20" s="36">
        <f>VLOOKUP($A20,[24]HISTOMARS24!$A$6:$AU$38,46,0)</f>
        <v>0</v>
      </c>
      <c r="S20" s="36">
        <f>VLOOKUP($A20,[24]HISTOMARS24!$A$6:$AU$38,26,0)</f>
        <v>0</v>
      </c>
      <c r="T20" s="36">
        <f>VLOOKUP($A20,[24]HISTOMARS24!$A$6:$BG$38,58,0)</f>
        <v>0</v>
      </c>
      <c r="U20" s="36">
        <f>VLOOKUP($A20,[24]HISTOMARS24!$A$6:$AU$38,28,0)</f>
        <v>0</v>
      </c>
      <c r="V20" s="36">
        <f>VLOOKUP($A20,[24]HISTOMARS24!$A$6:$AU$38,19,0)</f>
        <v>0</v>
      </c>
      <c r="W20" s="36">
        <f>VLOOKUP($A20,[24]HISTOMARS24!$A$6:$AU$38,20,0)</f>
        <v>0</v>
      </c>
      <c r="X20" s="36">
        <f>VLOOKUP($A20,[24]HISTOMARS24!$A$6:$AU$38,27,0)</f>
        <v>0</v>
      </c>
      <c r="Y20" s="36">
        <f>VLOOKUP($A20,[24]HISTOMARS24!$A$6:$BM$38,33,0)</f>
        <v>0</v>
      </c>
      <c r="Z20" s="36">
        <f>VLOOKUP($A20,[24]HISTOMARS24!$A$6:$BM$38,65,0)</f>
        <v>0</v>
      </c>
      <c r="AA20" s="36"/>
      <c r="AB20" s="36">
        <f>VLOOKUP($A20,[24]HISTOMARS24!$A$6:$AU$38,43,0)</f>
        <v>0</v>
      </c>
      <c r="AC20" s="36">
        <f>VLOOKUP($A20,[24]HISTOMARS24!$A$6:$AU$38,44,0)</f>
        <v>0</v>
      </c>
      <c r="AD20" s="36">
        <f>VLOOKUP($A20,[24]HISTOMARS24!$A$6:$AU$38,47,0)</f>
        <v>0</v>
      </c>
      <c r="AE20" s="36">
        <f>VLOOKUP(A20,[24]HISTOMARS24!$A$6:$BB$38,54,0)</f>
        <v>0</v>
      </c>
      <c r="AF20" s="36">
        <f>VLOOKUP($A20,[24]HISTOMARS24!$A$6:$CA$38,60,0)</f>
        <v>0</v>
      </c>
      <c r="AG20" s="36">
        <f>VLOOKUP($A20,[24]HISTOMARS24!$A$6:$CA$38,61,0)</f>
        <v>0</v>
      </c>
      <c r="AH20" s="36">
        <f>VLOOKUP($A20,[24]HISTOMARS24!$A$6:$CA$38,62,0)</f>
        <v>0</v>
      </c>
      <c r="AI20" s="36">
        <f>VLOOKUP($A20,[24]HISTOMARS24!$A$6:$CA$38,63,0)</f>
        <v>0</v>
      </c>
      <c r="AJ20" s="36">
        <f>VLOOKUP($A20,[24]HISTOMARS24!$A$6:$CA$38,64,0)</f>
        <v>0</v>
      </c>
      <c r="AK20" s="36">
        <f>VLOOKUP($A20,[24]HISTOMARS24!$A$6:$CA$38,65,0)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MVTFEV24!I21-E21+L21</f>
        <v>835508.11835236836</v>
      </c>
      <c r="G21" s="5">
        <f>IF(MVTFEV24!I21+L21&gt;700000,(MVTFEV24!I21-E21+L21),0)</f>
        <v>835508.11835236836</v>
      </c>
      <c r="H21" s="36">
        <f t="shared" si="0"/>
        <v>2847.6822772146529</v>
      </c>
      <c r="I21" s="6">
        <f t="shared" si="2"/>
        <v>838355.80062958295</v>
      </c>
      <c r="J21" s="36">
        <f>VLOOKUP($A21,[24]HISTOMARS24!$A$6:$AQ$42,22,0)</f>
        <v>0</v>
      </c>
      <c r="K21" s="36">
        <f>VLOOKUP($A21,[24]HISTOMARS24!$A$6:$AU$38,45,0)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VLOOKUP($A21,[24]HISTOMARS24!$A$6:$AU$38,7,0)</f>
        <v>0</v>
      </c>
      <c r="Q21" s="36">
        <f>VLOOKUP($A21,[24]HISTOMARS24!$A$6:$AU$38,23,0)</f>
        <v>0</v>
      </c>
      <c r="R21" s="36">
        <f>VLOOKUP($A21,[24]HISTOMARS24!$A$6:$AU$38,46,0)</f>
        <v>0</v>
      </c>
      <c r="S21" s="36">
        <f>VLOOKUP($A21,[24]HISTOMARS24!$A$6:$AU$38,26,0)</f>
        <v>0</v>
      </c>
      <c r="T21" s="36">
        <f>VLOOKUP($A21,[24]HISTOMARS24!$A$6:$BG$38,58,0)</f>
        <v>0</v>
      </c>
      <c r="U21" s="36">
        <f>VLOOKUP($A21,[24]HISTOMARS24!$A$6:$AU$38,28,0)</f>
        <v>0</v>
      </c>
      <c r="V21" s="36">
        <f>VLOOKUP($A21,[24]HISTOMARS24!$A$6:$AU$38,19,0)</f>
        <v>0</v>
      </c>
      <c r="W21" s="36">
        <f>VLOOKUP($A21,[24]HISTOMARS24!$A$6:$AU$38,20,0)</f>
        <v>0</v>
      </c>
      <c r="X21" s="36">
        <f>VLOOKUP($A21,[24]HISTOMARS24!$A$6:$AU$38,27,0)</f>
        <v>0</v>
      </c>
      <c r="Y21" s="36">
        <f>VLOOKUP($A21,[24]HISTOMARS24!$A$6:$BM$38,33,0)</f>
        <v>0</v>
      </c>
      <c r="Z21" s="36">
        <f>VLOOKUP($A21,[24]HISTOMARS24!$A$6:$BM$38,65,0)</f>
        <v>0</v>
      </c>
      <c r="AA21" s="36"/>
      <c r="AB21" s="36">
        <f>VLOOKUP($A21,[24]HISTOMARS24!$A$6:$AU$38,43,0)</f>
        <v>0</v>
      </c>
      <c r="AC21" s="36">
        <f>VLOOKUP($A21,[24]HISTOMARS24!$A$6:$AU$38,44,0)</f>
        <v>0</v>
      </c>
      <c r="AD21" s="36">
        <f>VLOOKUP($A21,[24]HISTOMARS24!$A$6:$AU$38,47,0)</f>
        <v>0</v>
      </c>
      <c r="AE21" s="36">
        <f>VLOOKUP(A21,[24]HISTOMARS24!$A$6:$BB$38,54,0)</f>
        <v>0</v>
      </c>
      <c r="AF21" s="36">
        <f>VLOOKUP($A21,[24]HISTOMARS24!$A$6:$CA$38,60,0)</f>
        <v>0</v>
      </c>
      <c r="AG21" s="36">
        <f>VLOOKUP($A21,[24]HISTOMARS24!$A$6:$CA$38,61,0)</f>
        <v>0</v>
      </c>
      <c r="AH21" s="36">
        <f>VLOOKUP($A21,[24]HISTOMARS24!$A$6:$CA$38,62,0)</f>
        <v>0</v>
      </c>
      <c r="AI21" s="36">
        <f>VLOOKUP($A21,[24]HISTOMARS24!$A$6:$CA$38,63,0)</f>
        <v>0</v>
      </c>
      <c r="AJ21" s="36">
        <f>VLOOKUP($A21,[24]HISTOMARS24!$A$6:$CA$38,64,0)</f>
        <v>0</v>
      </c>
      <c r="AK21" s="36">
        <f>VLOOKUP($A21,[24]HISTOMARS24!$A$6:$CA$38,65,0)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MVTFEV24!I22-E22+L22</f>
        <v>803002.06839666655</v>
      </c>
      <c r="G22" s="5">
        <f>IF(MVTFEV24!I22+L22&gt;700000,(MVTFEV24!I22-E22+L22),0)</f>
        <v>803002.06839666655</v>
      </c>
      <c r="H22" s="36">
        <f t="shared" si="0"/>
        <v>2736.8911306921641</v>
      </c>
      <c r="I22" s="6">
        <f t="shared" si="2"/>
        <v>805738.95952735876</v>
      </c>
      <c r="J22" s="36">
        <f>VLOOKUP($A22,[24]HISTOMARS24!$A$6:$AQ$42,22,0)</f>
        <v>0</v>
      </c>
      <c r="K22" s="36">
        <f>VLOOKUP($A22,[24]HISTOMARS24!$A$6:$AU$38,45,0)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VLOOKUP($A22,[24]HISTOMARS24!$A$6:$AU$38,7,0)</f>
        <v>0</v>
      </c>
      <c r="Q22" s="36">
        <f>VLOOKUP($A22,[24]HISTOMARS24!$A$6:$AU$38,23,0)</f>
        <v>0</v>
      </c>
      <c r="R22" s="36">
        <f>VLOOKUP($A22,[24]HISTOMARS24!$A$6:$AU$38,46,0)</f>
        <v>0</v>
      </c>
      <c r="S22" s="36">
        <f>VLOOKUP($A22,[24]HISTOMARS24!$A$6:$AU$38,26,0)</f>
        <v>0</v>
      </c>
      <c r="T22" s="36">
        <f>VLOOKUP($A22,[24]HISTOMARS24!$A$6:$BG$38,58,0)</f>
        <v>0</v>
      </c>
      <c r="U22" s="36">
        <f>VLOOKUP($A22,[24]HISTOMARS24!$A$6:$AU$38,28,0)</f>
        <v>0</v>
      </c>
      <c r="V22" s="36">
        <f>VLOOKUP($A22,[24]HISTOMARS24!$A$6:$AU$38,19,0)</f>
        <v>0</v>
      </c>
      <c r="W22" s="36">
        <f>VLOOKUP($A22,[24]HISTOMARS24!$A$6:$AU$38,20,0)</f>
        <v>0</v>
      </c>
      <c r="X22" s="36">
        <f>VLOOKUP($A22,[24]HISTOMARS24!$A$6:$AU$38,27,0)</f>
        <v>0</v>
      </c>
      <c r="Y22" s="36">
        <f>VLOOKUP($A22,[24]HISTOMARS24!$A$6:$BM$38,33,0)</f>
        <v>0</v>
      </c>
      <c r="Z22" s="36">
        <f>VLOOKUP($A22,[24]HISTOMARS24!$A$6:$BM$38,65,0)</f>
        <v>0</v>
      </c>
      <c r="AA22" s="36"/>
      <c r="AB22" s="36">
        <f>VLOOKUP($A22,[24]HISTOMARS24!$A$6:$AU$38,43,0)</f>
        <v>0</v>
      </c>
      <c r="AC22" s="36">
        <f>VLOOKUP($A22,[24]HISTOMARS24!$A$6:$AU$38,44,0)</f>
        <v>0</v>
      </c>
      <c r="AD22" s="36">
        <f>VLOOKUP($A22,[24]HISTOMARS24!$A$6:$AU$38,47,0)</f>
        <v>0</v>
      </c>
      <c r="AE22" s="36">
        <f>VLOOKUP(A22,[24]HISTOMARS24!$A$6:$BB$38,54,0)</f>
        <v>0</v>
      </c>
      <c r="AF22" s="36">
        <f>VLOOKUP($A22,[24]HISTOMARS24!$A$6:$CA$38,60,0)</f>
        <v>0</v>
      </c>
      <c r="AG22" s="36">
        <f>VLOOKUP($A22,[24]HISTOMARS24!$A$6:$CA$38,61,0)</f>
        <v>0</v>
      </c>
      <c r="AH22" s="36">
        <f>VLOOKUP($A22,[24]HISTOMARS24!$A$6:$CA$38,62,0)</f>
        <v>0</v>
      </c>
      <c r="AI22" s="36">
        <f>VLOOKUP($A22,[24]HISTOMARS24!$A$6:$CA$38,63,0)</f>
        <v>0</v>
      </c>
      <c r="AJ22" s="36">
        <f>VLOOKUP($A22,[24]HISTOMARS24!$A$6:$CA$38,64,0)</f>
        <v>0</v>
      </c>
      <c r="AK22" s="36">
        <f>VLOOKUP($A22,[24]HISTOMARS24!$A$6:$CA$38,65,0)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MVTFEV24!I23-E23+L23</f>
        <v>908577.59794331016</v>
      </c>
      <c r="G23" s="5">
        <f>IF(MVTFEV24!I23+L23&gt;700000,(MVTFEV24!I23-E23+L23),0)</f>
        <v>908577.59794331016</v>
      </c>
      <c r="H23" s="36">
        <f t="shared" si="0"/>
        <v>3096.7267298846714</v>
      </c>
      <c r="I23" s="6">
        <f t="shared" si="2"/>
        <v>911674.32467319479</v>
      </c>
      <c r="J23" s="36">
        <f>VLOOKUP($A23,[24]HISTOMARS24!$A$6:$AQ$42,22,0)</f>
        <v>0</v>
      </c>
      <c r="K23" s="36">
        <f>VLOOKUP($A23,[24]HISTOMARS24!$A$6:$AU$38,45,0)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VLOOKUP($A23,[24]HISTOMARS24!$A$6:$AU$38,7,0)</f>
        <v>0</v>
      </c>
      <c r="Q23" s="36">
        <f>VLOOKUP($A23,[24]HISTOMARS24!$A$6:$AU$38,23,0)</f>
        <v>0</v>
      </c>
      <c r="R23" s="36">
        <f>VLOOKUP($A23,[24]HISTOMARS24!$A$6:$AU$38,46,0)</f>
        <v>0</v>
      </c>
      <c r="S23" s="36">
        <f>VLOOKUP($A23,[24]HISTOMARS24!$A$6:$AU$38,26,0)</f>
        <v>0</v>
      </c>
      <c r="T23" s="36">
        <f>VLOOKUP($A23,[24]HISTOMARS24!$A$6:$BG$38,58,0)</f>
        <v>0</v>
      </c>
      <c r="U23" s="36">
        <f>VLOOKUP($A23,[24]HISTOMARS24!$A$6:$AU$38,28,0)</f>
        <v>0</v>
      </c>
      <c r="V23" s="36">
        <f>VLOOKUP($A23,[24]HISTOMARS24!$A$6:$AU$38,19,0)</f>
        <v>0</v>
      </c>
      <c r="W23" s="36">
        <f>VLOOKUP($A23,[24]HISTOMARS24!$A$6:$AU$38,20,0)</f>
        <v>0</v>
      </c>
      <c r="X23" s="36">
        <f>VLOOKUP($A23,[24]HISTOMARS24!$A$6:$AU$38,27,0)</f>
        <v>0</v>
      </c>
      <c r="Y23" s="36">
        <f>VLOOKUP($A23,[24]HISTOMARS24!$A$6:$BM$38,33,0)</f>
        <v>0</v>
      </c>
      <c r="Z23" s="36">
        <f>VLOOKUP($A23,[24]HISTOMARS24!$A$6:$BM$38,65,0)</f>
        <v>0</v>
      </c>
      <c r="AA23" s="36"/>
      <c r="AB23" s="36">
        <f>VLOOKUP($A23,[24]HISTOMARS24!$A$6:$AU$38,43,0)</f>
        <v>0</v>
      </c>
      <c r="AC23" s="36">
        <f>VLOOKUP($A23,[24]HISTOMARS24!$A$6:$AU$38,44,0)</f>
        <v>0</v>
      </c>
      <c r="AD23" s="36">
        <f>VLOOKUP($A23,[24]HISTOMARS24!$A$6:$AU$38,47,0)</f>
        <v>0</v>
      </c>
      <c r="AE23" s="36">
        <f>VLOOKUP(A23,[24]HISTOMARS24!$A$6:$BB$38,54,0)</f>
        <v>0</v>
      </c>
      <c r="AF23" s="36">
        <f>VLOOKUP($A23,[24]HISTOMARS24!$A$6:$CA$38,60,0)</f>
        <v>0</v>
      </c>
      <c r="AG23" s="36">
        <f>VLOOKUP($A23,[24]HISTOMARS24!$A$6:$CA$38,61,0)</f>
        <v>0</v>
      </c>
      <c r="AH23" s="36">
        <f>VLOOKUP($A23,[24]HISTOMARS24!$A$6:$CA$38,62,0)</f>
        <v>0</v>
      </c>
      <c r="AI23" s="36">
        <f>VLOOKUP($A23,[24]HISTOMARS24!$A$6:$CA$38,63,0)</f>
        <v>0</v>
      </c>
      <c r="AJ23" s="36">
        <f>VLOOKUP($A23,[24]HISTOMARS24!$A$6:$CA$38,64,0)</f>
        <v>0</v>
      </c>
      <c r="AK23" s="36">
        <f>VLOOKUP($A23,[24]HISTOMARS24!$A$6:$CA$38,65,0)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MVTFEV24!I24-E24+L24</f>
        <v>1071176.9262946523</v>
      </c>
      <c r="G24" s="5">
        <f>IF(MVTFEV24!I24+L24&gt;700000,(MVTFEV24!I24-E24+L24),0)</f>
        <v>1071176.9262946523</v>
      </c>
      <c r="H24" s="36">
        <f t="shared" si="0"/>
        <v>3650.917904646954</v>
      </c>
      <c r="I24" s="6">
        <f t="shared" si="2"/>
        <v>1074827.8441992993</v>
      </c>
      <c r="J24" s="36">
        <f>VLOOKUP($A24,[24]HISTOMARS24!$A$6:$AQ$42,22,0)</f>
        <v>0</v>
      </c>
      <c r="K24" s="36">
        <f>VLOOKUP($A24,[24]HISTOMARS24!$A$6:$AU$38,45,0)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VLOOKUP($A24,[24]HISTOMARS24!$A$6:$AU$38,7,0)</f>
        <v>0</v>
      </c>
      <c r="Q24" s="36">
        <f>VLOOKUP($A24,[24]HISTOMARS24!$A$6:$AU$38,23,0)</f>
        <v>0</v>
      </c>
      <c r="R24" s="36">
        <f>VLOOKUP($A24,[24]HISTOMARS24!$A$6:$AU$38,46,0)</f>
        <v>0</v>
      </c>
      <c r="S24" s="36">
        <f>VLOOKUP($A24,[24]HISTOMARS24!$A$6:$AU$38,26,0)</f>
        <v>0</v>
      </c>
      <c r="T24" s="36">
        <f>VLOOKUP($A24,[24]HISTOMARS24!$A$6:$BG$38,58,0)</f>
        <v>0</v>
      </c>
      <c r="U24" s="36">
        <f>VLOOKUP($A24,[24]HISTOMARS24!$A$6:$AU$38,28,0)</f>
        <v>0</v>
      </c>
      <c r="V24" s="36">
        <f>VLOOKUP($A24,[24]HISTOMARS24!$A$6:$AU$38,19,0)</f>
        <v>0</v>
      </c>
      <c r="W24" s="36">
        <f>VLOOKUP($A24,[24]HISTOMARS24!$A$6:$AU$38,20,0)</f>
        <v>0</v>
      </c>
      <c r="X24" s="36">
        <f>VLOOKUP($A24,[24]HISTOMARS24!$A$6:$AU$38,27,0)</f>
        <v>0</v>
      </c>
      <c r="Y24" s="36">
        <f>VLOOKUP($A24,[24]HISTOMARS24!$A$6:$BM$38,33,0)</f>
        <v>0</v>
      </c>
      <c r="Z24" s="36">
        <f>VLOOKUP($A24,[24]HISTOMARS24!$A$6:$BM$38,65,0)</f>
        <v>0</v>
      </c>
      <c r="AA24" s="36"/>
      <c r="AB24" s="36">
        <f>VLOOKUP($A24,[24]HISTOMARS24!$A$6:$AU$38,43,0)</f>
        <v>0</v>
      </c>
      <c r="AC24" s="36">
        <f>VLOOKUP($A24,[24]HISTOMARS24!$A$6:$AU$38,44,0)</f>
        <v>0</v>
      </c>
      <c r="AD24" s="36">
        <f>VLOOKUP($A24,[24]HISTOMARS24!$A$6:$AU$38,47,0)</f>
        <v>0</v>
      </c>
      <c r="AE24" s="36">
        <f>VLOOKUP(A24,[24]HISTOMARS24!$A$6:$BB$38,54,0)</f>
        <v>0</v>
      </c>
      <c r="AF24" s="36">
        <f>VLOOKUP($A24,[24]HISTOMARS24!$A$6:$CA$38,60,0)</f>
        <v>0</v>
      </c>
      <c r="AG24" s="36">
        <f>VLOOKUP($A24,[24]HISTOMARS24!$A$6:$CA$38,61,0)</f>
        <v>0</v>
      </c>
      <c r="AH24" s="36">
        <f>VLOOKUP($A24,[24]HISTOMARS24!$A$6:$CA$38,62,0)</f>
        <v>0</v>
      </c>
      <c r="AI24" s="36">
        <f>VLOOKUP($A24,[24]HISTOMARS24!$A$6:$CA$38,63,0)</f>
        <v>0</v>
      </c>
      <c r="AJ24" s="36">
        <f>VLOOKUP($A24,[24]HISTOMARS24!$A$6:$CA$38,64,0)</f>
        <v>0</v>
      </c>
      <c r="AK24" s="36">
        <f>VLOOKUP($A24,[24]HISTOMARS24!$A$6:$CA$38,65,0)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MVTFEV24!I25-E25+L25</f>
        <v>893097.8283816867</v>
      </c>
      <c r="G25" s="5">
        <f>IF(MVTFEV24!I25+L25&gt;700000,(MVTFEV24!I25-E25+L25),0)</f>
        <v>893097.8283816867</v>
      </c>
      <c r="H25" s="36">
        <f t="shared" si="0"/>
        <v>3043.9666615289848</v>
      </c>
      <c r="I25" s="6">
        <f t="shared" si="2"/>
        <v>896141.79504321574</v>
      </c>
      <c r="J25" s="36">
        <f>VLOOKUP($A25,[24]HISTOMARS24!$A$6:$AQ$42,22,0)</f>
        <v>0</v>
      </c>
      <c r="K25" s="36">
        <f>VLOOKUP($A25,[24]HISTOMARS24!$A$6:$AU$38,45,0)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VLOOKUP($A25,[24]HISTOMARS24!$A$6:$AU$38,7,0)</f>
        <v>0</v>
      </c>
      <c r="Q25" s="36">
        <f>VLOOKUP($A25,[24]HISTOMARS24!$A$6:$AU$38,23,0)</f>
        <v>0</v>
      </c>
      <c r="R25" s="36">
        <f>VLOOKUP($A25,[24]HISTOMARS24!$A$6:$AU$38,46,0)</f>
        <v>0</v>
      </c>
      <c r="S25" s="36">
        <f>VLOOKUP($A25,[24]HISTOMARS24!$A$6:$AU$38,26,0)</f>
        <v>0</v>
      </c>
      <c r="T25" s="36">
        <f>VLOOKUP($A25,[24]HISTOMARS24!$A$6:$BG$38,58,0)</f>
        <v>0</v>
      </c>
      <c r="U25" s="36">
        <f>VLOOKUP($A25,[24]HISTOMARS24!$A$6:$AU$38,28,0)</f>
        <v>0</v>
      </c>
      <c r="V25" s="36">
        <f>VLOOKUP($A25,[24]HISTOMARS24!$A$6:$AU$38,19,0)</f>
        <v>0</v>
      </c>
      <c r="W25" s="36">
        <f>VLOOKUP($A25,[24]HISTOMARS24!$A$6:$AU$38,20,0)</f>
        <v>0</v>
      </c>
      <c r="X25" s="36">
        <f>VLOOKUP($A25,[24]HISTOMARS24!$A$6:$AU$38,27,0)</f>
        <v>0</v>
      </c>
      <c r="Y25" s="36">
        <f>VLOOKUP($A25,[24]HISTOMARS24!$A$6:$BM$38,33,0)</f>
        <v>0</v>
      </c>
      <c r="Z25" s="36">
        <f>VLOOKUP($A25,[24]HISTOMARS24!$A$6:$BM$38,65,0)</f>
        <v>0</v>
      </c>
      <c r="AA25" s="36"/>
      <c r="AB25" s="36">
        <f>VLOOKUP($A25,[24]HISTOMARS24!$A$6:$AU$38,43,0)</f>
        <v>0</v>
      </c>
      <c r="AC25" s="36">
        <f>VLOOKUP($A25,[24]HISTOMARS24!$A$6:$AU$38,44,0)</f>
        <v>0</v>
      </c>
      <c r="AD25" s="36">
        <f>VLOOKUP($A25,[24]HISTOMARS24!$A$6:$AU$38,47,0)</f>
        <v>0</v>
      </c>
      <c r="AE25" s="36">
        <f>VLOOKUP(A25,[24]HISTOMARS24!$A$6:$BB$38,54,0)</f>
        <v>0</v>
      </c>
      <c r="AF25" s="36">
        <f>VLOOKUP($A25,[24]HISTOMARS24!$A$6:$CA$38,60,0)</f>
        <v>0</v>
      </c>
      <c r="AG25" s="36">
        <f>VLOOKUP($A25,[24]HISTOMARS24!$A$6:$CA$38,61,0)</f>
        <v>0</v>
      </c>
      <c r="AH25" s="36">
        <f>VLOOKUP($A25,[24]HISTOMARS24!$A$6:$CA$38,62,0)</f>
        <v>0</v>
      </c>
      <c r="AI25" s="36">
        <f>VLOOKUP($A25,[24]HISTOMARS24!$A$6:$CA$38,63,0)</f>
        <v>0</v>
      </c>
      <c r="AJ25" s="36">
        <f>VLOOKUP($A25,[24]HISTOMARS24!$A$6:$CA$38,64,0)</f>
        <v>0</v>
      </c>
      <c r="AK25" s="36">
        <f>VLOOKUP($A25,[24]HISTOMARS24!$A$6:$CA$38,65,0)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MVTFEV24!I26-E26+L26</f>
        <v>823459.85025816096</v>
      </c>
      <c r="G26" s="5">
        <f>IF(MVTFEV24!I26+L26&gt;700000,(MVTFEV24!I26-E26+L26),0)</f>
        <v>823459.85025816096</v>
      </c>
      <c r="H26" s="36">
        <f t="shared" si="0"/>
        <v>2806.6178772772064</v>
      </c>
      <c r="I26" s="6">
        <f t="shared" si="2"/>
        <v>826266.46813543816</v>
      </c>
      <c r="J26" s="36">
        <f>VLOOKUP($A26,[24]HISTOMARS24!$A$6:$AQ$42,22,0)</f>
        <v>0</v>
      </c>
      <c r="K26" s="36">
        <f>VLOOKUP($A26,[24]HISTOMARS24!$A$6:$AU$38,45,0)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VLOOKUP($A26,[24]HISTOMARS24!$A$6:$AU$38,7,0)</f>
        <v>3000</v>
      </c>
      <c r="Q26" s="36">
        <f>VLOOKUP($A26,[24]HISTOMARS24!$A$6:$AU$38,23,0)</f>
        <v>0</v>
      </c>
      <c r="R26" s="36">
        <f>VLOOKUP($A26,[24]HISTOMARS24!$A$6:$AU$38,46,0)</f>
        <v>0</v>
      </c>
      <c r="S26" s="36">
        <f>VLOOKUP($A26,[24]HISTOMARS24!$A$6:$AU$38,26,0)</f>
        <v>0</v>
      </c>
      <c r="T26" s="36">
        <f>VLOOKUP($A26,[24]HISTOMARS24!$A$6:$BG$38,58,0)</f>
        <v>0</v>
      </c>
      <c r="U26" s="36">
        <f>VLOOKUP($A26,[24]HISTOMARS24!$A$6:$AU$38,28,0)</f>
        <v>0</v>
      </c>
      <c r="V26" s="36">
        <f>VLOOKUP($A26,[24]HISTOMARS24!$A$6:$AU$38,19,0)</f>
        <v>0</v>
      </c>
      <c r="W26" s="36">
        <f>VLOOKUP($A26,[24]HISTOMARS24!$A$6:$AU$38,20,0)</f>
        <v>0</v>
      </c>
      <c r="X26" s="36">
        <f>VLOOKUP($A26,[24]HISTOMARS24!$A$6:$AU$38,27,0)</f>
        <v>0</v>
      </c>
      <c r="Y26" s="36">
        <f>VLOOKUP($A26,[24]HISTOMARS24!$A$6:$BM$38,33,0)</f>
        <v>0</v>
      </c>
      <c r="Z26" s="36">
        <f>VLOOKUP($A26,[24]HISTOMARS24!$A$6:$BM$38,65,0)</f>
        <v>0</v>
      </c>
      <c r="AA26" s="36"/>
      <c r="AB26" s="36">
        <f>VLOOKUP($A26,[24]HISTOMARS24!$A$6:$AU$38,43,0)</f>
        <v>0</v>
      </c>
      <c r="AC26" s="36">
        <f>VLOOKUP($A26,[24]HISTOMARS24!$A$6:$AU$38,44,0)</f>
        <v>0</v>
      </c>
      <c r="AD26" s="36">
        <f>VLOOKUP($A26,[24]HISTOMARS24!$A$6:$AU$38,47,0)</f>
        <v>0</v>
      </c>
      <c r="AE26" s="36">
        <f>VLOOKUP(A26,[24]HISTOMARS24!$A$6:$BB$38,54,0)</f>
        <v>0</v>
      </c>
      <c r="AF26" s="36">
        <f>VLOOKUP($A26,[24]HISTOMARS24!$A$6:$CA$38,60,0)</f>
        <v>0</v>
      </c>
      <c r="AG26" s="36">
        <f>VLOOKUP($A26,[24]HISTOMARS24!$A$6:$CA$38,61,0)</f>
        <v>0</v>
      </c>
      <c r="AH26" s="36">
        <f>VLOOKUP($A26,[24]HISTOMARS24!$A$6:$CA$38,62,0)</f>
        <v>0</v>
      </c>
      <c r="AI26" s="36">
        <f>VLOOKUP($A26,[24]HISTOMARS24!$A$6:$CA$38,63,0)</f>
        <v>0</v>
      </c>
      <c r="AJ26" s="36">
        <f>VLOOKUP($A26,[24]HISTOMARS24!$A$6:$CA$38,64,0)</f>
        <v>0</v>
      </c>
      <c r="AK26" s="36">
        <f>VLOOKUP($A26,[24]HISTOMARS24!$A$6:$CA$38,65,0)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MVTFEV24!I27-E27+L27</f>
        <v>822022.45494661957</v>
      </c>
      <c r="G27" s="5">
        <f>IF(MVTFEV24!I27+L27&gt;700000,(MVTFEV24!I27-E27+L27),0)</f>
        <v>822022.45494661957</v>
      </c>
      <c r="H27" s="36">
        <f t="shared" si="0"/>
        <v>2801.7187685024169</v>
      </c>
      <c r="I27" s="6">
        <f t="shared" si="2"/>
        <v>824824.17371512204</v>
      </c>
      <c r="J27" s="36">
        <f>VLOOKUP($A27,[24]HISTOMARS24!$A$6:$AQ$42,22,0)</f>
        <v>0</v>
      </c>
      <c r="K27" s="36">
        <f>VLOOKUP($A27,[24]HISTOMARS24!$A$6:$AU$38,45,0)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VLOOKUP($A27,[24]HISTOMARS24!$A$6:$AU$38,7,0)</f>
        <v>0</v>
      </c>
      <c r="Q27" s="36">
        <f>VLOOKUP($A27,[24]HISTOMARS24!$A$6:$AU$38,23,0)</f>
        <v>0</v>
      </c>
      <c r="R27" s="36">
        <f>VLOOKUP($A27,[24]HISTOMARS24!$A$6:$AU$38,46,0)</f>
        <v>0</v>
      </c>
      <c r="S27" s="36">
        <f>VLOOKUP($A27,[24]HISTOMARS24!$A$6:$AU$38,26,0)</f>
        <v>0</v>
      </c>
      <c r="T27" s="36">
        <f>VLOOKUP($A27,[24]HISTOMARS24!$A$6:$BG$38,58,0)</f>
        <v>30000</v>
      </c>
      <c r="U27" s="36">
        <f>VLOOKUP($A27,[24]HISTOMARS24!$A$6:$AU$38,28,0)</f>
        <v>0</v>
      </c>
      <c r="V27" s="36">
        <f>VLOOKUP($A27,[24]HISTOMARS24!$A$6:$AU$38,19,0)</f>
        <v>0</v>
      </c>
      <c r="W27" s="36">
        <f>VLOOKUP($A27,[24]HISTOMARS24!$A$6:$AU$38,20,0)</f>
        <v>0</v>
      </c>
      <c r="X27" s="36">
        <f>VLOOKUP($A27,[24]HISTOMARS24!$A$6:$AU$38,27,0)</f>
        <v>0</v>
      </c>
      <c r="Y27" s="36">
        <f>VLOOKUP($A27,[24]HISTOMARS24!$A$6:$BM$38,33,0)</f>
        <v>0</v>
      </c>
      <c r="Z27" s="36">
        <f>VLOOKUP($A27,[24]HISTOMARS24!$A$6:$BM$38,65,0)</f>
        <v>0</v>
      </c>
      <c r="AA27" s="36"/>
      <c r="AB27" s="36">
        <f>VLOOKUP($A27,[24]HISTOMARS24!$A$6:$AU$38,43,0)</f>
        <v>0</v>
      </c>
      <c r="AC27" s="36">
        <f>VLOOKUP($A27,[24]HISTOMARS24!$A$6:$AU$38,44,0)</f>
        <v>0</v>
      </c>
      <c r="AD27" s="36">
        <f>VLOOKUP($A27,[24]HISTOMARS24!$A$6:$AU$38,47,0)</f>
        <v>0</v>
      </c>
      <c r="AE27" s="36">
        <f>VLOOKUP(A27,[24]HISTOMARS24!$A$6:$BB$38,54,0)</f>
        <v>0</v>
      </c>
      <c r="AF27" s="36">
        <f>VLOOKUP($A27,[24]HISTOMARS24!$A$6:$CA$38,60,0)</f>
        <v>0</v>
      </c>
      <c r="AG27" s="36">
        <f>VLOOKUP($A27,[24]HISTOMARS24!$A$6:$CA$38,61,0)</f>
        <v>0</v>
      </c>
      <c r="AH27" s="36">
        <f>VLOOKUP($A27,[24]HISTOMARS24!$A$6:$CA$38,62,0)</f>
        <v>0</v>
      </c>
      <c r="AI27" s="36">
        <f>VLOOKUP($A27,[24]HISTOMARS24!$A$6:$CA$38,63,0)</f>
        <v>0</v>
      </c>
      <c r="AJ27" s="36">
        <f>VLOOKUP($A27,[24]HISTOMARS24!$A$6:$CA$38,64,0)</f>
        <v>0</v>
      </c>
      <c r="AK27" s="36">
        <f>VLOOKUP($A27,[24]HISTOMARS24!$A$6:$CA$38,65,0)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MVTFEV24!I28-E28+L28</f>
        <v>723709.48879434192</v>
      </c>
      <c r="G28" s="5">
        <f>IF(MVTFEV24!I28+L28&gt;700000,(MVTFEV24!I28-E28+L28),0)</f>
        <v>723709.48879434192</v>
      </c>
      <c r="H28" s="36">
        <f t="shared" si="0"/>
        <v>2466.6363376047525</v>
      </c>
      <c r="I28" s="6">
        <f t="shared" si="2"/>
        <v>726176.12513194664</v>
      </c>
      <c r="J28" s="36">
        <f>VLOOKUP($A28,[24]HISTOMARS24!$A$6:$AQ$42,22,0)</f>
        <v>0</v>
      </c>
      <c r="K28" s="36">
        <f>VLOOKUP($A28,[24]HISTOMARS24!$A$6:$AU$38,45,0)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VLOOKUP($A28,[24]HISTOMARS24!$A$6:$AU$38,7,0)</f>
        <v>0</v>
      </c>
      <c r="Q28" s="36">
        <f>VLOOKUP($A28,[24]HISTOMARS24!$A$6:$AU$38,23,0)</f>
        <v>0</v>
      </c>
      <c r="R28" s="36">
        <f>VLOOKUP($A28,[24]HISTOMARS24!$A$6:$AU$38,46,0)</f>
        <v>0</v>
      </c>
      <c r="S28" s="36">
        <f>VLOOKUP($A28,[24]HISTOMARS24!$A$6:$AU$38,26,0)</f>
        <v>50000</v>
      </c>
      <c r="T28" s="36">
        <f>VLOOKUP($A28,[24]HISTOMARS24!$A$6:$BG$38,58,0)</f>
        <v>1500</v>
      </c>
      <c r="U28" s="36">
        <f>VLOOKUP($A28,[24]HISTOMARS24!$A$6:$AU$38,28,0)</f>
        <v>0</v>
      </c>
      <c r="V28" s="36">
        <f>VLOOKUP($A28,[24]HISTOMARS24!$A$6:$AU$38,19,0)</f>
        <v>0</v>
      </c>
      <c r="W28" s="36">
        <f>VLOOKUP($A28,[24]HISTOMARS24!$A$6:$AU$38,20,0)</f>
        <v>0</v>
      </c>
      <c r="X28" s="36" t="str">
        <f>VLOOKUP($A28,[24]HISTOMARS24!$A$6:$AU$38,27,0)</f>
        <v>BANQUE</v>
      </c>
      <c r="Y28" s="36">
        <f>VLOOKUP($A28,[24]HISTOMARS24!$A$6:$BM$38,33,0)</f>
        <v>0</v>
      </c>
      <c r="Z28" s="36">
        <f>VLOOKUP($A28,[24]HISTOMARS24!$A$6:$BM$38,65,0)</f>
        <v>0</v>
      </c>
      <c r="AA28" s="36"/>
      <c r="AB28" s="36">
        <f>VLOOKUP($A28,[24]HISTOMARS24!$A$6:$AU$38,43,0)</f>
        <v>0</v>
      </c>
      <c r="AC28" s="36">
        <f>VLOOKUP($A28,[24]HISTOMARS24!$A$6:$AU$38,44,0)</f>
        <v>0</v>
      </c>
      <c r="AD28" s="36">
        <f>VLOOKUP($A28,[24]HISTOMARS24!$A$6:$AU$38,47,0)</f>
        <v>0</v>
      </c>
      <c r="AE28" s="36">
        <f>VLOOKUP(A28,[24]HISTOMARS24!$A$6:$BB$38,54,0)</f>
        <v>0</v>
      </c>
      <c r="AF28" s="36">
        <f>VLOOKUP($A28,[24]HISTOMARS24!$A$6:$CA$38,60,0)</f>
        <v>0</v>
      </c>
      <c r="AG28" s="36">
        <f>VLOOKUP($A28,[24]HISTOMARS24!$A$6:$CA$38,61,0)</f>
        <v>0</v>
      </c>
      <c r="AH28" s="36">
        <f>VLOOKUP($A28,[24]HISTOMARS24!$A$6:$CA$38,62,0)</f>
        <v>0</v>
      </c>
      <c r="AI28" s="36">
        <f>VLOOKUP($A28,[24]HISTOMARS24!$A$6:$CA$38,63,0)</f>
        <v>0</v>
      </c>
      <c r="AJ28" s="36">
        <f>VLOOKUP($A28,[24]HISTOMARS24!$A$6:$CA$38,64,0)</f>
        <v>0</v>
      </c>
      <c r="AK28" s="36">
        <f>VLOOKUP($A28,[24]HISTOMARS24!$A$6:$CA$38,65,0)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MVTFEV24!I29-E29+L29</f>
        <v>848260.19874001166</v>
      </c>
      <c r="G29" s="5">
        <f>IF(MVTFEV24!I29+L29&gt;700000,(MVTFEV24!I29-E29+L29),0)</f>
        <v>848260.19874001166</v>
      </c>
      <c r="H29" s="36">
        <f t="shared" si="0"/>
        <v>2891.1454974034882</v>
      </c>
      <c r="I29" s="6">
        <f t="shared" si="2"/>
        <v>851151.34423741512</v>
      </c>
      <c r="J29" s="36">
        <f>VLOOKUP($A29,[24]HISTOMARS24!$A$6:$AQ$42,22,0)</f>
        <v>0</v>
      </c>
      <c r="K29" s="36">
        <f>VLOOKUP($A29,[24]HISTOMARS24!$A$6:$AU$38,45,0)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VLOOKUP($A29,[24]HISTOMARS24!$A$6:$AU$38,7,0)</f>
        <v>0</v>
      </c>
      <c r="Q29" s="36">
        <f>VLOOKUP($A29,[24]HISTOMARS24!$A$6:$AU$38,23,0)</f>
        <v>0</v>
      </c>
      <c r="R29" s="36">
        <f>VLOOKUP($A29,[24]HISTOMARS24!$A$6:$AU$38,46,0)</f>
        <v>0</v>
      </c>
      <c r="S29" s="36">
        <f>VLOOKUP($A29,[24]HISTOMARS24!$A$6:$AU$38,26,0)</f>
        <v>0</v>
      </c>
      <c r="T29" s="36">
        <f>VLOOKUP($A29,[24]HISTOMARS24!$A$6:$BG$38,58,0)</f>
        <v>0</v>
      </c>
      <c r="U29" s="36">
        <f>VLOOKUP($A29,[24]HISTOMARS24!$A$6:$AU$38,28,0)</f>
        <v>0</v>
      </c>
      <c r="V29" s="36">
        <f>VLOOKUP($A29,[24]HISTOMARS24!$A$6:$AU$38,19,0)</f>
        <v>0</v>
      </c>
      <c r="W29" s="36">
        <f>VLOOKUP($A29,[24]HISTOMARS24!$A$6:$AU$38,20,0)</f>
        <v>0</v>
      </c>
      <c r="X29" s="36">
        <f>VLOOKUP($A29,[24]HISTOMARS24!$A$6:$AU$38,27,0)</f>
        <v>0</v>
      </c>
      <c r="Y29" s="36">
        <f>VLOOKUP($A29,[24]HISTOMARS24!$A$6:$BM$38,33,0)</f>
        <v>0</v>
      </c>
      <c r="Z29" s="36">
        <f>VLOOKUP($A29,[24]HISTOMARS24!$A$6:$BM$38,65,0)</f>
        <v>0</v>
      </c>
      <c r="AA29" s="36"/>
      <c r="AB29" s="36">
        <f>VLOOKUP($A29,[24]HISTOMARS24!$A$6:$AU$38,43,0)</f>
        <v>0</v>
      </c>
      <c r="AC29" s="36">
        <f>VLOOKUP($A29,[24]HISTOMARS24!$A$6:$AU$38,44,0)</f>
        <v>0</v>
      </c>
      <c r="AD29" s="36">
        <f>VLOOKUP($A29,[24]HISTOMARS24!$A$6:$AU$38,47,0)</f>
        <v>0</v>
      </c>
      <c r="AE29" s="36">
        <f>VLOOKUP(A29,[24]HISTOMARS24!$A$6:$BB$38,54,0)</f>
        <v>0</v>
      </c>
      <c r="AF29" s="36">
        <f>VLOOKUP($A29,[24]HISTOMARS24!$A$6:$CA$38,60,0)</f>
        <v>0</v>
      </c>
      <c r="AG29" s="36">
        <f>VLOOKUP($A29,[24]HISTOMARS24!$A$6:$CA$38,61,0)</f>
        <v>0</v>
      </c>
      <c r="AH29" s="36">
        <f>VLOOKUP($A29,[24]HISTOMARS24!$A$6:$CA$38,62,0)</f>
        <v>0</v>
      </c>
      <c r="AI29" s="36">
        <f>VLOOKUP($A29,[24]HISTOMARS24!$A$6:$CA$38,63,0)</f>
        <v>0</v>
      </c>
      <c r="AJ29" s="36">
        <f>VLOOKUP($A29,[24]HISTOMARS24!$A$6:$CA$38,64,0)</f>
        <v>0</v>
      </c>
      <c r="AK29" s="36">
        <f>VLOOKUP($A29,[24]HISTOMARS24!$A$6:$CA$38,65,0)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MVTFEV24!I30-E30+L30</f>
        <v>753219.59413329989</v>
      </c>
      <c r="G30" s="5">
        <f>IF(MVTFEV24!I30+L30&gt;700000,(MVTFEV24!I30-E30+L30),0)</f>
        <v>753219.59413329989</v>
      </c>
      <c r="H30" s="36">
        <f t="shared" si="0"/>
        <v>2567.2163345271124</v>
      </c>
      <c r="I30" s="6">
        <f t="shared" si="2"/>
        <v>755786.81046782702</v>
      </c>
      <c r="J30" s="36">
        <f>VLOOKUP($A30,[24]HISTOMARS24!$A$6:$AQ$42,22,0)</f>
        <v>0</v>
      </c>
      <c r="K30" s="36">
        <f>VLOOKUP($A30,[24]HISTOMARS24!$A$6:$AU$38,45,0)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VLOOKUP($A30,[24]HISTOMARS24!$A$6:$AU$38,7,0)</f>
        <v>0</v>
      </c>
      <c r="Q30" s="36">
        <f>VLOOKUP($A30,[24]HISTOMARS24!$A$6:$AU$38,23,0)</f>
        <v>0</v>
      </c>
      <c r="R30" s="36">
        <f>VLOOKUP($A30,[24]HISTOMARS24!$A$6:$AU$38,46,0)</f>
        <v>0</v>
      </c>
      <c r="S30" s="36">
        <f>VLOOKUP($A30,[24]HISTOMARS24!$A$6:$AU$38,26,0)</f>
        <v>0</v>
      </c>
      <c r="T30" s="36">
        <f>VLOOKUP($A30,[24]HISTOMARS24!$A$6:$BG$38,58,0)</f>
        <v>0</v>
      </c>
      <c r="U30" s="36">
        <f>VLOOKUP($A30,[24]HISTOMARS24!$A$6:$AU$38,28,0)</f>
        <v>0</v>
      </c>
      <c r="V30" s="36">
        <f>VLOOKUP($A30,[24]HISTOMARS24!$A$6:$AU$38,19,0)</f>
        <v>0</v>
      </c>
      <c r="W30" s="36">
        <f>VLOOKUP($A30,[24]HISTOMARS24!$A$6:$AU$38,20,0)</f>
        <v>0</v>
      </c>
      <c r="X30" s="36">
        <f>VLOOKUP($A30,[24]HISTOMARS24!$A$6:$AU$38,27,0)</f>
        <v>0</v>
      </c>
      <c r="Y30" s="36">
        <f>VLOOKUP($A30,[24]HISTOMARS24!$A$6:$BM$38,33,0)</f>
        <v>0</v>
      </c>
      <c r="Z30" s="36">
        <f>VLOOKUP($A30,[24]HISTOMARS24!$A$6:$BM$38,65,0)</f>
        <v>0</v>
      </c>
      <c r="AA30" s="36"/>
      <c r="AB30" s="36">
        <f>VLOOKUP($A30,[24]HISTOMARS24!$A$6:$AU$38,43,0)</f>
        <v>0</v>
      </c>
      <c r="AC30" s="36">
        <f>VLOOKUP($A30,[24]HISTOMARS24!$A$6:$AU$38,44,0)</f>
        <v>0</v>
      </c>
      <c r="AD30" s="36">
        <f>VLOOKUP($A30,[24]HISTOMARS24!$A$6:$AU$38,47,0)</f>
        <v>0</v>
      </c>
      <c r="AE30" s="36">
        <f>VLOOKUP(A30,[24]HISTOMARS24!$A$6:$BB$38,54,0)</f>
        <v>0</v>
      </c>
      <c r="AF30" s="36">
        <f>VLOOKUP($A30,[24]HISTOMARS24!$A$6:$CA$38,60,0)</f>
        <v>0</v>
      </c>
      <c r="AG30" s="36">
        <f>VLOOKUP($A30,[24]HISTOMARS24!$A$6:$CA$38,61,0)</f>
        <v>0</v>
      </c>
      <c r="AH30" s="36">
        <f>VLOOKUP($A30,[24]HISTOMARS24!$A$6:$CA$38,62,0)</f>
        <v>0</v>
      </c>
      <c r="AI30" s="36">
        <f>VLOOKUP($A30,[24]HISTOMARS24!$A$6:$CA$38,63,0)</f>
        <v>0</v>
      </c>
      <c r="AJ30" s="36">
        <f>VLOOKUP($A30,[24]HISTOMARS24!$A$6:$CA$38,64,0)</f>
        <v>0</v>
      </c>
      <c r="AK30" s="36">
        <f>VLOOKUP($A30,[24]HISTOMARS24!$A$6:$CA$38,65,0)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MVTFEV24!I31-E31+L31</f>
        <v>912791.94057359709</v>
      </c>
      <c r="G31" s="5">
        <f>IF(MVTFEV24!I31+L31&gt;700000,(MVTFEV24!I31-E31+L31),0)</f>
        <v>912791.94057359709</v>
      </c>
      <c r="H31" s="36">
        <f t="shared" si="0"/>
        <v>3111.0905745377249</v>
      </c>
      <c r="I31" s="6">
        <f t="shared" si="2"/>
        <v>915903.03114813485</v>
      </c>
      <c r="J31" s="36">
        <f>VLOOKUP($A31,[24]HISTOMARS24!$A$6:$AQ$42,22,0)</f>
        <v>0</v>
      </c>
      <c r="K31" s="36">
        <f>VLOOKUP($A31,[24]HISTOMARS24!$A$6:$AU$38,45,0)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VLOOKUP($A31,[24]HISTOMARS24!$A$6:$AU$38,7,0)</f>
        <v>0</v>
      </c>
      <c r="Q31" s="36">
        <f>VLOOKUP($A31,[24]HISTOMARS24!$A$6:$AU$38,23,0)</f>
        <v>0</v>
      </c>
      <c r="R31" s="36">
        <f>VLOOKUP($A31,[24]HISTOMARS24!$A$6:$AU$38,46,0)</f>
        <v>0</v>
      </c>
      <c r="S31" s="36">
        <f>VLOOKUP($A31,[24]HISTOMARS24!$A$6:$AU$38,26,0)</f>
        <v>0</v>
      </c>
      <c r="T31" s="36">
        <f>VLOOKUP($A31,[24]HISTOMARS24!$A$6:$BG$38,58,0)</f>
        <v>0</v>
      </c>
      <c r="U31" s="36">
        <f>VLOOKUP($A31,[24]HISTOMARS24!$A$6:$AU$38,28,0)</f>
        <v>0</v>
      </c>
      <c r="V31" s="36">
        <f>VLOOKUP($A31,[24]HISTOMARS24!$A$6:$AU$38,19,0)</f>
        <v>0</v>
      </c>
      <c r="W31" s="36">
        <f>VLOOKUP($A31,[24]HISTOMARS24!$A$6:$AU$38,20,0)</f>
        <v>0</v>
      </c>
      <c r="X31" s="36">
        <f>VLOOKUP($A31,[24]HISTOMARS24!$A$6:$AU$38,27,0)</f>
        <v>0</v>
      </c>
      <c r="Y31" s="36">
        <f>VLOOKUP($A31,[24]HISTOMARS24!$A$6:$BM$38,33,0)</f>
        <v>0</v>
      </c>
      <c r="Z31" s="36">
        <f>VLOOKUP($A31,[24]HISTOMARS24!$A$6:$BM$38,65,0)</f>
        <v>0</v>
      </c>
      <c r="AA31" s="36"/>
      <c r="AB31" s="36">
        <f>VLOOKUP($A31,[24]HISTOMARS24!$A$6:$AU$38,43,0)</f>
        <v>0</v>
      </c>
      <c r="AC31" s="36">
        <f>VLOOKUP($A31,[24]HISTOMARS24!$A$6:$AU$38,44,0)</f>
        <v>0</v>
      </c>
      <c r="AD31" s="36">
        <f>VLOOKUP($A31,[24]HISTOMARS24!$A$6:$AU$38,47,0)</f>
        <v>0</v>
      </c>
      <c r="AE31" s="36">
        <f>VLOOKUP(A31,[24]HISTOMARS24!$A$6:$BB$38,54,0)</f>
        <v>0</v>
      </c>
      <c r="AF31" s="36">
        <f>VLOOKUP($A31,[24]HISTOMARS24!$A$6:$CA$38,60,0)</f>
        <v>0</v>
      </c>
      <c r="AG31" s="36">
        <f>VLOOKUP($A31,[24]HISTOMARS24!$A$6:$CA$38,61,0)</f>
        <v>0</v>
      </c>
      <c r="AH31" s="36">
        <f>VLOOKUP($A31,[24]HISTOMARS24!$A$6:$CA$38,62,0)</f>
        <v>0</v>
      </c>
      <c r="AI31" s="36">
        <f>VLOOKUP($A31,[24]HISTOMARS24!$A$6:$CA$38,63,0)</f>
        <v>0</v>
      </c>
      <c r="AJ31" s="36">
        <f>VLOOKUP($A31,[24]HISTOMARS24!$A$6:$CA$38,64,0)</f>
        <v>0</v>
      </c>
      <c r="AK31" s="36">
        <f>VLOOKUP($A31,[24]HISTOMARS24!$A$6:$CA$38,65,0)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MVTFEV24!I32-E32+L32</f>
        <v>802508.77149549045</v>
      </c>
      <c r="G32" s="5">
        <f>IF(MVTFEV24!I32+L32&gt;700000,(MVTFEV24!I32-E32+L32),0)</f>
        <v>802508.77149549045</v>
      </c>
      <c r="H32" s="36">
        <f t="shared" si="0"/>
        <v>2735.2098150807078</v>
      </c>
      <c r="I32" s="6">
        <f t="shared" si="2"/>
        <v>805243.98131057119</v>
      </c>
      <c r="J32" s="36">
        <f>VLOOKUP($A32,[24]HISTOMARS24!$A$6:$AQ$42,22,0)</f>
        <v>0</v>
      </c>
      <c r="K32" s="36">
        <f>VLOOKUP($A32,[24]HISTOMARS24!$A$6:$AU$38,45,0)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VLOOKUP($A32,[24]HISTOMARS24!$A$6:$AU$38,7,0)</f>
        <v>0</v>
      </c>
      <c r="Q32" s="36">
        <f>VLOOKUP($A32,[24]HISTOMARS24!$A$6:$AU$38,23,0)</f>
        <v>0</v>
      </c>
      <c r="R32" s="36">
        <f>VLOOKUP($A32,[24]HISTOMARS24!$A$6:$AU$38,46,0)</f>
        <v>0</v>
      </c>
      <c r="S32" s="36">
        <f>VLOOKUP($A32,[24]HISTOMARS24!$A$6:$AU$38,26,0)</f>
        <v>1000000</v>
      </c>
      <c r="T32" s="36">
        <f>VLOOKUP($A32,[24]HISTOMARS24!$A$6:$BG$38,58,0)</f>
        <v>30000</v>
      </c>
      <c r="U32" s="36">
        <f>VLOOKUP($A32,[24]HISTOMARS24!$A$6:$AU$38,28,0)</f>
        <v>0</v>
      </c>
      <c r="V32" s="36">
        <f>VLOOKUP($A32,[24]HISTOMARS24!$A$6:$AU$38,19,0)</f>
        <v>250000</v>
      </c>
      <c r="W32" s="36">
        <f>VLOOKUP($A32,[24]HISTOMARS24!$A$6:$AU$38,20,0)</f>
        <v>0</v>
      </c>
      <c r="X32" s="36">
        <f>VLOOKUP($A32,[24]HISTOMARS24!$A$6:$AU$38,27,0)</f>
        <v>0</v>
      </c>
      <c r="Y32" s="36">
        <f>VLOOKUP($A32,[24]HISTOMARS24!$A$6:$BM$38,33,0)</f>
        <v>0</v>
      </c>
      <c r="Z32" s="36">
        <f>VLOOKUP($A32,[24]HISTOMARS24!$A$6:$BM$38,65,0)</f>
        <v>0</v>
      </c>
      <c r="AA32" s="36"/>
      <c r="AB32" s="36">
        <f>VLOOKUP($A32,[24]HISTOMARS24!$A$6:$AU$38,43,0)</f>
        <v>0</v>
      </c>
      <c r="AC32" s="36">
        <f>VLOOKUP($A32,[24]HISTOMARS24!$A$6:$AU$38,44,0)</f>
        <v>0</v>
      </c>
      <c r="AD32" s="36">
        <f>VLOOKUP($A32,[24]HISTOMARS24!$A$6:$AU$38,47,0)</f>
        <v>0</v>
      </c>
      <c r="AE32" s="36">
        <f>VLOOKUP(A32,[24]HISTOMARS24!$A$6:$BB$38,54,0)</f>
        <v>0</v>
      </c>
      <c r="AF32" s="36">
        <f>VLOOKUP($A32,[24]HISTOMARS24!$A$6:$CA$38,60,0)</f>
        <v>0</v>
      </c>
      <c r="AG32" s="36">
        <f>VLOOKUP($A32,[24]HISTOMARS24!$A$6:$CA$38,61,0)</f>
        <v>0</v>
      </c>
      <c r="AH32" s="36">
        <f>VLOOKUP($A32,[24]HISTOMARS24!$A$6:$CA$38,62,0)</f>
        <v>0</v>
      </c>
      <c r="AI32" s="36">
        <f>VLOOKUP($A32,[24]HISTOMARS24!$A$6:$CA$38,63,0)</f>
        <v>0</v>
      </c>
      <c r="AJ32" s="36">
        <f>VLOOKUP($A32,[24]HISTOMARS24!$A$6:$CA$38,64,0)</f>
        <v>0</v>
      </c>
      <c r="AK32" s="36">
        <f>VLOOKUP($A32,[24]HISTOMARS24!$A$6:$CA$38,65,0)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MVTFEV24!I33-E33+L33</f>
        <v>802816.39100396074</v>
      </c>
      <c r="G33" s="5">
        <f>IF(MVTFEV24!I33+L33&gt;700000,(MVTFEV24!I33-E33+L33),0)</f>
        <v>802816.39100396074</v>
      </c>
      <c r="H33" s="36">
        <f t="shared" si="0"/>
        <v>2736.2582819994063</v>
      </c>
      <c r="I33" s="6">
        <f t="shared" si="2"/>
        <v>805552.64928596013</v>
      </c>
      <c r="J33" s="36">
        <f>VLOOKUP($A33,[24]HISTOMARS24!$A$6:$AQ$42,22,0)</f>
        <v>0</v>
      </c>
      <c r="K33" s="36">
        <f>VLOOKUP($A33,[24]HISTOMARS24!$A$6:$AU$38,45,0)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VLOOKUP($A33,[24]HISTOMARS24!$A$6:$AU$38,7,0)</f>
        <v>0</v>
      </c>
      <c r="Q33" s="36">
        <f>VLOOKUP($A33,[24]HISTOMARS24!$A$6:$AU$38,23,0)</f>
        <v>0</v>
      </c>
      <c r="R33" s="36">
        <f>VLOOKUP($A33,[24]HISTOMARS24!$A$6:$AU$38,46,0)</f>
        <v>0</v>
      </c>
      <c r="S33" s="36">
        <f>VLOOKUP($A33,[24]HISTOMARS24!$A$6:$AU$38,26,0)</f>
        <v>0</v>
      </c>
      <c r="T33" s="36">
        <f>VLOOKUP($A33,[24]HISTOMARS24!$A$6:$BG$38,58,0)</f>
        <v>0</v>
      </c>
      <c r="U33" s="36">
        <f>VLOOKUP($A33,[24]HISTOMARS24!$A$6:$AU$38,28,0)</f>
        <v>0</v>
      </c>
      <c r="V33" s="36">
        <f>VLOOKUP($A33,[24]HISTOMARS24!$A$6:$AU$38,19,0)</f>
        <v>0</v>
      </c>
      <c r="W33" s="36">
        <f>VLOOKUP($A33,[24]HISTOMARS24!$A$6:$AU$38,20,0)</f>
        <v>0</v>
      </c>
      <c r="X33" s="36">
        <f>VLOOKUP($A33,[24]HISTOMARS24!$A$6:$AU$38,27,0)</f>
        <v>0</v>
      </c>
      <c r="Y33" s="36">
        <f>VLOOKUP($A33,[24]HISTOMARS24!$A$6:$BM$38,33,0)</f>
        <v>0</v>
      </c>
      <c r="Z33" s="36">
        <f>VLOOKUP($A33,[24]HISTOMARS24!$A$6:$BM$38,65,0)</f>
        <v>0</v>
      </c>
      <c r="AA33" s="36"/>
      <c r="AB33" s="36">
        <f>VLOOKUP($A33,[24]HISTOMARS24!$A$6:$AU$38,43,0)</f>
        <v>0</v>
      </c>
      <c r="AC33" s="36">
        <f>VLOOKUP($A33,[24]HISTOMARS24!$A$6:$AU$38,44,0)</f>
        <v>0</v>
      </c>
      <c r="AD33" s="36">
        <f>VLOOKUP($A33,[24]HISTOMARS24!$A$6:$AU$38,47,0)</f>
        <v>0</v>
      </c>
      <c r="AE33" s="36">
        <f>VLOOKUP(A33,[24]HISTOMARS24!$A$6:$BB$38,54,0)</f>
        <v>0</v>
      </c>
      <c r="AF33" s="36">
        <f>VLOOKUP($A33,[24]HISTOMARS24!$A$6:$CA$38,60,0)</f>
        <v>0</v>
      </c>
      <c r="AG33" s="36">
        <f>VLOOKUP($A33,[24]HISTOMARS24!$A$6:$CA$38,61,0)</f>
        <v>0</v>
      </c>
      <c r="AH33" s="36">
        <f>VLOOKUP($A33,[24]HISTOMARS24!$A$6:$CA$38,62,0)</f>
        <v>0</v>
      </c>
      <c r="AI33" s="36">
        <f>VLOOKUP($A33,[24]HISTOMARS24!$A$6:$CA$38,63,0)</f>
        <v>0</v>
      </c>
      <c r="AJ33" s="36">
        <f>VLOOKUP($A33,[24]HISTOMARS24!$A$6:$CA$38,64,0)</f>
        <v>0</v>
      </c>
      <c r="AK33" s="36">
        <f>VLOOKUP($A33,[24]HISTOMARS24!$A$6:$CA$38,65,0)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MVTFEV24!I34-E34+L34</f>
        <v>382000</v>
      </c>
      <c r="G34" s="5">
        <f>IF(MVTFEV24!I34+L34&gt;700000,(MVTFEV24!I34-E34+L34),0)</f>
        <v>0</v>
      </c>
      <c r="H34" s="36">
        <f t="shared" si="0"/>
        <v>0</v>
      </c>
      <c r="I34" s="6">
        <f t="shared" si="2"/>
        <v>382000</v>
      </c>
      <c r="J34" s="36">
        <f>VLOOKUP($A34,[24]HISTOMARS24!$A$6:$AQ$42,22,0)</f>
        <v>0</v>
      </c>
      <c r="K34" s="36">
        <f>VLOOKUP($A34,[24]HISTOMARS24!$A$6:$AU$38,45,0)</f>
        <v>75000</v>
      </c>
      <c r="L34" s="36">
        <f t="shared" si="3"/>
        <v>69000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VLOOKUP($A34,[24]HISTOMARS24!$A$6:$AU$38,7,0)</f>
        <v>0</v>
      </c>
      <c r="Q34" s="36">
        <f>VLOOKUP($A34,[24]HISTOMARS24!$A$6:$AU$38,23,0)</f>
        <v>0</v>
      </c>
      <c r="R34" s="36">
        <f>VLOOKUP($A34,[24]HISTOMARS24!$A$6:$AU$38,46,0)</f>
        <v>0</v>
      </c>
      <c r="S34" s="36">
        <f>VLOOKUP($A34,[24]HISTOMARS24!$A$6:$AU$38,26,0)</f>
        <v>0</v>
      </c>
      <c r="T34" s="36">
        <f>VLOOKUP($A34,[24]HISTOMARS24!$A$6:$BG$38,58,0)</f>
        <v>0</v>
      </c>
      <c r="U34" s="36">
        <f>VLOOKUP($A34,[24]HISTOMARS24!$A$6:$AU$38,28,0)</f>
        <v>0</v>
      </c>
      <c r="V34" s="36">
        <f>VLOOKUP($A34,[24]HISTOMARS24!$A$6:$AU$38,19,0)</f>
        <v>0</v>
      </c>
      <c r="W34" s="36">
        <f>VLOOKUP($A34,[24]HISTOMARS24!$A$6:$AU$38,20,0)</f>
        <v>0</v>
      </c>
      <c r="X34" s="36">
        <f>VLOOKUP($A34,[24]HISTOMARS24!$A$6:$AU$38,27,0)</f>
        <v>0</v>
      </c>
      <c r="Y34" s="36">
        <f>VLOOKUP($A34,[24]HISTOMARS24!$A$6:$BM$38,33,0)</f>
        <v>0</v>
      </c>
      <c r="Z34" s="36">
        <f>VLOOKUP($A34,[24]HISTOMARS24!$A$6:$BM$38,65,0)</f>
        <v>0</v>
      </c>
      <c r="AA34" s="36"/>
      <c r="AB34" s="36">
        <f>VLOOKUP($A34,[24]HISTOMARS24!$A$6:$AU$38,43,0)</f>
        <v>0</v>
      </c>
      <c r="AC34" s="36">
        <f>VLOOKUP($A34,[24]HISTOMARS24!$A$6:$AU$38,44,0)</f>
        <v>0</v>
      </c>
      <c r="AD34" s="36">
        <f>VLOOKUP($A34,[24]HISTOMARS24!$A$6:$AU$38,47,0)</f>
        <v>0</v>
      </c>
      <c r="AE34" s="36">
        <f>VLOOKUP(A34,[24]HISTOMARS24!$A$6:$BB$38,54,0)</f>
        <v>0</v>
      </c>
      <c r="AF34" s="36">
        <f>VLOOKUP($A34,[24]HISTOMARS24!$A$6:$CA$38,60,0)</f>
        <v>0</v>
      </c>
      <c r="AG34" s="36">
        <f>VLOOKUP($A34,[24]HISTOMARS24!$A$6:$CA$38,61,0)</f>
        <v>0</v>
      </c>
      <c r="AH34" s="36">
        <f>VLOOKUP($A34,[24]HISTOMARS24!$A$6:$CA$38,62,0)</f>
        <v>0</v>
      </c>
      <c r="AI34" s="36">
        <f>VLOOKUP($A34,[24]HISTOMARS24!$A$6:$CA$38,63,0)</f>
        <v>0</v>
      </c>
      <c r="AJ34" s="36">
        <f>VLOOKUP($A34,[24]HISTOMARS24!$A$6:$CA$38,64,0)</f>
        <v>0</v>
      </c>
      <c r="AK34" s="36">
        <f>VLOOKUP($A34,[24]HISTOMARS24!$A$6:$CA$38,65,0)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MVTFEV24!I35-E35+L35</f>
        <v>160000</v>
      </c>
      <c r="G35" s="5">
        <f>IF(MVTFEV24!I35+L35&gt;700000,(MVTFEV24!I35-E35+L35),0)</f>
        <v>0</v>
      </c>
      <c r="H35" s="36">
        <f t="shared" si="0"/>
        <v>0</v>
      </c>
      <c r="I35" s="6">
        <f t="shared" si="2"/>
        <v>160000</v>
      </c>
      <c r="J35" s="36">
        <f>VLOOKUP($A35,[24]HISTOMARS24!$A$6:$AQ$42,22,0)</f>
        <v>0</v>
      </c>
      <c r="K35" s="36">
        <f>VLOOKUP($A35,[24]HISTOMARS24!$A$6:$AU$38,45,0)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VLOOKUP($A35,[24]HISTOMARS24!$A$6:$AU$38,7,0)</f>
        <v>0</v>
      </c>
      <c r="Q35" s="36">
        <f>VLOOKUP($A35,[24]HISTOMARS24!$A$6:$AU$38,23,0)</f>
        <v>0</v>
      </c>
      <c r="R35" s="36">
        <f>VLOOKUP($A35,[24]HISTOMARS24!$A$6:$AU$38,46,0)</f>
        <v>0</v>
      </c>
      <c r="S35" s="36">
        <f>VLOOKUP($A35,[24]HISTOMARS24!$A$6:$AU$38,26,0)</f>
        <v>0</v>
      </c>
      <c r="T35" s="36">
        <f>VLOOKUP($A35,[24]HISTOMARS24!$A$6:$BG$38,58,0)</f>
        <v>0</v>
      </c>
      <c r="U35" s="36">
        <f>VLOOKUP($A35,[24]HISTOMARS24!$A$6:$AU$38,28,0)</f>
        <v>0</v>
      </c>
      <c r="V35" s="36">
        <f>VLOOKUP($A35,[24]HISTOMARS24!$A$6:$AU$38,19,0)</f>
        <v>0</v>
      </c>
      <c r="W35" s="36">
        <f>VLOOKUP($A35,[24]HISTOMARS24!$A$6:$AU$38,20,0)</f>
        <v>0</v>
      </c>
      <c r="X35" s="36">
        <f>VLOOKUP($A35,[24]HISTOMARS24!$A$6:$AU$38,27,0)</f>
        <v>0</v>
      </c>
      <c r="Y35" s="36">
        <f>VLOOKUP($A35,[24]HISTOMARS24!$A$6:$BM$38,33,0)</f>
        <v>0</v>
      </c>
      <c r="Z35" s="36">
        <f>VLOOKUP($A35,[24]HISTOMARS24!$A$6:$BM$38,65,0)</f>
        <v>0</v>
      </c>
      <c r="AA35" s="36"/>
      <c r="AB35" s="36">
        <f>VLOOKUP($A35,[24]HISTOMARS24!$A$6:$AU$38,43,0)</f>
        <v>0</v>
      </c>
      <c r="AC35" s="36">
        <f>VLOOKUP($A35,[24]HISTOMARS24!$A$6:$AU$38,44,0)</f>
        <v>0</v>
      </c>
      <c r="AD35" s="36">
        <f>VLOOKUP($A35,[24]HISTOMARS24!$A$6:$AU$38,47,0)</f>
        <v>0</v>
      </c>
      <c r="AE35" s="36">
        <f>VLOOKUP(A35,[24]HISTOMARS24!$A$6:$BB$38,54,0)</f>
        <v>0</v>
      </c>
      <c r="AF35" s="36">
        <f>VLOOKUP($A35,[24]HISTOMARS24!$A$6:$CA$38,60,0)</f>
        <v>0</v>
      </c>
      <c r="AG35" s="36">
        <f>VLOOKUP($A35,[24]HISTOMARS24!$A$6:$CA$38,61,0)</f>
        <v>0</v>
      </c>
      <c r="AH35" s="36">
        <f>VLOOKUP($A35,[24]HISTOMARS24!$A$6:$CA$38,62,0)</f>
        <v>0</v>
      </c>
      <c r="AI35" s="36">
        <f>VLOOKUP($A35,[24]HISTOMARS24!$A$6:$CA$38,63,0)</f>
        <v>0</v>
      </c>
      <c r="AJ35" s="36">
        <f>VLOOKUP($A35,[24]HISTOMARS24!$A$6:$CA$38,64,0)</f>
        <v>0</v>
      </c>
      <c r="AK35" s="36">
        <f>VLOOKUP($A35,[24]HISTOMARS24!$A$6:$CA$38,65,0)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MVTFEV24!I36-E36+L36</f>
        <v>829770.95365693618</v>
      </c>
      <c r="G36" s="5">
        <f>IF(MVTFEV24!I36+L36&gt;700000,(MVTFEV24!I36-E36+L36),0)</f>
        <v>829770.95365693618</v>
      </c>
      <c r="H36" s="36">
        <f t="shared" si="0"/>
        <v>2828.128161741949</v>
      </c>
      <c r="I36" s="6">
        <f t="shared" si="2"/>
        <v>832599.08181867818</v>
      </c>
      <c r="J36" s="36">
        <f>VLOOKUP($A36,[24]HISTOMARS24!$A$6:$AQ$42,22,0)</f>
        <v>0</v>
      </c>
      <c r="K36" s="36">
        <f>VLOOKUP($A36,[24]HISTOMARS24!$A$6:$AU$38,45,0)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VLOOKUP($A36,[24]HISTOMARS24!$A$6:$AU$38,7,0)</f>
        <v>0</v>
      </c>
      <c r="Q36" s="36">
        <f>VLOOKUP($A36,[24]HISTOMARS24!$A$6:$AU$38,23,0)</f>
        <v>0</v>
      </c>
      <c r="R36" s="36">
        <f>VLOOKUP($A36,[24]HISTOMARS24!$A$6:$AU$38,46,0)</f>
        <v>0</v>
      </c>
      <c r="S36" s="36">
        <f>VLOOKUP($A36,[24]HISTOMARS24!$A$6:$AU$38,26,0)</f>
        <v>0</v>
      </c>
      <c r="T36" s="36">
        <f>VLOOKUP($A36,[24]HISTOMARS24!$A$6:$BG$38,58,0)</f>
        <v>0</v>
      </c>
      <c r="U36" s="36">
        <f>VLOOKUP($A36,[24]HISTOMARS24!$A$6:$AU$38,28,0)</f>
        <v>0</v>
      </c>
      <c r="V36" s="36">
        <f>VLOOKUP($A36,[24]HISTOMARS24!$A$6:$AU$38,19,0)</f>
        <v>0</v>
      </c>
      <c r="W36" s="36">
        <f>VLOOKUP($A36,[24]HISTOMARS24!$A$6:$AU$38,20,0)</f>
        <v>0</v>
      </c>
      <c r="X36" s="36">
        <f>VLOOKUP($A36,[24]HISTOMARS24!$A$6:$AU$38,27,0)</f>
        <v>0</v>
      </c>
      <c r="Y36" s="36">
        <f>VLOOKUP($A36,[24]HISTOMARS24!$A$6:$BM$38,33,0)</f>
        <v>0</v>
      </c>
      <c r="Z36" s="36">
        <f>VLOOKUP($A36,[24]HISTOMARS24!$A$6:$BM$38,65,0)</f>
        <v>0</v>
      </c>
      <c r="AA36" s="36"/>
      <c r="AB36" s="36">
        <f>VLOOKUP($A36,[24]HISTOMARS24!$A$6:$AU$38,43,0)</f>
        <v>0</v>
      </c>
      <c r="AC36" s="36">
        <f>VLOOKUP($A36,[24]HISTOMARS24!$A$6:$AU$38,44,0)</f>
        <v>0</v>
      </c>
      <c r="AD36" s="36">
        <f>VLOOKUP($A36,[24]HISTOMARS24!$A$6:$AU$38,47,0)</f>
        <v>0</v>
      </c>
      <c r="AE36" s="36">
        <f>VLOOKUP(A36,[24]HISTOMARS24!$A$6:$BB$38,54,0)</f>
        <v>0</v>
      </c>
      <c r="AF36" s="36">
        <f>VLOOKUP($A36,[24]HISTOMARS24!$A$6:$CA$38,60,0)</f>
        <v>0</v>
      </c>
      <c r="AG36" s="36">
        <f>VLOOKUP($A36,[24]HISTOMARS24!$A$6:$CA$38,61,0)</f>
        <v>0</v>
      </c>
      <c r="AH36" s="36">
        <f>VLOOKUP($A36,[24]HISTOMARS24!$A$6:$CA$38,62,0)</f>
        <v>0</v>
      </c>
      <c r="AI36" s="36">
        <f>VLOOKUP($A36,[24]HISTOMARS24!$A$6:$CA$38,63,0)</f>
        <v>0</v>
      </c>
      <c r="AJ36" s="36">
        <f>VLOOKUP($A36,[24]HISTOMARS24!$A$6:$CA$38,64,0)</f>
        <v>0</v>
      </c>
      <c r="AK36" s="36">
        <f>VLOOKUP($A36,[24]HISTOMARS24!$A$6:$CA$38,65,0)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MVTFEV24!I37-E37+L37</f>
        <v>1869030.453627774</v>
      </c>
      <c r="G37" s="5">
        <f>IF(MVTFEV24!I37+L37&gt;700000,(MVTFEV24!I37-E37+L37),0)</f>
        <v>1869030.453627774</v>
      </c>
      <c r="H37" s="36">
        <f t="shared" si="0"/>
        <v>6370.2611398511826</v>
      </c>
      <c r="I37" s="6">
        <f t="shared" si="2"/>
        <v>1875400.7147676253</v>
      </c>
      <c r="J37" s="36">
        <f>VLOOKUP($A37,[24]HISTOMARS24!$A$6:$AQ$42,22,0)</f>
        <v>0</v>
      </c>
      <c r="K37" s="36">
        <f>VLOOKUP($A37,[24]HISTOMARS24!$A$6:$AU$38,45,0)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VLOOKUP($A37,[24]HISTOMARS24!$A$6:$AU$38,7,0)</f>
        <v>0</v>
      </c>
      <c r="Q37" s="36">
        <f>VLOOKUP($A37,[24]HISTOMARS24!$A$6:$AU$38,23,0)</f>
        <v>0</v>
      </c>
      <c r="R37" s="36">
        <f>VLOOKUP($A37,[24]HISTOMARS24!$A$6:$AU$38,46,0)</f>
        <v>0</v>
      </c>
      <c r="S37" s="36">
        <f>VLOOKUP($A37,[24]HISTOMARS24!$A$6:$AU$38,26,0)</f>
        <v>0</v>
      </c>
      <c r="T37" s="36">
        <f>VLOOKUP($A37,[24]HISTOMARS24!$A$6:$BG$38,58,0)</f>
        <v>0</v>
      </c>
      <c r="U37" s="36">
        <f>VLOOKUP($A37,[24]HISTOMARS24!$A$6:$AU$38,28,0)</f>
        <v>0</v>
      </c>
      <c r="V37" s="36">
        <f>VLOOKUP($A37,[24]HISTOMARS24!$A$6:$AU$38,19,0)</f>
        <v>0</v>
      </c>
      <c r="W37" s="36">
        <f>VLOOKUP($A37,[24]HISTOMARS24!$A$6:$AU$38,20,0)</f>
        <v>0</v>
      </c>
      <c r="X37" s="36">
        <f>VLOOKUP($A37,[24]HISTOMARS24!$A$6:$AU$38,27,0)</f>
        <v>0</v>
      </c>
      <c r="Y37" s="36">
        <f>VLOOKUP($A37,[24]HISTOMARS24!$A$6:$BM$38,33,0)</f>
        <v>0</v>
      </c>
      <c r="Z37" s="36">
        <f>VLOOKUP($A37,[24]HISTOMARS24!$A$6:$BM$38,65,0)</f>
        <v>0</v>
      </c>
      <c r="AA37" s="36"/>
      <c r="AB37" s="36">
        <f>VLOOKUP($A37,[24]HISTOMARS24!$A$6:$AU$38,43,0)</f>
        <v>0</v>
      </c>
      <c r="AC37" s="36">
        <f>VLOOKUP($A37,[24]HISTOMARS24!$A$6:$AU$38,44,0)</f>
        <v>0</v>
      </c>
      <c r="AD37" s="36">
        <f>VLOOKUP($A37,[24]HISTOMARS24!$A$6:$AU$38,47,0)</f>
        <v>0</v>
      </c>
      <c r="AE37" s="36">
        <f>VLOOKUP(A37,[24]HISTOMARS24!$A$6:$BB$38,54,0)</f>
        <v>0</v>
      </c>
      <c r="AF37" s="36">
        <f>VLOOKUP($A37,[24]HISTOMARS24!$A$6:$CA$38,60,0)</f>
        <v>0</v>
      </c>
      <c r="AG37" s="36">
        <f>VLOOKUP($A37,[24]HISTOMARS24!$A$6:$CA$38,61,0)</f>
        <v>0</v>
      </c>
      <c r="AH37" s="36">
        <f>VLOOKUP($A37,[24]HISTOMARS24!$A$6:$CA$38,62,0)</f>
        <v>0</v>
      </c>
      <c r="AI37" s="36">
        <f>VLOOKUP($A37,[24]HISTOMARS24!$A$6:$CA$38,63,0)</f>
        <v>0</v>
      </c>
      <c r="AJ37" s="36">
        <f>VLOOKUP($A37,[24]HISTOMARS24!$A$6:$CA$38,64,0)</f>
        <v>0</v>
      </c>
      <c r="AK37" s="36">
        <f>VLOOKUP($A37,[24]HISTOMARS24!$A$6:$CA$38,65,0)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MVTFEV24!I38-E38+L38</f>
        <v>57000</v>
      </c>
      <c r="G38" s="5">
        <f>IF(MVTFEV24!I38+L38&gt;700000,(MVTFEV24!I38-E38+L38),0)</f>
        <v>0</v>
      </c>
      <c r="H38" s="36">
        <f t="shared" si="0"/>
        <v>0</v>
      </c>
      <c r="I38" s="6">
        <f t="shared" si="2"/>
        <v>57000</v>
      </c>
      <c r="J38" s="36">
        <f>VLOOKUP($A38,[24]HISTOMARS24!$A$6:$AQ$42,22,0)</f>
        <v>0</v>
      </c>
      <c r="K38" s="36">
        <f>VLOOKUP($A38,[24]HISTOMARS24!$A$6:$AU$38,45,0)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VLOOKUP($A38,[24]HISTOMARS24!$A$6:$AU$38,7,0)</f>
        <v>3000</v>
      </c>
      <c r="Q38" s="36">
        <f>VLOOKUP($A38,[24]HISTOMARS24!$A$6:$AU$38,23,0)</f>
        <v>0</v>
      </c>
      <c r="R38" s="36">
        <f>VLOOKUP($A38,[24]HISTOMARS24!$A$6:$AU$38,46,0)</f>
        <v>0</v>
      </c>
      <c r="S38" s="36">
        <f>VLOOKUP($A38,[24]HISTOMARS24!$A$6:$AU$38,26,0)</f>
        <v>0</v>
      </c>
      <c r="T38" s="36">
        <f>VLOOKUP($A38,[24]HISTOMARS24!$A$6:$BG$38,58,0)</f>
        <v>0</v>
      </c>
      <c r="U38" s="36">
        <f>VLOOKUP($A38,[24]HISTOMARS24!$A$6:$AU$38,28,0)</f>
        <v>0</v>
      </c>
      <c r="V38" s="36">
        <f>VLOOKUP($A38,[24]HISTOMARS24!$A$6:$AU$38,19,0)</f>
        <v>0</v>
      </c>
      <c r="W38" s="36">
        <f>VLOOKUP($A38,[24]HISTOMARS24!$A$6:$AU$38,20,0)</f>
        <v>0</v>
      </c>
      <c r="X38" s="36">
        <f>VLOOKUP($A38,[24]HISTOMARS24!$A$6:$AU$38,27,0)</f>
        <v>0</v>
      </c>
      <c r="Y38" s="36">
        <f>VLOOKUP($A38,[24]HISTOMARS24!$A$6:$BM$38,33,0)</f>
        <v>0</v>
      </c>
      <c r="Z38" s="36">
        <f>VLOOKUP($A38,[24]HISTOMARS24!$A$6:$BM$38,65,0)</f>
        <v>0</v>
      </c>
      <c r="AA38" s="36"/>
      <c r="AB38" s="36">
        <f>VLOOKUP($A38,[24]HISTOMARS24!$A$6:$AU$38,43,0)</f>
        <v>0</v>
      </c>
      <c r="AC38" s="36">
        <f>VLOOKUP($A38,[24]HISTOMARS24!$A$6:$AU$38,44,0)</f>
        <v>0</v>
      </c>
      <c r="AD38" s="36">
        <f>VLOOKUP($A38,[24]HISTOMARS24!$A$6:$AU$38,47,0)</f>
        <v>0</v>
      </c>
      <c r="AE38" s="36">
        <f>VLOOKUP(A38,[24]HISTOMARS24!$A$6:$BB$38,54,0)</f>
        <v>0</v>
      </c>
      <c r="AF38" s="36">
        <f>VLOOKUP($A38,[24]HISTOMARS24!$A$6:$CA$38,60,0)</f>
        <v>0</v>
      </c>
      <c r="AG38" s="36">
        <f>VLOOKUP($A38,[24]HISTOMARS24!$A$6:$CA$38,61,0)</f>
        <v>0</v>
      </c>
      <c r="AH38" s="36">
        <f>VLOOKUP($A38,[24]HISTOMARS24!$A$6:$CA$38,62,0)</f>
        <v>0</v>
      </c>
      <c r="AI38" s="36">
        <f>VLOOKUP($A38,[24]HISTOMARS24!$A$6:$CA$38,63,0)</f>
        <v>0</v>
      </c>
      <c r="AJ38" s="36">
        <f>VLOOKUP($A38,[24]HISTOMARS24!$A$6:$CA$38,64,0)</f>
        <v>0</v>
      </c>
      <c r="AK38" s="36">
        <f>VLOOKUP($A38,[24]HISTOMARS24!$A$6:$CA$38,65,0)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MVTFEV24!I39-E39+L39</f>
        <v>2033382.7870862633</v>
      </c>
      <c r="G39" s="5">
        <f>IF(MVTFEV24!I39+L39&gt;700000,(MVTFEV24!I39-E39+L39),0)</f>
        <v>2033382.7870862633</v>
      </c>
      <c r="H39" s="36">
        <f t="shared" si="0"/>
        <v>6930.4271237934572</v>
      </c>
      <c r="I39" s="6">
        <f t="shared" si="2"/>
        <v>2040313.2142100567</v>
      </c>
      <c r="J39" s="36">
        <f>VLOOKUP($A39,[24]HISTOMARS24!$A$6:$AQ$42,22,0)</f>
        <v>0</v>
      </c>
      <c r="K39" s="36">
        <f>VLOOKUP($A39,[24]HISTOMARS24!$A$6:$AU$38,45,0)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VLOOKUP($A39,[24]HISTOMARS24!$A$6:$AU$38,7,0)</f>
        <v>0</v>
      </c>
      <c r="Q39" s="36">
        <f>VLOOKUP($A39,[24]HISTOMARS24!$A$6:$AU$38,23,0)</f>
        <v>0</v>
      </c>
      <c r="R39" s="36">
        <f>VLOOKUP($A39,[24]HISTOMARS24!$A$6:$AU$38,46,0)</f>
        <v>0</v>
      </c>
      <c r="S39" s="36">
        <f>VLOOKUP($A39,[24]HISTOMARS24!$A$6:$AU$38,26,0)</f>
        <v>0</v>
      </c>
      <c r="T39" s="36">
        <f>VLOOKUP($A39,[24]HISTOMARS24!$A$6:$BG$38,58,0)</f>
        <v>0</v>
      </c>
      <c r="U39" s="36">
        <f>VLOOKUP($A39,[24]HISTOMARS24!$A$6:$AU$38,28,0)</f>
        <v>0</v>
      </c>
      <c r="V39" s="36">
        <f>VLOOKUP($A39,[24]HISTOMARS24!$A$6:$AU$38,19,0)</f>
        <v>0</v>
      </c>
      <c r="W39" s="36">
        <f>VLOOKUP($A39,[24]HISTOMARS24!$A$6:$AU$38,20,0)</f>
        <v>0</v>
      </c>
      <c r="X39" s="36">
        <f>VLOOKUP($A39,[24]HISTOMARS24!$A$6:$AU$38,27,0)</f>
        <v>0</v>
      </c>
      <c r="Y39" s="36">
        <f>VLOOKUP($A39,[24]HISTOMARS24!$A$6:$BM$38,33,0)</f>
        <v>0</v>
      </c>
      <c r="Z39" s="36">
        <f>VLOOKUP($A39,[24]HISTOMARS24!$A$6:$BM$38,65,0)</f>
        <v>0</v>
      </c>
      <c r="AA39" s="36"/>
      <c r="AB39" s="36">
        <f>VLOOKUP($A39,[24]HISTOMARS24!$A$6:$AU$38,43,0)</f>
        <v>0</v>
      </c>
      <c r="AC39" s="36">
        <f>VLOOKUP($A39,[24]HISTOMARS24!$A$6:$AU$38,44,0)</f>
        <v>0</v>
      </c>
      <c r="AD39" s="36">
        <f>VLOOKUP($A39,[24]HISTOMARS24!$A$6:$AU$38,47,0)</f>
        <v>0</v>
      </c>
      <c r="AE39" s="36">
        <f>VLOOKUP(A39,[24]HISTOMARS24!$A$6:$BB$38,54,0)</f>
        <v>0</v>
      </c>
      <c r="AF39" s="36">
        <f>VLOOKUP($A39,[24]HISTOMARS24!$A$6:$CA$38,60,0)</f>
        <v>0</v>
      </c>
      <c r="AG39" s="36">
        <f>VLOOKUP($A39,[24]HISTOMARS24!$A$6:$CA$38,61,0)</f>
        <v>0</v>
      </c>
      <c r="AH39" s="36">
        <f>VLOOKUP($A39,[24]HISTOMARS24!$A$6:$CA$38,62,0)</f>
        <v>0</v>
      </c>
      <c r="AI39" s="36">
        <f>VLOOKUP($A39,[24]HISTOMARS24!$A$6:$CA$38,63,0)</f>
        <v>0</v>
      </c>
      <c r="AJ39" s="36">
        <f>VLOOKUP($A39,[24]HISTOMARS24!$A$6:$CA$38,64,0)</f>
        <v>0</v>
      </c>
      <c r="AK39" s="36">
        <f>VLOOKUP($A39,[24]HISTOMARS24!$A$6:$CA$38,65,0)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28471656.655274983</v>
      </c>
      <c r="G41" s="9">
        <f t="shared" si="10"/>
        <v>27139439.524547953</v>
      </c>
      <c r="H41" s="36">
        <f t="shared" si="10"/>
        <v>92499.999999999985</v>
      </c>
      <c r="I41" s="9">
        <f t="shared" si="10"/>
        <v>28564156.655274987</v>
      </c>
      <c r="J41" s="9">
        <f t="shared" si="10"/>
        <v>0</v>
      </c>
      <c r="K41" s="9">
        <f t="shared" si="10"/>
        <v>929000</v>
      </c>
      <c r="L41" s="9">
        <f t="shared" si="10"/>
        <v>737000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6000</v>
      </c>
      <c r="Q41" s="9">
        <f t="shared" si="10"/>
        <v>0</v>
      </c>
      <c r="R41" s="9">
        <f t="shared" si="10"/>
        <v>0</v>
      </c>
      <c r="S41" s="9">
        <f t="shared" si="10"/>
        <v>1050000</v>
      </c>
      <c r="T41" s="9">
        <f t="shared" si="10"/>
        <v>92500</v>
      </c>
      <c r="U41" s="9">
        <f t="shared" si="10"/>
        <v>0</v>
      </c>
      <c r="V41" s="9">
        <f t="shared" si="10"/>
        <v>750000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48000</v>
      </c>
      <c r="AG41" s="9">
        <f t="shared" si="10"/>
        <v>0</v>
      </c>
      <c r="AH41" s="9">
        <f t="shared" si="10"/>
        <v>100000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P27" activePane="bottomRight" state="frozen"/>
      <selection activeCell="B43" sqref="B43"/>
      <selection pane="topRight" activeCell="B43" sqref="B43"/>
      <selection pane="bottomLeft" activeCell="B43" sqref="B43"/>
      <selection pane="bottomRight" activeCell="A32" sqref="A32:XFD32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45368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VLOOKUP($A6,[24]HISTOMARS24!$A$6:$BA$38,48,0)</f>
        <v>0</v>
      </c>
      <c r="F6" s="36">
        <f>MVTFEV24!I6-E6+L6</f>
        <v>943006.51804788434</v>
      </c>
      <c r="G6" s="5">
        <f>IF(MVTFEV24!I6+L6&gt;700000,(MVTFEV24!I6-E6+L6),0)</f>
        <v>943006.51804788434</v>
      </c>
      <c r="H6" s="36">
        <f t="shared" ref="H6:H39" si="0">$T$41/$G$41*G6</f>
        <v>3214.0716406663601</v>
      </c>
      <c r="I6" s="6">
        <f>F6+H6</f>
        <v>946220.58968855068</v>
      </c>
      <c r="J6" s="36">
        <f>VLOOKUP($A6,[24]HISTOMARS24!$A$6:$AQ$42,22,0)</f>
        <v>0</v>
      </c>
      <c r="K6" s="36">
        <f>VLOOKUP($A6,[24]HISTOMARS24!$A$6:$AU$38,45,0)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VLOOKUP($A6,[24]HISTOMARS24!$A$6:$AU$38,7,0)</f>
        <v>0</v>
      </c>
      <c r="Q6" s="36">
        <f>VLOOKUP($A6,[24]HISTOMARS24!$A$6:$AU$38,23,0)</f>
        <v>0</v>
      </c>
      <c r="R6" s="36">
        <f>VLOOKUP($A6,[24]HISTOMARS24!$A$6:$AU$38,46,0)</f>
        <v>0</v>
      </c>
      <c r="S6" s="36">
        <f>VLOOKUP($A6,[24]HISTOMARS24!$A$6:$AU$38,26,0)</f>
        <v>0</v>
      </c>
      <c r="T6" s="36">
        <f>VLOOKUP($A6,[24]HISTOMARS24!$A$6:$BG$38,58,0)</f>
        <v>0</v>
      </c>
      <c r="U6" s="36">
        <f>VLOOKUP($A6,[24]HISTOMARS24!$A$6:$AU$38,28,0)</f>
        <v>0</v>
      </c>
      <c r="V6" s="36">
        <f>VLOOKUP($A6,[24]HISTOMARS24!$A$6:$AU$38,19,0)</f>
        <v>0</v>
      </c>
      <c r="W6" s="36">
        <f>VLOOKUP($A6,[24]HISTOMARS24!$A$6:$AU$38,20,0)</f>
        <v>0</v>
      </c>
      <c r="X6" s="36">
        <f>VLOOKUP($A6,[24]HISTOMARS24!$A$6:$AU$38,27,0)</f>
        <v>0</v>
      </c>
      <c r="Y6" s="36">
        <f>VLOOKUP($A6,[24]HISTOMARS24!$A$6:$BM$38,33,0)</f>
        <v>0</v>
      </c>
      <c r="Z6" s="36">
        <f>VLOOKUP($A6,[24]HISTOMARS24!$A$6:$BM$38,65,0)</f>
        <v>0</v>
      </c>
      <c r="AA6" s="36"/>
      <c r="AB6" s="36">
        <f>VLOOKUP($A6,[24]HISTOMARS24!$A$6:$AU$38,43,0)</f>
        <v>0</v>
      </c>
      <c r="AC6" s="36">
        <f>VLOOKUP($A6,[24]HISTOMARS24!$A$6:$AU$38,44,0)</f>
        <v>0</v>
      </c>
      <c r="AD6" s="36">
        <f>VLOOKUP($A6,[24]HISTOMARS24!$A$6:$AU$38,47,0)</f>
        <v>0</v>
      </c>
      <c r="AE6" s="36">
        <f>VLOOKUP(A6,[24]HISTOMARS24!$A$6:$BB$38,54,0)</f>
        <v>0</v>
      </c>
      <c r="AF6" s="36">
        <f>VLOOKUP($A6,[24]HISTOMARS24!$A$6:$CA$38,60,0)</f>
        <v>48000</v>
      </c>
      <c r="AG6" s="36">
        <f>VLOOKUP($A6,[24]HISTOMARS24!$A$6:$CA$38,61,0)</f>
        <v>0</v>
      </c>
      <c r="AH6" s="36">
        <f>VLOOKUP($A6,[24]HISTOMARS24!$A$6:$CA$38,62,0)</f>
        <v>100000</v>
      </c>
      <c r="AI6" s="36">
        <f>VLOOKUP($A6,[24]HISTOMARS24!$A$6:$CA$38,63,0)</f>
        <v>100000</v>
      </c>
      <c r="AJ6" s="36">
        <f>VLOOKUP($A6,[24]HISTOMARS24!$A$6:$CA$38,64,0)</f>
        <v>0</v>
      </c>
      <c r="AK6" s="36">
        <f>VLOOKUP($A6,[24]HISTOMARS24!$A$6:$CA$38,65,0)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VLOOKUP($A7,[24]HISTOMARS24!$A$6:$BA$38,48,0)</f>
        <v>0</v>
      </c>
      <c r="F7" s="36">
        <f>MVTFEV24!I7-E7+L7</f>
        <v>758206.97853131709</v>
      </c>
      <c r="G7" s="5">
        <f>IF(MVTFEV24!I7+L7&gt;700000,(MVTFEV24!I7-E7+L7),0)</f>
        <v>758206.97853131709</v>
      </c>
      <c r="H7" s="36">
        <f t="shared" si="0"/>
        <v>2584.2149559024474</v>
      </c>
      <c r="I7" s="6">
        <f t="shared" ref="I7:I39" si="2">F7+H7</f>
        <v>760791.19348721951</v>
      </c>
      <c r="J7" s="36">
        <f>VLOOKUP($A7,[24]HISTOMARS24!$A$6:$AQ$42,22,0)</f>
        <v>0</v>
      </c>
      <c r="K7" s="36">
        <f>VLOOKUP($A7,[24]HISTOMARS24!$A$6:$AU$38,45,0)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VLOOKUP($A7,[24]HISTOMARS24!$A$6:$AU$38,7,0)</f>
        <v>0</v>
      </c>
      <c r="Q7" s="36">
        <f>VLOOKUP($A7,[24]HISTOMARS24!$A$6:$AU$38,23,0)</f>
        <v>0</v>
      </c>
      <c r="R7" s="36">
        <f>VLOOKUP($A7,[24]HISTOMARS24!$A$6:$AU$38,46,0)</f>
        <v>0</v>
      </c>
      <c r="S7" s="36">
        <f>VLOOKUP($A7,[24]HISTOMARS24!$A$6:$AU$38,26,0)</f>
        <v>0</v>
      </c>
      <c r="T7" s="36">
        <f>VLOOKUP($A7,[24]HISTOMARS24!$A$6:$BG$38,58,0)</f>
        <v>6000</v>
      </c>
      <c r="U7" s="36">
        <f>VLOOKUP($A7,[24]HISTOMARS24!$A$6:$AU$38,28,0)</f>
        <v>0</v>
      </c>
      <c r="V7" s="36">
        <f>VLOOKUP($A7,[24]HISTOMARS24!$A$6:$AU$38,19,0)</f>
        <v>0</v>
      </c>
      <c r="W7" s="36">
        <f>VLOOKUP($A7,[24]HISTOMARS24!$A$6:$AU$38,20,0)</f>
        <v>0</v>
      </c>
      <c r="X7" s="36">
        <f>VLOOKUP($A7,[24]HISTOMARS24!$A$6:$AU$38,27,0)</f>
        <v>0</v>
      </c>
      <c r="Y7" s="36">
        <f>VLOOKUP($A7,[24]HISTOMARS24!$A$6:$BM$38,33,0)</f>
        <v>0</v>
      </c>
      <c r="Z7" s="36">
        <f>VLOOKUP($A7,[24]HISTOMARS24!$A$6:$BM$38,65,0)</f>
        <v>0</v>
      </c>
      <c r="AA7" s="36"/>
      <c r="AB7" s="36">
        <f>VLOOKUP($A7,[24]HISTOMARS24!$A$6:$AU$38,43,0)</f>
        <v>0</v>
      </c>
      <c r="AC7" s="36">
        <f>VLOOKUP($A7,[24]HISTOMARS24!$A$6:$AU$38,44,0)</f>
        <v>0</v>
      </c>
      <c r="AD7" s="36">
        <f>VLOOKUP($A7,[24]HISTOMARS24!$A$6:$AU$38,47,0)</f>
        <v>0</v>
      </c>
      <c r="AE7" s="36">
        <f>VLOOKUP(A7,[24]HISTOMARS24!$A$6:$BB$38,54,0)</f>
        <v>0</v>
      </c>
      <c r="AF7" s="36">
        <f>VLOOKUP($A7,[24]HISTOMARS24!$A$6:$CA$38,60,0)</f>
        <v>0</v>
      </c>
      <c r="AG7" s="36">
        <f>VLOOKUP($A7,[24]HISTOMARS24!$A$6:$CA$38,61,0)</f>
        <v>0</v>
      </c>
      <c r="AH7" s="36">
        <f>VLOOKUP($A7,[24]HISTOMARS24!$A$6:$CA$38,62,0)</f>
        <v>0</v>
      </c>
      <c r="AI7" s="36">
        <f>VLOOKUP($A7,[24]HISTOMARS24!$A$6:$CA$38,63,0)</f>
        <v>0</v>
      </c>
      <c r="AJ7" s="36">
        <f>VLOOKUP($A7,[24]HISTOMARS24!$A$6:$CA$38,64,0)</f>
        <v>0</v>
      </c>
      <c r="AK7" s="36">
        <f>VLOOKUP($A7,[24]HISTOMARS24!$A$6:$CA$38,65,0)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VLOOKUP($A8,[24]HISTOMARS24!$A$6:$BA$38,48,0)</f>
        <v>0</v>
      </c>
      <c r="F8" s="36">
        <f>MVTFEV24!I8-E8+L8</f>
        <v>798810.7067525594</v>
      </c>
      <c r="G8" s="5">
        <f>IF(MVTFEV24!I8+L8&gt;700000,(MVTFEV24!I8-E8+L8),0)</f>
        <v>798810.7067525594</v>
      </c>
      <c r="H8" s="36">
        <f t="shared" si="0"/>
        <v>2722.6056126832445</v>
      </c>
      <c r="I8" s="6">
        <f t="shared" si="2"/>
        <v>801533.31236524263</v>
      </c>
      <c r="J8" s="36">
        <f>VLOOKUP($A8,[24]HISTOMARS24!$A$6:$AQ$42,22,0)</f>
        <v>0</v>
      </c>
      <c r="K8" s="36">
        <f>VLOOKUP($A8,[24]HISTOMARS24!$A$6:$AU$38,45,0)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VLOOKUP($A8,[24]HISTOMARS24!$A$6:$AU$38,7,0)</f>
        <v>0</v>
      </c>
      <c r="Q8" s="36">
        <f>VLOOKUP($A8,[24]HISTOMARS24!$A$6:$AU$38,23,0)</f>
        <v>0</v>
      </c>
      <c r="R8" s="36">
        <f>VLOOKUP($A8,[24]HISTOMARS24!$A$6:$AU$38,46,0)</f>
        <v>0</v>
      </c>
      <c r="S8" s="36">
        <f>VLOOKUP($A8,[24]HISTOMARS24!$A$6:$AU$38,26,0)</f>
        <v>0</v>
      </c>
      <c r="T8" s="36">
        <f>VLOOKUP($A8,[24]HISTOMARS24!$A$6:$BG$38,58,0)</f>
        <v>25000</v>
      </c>
      <c r="U8" s="36">
        <f>VLOOKUP($A8,[24]HISTOMARS24!$A$6:$AU$38,28,0)</f>
        <v>0</v>
      </c>
      <c r="V8" s="36">
        <f>VLOOKUP($A8,[24]HISTOMARS24!$A$6:$AU$38,19,0)</f>
        <v>0</v>
      </c>
      <c r="W8" s="36">
        <f>VLOOKUP($A8,[24]HISTOMARS24!$A$6:$AU$38,20,0)</f>
        <v>0</v>
      </c>
      <c r="X8" s="36">
        <f>VLOOKUP($A8,[24]HISTOMARS24!$A$6:$AU$38,27,0)</f>
        <v>0</v>
      </c>
      <c r="Y8" s="36">
        <f>VLOOKUP($A8,[24]HISTOMARS24!$A$6:$BM$38,33,0)</f>
        <v>0</v>
      </c>
      <c r="Z8" s="36">
        <f>VLOOKUP($A8,[24]HISTOMARS24!$A$6:$BM$38,65,0)</f>
        <v>0</v>
      </c>
      <c r="AA8" s="36"/>
      <c r="AB8" s="36">
        <f>VLOOKUP($A8,[24]HISTOMARS24!$A$6:$AU$38,43,0)</f>
        <v>0</v>
      </c>
      <c r="AC8" s="36">
        <f>VLOOKUP($A8,[24]HISTOMARS24!$A$6:$AU$38,44,0)</f>
        <v>0</v>
      </c>
      <c r="AD8" s="36">
        <f>VLOOKUP($A8,[24]HISTOMARS24!$A$6:$AU$38,47,0)</f>
        <v>0</v>
      </c>
      <c r="AE8" s="36">
        <f>VLOOKUP(A8,[24]HISTOMARS24!$A$6:$BB$38,54,0)</f>
        <v>0</v>
      </c>
      <c r="AF8" s="36">
        <f>VLOOKUP($A8,[24]HISTOMARS24!$A$6:$CA$38,60,0)</f>
        <v>0</v>
      </c>
      <c r="AG8" s="36">
        <f>VLOOKUP($A8,[24]HISTOMARS24!$A$6:$CA$38,61,0)</f>
        <v>0</v>
      </c>
      <c r="AH8" s="36">
        <f>VLOOKUP($A8,[24]HISTOMARS24!$A$6:$CA$38,62,0)</f>
        <v>0</v>
      </c>
      <c r="AI8" s="36">
        <f>VLOOKUP($A8,[24]HISTOMARS24!$A$6:$CA$38,63,0)</f>
        <v>0</v>
      </c>
      <c r="AJ8" s="36">
        <f>VLOOKUP($A8,[24]HISTOMARS24!$A$6:$CA$38,64,0)</f>
        <v>0</v>
      </c>
      <c r="AK8" s="36">
        <f>VLOOKUP($A8,[24]HISTOMARS24!$A$6:$CA$38,65,0)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VLOOKUP($A9,[24]HISTOMARS24!$A$6:$BA$38,48,0)</f>
        <v>0</v>
      </c>
      <c r="F9" s="36">
        <f>MVTFEV24!I9-E9+L9</f>
        <v>858535.83866177883</v>
      </c>
      <c r="G9" s="5">
        <f>IF(MVTFEV24!I9+L9&gt;700000,(MVTFEV24!I9-E9+L9),0)</f>
        <v>858535.83866177883</v>
      </c>
      <c r="H9" s="36">
        <f t="shared" si="0"/>
        <v>2926.168206398776</v>
      </c>
      <c r="I9" s="6">
        <f t="shared" si="2"/>
        <v>861462.00686817756</v>
      </c>
      <c r="J9" s="36">
        <f>VLOOKUP($A9,[24]HISTOMARS24!$A$6:$AQ$42,22,0)</f>
        <v>0</v>
      </c>
      <c r="K9" s="36">
        <f>VLOOKUP($A9,[24]HISTOMARS24!$A$6:$AU$38,45,0)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VLOOKUP($A9,[24]HISTOMARS24!$A$6:$AU$38,7,0)</f>
        <v>0</v>
      </c>
      <c r="Q9" s="36">
        <f>VLOOKUP($A9,[24]HISTOMARS24!$A$6:$AU$38,23,0)</f>
        <v>0</v>
      </c>
      <c r="R9" s="36">
        <f>VLOOKUP($A9,[24]HISTOMARS24!$A$6:$AU$38,46,0)</f>
        <v>0</v>
      </c>
      <c r="S9" s="36">
        <f>VLOOKUP($A9,[24]HISTOMARS24!$A$6:$AU$38,26,0)</f>
        <v>0</v>
      </c>
      <c r="T9" s="36">
        <f>VLOOKUP($A9,[24]HISTOMARS24!$A$6:$BG$38,58,0)</f>
        <v>0</v>
      </c>
      <c r="U9" s="36">
        <f>VLOOKUP($A9,[24]HISTOMARS24!$A$6:$AU$38,28,0)</f>
        <v>0</v>
      </c>
      <c r="V9" s="36">
        <f>VLOOKUP($A9,[24]HISTOMARS24!$A$6:$AU$38,19,0)</f>
        <v>0</v>
      </c>
      <c r="W9" s="36">
        <f>VLOOKUP($A9,[24]HISTOMARS24!$A$6:$AU$38,20,0)</f>
        <v>0</v>
      </c>
      <c r="X9" s="36">
        <f>VLOOKUP($A9,[24]HISTOMARS24!$A$6:$AU$38,27,0)</f>
        <v>0</v>
      </c>
      <c r="Y9" s="36">
        <f>VLOOKUP($A9,[24]HISTOMARS24!$A$6:$BM$38,33,0)</f>
        <v>0</v>
      </c>
      <c r="Z9" s="36">
        <f>VLOOKUP($A9,[24]HISTOMARS24!$A$6:$BM$38,65,0)</f>
        <v>0</v>
      </c>
      <c r="AA9" s="36"/>
      <c r="AB9" s="36">
        <f>VLOOKUP($A9,[24]HISTOMARS24!$A$6:$AU$38,43,0)</f>
        <v>0</v>
      </c>
      <c r="AC9" s="36">
        <f>VLOOKUP($A9,[24]HISTOMARS24!$A$6:$AU$38,44,0)</f>
        <v>0</v>
      </c>
      <c r="AD9" s="36">
        <f>VLOOKUP($A9,[24]HISTOMARS24!$A$6:$AU$38,47,0)</f>
        <v>0</v>
      </c>
      <c r="AE9" s="36">
        <f>VLOOKUP(A9,[24]HISTOMARS24!$A$6:$BB$38,54,0)</f>
        <v>0</v>
      </c>
      <c r="AF9" s="36">
        <f>VLOOKUP($A9,[24]HISTOMARS24!$A$6:$CA$38,60,0)</f>
        <v>0</v>
      </c>
      <c r="AG9" s="36">
        <f>VLOOKUP($A9,[24]HISTOMARS24!$A$6:$CA$38,61,0)</f>
        <v>0</v>
      </c>
      <c r="AH9" s="36">
        <f>VLOOKUP($A9,[24]HISTOMARS24!$A$6:$CA$38,62,0)</f>
        <v>0</v>
      </c>
      <c r="AI9" s="36">
        <f>VLOOKUP($A9,[24]HISTOMARS24!$A$6:$CA$38,63,0)</f>
        <v>0</v>
      </c>
      <c r="AJ9" s="36">
        <f>VLOOKUP($A9,[24]HISTOMARS24!$A$6:$CA$38,64,0)</f>
        <v>0</v>
      </c>
      <c r="AK9" s="36">
        <f>VLOOKUP($A9,[24]HISTOMARS24!$A$6:$CA$38,65,0)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VLOOKUP($A10,[24]HISTOMARS24!$A$6:$BA$38,48,0)</f>
        <v>0</v>
      </c>
      <c r="F10" s="36">
        <f>MVTFEV24!I10-E10+L10</f>
        <v>796091.86729873344</v>
      </c>
      <c r="G10" s="5">
        <f>IF(MVTFEV24!I10+L10&gt;700000,(MVTFEV24!I10-E10+L10),0)</f>
        <v>796091.86729873344</v>
      </c>
      <c r="H10" s="36">
        <f t="shared" si="0"/>
        <v>2713.3389272289842</v>
      </c>
      <c r="I10" s="6">
        <f t="shared" si="2"/>
        <v>798805.20622596238</v>
      </c>
      <c r="J10" s="36">
        <f>VLOOKUP($A10,[24]HISTOMARS24!$A$6:$AQ$42,22,0)</f>
        <v>0</v>
      </c>
      <c r="K10" s="36">
        <f>VLOOKUP($A10,[24]HISTOMARS24!$A$6:$AU$38,45,0)</f>
        <v>19000</v>
      </c>
      <c r="L10" s="36">
        <f t="shared" si="3"/>
        <v>13000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VLOOKUP($A10,[24]HISTOMARS24!$A$6:$AU$38,7,0)</f>
        <v>0</v>
      </c>
      <c r="Q10" s="36">
        <f>VLOOKUP($A10,[24]HISTOMARS24!$A$6:$AU$38,23,0)</f>
        <v>0</v>
      </c>
      <c r="R10" s="36">
        <f>VLOOKUP($A10,[24]HISTOMARS24!$A$6:$AU$38,46,0)</f>
        <v>0</v>
      </c>
      <c r="S10" s="36">
        <f>VLOOKUP($A10,[24]HISTOMARS24!$A$6:$AU$38,26,0)</f>
        <v>0</v>
      </c>
      <c r="T10" s="36">
        <f>VLOOKUP($A10,[24]HISTOMARS24!$A$6:$BG$38,58,0)</f>
        <v>0</v>
      </c>
      <c r="U10" s="36">
        <f>VLOOKUP($A10,[24]HISTOMARS24!$A$6:$AU$38,28,0)</f>
        <v>0</v>
      </c>
      <c r="V10" s="36">
        <f>VLOOKUP($A10,[24]HISTOMARS24!$A$6:$AU$38,19,0)</f>
        <v>0</v>
      </c>
      <c r="W10" s="36">
        <f>VLOOKUP($A10,[24]HISTOMARS24!$A$6:$AU$38,20,0)</f>
        <v>0</v>
      </c>
      <c r="X10" s="36">
        <f>VLOOKUP($A10,[24]HISTOMARS24!$A$6:$AU$38,27,0)</f>
        <v>0</v>
      </c>
      <c r="Y10" s="36">
        <f>VLOOKUP($A10,[24]HISTOMARS24!$A$6:$BM$38,33,0)</f>
        <v>0</v>
      </c>
      <c r="Z10" s="36">
        <f>VLOOKUP($A10,[24]HISTOMARS24!$A$6:$BM$38,65,0)</f>
        <v>0</v>
      </c>
      <c r="AA10" s="36"/>
      <c r="AB10" s="36">
        <f>VLOOKUP($A10,[24]HISTOMARS24!$A$6:$AU$38,43,0)</f>
        <v>0</v>
      </c>
      <c r="AC10" s="36">
        <f>VLOOKUP($A10,[24]HISTOMARS24!$A$6:$AU$38,44,0)</f>
        <v>0</v>
      </c>
      <c r="AD10" s="36">
        <f>VLOOKUP($A10,[24]HISTOMARS24!$A$6:$AU$38,47,0)</f>
        <v>0</v>
      </c>
      <c r="AE10" s="36">
        <f>VLOOKUP(A10,[24]HISTOMARS24!$A$6:$BB$38,54,0)</f>
        <v>0</v>
      </c>
      <c r="AF10" s="36">
        <f>VLOOKUP($A10,[24]HISTOMARS24!$A$6:$CA$38,60,0)</f>
        <v>0</v>
      </c>
      <c r="AG10" s="36">
        <f>VLOOKUP($A10,[24]HISTOMARS24!$A$6:$CA$38,61,0)</f>
        <v>0</v>
      </c>
      <c r="AH10" s="36">
        <f>VLOOKUP($A10,[24]HISTOMARS24!$A$6:$CA$38,62,0)</f>
        <v>0</v>
      </c>
      <c r="AI10" s="36">
        <f>VLOOKUP($A10,[24]HISTOMARS24!$A$6:$CA$38,63,0)</f>
        <v>0</v>
      </c>
      <c r="AJ10" s="36">
        <f>VLOOKUP($A10,[24]HISTOMARS24!$A$6:$CA$38,64,0)</f>
        <v>0</v>
      </c>
      <c r="AK10" s="36">
        <f>VLOOKUP($A10,[24]HISTOMARS24!$A$6:$CA$38,65,0)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VLOOKUP($A11,[24]HISTOMARS24!$A$6:$BA$38,48,0)</f>
        <v>0</v>
      </c>
      <c r="F11" s="36">
        <f>MVTFEV24!I11-E11+L11</f>
        <v>804115.14410627156</v>
      </c>
      <c r="G11" s="5">
        <f>IF(MVTFEV24!I11+L11&gt;700000,(MVTFEV24!I11-E11+L11),0)</f>
        <v>804115.14410627156</v>
      </c>
      <c r="H11" s="36">
        <f t="shared" si="0"/>
        <v>2740.6848532207864</v>
      </c>
      <c r="I11" s="6">
        <f t="shared" si="2"/>
        <v>806855.82895949238</v>
      </c>
      <c r="J11" s="36">
        <f>VLOOKUP($A11,[24]HISTOMARS24!$A$6:$AQ$42,22,0)</f>
        <v>0</v>
      </c>
      <c r="K11" s="36">
        <f>VLOOKUP($A11,[24]HISTOMARS24!$A$6:$AU$38,45,0)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VLOOKUP($A11,[24]HISTOMARS24!$A$6:$AU$38,7,0)</f>
        <v>0</v>
      </c>
      <c r="Q11" s="36">
        <f>VLOOKUP($A11,[24]HISTOMARS24!$A$6:$AU$38,23,0)</f>
        <v>0</v>
      </c>
      <c r="R11" s="36">
        <f>VLOOKUP($A11,[24]HISTOMARS24!$A$6:$AU$38,46,0)</f>
        <v>0</v>
      </c>
      <c r="S11" s="36">
        <f>VLOOKUP($A11,[24]HISTOMARS24!$A$6:$AU$38,26,0)</f>
        <v>0</v>
      </c>
      <c r="T11" s="36">
        <f>VLOOKUP($A11,[24]HISTOMARS24!$A$6:$BG$38,58,0)</f>
        <v>0</v>
      </c>
      <c r="U11" s="36">
        <f>VLOOKUP($A11,[24]HISTOMARS24!$A$6:$AU$38,28,0)</f>
        <v>0</v>
      </c>
      <c r="V11" s="36">
        <f>VLOOKUP($A11,[24]HISTOMARS24!$A$6:$AU$38,19,0)</f>
        <v>0</v>
      </c>
      <c r="W11" s="36">
        <f>VLOOKUP($A11,[24]HISTOMARS24!$A$6:$AU$38,20,0)</f>
        <v>0</v>
      </c>
      <c r="X11" s="36">
        <f>VLOOKUP($A11,[24]HISTOMARS24!$A$6:$AU$38,27,0)</f>
        <v>0</v>
      </c>
      <c r="Y11" s="36">
        <f>VLOOKUP($A11,[24]HISTOMARS24!$A$6:$BM$38,33,0)</f>
        <v>0</v>
      </c>
      <c r="Z11" s="36">
        <f>VLOOKUP($A11,[24]HISTOMARS24!$A$6:$BM$38,65,0)</f>
        <v>0</v>
      </c>
      <c r="AA11" s="36"/>
      <c r="AB11" s="36">
        <f>VLOOKUP($A11,[24]HISTOMARS24!$A$6:$AU$38,43,0)</f>
        <v>0</v>
      </c>
      <c r="AC11" s="36">
        <f>VLOOKUP($A11,[24]HISTOMARS24!$A$6:$AU$38,44,0)</f>
        <v>0</v>
      </c>
      <c r="AD11" s="36">
        <f>VLOOKUP($A11,[24]HISTOMARS24!$A$6:$AU$38,47,0)</f>
        <v>0</v>
      </c>
      <c r="AE11" s="36">
        <f>VLOOKUP(A11,[24]HISTOMARS24!$A$6:$BB$38,54,0)</f>
        <v>0</v>
      </c>
      <c r="AF11" s="36">
        <f>VLOOKUP($A11,[24]HISTOMARS24!$A$6:$CA$38,60,0)</f>
        <v>0</v>
      </c>
      <c r="AG11" s="36">
        <f>VLOOKUP($A11,[24]HISTOMARS24!$A$6:$CA$38,61,0)</f>
        <v>0</v>
      </c>
      <c r="AH11" s="36">
        <f>VLOOKUP($A11,[24]HISTOMARS24!$A$6:$CA$38,62,0)</f>
        <v>0</v>
      </c>
      <c r="AI11" s="36">
        <f>VLOOKUP($A11,[24]HISTOMARS24!$A$6:$CA$38,63,0)</f>
        <v>0</v>
      </c>
      <c r="AJ11" s="36">
        <f>VLOOKUP($A11,[24]HISTOMARS24!$A$6:$CA$38,64,0)</f>
        <v>0</v>
      </c>
      <c r="AK11" s="36">
        <f>VLOOKUP($A11,[24]HISTOMARS24!$A$6:$CA$38,65,0)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VLOOKUP($A12,[24]HISTOMARS24!$A$6:$BA$38,48,0)</f>
        <v>0</v>
      </c>
      <c r="F12" s="36">
        <f>MVTFEV24!I12-E12+L12</f>
        <v>832263.52376541402</v>
      </c>
      <c r="G12" s="5">
        <f>IF(MVTFEV24!I12+L12&gt;700000,(MVTFEV24!I12-E12+L12),0)</f>
        <v>832263.52376541402</v>
      </c>
      <c r="H12" s="36">
        <f t="shared" si="0"/>
        <v>2836.6236479816575</v>
      </c>
      <c r="I12" s="6">
        <f t="shared" si="2"/>
        <v>835100.14741339569</v>
      </c>
      <c r="J12" s="36">
        <f>VLOOKUP($A12,[24]HISTOMARS24!$A$6:$AQ$42,22,0)</f>
        <v>0</v>
      </c>
      <c r="K12" s="36">
        <f>VLOOKUP($A12,[24]HISTOMARS24!$A$6:$AU$38,45,0)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VLOOKUP($A12,[24]HISTOMARS24!$A$6:$AU$38,7,0)</f>
        <v>0</v>
      </c>
      <c r="Q12" s="36">
        <f>VLOOKUP($A12,[24]HISTOMARS24!$A$6:$AU$38,23,0)</f>
        <v>0</v>
      </c>
      <c r="R12" s="36">
        <f>VLOOKUP($A12,[24]HISTOMARS24!$A$6:$AU$38,46,0)</f>
        <v>0</v>
      </c>
      <c r="S12" s="36">
        <f>VLOOKUP($A12,[24]HISTOMARS24!$A$6:$AU$38,26,0)</f>
        <v>0</v>
      </c>
      <c r="T12" s="36">
        <f>VLOOKUP($A12,[24]HISTOMARS24!$A$6:$BG$38,58,0)</f>
        <v>0</v>
      </c>
      <c r="U12" s="36">
        <f>VLOOKUP($A12,[24]HISTOMARS24!$A$6:$AU$38,28,0)</f>
        <v>0</v>
      </c>
      <c r="V12" s="36">
        <f>VLOOKUP($A12,[24]HISTOMARS24!$A$6:$AU$38,19,0)</f>
        <v>0</v>
      </c>
      <c r="W12" s="36">
        <f>VLOOKUP($A12,[24]HISTOMARS24!$A$6:$AU$38,20,0)</f>
        <v>0</v>
      </c>
      <c r="X12" s="36">
        <f>VLOOKUP($A12,[24]HISTOMARS24!$A$6:$AU$38,27,0)</f>
        <v>0</v>
      </c>
      <c r="Y12" s="36">
        <f>VLOOKUP($A12,[24]HISTOMARS24!$A$6:$BM$38,33,0)</f>
        <v>0</v>
      </c>
      <c r="Z12" s="36">
        <f>VLOOKUP($A12,[24]HISTOMARS24!$A$6:$BM$38,65,0)</f>
        <v>0</v>
      </c>
      <c r="AA12" s="36"/>
      <c r="AB12" s="36">
        <f>VLOOKUP($A12,[24]HISTOMARS24!$A$6:$AU$38,43,0)</f>
        <v>0</v>
      </c>
      <c r="AC12" s="36">
        <f>VLOOKUP($A12,[24]HISTOMARS24!$A$6:$AU$38,44,0)</f>
        <v>0</v>
      </c>
      <c r="AD12" s="36">
        <f>VLOOKUP($A12,[24]HISTOMARS24!$A$6:$AU$38,47,0)</f>
        <v>0</v>
      </c>
      <c r="AE12" s="36">
        <f>VLOOKUP(A12,[24]HISTOMARS24!$A$6:$BB$38,54,0)</f>
        <v>0</v>
      </c>
      <c r="AF12" s="36">
        <f>VLOOKUP($A12,[24]HISTOMARS24!$A$6:$CA$38,60,0)</f>
        <v>0</v>
      </c>
      <c r="AG12" s="36">
        <f>VLOOKUP($A12,[24]HISTOMARS24!$A$6:$CA$38,61,0)</f>
        <v>0</v>
      </c>
      <c r="AH12" s="36">
        <f>VLOOKUP($A12,[24]HISTOMARS24!$A$6:$CA$38,62,0)</f>
        <v>0</v>
      </c>
      <c r="AI12" s="36">
        <f>VLOOKUP($A12,[24]HISTOMARS24!$A$6:$CA$38,63,0)</f>
        <v>0</v>
      </c>
      <c r="AJ12" s="36">
        <f>VLOOKUP($A12,[24]HISTOMARS24!$A$6:$CA$38,64,0)</f>
        <v>0</v>
      </c>
      <c r="AK12" s="36">
        <f>VLOOKUP($A12,[24]HISTOMARS24!$A$6:$CA$38,65,0)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VLOOKUP($A13,[24]HISTOMARS24!$A$6:$BA$38,48,0)</f>
        <v>0</v>
      </c>
      <c r="F13" s="36">
        <f>MVTFEV24!I13-E13+L13</f>
        <v>801822.27610570251</v>
      </c>
      <c r="G13" s="5">
        <f>IF(MVTFEV24!I13+L13&gt;700000,(MVTFEV24!I13-E13+L13),0)</f>
        <v>801822.27610570251</v>
      </c>
      <c r="H13" s="36">
        <f t="shared" si="0"/>
        <v>2732.8700164456645</v>
      </c>
      <c r="I13" s="6">
        <f t="shared" si="2"/>
        <v>804555.14612214814</v>
      </c>
      <c r="J13" s="36">
        <f>VLOOKUP($A13,[24]HISTOMARS24!$A$6:$AQ$42,22,0)</f>
        <v>0</v>
      </c>
      <c r="K13" s="36">
        <f>VLOOKUP($A13,[24]HISTOMARS24!$A$6:$AU$38,45,0)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VLOOKUP($A13,[24]HISTOMARS24!$A$6:$AU$38,7,0)</f>
        <v>0</v>
      </c>
      <c r="Q13" s="36">
        <f>VLOOKUP($A13,[24]HISTOMARS24!$A$6:$AU$38,23,0)</f>
        <v>0</v>
      </c>
      <c r="R13" s="36">
        <f>VLOOKUP($A13,[24]HISTOMARS24!$A$6:$AU$38,46,0)</f>
        <v>0</v>
      </c>
      <c r="S13" s="36">
        <f>VLOOKUP($A13,[24]HISTOMARS24!$A$6:$AU$38,26,0)</f>
        <v>0</v>
      </c>
      <c r="T13" s="36">
        <f>VLOOKUP($A13,[24]HISTOMARS24!$A$6:$BG$38,58,0)</f>
        <v>0</v>
      </c>
      <c r="U13" s="36">
        <f>VLOOKUP($A13,[24]HISTOMARS24!$A$6:$AU$38,28,0)</f>
        <v>0</v>
      </c>
      <c r="V13" s="36">
        <f>VLOOKUP($A13,[24]HISTOMARS24!$A$6:$AU$38,19,0)</f>
        <v>0</v>
      </c>
      <c r="W13" s="36">
        <f>VLOOKUP($A13,[24]HISTOMARS24!$A$6:$AU$38,20,0)</f>
        <v>0</v>
      </c>
      <c r="X13" s="36">
        <f>VLOOKUP($A13,[24]HISTOMARS24!$A$6:$AU$38,27,0)</f>
        <v>0</v>
      </c>
      <c r="Y13" s="36">
        <f>VLOOKUP($A13,[24]HISTOMARS24!$A$6:$BM$38,33,0)</f>
        <v>0</v>
      </c>
      <c r="Z13" s="36">
        <f>VLOOKUP($A13,[24]HISTOMARS24!$A$6:$BM$38,65,0)</f>
        <v>0</v>
      </c>
      <c r="AA13" s="36"/>
      <c r="AB13" s="36">
        <f>VLOOKUP($A13,[24]HISTOMARS24!$A$6:$AU$38,43,0)</f>
        <v>0</v>
      </c>
      <c r="AC13" s="36">
        <f>VLOOKUP($A13,[24]HISTOMARS24!$A$6:$AU$38,44,0)</f>
        <v>0</v>
      </c>
      <c r="AD13" s="36">
        <f>VLOOKUP($A13,[24]HISTOMARS24!$A$6:$AU$38,47,0)</f>
        <v>0</v>
      </c>
      <c r="AE13" s="36">
        <f>VLOOKUP(A13,[24]HISTOMARS24!$A$6:$BB$38,54,0)</f>
        <v>0</v>
      </c>
      <c r="AF13" s="36">
        <f>VLOOKUP($A13,[24]HISTOMARS24!$A$6:$CA$38,60,0)</f>
        <v>0</v>
      </c>
      <c r="AG13" s="36">
        <f>VLOOKUP($A13,[24]HISTOMARS24!$A$6:$CA$38,61,0)</f>
        <v>0</v>
      </c>
      <c r="AH13" s="36">
        <f>VLOOKUP($A13,[24]HISTOMARS24!$A$6:$CA$38,62,0)</f>
        <v>0</v>
      </c>
      <c r="AI13" s="36">
        <f>VLOOKUP($A13,[24]HISTOMARS24!$A$6:$CA$38,63,0)</f>
        <v>0</v>
      </c>
      <c r="AJ13" s="36">
        <f>VLOOKUP($A13,[24]HISTOMARS24!$A$6:$CA$38,64,0)</f>
        <v>0</v>
      </c>
      <c r="AK13" s="36">
        <f>VLOOKUP($A13,[24]HISTOMARS24!$A$6:$CA$38,65,0)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VLOOKUP($A14,[24]HISTOMARS24!$A$6:$BA$38,48,0)</f>
        <v>0</v>
      </c>
      <c r="F14" s="36">
        <f>MVTFEV24!I14-E14+L14</f>
        <v>1352815.1501578474</v>
      </c>
      <c r="G14" s="5">
        <f>IF(MVTFEV24!I14+L14&gt;700000,(MVTFEV24!I14-E14+L14),0)</f>
        <v>1352815.1501578474</v>
      </c>
      <c r="H14" s="36">
        <f t="shared" si="0"/>
        <v>4610.8321904147797</v>
      </c>
      <c r="I14" s="6">
        <f t="shared" si="2"/>
        <v>1357425.9823482623</v>
      </c>
      <c r="J14" s="36">
        <f>VLOOKUP($A14,[24]HISTOMARS24!$A$6:$AQ$42,22,0)</f>
        <v>0</v>
      </c>
      <c r="K14" s="36">
        <f>VLOOKUP($A14,[24]HISTOMARS24!$A$6:$AU$38,45,0)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VLOOKUP($A14,[24]HISTOMARS24!$A$6:$AU$38,7,0)</f>
        <v>0</v>
      </c>
      <c r="Q14" s="36">
        <f>VLOOKUP($A14,[24]HISTOMARS24!$A$6:$AU$38,23,0)</f>
        <v>0</v>
      </c>
      <c r="R14" s="36">
        <f>VLOOKUP($A14,[24]HISTOMARS24!$A$6:$AU$38,46,0)</f>
        <v>0</v>
      </c>
      <c r="S14" s="36">
        <f>VLOOKUP($A14,[24]HISTOMARS24!$A$6:$AU$38,26,0)</f>
        <v>0</v>
      </c>
      <c r="T14" s="36">
        <f>VLOOKUP($A14,[24]HISTOMARS24!$A$6:$BG$38,58,0)</f>
        <v>0</v>
      </c>
      <c r="U14" s="36">
        <f>VLOOKUP($A14,[24]HISTOMARS24!$A$6:$AU$38,28,0)</f>
        <v>0</v>
      </c>
      <c r="V14" s="36">
        <f>VLOOKUP($A14,[24]HISTOMARS24!$A$6:$AU$38,19,0)</f>
        <v>0</v>
      </c>
      <c r="W14" s="36">
        <f>VLOOKUP($A14,[24]HISTOMARS24!$A$6:$AU$38,20,0)</f>
        <v>0</v>
      </c>
      <c r="X14" s="36">
        <f>VLOOKUP($A14,[24]HISTOMARS24!$A$6:$AU$38,27,0)</f>
        <v>0</v>
      </c>
      <c r="Y14" s="36">
        <f>VLOOKUP($A14,[24]HISTOMARS24!$A$6:$BM$38,33,0)</f>
        <v>0</v>
      </c>
      <c r="Z14" s="36">
        <f>VLOOKUP($A14,[24]HISTOMARS24!$A$6:$BM$38,65,0)</f>
        <v>0</v>
      </c>
      <c r="AA14" s="36"/>
      <c r="AB14" s="36">
        <f>VLOOKUP($A14,[24]HISTOMARS24!$A$6:$AU$38,43,0)</f>
        <v>0</v>
      </c>
      <c r="AC14" s="36">
        <f>VLOOKUP($A14,[24]HISTOMARS24!$A$6:$AU$38,44,0)</f>
        <v>0</v>
      </c>
      <c r="AD14" s="36">
        <f>VLOOKUP($A14,[24]HISTOMARS24!$A$6:$AU$38,47,0)</f>
        <v>0</v>
      </c>
      <c r="AE14" s="36">
        <f>VLOOKUP(A14,[24]HISTOMARS24!$A$6:$BB$38,54,0)</f>
        <v>0</v>
      </c>
      <c r="AF14" s="36">
        <f>VLOOKUP($A14,[24]HISTOMARS24!$A$6:$CA$38,60,0)</f>
        <v>0</v>
      </c>
      <c r="AG14" s="36">
        <f>VLOOKUP($A14,[24]HISTOMARS24!$A$6:$CA$38,61,0)</f>
        <v>0</v>
      </c>
      <c r="AH14" s="36">
        <f>VLOOKUP($A14,[24]HISTOMARS24!$A$6:$CA$38,62,0)</f>
        <v>0</v>
      </c>
      <c r="AI14" s="36">
        <f>VLOOKUP($A14,[24]HISTOMARS24!$A$6:$CA$38,63,0)</f>
        <v>0</v>
      </c>
      <c r="AJ14" s="36">
        <f>VLOOKUP($A14,[24]HISTOMARS24!$A$6:$CA$38,64,0)</f>
        <v>0</v>
      </c>
      <c r="AK14" s="36">
        <f>VLOOKUP($A14,[24]HISTOMARS24!$A$6:$CA$38,65,0)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VLOOKUP($A15,[24]HISTOMARS24!$A$6:$BA$38,48,0)</f>
        <v>0</v>
      </c>
      <c r="F15" s="36">
        <f>MVTFEV24!I15-E15+L15</f>
        <v>863366.98721270484</v>
      </c>
      <c r="G15" s="5">
        <f>IF(MVTFEV24!I15+L15&gt;700000,(MVTFEV24!I15-E15+L15),0)</f>
        <v>863366.98721270484</v>
      </c>
      <c r="H15" s="36">
        <f t="shared" si="0"/>
        <v>2942.6343254045296</v>
      </c>
      <c r="I15" s="6">
        <f t="shared" si="2"/>
        <v>866309.62153810938</v>
      </c>
      <c r="J15" s="36">
        <f>VLOOKUP($A15,[24]HISTOMARS24!$A$6:$AQ$42,22,0)</f>
        <v>0</v>
      </c>
      <c r="K15" s="36">
        <f>VLOOKUP($A15,[24]HISTOMARS24!$A$6:$AU$38,45,0)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VLOOKUP($A15,[24]HISTOMARS24!$A$6:$AU$38,7,0)</f>
        <v>0</v>
      </c>
      <c r="Q15" s="36">
        <f>VLOOKUP($A15,[24]HISTOMARS24!$A$6:$AU$38,23,0)</f>
        <v>0</v>
      </c>
      <c r="R15" s="36">
        <f>VLOOKUP($A15,[24]HISTOMARS24!$A$6:$AU$38,46,0)</f>
        <v>0</v>
      </c>
      <c r="S15" s="36">
        <f>VLOOKUP($A15,[24]HISTOMARS24!$A$6:$AU$38,26,0)</f>
        <v>0</v>
      </c>
      <c r="T15" s="36">
        <f>VLOOKUP($A15,[24]HISTOMARS24!$A$6:$BG$38,58,0)</f>
        <v>0</v>
      </c>
      <c r="U15" s="36">
        <f>VLOOKUP($A15,[24]HISTOMARS24!$A$6:$AU$38,28,0)</f>
        <v>0</v>
      </c>
      <c r="V15" s="36">
        <f>VLOOKUP($A15,[24]HISTOMARS24!$A$6:$AU$38,19,0)</f>
        <v>0</v>
      </c>
      <c r="W15" s="36">
        <f>VLOOKUP($A15,[24]HISTOMARS24!$A$6:$AU$38,20,0)</f>
        <v>0</v>
      </c>
      <c r="X15" s="36">
        <f>VLOOKUP($A15,[24]HISTOMARS24!$A$6:$AU$38,27,0)</f>
        <v>0</v>
      </c>
      <c r="Y15" s="36">
        <f>VLOOKUP($A15,[24]HISTOMARS24!$A$6:$BM$38,33,0)</f>
        <v>0</v>
      </c>
      <c r="Z15" s="36">
        <f>VLOOKUP($A15,[24]HISTOMARS24!$A$6:$BM$38,65,0)</f>
        <v>0</v>
      </c>
      <c r="AA15" s="36"/>
      <c r="AB15" s="36">
        <f>VLOOKUP($A15,[24]HISTOMARS24!$A$6:$AU$38,43,0)</f>
        <v>0</v>
      </c>
      <c r="AC15" s="36">
        <f>VLOOKUP($A15,[24]HISTOMARS24!$A$6:$AU$38,44,0)</f>
        <v>0</v>
      </c>
      <c r="AD15" s="36">
        <f>VLOOKUP($A15,[24]HISTOMARS24!$A$6:$AU$38,47,0)</f>
        <v>0</v>
      </c>
      <c r="AE15" s="36">
        <f>VLOOKUP(A15,[24]HISTOMARS24!$A$6:$BB$38,54,0)</f>
        <v>0</v>
      </c>
      <c r="AF15" s="36">
        <f>VLOOKUP($A15,[24]HISTOMARS24!$A$6:$CA$38,60,0)</f>
        <v>0</v>
      </c>
      <c r="AG15" s="36">
        <f>VLOOKUP($A15,[24]HISTOMARS24!$A$6:$CA$38,61,0)</f>
        <v>0</v>
      </c>
      <c r="AH15" s="36">
        <f>VLOOKUP($A15,[24]HISTOMARS24!$A$6:$CA$38,62,0)</f>
        <v>0</v>
      </c>
      <c r="AI15" s="36">
        <f>VLOOKUP($A15,[24]HISTOMARS24!$A$6:$CA$38,63,0)</f>
        <v>0</v>
      </c>
      <c r="AJ15" s="36">
        <f>VLOOKUP($A15,[24]HISTOMARS24!$A$6:$CA$38,64,0)</f>
        <v>0</v>
      </c>
      <c r="AK15" s="36">
        <f>VLOOKUP($A15,[24]HISTOMARS24!$A$6:$CA$38,65,0)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VLOOKUP($A16,[24]HISTOMARS24!$A$6:$BA$38,48,0)</f>
        <v>0</v>
      </c>
      <c r="F16" s="36">
        <f>MVTFEV24!I16-E16+L16</f>
        <v>938659.4510785701</v>
      </c>
      <c r="G16" s="5">
        <f>IF(MVTFEV24!I16+L16&gt;700000,(MVTFEV24!I16-E16+L16),0)</f>
        <v>938659.4510785701</v>
      </c>
      <c r="H16" s="36">
        <f t="shared" si="0"/>
        <v>3199.2554284782691</v>
      </c>
      <c r="I16" s="6">
        <f t="shared" si="2"/>
        <v>941858.70650704834</v>
      </c>
      <c r="J16" s="36">
        <f>VLOOKUP($A16,[24]HISTOMARS24!$A$6:$AQ$42,22,0)</f>
        <v>0</v>
      </c>
      <c r="K16" s="36">
        <f>VLOOKUP($A16,[24]HISTOMARS24!$A$6:$AU$38,45,0)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VLOOKUP($A16,[24]HISTOMARS24!$A$6:$AU$38,7,0)</f>
        <v>0</v>
      </c>
      <c r="Q16" s="36">
        <f>VLOOKUP($A16,[24]HISTOMARS24!$A$6:$AU$38,23,0)</f>
        <v>0</v>
      </c>
      <c r="R16" s="36">
        <f>VLOOKUP($A16,[24]HISTOMARS24!$A$6:$AU$38,46,0)</f>
        <v>0</v>
      </c>
      <c r="S16" s="36">
        <f>VLOOKUP($A16,[24]HISTOMARS24!$A$6:$AU$38,26,0)</f>
        <v>0</v>
      </c>
      <c r="T16" s="36">
        <f>VLOOKUP($A16,[24]HISTOMARS24!$A$6:$BG$38,58,0)</f>
        <v>0</v>
      </c>
      <c r="U16" s="36">
        <f>VLOOKUP($A16,[24]HISTOMARS24!$A$6:$AU$38,28,0)</f>
        <v>0</v>
      </c>
      <c r="V16" s="36">
        <f>VLOOKUP($A16,[24]HISTOMARS24!$A$6:$AU$38,19,0)</f>
        <v>0</v>
      </c>
      <c r="W16" s="36">
        <f>VLOOKUP($A16,[24]HISTOMARS24!$A$6:$AU$38,20,0)</f>
        <v>0</v>
      </c>
      <c r="X16" s="36">
        <f>VLOOKUP($A16,[24]HISTOMARS24!$A$6:$AU$38,27,0)</f>
        <v>0</v>
      </c>
      <c r="Y16" s="36">
        <f>VLOOKUP($A16,[24]HISTOMARS24!$A$6:$BM$38,33,0)</f>
        <v>0</v>
      </c>
      <c r="Z16" s="36">
        <f>VLOOKUP($A16,[24]HISTOMARS24!$A$6:$BM$38,65,0)</f>
        <v>0</v>
      </c>
      <c r="AA16" s="36"/>
      <c r="AB16" s="36">
        <f>VLOOKUP($A16,[24]HISTOMARS24!$A$6:$AU$38,43,0)</f>
        <v>0</v>
      </c>
      <c r="AC16" s="36">
        <f>VLOOKUP($A16,[24]HISTOMARS24!$A$6:$AU$38,44,0)</f>
        <v>0</v>
      </c>
      <c r="AD16" s="36">
        <f>VLOOKUP($A16,[24]HISTOMARS24!$A$6:$AU$38,47,0)</f>
        <v>0</v>
      </c>
      <c r="AE16" s="36">
        <f>VLOOKUP(A16,[24]HISTOMARS24!$A$6:$BB$38,54,0)</f>
        <v>0</v>
      </c>
      <c r="AF16" s="36">
        <f>VLOOKUP($A16,[24]HISTOMARS24!$A$6:$CA$38,60,0)</f>
        <v>0</v>
      </c>
      <c r="AG16" s="36">
        <f>VLOOKUP($A16,[24]HISTOMARS24!$A$6:$CA$38,61,0)</f>
        <v>0</v>
      </c>
      <c r="AH16" s="36">
        <f>VLOOKUP($A16,[24]HISTOMARS24!$A$6:$CA$38,62,0)</f>
        <v>0</v>
      </c>
      <c r="AI16" s="36">
        <f>VLOOKUP($A16,[24]HISTOMARS24!$A$6:$CA$38,63,0)</f>
        <v>0</v>
      </c>
      <c r="AJ16" s="36">
        <f>VLOOKUP($A16,[24]HISTOMARS24!$A$6:$CA$38,64,0)</f>
        <v>0</v>
      </c>
      <c r="AK16" s="36">
        <f>VLOOKUP($A16,[24]HISTOMARS24!$A$6:$CA$38,65,0)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VLOOKUP($A17,[24]HISTOMARS24!$A$6:$BA$38,48,0)</f>
        <v>0</v>
      </c>
      <c r="F17" s="36">
        <f>MVTFEV24!I17-E17+L17</f>
        <v>811636.38086143602</v>
      </c>
      <c r="G17" s="5">
        <f>IF(MVTFEV24!I17+L17&gt;700000,(MVTFEV24!I17-E17+L17),0)</f>
        <v>811636.38086143602</v>
      </c>
      <c r="H17" s="36">
        <f t="shared" si="0"/>
        <v>2766.3196641100617</v>
      </c>
      <c r="I17" s="6">
        <f t="shared" si="2"/>
        <v>814402.7005255461</v>
      </c>
      <c r="J17" s="36">
        <f>VLOOKUP($A17,[24]HISTOMARS24!$A$6:$AQ$42,22,0)</f>
        <v>0</v>
      </c>
      <c r="K17" s="36">
        <f>VLOOKUP($A17,[24]HISTOMARS24!$A$6:$AU$38,45,0)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VLOOKUP($A17,[24]HISTOMARS24!$A$6:$AU$38,7,0)</f>
        <v>0</v>
      </c>
      <c r="Q17" s="36">
        <f>VLOOKUP($A17,[24]HISTOMARS24!$A$6:$AU$38,23,0)</f>
        <v>0</v>
      </c>
      <c r="R17" s="36">
        <f>VLOOKUP($A17,[24]HISTOMARS24!$A$6:$AU$38,46,0)</f>
        <v>0</v>
      </c>
      <c r="S17" s="36">
        <f>VLOOKUP($A17,[24]HISTOMARS24!$A$6:$AU$38,26,0)</f>
        <v>0</v>
      </c>
      <c r="T17" s="36">
        <f>VLOOKUP($A17,[24]HISTOMARS24!$A$6:$BG$38,58,0)</f>
        <v>0</v>
      </c>
      <c r="U17" s="36">
        <f>VLOOKUP($A17,[24]HISTOMARS24!$A$6:$AU$38,28,0)</f>
        <v>0</v>
      </c>
      <c r="V17" s="36">
        <f>VLOOKUP($A17,[24]HISTOMARS24!$A$6:$AU$38,19,0)</f>
        <v>500000</v>
      </c>
      <c r="W17" s="36" t="str">
        <f>VLOOKUP($A17,[24]HISTOMARS24!$A$6:$AU$38,20,0)</f>
        <v>BANQUE</v>
      </c>
      <c r="X17" s="36">
        <f>VLOOKUP($A17,[24]HISTOMARS24!$A$6:$AU$38,27,0)</f>
        <v>0</v>
      </c>
      <c r="Y17" s="36">
        <f>VLOOKUP($A17,[24]HISTOMARS24!$A$6:$BM$38,33,0)</f>
        <v>0</v>
      </c>
      <c r="Z17" s="36">
        <f>VLOOKUP($A17,[24]HISTOMARS24!$A$6:$BM$38,65,0)</f>
        <v>0</v>
      </c>
      <c r="AA17" s="36"/>
      <c r="AB17" s="36">
        <f>VLOOKUP($A17,[24]HISTOMARS24!$A$6:$AU$38,43,0)</f>
        <v>0</v>
      </c>
      <c r="AC17" s="36">
        <f>VLOOKUP($A17,[24]HISTOMARS24!$A$6:$AU$38,44,0)</f>
        <v>0</v>
      </c>
      <c r="AD17" s="36">
        <f>VLOOKUP($A17,[24]HISTOMARS24!$A$6:$AU$38,47,0)</f>
        <v>0</v>
      </c>
      <c r="AE17" s="36">
        <f>VLOOKUP(A17,[24]HISTOMARS24!$A$6:$BB$38,54,0)</f>
        <v>0</v>
      </c>
      <c r="AF17" s="36">
        <f>VLOOKUP($A17,[24]HISTOMARS24!$A$6:$CA$38,60,0)</f>
        <v>0</v>
      </c>
      <c r="AG17" s="36">
        <f>VLOOKUP($A17,[24]HISTOMARS24!$A$6:$CA$38,61,0)</f>
        <v>0</v>
      </c>
      <c r="AH17" s="36">
        <f>VLOOKUP($A17,[24]HISTOMARS24!$A$6:$CA$38,62,0)</f>
        <v>0</v>
      </c>
      <c r="AI17" s="36">
        <f>VLOOKUP($A17,[24]HISTOMARS24!$A$6:$CA$38,63,0)</f>
        <v>0</v>
      </c>
      <c r="AJ17" s="36">
        <f>VLOOKUP($A17,[24]HISTOMARS24!$A$6:$CA$38,64,0)</f>
        <v>0</v>
      </c>
      <c r="AK17" s="36">
        <f>VLOOKUP($A17,[24]HISTOMARS24!$A$6:$CA$38,65,0)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VLOOKUP($A18,[24]HISTOMARS24!$A$6:$BA$38,48,0)</f>
        <v>0</v>
      </c>
      <c r="F18" s="36">
        <f>MVTFEV24!I18-E18+L18</f>
        <v>847773.27828259184</v>
      </c>
      <c r="G18" s="5">
        <f>IF(MVTFEV24!I18+L18&gt;700000,(MVTFEV24!I18-E18+L18),0)</f>
        <v>847773.27828259184</v>
      </c>
      <c r="H18" s="36">
        <f t="shared" si="0"/>
        <v>2889.4859147775978</v>
      </c>
      <c r="I18" s="6">
        <f t="shared" si="2"/>
        <v>850662.76419736946</v>
      </c>
      <c r="J18" s="36">
        <f>VLOOKUP($A18,[24]HISTOMARS24!$A$6:$AQ$42,22,0)</f>
        <v>0</v>
      </c>
      <c r="K18" s="36">
        <f>VLOOKUP($A18,[24]HISTOMARS24!$A$6:$AU$38,45,0)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VLOOKUP($A18,[24]HISTOMARS24!$A$6:$AU$38,7,0)</f>
        <v>0</v>
      </c>
      <c r="Q18" s="36">
        <f>VLOOKUP($A18,[24]HISTOMARS24!$A$6:$AU$38,23,0)</f>
        <v>0</v>
      </c>
      <c r="R18" s="36">
        <f>VLOOKUP($A18,[24]HISTOMARS24!$A$6:$AU$38,46,0)</f>
        <v>0</v>
      </c>
      <c r="S18" s="36">
        <f>VLOOKUP($A18,[24]HISTOMARS24!$A$6:$AU$38,26,0)</f>
        <v>0</v>
      </c>
      <c r="T18" s="36">
        <f>VLOOKUP($A18,[24]HISTOMARS24!$A$6:$BG$38,58,0)</f>
        <v>0</v>
      </c>
      <c r="U18" s="36">
        <f>VLOOKUP($A18,[24]HISTOMARS24!$A$6:$AU$38,28,0)</f>
        <v>0</v>
      </c>
      <c r="V18" s="36">
        <f>VLOOKUP($A18,[24]HISTOMARS24!$A$6:$AU$38,19,0)</f>
        <v>0</v>
      </c>
      <c r="W18" s="36">
        <f>VLOOKUP($A18,[24]HISTOMARS24!$A$6:$AU$38,20,0)</f>
        <v>0</v>
      </c>
      <c r="X18" s="36">
        <f>VLOOKUP($A18,[24]HISTOMARS24!$A$6:$AU$38,27,0)</f>
        <v>0</v>
      </c>
      <c r="Y18" s="36">
        <f>VLOOKUP($A18,[24]HISTOMARS24!$A$6:$BM$38,33,0)</f>
        <v>0</v>
      </c>
      <c r="Z18" s="36">
        <f>VLOOKUP($A18,[24]HISTOMARS24!$A$6:$BM$38,65,0)</f>
        <v>0</v>
      </c>
      <c r="AA18" s="36"/>
      <c r="AB18" s="36">
        <f>VLOOKUP($A18,[24]HISTOMARS24!$A$6:$AU$38,43,0)</f>
        <v>0</v>
      </c>
      <c r="AC18" s="36">
        <f>VLOOKUP($A18,[24]HISTOMARS24!$A$6:$AU$38,44,0)</f>
        <v>0</v>
      </c>
      <c r="AD18" s="36">
        <f>VLOOKUP($A18,[24]HISTOMARS24!$A$6:$AU$38,47,0)</f>
        <v>0</v>
      </c>
      <c r="AE18" s="36">
        <f>VLOOKUP(A18,[24]HISTOMARS24!$A$6:$BB$38,54,0)</f>
        <v>0</v>
      </c>
      <c r="AF18" s="36">
        <f>VLOOKUP($A18,[24]HISTOMARS24!$A$6:$CA$38,60,0)</f>
        <v>0</v>
      </c>
      <c r="AG18" s="36">
        <f>VLOOKUP($A18,[24]HISTOMARS24!$A$6:$CA$38,61,0)</f>
        <v>0</v>
      </c>
      <c r="AH18" s="36">
        <f>VLOOKUP($A18,[24]HISTOMARS24!$A$6:$CA$38,62,0)</f>
        <v>0</v>
      </c>
      <c r="AI18" s="36">
        <f>VLOOKUP($A18,[24]HISTOMARS24!$A$6:$CA$38,63,0)</f>
        <v>0</v>
      </c>
      <c r="AJ18" s="36">
        <f>VLOOKUP($A18,[24]HISTOMARS24!$A$6:$CA$38,64,0)</f>
        <v>0</v>
      </c>
      <c r="AK18" s="36">
        <f>VLOOKUP($A18,[24]HISTOMARS24!$A$6:$CA$38,65,0)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MVTFEV24!I19-E19+L19</f>
        <v>676217.13072703336</v>
      </c>
      <c r="G19" s="5">
        <f>IF(MVTFEV24!I19+L19&gt;700000,(MVTFEV24!I19-E19+L19),0)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MVTFEV24!I20-E20+L20</f>
        <v>57000</v>
      </c>
      <c r="G20" s="5">
        <f>IF(MVTFEV24!I20+L20&gt;700000,(MVTFEV24!I20-E20+L20),0)</f>
        <v>0</v>
      </c>
      <c r="H20" s="36">
        <f t="shared" si="0"/>
        <v>0</v>
      </c>
      <c r="I20" s="6">
        <f t="shared" si="2"/>
        <v>57000</v>
      </c>
      <c r="J20" s="36">
        <f>VLOOKUP($A20,[24]HISTOMARS24!$A$6:$AQ$42,22,0)</f>
        <v>0</v>
      </c>
      <c r="K20" s="36">
        <f>VLOOKUP($A20,[24]HISTOMARS24!$A$6:$AU$38,45,0)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VLOOKUP($A20,[24]HISTOMARS24!$A$6:$AU$38,7,0)</f>
        <v>0</v>
      </c>
      <c r="Q20" s="36">
        <f>VLOOKUP($A20,[24]HISTOMARS24!$A$6:$AU$38,23,0)</f>
        <v>0</v>
      </c>
      <c r="R20" s="36">
        <f>VLOOKUP($A20,[24]HISTOMARS24!$A$6:$AU$38,46,0)</f>
        <v>0</v>
      </c>
      <c r="S20" s="36">
        <f>VLOOKUP($A20,[24]HISTOMARS24!$A$6:$AU$38,26,0)</f>
        <v>0</v>
      </c>
      <c r="T20" s="36">
        <f>VLOOKUP($A20,[24]HISTOMARS24!$A$6:$BG$38,58,0)</f>
        <v>0</v>
      </c>
      <c r="U20" s="36">
        <f>VLOOKUP($A20,[24]HISTOMARS24!$A$6:$AU$38,28,0)</f>
        <v>0</v>
      </c>
      <c r="V20" s="36">
        <f>VLOOKUP($A20,[24]HISTOMARS24!$A$6:$AU$38,19,0)</f>
        <v>0</v>
      </c>
      <c r="W20" s="36">
        <f>VLOOKUP($A20,[24]HISTOMARS24!$A$6:$AU$38,20,0)</f>
        <v>0</v>
      </c>
      <c r="X20" s="36">
        <f>VLOOKUP($A20,[24]HISTOMARS24!$A$6:$AU$38,27,0)</f>
        <v>0</v>
      </c>
      <c r="Y20" s="36">
        <f>VLOOKUP($A20,[24]HISTOMARS24!$A$6:$BM$38,33,0)</f>
        <v>0</v>
      </c>
      <c r="Z20" s="36">
        <f>VLOOKUP($A20,[24]HISTOMARS24!$A$6:$BM$38,65,0)</f>
        <v>0</v>
      </c>
      <c r="AA20" s="36"/>
      <c r="AB20" s="36">
        <f>VLOOKUP($A20,[24]HISTOMARS24!$A$6:$AU$38,43,0)</f>
        <v>0</v>
      </c>
      <c r="AC20" s="36">
        <f>VLOOKUP($A20,[24]HISTOMARS24!$A$6:$AU$38,44,0)</f>
        <v>0</v>
      </c>
      <c r="AD20" s="36">
        <f>VLOOKUP($A20,[24]HISTOMARS24!$A$6:$AU$38,47,0)</f>
        <v>0</v>
      </c>
      <c r="AE20" s="36">
        <f>VLOOKUP(A20,[24]HISTOMARS24!$A$6:$BB$38,54,0)</f>
        <v>0</v>
      </c>
      <c r="AF20" s="36">
        <f>VLOOKUP($A20,[24]HISTOMARS24!$A$6:$CA$38,60,0)</f>
        <v>0</v>
      </c>
      <c r="AG20" s="36">
        <f>VLOOKUP($A20,[24]HISTOMARS24!$A$6:$CA$38,61,0)</f>
        <v>0</v>
      </c>
      <c r="AH20" s="36">
        <f>VLOOKUP($A20,[24]HISTOMARS24!$A$6:$CA$38,62,0)</f>
        <v>0</v>
      </c>
      <c r="AI20" s="36">
        <f>VLOOKUP($A20,[24]HISTOMARS24!$A$6:$CA$38,63,0)</f>
        <v>0</v>
      </c>
      <c r="AJ20" s="36">
        <f>VLOOKUP($A20,[24]HISTOMARS24!$A$6:$CA$38,64,0)</f>
        <v>0</v>
      </c>
      <c r="AK20" s="36">
        <f>VLOOKUP($A20,[24]HISTOMARS24!$A$6:$CA$38,65,0)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MVTFEV24!I21-E21+L21</f>
        <v>835508.11835236836</v>
      </c>
      <c r="G21" s="5">
        <f>IF(MVTFEV24!I21+L21&gt;700000,(MVTFEV24!I21-E21+L21),0)</f>
        <v>835508.11835236836</v>
      </c>
      <c r="H21" s="36">
        <f t="shared" si="0"/>
        <v>2847.6822772146529</v>
      </c>
      <c r="I21" s="6">
        <f t="shared" si="2"/>
        <v>838355.80062958295</v>
      </c>
      <c r="J21" s="36">
        <f>VLOOKUP($A21,[24]HISTOMARS24!$A$6:$AQ$42,22,0)</f>
        <v>0</v>
      </c>
      <c r="K21" s="36">
        <f>VLOOKUP($A21,[24]HISTOMARS24!$A$6:$AU$38,45,0)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VLOOKUP($A21,[24]HISTOMARS24!$A$6:$AU$38,7,0)</f>
        <v>0</v>
      </c>
      <c r="Q21" s="36">
        <f>VLOOKUP($A21,[24]HISTOMARS24!$A$6:$AU$38,23,0)</f>
        <v>0</v>
      </c>
      <c r="R21" s="36">
        <f>VLOOKUP($A21,[24]HISTOMARS24!$A$6:$AU$38,46,0)</f>
        <v>0</v>
      </c>
      <c r="S21" s="36">
        <f>VLOOKUP($A21,[24]HISTOMARS24!$A$6:$AU$38,26,0)</f>
        <v>0</v>
      </c>
      <c r="T21" s="36">
        <f>VLOOKUP($A21,[24]HISTOMARS24!$A$6:$BG$38,58,0)</f>
        <v>0</v>
      </c>
      <c r="U21" s="36">
        <f>VLOOKUP($A21,[24]HISTOMARS24!$A$6:$AU$38,28,0)</f>
        <v>0</v>
      </c>
      <c r="V21" s="36">
        <f>VLOOKUP($A21,[24]HISTOMARS24!$A$6:$AU$38,19,0)</f>
        <v>0</v>
      </c>
      <c r="W21" s="36">
        <f>VLOOKUP($A21,[24]HISTOMARS24!$A$6:$AU$38,20,0)</f>
        <v>0</v>
      </c>
      <c r="X21" s="36">
        <f>VLOOKUP($A21,[24]HISTOMARS24!$A$6:$AU$38,27,0)</f>
        <v>0</v>
      </c>
      <c r="Y21" s="36">
        <f>VLOOKUP($A21,[24]HISTOMARS24!$A$6:$BM$38,33,0)</f>
        <v>0</v>
      </c>
      <c r="Z21" s="36">
        <f>VLOOKUP($A21,[24]HISTOMARS24!$A$6:$BM$38,65,0)</f>
        <v>0</v>
      </c>
      <c r="AA21" s="36"/>
      <c r="AB21" s="36">
        <f>VLOOKUP($A21,[24]HISTOMARS24!$A$6:$AU$38,43,0)</f>
        <v>0</v>
      </c>
      <c r="AC21" s="36">
        <f>VLOOKUP($A21,[24]HISTOMARS24!$A$6:$AU$38,44,0)</f>
        <v>0</v>
      </c>
      <c r="AD21" s="36">
        <f>VLOOKUP($A21,[24]HISTOMARS24!$A$6:$AU$38,47,0)</f>
        <v>0</v>
      </c>
      <c r="AE21" s="36">
        <f>VLOOKUP(A21,[24]HISTOMARS24!$A$6:$BB$38,54,0)</f>
        <v>0</v>
      </c>
      <c r="AF21" s="36">
        <f>VLOOKUP($A21,[24]HISTOMARS24!$A$6:$CA$38,60,0)</f>
        <v>0</v>
      </c>
      <c r="AG21" s="36">
        <f>VLOOKUP($A21,[24]HISTOMARS24!$A$6:$CA$38,61,0)</f>
        <v>0</v>
      </c>
      <c r="AH21" s="36">
        <f>VLOOKUP($A21,[24]HISTOMARS24!$A$6:$CA$38,62,0)</f>
        <v>0</v>
      </c>
      <c r="AI21" s="36">
        <f>VLOOKUP($A21,[24]HISTOMARS24!$A$6:$CA$38,63,0)</f>
        <v>0</v>
      </c>
      <c r="AJ21" s="36">
        <f>VLOOKUP($A21,[24]HISTOMARS24!$A$6:$CA$38,64,0)</f>
        <v>0</v>
      </c>
      <c r="AK21" s="36">
        <f>VLOOKUP($A21,[24]HISTOMARS24!$A$6:$CA$38,65,0)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MVTFEV24!I22-E22+L22</f>
        <v>803002.06839666655</v>
      </c>
      <c r="G22" s="5">
        <f>IF(MVTFEV24!I22+L22&gt;700000,(MVTFEV24!I22-E22+L22),0)</f>
        <v>803002.06839666655</v>
      </c>
      <c r="H22" s="36">
        <f t="shared" si="0"/>
        <v>2736.8911306921641</v>
      </c>
      <c r="I22" s="6">
        <f t="shared" si="2"/>
        <v>805738.95952735876</v>
      </c>
      <c r="J22" s="36">
        <f>VLOOKUP($A22,[24]HISTOMARS24!$A$6:$AQ$42,22,0)</f>
        <v>0</v>
      </c>
      <c r="K22" s="36">
        <f>VLOOKUP($A22,[24]HISTOMARS24!$A$6:$AU$38,45,0)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VLOOKUP($A22,[24]HISTOMARS24!$A$6:$AU$38,7,0)</f>
        <v>0</v>
      </c>
      <c r="Q22" s="36">
        <f>VLOOKUP($A22,[24]HISTOMARS24!$A$6:$AU$38,23,0)</f>
        <v>0</v>
      </c>
      <c r="R22" s="36">
        <f>VLOOKUP($A22,[24]HISTOMARS24!$A$6:$AU$38,46,0)</f>
        <v>0</v>
      </c>
      <c r="S22" s="36">
        <f>VLOOKUP($A22,[24]HISTOMARS24!$A$6:$AU$38,26,0)</f>
        <v>0</v>
      </c>
      <c r="T22" s="36">
        <f>VLOOKUP($A22,[24]HISTOMARS24!$A$6:$BG$38,58,0)</f>
        <v>0</v>
      </c>
      <c r="U22" s="36">
        <f>VLOOKUP($A22,[24]HISTOMARS24!$A$6:$AU$38,28,0)</f>
        <v>0</v>
      </c>
      <c r="V22" s="36">
        <f>VLOOKUP($A22,[24]HISTOMARS24!$A$6:$AU$38,19,0)</f>
        <v>0</v>
      </c>
      <c r="W22" s="36">
        <f>VLOOKUP($A22,[24]HISTOMARS24!$A$6:$AU$38,20,0)</f>
        <v>0</v>
      </c>
      <c r="X22" s="36">
        <f>VLOOKUP($A22,[24]HISTOMARS24!$A$6:$AU$38,27,0)</f>
        <v>0</v>
      </c>
      <c r="Y22" s="36">
        <f>VLOOKUP($A22,[24]HISTOMARS24!$A$6:$BM$38,33,0)</f>
        <v>0</v>
      </c>
      <c r="Z22" s="36">
        <f>VLOOKUP($A22,[24]HISTOMARS24!$A$6:$BM$38,65,0)</f>
        <v>0</v>
      </c>
      <c r="AA22" s="36"/>
      <c r="AB22" s="36">
        <f>VLOOKUP($A22,[24]HISTOMARS24!$A$6:$AU$38,43,0)</f>
        <v>0</v>
      </c>
      <c r="AC22" s="36">
        <f>VLOOKUP($A22,[24]HISTOMARS24!$A$6:$AU$38,44,0)</f>
        <v>0</v>
      </c>
      <c r="AD22" s="36">
        <f>VLOOKUP($A22,[24]HISTOMARS24!$A$6:$AU$38,47,0)</f>
        <v>0</v>
      </c>
      <c r="AE22" s="36">
        <f>VLOOKUP(A22,[24]HISTOMARS24!$A$6:$BB$38,54,0)</f>
        <v>0</v>
      </c>
      <c r="AF22" s="36">
        <f>VLOOKUP($A22,[24]HISTOMARS24!$A$6:$CA$38,60,0)</f>
        <v>0</v>
      </c>
      <c r="AG22" s="36">
        <f>VLOOKUP($A22,[24]HISTOMARS24!$A$6:$CA$38,61,0)</f>
        <v>0</v>
      </c>
      <c r="AH22" s="36">
        <f>VLOOKUP($A22,[24]HISTOMARS24!$A$6:$CA$38,62,0)</f>
        <v>0</v>
      </c>
      <c r="AI22" s="36">
        <f>VLOOKUP($A22,[24]HISTOMARS24!$A$6:$CA$38,63,0)</f>
        <v>0</v>
      </c>
      <c r="AJ22" s="36">
        <f>VLOOKUP($A22,[24]HISTOMARS24!$A$6:$CA$38,64,0)</f>
        <v>0</v>
      </c>
      <c r="AK22" s="36">
        <f>VLOOKUP($A22,[24]HISTOMARS24!$A$6:$CA$38,65,0)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MVTFEV24!I23-E23+L23</f>
        <v>908577.59794331016</v>
      </c>
      <c r="G23" s="5">
        <f>IF(MVTFEV24!I23+L23&gt;700000,(MVTFEV24!I23-E23+L23),0)</f>
        <v>908577.59794331016</v>
      </c>
      <c r="H23" s="36">
        <f t="shared" si="0"/>
        <v>3096.7267298846714</v>
      </c>
      <c r="I23" s="6">
        <f t="shared" si="2"/>
        <v>911674.32467319479</v>
      </c>
      <c r="J23" s="36">
        <f>VLOOKUP($A23,[24]HISTOMARS24!$A$6:$AQ$42,22,0)</f>
        <v>0</v>
      </c>
      <c r="K23" s="36">
        <f>VLOOKUP($A23,[24]HISTOMARS24!$A$6:$AU$38,45,0)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VLOOKUP($A23,[24]HISTOMARS24!$A$6:$AU$38,7,0)</f>
        <v>0</v>
      </c>
      <c r="Q23" s="36">
        <f>VLOOKUP($A23,[24]HISTOMARS24!$A$6:$AU$38,23,0)</f>
        <v>0</v>
      </c>
      <c r="R23" s="36">
        <f>VLOOKUP($A23,[24]HISTOMARS24!$A$6:$AU$38,46,0)</f>
        <v>0</v>
      </c>
      <c r="S23" s="36">
        <f>VLOOKUP($A23,[24]HISTOMARS24!$A$6:$AU$38,26,0)</f>
        <v>0</v>
      </c>
      <c r="T23" s="36">
        <f>VLOOKUP($A23,[24]HISTOMARS24!$A$6:$BG$38,58,0)</f>
        <v>0</v>
      </c>
      <c r="U23" s="36">
        <f>VLOOKUP($A23,[24]HISTOMARS24!$A$6:$AU$38,28,0)</f>
        <v>0</v>
      </c>
      <c r="V23" s="36">
        <f>VLOOKUP($A23,[24]HISTOMARS24!$A$6:$AU$38,19,0)</f>
        <v>0</v>
      </c>
      <c r="W23" s="36">
        <f>VLOOKUP($A23,[24]HISTOMARS24!$A$6:$AU$38,20,0)</f>
        <v>0</v>
      </c>
      <c r="X23" s="36">
        <f>VLOOKUP($A23,[24]HISTOMARS24!$A$6:$AU$38,27,0)</f>
        <v>0</v>
      </c>
      <c r="Y23" s="36">
        <f>VLOOKUP($A23,[24]HISTOMARS24!$A$6:$BM$38,33,0)</f>
        <v>0</v>
      </c>
      <c r="Z23" s="36">
        <f>VLOOKUP($A23,[24]HISTOMARS24!$A$6:$BM$38,65,0)</f>
        <v>0</v>
      </c>
      <c r="AA23" s="36"/>
      <c r="AB23" s="36">
        <f>VLOOKUP($A23,[24]HISTOMARS24!$A$6:$AU$38,43,0)</f>
        <v>0</v>
      </c>
      <c r="AC23" s="36">
        <f>VLOOKUP($A23,[24]HISTOMARS24!$A$6:$AU$38,44,0)</f>
        <v>0</v>
      </c>
      <c r="AD23" s="36">
        <f>VLOOKUP($A23,[24]HISTOMARS24!$A$6:$AU$38,47,0)</f>
        <v>0</v>
      </c>
      <c r="AE23" s="36">
        <f>VLOOKUP(A23,[24]HISTOMARS24!$A$6:$BB$38,54,0)</f>
        <v>0</v>
      </c>
      <c r="AF23" s="36">
        <f>VLOOKUP($A23,[24]HISTOMARS24!$A$6:$CA$38,60,0)</f>
        <v>0</v>
      </c>
      <c r="AG23" s="36">
        <f>VLOOKUP($A23,[24]HISTOMARS24!$A$6:$CA$38,61,0)</f>
        <v>0</v>
      </c>
      <c r="AH23" s="36">
        <f>VLOOKUP($A23,[24]HISTOMARS24!$A$6:$CA$38,62,0)</f>
        <v>0</v>
      </c>
      <c r="AI23" s="36">
        <f>VLOOKUP($A23,[24]HISTOMARS24!$A$6:$CA$38,63,0)</f>
        <v>0</v>
      </c>
      <c r="AJ23" s="36">
        <f>VLOOKUP($A23,[24]HISTOMARS24!$A$6:$CA$38,64,0)</f>
        <v>0</v>
      </c>
      <c r="AK23" s="36">
        <f>VLOOKUP($A23,[24]HISTOMARS24!$A$6:$CA$38,65,0)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MVTFEV24!I24-E24+L24</f>
        <v>1071176.9262946523</v>
      </c>
      <c r="G24" s="5">
        <f>IF(MVTFEV24!I24+L24&gt;700000,(MVTFEV24!I24-E24+L24),0)</f>
        <v>1071176.9262946523</v>
      </c>
      <c r="H24" s="36">
        <f t="shared" si="0"/>
        <v>3650.917904646954</v>
      </c>
      <c r="I24" s="6">
        <f t="shared" si="2"/>
        <v>1074827.8441992993</v>
      </c>
      <c r="J24" s="36">
        <f>VLOOKUP($A24,[24]HISTOMARS24!$A$6:$AQ$42,22,0)</f>
        <v>0</v>
      </c>
      <c r="K24" s="36">
        <f>VLOOKUP($A24,[24]HISTOMARS24!$A$6:$AU$38,45,0)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VLOOKUP($A24,[24]HISTOMARS24!$A$6:$AU$38,7,0)</f>
        <v>0</v>
      </c>
      <c r="Q24" s="36">
        <f>VLOOKUP($A24,[24]HISTOMARS24!$A$6:$AU$38,23,0)</f>
        <v>0</v>
      </c>
      <c r="R24" s="36">
        <f>VLOOKUP($A24,[24]HISTOMARS24!$A$6:$AU$38,46,0)</f>
        <v>0</v>
      </c>
      <c r="S24" s="36">
        <f>VLOOKUP($A24,[24]HISTOMARS24!$A$6:$AU$38,26,0)</f>
        <v>0</v>
      </c>
      <c r="T24" s="36">
        <f>VLOOKUP($A24,[24]HISTOMARS24!$A$6:$BG$38,58,0)</f>
        <v>0</v>
      </c>
      <c r="U24" s="36">
        <f>VLOOKUP($A24,[24]HISTOMARS24!$A$6:$AU$38,28,0)</f>
        <v>0</v>
      </c>
      <c r="V24" s="36">
        <f>VLOOKUP($A24,[24]HISTOMARS24!$A$6:$AU$38,19,0)</f>
        <v>0</v>
      </c>
      <c r="W24" s="36">
        <f>VLOOKUP($A24,[24]HISTOMARS24!$A$6:$AU$38,20,0)</f>
        <v>0</v>
      </c>
      <c r="X24" s="36">
        <f>VLOOKUP($A24,[24]HISTOMARS24!$A$6:$AU$38,27,0)</f>
        <v>0</v>
      </c>
      <c r="Y24" s="36">
        <f>VLOOKUP($A24,[24]HISTOMARS24!$A$6:$BM$38,33,0)</f>
        <v>0</v>
      </c>
      <c r="Z24" s="36">
        <f>VLOOKUP($A24,[24]HISTOMARS24!$A$6:$BM$38,65,0)</f>
        <v>0</v>
      </c>
      <c r="AA24" s="36"/>
      <c r="AB24" s="36">
        <f>VLOOKUP($A24,[24]HISTOMARS24!$A$6:$AU$38,43,0)</f>
        <v>0</v>
      </c>
      <c r="AC24" s="36">
        <f>VLOOKUP($A24,[24]HISTOMARS24!$A$6:$AU$38,44,0)</f>
        <v>0</v>
      </c>
      <c r="AD24" s="36">
        <f>VLOOKUP($A24,[24]HISTOMARS24!$A$6:$AU$38,47,0)</f>
        <v>0</v>
      </c>
      <c r="AE24" s="36">
        <f>VLOOKUP(A24,[24]HISTOMARS24!$A$6:$BB$38,54,0)</f>
        <v>0</v>
      </c>
      <c r="AF24" s="36">
        <f>VLOOKUP($A24,[24]HISTOMARS24!$A$6:$CA$38,60,0)</f>
        <v>0</v>
      </c>
      <c r="AG24" s="36">
        <f>VLOOKUP($A24,[24]HISTOMARS24!$A$6:$CA$38,61,0)</f>
        <v>0</v>
      </c>
      <c r="AH24" s="36">
        <f>VLOOKUP($A24,[24]HISTOMARS24!$A$6:$CA$38,62,0)</f>
        <v>0</v>
      </c>
      <c r="AI24" s="36">
        <f>VLOOKUP($A24,[24]HISTOMARS24!$A$6:$CA$38,63,0)</f>
        <v>0</v>
      </c>
      <c r="AJ24" s="36">
        <f>VLOOKUP($A24,[24]HISTOMARS24!$A$6:$CA$38,64,0)</f>
        <v>0</v>
      </c>
      <c r="AK24" s="36">
        <f>VLOOKUP($A24,[24]HISTOMARS24!$A$6:$CA$38,65,0)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MVTFEV24!I25-E25+L25</f>
        <v>893097.8283816867</v>
      </c>
      <c r="G25" s="5">
        <f>IF(MVTFEV24!I25+L25&gt;700000,(MVTFEV24!I25-E25+L25),0)</f>
        <v>893097.8283816867</v>
      </c>
      <c r="H25" s="36">
        <f t="shared" si="0"/>
        <v>3043.9666615289848</v>
      </c>
      <c r="I25" s="6">
        <f t="shared" si="2"/>
        <v>896141.79504321574</v>
      </c>
      <c r="J25" s="36">
        <f>VLOOKUP($A25,[24]HISTOMARS24!$A$6:$AQ$42,22,0)</f>
        <v>0</v>
      </c>
      <c r="K25" s="36">
        <f>VLOOKUP($A25,[24]HISTOMARS24!$A$6:$AU$38,45,0)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VLOOKUP($A25,[24]HISTOMARS24!$A$6:$AU$38,7,0)</f>
        <v>0</v>
      </c>
      <c r="Q25" s="36">
        <f>VLOOKUP($A25,[24]HISTOMARS24!$A$6:$AU$38,23,0)</f>
        <v>0</v>
      </c>
      <c r="R25" s="36">
        <f>VLOOKUP($A25,[24]HISTOMARS24!$A$6:$AU$38,46,0)</f>
        <v>0</v>
      </c>
      <c r="S25" s="36">
        <f>VLOOKUP($A25,[24]HISTOMARS24!$A$6:$AU$38,26,0)</f>
        <v>0</v>
      </c>
      <c r="T25" s="36">
        <f>VLOOKUP($A25,[24]HISTOMARS24!$A$6:$BG$38,58,0)</f>
        <v>0</v>
      </c>
      <c r="U25" s="36">
        <f>VLOOKUP($A25,[24]HISTOMARS24!$A$6:$AU$38,28,0)</f>
        <v>0</v>
      </c>
      <c r="V25" s="36">
        <f>VLOOKUP($A25,[24]HISTOMARS24!$A$6:$AU$38,19,0)</f>
        <v>0</v>
      </c>
      <c r="W25" s="36">
        <f>VLOOKUP($A25,[24]HISTOMARS24!$A$6:$AU$38,20,0)</f>
        <v>0</v>
      </c>
      <c r="X25" s="36">
        <f>VLOOKUP($A25,[24]HISTOMARS24!$A$6:$AU$38,27,0)</f>
        <v>0</v>
      </c>
      <c r="Y25" s="36">
        <f>VLOOKUP($A25,[24]HISTOMARS24!$A$6:$BM$38,33,0)</f>
        <v>0</v>
      </c>
      <c r="Z25" s="36">
        <f>VLOOKUP($A25,[24]HISTOMARS24!$A$6:$BM$38,65,0)</f>
        <v>0</v>
      </c>
      <c r="AA25" s="36"/>
      <c r="AB25" s="36">
        <f>VLOOKUP($A25,[24]HISTOMARS24!$A$6:$AU$38,43,0)</f>
        <v>0</v>
      </c>
      <c r="AC25" s="36">
        <f>VLOOKUP($A25,[24]HISTOMARS24!$A$6:$AU$38,44,0)</f>
        <v>0</v>
      </c>
      <c r="AD25" s="36">
        <f>VLOOKUP($A25,[24]HISTOMARS24!$A$6:$AU$38,47,0)</f>
        <v>0</v>
      </c>
      <c r="AE25" s="36">
        <f>VLOOKUP(A25,[24]HISTOMARS24!$A$6:$BB$38,54,0)</f>
        <v>0</v>
      </c>
      <c r="AF25" s="36">
        <f>VLOOKUP($A25,[24]HISTOMARS24!$A$6:$CA$38,60,0)</f>
        <v>0</v>
      </c>
      <c r="AG25" s="36">
        <f>VLOOKUP($A25,[24]HISTOMARS24!$A$6:$CA$38,61,0)</f>
        <v>0</v>
      </c>
      <c r="AH25" s="36">
        <f>VLOOKUP($A25,[24]HISTOMARS24!$A$6:$CA$38,62,0)</f>
        <v>0</v>
      </c>
      <c r="AI25" s="36">
        <f>VLOOKUP($A25,[24]HISTOMARS24!$A$6:$CA$38,63,0)</f>
        <v>0</v>
      </c>
      <c r="AJ25" s="36">
        <f>VLOOKUP($A25,[24]HISTOMARS24!$A$6:$CA$38,64,0)</f>
        <v>0</v>
      </c>
      <c r="AK25" s="36">
        <f>VLOOKUP($A25,[24]HISTOMARS24!$A$6:$CA$38,65,0)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MVTFEV24!I26-E26+L26</f>
        <v>823459.85025816096</v>
      </c>
      <c r="G26" s="5">
        <f>IF(MVTFEV24!I26+L26&gt;700000,(MVTFEV24!I26-E26+L26),0)</f>
        <v>823459.85025816096</v>
      </c>
      <c r="H26" s="36">
        <f t="shared" si="0"/>
        <v>2806.6178772772064</v>
      </c>
      <c r="I26" s="6">
        <f t="shared" si="2"/>
        <v>826266.46813543816</v>
      </c>
      <c r="J26" s="36">
        <f>VLOOKUP($A26,[24]HISTOMARS24!$A$6:$AQ$42,22,0)</f>
        <v>0</v>
      </c>
      <c r="K26" s="36">
        <f>VLOOKUP($A26,[24]HISTOMARS24!$A$6:$AU$38,45,0)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VLOOKUP($A26,[24]HISTOMARS24!$A$6:$AU$38,7,0)</f>
        <v>3000</v>
      </c>
      <c r="Q26" s="36">
        <f>VLOOKUP($A26,[24]HISTOMARS24!$A$6:$AU$38,23,0)</f>
        <v>0</v>
      </c>
      <c r="R26" s="36">
        <f>VLOOKUP($A26,[24]HISTOMARS24!$A$6:$AU$38,46,0)</f>
        <v>0</v>
      </c>
      <c r="S26" s="36">
        <f>VLOOKUP($A26,[24]HISTOMARS24!$A$6:$AU$38,26,0)</f>
        <v>0</v>
      </c>
      <c r="T26" s="36">
        <f>VLOOKUP($A26,[24]HISTOMARS24!$A$6:$BG$38,58,0)</f>
        <v>0</v>
      </c>
      <c r="U26" s="36">
        <f>VLOOKUP($A26,[24]HISTOMARS24!$A$6:$AU$38,28,0)</f>
        <v>0</v>
      </c>
      <c r="V26" s="36">
        <f>VLOOKUP($A26,[24]HISTOMARS24!$A$6:$AU$38,19,0)</f>
        <v>0</v>
      </c>
      <c r="W26" s="36">
        <f>VLOOKUP($A26,[24]HISTOMARS24!$A$6:$AU$38,20,0)</f>
        <v>0</v>
      </c>
      <c r="X26" s="36">
        <f>VLOOKUP($A26,[24]HISTOMARS24!$A$6:$AU$38,27,0)</f>
        <v>0</v>
      </c>
      <c r="Y26" s="36">
        <f>VLOOKUP($A26,[24]HISTOMARS24!$A$6:$BM$38,33,0)</f>
        <v>0</v>
      </c>
      <c r="Z26" s="36">
        <f>VLOOKUP($A26,[24]HISTOMARS24!$A$6:$BM$38,65,0)</f>
        <v>0</v>
      </c>
      <c r="AA26" s="36"/>
      <c r="AB26" s="36">
        <f>VLOOKUP($A26,[24]HISTOMARS24!$A$6:$AU$38,43,0)</f>
        <v>0</v>
      </c>
      <c r="AC26" s="36">
        <f>VLOOKUP($A26,[24]HISTOMARS24!$A$6:$AU$38,44,0)</f>
        <v>0</v>
      </c>
      <c r="AD26" s="36">
        <f>VLOOKUP($A26,[24]HISTOMARS24!$A$6:$AU$38,47,0)</f>
        <v>0</v>
      </c>
      <c r="AE26" s="36">
        <f>VLOOKUP(A26,[24]HISTOMARS24!$A$6:$BB$38,54,0)</f>
        <v>0</v>
      </c>
      <c r="AF26" s="36">
        <f>VLOOKUP($A26,[24]HISTOMARS24!$A$6:$CA$38,60,0)</f>
        <v>0</v>
      </c>
      <c r="AG26" s="36">
        <f>VLOOKUP($A26,[24]HISTOMARS24!$A$6:$CA$38,61,0)</f>
        <v>0</v>
      </c>
      <c r="AH26" s="36">
        <f>VLOOKUP($A26,[24]HISTOMARS24!$A$6:$CA$38,62,0)</f>
        <v>0</v>
      </c>
      <c r="AI26" s="36">
        <f>VLOOKUP($A26,[24]HISTOMARS24!$A$6:$CA$38,63,0)</f>
        <v>0</v>
      </c>
      <c r="AJ26" s="36">
        <f>VLOOKUP($A26,[24]HISTOMARS24!$A$6:$CA$38,64,0)</f>
        <v>0</v>
      </c>
      <c r="AK26" s="36">
        <f>VLOOKUP($A26,[24]HISTOMARS24!$A$6:$CA$38,65,0)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MVTFEV24!I27-E27+L27</f>
        <v>822022.45494661957</v>
      </c>
      <c r="G27" s="5">
        <f>IF(MVTFEV24!I27+L27&gt;700000,(MVTFEV24!I27-E27+L27),0)</f>
        <v>822022.45494661957</v>
      </c>
      <c r="H27" s="36">
        <f t="shared" si="0"/>
        <v>2801.7187685024169</v>
      </c>
      <c r="I27" s="6">
        <f t="shared" si="2"/>
        <v>824824.17371512204</v>
      </c>
      <c r="J27" s="36">
        <f>VLOOKUP($A27,[24]HISTOMARS24!$A$6:$AQ$42,22,0)</f>
        <v>0</v>
      </c>
      <c r="K27" s="36">
        <f>VLOOKUP($A27,[24]HISTOMARS24!$A$6:$AU$38,45,0)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VLOOKUP($A27,[24]HISTOMARS24!$A$6:$AU$38,7,0)</f>
        <v>0</v>
      </c>
      <c r="Q27" s="36">
        <f>VLOOKUP($A27,[24]HISTOMARS24!$A$6:$AU$38,23,0)</f>
        <v>0</v>
      </c>
      <c r="R27" s="36">
        <f>VLOOKUP($A27,[24]HISTOMARS24!$A$6:$AU$38,46,0)</f>
        <v>0</v>
      </c>
      <c r="S27" s="36">
        <f>VLOOKUP($A27,[24]HISTOMARS24!$A$6:$AU$38,26,0)</f>
        <v>0</v>
      </c>
      <c r="T27" s="36">
        <f>VLOOKUP($A27,[24]HISTOMARS24!$A$6:$BG$38,58,0)</f>
        <v>30000</v>
      </c>
      <c r="U27" s="36">
        <f>VLOOKUP($A27,[24]HISTOMARS24!$A$6:$AU$38,28,0)</f>
        <v>0</v>
      </c>
      <c r="V27" s="36">
        <f>VLOOKUP($A27,[24]HISTOMARS24!$A$6:$AU$38,19,0)</f>
        <v>0</v>
      </c>
      <c r="W27" s="36">
        <f>VLOOKUP($A27,[24]HISTOMARS24!$A$6:$AU$38,20,0)</f>
        <v>0</v>
      </c>
      <c r="X27" s="36">
        <f>VLOOKUP($A27,[24]HISTOMARS24!$A$6:$AU$38,27,0)</f>
        <v>0</v>
      </c>
      <c r="Y27" s="36">
        <f>VLOOKUP($A27,[24]HISTOMARS24!$A$6:$BM$38,33,0)</f>
        <v>0</v>
      </c>
      <c r="Z27" s="36">
        <f>VLOOKUP($A27,[24]HISTOMARS24!$A$6:$BM$38,65,0)</f>
        <v>0</v>
      </c>
      <c r="AA27" s="36"/>
      <c r="AB27" s="36">
        <f>VLOOKUP($A27,[24]HISTOMARS24!$A$6:$AU$38,43,0)</f>
        <v>0</v>
      </c>
      <c r="AC27" s="36">
        <f>VLOOKUP($A27,[24]HISTOMARS24!$A$6:$AU$38,44,0)</f>
        <v>0</v>
      </c>
      <c r="AD27" s="36">
        <f>VLOOKUP($A27,[24]HISTOMARS24!$A$6:$AU$38,47,0)</f>
        <v>0</v>
      </c>
      <c r="AE27" s="36">
        <f>VLOOKUP(A27,[24]HISTOMARS24!$A$6:$BB$38,54,0)</f>
        <v>0</v>
      </c>
      <c r="AF27" s="36">
        <f>VLOOKUP($A27,[24]HISTOMARS24!$A$6:$CA$38,60,0)</f>
        <v>0</v>
      </c>
      <c r="AG27" s="36">
        <f>VLOOKUP($A27,[24]HISTOMARS24!$A$6:$CA$38,61,0)</f>
        <v>0</v>
      </c>
      <c r="AH27" s="36">
        <f>VLOOKUP($A27,[24]HISTOMARS24!$A$6:$CA$38,62,0)</f>
        <v>0</v>
      </c>
      <c r="AI27" s="36">
        <f>VLOOKUP($A27,[24]HISTOMARS24!$A$6:$CA$38,63,0)</f>
        <v>0</v>
      </c>
      <c r="AJ27" s="36">
        <f>VLOOKUP($A27,[24]HISTOMARS24!$A$6:$CA$38,64,0)</f>
        <v>0</v>
      </c>
      <c r="AK27" s="36">
        <f>VLOOKUP($A27,[24]HISTOMARS24!$A$6:$CA$38,65,0)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MVTFEV24!I28-E28+L28</f>
        <v>723709.48879434192</v>
      </c>
      <c r="G28" s="5">
        <f>IF(MVTFEV24!I28+L28&gt;700000,(MVTFEV24!I28-E28+L28),0)</f>
        <v>723709.48879434192</v>
      </c>
      <c r="H28" s="36">
        <f t="shared" si="0"/>
        <v>2466.6363376047525</v>
      </c>
      <c r="I28" s="6">
        <f t="shared" si="2"/>
        <v>726176.12513194664</v>
      </c>
      <c r="J28" s="36">
        <f>VLOOKUP($A28,[24]HISTOMARS24!$A$6:$AQ$42,22,0)</f>
        <v>0</v>
      </c>
      <c r="K28" s="36">
        <f>VLOOKUP($A28,[24]HISTOMARS24!$A$6:$AU$38,45,0)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VLOOKUP($A28,[24]HISTOMARS24!$A$6:$AU$38,7,0)</f>
        <v>0</v>
      </c>
      <c r="Q28" s="36">
        <f>VLOOKUP($A28,[24]HISTOMARS24!$A$6:$AU$38,23,0)</f>
        <v>0</v>
      </c>
      <c r="R28" s="36">
        <f>VLOOKUP($A28,[24]HISTOMARS24!$A$6:$AU$38,46,0)</f>
        <v>0</v>
      </c>
      <c r="S28" s="36">
        <f>VLOOKUP($A28,[24]HISTOMARS24!$A$6:$AU$38,26,0)</f>
        <v>50000</v>
      </c>
      <c r="T28" s="36">
        <f>VLOOKUP($A28,[24]HISTOMARS24!$A$6:$BG$38,58,0)</f>
        <v>1500</v>
      </c>
      <c r="U28" s="36">
        <f>VLOOKUP($A28,[24]HISTOMARS24!$A$6:$AU$38,28,0)</f>
        <v>0</v>
      </c>
      <c r="V28" s="36">
        <f>VLOOKUP($A28,[24]HISTOMARS24!$A$6:$AU$38,19,0)</f>
        <v>0</v>
      </c>
      <c r="W28" s="36">
        <f>VLOOKUP($A28,[24]HISTOMARS24!$A$6:$AU$38,20,0)</f>
        <v>0</v>
      </c>
      <c r="X28" s="36" t="str">
        <f>VLOOKUP($A28,[24]HISTOMARS24!$A$6:$AU$38,27,0)</f>
        <v>BANQUE</v>
      </c>
      <c r="Y28" s="36">
        <f>VLOOKUP($A28,[24]HISTOMARS24!$A$6:$BM$38,33,0)</f>
        <v>0</v>
      </c>
      <c r="Z28" s="36">
        <f>VLOOKUP($A28,[24]HISTOMARS24!$A$6:$BM$38,65,0)</f>
        <v>0</v>
      </c>
      <c r="AA28" s="36"/>
      <c r="AB28" s="36">
        <f>VLOOKUP($A28,[24]HISTOMARS24!$A$6:$AU$38,43,0)</f>
        <v>0</v>
      </c>
      <c r="AC28" s="36">
        <f>VLOOKUP($A28,[24]HISTOMARS24!$A$6:$AU$38,44,0)</f>
        <v>0</v>
      </c>
      <c r="AD28" s="36">
        <f>VLOOKUP($A28,[24]HISTOMARS24!$A$6:$AU$38,47,0)</f>
        <v>0</v>
      </c>
      <c r="AE28" s="36">
        <f>VLOOKUP(A28,[24]HISTOMARS24!$A$6:$BB$38,54,0)</f>
        <v>0</v>
      </c>
      <c r="AF28" s="36">
        <f>VLOOKUP($A28,[24]HISTOMARS24!$A$6:$CA$38,60,0)</f>
        <v>0</v>
      </c>
      <c r="AG28" s="36">
        <f>VLOOKUP($A28,[24]HISTOMARS24!$A$6:$CA$38,61,0)</f>
        <v>0</v>
      </c>
      <c r="AH28" s="36">
        <f>VLOOKUP($A28,[24]HISTOMARS24!$A$6:$CA$38,62,0)</f>
        <v>0</v>
      </c>
      <c r="AI28" s="36">
        <f>VLOOKUP($A28,[24]HISTOMARS24!$A$6:$CA$38,63,0)</f>
        <v>0</v>
      </c>
      <c r="AJ28" s="36">
        <f>VLOOKUP($A28,[24]HISTOMARS24!$A$6:$CA$38,64,0)</f>
        <v>0</v>
      </c>
      <c r="AK28" s="36">
        <f>VLOOKUP($A28,[24]HISTOMARS24!$A$6:$CA$38,65,0)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MVTFEV24!I29-E29+L29</f>
        <v>848260.19874001166</v>
      </c>
      <c r="G29" s="5">
        <f>IF(MVTFEV24!I29+L29&gt;700000,(MVTFEV24!I29-E29+L29),0)</f>
        <v>848260.19874001166</v>
      </c>
      <c r="H29" s="36">
        <f t="shared" si="0"/>
        <v>2891.1454974034882</v>
      </c>
      <c r="I29" s="6">
        <f t="shared" si="2"/>
        <v>851151.34423741512</v>
      </c>
      <c r="J29" s="36">
        <f>VLOOKUP($A29,[24]HISTOMARS24!$A$6:$AQ$42,22,0)</f>
        <v>0</v>
      </c>
      <c r="K29" s="36">
        <f>VLOOKUP($A29,[24]HISTOMARS24!$A$6:$AU$38,45,0)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VLOOKUP($A29,[24]HISTOMARS24!$A$6:$AU$38,7,0)</f>
        <v>0</v>
      </c>
      <c r="Q29" s="36">
        <f>VLOOKUP($A29,[24]HISTOMARS24!$A$6:$AU$38,23,0)</f>
        <v>0</v>
      </c>
      <c r="R29" s="36">
        <f>VLOOKUP($A29,[24]HISTOMARS24!$A$6:$AU$38,46,0)</f>
        <v>0</v>
      </c>
      <c r="S29" s="36">
        <f>VLOOKUP($A29,[24]HISTOMARS24!$A$6:$AU$38,26,0)</f>
        <v>0</v>
      </c>
      <c r="T29" s="36">
        <f>VLOOKUP($A29,[24]HISTOMARS24!$A$6:$BG$38,58,0)</f>
        <v>0</v>
      </c>
      <c r="U29" s="36">
        <f>VLOOKUP($A29,[24]HISTOMARS24!$A$6:$AU$38,28,0)</f>
        <v>0</v>
      </c>
      <c r="V29" s="36">
        <f>VLOOKUP($A29,[24]HISTOMARS24!$A$6:$AU$38,19,0)</f>
        <v>0</v>
      </c>
      <c r="W29" s="36">
        <f>VLOOKUP($A29,[24]HISTOMARS24!$A$6:$AU$38,20,0)</f>
        <v>0</v>
      </c>
      <c r="X29" s="36">
        <f>VLOOKUP($A29,[24]HISTOMARS24!$A$6:$AU$38,27,0)</f>
        <v>0</v>
      </c>
      <c r="Y29" s="36">
        <f>VLOOKUP($A29,[24]HISTOMARS24!$A$6:$BM$38,33,0)</f>
        <v>0</v>
      </c>
      <c r="Z29" s="36">
        <f>VLOOKUP($A29,[24]HISTOMARS24!$A$6:$BM$38,65,0)</f>
        <v>0</v>
      </c>
      <c r="AA29" s="36"/>
      <c r="AB29" s="36">
        <f>VLOOKUP($A29,[24]HISTOMARS24!$A$6:$AU$38,43,0)</f>
        <v>0</v>
      </c>
      <c r="AC29" s="36">
        <f>VLOOKUP($A29,[24]HISTOMARS24!$A$6:$AU$38,44,0)</f>
        <v>0</v>
      </c>
      <c r="AD29" s="36">
        <f>VLOOKUP($A29,[24]HISTOMARS24!$A$6:$AU$38,47,0)</f>
        <v>0</v>
      </c>
      <c r="AE29" s="36">
        <f>VLOOKUP(A29,[24]HISTOMARS24!$A$6:$BB$38,54,0)</f>
        <v>0</v>
      </c>
      <c r="AF29" s="36">
        <f>VLOOKUP($A29,[24]HISTOMARS24!$A$6:$CA$38,60,0)</f>
        <v>0</v>
      </c>
      <c r="AG29" s="36">
        <f>VLOOKUP($A29,[24]HISTOMARS24!$A$6:$CA$38,61,0)</f>
        <v>0</v>
      </c>
      <c r="AH29" s="36">
        <f>VLOOKUP($A29,[24]HISTOMARS24!$A$6:$CA$38,62,0)</f>
        <v>0</v>
      </c>
      <c r="AI29" s="36">
        <f>VLOOKUP($A29,[24]HISTOMARS24!$A$6:$CA$38,63,0)</f>
        <v>0</v>
      </c>
      <c r="AJ29" s="36">
        <f>VLOOKUP($A29,[24]HISTOMARS24!$A$6:$CA$38,64,0)</f>
        <v>0</v>
      </c>
      <c r="AK29" s="36">
        <f>VLOOKUP($A29,[24]HISTOMARS24!$A$6:$CA$38,65,0)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MVTFEV24!I30-E30+L30</f>
        <v>753219.59413329989</v>
      </c>
      <c r="G30" s="5">
        <f>IF(MVTFEV24!I30+L30&gt;700000,(MVTFEV24!I30-E30+L30),0)</f>
        <v>753219.59413329989</v>
      </c>
      <c r="H30" s="36">
        <f t="shared" si="0"/>
        <v>2567.2163345271124</v>
      </c>
      <c r="I30" s="6">
        <f t="shared" si="2"/>
        <v>755786.81046782702</v>
      </c>
      <c r="J30" s="36">
        <f>VLOOKUP($A30,[24]HISTOMARS24!$A$6:$AQ$42,22,0)</f>
        <v>0</v>
      </c>
      <c r="K30" s="36">
        <f>VLOOKUP($A30,[24]HISTOMARS24!$A$6:$AU$38,45,0)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VLOOKUP($A30,[24]HISTOMARS24!$A$6:$AU$38,7,0)</f>
        <v>0</v>
      </c>
      <c r="Q30" s="36">
        <f>VLOOKUP($A30,[24]HISTOMARS24!$A$6:$AU$38,23,0)</f>
        <v>0</v>
      </c>
      <c r="R30" s="36">
        <f>VLOOKUP($A30,[24]HISTOMARS24!$A$6:$AU$38,46,0)</f>
        <v>0</v>
      </c>
      <c r="S30" s="36">
        <f>VLOOKUP($A30,[24]HISTOMARS24!$A$6:$AU$38,26,0)</f>
        <v>0</v>
      </c>
      <c r="T30" s="36">
        <f>VLOOKUP($A30,[24]HISTOMARS24!$A$6:$BG$38,58,0)</f>
        <v>0</v>
      </c>
      <c r="U30" s="36">
        <f>VLOOKUP($A30,[24]HISTOMARS24!$A$6:$AU$38,28,0)</f>
        <v>0</v>
      </c>
      <c r="V30" s="36">
        <f>VLOOKUP($A30,[24]HISTOMARS24!$A$6:$AU$38,19,0)</f>
        <v>0</v>
      </c>
      <c r="W30" s="36">
        <f>VLOOKUP($A30,[24]HISTOMARS24!$A$6:$AU$38,20,0)</f>
        <v>0</v>
      </c>
      <c r="X30" s="36">
        <f>VLOOKUP($A30,[24]HISTOMARS24!$A$6:$AU$38,27,0)</f>
        <v>0</v>
      </c>
      <c r="Y30" s="36">
        <f>VLOOKUP($A30,[24]HISTOMARS24!$A$6:$BM$38,33,0)</f>
        <v>0</v>
      </c>
      <c r="Z30" s="36">
        <f>VLOOKUP($A30,[24]HISTOMARS24!$A$6:$BM$38,65,0)</f>
        <v>0</v>
      </c>
      <c r="AA30" s="36"/>
      <c r="AB30" s="36">
        <f>VLOOKUP($A30,[24]HISTOMARS24!$A$6:$AU$38,43,0)</f>
        <v>0</v>
      </c>
      <c r="AC30" s="36">
        <f>VLOOKUP($A30,[24]HISTOMARS24!$A$6:$AU$38,44,0)</f>
        <v>0</v>
      </c>
      <c r="AD30" s="36">
        <f>VLOOKUP($A30,[24]HISTOMARS24!$A$6:$AU$38,47,0)</f>
        <v>0</v>
      </c>
      <c r="AE30" s="36">
        <f>VLOOKUP(A30,[24]HISTOMARS24!$A$6:$BB$38,54,0)</f>
        <v>0</v>
      </c>
      <c r="AF30" s="36">
        <f>VLOOKUP($A30,[24]HISTOMARS24!$A$6:$CA$38,60,0)</f>
        <v>0</v>
      </c>
      <c r="AG30" s="36">
        <f>VLOOKUP($A30,[24]HISTOMARS24!$A$6:$CA$38,61,0)</f>
        <v>0</v>
      </c>
      <c r="AH30" s="36">
        <f>VLOOKUP($A30,[24]HISTOMARS24!$A$6:$CA$38,62,0)</f>
        <v>0</v>
      </c>
      <c r="AI30" s="36">
        <f>VLOOKUP($A30,[24]HISTOMARS24!$A$6:$CA$38,63,0)</f>
        <v>0</v>
      </c>
      <c r="AJ30" s="36">
        <f>VLOOKUP($A30,[24]HISTOMARS24!$A$6:$CA$38,64,0)</f>
        <v>0</v>
      </c>
      <c r="AK30" s="36">
        <f>VLOOKUP($A30,[24]HISTOMARS24!$A$6:$CA$38,65,0)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MVTFEV24!I31-E31+L31</f>
        <v>912791.94057359709</v>
      </c>
      <c r="G31" s="5">
        <f>IF(MVTFEV24!I31+L31&gt;700000,(MVTFEV24!I31-E31+L31),0)</f>
        <v>912791.94057359709</v>
      </c>
      <c r="H31" s="36">
        <f t="shared" si="0"/>
        <v>3111.0905745377249</v>
      </c>
      <c r="I31" s="6">
        <f t="shared" si="2"/>
        <v>915903.03114813485</v>
      </c>
      <c r="J31" s="36">
        <f>VLOOKUP($A31,[24]HISTOMARS24!$A$6:$AQ$42,22,0)</f>
        <v>0</v>
      </c>
      <c r="K31" s="36">
        <f>VLOOKUP($A31,[24]HISTOMARS24!$A$6:$AU$38,45,0)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VLOOKUP($A31,[24]HISTOMARS24!$A$6:$AU$38,7,0)</f>
        <v>0</v>
      </c>
      <c r="Q31" s="36">
        <f>VLOOKUP($A31,[24]HISTOMARS24!$A$6:$AU$38,23,0)</f>
        <v>0</v>
      </c>
      <c r="R31" s="36">
        <f>VLOOKUP($A31,[24]HISTOMARS24!$A$6:$AU$38,46,0)</f>
        <v>0</v>
      </c>
      <c r="S31" s="36">
        <f>VLOOKUP($A31,[24]HISTOMARS24!$A$6:$AU$38,26,0)</f>
        <v>0</v>
      </c>
      <c r="T31" s="36">
        <f>VLOOKUP($A31,[24]HISTOMARS24!$A$6:$BG$38,58,0)</f>
        <v>0</v>
      </c>
      <c r="U31" s="36">
        <f>VLOOKUP($A31,[24]HISTOMARS24!$A$6:$AU$38,28,0)</f>
        <v>0</v>
      </c>
      <c r="V31" s="36">
        <f>VLOOKUP($A31,[24]HISTOMARS24!$A$6:$AU$38,19,0)</f>
        <v>0</v>
      </c>
      <c r="W31" s="36">
        <f>VLOOKUP($A31,[24]HISTOMARS24!$A$6:$AU$38,20,0)</f>
        <v>0</v>
      </c>
      <c r="X31" s="36">
        <f>VLOOKUP($A31,[24]HISTOMARS24!$A$6:$AU$38,27,0)</f>
        <v>0</v>
      </c>
      <c r="Y31" s="36">
        <f>VLOOKUP($A31,[24]HISTOMARS24!$A$6:$BM$38,33,0)</f>
        <v>0</v>
      </c>
      <c r="Z31" s="36">
        <f>VLOOKUP($A31,[24]HISTOMARS24!$A$6:$BM$38,65,0)</f>
        <v>0</v>
      </c>
      <c r="AA31" s="36"/>
      <c r="AB31" s="36">
        <f>VLOOKUP($A31,[24]HISTOMARS24!$A$6:$AU$38,43,0)</f>
        <v>0</v>
      </c>
      <c r="AC31" s="36">
        <f>VLOOKUP($A31,[24]HISTOMARS24!$A$6:$AU$38,44,0)</f>
        <v>0</v>
      </c>
      <c r="AD31" s="36">
        <f>VLOOKUP($A31,[24]HISTOMARS24!$A$6:$AU$38,47,0)</f>
        <v>0</v>
      </c>
      <c r="AE31" s="36">
        <f>VLOOKUP(A31,[24]HISTOMARS24!$A$6:$BB$38,54,0)</f>
        <v>0</v>
      </c>
      <c r="AF31" s="36">
        <f>VLOOKUP($A31,[24]HISTOMARS24!$A$6:$CA$38,60,0)</f>
        <v>0</v>
      </c>
      <c r="AG31" s="36">
        <f>VLOOKUP($A31,[24]HISTOMARS24!$A$6:$CA$38,61,0)</f>
        <v>0</v>
      </c>
      <c r="AH31" s="36">
        <f>VLOOKUP($A31,[24]HISTOMARS24!$A$6:$CA$38,62,0)</f>
        <v>0</v>
      </c>
      <c r="AI31" s="36">
        <f>VLOOKUP($A31,[24]HISTOMARS24!$A$6:$CA$38,63,0)</f>
        <v>0</v>
      </c>
      <c r="AJ31" s="36">
        <f>VLOOKUP($A31,[24]HISTOMARS24!$A$6:$CA$38,64,0)</f>
        <v>0</v>
      </c>
      <c r="AK31" s="36">
        <f>VLOOKUP($A31,[24]HISTOMARS24!$A$6:$CA$38,65,0)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MVTFEV24!I32-E32+L32</f>
        <v>802508.77149549045</v>
      </c>
      <c r="G32" s="5">
        <f>IF(MVTFEV24!I32+L32&gt;700000,(MVTFEV24!I32-E32+L32),0)</f>
        <v>802508.77149549045</v>
      </c>
      <c r="H32" s="36">
        <f t="shared" si="0"/>
        <v>2735.2098150807078</v>
      </c>
      <c r="I32" s="6">
        <f t="shared" si="2"/>
        <v>805243.98131057119</v>
      </c>
      <c r="J32" s="36">
        <f>VLOOKUP($A32,[24]HISTOMARS24!$A$6:$AQ$42,22,0)</f>
        <v>0</v>
      </c>
      <c r="K32" s="36">
        <f>VLOOKUP($A32,[24]HISTOMARS24!$A$6:$AU$38,45,0)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VLOOKUP($A32,[24]HISTOMARS24!$A$6:$AU$38,7,0)</f>
        <v>0</v>
      </c>
      <c r="Q32" s="36">
        <f>VLOOKUP($A32,[24]HISTOMARS24!$A$6:$AU$38,23,0)</f>
        <v>0</v>
      </c>
      <c r="R32" s="36">
        <f>VLOOKUP($A32,[24]HISTOMARS24!$A$6:$AU$38,46,0)</f>
        <v>0</v>
      </c>
      <c r="S32" s="36">
        <f>VLOOKUP($A32,[24]HISTOMARS24!$A$6:$AU$38,26,0)</f>
        <v>1000000</v>
      </c>
      <c r="T32" s="36">
        <f>VLOOKUP($A32,[24]HISTOMARS24!$A$6:$BG$38,58,0)</f>
        <v>30000</v>
      </c>
      <c r="U32" s="36">
        <f>VLOOKUP($A32,[24]HISTOMARS24!$A$6:$AU$38,28,0)</f>
        <v>0</v>
      </c>
      <c r="V32" s="36">
        <f>VLOOKUP($A32,[24]HISTOMARS24!$A$6:$AU$38,19,0)</f>
        <v>250000</v>
      </c>
      <c r="W32" s="36">
        <f>VLOOKUP($A32,[24]HISTOMARS24!$A$6:$AU$38,20,0)</f>
        <v>0</v>
      </c>
      <c r="X32" s="36">
        <f>VLOOKUP($A32,[24]HISTOMARS24!$A$6:$AU$38,27,0)</f>
        <v>0</v>
      </c>
      <c r="Y32" s="36">
        <f>VLOOKUP($A32,[24]HISTOMARS24!$A$6:$BM$38,33,0)</f>
        <v>0</v>
      </c>
      <c r="Z32" s="36">
        <f>VLOOKUP($A32,[24]HISTOMARS24!$A$6:$BM$38,65,0)</f>
        <v>0</v>
      </c>
      <c r="AA32" s="36"/>
      <c r="AB32" s="36">
        <f>VLOOKUP($A32,[24]HISTOMARS24!$A$6:$AU$38,43,0)</f>
        <v>0</v>
      </c>
      <c r="AC32" s="36">
        <f>VLOOKUP($A32,[24]HISTOMARS24!$A$6:$AU$38,44,0)</f>
        <v>0</v>
      </c>
      <c r="AD32" s="36">
        <f>VLOOKUP($A32,[24]HISTOMARS24!$A$6:$AU$38,47,0)</f>
        <v>0</v>
      </c>
      <c r="AE32" s="36">
        <f>VLOOKUP(A32,[24]HISTOMARS24!$A$6:$BB$38,54,0)</f>
        <v>0</v>
      </c>
      <c r="AF32" s="36">
        <f>VLOOKUP($A32,[24]HISTOMARS24!$A$6:$CA$38,60,0)</f>
        <v>0</v>
      </c>
      <c r="AG32" s="36">
        <f>VLOOKUP($A32,[24]HISTOMARS24!$A$6:$CA$38,61,0)</f>
        <v>0</v>
      </c>
      <c r="AH32" s="36">
        <f>VLOOKUP($A32,[24]HISTOMARS24!$A$6:$CA$38,62,0)</f>
        <v>0</v>
      </c>
      <c r="AI32" s="36">
        <f>VLOOKUP($A32,[24]HISTOMARS24!$A$6:$CA$38,63,0)</f>
        <v>0</v>
      </c>
      <c r="AJ32" s="36">
        <f>VLOOKUP($A32,[24]HISTOMARS24!$A$6:$CA$38,64,0)</f>
        <v>0</v>
      </c>
      <c r="AK32" s="36">
        <f>VLOOKUP($A32,[24]HISTOMARS24!$A$6:$CA$38,65,0)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MVTFEV24!I33-E33+L33</f>
        <v>802816.39100396074</v>
      </c>
      <c r="G33" s="5">
        <f>IF(MVTFEV24!I33+L33&gt;700000,(MVTFEV24!I33-E33+L33),0)</f>
        <v>802816.39100396074</v>
      </c>
      <c r="H33" s="36">
        <f t="shared" si="0"/>
        <v>2736.2582819994063</v>
      </c>
      <c r="I33" s="6">
        <f t="shared" si="2"/>
        <v>805552.64928596013</v>
      </c>
      <c r="J33" s="36">
        <f>VLOOKUP($A33,[24]HISTOMARS24!$A$6:$AQ$42,22,0)</f>
        <v>0</v>
      </c>
      <c r="K33" s="36">
        <f>VLOOKUP($A33,[24]HISTOMARS24!$A$6:$AU$38,45,0)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VLOOKUP($A33,[24]HISTOMARS24!$A$6:$AU$38,7,0)</f>
        <v>0</v>
      </c>
      <c r="Q33" s="36">
        <f>VLOOKUP($A33,[24]HISTOMARS24!$A$6:$AU$38,23,0)</f>
        <v>0</v>
      </c>
      <c r="R33" s="36">
        <f>VLOOKUP($A33,[24]HISTOMARS24!$A$6:$AU$38,46,0)</f>
        <v>0</v>
      </c>
      <c r="S33" s="36">
        <f>VLOOKUP($A33,[24]HISTOMARS24!$A$6:$AU$38,26,0)</f>
        <v>0</v>
      </c>
      <c r="T33" s="36">
        <f>VLOOKUP($A33,[24]HISTOMARS24!$A$6:$BG$38,58,0)</f>
        <v>0</v>
      </c>
      <c r="U33" s="36">
        <f>VLOOKUP($A33,[24]HISTOMARS24!$A$6:$AU$38,28,0)</f>
        <v>0</v>
      </c>
      <c r="V33" s="36">
        <f>VLOOKUP($A33,[24]HISTOMARS24!$A$6:$AU$38,19,0)</f>
        <v>0</v>
      </c>
      <c r="W33" s="36">
        <f>VLOOKUP($A33,[24]HISTOMARS24!$A$6:$AU$38,20,0)</f>
        <v>0</v>
      </c>
      <c r="X33" s="36">
        <f>VLOOKUP($A33,[24]HISTOMARS24!$A$6:$AU$38,27,0)</f>
        <v>0</v>
      </c>
      <c r="Y33" s="36">
        <f>VLOOKUP($A33,[24]HISTOMARS24!$A$6:$BM$38,33,0)</f>
        <v>0</v>
      </c>
      <c r="Z33" s="36">
        <f>VLOOKUP($A33,[24]HISTOMARS24!$A$6:$BM$38,65,0)</f>
        <v>0</v>
      </c>
      <c r="AA33" s="36"/>
      <c r="AB33" s="36">
        <f>VLOOKUP($A33,[24]HISTOMARS24!$A$6:$AU$38,43,0)</f>
        <v>0</v>
      </c>
      <c r="AC33" s="36">
        <f>VLOOKUP($A33,[24]HISTOMARS24!$A$6:$AU$38,44,0)</f>
        <v>0</v>
      </c>
      <c r="AD33" s="36">
        <f>VLOOKUP($A33,[24]HISTOMARS24!$A$6:$AU$38,47,0)</f>
        <v>0</v>
      </c>
      <c r="AE33" s="36">
        <f>VLOOKUP(A33,[24]HISTOMARS24!$A$6:$BB$38,54,0)</f>
        <v>0</v>
      </c>
      <c r="AF33" s="36">
        <f>VLOOKUP($A33,[24]HISTOMARS24!$A$6:$CA$38,60,0)</f>
        <v>0</v>
      </c>
      <c r="AG33" s="36">
        <f>VLOOKUP($A33,[24]HISTOMARS24!$A$6:$CA$38,61,0)</f>
        <v>0</v>
      </c>
      <c r="AH33" s="36">
        <f>VLOOKUP($A33,[24]HISTOMARS24!$A$6:$CA$38,62,0)</f>
        <v>0</v>
      </c>
      <c r="AI33" s="36">
        <f>VLOOKUP($A33,[24]HISTOMARS24!$A$6:$CA$38,63,0)</f>
        <v>0</v>
      </c>
      <c r="AJ33" s="36">
        <f>VLOOKUP($A33,[24]HISTOMARS24!$A$6:$CA$38,64,0)</f>
        <v>0</v>
      </c>
      <c r="AK33" s="36">
        <f>VLOOKUP($A33,[24]HISTOMARS24!$A$6:$CA$38,65,0)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MVTFEV24!I34-E34+L34</f>
        <v>382000</v>
      </c>
      <c r="G34" s="5">
        <f>IF(MVTFEV24!I34+L34&gt;700000,(MVTFEV24!I34-E34+L34),0)</f>
        <v>0</v>
      </c>
      <c r="H34" s="36">
        <f t="shared" si="0"/>
        <v>0</v>
      </c>
      <c r="I34" s="6">
        <f t="shared" si="2"/>
        <v>382000</v>
      </c>
      <c r="J34" s="36">
        <f>VLOOKUP($A34,[24]HISTOMARS24!$A$6:$AQ$42,22,0)</f>
        <v>0</v>
      </c>
      <c r="K34" s="36">
        <f>VLOOKUP($A34,[24]HISTOMARS24!$A$6:$AU$38,45,0)</f>
        <v>75000</v>
      </c>
      <c r="L34" s="36">
        <f t="shared" si="3"/>
        <v>69000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VLOOKUP($A34,[24]HISTOMARS24!$A$6:$AU$38,7,0)</f>
        <v>0</v>
      </c>
      <c r="Q34" s="36">
        <f>VLOOKUP($A34,[24]HISTOMARS24!$A$6:$AU$38,23,0)</f>
        <v>0</v>
      </c>
      <c r="R34" s="36">
        <f>VLOOKUP($A34,[24]HISTOMARS24!$A$6:$AU$38,46,0)</f>
        <v>0</v>
      </c>
      <c r="S34" s="36">
        <f>VLOOKUP($A34,[24]HISTOMARS24!$A$6:$AU$38,26,0)</f>
        <v>0</v>
      </c>
      <c r="T34" s="36">
        <f>VLOOKUP($A34,[24]HISTOMARS24!$A$6:$BG$38,58,0)</f>
        <v>0</v>
      </c>
      <c r="U34" s="36">
        <f>VLOOKUP($A34,[24]HISTOMARS24!$A$6:$AU$38,28,0)</f>
        <v>0</v>
      </c>
      <c r="V34" s="36">
        <f>VLOOKUP($A34,[24]HISTOMARS24!$A$6:$AU$38,19,0)</f>
        <v>0</v>
      </c>
      <c r="W34" s="36">
        <f>VLOOKUP($A34,[24]HISTOMARS24!$A$6:$AU$38,20,0)</f>
        <v>0</v>
      </c>
      <c r="X34" s="36">
        <f>VLOOKUP($A34,[24]HISTOMARS24!$A$6:$AU$38,27,0)</f>
        <v>0</v>
      </c>
      <c r="Y34" s="36">
        <f>VLOOKUP($A34,[24]HISTOMARS24!$A$6:$BM$38,33,0)</f>
        <v>0</v>
      </c>
      <c r="Z34" s="36">
        <f>VLOOKUP($A34,[24]HISTOMARS24!$A$6:$BM$38,65,0)</f>
        <v>0</v>
      </c>
      <c r="AA34" s="36"/>
      <c r="AB34" s="36">
        <f>VLOOKUP($A34,[24]HISTOMARS24!$A$6:$AU$38,43,0)</f>
        <v>0</v>
      </c>
      <c r="AC34" s="36">
        <f>VLOOKUP($A34,[24]HISTOMARS24!$A$6:$AU$38,44,0)</f>
        <v>0</v>
      </c>
      <c r="AD34" s="36">
        <f>VLOOKUP($A34,[24]HISTOMARS24!$A$6:$AU$38,47,0)</f>
        <v>0</v>
      </c>
      <c r="AE34" s="36">
        <f>VLOOKUP(A34,[24]HISTOMARS24!$A$6:$BB$38,54,0)</f>
        <v>0</v>
      </c>
      <c r="AF34" s="36">
        <f>VLOOKUP($A34,[24]HISTOMARS24!$A$6:$CA$38,60,0)</f>
        <v>0</v>
      </c>
      <c r="AG34" s="36">
        <f>VLOOKUP($A34,[24]HISTOMARS24!$A$6:$CA$38,61,0)</f>
        <v>0</v>
      </c>
      <c r="AH34" s="36">
        <f>VLOOKUP($A34,[24]HISTOMARS24!$A$6:$CA$38,62,0)</f>
        <v>0</v>
      </c>
      <c r="AI34" s="36">
        <f>VLOOKUP($A34,[24]HISTOMARS24!$A$6:$CA$38,63,0)</f>
        <v>0</v>
      </c>
      <c r="AJ34" s="36">
        <f>VLOOKUP($A34,[24]HISTOMARS24!$A$6:$CA$38,64,0)</f>
        <v>0</v>
      </c>
      <c r="AK34" s="36">
        <f>VLOOKUP($A34,[24]HISTOMARS24!$A$6:$CA$38,65,0)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MVTFEV24!I35-E35+L35</f>
        <v>160000</v>
      </c>
      <c r="G35" s="5">
        <f>IF(MVTFEV24!I35+L35&gt;700000,(MVTFEV24!I35-E35+L35),0)</f>
        <v>0</v>
      </c>
      <c r="H35" s="36">
        <f t="shared" si="0"/>
        <v>0</v>
      </c>
      <c r="I35" s="6">
        <f t="shared" si="2"/>
        <v>160000</v>
      </c>
      <c r="J35" s="36">
        <f>VLOOKUP($A35,[24]HISTOMARS24!$A$6:$AQ$42,22,0)</f>
        <v>0</v>
      </c>
      <c r="K35" s="36">
        <f>VLOOKUP($A35,[24]HISTOMARS24!$A$6:$AU$38,45,0)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VLOOKUP($A35,[24]HISTOMARS24!$A$6:$AU$38,7,0)</f>
        <v>0</v>
      </c>
      <c r="Q35" s="36">
        <f>VLOOKUP($A35,[24]HISTOMARS24!$A$6:$AU$38,23,0)</f>
        <v>0</v>
      </c>
      <c r="R35" s="36">
        <f>VLOOKUP($A35,[24]HISTOMARS24!$A$6:$AU$38,46,0)</f>
        <v>0</v>
      </c>
      <c r="S35" s="36">
        <f>VLOOKUP($A35,[24]HISTOMARS24!$A$6:$AU$38,26,0)</f>
        <v>0</v>
      </c>
      <c r="T35" s="36">
        <f>VLOOKUP($A35,[24]HISTOMARS24!$A$6:$BG$38,58,0)</f>
        <v>0</v>
      </c>
      <c r="U35" s="36">
        <f>VLOOKUP($A35,[24]HISTOMARS24!$A$6:$AU$38,28,0)</f>
        <v>0</v>
      </c>
      <c r="V35" s="36">
        <f>VLOOKUP($A35,[24]HISTOMARS24!$A$6:$AU$38,19,0)</f>
        <v>0</v>
      </c>
      <c r="W35" s="36">
        <f>VLOOKUP($A35,[24]HISTOMARS24!$A$6:$AU$38,20,0)</f>
        <v>0</v>
      </c>
      <c r="X35" s="36">
        <f>VLOOKUP($A35,[24]HISTOMARS24!$A$6:$AU$38,27,0)</f>
        <v>0</v>
      </c>
      <c r="Y35" s="36">
        <f>VLOOKUP($A35,[24]HISTOMARS24!$A$6:$BM$38,33,0)</f>
        <v>0</v>
      </c>
      <c r="Z35" s="36">
        <f>VLOOKUP($A35,[24]HISTOMARS24!$A$6:$BM$38,65,0)</f>
        <v>0</v>
      </c>
      <c r="AA35" s="36"/>
      <c r="AB35" s="36">
        <f>VLOOKUP($A35,[24]HISTOMARS24!$A$6:$AU$38,43,0)</f>
        <v>0</v>
      </c>
      <c r="AC35" s="36">
        <f>VLOOKUP($A35,[24]HISTOMARS24!$A$6:$AU$38,44,0)</f>
        <v>0</v>
      </c>
      <c r="AD35" s="36">
        <f>VLOOKUP($A35,[24]HISTOMARS24!$A$6:$AU$38,47,0)</f>
        <v>0</v>
      </c>
      <c r="AE35" s="36">
        <f>VLOOKUP(A35,[24]HISTOMARS24!$A$6:$BB$38,54,0)</f>
        <v>0</v>
      </c>
      <c r="AF35" s="36">
        <f>VLOOKUP($A35,[24]HISTOMARS24!$A$6:$CA$38,60,0)</f>
        <v>0</v>
      </c>
      <c r="AG35" s="36">
        <f>VLOOKUP($A35,[24]HISTOMARS24!$A$6:$CA$38,61,0)</f>
        <v>0</v>
      </c>
      <c r="AH35" s="36">
        <f>VLOOKUP($A35,[24]HISTOMARS24!$A$6:$CA$38,62,0)</f>
        <v>0</v>
      </c>
      <c r="AI35" s="36">
        <f>VLOOKUP($A35,[24]HISTOMARS24!$A$6:$CA$38,63,0)</f>
        <v>0</v>
      </c>
      <c r="AJ35" s="36">
        <f>VLOOKUP($A35,[24]HISTOMARS24!$A$6:$CA$38,64,0)</f>
        <v>0</v>
      </c>
      <c r="AK35" s="36">
        <f>VLOOKUP($A35,[24]HISTOMARS24!$A$6:$CA$38,65,0)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MVTFEV24!I36-E36+L36</f>
        <v>829770.95365693618</v>
      </c>
      <c r="G36" s="5">
        <f>IF(MVTFEV24!I36+L36&gt;700000,(MVTFEV24!I36-E36+L36),0)</f>
        <v>829770.95365693618</v>
      </c>
      <c r="H36" s="36">
        <f t="shared" si="0"/>
        <v>2828.128161741949</v>
      </c>
      <c r="I36" s="6">
        <f t="shared" si="2"/>
        <v>832599.08181867818</v>
      </c>
      <c r="J36" s="36">
        <f>VLOOKUP($A36,[24]HISTOMARS24!$A$6:$AQ$42,22,0)</f>
        <v>0</v>
      </c>
      <c r="K36" s="36">
        <f>VLOOKUP($A36,[24]HISTOMARS24!$A$6:$AU$38,45,0)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VLOOKUP($A36,[24]HISTOMARS24!$A$6:$AU$38,7,0)</f>
        <v>0</v>
      </c>
      <c r="Q36" s="36">
        <f>VLOOKUP($A36,[24]HISTOMARS24!$A$6:$AU$38,23,0)</f>
        <v>0</v>
      </c>
      <c r="R36" s="36">
        <f>VLOOKUP($A36,[24]HISTOMARS24!$A$6:$AU$38,46,0)</f>
        <v>0</v>
      </c>
      <c r="S36" s="36">
        <f>VLOOKUP($A36,[24]HISTOMARS24!$A$6:$AU$38,26,0)</f>
        <v>0</v>
      </c>
      <c r="T36" s="36">
        <f>VLOOKUP($A36,[24]HISTOMARS24!$A$6:$BG$38,58,0)</f>
        <v>0</v>
      </c>
      <c r="U36" s="36">
        <f>VLOOKUP($A36,[24]HISTOMARS24!$A$6:$AU$38,28,0)</f>
        <v>0</v>
      </c>
      <c r="V36" s="36">
        <f>VLOOKUP($A36,[24]HISTOMARS24!$A$6:$AU$38,19,0)</f>
        <v>0</v>
      </c>
      <c r="W36" s="36">
        <f>VLOOKUP($A36,[24]HISTOMARS24!$A$6:$AU$38,20,0)</f>
        <v>0</v>
      </c>
      <c r="X36" s="36">
        <f>VLOOKUP($A36,[24]HISTOMARS24!$A$6:$AU$38,27,0)</f>
        <v>0</v>
      </c>
      <c r="Y36" s="36">
        <f>VLOOKUP($A36,[24]HISTOMARS24!$A$6:$BM$38,33,0)</f>
        <v>0</v>
      </c>
      <c r="Z36" s="36">
        <f>VLOOKUP($A36,[24]HISTOMARS24!$A$6:$BM$38,65,0)</f>
        <v>0</v>
      </c>
      <c r="AA36" s="36"/>
      <c r="AB36" s="36">
        <f>VLOOKUP($A36,[24]HISTOMARS24!$A$6:$AU$38,43,0)</f>
        <v>0</v>
      </c>
      <c r="AC36" s="36">
        <f>VLOOKUP($A36,[24]HISTOMARS24!$A$6:$AU$38,44,0)</f>
        <v>0</v>
      </c>
      <c r="AD36" s="36">
        <f>VLOOKUP($A36,[24]HISTOMARS24!$A$6:$AU$38,47,0)</f>
        <v>0</v>
      </c>
      <c r="AE36" s="36">
        <f>VLOOKUP(A36,[24]HISTOMARS24!$A$6:$BB$38,54,0)</f>
        <v>0</v>
      </c>
      <c r="AF36" s="36">
        <f>VLOOKUP($A36,[24]HISTOMARS24!$A$6:$CA$38,60,0)</f>
        <v>0</v>
      </c>
      <c r="AG36" s="36">
        <f>VLOOKUP($A36,[24]HISTOMARS24!$A$6:$CA$38,61,0)</f>
        <v>0</v>
      </c>
      <c r="AH36" s="36">
        <f>VLOOKUP($A36,[24]HISTOMARS24!$A$6:$CA$38,62,0)</f>
        <v>0</v>
      </c>
      <c r="AI36" s="36">
        <f>VLOOKUP($A36,[24]HISTOMARS24!$A$6:$CA$38,63,0)</f>
        <v>0</v>
      </c>
      <c r="AJ36" s="36">
        <f>VLOOKUP($A36,[24]HISTOMARS24!$A$6:$CA$38,64,0)</f>
        <v>0</v>
      </c>
      <c r="AK36" s="36">
        <f>VLOOKUP($A36,[24]HISTOMARS24!$A$6:$CA$38,65,0)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MVTFEV24!I37-E37+L37</f>
        <v>1869030.453627774</v>
      </c>
      <c r="G37" s="5">
        <f>IF(MVTFEV24!I37+L37&gt;700000,(MVTFEV24!I37-E37+L37),0)</f>
        <v>1869030.453627774</v>
      </c>
      <c r="H37" s="36">
        <f t="shared" si="0"/>
        <v>6370.2611398511826</v>
      </c>
      <c r="I37" s="6">
        <f t="shared" si="2"/>
        <v>1875400.7147676253</v>
      </c>
      <c r="J37" s="36">
        <f>VLOOKUP($A37,[24]HISTOMARS24!$A$6:$AQ$42,22,0)</f>
        <v>0</v>
      </c>
      <c r="K37" s="36">
        <f>VLOOKUP($A37,[24]HISTOMARS24!$A$6:$AU$38,45,0)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VLOOKUP($A37,[24]HISTOMARS24!$A$6:$AU$38,7,0)</f>
        <v>0</v>
      </c>
      <c r="Q37" s="36">
        <f>VLOOKUP($A37,[24]HISTOMARS24!$A$6:$AU$38,23,0)</f>
        <v>0</v>
      </c>
      <c r="R37" s="36">
        <f>VLOOKUP($A37,[24]HISTOMARS24!$A$6:$AU$38,46,0)</f>
        <v>0</v>
      </c>
      <c r="S37" s="36">
        <f>VLOOKUP($A37,[24]HISTOMARS24!$A$6:$AU$38,26,0)</f>
        <v>0</v>
      </c>
      <c r="T37" s="36">
        <f>VLOOKUP($A37,[24]HISTOMARS24!$A$6:$BG$38,58,0)</f>
        <v>0</v>
      </c>
      <c r="U37" s="36">
        <f>VLOOKUP($A37,[24]HISTOMARS24!$A$6:$AU$38,28,0)</f>
        <v>0</v>
      </c>
      <c r="V37" s="36">
        <f>VLOOKUP($A37,[24]HISTOMARS24!$A$6:$AU$38,19,0)</f>
        <v>0</v>
      </c>
      <c r="W37" s="36">
        <f>VLOOKUP($A37,[24]HISTOMARS24!$A$6:$AU$38,20,0)</f>
        <v>0</v>
      </c>
      <c r="X37" s="36">
        <f>VLOOKUP($A37,[24]HISTOMARS24!$A$6:$AU$38,27,0)</f>
        <v>0</v>
      </c>
      <c r="Y37" s="36">
        <f>VLOOKUP($A37,[24]HISTOMARS24!$A$6:$BM$38,33,0)</f>
        <v>0</v>
      </c>
      <c r="Z37" s="36">
        <f>VLOOKUP($A37,[24]HISTOMARS24!$A$6:$BM$38,65,0)</f>
        <v>0</v>
      </c>
      <c r="AA37" s="36"/>
      <c r="AB37" s="36">
        <f>VLOOKUP($A37,[24]HISTOMARS24!$A$6:$AU$38,43,0)</f>
        <v>0</v>
      </c>
      <c r="AC37" s="36">
        <f>VLOOKUP($A37,[24]HISTOMARS24!$A$6:$AU$38,44,0)</f>
        <v>0</v>
      </c>
      <c r="AD37" s="36">
        <f>VLOOKUP($A37,[24]HISTOMARS24!$A$6:$AU$38,47,0)</f>
        <v>0</v>
      </c>
      <c r="AE37" s="36">
        <f>VLOOKUP(A37,[24]HISTOMARS24!$A$6:$BB$38,54,0)</f>
        <v>0</v>
      </c>
      <c r="AF37" s="36">
        <f>VLOOKUP($A37,[24]HISTOMARS24!$A$6:$CA$38,60,0)</f>
        <v>0</v>
      </c>
      <c r="AG37" s="36">
        <f>VLOOKUP($A37,[24]HISTOMARS24!$A$6:$CA$38,61,0)</f>
        <v>0</v>
      </c>
      <c r="AH37" s="36">
        <f>VLOOKUP($A37,[24]HISTOMARS24!$A$6:$CA$38,62,0)</f>
        <v>0</v>
      </c>
      <c r="AI37" s="36">
        <f>VLOOKUP($A37,[24]HISTOMARS24!$A$6:$CA$38,63,0)</f>
        <v>0</v>
      </c>
      <c r="AJ37" s="36">
        <f>VLOOKUP($A37,[24]HISTOMARS24!$A$6:$CA$38,64,0)</f>
        <v>0</v>
      </c>
      <c r="AK37" s="36">
        <f>VLOOKUP($A37,[24]HISTOMARS24!$A$6:$CA$38,65,0)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MVTFEV24!I38-E38+L38</f>
        <v>57000</v>
      </c>
      <c r="G38" s="5">
        <f>IF(MVTFEV24!I38+L38&gt;700000,(MVTFEV24!I38-E38+L38),0)</f>
        <v>0</v>
      </c>
      <c r="H38" s="36">
        <f t="shared" si="0"/>
        <v>0</v>
      </c>
      <c r="I38" s="6">
        <f t="shared" si="2"/>
        <v>57000</v>
      </c>
      <c r="J38" s="36">
        <f>VLOOKUP($A38,[24]HISTOMARS24!$A$6:$AQ$42,22,0)</f>
        <v>0</v>
      </c>
      <c r="K38" s="36">
        <f>VLOOKUP($A38,[24]HISTOMARS24!$A$6:$AU$38,45,0)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VLOOKUP($A38,[24]HISTOMARS24!$A$6:$AU$38,7,0)</f>
        <v>3000</v>
      </c>
      <c r="Q38" s="36">
        <f>VLOOKUP($A38,[24]HISTOMARS24!$A$6:$AU$38,23,0)</f>
        <v>0</v>
      </c>
      <c r="R38" s="36">
        <f>VLOOKUP($A38,[24]HISTOMARS24!$A$6:$AU$38,46,0)</f>
        <v>0</v>
      </c>
      <c r="S38" s="36">
        <f>VLOOKUP($A38,[24]HISTOMARS24!$A$6:$AU$38,26,0)</f>
        <v>0</v>
      </c>
      <c r="T38" s="36">
        <f>VLOOKUP($A38,[24]HISTOMARS24!$A$6:$BG$38,58,0)</f>
        <v>0</v>
      </c>
      <c r="U38" s="36">
        <f>VLOOKUP($A38,[24]HISTOMARS24!$A$6:$AU$38,28,0)</f>
        <v>0</v>
      </c>
      <c r="V38" s="36">
        <f>VLOOKUP($A38,[24]HISTOMARS24!$A$6:$AU$38,19,0)</f>
        <v>0</v>
      </c>
      <c r="W38" s="36">
        <f>VLOOKUP($A38,[24]HISTOMARS24!$A$6:$AU$38,20,0)</f>
        <v>0</v>
      </c>
      <c r="X38" s="36">
        <f>VLOOKUP($A38,[24]HISTOMARS24!$A$6:$AU$38,27,0)</f>
        <v>0</v>
      </c>
      <c r="Y38" s="36">
        <f>VLOOKUP($A38,[24]HISTOMARS24!$A$6:$BM$38,33,0)</f>
        <v>0</v>
      </c>
      <c r="Z38" s="36">
        <f>VLOOKUP($A38,[24]HISTOMARS24!$A$6:$BM$38,65,0)</f>
        <v>0</v>
      </c>
      <c r="AA38" s="36"/>
      <c r="AB38" s="36">
        <f>VLOOKUP($A38,[24]HISTOMARS24!$A$6:$AU$38,43,0)</f>
        <v>0</v>
      </c>
      <c r="AC38" s="36">
        <f>VLOOKUP($A38,[24]HISTOMARS24!$A$6:$AU$38,44,0)</f>
        <v>0</v>
      </c>
      <c r="AD38" s="36">
        <f>VLOOKUP($A38,[24]HISTOMARS24!$A$6:$AU$38,47,0)</f>
        <v>0</v>
      </c>
      <c r="AE38" s="36">
        <f>VLOOKUP(A38,[24]HISTOMARS24!$A$6:$BB$38,54,0)</f>
        <v>0</v>
      </c>
      <c r="AF38" s="36">
        <f>VLOOKUP($A38,[24]HISTOMARS24!$A$6:$CA$38,60,0)</f>
        <v>0</v>
      </c>
      <c r="AG38" s="36">
        <f>VLOOKUP($A38,[24]HISTOMARS24!$A$6:$CA$38,61,0)</f>
        <v>0</v>
      </c>
      <c r="AH38" s="36">
        <f>VLOOKUP($A38,[24]HISTOMARS24!$A$6:$CA$38,62,0)</f>
        <v>0</v>
      </c>
      <c r="AI38" s="36">
        <f>VLOOKUP($A38,[24]HISTOMARS24!$A$6:$CA$38,63,0)</f>
        <v>0</v>
      </c>
      <c r="AJ38" s="36">
        <f>VLOOKUP($A38,[24]HISTOMARS24!$A$6:$CA$38,64,0)</f>
        <v>0</v>
      </c>
      <c r="AK38" s="36">
        <f>VLOOKUP($A38,[24]HISTOMARS24!$A$6:$CA$38,65,0)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MVTFEV24!I39-E39+L39</f>
        <v>2033382.7870862633</v>
      </c>
      <c r="G39" s="5">
        <f>IF(MVTFEV24!I39+L39&gt;700000,(MVTFEV24!I39-E39+L39),0)</f>
        <v>2033382.7870862633</v>
      </c>
      <c r="H39" s="36">
        <f t="shared" si="0"/>
        <v>6930.4271237934572</v>
      </c>
      <c r="I39" s="6">
        <f t="shared" si="2"/>
        <v>2040313.2142100567</v>
      </c>
      <c r="J39" s="36">
        <f>VLOOKUP($A39,[24]HISTOMARS24!$A$6:$AQ$42,22,0)</f>
        <v>0</v>
      </c>
      <c r="K39" s="36">
        <f>VLOOKUP($A39,[24]HISTOMARS24!$A$6:$AU$38,45,0)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VLOOKUP($A39,[24]HISTOMARS24!$A$6:$AU$38,7,0)</f>
        <v>0</v>
      </c>
      <c r="Q39" s="36">
        <f>VLOOKUP($A39,[24]HISTOMARS24!$A$6:$AU$38,23,0)</f>
        <v>0</v>
      </c>
      <c r="R39" s="36">
        <f>VLOOKUP($A39,[24]HISTOMARS24!$A$6:$AU$38,46,0)</f>
        <v>0</v>
      </c>
      <c r="S39" s="36">
        <f>VLOOKUP($A39,[24]HISTOMARS24!$A$6:$AU$38,26,0)</f>
        <v>0</v>
      </c>
      <c r="T39" s="36">
        <f>VLOOKUP($A39,[24]HISTOMARS24!$A$6:$BG$38,58,0)</f>
        <v>0</v>
      </c>
      <c r="U39" s="36">
        <f>VLOOKUP($A39,[24]HISTOMARS24!$A$6:$AU$38,28,0)</f>
        <v>0</v>
      </c>
      <c r="V39" s="36">
        <f>VLOOKUP($A39,[24]HISTOMARS24!$A$6:$AU$38,19,0)</f>
        <v>0</v>
      </c>
      <c r="W39" s="36">
        <f>VLOOKUP($A39,[24]HISTOMARS24!$A$6:$AU$38,20,0)</f>
        <v>0</v>
      </c>
      <c r="X39" s="36">
        <f>VLOOKUP($A39,[24]HISTOMARS24!$A$6:$AU$38,27,0)</f>
        <v>0</v>
      </c>
      <c r="Y39" s="36">
        <f>VLOOKUP($A39,[24]HISTOMARS24!$A$6:$BM$38,33,0)</f>
        <v>0</v>
      </c>
      <c r="Z39" s="36">
        <f>VLOOKUP($A39,[24]HISTOMARS24!$A$6:$BM$38,65,0)</f>
        <v>0</v>
      </c>
      <c r="AA39" s="36"/>
      <c r="AB39" s="36">
        <f>VLOOKUP($A39,[24]HISTOMARS24!$A$6:$AU$38,43,0)</f>
        <v>0</v>
      </c>
      <c r="AC39" s="36">
        <f>VLOOKUP($A39,[24]HISTOMARS24!$A$6:$AU$38,44,0)</f>
        <v>0</v>
      </c>
      <c r="AD39" s="36">
        <f>VLOOKUP($A39,[24]HISTOMARS24!$A$6:$AU$38,47,0)</f>
        <v>0</v>
      </c>
      <c r="AE39" s="36">
        <f>VLOOKUP(A39,[24]HISTOMARS24!$A$6:$BB$38,54,0)</f>
        <v>0</v>
      </c>
      <c r="AF39" s="36">
        <f>VLOOKUP($A39,[24]HISTOMARS24!$A$6:$CA$38,60,0)</f>
        <v>0</v>
      </c>
      <c r="AG39" s="36">
        <f>VLOOKUP($A39,[24]HISTOMARS24!$A$6:$CA$38,61,0)</f>
        <v>0</v>
      </c>
      <c r="AH39" s="36">
        <f>VLOOKUP($A39,[24]HISTOMARS24!$A$6:$CA$38,62,0)</f>
        <v>0</v>
      </c>
      <c r="AI39" s="36">
        <f>VLOOKUP($A39,[24]HISTOMARS24!$A$6:$CA$38,63,0)</f>
        <v>0</v>
      </c>
      <c r="AJ39" s="36">
        <f>VLOOKUP($A39,[24]HISTOMARS24!$A$6:$CA$38,64,0)</f>
        <v>0</v>
      </c>
      <c r="AK39" s="36">
        <f>VLOOKUP($A39,[24]HISTOMARS24!$A$6:$CA$38,65,0)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28471656.655274983</v>
      </c>
      <c r="G41" s="9">
        <f t="shared" si="10"/>
        <v>27139439.524547953</v>
      </c>
      <c r="H41" s="36">
        <f t="shared" si="10"/>
        <v>92499.999999999985</v>
      </c>
      <c r="I41" s="9">
        <f t="shared" si="10"/>
        <v>28564156.655274987</v>
      </c>
      <c r="J41" s="9">
        <f t="shared" si="10"/>
        <v>0</v>
      </c>
      <c r="K41" s="9">
        <f t="shared" si="10"/>
        <v>929000</v>
      </c>
      <c r="L41" s="9">
        <f t="shared" si="10"/>
        <v>737000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6000</v>
      </c>
      <c r="Q41" s="9">
        <f t="shared" si="10"/>
        <v>0</v>
      </c>
      <c r="R41" s="9">
        <f t="shared" si="10"/>
        <v>0</v>
      </c>
      <c r="S41" s="9">
        <f t="shared" si="10"/>
        <v>1050000</v>
      </c>
      <c r="T41" s="9">
        <f t="shared" si="10"/>
        <v>92500</v>
      </c>
      <c r="U41" s="9">
        <f t="shared" si="10"/>
        <v>0</v>
      </c>
      <c r="V41" s="9">
        <f t="shared" si="10"/>
        <v>750000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48000</v>
      </c>
      <c r="AG41" s="9">
        <f t="shared" si="10"/>
        <v>0</v>
      </c>
      <c r="AH41" s="9">
        <f t="shared" si="10"/>
        <v>100000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tabSelected="1"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Q6" sqref="Q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45399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VLOOKUP($A6,[24]HISTOAVRIL24!$A$6:$BA$38,48,0)</f>
        <v>0</v>
      </c>
      <c r="F6" s="36">
        <f>MVTMARS24!I6-E6+L6</f>
        <v>946220.58968855068</v>
      </c>
      <c r="G6" s="5">
        <f>IF(MVTMARS24!I6+L6&gt;700000,(MVTMARS24!I6-E6+L6),0)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VLOOKUP($A6,[24]HISTOAVRIL24!$A$6:$AQ$42,22,0)</f>
        <v>0</v>
      </c>
      <c r="K6" s="36">
        <f>VLOOKUP($A6,[24]HISTOAVRIL24!$A$6:$AU$38,45,0)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VLOOKUP($A6,[24]HISTOAVRIL24!$A$6:$AU$38,7,0)</f>
        <v>0</v>
      </c>
      <c r="Q6" s="36">
        <f>VLOOKUP($A6,[24]HISTOAVRIL24!$A$6:$AU$38,23,0)</f>
        <v>0</v>
      </c>
      <c r="R6" s="36">
        <f>VLOOKUP($A6,[24]HISTOAVRIL24!$A$6:$AU$38,46,0)</f>
        <v>0</v>
      </c>
      <c r="S6" s="36">
        <f>VLOOKUP($A6,[24]HISTOAVRIL24!$A$6:$AU$38,26,0)</f>
        <v>0</v>
      </c>
      <c r="T6" s="36">
        <f>VLOOKUP($A6,[24]HISTOAVRIL24!$A$6:$BG$38,58,0)</f>
        <v>0</v>
      </c>
      <c r="U6" s="36">
        <f>VLOOKUP($A6,[24]HISTOAVRIL24!$A$6:$AU$38,28,0)</f>
        <v>0</v>
      </c>
      <c r="V6" s="36">
        <f>VLOOKUP($A6,[24]HISTOAVRIL24!$A$6:$AU$38,19,0)</f>
        <v>0</v>
      </c>
      <c r="W6" s="36">
        <f>VLOOKUP($A6,[24]HISTOAVRIL24!$A$6:$AU$38,20,0)</f>
        <v>0</v>
      </c>
      <c r="X6" s="36">
        <f>VLOOKUP($A6,[24]HISTOAVRIL24!$A$6:$AU$38,27,0)</f>
        <v>0</v>
      </c>
      <c r="Y6" s="36">
        <f>VLOOKUP($A6,[24]HISTOAVRIL24!$A$6:$BM$38,33,0)</f>
        <v>0</v>
      </c>
      <c r="Z6" s="36">
        <f>VLOOKUP($A6,[24]HISTOAVRIL24!$A$6:$BM$38,65,0)</f>
        <v>0</v>
      </c>
      <c r="AA6" s="36"/>
      <c r="AB6" s="36">
        <f>VLOOKUP($A6,[24]HISTOAVRIL24!$A$6:$AU$38,43,0)</f>
        <v>0</v>
      </c>
      <c r="AC6" s="36">
        <f>VLOOKUP($A6,[24]HISTOAVRIL24!$A$6:$AU$38,44,0)</f>
        <v>0</v>
      </c>
      <c r="AD6" s="36">
        <f>VLOOKUP($A6,[24]HISTOAVRIL24!$A$6:$AU$38,47,0)</f>
        <v>0</v>
      </c>
      <c r="AE6" s="36">
        <f>VLOOKUP(A6,[24]HISTOAVRIL24!$A$6:$BB$38,54,0)</f>
        <v>0</v>
      </c>
      <c r="AF6" s="36">
        <f>VLOOKUP($A6,[24]HISTOAVRIL24!$A$6:$CA$38,60,0)</f>
        <v>0</v>
      </c>
      <c r="AG6" s="36">
        <f>VLOOKUP($A6,[24]HISTOAVRIL24!$A$6:$CA$38,61,0)</f>
        <v>0</v>
      </c>
      <c r="AH6" s="36">
        <f>VLOOKUP($A6,[24]HISTOAVRIL24!$A$6:$CA$38,62,0)</f>
        <v>0</v>
      </c>
      <c r="AI6" s="36">
        <f>VLOOKUP($A6,[24]HISTOAVRIL24!$A$6:$CA$38,63,0)</f>
        <v>0</v>
      </c>
      <c r="AJ6" s="36">
        <f>VLOOKUP($A6,[24]HISTOAVRIL24!$A$6:$CA$38,64,0)</f>
        <v>0</v>
      </c>
      <c r="AK6" s="36">
        <f>VLOOKUP($A6,[24]HISTOAVRIL24!$A$6:$CA$38,65,0)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VLOOKUP($A7,[24]HISTOAVRIL24!$A$6:$BA$38,48,0)</f>
        <v>0</v>
      </c>
      <c r="F7" s="36">
        <f>MVTMARS24!I7-E7+L7</f>
        <v>776791.19348721951</v>
      </c>
      <c r="G7" s="5">
        <f>IF(MVTMARS24!I7+L7&gt;700000,(MVTMARS24!I7-E7+L7),0)</f>
        <v>776791.19348721951</v>
      </c>
      <c r="H7" s="36">
        <f t="shared" si="0"/>
        <v>0</v>
      </c>
      <c r="I7" s="6">
        <f t="shared" ref="I7:I39" si="2">F7+H7</f>
        <v>776791.19348721951</v>
      </c>
      <c r="J7" s="36">
        <f>VLOOKUP($A7,[24]HISTOAVRIL24!$A$6:$AQ$42,22,0)</f>
        <v>0</v>
      </c>
      <c r="K7" s="36">
        <f>VLOOKUP($A7,[24]HISTOAVRIL24!$A$6:$AU$38,45,0)</f>
        <v>22000</v>
      </c>
      <c r="L7" s="36">
        <f>IF(K7=0,0,K7-(M7+N7+O7))</f>
        <v>16000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VLOOKUP($A7,[24]HISTOAVRIL24!$A$6:$AU$38,7,0)</f>
        <v>3000</v>
      </c>
      <c r="Q7" s="36">
        <f>VLOOKUP($A7,[24]HISTOAVRIL24!$A$6:$AU$38,23,0)</f>
        <v>0</v>
      </c>
      <c r="R7" s="36">
        <f>VLOOKUP($A7,[24]HISTOAVRIL24!$A$6:$AU$38,46,0)</f>
        <v>0</v>
      </c>
      <c r="S7" s="36">
        <f>VLOOKUP($A7,[24]HISTOAVRIL24!$A$6:$AU$38,26,0)</f>
        <v>0</v>
      </c>
      <c r="T7" s="36">
        <f>VLOOKUP($A7,[24]HISTOAVRIL24!$A$6:$BG$38,58,0)</f>
        <v>0</v>
      </c>
      <c r="U7" s="36">
        <f>VLOOKUP($A7,[24]HISTOAVRIL24!$A$6:$AU$38,28,0)</f>
        <v>0</v>
      </c>
      <c r="V7" s="36">
        <f>VLOOKUP($A7,[24]HISTOAVRIL24!$A$6:$AU$38,19,0)</f>
        <v>0</v>
      </c>
      <c r="W7" s="36">
        <f>VLOOKUP($A7,[24]HISTOAVRIL24!$A$6:$AU$38,20,0)</f>
        <v>0</v>
      </c>
      <c r="X7" s="36">
        <f>VLOOKUP($A7,[24]HISTOAVRIL24!$A$6:$AU$38,27,0)</f>
        <v>0</v>
      </c>
      <c r="Y7" s="36">
        <f>VLOOKUP($A7,[24]HISTOAVRIL24!$A$6:$BM$38,33,0)</f>
        <v>0</v>
      </c>
      <c r="Z7" s="36">
        <f>VLOOKUP($A7,[24]HISTOAVRIL24!$A$6:$BM$38,65,0)</f>
        <v>0</v>
      </c>
      <c r="AA7" s="36"/>
      <c r="AB7" s="36">
        <f>VLOOKUP($A7,[24]HISTOAVRIL24!$A$6:$AU$38,43,0)</f>
        <v>0</v>
      </c>
      <c r="AC7" s="36">
        <f>VLOOKUP($A7,[24]HISTOAVRIL24!$A$6:$AU$38,44,0)</f>
        <v>0</v>
      </c>
      <c r="AD7" s="36">
        <f>VLOOKUP($A7,[24]HISTOAVRIL24!$A$6:$AU$38,47,0)</f>
        <v>0</v>
      </c>
      <c r="AE7" s="36">
        <f>VLOOKUP(A7,[24]HISTOAVRIL24!$A$6:$BB$38,54,0)</f>
        <v>0</v>
      </c>
      <c r="AF7" s="36">
        <f>VLOOKUP($A7,[24]HISTOAVRIL24!$A$6:$CA$38,60,0)</f>
        <v>0</v>
      </c>
      <c r="AG7" s="36">
        <f>VLOOKUP($A7,[24]HISTOAVRIL24!$A$6:$CA$38,61,0)</f>
        <v>0</v>
      </c>
      <c r="AH7" s="36">
        <f>VLOOKUP($A7,[24]HISTOAVRIL24!$A$6:$CA$38,62,0)</f>
        <v>0</v>
      </c>
      <c r="AI7" s="36">
        <f>VLOOKUP($A7,[24]HISTOAVRIL24!$A$6:$CA$38,63,0)</f>
        <v>0</v>
      </c>
      <c r="AJ7" s="36">
        <f>VLOOKUP($A7,[24]HISTOAVRIL24!$A$6:$CA$38,64,0)</f>
        <v>0</v>
      </c>
      <c r="AK7" s="36">
        <f>VLOOKUP($A7,[24]HISTOAVRIL24!$A$6:$CA$38,65,0)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VLOOKUP($A8,[24]HISTOAVRIL24!$A$6:$BA$38,48,0)</f>
        <v>0</v>
      </c>
      <c r="F8" s="36">
        <f>MVTMARS24!I8-E8+L8</f>
        <v>820533.31236524263</v>
      </c>
      <c r="G8" s="5">
        <f>IF(MVTMARS24!I8+L8&gt;700000,(MVTMARS24!I8-E8+L8),0)</f>
        <v>820533.31236524263</v>
      </c>
      <c r="H8" s="36">
        <f t="shared" si="0"/>
        <v>0</v>
      </c>
      <c r="I8" s="6">
        <f t="shared" si="2"/>
        <v>820533.31236524263</v>
      </c>
      <c r="J8" s="36">
        <f>VLOOKUP($A8,[24]HISTOAVRIL24!$A$6:$AQ$42,22,0)</f>
        <v>0</v>
      </c>
      <c r="K8" s="36">
        <f>VLOOKUP($A8,[24]HISTOAVRIL24!$A$6:$AU$38,45,0)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VLOOKUP($A8,[24]HISTOAVRIL24!$A$6:$AU$38,7,0)</f>
        <v>0</v>
      </c>
      <c r="Q8" s="36">
        <f>VLOOKUP($A8,[24]HISTOAVRIL24!$A$6:$AU$38,23,0)</f>
        <v>0</v>
      </c>
      <c r="R8" s="36">
        <f>VLOOKUP($A8,[24]HISTOAVRIL24!$A$6:$AU$38,46,0)</f>
        <v>0</v>
      </c>
      <c r="S8" s="36">
        <f>VLOOKUP($A8,[24]HISTOAVRIL24!$A$6:$AU$38,26,0)</f>
        <v>0</v>
      </c>
      <c r="T8" s="36">
        <f>VLOOKUP($A8,[24]HISTOAVRIL24!$A$6:$BG$38,58,0)</f>
        <v>0</v>
      </c>
      <c r="U8" s="36">
        <f>VLOOKUP($A8,[24]HISTOAVRIL24!$A$6:$AU$38,28,0)</f>
        <v>0</v>
      </c>
      <c r="V8" s="36">
        <f>VLOOKUP($A8,[24]HISTOAVRIL24!$A$6:$AU$38,19,0)</f>
        <v>0</v>
      </c>
      <c r="W8" s="36">
        <f>VLOOKUP($A8,[24]HISTOAVRIL24!$A$6:$AU$38,20,0)</f>
        <v>0</v>
      </c>
      <c r="X8" s="36">
        <f>VLOOKUP($A8,[24]HISTOAVRIL24!$A$6:$AU$38,27,0)</f>
        <v>0</v>
      </c>
      <c r="Y8" s="36">
        <f>VLOOKUP($A8,[24]HISTOAVRIL24!$A$6:$BM$38,33,0)</f>
        <v>0</v>
      </c>
      <c r="Z8" s="36">
        <f>VLOOKUP($A8,[24]HISTOAVRIL24!$A$6:$BM$38,65,0)</f>
        <v>0</v>
      </c>
      <c r="AA8" s="36"/>
      <c r="AB8" s="36">
        <f>VLOOKUP($A8,[24]HISTOAVRIL24!$A$6:$AU$38,43,0)</f>
        <v>0</v>
      </c>
      <c r="AC8" s="36">
        <f>VLOOKUP($A8,[24]HISTOAVRIL24!$A$6:$AU$38,44,0)</f>
        <v>0</v>
      </c>
      <c r="AD8" s="36">
        <f>VLOOKUP($A8,[24]HISTOAVRIL24!$A$6:$AU$38,47,0)</f>
        <v>0</v>
      </c>
      <c r="AE8" s="36">
        <f>VLOOKUP(A8,[24]HISTOAVRIL24!$A$6:$BB$38,54,0)</f>
        <v>0</v>
      </c>
      <c r="AF8" s="36">
        <f>VLOOKUP($A8,[24]HISTOAVRIL24!$A$6:$CA$38,60,0)</f>
        <v>0</v>
      </c>
      <c r="AG8" s="36">
        <f>VLOOKUP($A8,[24]HISTOAVRIL24!$A$6:$CA$38,61,0)</f>
        <v>0</v>
      </c>
      <c r="AH8" s="36">
        <f>VLOOKUP($A8,[24]HISTOAVRIL24!$A$6:$CA$38,62,0)</f>
        <v>0</v>
      </c>
      <c r="AI8" s="36">
        <f>VLOOKUP($A8,[24]HISTOAVRIL24!$A$6:$CA$38,63,0)</f>
        <v>0</v>
      </c>
      <c r="AJ8" s="36">
        <f>VLOOKUP($A8,[24]HISTOAVRIL24!$A$6:$CA$38,64,0)</f>
        <v>0</v>
      </c>
      <c r="AK8" s="36">
        <f>VLOOKUP($A8,[24]HISTOAVRIL24!$A$6:$CA$38,65,0)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VLOOKUP($A9,[24]HISTOAVRIL24!$A$6:$BA$38,48,0)</f>
        <v>0</v>
      </c>
      <c r="F9" s="36">
        <f>MVTMARS24!I9-E9+L9</f>
        <v>877962.00686817756</v>
      </c>
      <c r="G9" s="5">
        <f>IF(MVTMARS24!I9+L9&gt;700000,(MVTMARS24!I9-E9+L9),0)</f>
        <v>877962.00686817756</v>
      </c>
      <c r="H9" s="36">
        <f t="shared" si="0"/>
        <v>0</v>
      </c>
      <c r="I9" s="6">
        <f t="shared" si="2"/>
        <v>877962.00686817756</v>
      </c>
      <c r="J9" s="36">
        <f>VLOOKUP($A9,[24]HISTOAVRIL24!$A$6:$AQ$42,22,0)</f>
        <v>0</v>
      </c>
      <c r="K9" s="36">
        <f>VLOOKUP($A9,[24]HISTOAVRIL24!$A$6:$AU$38,45,0)</f>
        <v>22500</v>
      </c>
      <c r="L9" s="36">
        <f t="shared" si="3"/>
        <v>16500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VLOOKUP($A9,[24]HISTOAVRIL24!$A$6:$AU$38,7,0)</f>
        <v>0</v>
      </c>
      <c r="Q9" s="36">
        <f>VLOOKUP($A9,[24]HISTOAVRIL24!$A$6:$AU$38,23,0)</f>
        <v>0</v>
      </c>
      <c r="R9" s="36">
        <f>VLOOKUP($A9,[24]HISTOAVRIL24!$A$6:$AU$38,46,0)</f>
        <v>0</v>
      </c>
      <c r="S9" s="36">
        <f>VLOOKUP($A9,[24]HISTOAVRIL24!$A$6:$AU$38,26,0)</f>
        <v>0</v>
      </c>
      <c r="T9" s="36">
        <f>VLOOKUP($A9,[24]HISTOAVRIL24!$A$6:$BG$38,58,0)</f>
        <v>0</v>
      </c>
      <c r="U9" s="36">
        <f>VLOOKUP($A9,[24]HISTOAVRIL24!$A$6:$AU$38,28,0)</f>
        <v>0</v>
      </c>
      <c r="V9" s="36">
        <f>VLOOKUP($A9,[24]HISTOAVRIL24!$A$6:$AU$38,19,0)</f>
        <v>0</v>
      </c>
      <c r="W9" s="36">
        <f>VLOOKUP($A9,[24]HISTOAVRIL24!$A$6:$AU$38,20,0)</f>
        <v>0</v>
      </c>
      <c r="X9" s="36">
        <f>VLOOKUP($A9,[24]HISTOAVRIL24!$A$6:$AU$38,27,0)</f>
        <v>0</v>
      </c>
      <c r="Y9" s="36">
        <f>VLOOKUP($A9,[24]HISTOAVRIL24!$A$6:$BM$38,33,0)</f>
        <v>0</v>
      </c>
      <c r="Z9" s="36">
        <f>VLOOKUP($A9,[24]HISTOAVRIL24!$A$6:$BM$38,65,0)</f>
        <v>0</v>
      </c>
      <c r="AA9" s="36"/>
      <c r="AB9" s="36">
        <f>VLOOKUP($A9,[24]HISTOAVRIL24!$A$6:$AU$38,43,0)</f>
        <v>0</v>
      </c>
      <c r="AC9" s="36">
        <f>VLOOKUP($A9,[24]HISTOAVRIL24!$A$6:$AU$38,44,0)</f>
        <v>0</v>
      </c>
      <c r="AD9" s="36">
        <f>VLOOKUP($A9,[24]HISTOAVRIL24!$A$6:$AU$38,47,0)</f>
        <v>0</v>
      </c>
      <c r="AE9" s="36">
        <f>VLOOKUP(A9,[24]HISTOAVRIL24!$A$6:$BB$38,54,0)</f>
        <v>0</v>
      </c>
      <c r="AF9" s="36">
        <f>VLOOKUP($A9,[24]HISTOAVRIL24!$A$6:$CA$38,60,0)</f>
        <v>0</v>
      </c>
      <c r="AG9" s="36">
        <f>VLOOKUP($A9,[24]HISTOAVRIL24!$A$6:$CA$38,61,0)</f>
        <v>0</v>
      </c>
      <c r="AH9" s="36">
        <f>VLOOKUP($A9,[24]HISTOAVRIL24!$A$6:$CA$38,62,0)</f>
        <v>0</v>
      </c>
      <c r="AI9" s="36">
        <f>VLOOKUP($A9,[24]HISTOAVRIL24!$A$6:$CA$38,63,0)</f>
        <v>0</v>
      </c>
      <c r="AJ9" s="36">
        <f>VLOOKUP($A9,[24]HISTOAVRIL24!$A$6:$CA$38,64,0)</f>
        <v>0</v>
      </c>
      <c r="AK9" s="36">
        <f>VLOOKUP($A9,[24]HISTOAVRIL24!$A$6:$CA$38,65,0)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VLOOKUP($A10,[24]HISTOAVRIL24!$A$6:$BA$38,48,0)</f>
        <v>0</v>
      </c>
      <c r="F10" s="36">
        <f>MVTMARS24!I10-E10+L10</f>
        <v>817805.20622596238</v>
      </c>
      <c r="G10" s="5">
        <f>IF(MVTMARS24!I10+L10&gt;700000,(MVTMARS24!I10-E10+L10),0)</f>
        <v>817805.20622596238</v>
      </c>
      <c r="H10" s="36">
        <f t="shared" si="0"/>
        <v>0</v>
      </c>
      <c r="I10" s="6">
        <f t="shared" si="2"/>
        <v>817805.20622596238</v>
      </c>
      <c r="J10" s="36">
        <f>VLOOKUP($A10,[24]HISTOAVRIL24!$A$6:$AQ$42,22,0)</f>
        <v>0</v>
      </c>
      <c r="K10" s="36">
        <f>VLOOKUP($A10,[24]HISTOAVRIL24!$A$6:$AU$38,45,0)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VLOOKUP($A10,[24]HISTOAVRIL24!$A$6:$AU$38,7,0)</f>
        <v>0</v>
      </c>
      <c r="Q10" s="36">
        <f>VLOOKUP($A10,[24]HISTOAVRIL24!$A$6:$AU$38,23,0)</f>
        <v>0</v>
      </c>
      <c r="R10" s="36">
        <f>VLOOKUP($A10,[24]HISTOAVRIL24!$A$6:$AU$38,46,0)</f>
        <v>0</v>
      </c>
      <c r="S10" s="36">
        <f>VLOOKUP($A10,[24]HISTOAVRIL24!$A$6:$AU$38,26,0)</f>
        <v>0</v>
      </c>
      <c r="T10" s="36">
        <f>VLOOKUP($A10,[24]HISTOAVRIL24!$A$6:$BG$38,58,0)</f>
        <v>0</v>
      </c>
      <c r="U10" s="36">
        <f>VLOOKUP($A10,[24]HISTOAVRIL24!$A$6:$AU$38,28,0)</f>
        <v>0</v>
      </c>
      <c r="V10" s="36">
        <f>VLOOKUP($A10,[24]HISTOAVRIL24!$A$6:$AU$38,19,0)</f>
        <v>0</v>
      </c>
      <c r="W10" s="36">
        <f>VLOOKUP($A10,[24]HISTOAVRIL24!$A$6:$AU$38,20,0)</f>
        <v>0</v>
      </c>
      <c r="X10" s="36">
        <f>VLOOKUP($A10,[24]HISTOAVRIL24!$A$6:$AU$38,27,0)</f>
        <v>0</v>
      </c>
      <c r="Y10" s="36">
        <f>VLOOKUP($A10,[24]HISTOAVRIL24!$A$6:$BM$38,33,0)</f>
        <v>0</v>
      </c>
      <c r="Z10" s="36">
        <f>VLOOKUP($A10,[24]HISTOAVRIL24!$A$6:$BM$38,65,0)</f>
        <v>0</v>
      </c>
      <c r="AA10" s="36"/>
      <c r="AB10" s="36">
        <f>VLOOKUP($A10,[24]HISTOAVRIL24!$A$6:$AU$38,43,0)</f>
        <v>0</v>
      </c>
      <c r="AC10" s="36">
        <f>VLOOKUP($A10,[24]HISTOAVRIL24!$A$6:$AU$38,44,0)</f>
        <v>0</v>
      </c>
      <c r="AD10" s="36">
        <f>VLOOKUP($A10,[24]HISTOAVRIL24!$A$6:$AU$38,47,0)</f>
        <v>0</v>
      </c>
      <c r="AE10" s="36">
        <f>VLOOKUP(A10,[24]HISTOAVRIL24!$A$6:$BB$38,54,0)</f>
        <v>0</v>
      </c>
      <c r="AF10" s="36">
        <f>VLOOKUP($A10,[24]HISTOAVRIL24!$A$6:$CA$38,60,0)</f>
        <v>0</v>
      </c>
      <c r="AG10" s="36">
        <f>VLOOKUP($A10,[24]HISTOAVRIL24!$A$6:$CA$38,61,0)</f>
        <v>0</v>
      </c>
      <c r="AH10" s="36">
        <f>VLOOKUP($A10,[24]HISTOAVRIL24!$A$6:$CA$38,62,0)</f>
        <v>0</v>
      </c>
      <c r="AI10" s="36">
        <f>VLOOKUP($A10,[24]HISTOAVRIL24!$A$6:$CA$38,63,0)</f>
        <v>0</v>
      </c>
      <c r="AJ10" s="36">
        <f>VLOOKUP($A10,[24]HISTOAVRIL24!$A$6:$CA$38,64,0)</f>
        <v>0</v>
      </c>
      <c r="AK10" s="36">
        <f>VLOOKUP($A10,[24]HISTOAVRIL24!$A$6:$CA$38,65,0)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VLOOKUP($A11,[24]HISTOAVRIL24!$A$6:$BA$38,48,0)</f>
        <v>0</v>
      </c>
      <c r="F11" s="36">
        <f>MVTMARS24!I11-E11+L11</f>
        <v>835855.82895949238</v>
      </c>
      <c r="G11" s="5">
        <f>IF(MVTMARS24!I11+L11&gt;700000,(MVTMARS24!I11-E11+L11),0)</f>
        <v>835855.82895949238</v>
      </c>
      <c r="H11" s="36">
        <f t="shared" si="0"/>
        <v>0</v>
      </c>
      <c r="I11" s="6">
        <f t="shared" si="2"/>
        <v>835855.82895949238</v>
      </c>
      <c r="J11" s="36">
        <f>VLOOKUP($A11,[24]HISTOAVRIL24!$A$6:$AQ$42,22,0)</f>
        <v>0</v>
      </c>
      <c r="K11" s="36">
        <f>VLOOKUP($A11,[24]HISTOAVRIL24!$A$6:$AU$38,45,0)</f>
        <v>35000</v>
      </c>
      <c r="L11" s="36">
        <f t="shared" si="3"/>
        <v>29000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VLOOKUP($A11,[24]HISTOAVRIL24!$A$6:$AU$38,7,0)</f>
        <v>0</v>
      </c>
      <c r="Q11" s="36">
        <f>VLOOKUP($A11,[24]HISTOAVRIL24!$A$6:$AU$38,23,0)</f>
        <v>0</v>
      </c>
      <c r="R11" s="36">
        <f>VLOOKUP($A11,[24]HISTOAVRIL24!$A$6:$AU$38,46,0)</f>
        <v>0</v>
      </c>
      <c r="S11" s="36">
        <f>VLOOKUP($A11,[24]HISTOAVRIL24!$A$6:$AU$38,26,0)</f>
        <v>0</v>
      </c>
      <c r="T11" s="36">
        <f>VLOOKUP($A11,[24]HISTOAVRIL24!$A$6:$BG$38,58,0)</f>
        <v>0</v>
      </c>
      <c r="U11" s="36">
        <f>VLOOKUP($A11,[24]HISTOAVRIL24!$A$6:$AU$38,28,0)</f>
        <v>0</v>
      </c>
      <c r="V11" s="36">
        <f>VLOOKUP($A11,[24]HISTOAVRIL24!$A$6:$AU$38,19,0)</f>
        <v>0</v>
      </c>
      <c r="W11" s="36">
        <f>VLOOKUP($A11,[24]HISTOAVRIL24!$A$6:$AU$38,20,0)</f>
        <v>0</v>
      </c>
      <c r="X11" s="36">
        <f>VLOOKUP($A11,[24]HISTOAVRIL24!$A$6:$AU$38,27,0)</f>
        <v>0</v>
      </c>
      <c r="Y11" s="36">
        <f>VLOOKUP($A11,[24]HISTOAVRIL24!$A$6:$BM$38,33,0)</f>
        <v>0</v>
      </c>
      <c r="Z11" s="36">
        <f>VLOOKUP($A11,[24]HISTOAVRIL24!$A$6:$BM$38,65,0)</f>
        <v>0</v>
      </c>
      <c r="AA11" s="36"/>
      <c r="AB11" s="36">
        <f>VLOOKUP($A11,[24]HISTOAVRIL24!$A$6:$AU$38,43,0)</f>
        <v>0</v>
      </c>
      <c r="AC11" s="36">
        <f>VLOOKUP($A11,[24]HISTOAVRIL24!$A$6:$AU$38,44,0)</f>
        <v>0</v>
      </c>
      <c r="AD11" s="36">
        <f>VLOOKUP($A11,[24]HISTOAVRIL24!$A$6:$AU$38,47,0)</f>
        <v>0</v>
      </c>
      <c r="AE11" s="36">
        <f>VLOOKUP(A11,[24]HISTOAVRIL24!$A$6:$BB$38,54,0)</f>
        <v>0</v>
      </c>
      <c r="AF11" s="36">
        <f>VLOOKUP($A11,[24]HISTOAVRIL24!$A$6:$CA$38,60,0)</f>
        <v>0</v>
      </c>
      <c r="AG11" s="36">
        <f>VLOOKUP($A11,[24]HISTOAVRIL24!$A$6:$CA$38,61,0)</f>
        <v>0</v>
      </c>
      <c r="AH11" s="36">
        <f>VLOOKUP($A11,[24]HISTOAVRIL24!$A$6:$CA$38,62,0)</f>
        <v>0</v>
      </c>
      <c r="AI11" s="36">
        <f>VLOOKUP($A11,[24]HISTOAVRIL24!$A$6:$CA$38,63,0)</f>
        <v>0</v>
      </c>
      <c r="AJ11" s="36">
        <f>VLOOKUP($A11,[24]HISTOAVRIL24!$A$6:$CA$38,64,0)</f>
        <v>0</v>
      </c>
      <c r="AK11" s="36">
        <f>VLOOKUP($A11,[24]HISTOAVRIL24!$A$6:$CA$38,65,0)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VLOOKUP($A12,[24]HISTOAVRIL24!$A$6:$BA$38,48,0)</f>
        <v>0</v>
      </c>
      <c r="F12" s="36">
        <f>MVTMARS24!I12-E12+L12</f>
        <v>859100.14741339569</v>
      </c>
      <c r="G12" s="5">
        <f>IF(MVTMARS24!I12+L12&gt;700000,(MVTMARS24!I12-E12+L12),0)</f>
        <v>859100.14741339569</v>
      </c>
      <c r="H12" s="36">
        <f t="shared" si="0"/>
        <v>0</v>
      </c>
      <c r="I12" s="6">
        <f t="shared" si="2"/>
        <v>859100.14741339569</v>
      </c>
      <c r="J12" s="36">
        <f>VLOOKUP($A12,[24]HISTOAVRIL24!$A$6:$AQ$42,22,0)</f>
        <v>0</v>
      </c>
      <c r="K12" s="36">
        <f>VLOOKUP($A12,[24]HISTOAVRIL24!$A$6:$AU$38,45,0)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VLOOKUP($A12,[24]HISTOAVRIL24!$A$6:$AU$38,7,0)</f>
        <v>0</v>
      </c>
      <c r="Q12" s="36">
        <f>VLOOKUP($A12,[24]HISTOAVRIL24!$A$6:$AU$38,23,0)</f>
        <v>0</v>
      </c>
      <c r="R12" s="36">
        <f>VLOOKUP($A12,[24]HISTOAVRIL24!$A$6:$AU$38,46,0)</f>
        <v>0</v>
      </c>
      <c r="S12" s="36">
        <f>VLOOKUP($A12,[24]HISTOAVRIL24!$A$6:$AU$38,26,0)</f>
        <v>0</v>
      </c>
      <c r="T12" s="36">
        <f>VLOOKUP($A12,[24]HISTOAVRIL24!$A$6:$BG$38,58,0)</f>
        <v>0</v>
      </c>
      <c r="U12" s="36">
        <f>VLOOKUP($A12,[24]HISTOAVRIL24!$A$6:$AU$38,28,0)</f>
        <v>0</v>
      </c>
      <c r="V12" s="36">
        <f>VLOOKUP($A12,[24]HISTOAVRIL24!$A$6:$AU$38,19,0)</f>
        <v>0</v>
      </c>
      <c r="W12" s="36">
        <f>VLOOKUP($A12,[24]HISTOAVRIL24!$A$6:$AU$38,20,0)</f>
        <v>0</v>
      </c>
      <c r="X12" s="36">
        <f>VLOOKUP($A12,[24]HISTOAVRIL24!$A$6:$AU$38,27,0)</f>
        <v>0</v>
      </c>
      <c r="Y12" s="36">
        <f>VLOOKUP($A12,[24]HISTOAVRIL24!$A$6:$BM$38,33,0)</f>
        <v>0</v>
      </c>
      <c r="Z12" s="36">
        <f>VLOOKUP($A12,[24]HISTOAVRIL24!$A$6:$BM$38,65,0)</f>
        <v>0</v>
      </c>
      <c r="AA12" s="36"/>
      <c r="AB12" s="36">
        <f>VLOOKUP($A12,[24]HISTOAVRIL24!$A$6:$AU$38,43,0)</f>
        <v>0</v>
      </c>
      <c r="AC12" s="36">
        <f>VLOOKUP($A12,[24]HISTOAVRIL24!$A$6:$AU$38,44,0)</f>
        <v>0</v>
      </c>
      <c r="AD12" s="36">
        <f>VLOOKUP($A12,[24]HISTOAVRIL24!$A$6:$AU$38,47,0)</f>
        <v>0</v>
      </c>
      <c r="AE12" s="36">
        <f>VLOOKUP(A12,[24]HISTOAVRIL24!$A$6:$BB$38,54,0)</f>
        <v>0</v>
      </c>
      <c r="AF12" s="36">
        <f>VLOOKUP($A12,[24]HISTOAVRIL24!$A$6:$CA$38,60,0)</f>
        <v>0</v>
      </c>
      <c r="AG12" s="36">
        <f>VLOOKUP($A12,[24]HISTOAVRIL24!$A$6:$CA$38,61,0)</f>
        <v>0</v>
      </c>
      <c r="AH12" s="36">
        <f>VLOOKUP($A12,[24]HISTOAVRIL24!$A$6:$CA$38,62,0)</f>
        <v>0</v>
      </c>
      <c r="AI12" s="36">
        <f>VLOOKUP($A12,[24]HISTOAVRIL24!$A$6:$CA$38,63,0)</f>
        <v>0</v>
      </c>
      <c r="AJ12" s="36">
        <f>VLOOKUP($A12,[24]HISTOAVRIL24!$A$6:$CA$38,64,0)</f>
        <v>0</v>
      </c>
      <c r="AK12" s="36">
        <f>VLOOKUP($A12,[24]HISTOAVRIL24!$A$6:$CA$38,65,0)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VLOOKUP($A13,[24]HISTOAVRIL24!$A$6:$BA$38,48,0)</f>
        <v>0</v>
      </c>
      <c r="F13" s="36">
        <f>MVTMARS24!I13-E13+L13</f>
        <v>823555.14612214814</v>
      </c>
      <c r="G13" s="5">
        <f>IF(MVTMARS24!I13+L13&gt;700000,(MVTMARS24!I13-E13+L13),0)</f>
        <v>823555.14612214814</v>
      </c>
      <c r="H13" s="36">
        <f t="shared" si="0"/>
        <v>0</v>
      </c>
      <c r="I13" s="6">
        <f t="shared" si="2"/>
        <v>823555.14612214814</v>
      </c>
      <c r="J13" s="36">
        <f>VLOOKUP($A13,[24]HISTOAVRIL24!$A$6:$AQ$42,22,0)</f>
        <v>0</v>
      </c>
      <c r="K13" s="36">
        <f>VLOOKUP($A13,[24]HISTOAVRIL24!$A$6:$AU$38,45,0)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VLOOKUP($A13,[24]HISTOAVRIL24!$A$6:$AU$38,7,0)</f>
        <v>0</v>
      </c>
      <c r="Q13" s="36">
        <f>VLOOKUP($A13,[24]HISTOAVRIL24!$A$6:$AU$38,23,0)</f>
        <v>0</v>
      </c>
      <c r="R13" s="36">
        <f>VLOOKUP($A13,[24]HISTOAVRIL24!$A$6:$AU$38,46,0)</f>
        <v>0</v>
      </c>
      <c r="S13" s="36">
        <f>VLOOKUP($A13,[24]HISTOAVRIL24!$A$6:$AU$38,26,0)</f>
        <v>0</v>
      </c>
      <c r="T13" s="36">
        <f>VLOOKUP($A13,[24]HISTOAVRIL24!$A$6:$BG$38,58,0)</f>
        <v>0</v>
      </c>
      <c r="U13" s="36">
        <f>VLOOKUP($A13,[24]HISTOAVRIL24!$A$6:$AU$38,28,0)</f>
        <v>0</v>
      </c>
      <c r="V13" s="36">
        <f>VLOOKUP($A13,[24]HISTOAVRIL24!$A$6:$AU$38,19,0)</f>
        <v>0</v>
      </c>
      <c r="W13" s="36">
        <f>VLOOKUP($A13,[24]HISTOAVRIL24!$A$6:$AU$38,20,0)</f>
        <v>0</v>
      </c>
      <c r="X13" s="36">
        <f>VLOOKUP($A13,[24]HISTOAVRIL24!$A$6:$AU$38,27,0)</f>
        <v>0</v>
      </c>
      <c r="Y13" s="36">
        <f>VLOOKUP($A13,[24]HISTOAVRIL24!$A$6:$BM$38,33,0)</f>
        <v>0</v>
      </c>
      <c r="Z13" s="36">
        <f>VLOOKUP($A13,[24]HISTOAVRIL24!$A$6:$BM$38,65,0)</f>
        <v>0</v>
      </c>
      <c r="AA13" s="36"/>
      <c r="AB13" s="36">
        <f>VLOOKUP($A13,[24]HISTOAVRIL24!$A$6:$AU$38,43,0)</f>
        <v>0</v>
      </c>
      <c r="AC13" s="36">
        <f>VLOOKUP($A13,[24]HISTOAVRIL24!$A$6:$AU$38,44,0)</f>
        <v>0</v>
      </c>
      <c r="AD13" s="36">
        <f>VLOOKUP($A13,[24]HISTOAVRIL24!$A$6:$AU$38,47,0)</f>
        <v>0</v>
      </c>
      <c r="AE13" s="36">
        <f>VLOOKUP(A13,[24]HISTOAVRIL24!$A$6:$BB$38,54,0)</f>
        <v>0</v>
      </c>
      <c r="AF13" s="36">
        <f>VLOOKUP($A13,[24]HISTOAVRIL24!$A$6:$CA$38,60,0)</f>
        <v>0</v>
      </c>
      <c r="AG13" s="36">
        <f>VLOOKUP($A13,[24]HISTOAVRIL24!$A$6:$CA$38,61,0)</f>
        <v>0</v>
      </c>
      <c r="AH13" s="36">
        <f>VLOOKUP($A13,[24]HISTOAVRIL24!$A$6:$CA$38,62,0)</f>
        <v>0</v>
      </c>
      <c r="AI13" s="36">
        <f>VLOOKUP($A13,[24]HISTOAVRIL24!$A$6:$CA$38,63,0)</f>
        <v>0</v>
      </c>
      <c r="AJ13" s="36">
        <f>VLOOKUP($A13,[24]HISTOAVRIL24!$A$6:$CA$38,64,0)</f>
        <v>0</v>
      </c>
      <c r="AK13" s="36">
        <f>VLOOKUP($A13,[24]HISTOAVRIL24!$A$6:$CA$38,65,0)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VLOOKUP($A14,[24]HISTOAVRIL24!$A$6:$BA$38,48,0)</f>
        <v>0</v>
      </c>
      <c r="F14" s="36">
        <f>MVTMARS24!I14-E14+L14</f>
        <v>1376425.9823482623</v>
      </c>
      <c r="G14" s="5">
        <f>IF(MVTMARS24!I14+L14&gt;700000,(MVTMARS24!I14-E14+L14),0)</f>
        <v>1376425.9823482623</v>
      </c>
      <c r="H14" s="36">
        <f t="shared" si="0"/>
        <v>0</v>
      </c>
      <c r="I14" s="6">
        <f t="shared" si="2"/>
        <v>1376425.9823482623</v>
      </c>
      <c r="J14" s="36">
        <f>VLOOKUP($A14,[24]HISTOAVRIL24!$A$6:$AQ$42,22,0)</f>
        <v>0</v>
      </c>
      <c r="K14" s="36">
        <f>VLOOKUP($A14,[24]HISTOAVRIL24!$A$6:$AU$38,45,0)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VLOOKUP($A14,[24]HISTOAVRIL24!$A$6:$AU$38,7,0)</f>
        <v>0</v>
      </c>
      <c r="Q14" s="36">
        <f>VLOOKUP($A14,[24]HISTOAVRIL24!$A$6:$AU$38,23,0)</f>
        <v>0</v>
      </c>
      <c r="R14" s="36">
        <f>VLOOKUP($A14,[24]HISTOAVRIL24!$A$6:$AU$38,46,0)</f>
        <v>0</v>
      </c>
      <c r="S14" s="36">
        <f>VLOOKUP($A14,[24]HISTOAVRIL24!$A$6:$AU$38,26,0)</f>
        <v>0</v>
      </c>
      <c r="T14" s="36">
        <f>VLOOKUP($A14,[24]HISTOAVRIL24!$A$6:$BG$38,58,0)</f>
        <v>0</v>
      </c>
      <c r="U14" s="36">
        <f>VLOOKUP($A14,[24]HISTOAVRIL24!$A$6:$AU$38,28,0)</f>
        <v>0</v>
      </c>
      <c r="V14" s="36">
        <f>VLOOKUP($A14,[24]HISTOAVRIL24!$A$6:$AU$38,19,0)</f>
        <v>0</v>
      </c>
      <c r="W14" s="36">
        <f>VLOOKUP($A14,[24]HISTOAVRIL24!$A$6:$AU$38,20,0)</f>
        <v>0</v>
      </c>
      <c r="X14" s="36">
        <f>VLOOKUP($A14,[24]HISTOAVRIL24!$A$6:$AU$38,27,0)</f>
        <v>0</v>
      </c>
      <c r="Y14" s="36">
        <f>VLOOKUP($A14,[24]HISTOAVRIL24!$A$6:$BM$38,33,0)</f>
        <v>0</v>
      </c>
      <c r="Z14" s="36">
        <f>VLOOKUP($A14,[24]HISTOAVRIL24!$A$6:$BM$38,65,0)</f>
        <v>0</v>
      </c>
      <c r="AA14" s="36"/>
      <c r="AB14" s="36">
        <f>VLOOKUP($A14,[24]HISTOAVRIL24!$A$6:$AU$38,43,0)</f>
        <v>0</v>
      </c>
      <c r="AC14" s="36">
        <f>VLOOKUP($A14,[24]HISTOAVRIL24!$A$6:$AU$38,44,0)</f>
        <v>0</v>
      </c>
      <c r="AD14" s="36">
        <f>VLOOKUP($A14,[24]HISTOAVRIL24!$A$6:$AU$38,47,0)</f>
        <v>0</v>
      </c>
      <c r="AE14" s="36">
        <f>VLOOKUP(A14,[24]HISTOAVRIL24!$A$6:$BB$38,54,0)</f>
        <v>0</v>
      </c>
      <c r="AF14" s="36">
        <f>VLOOKUP($A14,[24]HISTOAVRIL24!$A$6:$CA$38,60,0)</f>
        <v>0</v>
      </c>
      <c r="AG14" s="36">
        <f>VLOOKUP($A14,[24]HISTOAVRIL24!$A$6:$CA$38,61,0)</f>
        <v>0</v>
      </c>
      <c r="AH14" s="36">
        <f>VLOOKUP($A14,[24]HISTOAVRIL24!$A$6:$CA$38,62,0)</f>
        <v>0</v>
      </c>
      <c r="AI14" s="36">
        <f>VLOOKUP($A14,[24]HISTOAVRIL24!$A$6:$CA$38,63,0)</f>
        <v>0</v>
      </c>
      <c r="AJ14" s="36">
        <f>VLOOKUP($A14,[24]HISTOAVRIL24!$A$6:$CA$38,64,0)</f>
        <v>0</v>
      </c>
      <c r="AK14" s="36">
        <f>VLOOKUP($A14,[24]HISTOAVRIL24!$A$6:$CA$38,65,0)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VLOOKUP($A15,[24]HISTOAVRIL24!$A$6:$BA$38,48,0)</f>
        <v>0</v>
      </c>
      <c r="F15" s="36">
        <f>MVTMARS24!I15-E15+L15</f>
        <v>885309.62153810938</v>
      </c>
      <c r="G15" s="5">
        <f>IF(MVTMARS24!I15+L15&gt;700000,(MVTMARS24!I15-E15+L15),0)</f>
        <v>885309.62153810938</v>
      </c>
      <c r="H15" s="36">
        <f t="shared" si="0"/>
        <v>0</v>
      </c>
      <c r="I15" s="6">
        <f t="shared" si="2"/>
        <v>885309.62153810938</v>
      </c>
      <c r="J15" s="36">
        <f>VLOOKUP($A15,[24]HISTOAVRIL24!$A$6:$AQ$42,22,0)</f>
        <v>0</v>
      </c>
      <c r="K15" s="36">
        <f>VLOOKUP($A15,[24]HISTOAVRIL24!$A$6:$AU$38,45,0)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VLOOKUP($A15,[24]HISTOAVRIL24!$A$6:$AU$38,7,0)</f>
        <v>0</v>
      </c>
      <c r="Q15" s="36">
        <f>VLOOKUP($A15,[24]HISTOAVRIL24!$A$6:$AU$38,23,0)</f>
        <v>0</v>
      </c>
      <c r="R15" s="36">
        <f>VLOOKUP($A15,[24]HISTOAVRIL24!$A$6:$AU$38,46,0)</f>
        <v>0</v>
      </c>
      <c r="S15" s="36">
        <f>VLOOKUP($A15,[24]HISTOAVRIL24!$A$6:$AU$38,26,0)</f>
        <v>0</v>
      </c>
      <c r="T15" s="36">
        <f>VLOOKUP($A15,[24]HISTOAVRIL24!$A$6:$BG$38,58,0)</f>
        <v>0</v>
      </c>
      <c r="U15" s="36">
        <f>VLOOKUP($A15,[24]HISTOAVRIL24!$A$6:$AU$38,28,0)</f>
        <v>0</v>
      </c>
      <c r="V15" s="36">
        <f>VLOOKUP($A15,[24]HISTOAVRIL24!$A$6:$AU$38,19,0)</f>
        <v>0</v>
      </c>
      <c r="W15" s="36">
        <f>VLOOKUP($A15,[24]HISTOAVRIL24!$A$6:$AU$38,20,0)</f>
        <v>0</v>
      </c>
      <c r="X15" s="36">
        <f>VLOOKUP($A15,[24]HISTOAVRIL24!$A$6:$AU$38,27,0)</f>
        <v>0</v>
      </c>
      <c r="Y15" s="36">
        <f>VLOOKUP($A15,[24]HISTOAVRIL24!$A$6:$BM$38,33,0)</f>
        <v>0</v>
      </c>
      <c r="Z15" s="36">
        <f>VLOOKUP($A15,[24]HISTOAVRIL24!$A$6:$BM$38,65,0)</f>
        <v>0</v>
      </c>
      <c r="AA15" s="36"/>
      <c r="AB15" s="36">
        <f>VLOOKUP($A15,[24]HISTOAVRIL24!$A$6:$AU$38,43,0)</f>
        <v>0</v>
      </c>
      <c r="AC15" s="36">
        <f>VLOOKUP($A15,[24]HISTOAVRIL24!$A$6:$AU$38,44,0)</f>
        <v>0</v>
      </c>
      <c r="AD15" s="36">
        <f>VLOOKUP($A15,[24]HISTOAVRIL24!$A$6:$AU$38,47,0)</f>
        <v>0</v>
      </c>
      <c r="AE15" s="36">
        <f>VLOOKUP(A15,[24]HISTOAVRIL24!$A$6:$BB$38,54,0)</f>
        <v>0</v>
      </c>
      <c r="AF15" s="36">
        <f>VLOOKUP($A15,[24]HISTOAVRIL24!$A$6:$CA$38,60,0)</f>
        <v>0</v>
      </c>
      <c r="AG15" s="36">
        <f>VLOOKUP($A15,[24]HISTOAVRIL24!$A$6:$CA$38,61,0)</f>
        <v>0</v>
      </c>
      <c r="AH15" s="36">
        <f>VLOOKUP($A15,[24]HISTOAVRIL24!$A$6:$CA$38,62,0)</f>
        <v>0</v>
      </c>
      <c r="AI15" s="36">
        <f>VLOOKUP($A15,[24]HISTOAVRIL24!$A$6:$CA$38,63,0)</f>
        <v>0</v>
      </c>
      <c r="AJ15" s="36">
        <f>VLOOKUP($A15,[24]HISTOAVRIL24!$A$6:$CA$38,64,0)</f>
        <v>0</v>
      </c>
      <c r="AK15" s="36">
        <f>VLOOKUP($A15,[24]HISTOAVRIL24!$A$6:$CA$38,65,0)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VLOOKUP($A16,[24]HISTOAVRIL24!$A$6:$BA$38,48,0)</f>
        <v>0</v>
      </c>
      <c r="F16" s="36">
        <f>MVTMARS24!I16-E16+L16</f>
        <v>995858.70650704834</v>
      </c>
      <c r="G16" s="5">
        <f>IF(MVTMARS24!I16+L16&gt;700000,(MVTMARS24!I16-E16+L16),0)</f>
        <v>995858.70650704834</v>
      </c>
      <c r="H16" s="36">
        <f t="shared" si="0"/>
        <v>0</v>
      </c>
      <c r="I16" s="6">
        <f t="shared" si="2"/>
        <v>995858.70650704834</v>
      </c>
      <c r="J16" s="36">
        <f>VLOOKUP($A16,[24]HISTOAVRIL24!$A$6:$AQ$42,22,0)</f>
        <v>0</v>
      </c>
      <c r="K16" s="36">
        <f>VLOOKUP($A16,[24]HISTOAVRIL24!$A$6:$AU$38,45,0)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VLOOKUP($A16,[24]HISTOAVRIL24!$A$6:$AU$38,7,0)</f>
        <v>0</v>
      </c>
      <c r="Q16" s="36">
        <f>VLOOKUP($A16,[24]HISTOAVRIL24!$A$6:$AU$38,23,0)</f>
        <v>0</v>
      </c>
      <c r="R16" s="36">
        <f>VLOOKUP($A16,[24]HISTOAVRIL24!$A$6:$AU$38,46,0)</f>
        <v>0</v>
      </c>
      <c r="S16" s="36">
        <f>VLOOKUP($A16,[24]HISTOAVRIL24!$A$6:$AU$38,26,0)</f>
        <v>0</v>
      </c>
      <c r="T16" s="36">
        <f>VLOOKUP($A16,[24]HISTOAVRIL24!$A$6:$BG$38,58,0)</f>
        <v>0</v>
      </c>
      <c r="U16" s="36">
        <f>VLOOKUP($A16,[24]HISTOAVRIL24!$A$6:$AU$38,28,0)</f>
        <v>0</v>
      </c>
      <c r="V16" s="36">
        <f>VLOOKUP($A16,[24]HISTOAVRIL24!$A$6:$AU$38,19,0)</f>
        <v>0</v>
      </c>
      <c r="W16" s="36">
        <f>VLOOKUP($A16,[24]HISTOAVRIL24!$A$6:$AU$38,20,0)</f>
        <v>0</v>
      </c>
      <c r="X16" s="36">
        <f>VLOOKUP($A16,[24]HISTOAVRIL24!$A$6:$AU$38,27,0)</f>
        <v>0</v>
      </c>
      <c r="Y16" s="36">
        <f>VLOOKUP($A16,[24]HISTOAVRIL24!$A$6:$BM$38,33,0)</f>
        <v>0</v>
      </c>
      <c r="Z16" s="36">
        <f>VLOOKUP($A16,[24]HISTOAVRIL24!$A$6:$BM$38,65,0)</f>
        <v>0</v>
      </c>
      <c r="AA16" s="36"/>
      <c r="AB16" s="36">
        <f>VLOOKUP($A16,[24]HISTOAVRIL24!$A$6:$AU$38,43,0)</f>
        <v>0</v>
      </c>
      <c r="AC16" s="36">
        <f>VLOOKUP($A16,[24]HISTOAVRIL24!$A$6:$AU$38,44,0)</f>
        <v>0</v>
      </c>
      <c r="AD16" s="36">
        <f>VLOOKUP($A16,[24]HISTOAVRIL24!$A$6:$AU$38,47,0)</f>
        <v>0</v>
      </c>
      <c r="AE16" s="36">
        <f>VLOOKUP(A16,[24]HISTOAVRIL24!$A$6:$BB$38,54,0)</f>
        <v>0</v>
      </c>
      <c r="AF16" s="36">
        <f>VLOOKUP($A16,[24]HISTOAVRIL24!$A$6:$CA$38,60,0)</f>
        <v>0</v>
      </c>
      <c r="AG16" s="36">
        <f>VLOOKUP($A16,[24]HISTOAVRIL24!$A$6:$CA$38,61,0)</f>
        <v>0</v>
      </c>
      <c r="AH16" s="36">
        <f>VLOOKUP($A16,[24]HISTOAVRIL24!$A$6:$CA$38,62,0)</f>
        <v>0</v>
      </c>
      <c r="AI16" s="36">
        <f>VLOOKUP($A16,[24]HISTOAVRIL24!$A$6:$CA$38,63,0)</f>
        <v>0</v>
      </c>
      <c r="AJ16" s="36">
        <f>VLOOKUP($A16,[24]HISTOAVRIL24!$A$6:$CA$38,64,0)</f>
        <v>0</v>
      </c>
      <c r="AK16" s="36">
        <f>VLOOKUP($A16,[24]HISTOAVRIL24!$A$6:$CA$38,65,0)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VLOOKUP($A17,[24]HISTOAVRIL24!$A$6:$BA$38,48,0)</f>
        <v>0</v>
      </c>
      <c r="F17" s="36">
        <f>MVTMARS24!I17-E17+L17</f>
        <v>833402.7005255461</v>
      </c>
      <c r="G17" s="5">
        <f>IF(MVTMARS24!I17+L17&gt;700000,(MVTMARS24!I17-E17+L17),0)</f>
        <v>833402.7005255461</v>
      </c>
      <c r="H17" s="36">
        <f t="shared" si="0"/>
        <v>0</v>
      </c>
      <c r="I17" s="6">
        <f t="shared" si="2"/>
        <v>833402.7005255461</v>
      </c>
      <c r="J17" s="36">
        <f>VLOOKUP($A17,[24]HISTOAVRIL24!$A$6:$AQ$42,22,0)</f>
        <v>0</v>
      </c>
      <c r="K17" s="36">
        <f>VLOOKUP($A17,[24]HISTOAVRIL24!$A$6:$AU$38,45,0)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VLOOKUP($A17,[24]HISTOAVRIL24!$A$6:$AU$38,7,0)</f>
        <v>0</v>
      </c>
      <c r="Q17" s="36">
        <f>VLOOKUP($A17,[24]HISTOAVRIL24!$A$6:$AU$38,23,0)</f>
        <v>0</v>
      </c>
      <c r="R17" s="36">
        <f>VLOOKUP($A17,[24]HISTOAVRIL24!$A$6:$AU$38,46,0)</f>
        <v>0</v>
      </c>
      <c r="S17" s="36">
        <f>VLOOKUP($A17,[24]HISTOAVRIL24!$A$6:$AU$38,26,0)</f>
        <v>0</v>
      </c>
      <c r="T17" s="36">
        <f>VLOOKUP($A17,[24]HISTOAVRIL24!$A$6:$BG$38,58,0)</f>
        <v>0</v>
      </c>
      <c r="U17" s="36">
        <f>VLOOKUP($A17,[24]HISTOAVRIL24!$A$6:$AU$38,28,0)</f>
        <v>0</v>
      </c>
      <c r="V17" s="36">
        <f>VLOOKUP($A17,[24]HISTOAVRIL24!$A$6:$AU$38,19,0)</f>
        <v>0</v>
      </c>
      <c r="W17" s="36">
        <f>VLOOKUP($A17,[24]HISTOAVRIL24!$A$6:$AU$38,20,0)</f>
        <v>0</v>
      </c>
      <c r="X17" s="36">
        <f>VLOOKUP($A17,[24]HISTOAVRIL24!$A$6:$AU$38,27,0)</f>
        <v>0</v>
      </c>
      <c r="Y17" s="36">
        <f>VLOOKUP($A17,[24]HISTOAVRIL24!$A$6:$BM$38,33,0)</f>
        <v>0</v>
      </c>
      <c r="Z17" s="36">
        <f>VLOOKUP($A17,[24]HISTOAVRIL24!$A$6:$BM$38,65,0)</f>
        <v>0</v>
      </c>
      <c r="AA17" s="36"/>
      <c r="AB17" s="36">
        <f>VLOOKUP($A17,[24]HISTOAVRIL24!$A$6:$AU$38,43,0)</f>
        <v>0</v>
      </c>
      <c r="AC17" s="36">
        <f>VLOOKUP($A17,[24]HISTOAVRIL24!$A$6:$AU$38,44,0)</f>
        <v>0</v>
      </c>
      <c r="AD17" s="36">
        <f>VLOOKUP($A17,[24]HISTOAVRIL24!$A$6:$AU$38,47,0)</f>
        <v>0</v>
      </c>
      <c r="AE17" s="36">
        <f>VLOOKUP(A17,[24]HISTOAVRIL24!$A$6:$BB$38,54,0)</f>
        <v>0</v>
      </c>
      <c r="AF17" s="36">
        <f>VLOOKUP($A17,[24]HISTOAVRIL24!$A$6:$CA$38,60,0)</f>
        <v>0</v>
      </c>
      <c r="AG17" s="36">
        <f>VLOOKUP($A17,[24]HISTOAVRIL24!$A$6:$CA$38,61,0)</f>
        <v>0</v>
      </c>
      <c r="AH17" s="36">
        <f>VLOOKUP($A17,[24]HISTOAVRIL24!$A$6:$CA$38,62,0)</f>
        <v>0</v>
      </c>
      <c r="AI17" s="36">
        <f>VLOOKUP($A17,[24]HISTOAVRIL24!$A$6:$CA$38,63,0)</f>
        <v>0</v>
      </c>
      <c r="AJ17" s="36">
        <f>VLOOKUP($A17,[24]HISTOAVRIL24!$A$6:$CA$38,64,0)</f>
        <v>0</v>
      </c>
      <c r="AK17" s="36">
        <f>VLOOKUP($A17,[24]HISTOAVRIL24!$A$6:$CA$38,65,0)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VLOOKUP($A18,[24]HISTOAVRIL24!$A$6:$BA$38,48,0)</f>
        <v>0</v>
      </c>
      <c r="F18" s="36">
        <f>MVTMARS24!I18-E18+L18</f>
        <v>879662.76419736946</v>
      </c>
      <c r="G18" s="5">
        <f>IF(MVTMARS24!I18+L18&gt;700000,(MVTMARS24!I18-E18+L18),0)</f>
        <v>879662.76419736946</v>
      </c>
      <c r="H18" s="36">
        <f t="shared" si="0"/>
        <v>0</v>
      </c>
      <c r="I18" s="6">
        <f t="shared" si="2"/>
        <v>879662.76419736946</v>
      </c>
      <c r="J18" s="36">
        <f>VLOOKUP($A18,[24]HISTOAVRIL24!$A$6:$AQ$42,22,0)</f>
        <v>0</v>
      </c>
      <c r="K18" s="36">
        <f>VLOOKUP($A18,[24]HISTOAVRIL24!$A$6:$AU$38,45,0)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VLOOKUP($A18,[24]HISTOAVRIL24!$A$6:$AU$38,7,0)</f>
        <v>0</v>
      </c>
      <c r="Q18" s="36">
        <f>VLOOKUP($A18,[24]HISTOAVRIL24!$A$6:$AU$38,23,0)</f>
        <v>0</v>
      </c>
      <c r="R18" s="36">
        <f>VLOOKUP($A18,[24]HISTOAVRIL24!$A$6:$AU$38,46,0)</f>
        <v>0</v>
      </c>
      <c r="S18" s="36">
        <f>VLOOKUP($A18,[24]HISTOAVRIL24!$A$6:$AU$38,26,0)</f>
        <v>0</v>
      </c>
      <c r="T18" s="36">
        <f>VLOOKUP($A18,[24]HISTOAVRIL24!$A$6:$BG$38,58,0)</f>
        <v>0</v>
      </c>
      <c r="U18" s="36">
        <f>VLOOKUP($A18,[24]HISTOAVRIL24!$A$6:$AU$38,28,0)</f>
        <v>0</v>
      </c>
      <c r="V18" s="36">
        <f>VLOOKUP($A18,[24]HISTOAVRIL24!$A$6:$AU$38,19,0)</f>
        <v>0</v>
      </c>
      <c r="W18" s="36">
        <f>VLOOKUP($A18,[24]HISTOAVRIL24!$A$6:$AU$38,20,0)</f>
        <v>0</v>
      </c>
      <c r="X18" s="36">
        <f>VLOOKUP($A18,[24]HISTOAVRIL24!$A$6:$AU$38,27,0)</f>
        <v>0</v>
      </c>
      <c r="Y18" s="36">
        <f>VLOOKUP($A18,[24]HISTOAVRIL24!$A$6:$BM$38,33,0)</f>
        <v>0</v>
      </c>
      <c r="Z18" s="36">
        <f>VLOOKUP($A18,[24]HISTOAVRIL24!$A$6:$BM$38,65,0)</f>
        <v>0</v>
      </c>
      <c r="AA18" s="36"/>
      <c r="AB18" s="36">
        <f>VLOOKUP($A18,[24]HISTOAVRIL24!$A$6:$AU$38,43,0)</f>
        <v>0</v>
      </c>
      <c r="AC18" s="36">
        <f>VLOOKUP($A18,[24]HISTOAVRIL24!$A$6:$AU$38,44,0)</f>
        <v>0</v>
      </c>
      <c r="AD18" s="36">
        <f>VLOOKUP($A18,[24]HISTOAVRIL24!$A$6:$AU$38,47,0)</f>
        <v>0</v>
      </c>
      <c r="AE18" s="36">
        <f>VLOOKUP(A18,[24]HISTOAVRIL24!$A$6:$BB$38,54,0)</f>
        <v>0</v>
      </c>
      <c r="AF18" s="36">
        <f>VLOOKUP($A18,[24]HISTOAVRIL24!$A$6:$CA$38,60,0)</f>
        <v>0</v>
      </c>
      <c r="AG18" s="36">
        <f>VLOOKUP($A18,[24]HISTOAVRIL24!$A$6:$CA$38,61,0)</f>
        <v>0</v>
      </c>
      <c r="AH18" s="36">
        <f>VLOOKUP($A18,[24]HISTOAVRIL24!$A$6:$CA$38,62,0)</f>
        <v>0</v>
      </c>
      <c r="AI18" s="36">
        <f>VLOOKUP($A18,[24]HISTOAVRIL24!$A$6:$CA$38,63,0)</f>
        <v>0</v>
      </c>
      <c r="AJ18" s="36">
        <f>VLOOKUP($A18,[24]HISTOAVRIL24!$A$6:$CA$38,64,0)</f>
        <v>0</v>
      </c>
      <c r="AK18" s="36">
        <f>VLOOKUP($A18,[24]HISTOAVRIL24!$A$6:$CA$38,65,0)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MVTMARS24!I19-E19+L19</f>
        <v>676217.13072703336</v>
      </c>
      <c r="G19" s="5">
        <f>IF(MVTMARS24!I19+L19&gt;700000,(MVTMARS24!I19-E19+L19),0)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MVTMARS24!I20-E20+L20</f>
        <v>76000</v>
      </c>
      <c r="G20" s="5">
        <f>IF(MVTMARS24!I20+L20&gt;700000,(MVTMARS24!I20-E20+L20),0)</f>
        <v>0</v>
      </c>
      <c r="H20" s="36">
        <f t="shared" si="0"/>
        <v>0</v>
      </c>
      <c r="I20" s="6">
        <f t="shared" si="2"/>
        <v>76000</v>
      </c>
      <c r="J20" s="36">
        <f>VLOOKUP($A20,[24]HISTOAVRIL24!$A$6:$AQ$42,22,0)</f>
        <v>0</v>
      </c>
      <c r="K20" s="36">
        <f>VLOOKUP($A20,[24]HISTOAVRIL24!$A$6:$AU$38,45,0)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VLOOKUP($A20,[24]HISTOAVRIL24!$A$6:$AU$38,7,0)</f>
        <v>0</v>
      </c>
      <c r="Q20" s="36">
        <f>VLOOKUP($A20,[24]HISTOAVRIL24!$A$6:$AU$38,23,0)</f>
        <v>0</v>
      </c>
      <c r="R20" s="36">
        <f>VLOOKUP($A20,[24]HISTOAVRIL24!$A$6:$AU$38,46,0)</f>
        <v>0</v>
      </c>
      <c r="S20" s="36">
        <f>VLOOKUP($A20,[24]HISTOAVRIL24!$A$6:$AU$38,26,0)</f>
        <v>0</v>
      </c>
      <c r="T20" s="36">
        <f>VLOOKUP($A20,[24]HISTOAVRIL24!$A$6:$BG$38,58,0)</f>
        <v>0</v>
      </c>
      <c r="U20" s="36">
        <f>VLOOKUP($A20,[24]HISTOAVRIL24!$A$6:$AU$38,28,0)</f>
        <v>0</v>
      </c>
      <c r="V20" s="36">
        <f>VLOOKUP($A20,[24]HISTOAVRIL24!$A$6:$AU$38,19,0)</f>
        <v>0</v>
      </c>
      <c r="W20" s="36">
        <f>VLOOKUP($A20,[24]HISTOAVRIL24!$A$6:$AU$38,20,0)</f>
        <v>0</v>
      </c>
      <c r="X20" s="36">
        <f>VLOOKUP($A20,[24]HISTOAVRIL24!$A$6:$AU$38,27,0)</f>
        <v>0</v>
      </c>
      <c r="Y20" s="36">
        <f>VLOOKUP($A20,[24]HISTOAVRIL24!$A$6:$BM$38,33,0)</f>
        <v>0</v>
      </c>
      <c r="Z20" s="36">
        <f>VLOOKUP($A20,[24]HISTOAVRIL24!$A$6:$BM$38,65,0)</f>
        <v>0</v>
      </c>
      <c r="AA20" s="36"/>
      <c r="AB20" s="36">
        <f>VLOOKUP($A20,[24]HISTOAVRIL24!$A$6:$AU$38,43,0)</f>
        <v>0</v>
      </c>
      <c r="AC20" s="36">
        <f>VLOOKUP($A20,[24]HISTOAVRIL24!$A$6:$AU$38,44,0)</f>
        <v>0</v>
      </c>
      <c r="AD20" s="36">
        <f>VLOOKUP($A20,[24]HISTOAVRIL24!$A$6:$AU$38,47,0)</f>
        <v>0</v>
      </c>
      <c r="AE20" s="36">
        <f>VLOOKUP(A20,[24]HISTOAVRIL24!$A$6:$BB$38,54,0)</f>
        <v>0</v>
      </c>
      <c r="AF20" s="36">
        <f>VLOOKUP($A20,[24]HISTOAVRIL24!$A$6:$CA$38,60,0)</f>
        <v>0</v>
      </c>
      <c r="AG20" s="36">
        <f>VLOOKUP($A20,[24]HISTOAVRIL24!$A$6:$CA$38,61,0)</f>
        <v>0</v>
      </c>
      <c r="AH20" s="36">
        <f>VLOOKUP($A20,[24]HISTOAVRIL24!$A$6:$CA$38,62,0)</f>
        <v>0</v>
      </c>
      <c r="AI20" s="36">
        <f>VLOOKUP($A20,[24]HISTOAVRIL24!$A$6:$CA$38,63,0)</f>
        <v>0</v>
      </c>
      <c r="AJ20" s="36">
        <f>VLOOKUP($A20,[24]HISTOAVRIL24!$A$6:$CA$38,64,0)</f>
        <v>0</v>
      </c>
      <c r="AK20" s="36">
        <f>VLOOKUP($A20,[24]HISTOAVRIL24!$A$6:$CA$38,65,0)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MVTMARS24!I21-E21+L21</f>
        <v>856355.80062958295</v>
      </c>
      <c r="G21" s="5">
        <f>IF(MVTMARS24!I21+L21&gt;700000,(MVTMARS24!I21-E21+L21),0)</f>
        <v>856355.80062958295</v>
      </c>
      <c r="H21" s="36">
        <f t="shared" si="0"/>
        <v>0</v>
      </c>
      <c r="I21" s="6">
        <f t="shared" si="2"/>
        <v>856355.80062958295</v>
      </c>
      <c r="J21" s="36">
        <f>VLOOKUP($A21,[24]HISTOAVRIL24!$A$6:$AQ$42,22,0)</f>
        <v>0</v>
      </c>
      <c r="K21" s="36">
        <f>VLOOKUP($A21,[24]HISTOAVRIL24!$A$6:$AU$38,45,0)</f>
        <v>24000</v>
      </c>
      <c r="L21" s="36">
        <f t="shared" si="3"/>
        <v>18000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VLOOKUP($A21,[24]HISTOAVRIL24!$A$6:$AU$38,7,0)</f>
        <v>0</v>
      </c>
      <c r="Q21" s="36">
        <f>VLOOKUP($A21,[24]HISTOAVRIL24!$A$6:$AU$38,23,0)</f>
        <v>0</v>
      </c>
      <c r="R21" s="36">
        <f>VLOOKUP($A21,[24]HISTOAVRIL24!$A$6:$AU$38,46,0)</f>
        <v>0</v>
      </c>
      <c r="S21" s="36">
        <f>VLOOKUP($A21,[24]HISTOAVRIL24!$A$6:$AU$38,26,0)</f>
        <v>0</v>
      </c>
      <c r="T21" s="36">
        <f>VLOOKUP($A21,[24]HISTOAVRIL24!$A$6:$BG$38,58,0)</f>
        <v>0</v>
      </c>
      <c r="U21" s="36">
        <f>VLOOKUP($A21,[24]HISTOAVRIL24!$A$6:$AU$38,28,0)</f>
        <v>0</v>
      </c>
      <c r="V21" s="36">
        <f>VLOOKUP($A21,[24]HISTOAVRIL24!$A$6:$AU$38,19,0)</f>
        <v>0</v>
      </c>
      <c r="W21" s="36">
        <f>VLOOKUP($A21,[24]HISTOAVRIL24!$A$6:$AU$38,20,0)</f>
        <v>0</v>
      </c>
      <c r="X21" s="36">
        <f>VLOOKUP($A21,[24]HISTOAVRIL24!$A$6:$AU$38,27,0)</f>
        <v>0</v>
      </c>
      <c r="Y21" s="36">
        <f>VLOOKUP($A21,[24]HISTOAVRIL24!$A$6:$BM$38,33,0)</f>
        <v>0</v>
      </c>
      <c r="Z21" s="36">
        <f>VLOOKUP($A21,[24]HISTOAVRIL24!$A$6:$BM$38,65,0)</f>
        <v>0</v>
      </c>
      <c r="AA21" s="36"/>
      <c r="AB21" s="36">
        <f>VLOOKUP($A21,[24]HISTOAVRIL24!$A$6:$AU$38,43,0)</f>
        <v>0</v>
      </c>
      <c r="AC21" s="36">
        <f>VLOOKUP($A21,[24]HISTOAVRIL24!$A$6:$AU$38,44,0)</f>
        <v>0</v>
      </c>
      <c r="AD21" s="36">
        <f>VLOOKUP($A21,[24]HISTOAVRIL24!$A$6:$AU$38,47,0)</f>
        <v>0</v>
      </c>
      <c r="AE21" s="36">
        <f>VLOOKUP(A21,[24]HISTOAVRIL24!$A$6:$BB$38,54,0)</f>
        <v>0</v>
      </c>
      <c r="AF21" s="36">
        <f>VLOOKUP($A21,[24]HISTOAVRIL24!$A$6:$CA$38,60,0)</f>
        <v>0</v>
      </c>
      <c r="AG21" s="36">
        <f>VLOOKUP($A21,[24]HISTOAVRIL24!$A$6:$CA$38,61,0)</f>
        <v>0</v>
      </c>
      <c r="AH21" s="36">
        <f>VLOOKUP($A21,[24]HISTOAVRIL24!$A$6:$CA$38,62,0)</f>
        <v>0</v>
      </c>
      <c r="AI21" s="36">
        <f>VLOOKUP($A21,[24]HISTOAVRIL24!$A$6:$CA$38,63,0)</f>
        <v>0</v>
      </c>
      <c r="AJ21" s="36">
        <f>VLOOKUP($A21,[24]HISTOAVRIL24!$A$6:$CA$38,64,0)</f>
        <v>0</v>
      </c>
      <c r="AK21" s="36">
        <f>VLOOKUP($A21,[24]HISTOAVRIL24!$A$6:$CA$38,65,0)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MVTMARS24!I22-E22+L22</f>
        <v>824738.95952735876</v>
      </c>
      <c r="G22" s="5">
        <f>IF(MVTMARS24!I22+L22&gt;700000,(MVTMARS24!I22-E22+L22),0)</f>
        <v>824738.95952735876</v>
      </c>
      <c r="H22" s="36">
        <f t="shared" si="0"/>
        <v>0</v>
      </c>
      <c r="I22" s="6">
        <f t="shared" si="2"/>
        <v>824738.95952735876</v>
      </c>
      <c r="J22" s="36">
        <f>VLOOKUP($A22,[24]HISTOAVRIL24!$A$6:$AQ$42,22,0)</f>
        <v>0</v>
      </c>
      <c r="K22" s="36">
        <f>VLOOKUP($A22,[24]HISTOAVRIL24!$A$6:$AU$38,45,0)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VLOOKUP($A22,[24]HISTOAVRIL24!$A$6:$AU$38,7,0)</f>
        <v>0</v>
      </c>
      <c r="Q22" s="36">
        <f>VLOOKUP($A22,[24]HISTOAVRIL24!$A$6:$AU$38,23,0)</f>
        <v>0</v>
      </c>
      <c r="R22" s="36">
        <f>VLOOKUP($A22,[24]HISTOAVRIL24!$A$6:$AU$38,46,0)</f>
        <v>0</v>
      </c>
      <c r="S22" s="36">
        <f>VLOOKUP($A22,[24]HISTOAVRIL24!$A$6:$AU$38,26,0)</f>
        <v>0</v>
      </c>
      <c r="T22" s="36">
        <f>VLOOKUP($A22,[24]HISTOAVRIL24!$A$6:$BG$38,58,0)</f>
        <v>0</v>
      </c>
      <c r="U22" s="36">
        <f>VLOOKUP($A22,[24]HISTOAVRIL24!$A$6:$AU$38,28,0)</f>
        <v>0</v>
      </c>
      <c r="V22" s="36">
        <f>VLOOKUP($A22,[24]HISTOAVRIL24!$A$6:$AU$38,19,0)</f>
        <v>0</v>
      </c>
      <c r="W22" s="36">
        <f>VLOOKUP($A22,[24]HISTOAVRIL24!$A$6:$AU$38,20,0)</f>
        <v>0</v>
      </c>
      <c r="X22" s="36">
        <f>VLOOKUP($A22,[24]HISTOAVRIL24!$A$6:$AU$38,27,0)</f>
        <v>0</v>
      </c>
      <c r="Y22" s="36">
        <f>VLOOKUP($A22,[24]HISTOAVRIL24!$A$6:$BM$38,33,0)</f>
        <v>0</v>
      </c>
      <c r="Z22" s="36">
        <f>VLOOKUP($A22,[24]HISTOAVRIL24!$A$6:$BM$38,65,0)</f>
        <v>0</v>
      </c>
      <c r="AA22" s="36"/>
      <c r="AB22" s="36">
        <f>VLOOKUP($A22,[24]HISTOAVRIL24!$A$6:$AU$38,43,0)</f>
        <v>0</v>
      </c>
      <c r="AC22" s="36">
        <f>VLOOKUP($A22,[24]HISTOAVRIL24!$A$6:$AU$38,44,0)</f>
        <v>0</v>
      </c>
      <c r="AD22" s="36">
        <f>VLOOKUP($A22,[24]HISTOAVRIL24!$A$6:$AU$38,47,0)</f>
        <v>0</v>
      </c>
      <c r="AE22" s="36">
        <f>VLOOKUP(A22,[24]HISTOAVRIL24!$A$6:$BB$38,54,0)</f>
        <v>0</v>
      </c>
      <c r="AF22" s="36">
        <f>VLOOKUP($A22,[24]HISTOAVRIL24!$A$6:$CA$38,60,0)</f>
        <v>0</v>
      </c>
      <c r="AG22" s="36">
        <f>VLOOKUP($A22,[24]HISTOAVRIL24!$A$6:$CA$38,61,0)</f>
        <v>0</v>
      </c>
      <c r="AH22" s="36">
        <f>VLOOKUP($A22,[24]HISTOAVRIL24!$A$6:$CA$38,62,0)</f>
        <v>0</v>
      </c>
      <c r="AI22" s="36">
        <f>VLOOKUP($A22,[24]HISTOAVRIL24!$A$6:$CA$38,63,0)</f>
        <v>0</v>
      </c>
      <c r="AJ22" s="36">
        <f>VLOOKUP($A22,[24]HISTOAVRIL24!$A$6:$CA$38,64,0)</f>
        <v>0</v>
      </c>
      <c r="AK22" s="36">
        <f>VLOOKUP($A22,[24]HISTOAVRIL24!$A$6:$CA$38,65,0)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MVTMARS24!I23-E23+L23</f>
        <v>930674.32467319479</v>
      </c>
      <c r="G23" s="5">
        <f>IF(MVTMARS24!I23+L23&gt;700000,(MVTMARS24!I23-E23+L23),0)</f>
        <v>930674.32467319479</v>
      </c>
      <c r="H23" s="36">
        <f t="shared" si="0"/>
        <v>0</v>
      </c>
      <c r="I23" s="6">
        <f t="shared" si="2"/>
        <v>930674.32467319479</v>
      </c>
      <c r="J23" s="36">
        <f>VLOOKUP($A23,[24]HISTOAVRIL24!$A$6:$AQ$42,22,0)</f>
        <v>0</v>
      </c>
      <c r="K23" s="36">
        <f>VLOOKUP($A23,[24]HISTOAVRIL24!$A$6:$AU$38,45,0)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VLOOKUP($A23,[24]HISTOAVRIL24!$A$6:$AU$38,7,0)</f>
        <v>0</v>
      </c>
      <c r="Q23" s="36">
        <f>VLOOKUP($A23,[24]HISTOAVRIL24!$A$6:$AU$38,23,0)</f>
        <v>0</v>
      </c>
      <c r="R23" s="36">
        <f>VLOOKUP($A23,[24]HISTOAVRIL24!$A$6:$AU$38,46,0)</f>
        <v>0</v>
      </c>
      <c r="S23" s="36">
        <f>VLOOKUP($A23,[24]HISTOAVRIL24!$A$6:$AU$38,26,0)</f>
        <v>0</v>
      </c>
      <c r="T23" s="36">
        <f>VLOOKUP($A23,[24]HISTOAVRIL24!$A$6:$BG$38,58,0)</f>
        <v>0</v>
      </c>
      <c r="U23" s="36">
        <f>VLOOKUP($A23,[24]HISTOAVRIL24!$A$6:$AU$38,28,0)</f>
        <v>0</v>
      </c>
      <c r="V23" s="36">
        <f>VLOOKUP($A23,[24]HISTOAVRIL24!$A$6:$AU$38,19,0)</f>
        <v>0</v>
      </c>
      <c r="W23" s="36">
        <f>VLOOKUP($A23,[24]HISTOAVRIL24!$A$6:$AU$38,20,0)</f>
        <v>0</v>
      </c>
      <c r="X23" s="36">
        <f>VLOOKUP($A23,[24]HISTOAVRIL24!$A$6:$AU$38,27,0)</f>
        <v>0</v>
      </c>
      <c r="Y23" s="36">
        <f>VLOOKUP($A23,[24]HISTOAVRIL24!$A$6:$BM$38,33,0)</f>
        <v>0</v>
      </c>
      <c r="Z23" s="36">
        <f>VLOOKUP($A23,[24]HISTOAVRIL24!$A$6:$BM$38,65,0)</f>
        <v>0</v>
      </c>
      <c r="AA23" s="36"/>
      <c r="AB23" s="36">
        <f>VLOOKUP($A23,[24]HISTOAVRIL24!$A$6:$AU$38,43,0)</f>
        <v>0</v>
      </c>
      <c r="AC23" s="36">
        <f>VLOOKUP($A23,[24]HISTOAVRIL24!$A$6:$AU$38,44,0)</f>
        <v>0</v>
      </c>
      <c r="AD23" s="36">
        <f>VLOOKUP($A23,[24]HISTOAVRIL24!$A$6:$AU$38,47,0)</f>
        <v>0</v>
      </c>
      <c r="AE23" s="36">
        <f>VLOOKUP(A23,[24]HISTOAVRIL24!$A$6:$BB$38,54,0)</f>
        <v>0</v>
      </c>
      <c r="AF23" s="36">
        <f>VLOOKUP($A23,[24]HISTOAVRIL24!$A$6:$CA$38,60,0)</f>
        <v>0</v>
      </c>
      <c r="AG23" s="36">
        <f>VLOOKUP($A23,[24]HISTOAVRIL24!$A$6:$CA$38,61,0)</f>
        <v>0</v>
      </c>
      <c r="AH23" s="36">
        <f>VLOOKUP($A23,[24]HISTOAVRIL24!$A$6:$CA$38,62,0)</f>
        <v>0</v>
      </c>
      <c r="AI23" s="36">
        <f>VLOOKUP($A23,[24]HISTOAVRIL24!$A$6:$CA$38,63,0)</f>
        <v>0</v>
      </c>
      <c r="AJ23" s="36">
        <f>VLOOKUP($A23,[24]HISTOAVRIL24!$A$6:$CA$38,64,0)</f>
        <v>0</v>
      </c>
      <c r="AK23" s="36">
        <f>VLOOKUP($A23,[24]HISTOAVRIL24!$A$6:$CA$38,65,0)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MVTMARS24!I24-E24+L24</f>
        <v>1103827.8441992993</v>
      </c>
      <c r="G24" s="5">
        <f>IF(MVTMARS24!I24+L24&gt;700000,(MVTMARS24!I24-E24+L24),0)</f>
        <v>1103827.8441992993</v>
      </c>
      <c r="H24" s="36">
        <f t="shared" si="0"/>
        <v>0</v>
      </c>
      <c r="I24" s="6">
        <f t="shared" si="2"/>
        <v>1103827.8441992993</v>
      </c>
      <c r="J24" s="36">
        <f>VLOOKUP($A24,[24]HISTOAVRIL24!$A$6:$AQ$42,22,0)</f>
        <v>0</v>
      </c>
      <c r="K24" s="36">
        <f>VLOOKUP($A24,[24]HISTOAVRIL24!$A$6:$AU$38,45,0)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VLOOKUP($A24,[24]HISTOAVRIL24!$A$6:$AU$38,7,0)</f>
        <v>0</v>
      </c>
      <c r="Q24" s="36">
        <f>VLOOKUP($A24,[24]HISTOAVRIL24!$A$6:$AU$38,23,0)</f>
        <v>0</v>
      </c>
      <c r="R24" s="36">
        <f>VLOOKUP($A24,[24]HISTOAVRIL24!$A$6:$AU$38,46,0)</f>
        <v>0</v>
      </c>
      <c r="S24" s="36">
        <f>VLOOKUP($A24,[24]HISTOAVRIL24!$A$6:$AU$38,26,0)</f>
        <v>0</v>
      </c>
      <c r="T24" s="36">
        <f>VLOOKUP($A24,[24]HISTOAVRIL24!$A$6:$BG$38,58,0)</f>
        <v>0</v>
      </c>
      <c r="U24" s="36">
        <f>VLOOKUP($A24,[24]HISTOAVRIL24!$A$6:$AU$38,28,0)</f>
        <v>0</v>
      </c>
      <c r="V24" s="36">
        <f>VLOOKUP($A24,[24]HISTOAVRIL24!$A$6:$AU$38,19,0)</f>
        <v>0</v>
      </c>
      <c r="W24" s="36">
        <f>VLOOKUP($A24,[24]HISTOAVRIL24!$A$6:$AU$38,20,0)</f>
        <v>0</v>
      </c>
      <c r="X24" s="36">
        <f>VLOOKUP($A24,[24]HISTOAVRIL24!$A$6:$AU$38,27,0)</f>
        <v>0</v>
      </c>
      <c r="Y24" s="36">
        <f>VLOOKUP($A24,[24]HISTOAVRIL24!$A$6:$BM$38,33,0)</f>
        <v>0</v>
      </c>
      <c r="Z24" s="36">
        <f>VLOOKUP($A24,[24]HISTOAVRIL24!$A$6:$BM$38,65,0)</f>
        <v>0</v>
      </c>
      <c r="AA24" s="36"/>
      <c r="AB24" s="36">
        <f>VLOOKUP($A24,[24]HISTOAVRIL24!$A$6:$AU$38,43,0)</f>
        <v>0</v>
      </c>
      <c r="AC24" s="36">
        <f>VLOOKUP($A24,[24]HISTOAVRIL24!$A$6:$AU$38,44,0)</f>
        <v>0</v>
      </c>
      <c r="AD24" s="36">
        <f>VLOOKUP($A24,[24]HISTOAVRIL24!$A$6:$AU$38,47,0)</f>
        <v>0</v>
      </c>
      <c r="AE24" s="36">
        <f>VLOOKUP(A24,[24]HISTOAVRIL24!$A$6:$BB$38,54,0)</f>
        <v>0</v>
      </c>
      <c r="AF24" s="36">
        <f>VLOOKUP($A24,[24]HISTOAVRIL24!$A$6:$CA$38,60,0)</f>
        <v>0</v>
      </c>
      <c r="AG24" s="36">
        <f>VLOOKUP($A24,[24]HISTOAVRIL24!$A$6:$CA$38,61,0)</f>
        <v>0</v>
      </c>
      <c r="AH24" s="36">
        <f>VLOOKUP($A24,[24]HISTOAVRIL24!$A$6:$CA$38,62,0)</f>
        <v>0</v>
      </c>
      <c r="AI24" s="36">
        <f>VLOOKUP($A24,[24]HISTOAVRIL24!$A$6:$CA$38,63,0)</f>
        <v>0</v>
      </c>
      <c r="AJ24" s="36">
        <f>VLOOKUP($A24,[24]HISTOAVRIL24!$A$6:$CA$38,64,0)</f>
        <v>0</v>
      </c>
      <c r="AK24" s="36">
        <f>VLOOKUP($A24,[24]HISTOAVRIL24!$A$6:$CA$38,65,0)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MVTMARS24!I25-E25+L25</f>
        <v>915141.79504321574</v>
      </c>
      <c r="G25" s="5">
        <f>IF(MVTMARS24!I25+L25&gt;700000,(MVTMARS24!I25-E25+L25),0)</f>
        <v>915141.79504321574</v>
      </c>
      <c r="H25" s="36">
        <f t="shared" si="0"/>
        <v>0</v>
      </c>
      <c r="I25" s="6">
        <f t="shared" si="2"/>
        <v>915141.79504321574</v>
      </c>
      <c r="J25" s="36">
        <f>VLOOKUP($A25,[24]HISTOAVRIL24!$A$6:$AQ$42,22,0)</f>
        <v>0</v>
      </c>
      <c r="K25" s="36">
        <f>VLOOKUP($A25,[24]HISTOAVRIL24!$A$6:$AU$38,45,0)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VLOOKUP($A25,[24]HISTOAVRIL24!$A$6:$AU$38,7,0)</f>
        <v>3000</v>
      </c>
      <c r="Q25" s="36">
        <f>VLOOKUP($A25,[24]HISTOAVRIL24!$A$6:$AU$38,23,0)</f>
        <v>0</v>
      </c>
      <c r="R25" s="36">
        <f>VLOOKUP($A25,[24]HISTOAVRIL24!$A$6:$AU$38,46,0)</f>
        <v>0</v>
      </c>
      <c r="S25" s="36">
        <f>VLOOKUP($A25,[24]HISTOAVRIL24!$A$6:$AU$38,26,0)</f>
        <v>0</v>
      </c>
      <c r="T25" s="36">
        <f>VLOOKUP($A25,[24]HISTOAVRIL24!$A$6:$BG$38,58,0)</f>
        <v>0</v>
      </c>
      <c r="U25" s="36">
        <f>VLOOKUP($A25,[24]HISTOAVRIL24!$A$6:$AU$38,28,0)</f>
        <v>0</v>
      </c>
      <c r="V25" s="36">
        <f>VLOOKUP($A25,[24]HISTOAVRIL24!$A$6:$AU$38,19,0)</f>
        <v>0</v>
      </c>
      <c r="W25" s="36">
        <f>VLOOKUP($A25,[24]HISTOAVRIL24!$A$6:$AU$38,20,0)</f>
        <v>0</v>
      </c>
      <c r="X25" s="36">
        <f>VLOOKUP($A25,[24]HISTOAVRIL24!$A$6:$AU$38,27,0)</f>
        <v>0</v>
      </c>
      <c r="Y25" s="36">
        <f>VLOOKUP($A25,[24]HISTOAVRIL24!$A$6:$BM$38,33,0)</f>
        <v>0</v>
      </c>
      <c r="Z25" s="36">
        <f>VLOOKUP($A25,[24]HISTOAVRIL24!$A$6:$BM$38,65,0)</f>
        <v>0</v>
      </c>
      <c r="AA25" s="36"/>
      <c r="AB25" s="36">
        <f>VLOOKUP($A25,[24]HISTOAVRIL24!$A$6:$AU$38,43,0)</f>
        <v>0</v>
      </c>
      <c r="AC25" s="36">
        <f>VLOOKUP($A25,[24]HISTOAVRIL24!$A$6:$AU$38,44,0)</f>
        <v>0</v>
      </c>
      <c r="AD25" s="36">
        <f>VLOOKUP($A25,[24]HISTOAVRIL24!$A$6:$AU$38,47,0)</f>
        <v>0</v>
      </c>
      <c r="AE25" s="36">
        <f>VLOOKUP(A25,[24]HISTOAVRIL24!$A$6:$BB$38,54,0)</f>
        <v>0</v>
      </c>
      <c r="AF25" s="36">
        <f>VLOOKUP($A25,[24]HISTOAVRIL24!$A$6:$CA$38,60,0)</f>
        <v>0</v>
      </c>
      <c r="AG25" s="36">
        <f>VLOOKUP($A25,[24]HISTOAVRIL24!$A$6:$CA$38,61,0)</f>
        <v>0</v>
      </c>
      <c r="AH25" s="36">
        <f>VLOOKUP($A25,[24]HISTOAVRIL24!$A$6:$CA$38,62,0)</f>
        <v>0</v>
      </c>
      <c r="AI25" s="36">
        <f>VLOOKUP($A25,[24]HISTOAVRIL24!$A$6:$CA$38,63,0)</f>
        <v>0</v>
      </c>
      <c r="AJ25" s="36">
        <f>VLOOKUP($A25,[24]HISTOAVRIL24!$A$6:$CA$38,64,0)</f>
        <v>0</v>
      </c>
      <c r="AK25" s="36">
        <f>VLOOKUP($A25,[24]HISTOAVRIL24!$A$6:$CA$38,65,0)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MVTMARS24!I26-E26+L26</f>
        <v>843266.46813543816</v>
      </c>
      <c r="G26" s="5">
        <f>IF(MVTMARS24!I26+L26&gt;700000,(MVTMARS24!I26-E26+L26),0)</f>
        <v>843266.46813543816</v>
      </c>
      <c r="H26" s="36">
        <f t="shared" si="0"/>
        <v>0</v>
      </c>
      <c r="I26" s="6">
        <f t="shared" si="2"/>
        <v>843266.46813543816</v>
      </c>
      <c r="J26" s="36">
        <f>VLOOKUP($A26,[24]HISTOAVRIL24!$A$6:$AQ$42,22,0)</f>
        <v>0</v>
      </c>
      <c r="K26" s="36">
        <f>VLOOKUP($A26,[24]HISTOAVRIL24!$A$6:$AU$38,45,0)</f>
        <v>23000</v>
      </c>
      <c r="L26" s="36">
        <f t="shared" si="3"/>
        <v>17000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VLOOKUP($A26,[24]HISTOAVRIL24!$A$6:$AU$38,7,0)</f>
        <v>0</v>
      </c>
      <c r="Q26" s="36">
        <f>VLOOKUP($A26,[24]HISTOAVRIL24!$A$6:$AU$38,23,0)</f>
        <v>0</v>
      </c>
      <c r="R26" s="36">
        <f>VLOOKUP($A26,[24]HISTOAVRIL24!$A$6:$AU$38,46,0)</f>
        <v>0</v>
      </c>
      <c r="S26" s="36">
        <f>VLOOKUP($A26,[24]HISTOAVRIL24!$A$6:$AU$38,26,0)</f>
        <v>0</v>
      </c>
      <c r="T26" s="36">
        <f>VLOOKUP($A26,[24]HISTOAVRIL24!$A$6:$BG$38,58,0)</f>
        <v>0</v>
      </c>
      <c r="U26" s="36">
        <f>VLOOKUP($A26,[24]HISTOAVRIL24!$A$6:$AU$38,28,0)</f>
        <v>0</v>
      </c>
      <c r="V26" s="36">
        <f>VLOOKUP($A26,[24]HISTOAVRIL24!$A$6:$AU$38,19,0)</f>
        <v>0</v>
      </c>
      <c r="W26" s="36">
        <f>VLOOKUP($A26,[24]HISTOAVRIL24!$A$6:$AU$38,20,0)</f>
        <v>0</v>
      </c>
      <c r="X26" s="36">
        <f>VLOOKUP($A26,[24]HISTOAVRIL24!$A$6:$AU$38,27,0)</f>
        <v>0</v>
      </c>
      <c r="Y26" s="36">
        <f>VLOOKUP($A26,[24]HISTOAVRIL24!$A$6:$BM$38,33,0)</f>
        <v>0</v>
      </c>
      <c r="Z26" s="36">
        <f>VLOOKUP($A26,[24]HISTOAVRIL24!$A$6:$BM$38,65,0)</f>
        <v>0</v>
      </c>
      <c r="AA26" s="36"/>
      <c r="AB26" s="36">
        <f>VLOOKUP($A26,[24]HISTOAVRIL24!$A$6:$AU$38,43,0)</f>
        <v>0</v>
      </c>
      <c r="AC26" s="36">
        <f>VLOOKUP($A26,[24]HISTOAVRIL24!$A$6:$AU$38,44,0)</f>
        <v>0</v>
      </c>
      <c r="AD26" s="36">
        <f>VLOOKUP($A26,[24]HISTOAVRIL24!$A$6:$AU$38,47,0)</f>
        <v>0</v>
      </c>
      <c r="AE26" s="36">
        <f>VLOOKUP(A26,[24]HISTOAVRIL24!$A$6:$BB$38,54,0)</f>
        <v>0</v>
      </c>
      <c r="AF26" s="36">
        <f>VLOOKUP($A26,[24]HISTOAVRIL24!$A$6:$CA$38,60,0)</f>
        <v>0</v>
      </c>
      <c r="AG26" s="36">
        <f>VLOOKUP($A26,[24]HISTOAVRIL24!$A$6:$CA$38,61,0)</f>
        <v>0</v>
      </c>
      <c r="AH26" s="36">
        <f>VLOOKUP($A26,[24]HISTOAVRIL24!$A$6:$CA$38,62,0)</f>
        <v>0</v>
      </c>
      <c r="AI26" s="36">
        <f>VLOOKUP($A26,[24]HISTOAVRIL24!$A$6:$CA$38,63,0)</f>
        <v>0</v>
      </c>
      <c r="AJ26" s="36">
        <f>VLOOKUP($A26,[24]HISTOAVRIL24!$A$6:$CA$38,64,0)</f>
        <v>0</v>
      </c>
      <c r="AK26" s="36">
        <f>VLOOKUP($A26,[24]HISTOAVRIL24!$A$6:$CA$38,65,0)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MVTMARS24!I27-E27+L27</f>
        <v>843824.17371512204</v>
      </c>
      <c r="G27" s="5">
        <f>IF(MVTMARS24!I27+L27&gt;700000,(MVTMARS24!I27-E27+L27),0)</f>
        <v>843824.17371512204</v>
      </c>
      <c r="H27" s="36">
        <f t="shared" si="0"/>
        <v>0</v>
      </c>
      <c r="I27" s="6">
        <f t="shared" si="2"/>
        <v>843824.17371512204</v>
      </c>
      <c r="J27" s="36">
        <f>VLOOKUP($A27,[24]HISTOAVRIL24!$A$6:$AQ$42,22,0)</f>
        <v>0</v>
      </c>
      <c r="K27" s="36">
        <f>VLOOKUP($A27,[24]HISTOAVRIL24!$A$6:$AU$38,45,0)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VLOOKUP($A27,[24]HISTOAVRIL24!$A$6:$AU$38,7,0)</f>
        <v>0</v>
      </c>
      <c r="Q27" s="36">
        <f>VLOOKUP($A27,[24]HISTOAVRIL24!$A$6:$AU$38,23,0)</f>
        <v>0</v>
      </c>
      <c r="R27" s="36">
        <f>VLOOKUP($A27,[24]HISTOAVRIL24!$A$6:$AU$38,46,0)</f>
        <v>0</v>
      </c>
      <c r="S27" s="36">
        <f>VLOOKUP($A27,[24]HISTOAVRIL24!$A$6:$AU$38,26,0)</f>
        <v>0</v>
      </c>
      <c r="T27" s="36">
        <f>VLOOKUP($A27,[24]HISTOAVRIL24!$A$6:$BG$38,58,0)</f>
        <v>0</v>
      </c>
      <c r="U27" s="36">
        <f>VLOOKUP($A27,[24]HISTOAVRIL24!$A$6:$AU$38,28,0)</f>
        <v>0</v>
      </c>
      <c r="V27" s="36">
        <f>VLOOKUP($A27,[24]HISTOAVRIL24!$A$6:$AU$38,19,0)</f>
        <v>0</v>
      </c>
      <c r="W27" s="36">
        <f>VLOOKUP($A27,[24]HISTOAVRIL24!$A$6:$AU$38,20,0)</f>
        <v>0</v>
      </c>
      <c r="X27" s="36">
        <f>VLOOKUP($A27,[24]HISTOAVRIL24!$A$6:$AU$38,27,0)</f>
        <v>0</v>
      </c>
      <c r="Y27" s="36">
        <f>VLOOKUP($A27,[24]HISTOAVRIL24!$A$6:$BM$38,33,0)</f>
        <v>0</v>
      </c>
      <c r="Z27" s="36">
        <f>VLOOKUP($A27,[24]HISTOAVRIL24!$A$6:$BM$38,65,0)</f>
        <v>0</v>
      </c>
      <c r="AA27" s="36"/>
      <c r="AB27" s="36">
        <f>VLOOKUP($A27,[24]HISTOAVRIL24!$A$6:$AU$38,43,0)</f>
        <v>0</v>
      </c>
      <c r="AC27" s="36">
        <f>VLOOKUP($A27,[24]HISTOAVRIL24!$A$6:$AU$38,44,0)</f>
        <v>0</v>
      </c>
      <c r="AD27" s="36">
        <f>VLOOKUP($A27,[24]HISTOAVRIL24!$A$6:$AU$38,47,0)</f>
        <v>0</v>
      </c>
      <c r="AE27" s="36">
        <f>VLOOKUP(A27,[24]HISTOAVRIL24!$A$6:$BB$38,54,0)</f>
        <v>0</v>
      </c>
      <c r="AF27" s="36">
        <f>VLOOKUP($A27,[24]HISTOAVRIL24!$A$6:$CA$38,60,0)</f>
        <v>0</v>
      </c>
      <c r="AG27" s="36">
        <f>VLOOKUP($A27,[24]HISTOAVRIL24!$A$6:$CA$38,61,0)</f>
        <v>0</v>
      </c>
      <c r="AH27" s="36">
        <f>VLOOKUP($A27,[24]HISTOAVRIL24!$A$6:$CA$38,62,0)</f>
        <v>0</v>
      </c>
      <c r="AI27" s="36">
        <f>VLOOKUP($A27,[24]HISTOAVRIL24!$A$6:$CA$38,63,0)</f>
        <v>0</v>
      </c>
      <c r="AJ27" s="36">
        <f>VLOOKUP($A27,[24]HISTOAVRIL24!$A$6:$CA$38,64,0)</f>
        <v>0</v>
      </c>
      <c r="AK27" s="36">
        <f>VLOOKUP($A27,[24]HISTOAVRIL24!$A$6:$CA$38,65,0)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MVTMARS24!I28-E28+L28</f>
        <v>745176.12513194664</v>
      </c>
      <c r="G28" s="5">
        <f>IF(MVTMARS24!I28+L28&gt;700000,(MVTMARS24!I28-E28+L28),0)</f>
        <v>745176.12513194664</v>
      </c>
      <c r="H28" s="36">
        <f t="shared" si="0"/>
        <v>0</v>
      </c>
      <c r="I28" s="6">
        <f t="shared" si="2"/>
        <v>745176.12513194664</v>
      </c>
      <c r="J28" s="36">
        <f>VLOOKUP($A28,[24]HISTOAVRIL24!$A$6:$AQ$42,22,0)</f>
        <v>0</v>
      </c>
      <c r="K28" s="36">
        <f>VLOOKUP($A28,[24]HISTOAVRIL24!$A$6:$AU$38,45,0)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VLOOKUP($A28,[24]HISTOAVRIL24!$A$6:$AU$38,7,0)</f>
        <v>0</v>
      </c>
      <c r="Q28" s="36">
        <f>VLOOKUP($A28,[24]HISTOAVRIL24!$A$6:$AU$38,23,0)</f>
        <v>0</v>
      </c>
      <c r="R28" s="36">
        <f>VLOOKUP($A28,[24]HISTOAVRIL24!$A$6:$AU$38,46,0)</f>
        <v>0</v>
      </c>
      <c r="S28" s="36">
        <f>VLOOKUP($A28,[24]HISTOAVRIL24!$A$6:$AU$38,26,0)</f>
        <v>0</v>
      </c>
      <c r="T28" s="36">
        <f>VLOOKUP($A28,[24]HISTOAVRIL24!$A$6:$BG$38,58,0)</f>
        <v>0</v>
      </c>
      <c r="U28" s="36">
        <f>VLOOKUP($A28,[24]HISTOAVRIL24!$A$6:$AU$38,28,0)</f>
        <v>0</v>
      </c>
      <c r="V28" s="36">
        <f>VLOOKUP($A28,[24]HISTOAVRIL24!$A$6:$AU$38,19,0)</f>
        <v>0</v>
      </c>
      <c r="W28" s="36">
        <f>VLOOKUP($A28,[24]HISTOAVRIL24!$A$6:$AU$38,20,0)</f>
        <v>0</v>
      </c>
      <c r="X28" s="36">
        <f>VLOOKUP($A28,[24]HISTOAVRIL24!$A$6:$AU$38,27,0)</f>
        <v>0</v>
      </c>
      <c r="Y28" s="36">
        <f>VLOOKUP($A28,[24]HISTOAVRIL24!$A$6:$BM$38,33,0)</f>
        <v>0</v>
      </c>
      <c r="Z28" s="36">
        <f>VLOOKUP($A28,[24]HISTOAVRIL24!$A$6:$BM$38,65,0)</f>
        <v>0</v>
      </c>
      <c r="AA28" s="36"/>
      <c r="AB28" s="36">
        <f>VLOOKUP($A28,[24]HISTOAVRIL24!$A$6:$AU$38,43,0)</f>
        <v>0</v>
      </c>
      <c r="AC28" s="36">
        <f>VLOOKUP($A28,[24]HISTOAVRIL24!$A$6:$AU$38,44,0)</f>
        <v>0</v>
      </c>
      <c r="AD28" s="36">
        <f>VLOOKUP($A28,[24]HISTOAVRIL24!$A$6:$AU$38,47,0)</f>
        <v>0</v>
      </c>
      <c r="AE28" s="36">
        <f>VLOOKUP(A28,[24]HISTOAVRIL24!$A$6:$BB$38,54,0)</f>
        <v>0</v>
      </c>
      <c r="AF28" s="36">
        <f>VLOOKUP($A28,[24]HISTOAVRIL24!$A$6:$CA$38,60,0)</f>
        <v>0</v>
      </c>
      <c r="AG28" s="36">
        <f>VLOOKUP($A28,[24]HISTOAVRIL24!$A$6:$CA$38,61,0)</f>
        <v>0</v>
      </c>
      <c r="AH28" s="36">
        <f>VLOOKUP($A28,[24]HISTOAVRIL24!$A$6:$CA$38,62,0)</f>
        <v>0</v>
      </c>
      <c r="AI28" s="36">
        <f>VLOOKUP($A28,[24]HISTOAVRIL24!$A$6:$CA$38,63,0)</f>
        <v>0</v>
      </c>
      <c r="AJ28" s="36">
        <f>VLOOKUP($A28,[24]HISTOAVRIL24!$A$6:$CA$38,64,0)</f>
        <v>0</v>
      </c>
      <c r="AK28" s="36">
        <f>VLOOKUP($A28,[24]HISTOAVRIL24!$A$6:$CA$38,65,0)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MVTMARS24!I29-E29+L29</f>
        <v>870151.34423741512</v>
      </c>
      <c r="G29" s="5">
        <f>IF(MVTMARS24!I29+L29&gt;700000,(MVTMARS24!I29-E29+L29),0)</f>
        <v>870151.34423741512</v>
      </c>
      <c r="H29" s="36">
        <f t="shared" si="0"/>
        <v>0</v>
      </c>
      <c r="I29" s="6">
        <f t="shared" si="2"/>
        <v>870151.34423741512</v>
      </c>
      <c r="J29" s="36">
        <f>VLOOKUP($A29,[24]HISTOAVRIL24!$A$6:$AQ$42,22,0)</f>
        <v>0</v>
      </c>
      <c r="K29" s="36">
        <f>VLOOKUP($A29,[24]HISTOAVRIL24!$A$6:$AU$38,45,0)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VLOOKUP($A29,[24]HISTOAVRIL24!$A$6:$AU$38,7,0)</f>
        <v>0</v>
      </c>
      <c r="Q29" s="36">
        <f>VLOOKUP($A29,[24]HISTOAVRIL24!$A$6:$AU$38,23,0)</f>
        <v>0</v>
      </c>
      <c r="R29" s="36">
        <f>VLOOKUP($A29,[24]HISTOAVRIL24!$A$6:$AU$38,46,0)</f>
        <v>0</v>
      </c>
      <c r="S29" s="36">
        <f>VLOOKUP($A29,[24]HISTOAVRIL24!$A$6:$AU$38,26,0)</f>
        <v>0</v>
      </c>
      <c r="T29" s="36">
        <f>VLOOKUP($A29,[24]HISTOAVRIL24!$A$6:$BG$38,58,0)</f>
        <v>0</v>
      </c>
      <c r="U29" s="36">
        <f>VLOOKUP($A29,[24]HISTOAVRIL24!$A$6:$AU$38,28,0)</f>
        <v>0</v>
      </c>
      <c r="V29" s="36">
        <f>VLOOKUP($A29,[24]HISTOAVRIL24!$A$6:$AU$38,19,0)</f>
        <v>0</v>
      </c>
      <c r="W29" s="36">
        <f>VLOOKUP($A29,[24]HISTOAVRIL24!$A$6:$AU$38,20,0)</f>
        <v>0</v>
      </c>
      <c r="X29" s="36">
        <f>VLOOKUP($A29,[24]HISTOAVRIL24!$A$6:$AU$38,27,0)</f>
        <v>0</v>
      </c>
      <c r="Y29" s="36">
        <f>VLOOKUP($A29,[24]HISTOAVRIL24!$A$6:$BM$38,33,0)</f>
        <v>0</v>
      </c>
      <c r="Z29" s="36">
        <f>VLOOKUP($A29,[24]HISTOAVRIL24!$A$6:$BM$38,65,0)</f>
        <v>0</v>
      </c>
      <c r="AA29" s="36"/>
      <c r="AB29" s="36">
        <f>VLOOKUP($A29,[24]HISTOAVRIL24!$A$6:$AU$38,43,0)</f>
        <v>0</v>
      </c>
      <c r="AC29" s="36">
        <f>VLOOKUP($A29,[24]HISTOAVRIL24!$A$6:$AU$38,44,0)</f>
        <v>0</v>
      </c>
      <c r="AD29" s="36">
        <f>VLOOKUP($A29,[24]HISTOAVRIL24!$A$6:$AU$38,47,0)</f>
        <v>0</v>
      </c>
      <c r="AE29" s="36">
        <f>VLOOKUP(A29,[24]HISTOAVRIL24!$A$6:$BB$38,54,0)</f>
        <v>0</v>
      </c>
      <c r="AF29" s="36">
        <f>VLOOKUP($A29,[24]HISTOAVRIL24!$A$6:$CA$38,60,0)</f>
        <v>0</v>
      </c>
      <c r="AG29" s="36">
        <f>VLOOKUP($A29,[24]HISTOAVRIL24!$A$6:$CA$38,61,0)</f>
        <v>0</v>
      </c>
      <c r="AH29" s="36">
        <f>VLOOKUP($A29,[24]HISTOAVRIL24!$A$6:$CA$38,62,0)</f>
        <v>0</v>
      </c>
      <c r="AI29" s="36">
        <f>VLOOKUP($A29,[24]HISTOAVRIL24!$A$6:$CA$38,63,0)</f>
        <v>0</v>
      </c>
      <c r="AJ29" s="36">
        <f>VLOOKUP($A29,[24]HISTOAVRIL24!$A$6:$CA$38,64,0)</f>
        <v>0</v>
      </c>
      <c r="AK29" s="36">
        <f>VLOOKUP($A29,[24]HISTOAVRIL24!$A$6:$CA$38,65,0)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MVTMARS24!I30-E30+L30</f>
        <v>774786.81046782702</v>
      </c>
      <c r="G30" s="5">
        <f>IF(MVTMARS24!I30+L30&gt;700000,(MVTMARS24!I30-E30+L30),0)</f>
        <v>774786.81046782702</v>
      </c>
      <c r="H30" s="36">
        <f t="shared" si="0"/>
        <v>0</v>
      </c>
      <c r="I30" s="6">
        <f t="shared" si="2"/>
        <v>774786.81046782702</v>
      </c>
      <c r="J30" s="36">
        <f>VLOOKUP($A30,[24]HISTOAVRIL24!$A$6:$AQ$42,22,0)</f>
        <v>0</v>
      </c>
      <c r="K30" s="36">
        <f>VLOOKUP($A30,[24]HISTOAVRIL24!$A$6:$AU$38,45,0)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VLOOKUP($A30,[24]HISTOAVRIL24!$A$6:$AU$38,7,0)</f>
        <v>0</v>
      </c>
      <c r="Q30" s="36">
        <f>VLOOKUP($A30,[24]HISTOAVRIL24!$A$6:$AU$38,23,0)</f>
        <v>0</v>
      </c>
      <c r="R30" s="36">
        <f>VLOOKUP($A30,[24]HISTOAVRIL24!$A$6:$AU$38,46,0)</f>
        <v>0</v>
      </c>
      <c r="S30" s="36">
        <f>VLOOKUP($A30,[24]HISTOAVRIL24!$A$6:$AU$38,26,0)</f>
        <v>0</v>
      </c>
      <c r="T30" s="36">
        <f>VLOOKUP($A30,[24]HISTOAVRIL24!$A$6:$BG$38,58,0)</f>
        <v>0</v>
      </c>
      <c r="U30" s="36">
        <f>VLOOKUP($A30,[24]HISTOAVRIL24!$A$6:$AU$38,28,0)</f>
        <v>0</v>
      </c>
      <c r="V30" s="36">
        <f>VLOOKUP($A30,[24]HISTOAVRIL24!$A$6:$AU$38,19,0)</f>
        <v>0</v>
      </c>
      <c r="W30" s="36">
        <f>VLOOKUP($A30,[24]HISTOAVRIL24!$A$6:$AU$38,20,0)</f>
        <v>0</v>
      </c>
      <c r="X30" s="36">
        <f>VLOOKUP($A30,[24]HISTOAVRIL24!$A$6:$AU$38,27,0)</f>
        <v>0</v>
      </c>
      <c r="Y30" s="36">
        <f>VLOOKUP($A30,[24]HISTOAVRIL24!$A$6:$BM$38,33,0)</f>
        <v>0</v>
      </c>
      <c r="Z30" s="36">
        <f>VLOOKUP($A30,[24]HISTOAVRIL24!$A$6:$BM$38,65,0)</f>
        <v>0</v>
      </c>
      <c r="AA30" s="36"/>
      <c r="AB30" s="36">
        <f>VLOOKUP($A30,[24]HISTOAVRIL24!$A$6:$AU$38,43,0)</f>
        <v>0</v>
      </c>
      <c r="AC30" s="36">
        <f>VLOOKUP($A30,[24]HISTOAVRIL24!$A$6:$AU$38,44,0)</f>
        <v>0</v>
      </c>
      <c r="AD30" s="36">
        <f>VLOOKUP($A30,[24]HISTOAVRIL24!$A$6:$AU$38,47,0)</f>
        <v>0</v>
      </c>
      <c r="AE30" s="36">
        <f>VLOOKUP(A30,[24]HISTOAVRIL24!$A$6:$BB$38,54,0)</f>
        <v>0</v>
      </c>
      <c r="AF30" s="36">
        <f>VLOOKUP($A30,[24]HISTOAVRIL24!$A$6:$CA$38,60,0)</f>
        <v>0</v>
      </c>
      <c r="AG30" s="36">
        <f>VLOOKUP($A30,[24]HISTOAVRIL24!$A$6:$CA$38,61,0)</f>
        <v>0</v>
      </c>
      <c r="AH30" s="36">
        <f>VLOOKUP($A30,[24]HISTOAVRIL24!$A$6:$CA$38,62,0)</f>
        <v>0</v>
      </c>
      <c r="AI30" s="36">
        <f>VLOOKUP($A30,[24]HISTOAVRIL24!$A$6:$CA$38,63,0)</f>
        <v>0</v>
      </c>
      <c r="AJ30" s="36">
        <f>VLOOKUP($A30,[24]HISTOAVRIL24!$A$6:$CA$38,64,0)</f>
        <v>0</v>
      </c>
      <c r="AK30" s="36">
        <f>VLOOKUP($A30,[24]HISTOAVRIL24!$A$6:$CA$38,65,0)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MVTMARS24!I31-E31+L31</f>
        <v>934903.03114813485</v>
      </c>
      <c r="G31" s="5">
        <f>IF(MVTMARS24!I31+L31&gt;700000,(MVTMARS24!I31-E31+L31),0)</f>
        <v>934903.03114813485</v>
      </c>
      <c r="H31" s="36">
        <f t="shared" si="0"/>
        <v>0</v>
      </c>
      <c r="I31" s="6">
        <f t="shared" si="2"/>
        <v>934903.03114813485</v>
      </c>
      <c r="J31" s="36">
        <f>VLOOKUP($A31,[24]HISTOAVRIL24!$A$6:$AQ$42,22,0)</f>
        <v>0</v>
      </c>
      <c r="K31" s="36">
        <f>VLOOKUP($A31,[24]HISTOAVRIL24!$A$6:$AU$38,45,0)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VLOOKUP($A31,[24]HISTOAVRIL24!$A$6:$AU$38,7,0)</f>
        <v>0</v>
      </c>
      <c r="Q31" s="36">
        <f>VLOOKUP($A31,[24]HISTOAVRIL24!$A$6:$AU$38,23,0)</f>
        <v>0</v>
      </c>
      <c r="R31" s="36">
        <f>VLOOKUP($A31,[24]HISTOAVRIL24!$A$6:$AU$38,46,0)</f>
        <v>0</v>
      </c>
      <c r="S31" s="36">
        <f>VLOOKUP($A31,[24]HISTOAVRIL24!$A$6:$AU$38,26,0)</f>
        <v>0</v>
      </c>
      <c r="T31" s="36">
        <f>VLOOKUP($A31,[24]HISTOAVRIL24!$A$6:$BG$38,58,0)</f>
        <v>0</v>
      </c>
      <c r="U31" s="36">
        <f>VLOOKUP($A31,[24]HISTOAVRIL24!$A$6:$AU$38,28,0)</f>
        <v>0</v>
      </c>
      <c r="V31" s="36">
        <f>VLOOKUP($A31,[24]HISTOAVRIL24!$A$6:$AU$38,19,0)</f>
        <v>0</v>
      </c>
      <c r="W31" s="36">
        <f>VLOOKUP($A31,[24]HISTOAVRIL24!$A$6:$AU$38,20,0)</f>
        <v>0</v>
      </c>
      <c r="X31" s="36">
        <f>VLOOKUP($A31,[24]HISTOAVRIL24!$A$6:$AU$38,27,0)</f>
        <v>0</v>
      </c>
      <c r="Y31" s="36">
        <f>VLOOKUP($A31,[24]HISTOAVRIL24!$A$6:$BM$38,33,0)</f>
        <v>0</v>
      </c>
      <c r="Z31" s="36">
        <f>VLOOKUP($A31,[24]HISTOAVRIL24!$A$6:$BM$38,65,0)</f>
        <v>0</v>
      </c>
      <c r="AA31" s="36"/>
      <c r="AB31" s="36">
        <f>VLOOKUP($A31,[24]HISTOAVRIL24!$A$6:$AU$38,43,0)</f>
        <v>0</v>
      </c>
      <c r="AC31" s="36">
        <f>VLOOKUP($A31,[24]HISTOAVRIL24!$A$6:$AU$38,44,0)</f>
        <v>0</v>
      </c>
      <c r="AD31" s="36">
        <f>VLOOKUP($A31,[24]HISTOAVRIL24!$A$6:$AU$38,47,0)</f>
        <v>0</v>
      </c>
      <c r="AE31" s="36">
        <f>VLOOKUP(A31,[24]HISTOAVRIL24!$A$6:$BB$38,54,0)</f>
        <v>0</v>
      </c>
      <c r="AF31" s="36">
        <f>VLOOKUP($A31,[24]HISTOAVRIL24!$A$6:$CA$38,60,0)</f>
        <v>0</v>
      </c>
      <c r="AG31" s="36">
        <f>VLOOKUP($A31,[24]HISTOAVRIL24!$A$6:$CA$38,61,0)</f>
        <v>0</v>
      </c>
      <c r="AH31" s="36">
        <f>VLOOKUP($A31,[24]HISTOAVRIL24!$A$6:$CA$38,62,0)</f>
        <v>0</v>
      </c>
      <c r="AI31" s="36">
        <f>VLOOKUP($A31,[24]HISTOAVRIL24!$A$6:$CA$38,63,0)</f>
        <v>0</v>
      </c>
      <c r="AJ31" s="36">
        <f>VLOOKUP($A31,[24]HISTOAVRIL24!$A$6:$CA$38,64,0)</f>
        <v>0</v>
      </c>
      <c r="AK31" s="36">
        <f>VLOOKUP($A31,[24]HISTOAVRIL24!$A$6:$CA$38,65,0)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MVTMARS24!I32-E32+L32</f>
        <v>824243.98131057119</v>
      </c>
      <c r="G32" s="5">
        <f>IF(MVTMARS24!I32+L32&gt;700000,(MVTMARS24!I32-E32+L32),0)</f>
        <v>824243.98131057119</v>
      </c>
      <c r="H32" s="36">
        <f t="shared" si="0"/>
        <v>0</v>
      </c>
      <c r="I32" s="6">
        <f t="shared" si="2"/>
        <v>824243.98131057119</v>
      </c>
      <c r="J32" s="36">
        <f>VLOOKUP($A32,[24]HISTOAVRIL24!$A$6:$AQ$42,22,0)</f>
        <v>0</v>
      </c>
      <c r="K32" s="36">
        <f>VLOOKUP($A32,[24]HISTOAVRIL24!$A$6:$AU$38,45,0)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VLOOKUP($A32,[24]HISTOAVRIL24!$A$6:$AU$38,7,0)</f>
        <v>0</v>
      </c>
      <c r="Q32" s="36">
        <f>VLOOKUP($A32,[24]HISTOAVRIL24!$A$6:$AU$38,23,0)</f>
        <v>0</v>
      </c>
      <c r="R32" s="36">
        <f>VLOOKUP($A32,[24]HISTOAVRIL24!$A$6:$AU$38,46,0)</f>
        <v>0</v>
      </c>
      <c r="S32" s="36">
        <f>VLOOKUP($A32,[24]HISTOAVRIL24!$A$6:$AU$38,26,0)</f>
        <v>0</v>
      </c>
      <c r="T32" s="36">
        <f>VLOOKUP($A32,[24]HISTOAVRIL24!$A$6:$BG$38,58,0)</f>
        <v>0</v>
      </c>
      <c r="U32" s="36">
        <f>VLOOKUP($A32,[24]HISTOAVRIL24!$A$6:$AU$38,28,0)</f>
        <v>0</v>
      </c>
      <c r="V32" s="36">
        <f>VLOOKUP($A32,[24]HISTOAVRIL24!$A$6:$AU$38,19,0)</f>
        <v>0</v>
      </c>
      <c r="W32" s="36">
        <f>VLOOKUP($A32,[24]HISTOAVRIL24!$A$6:$AU$38,20,0)</f>
        <v>0</v>
      </c>
      <c r="X32" s="36">
        <f>VLOOKUP($A32,[24]HISTOAVRIL24!$A$6:$AU$38,27,0)</f>
        <v>0</v>
      </c>
      <c r="Y32" s="36">
        <f>VLOOKUP($A32,[24]HISTOAVRIL24!$A$6:$BM$38,33,0)</f>
        <v>0</v>
      </c>
      <c r="Z32" s="36">
        <f>VLOOKUP($A32,[24]HISTOAVRIL24!$A$6:$BM$38,65,0)</f>
        <v>0</v>
      </c>
      <c r="AA32" s="36"/>
      <c r="AB32" s="36">
        <f>VLOOKUP($A32,[24]HISTOAVRIL24!$A$6:$AU$38,43,0)</f>
        <v>0</v>
      </c>
      <c r="AC32" s="36">
        <f>VLOOKUP($A32,[24]HISTOAVRIL24!$A$6:$AU$38,44,0)</f>
        <v>0</v>
      </c>
      <c r="AD32" s="36">
        <f>VLOOKUP($A32,[24]HISTOAVRIL24!$A$6:$AU$38,47,0)</f>
        <v>0</v>
      </c>
      <c r="AE32" s="36">
        <f>VLOOKUP(A32,[24]HISTOAVRIL24!$A$6:$BB$38,54,0)</f>
        <v>0</v>
      </c>
      <c r="AF32" s="36">
        <f>VLOOKUP($A32,[24]HISTOAVRIL24!$A$6:$CA$38,60,0)</f>
        <v>0</v>
      </c>
      <c r="AG32" s="36">
        <f>VLOOKUP($A32,[24]HISTOAVRIL24!$A$6:$CA$38,61,0)</f>
        <v>0</v>
      </c>
      <c r="AH32" s="36">
        <f>VLOOKUP($A32,[24]HISTOAVRIL24!$A$6:$CA$38,62,0)</f>
        <v>0</v>
      </c>
      <c r="AI32" s="36">
        <f>VLOOKUP($A32,[24]HISTOAVRIL24!$A$6:$CA$38,63,0)</f>
        <v>0</v>
      </c>
      <c r="AJ32" s="36">
        <f>VLOOKUP($A32,[24]HISTOAVRIL24!$A$6:$CA$38,64,0)</f>
        <v>0</v>
      </c>
      <c r="AK32" s="36">
        <f>VLOOKUP($A32,[24]HISTOAVRIL24!$A$6:$CA$38,65,0)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MVTMARS24!I33-E33+L33</f>
        <v>824552.64928596013</v>
      </c>
      <c r="G33" s="5">
        <f>IF(MVTMARS24!I33+L33&gt;700000,(MVTMARS24!I33-E33+L33),0)</f>
        <v>824552.64928596013</v>
      </c>
      <c r="H33" s="36">
        <f t="shared" si="0"/>
        <v>0</v>
      </c>
      <c r="I33" s="6">
        <f t="shared" si="2"/>
        <v>824552.64928596013</v>
      </c>
      <c r="J33" s="36">
        <f>VLOOKUP($A33,[24]HISTOAVRIL24!$A$6:$AQ$42,22,0)</f>
        <v>0</v>
      </c>
      <c r="K33" s="36">
        <f>VLOOKUP($A33,[24]HISTOAVRIL24!$A$6:$AU$38,45,0)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VLOOKUP($A33,[24]HISTOAVRIL24!$A$6:$AU$38,7,0)</f>
        <v>0</v>
      </c>
      <c r="Q33" s="36">
        <f>VLOOKUP($A33,[24]HISTOAVRIL24!$A$6:$AU$38,23,0)</f>
        <v>0</v>
      </c>
      <c r="R33" s="36">
        <f>VLOOKUP($A33,[24]HISTOAVRIL24!$A$6:$AU$38,46,0)</f>
        <v>0</v>
      </c>
      <c r="S33" s="36">
        <f>VLOOKUP($A33,[24]HISTOAVRIL24!$A$6:$AU$38,26,0)</f>
        <v>0</v>
      </c>
      <c r="T33" s="36">
        <f>VLOOKUP($A33,[24]HISTOAVRIL24!$A$6:$BG$38,58,0)</f>
        <v>0</v>
      </c>
      <c r="U33" s="36">
        <f>VLOOKUP($A33,[24]HISTOAVRIL24!$A$6:$AU$38,28,0)</f>
        <v>0</v>
      </c>
      <c r="V33" s="36">
        <f>VLOOKUP($A33,[24]HISTOAVRIL24!$A$6:$AU$38,19,0)</f>
        <v>0</v>
      </c>
      <c r="W33" s="36">
        <f>VLOOKUP($A33,[24]HISTOAVRIL24!$A$6:$AU$38,20,0)</f>
        <v>0</v>
      </c>
      <c r="X33" s="36">
        <f>VLOOKUP($A33,[24]HISTOAVRIL24!$A$6:$AU$38,27,0)</f>
        <v>0</v>
      </c>
      <c r="Y33" s="36">
        <f>VLOOKUP($A33,[24]HISTOAVRIL24!$A$6:$BM$38,33,0)</f>
        <v>0</v>
      </c>
      <c r="Z33" s="36">
        <f>VLOOKUP($A33,[24]HISTOAVRIL24!$A$6:$BM$38,65,0)</f>
        <v>0</v>
      </c>
      <c r="AA33" s="36"/>
      <c r="AB33" s="36">
        <f>VLOOKUP($A33,[24]HISTOAVRIL24!$A$6:$AU$38,43,0)</f>
        <v>0</v>
      </c>
      <c r="AC33" s="36">
        <f>VLOOKUP($A33,[24]HISTOAVRIL24!$A$6:$AU$38,44,0)</f>
        <v>0</v>
      </c>
      <c r="AD33" s="36">
        <f>VLOOKUP($A33,[24]HISTOAVRIL24!$A$6:$AU$38,47,0)</f>
        <v>0</v>
      </c>
      <c r="AE33" s="36">
        <f>VLOOKUP(A33,[24]HISTOAVRIL24!$A$6:$BB$38,54,0)</f>
        <v>0</v>
      </c>
      <c r="AF33" s="36">
        <f>VLOOKUP($A33,[24]HISTOAVRIL24!$A$6:$CA$38,60,0)</f>
        <v>0</v>
      </c>
      <c r="AG33" s="36">
        <f>VLOOKUP($A33,[24]HISTOAVRIL24!$A$6:$CA$38,61,0)</f>
        <v>0</v>
      </c>
      <c r="AH33" s="36">
        <f>VLOOKUP($A33,[24]HISTOAVRIL24!$A$6:$CA$38,62,0)</f>
        <v>0</v>
      </c>
      <c r="AI33" s="36">
        <f>VLOOKUP($A33,[24]HISTOAVRIL24!$A$6:$CA$38,63,0)</f>
        <v>0</v>
      </c>
      <c r="AJ33" s="36">
        <f>VLOOKUP($A33,[24]HISTOAVRIL24!$A$6:$CA$38,64,0)</f>
        <v>0</v>
      </c>
      <c r="AK33" s="36">
        <f>VLOOKUP($A33,[24]HISTOAVRIL24!$A$6:$CA$38,65,0)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MVTMARS24!I34-E34+L34</f>
        <v>481000</v>
      </c>
      <c r="G34" s="5">
        <f>IF(MVTMARS24!I34+L34&gt;700000,(MVTMARS24!I34-E34+L34),0)</f>
        <v>0</v>
      </c>
      <c r="H34" s="36">
        <f t="shared" si="0"/>
        <v>0</v>
      </c>
      <c r="I34" s="6">
        <f t="shared" si="2"/>
        <v>481000</v>
      </c>
      <c r="J34" s="36">
        <f>VLOOKUP($A34,[24]HISTOAVRIL24!$A$6:$AQ$42,22,0)</f>
        <v>0</v>
      </c>
      <c r="K34" s="36">
        <f>VLOOKUP($A34,[24]HISTOAVRIL24!$A$6:$AU$38,45,0)</f>
        <v>105000</v>
      </c>
      <c r="L34" s="36">
        <f t="shared" si="3"/>
        <v>99000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VLOOKUP($A34,[24]HISTOAVRIL24!$A$6:$AU$38,7,0)</f>
        <v>0</v>
      </c>
      <c r="Q34" s="36">
        <f>VLOOKUP($A34,[24]HISTOAVRIL24!$A$6:$AU$38,23,0)</f>
        <v>0</v>
      </c>
      <c r="R34" s="36">
        <f>VLOOKUP($A34,[24]HISTOAVRIL24!$A$6:$AU$38,46,0)</f>
        <v>0</v>
      </c>
      <c r="S34" s="36">
        <f>VLOOKUP($A34,[24]HISTOAVRIL24!$A$6:$AU$38,26,0)</f>
        <v>0</v>
      </c>
      <c r="T34" s="36">
        <f>VLOOKUP($A34,[24]HISTOAVRIL24!$A$6:$BG$38,58,0)</f>
        <v>0</v>
      </c>
      <c r="U34" s="36">
        <f>VLOOKUP($A34,[24]HISTOAVRIL24!$A$6:$AU$38,28,0)</f>
        <v>0</v>
      </c>
      <c r="V34" s="36">
        <f>VLOOKUP($A34,[24]HISTOAVRIL24!$A$6:$AU$38,19,0)</f>
        <v>0</v>
      </c>
      <c r="W34" s="36">
        <f>VLOOKUP($A34,[24]HISTOAVRIL24!$A$6:$AU$38,20,0)</f>
        <v>0</v>
      </c>
      <c r="X34" s="36">
        <f>VLOOKUP($A34,[24]HISTOAVRIL24!$A$6:$AU$38,27,0)</f>
        <v>0</v>
      </c>
      <c r="Y34" s="36">
        <f>VLOOKUP($A34,[24]HISTOAVRIL24!$A$6:$BM$38,33,0)</f>
        <v>0</v>
      </c>
      <c r="Z34" s="36">
        <f>VLOOKUP($A34,[24]HISTOAVRIL24!$A$6:$BM$38,65,0)</f>
        <v>0</v>
      </c>
      <c r="AA34" s="36"/>
      <c r="AB34" s="36">
        <f>VLOOKUP($A34,[24]HISTOAVRIL24!$A$6:$AU$38,43,0)</f>
        <v>0</v>
      </c>
      <c r="AC34" s="36">
        <f>VLOOKUP($A34,[24]HISTOAVRIL24!$A$6:$AU$38,44,0)</f>
        <v>0</v>
      </c>
      <c r="AD34" s="36">
        <f>VLOOKUP($A34,[24]HISTOAVRIL24!$A$6:$AU$38,47,0)</f>
        <v>0</v>
      </c>
      <c r="AE34" s="36">
        <f>VLOOKUP(A34,[24]HISTOAVRIL24!$A$6:$BB$38,54,0)</f>
        <v>0</v>
      </c>
      <c r="AF34" s="36">
        <f>VLOOKUP($A34,[24]HISTOAVRIL24!$A$6:$CA$38,60,0)</f>
        <v>0</v>
      </c>
      <c r="AG34" s="36">
        <f>VLOOKUP($A34,[24]HISTOAVRIL24!$A$6:$CA$38,61,0)</f>
        <v>0</v>
      </c>
      <c r="AH34" s="36">
        <f>VLOOKUP($A34,[24]HISTOAVRIL24!$A$6:$CA$38,62,0)</f>
        <v>0</v>
      </c>
      <c r="AI34" s="36">
        <f>VLOOKUP($A34,[24]HISTOAVRIL24!$A$6:$CA$38,63,0)</f>
        <v>0</v>
      </c>
      <c r="AJ34" s="36">
        <f>VLOOKUP($A34,[24]HISTOAVRIL24!$A$6:$CA$38,64,0)</f>
        <v>0</v>
      </c>
      <c r="AK34" s="36">
        <f>VLOOKUP($A34,[24]HISTOAVRIL24!$A$6:$CA$38,65,0)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MVTMARS24!I35-E35+L35</f>
        <v>176000</v>
      </c>
      <c r="G35" s="5">
        <f>IF(MVTMARS24!I35+L35&gt;700000,(MVTMARS24!I35-E35+L35),0)</f>
        <v>0</v>
      </c>
      <c r="H35" s="36">
        <f t="shared" si="0"/>
        <v>0</v>
      </c>
      <c r="I35" s="6">
        <f t="shared" si="2"/>
        <v>176000</v>
      </c>
      <c r="J35" s="36">
        <f>VLOOKUP($A35,[24]HISTOAVRIL24!$A$6:$AQ$42,22,0)</f>
        <v>0</v>
      </c>
      <c r="K35" s="36">
        <f>VLOOKUP($A35,[24]HISTOAVRIL24!$A$6:$AU$38,45,0)</f>
        <v>22000</v>
      </c>
      <c r="L35" s="36">
        <f t="shared" si="3"/>
        <v>16000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VLOOKUP($A35,[24]HISTOAVRIL24!$A$6:$AU$38,7,0)</f>
        <v>3000</v>
      </c>
      <c r="Q35" s="36">
        <f>VLOOKUP($A35,[24]HISTOAVRIL24!$A$6:$AU$38,23,0)</f>
        <v>0</v>
      </c>
      <c r="R35" s="36">
        <f>VLOOKUP($A35,[24]HISTOAVRIL24!$A$6:$AU$38,46,0)</f>
        <v>0</v>
      </c>
      <c r="S35" s="36">
        <f>VLOOKUP($A35,[24]HISTOAVRIL24!$A$6:$AU$38,26,0)</f>
        <v>0</v>
      </c>
      <c r="T35" s="36">
        <f>VLOOKUP($A35,[24]HISTOAVRIL24!$A$6:$BG$38,58,0)</f>
        <v>0</v>
      </c>
      <c r="U35" s="36">
        <f>VLOOKUP($A35,[24]HISTOAVRIL24!$A$6:$AU$38,28,0)</f>
        <v>0</v>
      </c>
      <c r="V35" s="36">
        <f>VLOOKUP($A35,[24]HISTOAVRIL24!$A$6:$AU$38,19,0)</f>
        <v>0</v>
      </c>
      <c r="W35" s="36">
        <f>VLOOKUP($A35,[24]HISTOAVRIL24!$A$6:$AU$38,20,0)</f>
        <v>0</v>
      </c>
      <c r="X35" s="36">
        <f>VLOOKUP($A35,[24]HISTOAVRIL24!$A$6:$AU$38,27,0)</f>
        <v>0</v>
      </c>
      <c r="Y35" s="36">
        <f>VLOOKUP($A35,[24]HISTOAVRIL24!$A$6:$BM$38,33,0)</f>
        <v>0</v>
      </c>
      <c r="Z35" s="36">
        <f>VLOOKUP($A35,[24]HISTOAVRIL24!$A$6:$BM$38,65,0)</f>
        <v>0</v>
      </c>
      <c r="AA35" s="36"/>
      <c r="AB35" s="36">
        <f>VLOOKUP($A35,[24]HISTOAVRIL24!$A$6:$AU$38,43,0)</f>
        <v>0</v>
      </c>
      <c r="AC35" s="36">
        <f>VLOOKUP($A35,[24]HISTOAVRIL24!$A$6:$AU$38,44,0)</f>
        <v>0</v>
      </c>
      <c r="AD35" s="36">
        <f>VLOOKUP($A35,[24]HISTOAVRIL24!$A$6:$AU$38,47,0)</f>
        <v>0</v>
      </c>
      <c r="AE35" s="36">
        <f>VLOOKUP(A35,[24]HISTOAVRIL24!$A$6:$BB$38,54,0)</f>
        <v>0</v>
      </c>
      <c r="AF35" s="36">
        <f>VLOOKUP($A35,[24]HISTOAVRIL24!$A$6:$CA$38,60,0)</f>
        <v>0</v>
      </c>
      <c r="AG35" s="36">
        <f>VLOOKUP($A35,[24]HISTOAVRIL24!$A$6:$CA$38,61,0)</f>
        <v>0</v>
      </c>
      <c r="AH35" s="36">
        <f>VLOOKUP($A35,[24]HISTOAVRIL24!$A$6:$CA$38,62,0)</f>
        <v>0</v>
      </c>
      <c r="AI35" s="36">
        <f>VLOOKUP($A35,[24]HISTOAVRIL24!$A$6:$CA$38,63,0)</f>
        <v>0</v>
      </c>
      <c r="AJ35" s="36">
        <f>VLOOKUP($A35,[24]HISTOAVRIL24!$A$6:$CA$38,64,0)</f>
        <v>0</v>
      </c>
      <c r="AK35" s="36">
        <f>VLOOKUP($A35,[24]HISTOAVRIL24!$A$6:$CA$38,65,0)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MVTMARS24!I36-E36+L36</f>
        <v>861599.08181867818</v>
      </c>
      <c r="G36" s="5">
        <f>IF(MVTMARS24!I36+L36&gt;700000,(MVTMARS24!I36-E36+L36),0)</f>
        <v>861599.08181867818</v>
      </c>
      <c r="H36" s="36">
        <f t="shared" si="0"/>
        <v>0</v>
      </c>
      <c r="I36" s="6">
        <f t="shared" si="2"/>
        <v>861599.08181867818</v>
      </c>
      <c r="J36" s="36">
        <f>VLOOKUP($A36,[24]HISTOAVRIL24!$A$6:$AQ$42,22,0)</f>
        <v>0</v>
      </c>
      <c r="K36" s="36">
        <f>VLOOKUP($A36,[24]HISTOAVRIL24!$A$6:$AU$38,45,0)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VLOOKUP($A36,[24]HISTOAVRIL24!$A$6:$AU$38,7,0)</f>
        <v>0</v>
      </c>
      <c r="Q36" s="36">
        <f>VLOOKUP($A36,[24]HISTOAVRIL24!$A$6:$AU$38,23,0)</f>
        <v>0</v>
      </c>
      <c r="R36" s="36">
        <f>VLOOKUP($A36,[24]HISTOAVRIL24!$A$6:$AU$38,46,0)</f>
        <v>0</v>
      </c>
      <c r="S36" s="36">
        <f>VLOOKUP($A36,[24]HISTOAVRIL24!$A$6:$AU$38,26,0)</f>
        <v>0</v>
      </c>
      <c r="T36" s="36">
        <f>VLOOKUP($A36,[24]HISTOAVRIL24!$A$6:$BG$38,58,0)</f>
        <v>0</v>
      </c>
      <c r="U36" s="36">
        <f>VLOOKUP($A36,[24]HISTOAVRIL24!$A$6:$AU$38,28,0)</f>
        <v>0</v>
      </c>
      <c r="V36" s="36">
        <f>VLOOKUP($A36,[24]HISTOAVRIL24!$A$6:$AU$38,19,0)</f>
        <v>0</v>
      </c>
      <c r="W36" s="36">
        <f>VLOOKUP($A36,[24]HISTOAVRIL24!$A$6:$AU$38,20,0)</f>
        <v>0</v>
      </c>
      <c r="X36" s="36">
        <f>VLOOKUP($A36,[24]HISTOAVRIL24!$A$6:$AU$38,27,0)</f>
        <v>0</v>
      </c>
      <c r="Y36" s="36">
        <f>VLOOKUP($A36,[24]HISTOAVRIL24!$A$6:$BM$38,33,0)</f>
        <v>0</v>
      </c>
      <c r="Z36" s="36">
        <f>VLOOKUP($A36,[24]HISTOAVRIL24!$A$6:$BM$38,65,0)</f>
        <v>0</v>
      </c>
      <c r="AA36" s="36"/>
      <c r="AB36" s="36">
        <f>VLOOKUP($A36,[24]HISTOAVRIL24!$A$6:$AU$38,43,0)</f>
        <v>0</v>
      </c>
      <c r="AC36" s="36">
        <f>VLOOKUP($A36,[24]HISTOAVRIL24!$A$6:$AU$38,44,0)</f>
        <v>0</v>
      </c>
      <c r="AD36" s="36">
        <f>VLOOKUP($A36,[24]HISTOAVRIL24!$A$6:$AU$38,47,0)</f>
        <v>0</v>
      </c>
      <c r="AE36" s="36">
        <f>VLOOKUP(A36,[24]HISTOAVRIL24!$A$6:$BB$38,54,0)</f>
        <v>0</v>
      </c>
      <c r="AF36" s="36">
        <f>VLOOKUP($A36,[24]HISTOAVRIL24!$A$6:$CA$38,60,0)</f>
        <v>0</v>
      </c>
      <c r="AG36" s="36">
        <f>VLOOKUP($A36,[24]HISTOAVRIL24!$A$6:$CA$38,61,0)</f>
        <v>0</v>
      </c>
      <c r="AH36" s="36">
        <f>VLOOKUP($A36,[24]HISTOAVRIL24!$A$6:$CA$38,62,0)</f>
        <v>0</v>
      </c>
      <c r="AI36" s="36">
        <f>VLOOKUP($A36,[24]HISTOAVRIL24!$A$6:$CA$38,63,0)</f>
        <v>0</v>
      </c>
      <c r="AJ36" s="36">
        <f>VLOOKUP($A36,[24]HISTOAVRIL24!$A$6:$CA$38,64,0)</f>
        <v>0</v>
      </c>
      <c r="AK36" s="36">
        <f>VLOOKUP($A36,[24]HISTOAVRIL24!$A$6:$CA$38,65,0)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MVTMARS24!I37-E37+L37</f>
        <v>1894400.7147676253</v>
      </c>
      <c r="G37" s="5">
        <f>IF(MVTMARS24!I37+L37&gt;700000,(MVTMARS24!I37-E37+L37),0)</f>
        <v>1894400.7147676253</v>
      </c>
      <c r="H37" s="36">
        <f t="shared" si="0"/>
        <v>0</v>
      </c>
      <c r="I37" s="6">
        <f t="shared" si="2"/>
        <v>1894400.7147676253</v>
      </c>
      <c r="J37" s="36">
        <f>VLOOKUP($A37,[24]HISTOAVRIL24!$A$6:$AQ$42,22,0)</f>
        <v>0</v>
      </c>
      <c r="K37" s="36">
        <f>VLOOKUP($A37,[24]HISTOAVRIL24!$A$6:$AU$38,45,0)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VLOOKUP($A37,[24]HISTOAVRIL24!$A$6:$AU$38,7,0)</f>
        <v>3000</v>
      </c>
      <c r="Q37" s="36">
        <f>VLOOKUP($A37,[24]HISTOAVRIL24!$A$6:$AU$38,23,0)</f>
        <v>0</v>
      </c>
      <c r="R37" s="36">
        <f>VLOOKUP($A37,[24]HISTOAVRIL24!$A$6:$AU$38,46,0)</f>
        <v>0</v>
      </c>
      <c r="S37" s="36">
        <f>VLOOKUP($A37,[24]HISTOAVRIL24!$A$6:$AU$38,26,0)</f>
        <v>0</v>
      </c>
      <c r="T37" s="36">
        <f>VLOOKUP($A37,[24]HISTOAVRIL24!$A$6:$BG$38,58,0)</f>
        <v>0</v>
      </c>
      <c r="U37" s="36">
        <f>VLOOKUP($A37,[24]HISTOAVRIL24!$A$6:$AU$38,28,0)</f>
        <v>0</v>
      </c>
      <c r="V37" s="36">
        <f>VLOOKUP($A37,[24]HISTOAVRIL24!$A$6:$AU$38,19,0)</f>
        <v>0</v>
      </c>
      <c r="W37" s="36">
        <f>VLOOKUP($A37,[24]HISTOAVRIL24!$A$6:$AU$38,20,0)</f>
        <v>0</v>
      </c>
      <c r="X37" s="36">
        <f>VLOOKUP($A37,[24]HISTOAVRIL24!$A$6:$AU$38,27,0)</f>
        <v>0</v>
      </c>
      <c r="Y37" s="36">
        <f>VLOOKUP($A37,[24]HISTOAVRIL24!$A$6:$BM$38,33,0)</f>
        <v>0</v>
      </c>
      <c r="Z37" s="36">
        <f>VLOOKUP($A37,[24]HISTOAVRIL24!$A$6:$BM$38,65,0)</f>
        <v>0</v>
      </c>
      <c r="AA37" s="36"/>
      <c r="AB37" s="36">
        <f>VLOOKUP($A37,[24]HISTOAVRIL24!$A$6:$AU$38,43,0)</f>
        <v>0</v>
      </c>
      <c r="AC37" s="36">
        <f>VLOOKUP($A37,[24]HISTOAVRIL24!$A$6:$AU$38,44,0)</f>
        <v>0</v>
      </c>
      <c r="AD37" s="36">
        <f>VLOOKUP($A37,[24]HISTOAVRIL24!$A$6:$AU$38,47,0)</f>
        <v>0</v>
      </c>
      <c r="AE37" s="36">
        <f>VLOOKUP(A37,[24]HISTOAVRIL24!$A$6:$BB$38,54,0)</f>
        <v>0</v>
      </c>
      <c r="AF37" s="36">
        <f>VLOOKUP($A37,[24]HISTOAVRIL24!$A$6:$CA$38,60,0)</f>
        <v>0</v>
      </c>
      <c r="AG37" s="36">
        <f>VLOOKUP($A37,[24]HISTOAVRIL24!$A$6:$CA$38,61,0)</f>
        <v>0</v>
      </c>
      <c r="AH37" s="36">
        <f>VLOOKUP($A37,[24]HISTOAVRIL24!$A$6:$CA$38,62,0)</f>
        <v>0</v>
      </c>
      <c r="AI37" s="36">
        <f>VLOOKUP($A37,[24]HISTOAVRIL24!$A$6:$CA$38,63,0)</f>
        <v>0</v>
      </c>
      <c r="AJ37" s="36">
        <f>VLOOKUP($A37,[24]HISTOAVRIL24!$A$6:$CA$38,64,0)</f>
        <v>0</v>
      </c>
      <c r="AK37" s="36">
        <f>VLOOKUP($A37,[24]HISTOAVRIL24!$A$6:$CA$38,65,0)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MVTMARS24!I38-E38+L38</f>
        <v>76000</v>
      </c>
      <c r="G38" s="5">
        <f>IF(MVTMARS24!I38+L38&gt;700000,(MVTMARS24!I38-E38+L38),0)</f>
        <v>0</v>
      </c>
      <c r="H38" s="36">
        <f t="shared" si="0"/>
        <v>0</v>
      </c>
      <c r="I38" s="6">
        <f t="shared" si="2"/>
        <v>76000</v>
      </c>
      <c r="J38" s="36">
        <f>VLOOKUP($A38,[24]HISTOAVRIL24!$A$6:$AQ$42,22,0)</f>
        <v>0</v>
      </c>
      <c r="K38" s="36">
        <f>VLOOKUP($A38,[24]HISTOAVRIL24!$A$6:$AU$38,45,0)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VLOOKUP($A38,[24]HISTOAVRIL24!$A$6:$AU$38,7,0)</f>
        <v>0</v>
      </c>
      <c r="Q38" s="36">
        <f>VLOOKUP($A38,[24]HISTOAVRIL24!$A$6:$AU$38,23,0)</f>
        <v>0</v>
      </c>
      <c r="R38" s="36">
        <f>VLOOKUP($A38,[24]HISTOAVRIL24!$A$6:$AU$38,46,0)</f>
        <v>0</v>
      </c>
      <c r="S38" s="36">
        <f>VLOOKUP($A38,[24]HISTOAVRIL24!$A$6:$AU$38,26,0)</f>
        <v>0</v>
      </c>
      <c r="T38" s="36">
        <f>VLOOKUP($A38,[24]HISTOAVRIL24!$A$6:$BG$38,58,0)</f>
        <v>0</v>
      </c>
      <c r="U38" s="36">
        <f>VLOOKUP($A38,[24]HISTOAVRIL24!$A$6:$AU$38,28,0)</f>
        <v>0</v>
      </c>
      <c r="V38" s="36">
        <f>VLOOKUP($A38,[24]HISTOAVRIL24!$A$6:$AU$38,19,0)</f>
        <v>0</v>
      </c>
      <c r="W38" s="36">
        <f>VLOOKUP($A38,[24]HISTOAVRIL24!$A$6:$AU$38,20,0)</f>
        <v>0</v>
      </c>
      <c r="X38" s="36">
        <f>VLOOKUP($A38,[24]HISTOAVRIL24!$A$6:$AU$38,27,0)</f>
        <v>0</v>
      </c>
      <c r="Y38" s="36">
        <f>VLOOKUP($A38,[24]HISTOAVRIL24!$A$6:$BM$38,33,0)</f>
        <v>0</v>
      </c>
      <c r="Z38" s="36">
        <f>VLOOKUP($A38,[24]HISTOAVRIL24!$A$6:$BM$38,65,0)</f>
        <v>0</v>
      </c>
      <c r="AA38" s="36"/>
      <c r="AB38" s="36">
        <f>VLOOKUP($A38,[24]HISTOAVRIL24!$A$6:$AU$38,43,0)</f>
        <v>0</v>
      </c>
      <c r="AC38" s="36">
        <f>VLOOKUP($A38,[24]HISTOAVRIL24!$A$6:$AU$38,44,0)</f>
        <v>0</v>
      </c>
      <c r="AD38" s="36">
        <f>VLOOKUP($A38,[24]HISTOAVRIL24!$A$6:$AU$38,47,0)</f>
        <v>0</v>
      </c>
      <c r="AE38" s="36">
        <f>VLOOKUP(A38,[24]HISTOAVRIL24!$A$6:$BB$38,54,0)</f>
        <v>0</v>
      </c>
      <c r="AF38" s="36">
        <f>VLOOKUP($A38,[24]HISTOAVRIL24!$A$6:$CA$38,60,0)</f>
        <v>0</v>
      </c>
      <c r="AG38" s="36">
        <f>VLOOKUP($A38,[24]HISTOAVRIL24!$A$6:$CA$38,61,0)</f>
        <v>0</v>
      </c>
      <c r="AH38" s="36">
        <f>VLOOKUP($A38,[24]HISTOAVRIL24!$A$6:$CA$38,62,0)</f>
        <v>0</v>
      </c>
      <c r="AI38" s="36">
        <f>VLOOKUP($A38,[24]HISTOAVRIL24!$A$6:$CA$38,63,0)</f>
        <v>0</v>
      </c>
      <c r="AJ38" s="36">
        <f>VLOOKUP($A38,[24]HISTOAVRIL24!$A$6:$CA$38,64,0)</f>
        <v>0</v>
      </c>
      <c r="AK38" s="36">
        <f>VLOOKUP($A38,[24]HISTOAVRIL24!$A$6:$CA$38,65,0)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MVTMARS24!I39-E39+L39</f>
        <v>2059313.2142100567</v>
      </c>
      <c r="G39" s="5">
        <f>IF(MVTMARS24!I39+L39&gt;700000,(MVTMARS24!I39-E39+L39),0)</f>
        <v>2059313.2142100567</v>
      </c>
      <c r="H39" s="36">
        <f t="shared" si="0"/>
        <v>0</v>
      </c>
      <c r="I39" s="6">
        <f t="shared" si="2"/>
        <v>2059313.2142100567</v>
      </c>
      <c r="J39" s="36">
        <f>VLOOKUP($A39,[24]HISTOAVRIL24!$A$6:$AQ$42,22,0)</f>
        <v>0</v>
      </c>
      <c r="K39" s="36">
        <f>VLOOKUP($A39,[24]HISTOAVRIL24!$A$6:$AU$38,45,0)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VLOOKUP($A39,[24]HISTOAVRIL24!$A$6:$AU$38,7,0)</f>
        <v>0</v>
      </c>
      <c r="Q39" s="36">
        <f>VLOOKUP($A39,[24]HISTOAVRIL24!$A$6:$AU$38,23,0)</f>
        <v>0</v>
      </c>
      <c r="R39" s="36">
        <f>VLOOKUP($A39,[24]HISTOAVRIL24!$A$6:$AU$38,46,0)</f>
        <v>0</v>
      </c>
      <c r="S39" s="36">
        <f>VLOOKUP($A39,[24]HISTOAVRIL24!$A$6:$AU$38,26,0)</f>
        <v>0</v>
      </c>
      <c r="T39" s="36">
        <f>VLOOKUP($A39,[24]HISTOAVRIL24!$A$6:$BG$38,58,0)</f>
        <v>0</v>
      </c>
      <c r="U39" s="36">
        <f>VLOOKUP($A39,[24]HISTOAVRIL24!$A$6:$AU$38,28,0)</f>
        <v>0</v>
      </c>
      <c r="V39" s="36">
        <f>VLOOKUP($A39,[24]HISTOAVRIL24!$A$6:$AU$38,19,0)</f>
        <v>0</v>
      </c>
      <c r="W39" s="36">
        <f>VLOOKUP($A39,[24]HISTOAVRIL24!$A$6:$AU$38,20,0)</f>
        <v>0</v>
      </c>
      <c r="X39" s="36">
        <f>VLOOKUP($A39,[24]HISTOAVRIL24!$A$6:$AU$38,27,0)</f>
        <v>0</v>
      </c>
      <c r="Y39" s="36">
        <f>VLOOKUP($A39,[24]HISTOAVRIL24!$A$6:$BM$38,33,0)</f>
        <v>0</v>
      </c>
      <c r="Z39" s="36">
        <f>VLOOKUP($A39,[24]HISTOAVRIL24!$A$6:$BM$38,65,0)</f>
        <v>0</v>
      </c>
      <c r="AA39" s="36"/>
      <c r="AB39" s="36">
        <f>VLOOKUP($A39,[24]HISTOAVRIL24!$A$6:$AU$38,43,0)</f>
        <v>0</v>
      </c>
      <c r="AC39" s="36">
        <f>VLOOKUP($A39,[24]HISTOAVRIL24!$A$6:$AU$38,44,0)</f>
        <v>0</v>
      </c>
      <c r="AD39" s="36">
        <f>VLOOKUP($A39,[24]HISTOAVRIL24!$A$6:$AU$38,47,0)</f>
        <v>0</v>
      </c>
      <c r="AE39" s="36">
        <f>VLOOKUP(A39,[24]HISTOAVRIL24!$A$6:$BB$38,54,0)</f>
        <v>0</v>
      </c>
      <c r="AF39" s="36">
        <f>VLOOKUP($A39,[24]HISTOAVRIL24!$A$6:$CA$38,60,0)</f>
        <v>0</v>
      </c>
      <c r="AG39" s="36">
        <f>VLOOKUP($A39,[24]HISTOAVRIL24!$A$6:$CA$38,61,0)</f>
        <v>0</v>
      </c>
      <c r="AH39" s="36">
        <f>VLOOKUP($A39,[24]HISTOAVRIL24!$A$6:$CA$38,62,0)</f>
        <v>0</v>
      </c>
      <c r="AI39" s="36">
        <f>VLOOKUP($A39,[24]HISTOAVRIL24!$A$6:$CA$38,63,0)</f>
        <v>0</v>
      </c>
      <c r="AJ39" s="36">
        <f>VLOOKUP($A39,[24]HISTOAVRIL24!$A$6:$CA$38,64,0)</f>
        <v>0</v>
      </c>
      <c r="AK39" s="36">
        <f>VLOOKUP($A39,[24]HISTOAVRIL24!$A$6:$CA$38,65,0)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29320656.655274987</v>
      </c>
      <c r="G41" s="9">
        <f t="shared" si="10"/>
        <v>27835439.524547949</v>
      </c>
      <c r="H41" s="36">
        <f t="shared" si="10"/>
        <v>0</v>
      </c>
      <c r="I41" s="9">
        <f t="shared" si="10"/>
        <v>29320656.655274987</v>
      </c>
      <c r="J41" s="9">
        <f t="shared" si="10"/>
        <v>0</v>
      </c>
      <c r="K41" s="9">
        <f t="shared" si="10"/>
        <v>948500</v>
      </c>
      <c r="L41" s="9">
        <f t="shared" si="10"/>
        <v>756500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tabSelected="1"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Q6" sqref="Q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45399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VLOOKUP($A6,[24]HISTOAVRIL24!$A$6:$BA$38,48,0)</f>
        <v>0</v>
      </c>
      <c r="F6" s="36">
        <f>MVTMARS24!I6-E6+L6</f>
        <v>946220.58968855068</v>
      </c>
      <c r="G6" s="5">
        <f>IF(MVTMARS24!I6+L6&gt;700000,(MVTMARS24!I6-E6+L6),0)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VLOOKUP($A6,[24]HISTOAVRIL24!$A$6:$AQ$42,22,0)</f>
        <v>0</v>
      </c>
      <c r="K6" s="36">
        <f>VLOOKUP($A6,[24]HISTOAVRIL24!$A$6:$AU$38,45,0)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VLOOKUP($A6,[24]HISTOAVRIL24!$A$6:$AU$38,7,0)</f>
        <v>0</v>
      </c>
      <c r="Q6" s="36">
        <f>VLOOKUP($A6,[24]HISTOAVRIL24!$A$6:$AU$38,23,0)</f>
        <v>0</v>
      </c>
      <c r="R6" s="36">
        <f>VLOOKUP($A6,[24]HISTOAVRIL24!$A$6:$AU$38,46,0)</f>
        <v>0</v>
      </c>
      <c r="S6" s="36">
        <f>VLOOKUP($A6,[24]HISTOAVRIL24!$A$6:$AU$38,26,0)</f>
        <v>0</v>
      </c>
      <c r="T6" s="36">
        <f>VLOOKUP($A6,[24]HISTOAVRIL24!$A$6:$BG$38,58,0)</f>
        <v>0</v>
      </c>
      <c r="U6" s="36">
        <f>VLOOKUP($A6,[24]HISTOAVRIL24!$A$6:$AU$38,28,0)</f>
        <v>0</v>
      </c>
      <c r="V6" s="36">
        <f>VLOOKUP($A6,[24]HISTOAVRIL24!$A$6:$AU$38,19,0)</f>
        <v>0</v>
      </c>
      <c r="W6" s="36">
        <f>VLOOKUP($A6,[24]HISTOAVRIL24!$A$6:$AU$38,20,0)</f>
        <v>0</v>
      </c>
      <c r="X6" s="36">
        <f>VLOOKUP($A6,[24]HISTOAVRIL24!$A$6:$AU$38,27,0)</f>
        <v>0</v>
      </c>
      <c r="Y6" s="36">
        <f>VLOOKUP($A6,[24]HISTOAVRIL24!$A$6:$BM$38,33,0)</f>
        <v>0</v>
      </c>
      <c r="Z6" s="36">
        <f>VLOOKUP($A6,[24]HISTOAVRIL24!$A$6:$BM$38,65,0)</f>
        <v>0</v>
      </c>
      <c r="AA6" s="36"/>
      <c r="AB6" s="36">
        <f>VLOOKUP($A6,[24]HISTOAVRIL24!$A$6:$AU$38,43,0)</f>
        <v>0</v>
      </c>
      <c r="AC6" s="36">
        <f>VLOOKUP($A6,[24]HISTOAVRIL24!$A$6:$AU$38,44,0)</f>
        <v>0</v>
      </c>
      <c r="AD6" s="36">
        <f>VLOOKUP($A6,[24]HISTOAVRIL24!$A$6:$AU$38,47,0)</f>
        <v>0</v>
      </c>
      <c r="AE6" s="36">
        <f>VLOOKUP(A6,[24]HISTOAVRIL24!$A$6:$BB$38,54,0)</f>
        <v>0</v>
      </c>
      <c r="AF6" s="36">
        <f>VLOOKUP($A6,[24]HISTOAVRIL24!$A$6:$CA$38,60,0)</f>
        <v>0</v>
      </c>
      <c r="AG6" s="36">
        <f>VLOOKUP($A6,[24]HISTOAVRIL24!$A$6:$CA$38,61,0)</f>
        <v>0</v>
      </c>
      <c r="AH6" s="36">
        <f>VLOOKUP($A6,[24]HISTOAVRIL24!$A$6:$CA$38,62,0)</f>
        <v>0</v>
      </c>
      <c r="AI6" s="36">
        <f>VLOOKUP($A6,[24]HISTOAVRIL24!$A$6:$CA$38,63,0)</f>
        <v>0</v>
      </c>
      <c r="AJ6" s="36">
        <f>VLOOKUP($A6,[24]HISTOAVRIL24!$A$6:$CA$38,64,0)</f>
        <v>0</v>
      </c>
      <c r="AK6" s="36">
        <f>VLOOKUP($A6,[24]HISTOAVRIL24!$A$6:$CA$38,65,0)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VLOOKUP($A7,[24]HISTOAVRIL24!$A$6:$BA$38,48,0)</f>
        <v>0</v>
      </c>
      <c r="F7" s="36">
        <f>MVTMARS24!I7-E7+L7</f>
        <v>776791.19348721951</v>
      </c>
      <c r="G7" s="5">
        <f>IF(MVTMARS24!I7+L7&gt;700000,(MVTMARS24!I7-E7+L7),0)</f>
        <v>776791.19348721951</v>
      </c>
      <c r="H7" s="36">
        <f t="shared" si="0"/>
        <v>0</v>
      </c>
      <c r="I7" s="6">
        <f t="shared" ref="I7:I39" si="2">F7+H7</f>
        <v>776791.19348721951</v>
      </c>
      <c r="J7" s="36">
        <f>VLOOKUP($A7,[24]HISTOAVRIL24!$A$6:$AQ$42,22,0)</f>
        <v>0</v>
      </c>
      <c r="K7" s="36">
        <f>VLOOKUP($A7,[24]HISTOAVRIL24!$A$6:$AU$38,45,0)</f>
        <v>22000</v>
      </c>
      <c r="L7" s="36">
        <f>IF(K7=0,0,K7-(M7+N7+O7))</f>
        <v>16000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VLOOKUP($A7,[24]HISTOAVRIL24!$A$6:$AU$38,7,0)</f>
        <v>3000</v>
      </c>
      <c r="Q7" s="36">
        <f>VLOOKUP($A7,[24]HISTOAVRIL24!$A$6:$AU$38,23,0)</f>
        <v>0</v>
      </c>
      <c r="R7" s="36">
        <f>VLOOKUP($A7,[24]HISTOAVRIL24!$A$6:$AU$38,46,0)</f>
        <v>0</v>
      </c>
      <c r="S7" s="36">
        <f>VLOOKUP($A7,[24]HISTOAVRIL24!$A$6:$AU$38,26,0)</f>
        <v>0</v>
      </c>
      <c r="T7" s="36">
        <f>VLOOKUP($A7,[24]HISTOAVRIL24!$A$6:$BG$38,58,0)</f>
        <v>0</v>
      </c>
      <c r="U7" s="36">
        <f>VLOOKUP($A7,[24]HISTOAVRIL24!$A$6:$AU$38,28,0)</f>
        <v>0</v>
      </c>
      <c r="V7" s="36">
        <f>VLOOKUP($A7,[24]HISTOAVRIL24!$A$6:$AU$38,19,0)</f>
        <v>0</v>
      </c>
      <c r="W7" s="36">
        <f>VLOOKUP($A7,[24]HISTOAVRIL24!$A$6:$AU$38,20,0)</f>
        <v>0</v>
      </c>
      <c r="X7" s="36">
        <f>VLOOKUP($A7,[24]HISTOAVRIL24!$A$6:$AU$38,27,0)</f>
        <v>0</v>
      </c>
      <c r="Y7" s="36">
        <f>VLOOKUP($A7,[24]HISTOAVRIL24!$A$6:$BM$38,33,0)</f>
        <v>0</v>
      </c>
      <c r="Z7" s="36">
        <f>VLOOKUP($A7,[24]HISTOAVRIL24!$A$6:$BM$38,65,0)</f>
        <v>0</v>
      </c>
      <c r="AA7" s="36"/>
      <c r="AB7" s="36">
        <f>VLOOKUP($A7,[24]HISTOAVRIL24!$A$6:$AU$38,43,0)</f>
        <v>0</v>
      </c>
      <c r="AC7" s="36">
        <f>VLOOKUP($A7,[24]HISTOAVRIL24!$A$6:$AU$38,44,0)</f>
        <v>0</v>
      </c>
      <c r="AD7" s="36">
        <f>VLOOKUP($A7,[24]HISTOAVRIL24!$A$6:$AU$38,47,0)</f>
        <v>0</v>
      </c>
      <c r="AE7" s="36">
        <f>VLOOKUP(A7,[24]HISTOAVRIL24!$A$6:$BB$38,54,0)</f>
        <v>0</v>
      </c>
      <c r="AF7" s="36">
        <f>VLOOKUP($A7,[24]HISTOAVRIL24!$A$6:$CA$38,60,0)</f>
        <v>0</v>
      </c>
      <c r="AG7" s="36">
        <f>VLOOKUP($A7,[24]HISTOAVRIL24!$A$6:$CA$38,61,0)</f>
        <v>0</v>
      </c>
      <c r="AH7" s="36">
        <f>VLOOKUP($A7,[24]HISTOAVRIL24!$A$6:$CA$38,62,0)</f>
        <v>0</v>
      </c>
      <c r="AI7" s="36">
        <f>VLOOKUP($A7,[24]HISTOAVRIL24!$A$6:$CA$38,63,0)</f>
        <v>0</v>
      </c>
      <c r="AJ7" s="36">
        <f>VLOOKUP($A7,[24]HISTOAVRIL24!$A$6:$CA$38,64,0)</f>
        <v>0</v>
      </c>
      <c r="AK7" s="36">
        <f>VLOOKUP($A7,[24]HISTOAVRIL24!$A$6:$CA$38,65,0)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VLOOKUP($A8,[24]HISTOAVRIL24!$A$6:$BA$38,48,0)</f>
        <v>0</v>
      </c>
      <c r="F8" s="36">
        <f>MVTMARS24!I8-E8+L8</f>
        <v>820533.31236524263</v>
      </c>
      <c r="G8" s="5">
        <f>IF(MVTMARS24!I8+L8&gt;700000,(MVTMARS24!I8-E8+L8),0)</f>
        <v>820533.31236524263</v>
      </c>
      <c r="H8" s="36">
        <f t="shared" si="0"/>
        <v>0</v>
      </c>
      <c r="I8" s="6">
        <f t="shared" si="2"/>
        <v>820533.31236524263</v>
      </c>
      <c r="J8" s="36">
        <f>VLOOKUP($A8,[24]HISTOAVRIL24!$A$6:$AQ$42,22,0)</f>
        <v>0</v>
      </c>
      <c r="K8" s="36">
        <f>VLOOKUP($A8,[24]HISTOAVRIL24!$A$6:$AU$38,45,0)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VLOOKUP($A8,[24]HISTOAVRIL24!$A$6:$AU$38,7,0)</f>
        <v>0</v>
      </c>
      <c r="Q8" s="36">
        <f>VLOOKUP($A8,[24]HISTOAVRIL24!$A$6:$AU$38,23,0)</f>
        <v>0</v>
      </c>
      <c r="R8" s="36">
        <f>VLOOKUP($A8,[24]HISTOAVRIL24!$A$6:$AU$38,46,0)</f>
        <v>0</v>
      </c>
      <c r="S8" s="36">
        <f>VLOOKUP($A8,[24]HISTOAVRIL24!$A$6:$AU$38,26,0)</f>
        <v>0</v>
      </c>
      <c r="T8" s="36">
        <f>VLOOKUP($A8,[24]HISTOAVRIL24!$A$6:$BG$38,58,0)</f>
        <v>0</v>
      </c>
      <c r="U8" s="36">
        <f>VLOOKUP($A8,[24]HISTOAVRIL24!$A$6:$AU$38,28,0)</f>
        <v>0</v>
      </c>
      <c r="V8" s="36">
        <f>VLOOKUP($A8,[24]HISTOAVRIL24!$A$6:$AU$38,19,0)</f>
        <v>0</v>
      </c>
      <c r="W8" s="36">
        <f>VLOOKUP($A8,[24]HISTOAVRIL24!$A$6:$AU$38,20,0)</f>
        <v>0</v>
      </c>
      <c r="X8" s="36">
        <f>VLOOKUP($A8,[24]HISTOAVRIL24!$A$6:$AU$38,27,0)</f>
        <v>0</v>
      </c>
      <c r="Y8" s="36">
        <f>VLOOKUP($A8,[24]HISTOAVRIL24!$A$6:$BM$38,33,0)</f>
        <v>0</v>
      </c>
      <c r="Z8" s="36">
        <f>VLOOKUP($A8,[24]HISTOAVRIL24!$A$6:$BM$38,65,0)</f>
        <v>0</v>
      </c>
      <c r="AA8" s="36"/>
      <c r="AB8" s="36">
        <f>VLOOKUP($A8,[24]HISTOAVRIL24!$A$6:$AU$38,43,0)</f>
        <v>0</v>
      </c>
      <c r="AC8" s="36">
        <f>VLOOKUP($A8,[24]HISTOAVRIL24!$A$6:$AU$38,44,0)</f>
        <v>0</v>
      </c>
      <c r="AD8" s="36">
        <f>VLOOKUP($A8,[24]HISTOAVRIL24!$A$6:$AU$38,47,0)</f>
        <v>0</v>
      </c>
      <c r="AE8" s="36">
        <f>VLOOKUP(A8,[24]HISTOAVRIL24!$A$6:$BB$38,54,0)</f>
        <v>0</v>
      </c>
      <c r="AF8" s="36">
        <f>VLOOKUP($A8,[24]HISTOAVRIL24!$A$6:$CA$38,60,0)</f>
        <v>0</v>
      </c>
      <c r="AG8" s="36">
        <f>VLOOKUP($A8,[24]HISTOAVRIL24!$A$6:$CA$38,61,0)</f>
        <v>0</v>
      </c>
      <c r="AH8" s="36">
        <f>VLOOKUP($A8,[24]HISTOAVRIL24!$A$6:$CA$38,62,0)</f>
        <v>0</v>
      </c>
      <c r="AI8" s="36">
        <f>VLOOKUP($A8,[24]HISTOAVRIL24!$A$6:$CA$38,63,0)</f>
        <v>0</v>
      </c>
      <c r="AJ8" s="36">
        <f>VLOOKUP($A8,[24]HISTOAVRIL24!$A$6:$CA$38,64,0)</f>
        <v>0</v>
      </c>
      <c r="AK8" s="36">
        <f>VLOOKUP($A8,[24]HISTOAVRIL24!$A$6:$CA$38,65,0)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VLOOKUP($A9,[24]HISTOAVRIL24!$A$6:$BA$38,48,0)</f>
        <v>0</v>
      </c>
      <c r="F9" s="36">
        <f>MVTMARS24!I9-E9+L9</f>
        <v>877962.00686817756</v>
      </c>
      <c r="G9" s="5">
        <f>IF(MVTMARS24!I9+L9&gt;700000,(MVTMARS24!I9-E9+L9),0)</f>
        <v>877962.00686817756</v>
      </c>
      <c r="H9" s="36">
        <f t="shared" si="0"/>
        <v>0</v>
      </c>
      <c r="I9" s="6">
        <f t="shared" si="2"/>
        <v>877962.00686817756</v>
      </c>
      <c r="J9" s="36">
        <f>VLOOKUP($A9,[24]HISTOAVRIL24!$A$6:$AQ$42,22,0)</f>
        <v>0</v>
      </c>
      <c r="K9" s="36">
        <f>VLOOKUP($A9,[24]HISTOAVRIL24!$A$6:$AU$38,45,0)</f>
        <v>22500</v>
      </c>
      <c r="L9" s="36">
        <f t="shared" si="3"/>
        <v>16500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VLOOKUP($A9,[24]HISTOAVRIL24!$A$6:$AU$38,7,0)</f>
        <v>0</v>
      </c>
      <c r="Q9" s="36">
        <f>VLOOKUP($A9,[24]HISTOAVRIL24!$A$6:$AU$38,23,0)</f>
        <v>0</v>
      </c>
      <c r="R9" s="36">
        <f>VLOOKUP($A9,[24]HISTOAVRIL24!$A$6:$AU$38,46,0)</f>
        <v>0</v>
      </c>
      <c r="S9" s="36">
        <f>VLOOKUP($A9,[24]HISTOAVRIL24!$A$6:$AU$38,26,0)</f>
        <v>0</v>
      </c>
      <c r="T9" s="36">
        <f>VLOOKUP($A9,[24]HISTOAVRIL24!$A$6:$BG$38,58,0)</f>
        <v>0</v>
      </c>
      <c r="U9" s="36">
        <f>VLOOKUP($A9,[24]HISTOAVRIL24!$A$6:$AU$38,28,0)</f>
        <v>0</v>
      </c>
      <c r="V9" s="36">
        <f>VLOOKUP($A9,[24]HISTOAVRIL24!$A$6:$AU$38,19,0)</f>
        <v>0</v>
      </c>
      <c r="W9" s="36">
        <f>VLOOKUP($A9,[24]HISTOAVRIL24!$A$6:$AU$38,20,0)</f>
        <v>0</v>
      </c>
      <c r="X9" s="36">
        <f>VLOOKUP($A9,[24]HISTOAVRIL24!$A$6:$AU$38,27,0)</f>
        <v>0</v>
      </c>
      <c r="Y9" s="36">
        <f>VLOOKUP($A9,[24]HISTOAVRIL24!$A$6:$BM$38,33,0)</f>
        <v>0</v>
      </c>
      <c r="Z9" s="36">
        <f>VLOOKUP($A9,[24]HISTOAVRIL24!$A$6:$BM$38,65,0)</f>
        <v>0</v>
      </c>
      <c r="AA9" s="36"/>
      <c r="AB9" s="36">
        <f>VLOOKUP($A9,[24]HISTOAVRIL24!$A$6:$AU$38,43,0)</f>
        <v>0</v>
      </c>
      <c r="AC9" s="36">
        <f>VLOOKUP($A9,[24]HISTOAVRIL24!$A$6:$AU$38,44,0)</f>
        <v>0</v>
      </c>
      <c r="AD9" s="36">
        <f>VLOOKUP($A9,[24]HISTOAVRIL24!$A$6:$AU$38,47,0)</f>
        <v>0</v>
      </c>
      <c r="AE9" s="36">
        <f>VLOOKUP(A9,[24]HISTOAVRIL24!$A$6:$BB$38,54,0)</f>
        <v>0</v>
      </c>
      <c r="AF9" s="36">
        <f>VLOOKUP($A9,[24]HISTOAVRIL24!$A$6:$CA$38,60,0)</f>
        <v>0</v>
      </c>
      <c r="AG9" s="36">
        <f>VLOOKUP($A9,[24]HISTOAVRIL24!$A$6:$CA$38,61,0)</f>
        <v>0</v>
      </c>
      <c r="AH9" s="36">
        <f>VLOOKUP($A9,[24]HISTOAVRIL24!$A$6:$CA$38,62,0)</f>
        <v>0</v>
      </c>
      <c r="AI9" s="36">
        <f>VLOOKUP($A9,[24]HISTOAVRIL24!$A$6:$CA$38,63,0)</f>
        <v>0</v>
      </c>
      <c r="AJ9" s="36">
        <f>VLOOKUP($A9,[24]HISTOAVRIL24!$A$6:$CA$38,64,0)</f>
        <v>0</v>
      </c>
      <c r="AK9" s="36">
        <f>VLOOKUP($A9,[24]HISTOAVRIL24!$A$6:$CA$38,65,0)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VLOOKUP($A10,[24]HISTOAVRIL24!$A$6:$BA$38,48,0)</f>
        <v>0</v>
      </c>
      <c r="F10" s="36">
        <f>MVTMARS24!I10-E10+L10</f>
        <v>817805.20622596238</v>
      </c>
      <c r="G10" s="5">
        <f>IF(MVTMARS24!I10+L10&gt;700000,(MVTMARS24!I10-E10+L10),0)</f>
        <v>817805.20622596238</v>
      </c>
      <c r="H10" s="36">
        <f t="shared" si="0"/>
        <v>0</v>
      </c>
      <c r="I10" s="6">
        <f t="shared" si="2"/>
        <v>817805.20622596238</v>
      </c>
      <c r="J10" s="36">
        <f>VLOOKUP($A10,[24]HISTOAVRIL24!$A$6:$AQ$42,22,0)</f>
        <v>0</v>
      </c>
      <c r="K10" s="36">
        <f>VLOOKUP($A10,[24]HISTOAVRIL24!$A$6:$AU$38,45,0)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VLOOKUP($A10,[24]HISTOAVRIL24!$A$6:$AU$38,7,0)</f>
        <v>0</v>
      </c>
      <c r="Q10" s="36">
        <f>VLOOKUP($A10,[24]HISTOAVRIL24!$A$6:$AU$38,23,0)</f>
        <v>0</v>
      </c>
      <c r="R10" s="36">
        <f>VLOOKUP($A10,[24]HISTOAVRIL24!$A$6:$AU$38,46,0)</f>
        <v>0</v>
      </c>
      <c r="S10" s="36">
        <f>VLOOKUP($A10,[24]HISTOAVRIL24!$A$6:$AU$38,26,0)</f>
        <v>0</v>
      </c>
      <c r="T10" s="36">
        <f>VLOOKUP($A10,[24]HISTOAVRIL24!$A$6:$BG$38,58,0)</f>
        <v>0</v>
      </c>
      <c r="U10" s="36">
        <f>VLOOKUP($A10,[24]HISTOAVRIL24!$A$6:$AU$38,28,0)</f>
        <v>0</v>
      </c>
      <c r="V10" s="36">
        <f>VLOOKUP($A10,[24]HISTOAVRIL24!$A$6:$AU$38,19,0)</f>
        <v>0</v>
      </c>
      <c r="W10" s="36">
        <f>VLOOKUP($A10,[24]HISTOAVRIL24!$A$6:$AU$38,20,0)</f>
        <v>0</v>
      </c>
      <c r="X10" s="36">
        <f>VLOOKUP($A10,[24]HISTOAVRIL24!$A$6:$AU$38,27,0)</f>
        <v>0</v>
      </c>
      <c r="Y10" s="36">
        <f>VLOOKUP($A10,[24]HISTOAVRIL24!$A$6:$BM$38,33,0)</f>
        <v>0</v>
      </c>
      <c r="Z10" s="36">
        <f>VLOOKUP($A10,[24]HISTOAVRIL24!$A$6:$BM$38,65,0)</f>
        <v>0</v>
      </c>
      <c r="AA10" s="36"/>
      <c r="AB10" s="36">
        <f>VLOOKUP($A10,[24]HISTOAVRIL24!$A$6:$AU$38,43,0)</f>
        <v>0</v>
      </c>
      <c r="AC10" s="36">
        <f>VLOOKUP($A10,[24]HISTOAVRIL24!$A$6:$AU$38,44,0)</f>
        <v>0</v>
      </c>
      <c r="AD10" s="36">
        <f>VLOOKUP($A10,[24]HISTOAVRIL24!$A$6:$AU$38,47,0)</f>
        <v>0</v>
      </c>
      <c r="AE10" s="36">
        <f>VLOOKUP(A10,[24]HISTOAVRIL24!$A$6:$BB$38,54,0)</f>
        <v>0</v>
      </c>
      <c r="AF10" s="36">
        <f>VLOOKUP($A10,[24]HISTOAVRIL24!$A$6:$CA$38,60,0)</f>
        <v>0</v>
      </c>
      <c r="AG10" s="36">
        <f>VLOOKUP($A10,[24]HISTOAVRIL24!$A$6:$CA$38,61,0)</f>
        <v>0</v>
      </c>
      <c r="AH10" s="36">
        <f>VLOOKUP($A10,[24]HISTOAVRIL24!$A$6:$CA$38,62,0)</f>
        <v>0</v>
      </c>
      <c r="AI10" s="36">
        <f>VLOOKUP($A10,[24]HISTOAVRIL24!$A$6:$CA$38,63,0)</f>
        <v>0</v>
      </c>
      <c r="AJ10" s="36">
        <f>VLOOKUP($A10,[24]HISTOAVRIL24!$A$6:$CA$38,64,0)</f>
        <v>0</v>
      </c>
      <c r="AK10" s="36">
        <f>VLOOKUP($A10,[24]HISTOAVRIL24!$A$6:$CA$38,65,0)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VLOOKUP($A11,[24]HISTOAVRIL24!$A$6:$BA$38,48,0)</f>
        <v>0</v>
      </c>
      <c r="F11" s="36">
        <f>MVTMARS24!I11-E11+L11</f>
        <v>835855.82895949238</v>
      </c>
      <c r="G11" s="5">
        <f>IF(MVTMARS24!I11+L11&gt;700000,(MVTMARS24!I11-E11+L11),0)</f>
        <v>835855.82895949238</v>
      </c>
      <c r="H11" s="36">
        <f t="shared" si="0"/>
        <v>0</v>
      </c>
      <c r="I11" s="6">
        <f t="shared" si="2"/>
        <v>835855.82895949238</v>
      </c>
      <c r="J11" s="36">
        <f>VLOOKUP($A11,[24]HISTOAVRIL24!$A$6:$AQ$42,22,0)</f>
        <v>0</v>
      </c>
      <c r="K11" s="36">
        <f>VLOOKUP($A11,[24]HISTOAVRIL24!$A$6:$AU$38,45,0)</f>
        <v>35000</v>
      </c>
      <c r="L11" s="36">
        <f t="shared" si="3"/>
        <v>29000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VLOOKUP($A11,[24]HISTOAVRIL24!$A$6:$AU$38,7,0)</f>
        <v>0</v>
      </c>
      <c r="Q11" s="36">
        <f>VLOOKUP($A11,[24]HISTOAVRIL24!$A$6:$AU$38,23,0)</f>
        <v>0</v>
      </c>
      <c r="R11" s="36">
        <f>VLOOKUP($A11,[24]HISTOAVRIL24!$A$6:$AU$38,46,0)</f>
        <v>0</v>
      </c>
      <c r="S11" s="36">
        <f>VLOOKUP($A11,[24]HISTOAVRIL24!$A$6:$AU$38,26,0)</f>
        <v>0</v>
      </c>
      <c r="T11" s="36">
        <f>VLOOKUP($A11,[24]HISTOAVRIL24!$A$6:$BG$38,58,0)</f>
        <v>0</v>
      </c>
      <c r="U11" s="36">
        <f>VLOOKUP($A11,[24]HISTOAVRIL24!$A$6:$AU$38,28,0)</f>
        <v>0</v>
      </c>
      <c r="V11" s="36">
        <f>VLOOKUP($A11,[24]HISTOAVRIL24!$A$6:$AU$38,19,0)</f>
        <v>0</v>
      </c>
      <c r="W11" s="36">
        <f>VLOOKUP($A11,[24]HISTOAVRIL24!$A$6:$AU$38,20,0)</f>
        <v>0</v>
      </c>
      <c r="X11" s="36">
        <f>VLOOKUP($A11,[24]HISTOAVRIL24!$A$6:$AU$38,27,0)</f>
        <v>0</v>
      </c>
      <c r="Y11" s="36">
        <f>VLOOKUP($A11,[24]HISTOAVRIL24!$A$6:$BM$38,33,0)</f>
        <v>0</v>
      </c>
      <c r="Z11" s="36">
        <f>VLOOKUP($A11,[24]HISTOAVRIL24!$A$6:$BM$38,65,0)</f>
        <v>0</v>
      </c>
      <c r="AA11" s="36"/>
      <c r="AB11" s="36">
        <f>VLOOKUP($A11,[24]HISTOAVRIL24!$A$6:$AU$38,43,0)</f>
        <v>0</v>
      </c>
      <c r="AC11" s="36">
        <f>VLOOKUP($A11,[24]HISTOAVRIL24!$A$6:$AU$38,44,0)</f>
        <v>0</v>
      </c>
      <c r="AD11" s="36">
        <f>VLOOKUP($A11,[24]HISTOAVRIL24!$A$6:$AU$38,47,0)</f>
        <v>0</v>
      </c>
      <c r="AE11" s="36">
        <f>VLOOKUP(A11,[24]HISTOAVRIL24!$A$6:$BB$38,54,0)</f>
        <v>0</v>
      </c>
      <c r="AF11" s="36">
        <f>VLOOKUP($A11,[24]HISTOAVRIL24!$A$6:$CA$38,60,0)</f>
        <v>0</v>
      </c>
      <c r="AG11" s="36">
        <f>VLOOKUP($A11,[24]HISTOAVRIL24!$A$6:$CA$38,61,0)</f>
        <v>0</v>
      </c>
      <c r="AH11" s="36">
        <f>VLOOKUP($A11,[24]HISTOAVRIL24!$A$6:$CA$38,62,0)</f>
        <v>0</v>
      </c>
      <c r="AI11" s="36">
        <f>VLOOKUP($A11,[24]HISTOAVRIL24!$A$6:$CA$38,63,0)</f>
        <v>0</v>
      </c>
      <c r="AJ11" s="36">
        <f>VLOOKUP($A11,[24]HISTOAVRIL24!$A$6:$CA$38,64,0)</f>
        <v>0</v>
      </c>
      <c r="AK11" s="36">
        <f>VLOOKUP($A11,[24]HISTOAVRIL24!$A$6:$CA$38,65,0)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VLOOKUP($A12,[24]HISTOAVRIL24!$A$6:$BA$38,48,0)</f>
        <v>0</v>
      </c>
      <c r="F12" s="36">
        <f>MVTMARS24!I12-E12+L12</f>
        <v>859100.14741339569</v>
      </c>
      <c r="G12" s="5">
        <f>IF(MVTMARS24!I12+L12&gt;700000,(MVTMARS24!I12-E12+L12),0)</f>
        <v>859100.14741339569</v>
      </c>
      <c r="H12" s="36">
        <f t="shared" si="0"/>
        <v>0</v>
      </c>
      <c r="I12" s="6">
        <f t="shared" si="2"/>
        <v>859100.14741339569</v>
      </c>
      <c r="J12" s="36">
        <f>VLOOKUP($A12,[24]HISTOAVRIL24!$A$6:$AQ$42,22,0)</f>
        <v>0</v>
      </c>
      <c r="K12" s="36">
        <f>VLOOKUP($A12,[24]HISTOAVRIL24!$A$6:$AU$38,45,0)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VLOOKUP($A12,[24]HISTOAVRIL24!$A$6:$AU$38,7,0)</f>
        <v>0</v>
      </c>
      <c r="Q12" s="36">
        <f>VLOOKUP($A12,[24]HISTOAVRIL24!$A$6:$AU$38,23,0)</f>
        <v>0</v>
      </c>
      <c r="R12" s="36">
        <f>VLOOKUP($A12,[24]HISTOAVRIL24!$A$6:$AU$38,46,0)</f>
        <v>0</v>
      </c>
      <c r="S12" s="36">
        <f>VLOOKUP($A12,[24]HISTOAVRIL24!$A$6:$AU$38,26,0)</f>
        <v>0</v>
      </c>
      <c r="T12" s="36">
        <f>VLOOKUP($A12,[24]HISTOAVRIL24!$A$6:$BG$38,58,0)</f>
        <v>0</v>
      </c>
      <c r="U12" s="36">
        <f>VLOOKUP($A12,[24]HISTOAVRIL24!$A$6:$AU$38,28,0)</f>
        <v>0</v>
      </c>
      <c r="V12" s="36">
        <f>VLOOKUP($A12,[24]HISTOAVRIL24!$A$6:$AU$38,19,0)</f>
        <v>0</v>
      </c>
      <c r="W12" s="36">
        <f>VLOOKUP($A12,[24]HISTOAVRIL24!$A$6:$AU$38,20,0)</f>
        <v>0</v>
      </c>
      <c r="X12" s="36">
        <f>VLOOKUP($A12,[24]HISTOAVRIL24!$A$6:$AU$38,27,0)</f>
        <v>0</v>
      </c>
      <c r="Y12" s="36">
        <f>VLOOKUP($A12,[24]HISTOAVRIL24!$A$6:$BM$38,33,0)</f>
        <v>0</v>
      </c>
      <c r="Z12" s="36">
        <f>VLOOKUP($A12,[24]HISTOAVRIL24!$A$6:$BM$38,65,0)</f>
        <v>0</v>
      </c>
      <c r="AA12" s="36"/>
      <c r="AB12" s="36">
        <f>VLOOKUP($A12,[24]HISTOAVRIL24!$A$6:$AU$38,43,0)</f>
        <v>0</v>
      </c>
      <c r="AC12" s="36">
        <f>VLOOKUP($A12,[24]HISTOAVRIL24!$A$6:$AU$38,44,0)</f>
        <v>0</v>
      </c>
      <c r="AD12" s="36">
        <f>VLOOKUP($A12,[24]HISTOAVRIL24!$A$6:$AU$38,47,0)</f>
        <v>0</v>
      </c>
      <c r="AE12" s="36">
        <f>VLOOKUP(A12,[24]HISTOAVRIL24!$A$6:$BB$38,54,0)</f>
        <v>0</v>
      </c>
      <c r="AF12" s="36">
        <f>VLOOKUP($A12,[24]HISTOAVRIL24!$A$6:$CA$38,60,0)</f>
        <v>0</v>
      </c>
      <c r="AG12" s="36">
        <f>VLOOKUP($A12,[24]HISTOAVRIL24!$A$6:$CA$38,61,0)</f>
        <v>0</v>
      </c>
      <c r="AH12" s="36">
        <f>VLOOKUP($A12,[24]HISTOAVRIL24!$A$6:$CA$38,62,0)</f>
        <v>0</v>
      </c>
      <c r="AI12" s="36">
        <f>VLOOKUP($A12,[24]HISTOAVRIL24!$A$6:$CA$38,63,0)</f>
        <v>0</v>
      </c>
      <c r="AJ12" s="36">
        <f>VLOOKUP($A12,[24]HISTOAVRIL24!$A$6:$CA$38,64,0)</f>
        <v>0</v>
      </c>
      <c r="AK12" s="36">
        <f>VLOOKUP($A12,[24]HISTOAVRIL24!$A$6:$CA$38,65,0)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VLOOKUP($A13,[24]HISTOAVRIL24!$A$6:$BA$38,48,0)</f>
        <v>0</v>
      </c>
      <c r="F13" s="36">
        <f>MVTMARS24!I13-E13+L13</f>
        <v>823555.14612214814</v>
      </c>
      <c r="G13" s="5">
        <f>IF(MVTMARS24!I13+L13&gt;700000,(MVTMARS24!I13-E13+L13),0)</f>
        <v>823555.14612214814</v>
      </c>
      <c r="H13" s="36">
        <f t="shared" si="0"/>
        <v>0</v>
      </c>
      <c r="I13" s="6">
        <f t="shared" si="2"/>
        <v>823555.14612214814</v>
      </c>
      <c r="J13" s="36">
        <f>VLOOKUP($A13,[24]HISTOAVRIL24!$A$6:$AQ$42,22,0)</f>
        <v>0</v>
      </c>
      <c r="K13" s="36">
        <f>VLOOKUP($A13,[24]HISTOAVRIL24!$A$6:$AU$38,45,0)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VLOOKUP($A13,[24]HISTOAVRIL24!$A$6:$AU$38,7,0)</f>
        <v>0</v>
      </c>
      <c r="Q13" s="36">
        <f>VLOOKUP($A13,[24]HISTOAVRIL24!$A$6:$AU$38,23,0)</f>
        <v>0</v>
      </c>
      <c r="R13" s="36">
        <f>VLOOKUP($A13,[24]HISTOAVRIL24!$A$6:$AU$38,46,0)</f>
        <v>0</v>
      </c>
      <c r="S13" s="36">
        <f>VLOOKUP($A13,[24]HISTOAVRIL24!$A$6:$AU$38,26,0)</f>
        <v>0</v>
      </c>
      <c r="T13" s="36">
        <f>VLOOKUP($A13,[24]HISTOAVRIL24!$A$6:$BG$38,58,0)</f>
        <v>0</v>
      </c>
      <c r="U13" s="36">
        <f>VLOOKUP($A13,[24]HISTOAVRIL24!$A$6:$AU$38,28,0)</f>
        <v>0</v>
      </c>
      <c r="V13" s="36">
        <f>VLOOKUP($A13,[24]HISTOAVRIL24!$A$6:$AU$38,19,0)</f>
        <v>0</v>
      </c>
      <c r="W13" s="36">
        <f>VLOOKUP($A13,[24]HISTOAVRIL24!$A$6:$AU$38,20,0)</f>
        <v>0</v>
      </c>
      <c r="X13" s="36">
        <f>VLOOKUP($A13,[24]HISTOAVRIL24!$A$6:$AU$38,27,0)</f>
        <v>0</v>
      </c>
      <c r="Y13" s="36">
        <f>VLOOKUP($A13,[24]HISTOAVRIL24!$A$6:$BM$38,33,0)</f>
        <v>0</v>
      </c>
      <c r="Z13" s="36">
        <f>VLOOKUP($A13,[24]HISTOAVRIL24!$A$6:$BM$38,65,0)</f>
        <v>0</v>
      </c>
      <c r="AA13" s="36"/>
      <c r="AB13" s="36">
        <f>VLOOKUP($A13,[24]HISTOAVRIL24!$A$6:$AU$38,43,0)</f>
        <v>0</v>
      </c>
      <c r="AC13" s="36">
        <f>VLOOKUP($A13,[24]HISTOAVRIL24!$A$6:$AU$38,44,0)</f>
        <v>0</v>
      </c>
      <c r="AD13" s="36">
        <f>VLOOKUP($A13,[24]HISTOAVRIL24!$A$6:$AU$38,47,0)</f>
        <v>0</v>
      </c>
      <c r="AE13" s="36">
        <f>VLOOKUP(A13,[24]HISTOAVRIL24!$A$6:$BB$38,54,0)</f>
        <v>0</v>
      </c>
      <c r="AF13" s="36">
        <f>VLOOKUP($A13,[24]HISTOAVRIL24!$A$6:$CA$38,60,0)</f>
        <v>0</v>
      </c>
      <c r="AG13" s="36">
        <f>VLOOKUP($A13,[24]HISTOAVRIL24!$A$6:$CA$38,61,0)</f>
        <v>0</v>
      </c>
      <c r="AH13" s="36">
        <f>VLOOKUP($A13,[24]HISTOAVRIL24!$A$6:$CA$38,62,0)</f>
        <v>0</v>
      </c>
      <c r="AI13" s="36">
        <f>VLOOKUP($A13,[24]HISTOAVRIL24!$A$6:$CA$38,63,0)</f>
        <v>0</v>
      </c>
      <c r="AJ13" s="36">
        <f>VLOOKUP($A13,[24]HISTOAVRIL24!$A$6:$CA$38,64,0)</f>
        <v>0</v>
      </c>
      <c r="AK13" s="36">
        <f>VLOOKUP($A13,[24]HISTOAVRIL24!$A$6:$CA$38,65,0)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VLOOKUP($A14,[24]HISTOAVRIL24!$A$6:$BA$38,48,0)</f>
        <v>0</v>
      </c>
      <c r="F14" s="36">
        <f>MVTMARS24!I14-E14+L14</f>
        <v>1376425.9823482623</v>
      </c>
      <c r="G14" s="5">
        <f>IF(MVTMARS24!I14+L14&gt;700000,(MVTMARS24!I14-E14+L14),0)</f>
        <v>1376425.9823482623</v>
      </c>
      <c r="H14" s="36">
        <f t="shared" si="0"/>
        <v>0</v>
      </c>
      <c r="I14" s="6">
        <f t="shared" si="2"/>
        <v>1376425.9823482623</v>
      </c>
      <c r="J14" s="36">
        <f>VLOOKUP($A14,[24]HISTOAVRIL24!$A$6:$AQ$42,22,0)</f>
        <v>0</v>
      </c>
      <c r="K14" s="36">
        <f>VLOOKUP($A14,[24]HISTOAVRIL24!$A$6:$AU$38,45,0)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VLOOKUP($A14,[24]HISTOAVRIL24!$A$6:$AU$38,7,0)</f>
        <v>0</v>
      </c>
      <c r="Q14" s="36">
        <f>VLOOKUP($A14,[24]HISTOAVRIL24!$A$6:$AU$38,23,0)</f>
        <v>0</v>
      </c>
      <c r="R14" s="36">
        <f>VLOOKUP($A14,[24]HISTOAVRIL24!$A$6:$AU$38,46,0)</f>
        <v>0</v>
      </c>
      <c r="S14" s="36">
        <f>VLOOKUP($A14,[24]HISTOAVRIL24!$A$6:$AU$38,26,0)</f>
        <v>0</v>
      </c>
      <c r="T14" s="36">
        <f>VLOOKUP($A14,[24]HISTOAVRIL24!$A$6:$BG$38,58,0)</f>
        <v>0</v>
      </c>
      <c r="U14" s="36">
        <f>VLOOKUP($A14,[24]HISTOAVRIL24!$A$6:$AU$38,28,0)</f>
        <v>0</v>
      </c>
      <c r="V14" s="36">
        <f>VLOOKUP($A14,[24]HISTOAVRIL24!$A$6:$AU$38,19,0)</f>
        <v>0</v>
      </c>
      <c r="W14" s="36">
        <f>VLOOKUP($A14,[24]HISTOAVRIL24!$A$6:$AU$38,20,0)</f>
        <v>0</v>
      </c>
      <c r="X14" s="36">
        <f>VLOOKUP($A14,[24]HISTOAVRIL24!$A$6:$AU$38,27,0)</f>
        <v>0</v>
      </c>
      <c r="Y14" s="36">
        <f>VLOOKUP($A14,[24]HISTOAVRIL24!$A$6:$BM$38,33,0)</f>
        <v>0</v>
      </c>
      <c r="Z14" s="36">
        <f>VLOOKUP($A14,[24]HISTOAVRIL24!$A$6:$BM$38,65,0)</f>
        <v>0</v>
      </c>
      <c r="AA14" s="36"/>
      <c r="AB14" s="36">
        <f>VLOOKUP($A14,[24]HISTOAVRIL24!$A$6:$AU$38,43,0)</f>
        <v>0</v>
      </c>
      <c r="AC14" s="36">
        <f>VLOOKUP($A14,[24]HISTOAVRIL24!$A$6:$AU$38,44,0)</f>
        <v>0</v>
      </c>
      <c r="AD14" s="36">
        <f>VLOOKUP($A14,[24]HISTOAVRIL24!$A$6:$AU$38,47,0)</f>
        <v>0</v>
      </c>
      <c r="AE14" s="36">
        <f>VLOOKUP(A14,[24]HISTOAVRIL24!$A$6:$BB$38,54,0)</f>
        <v>0</v>
      </c>
      <c r="AF14" s="36">
        <f>VLOOKUP($A14,[24]HISTOAVRIL24!$A$6:$CA$38,60,0)</f>
        <v>0</v>
      </c>
      <c r="AG14" s="36">
        <f>VLOOKUP($A14,[24]HISTOAVRIL24!$A$6:$CA$38,61,0)</f>
        <v>0</v>
      </c>
      <c r="AH14" s="36">
        <f>VLOOKUP($A14,[24]HISTOAVRIL24!$A$6:$CA$38,62,0)</f>
        <v>0</v>
      </c>
      <c r="AI14" s="36">
        <f>VLOOKUP($A14,[24]HISTOAVRIL24!$A$6:$CA$38,63,0)</f>
        <v>0</v>
      </c>
      <c r="AJ14" s="36">
        <f>VLOOKUP($A14,[24]HISTOAVRIL24!$A$6:$CA$38,64,0)</f>
        <v>0</v>
      </c>
      <c r="AK14" s="36">
        <f>VLOOKUP($A14,[24]HISTOAVRIL24!$A$6:$CA$38,65,0)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VLOOKUP($A15,[24]HISTOAVRIL24!$A$6:$BA$38,48,0)</f>
        <v>0</v>
      </c>
      <c r="F15" s="36">
        <f>MVTMARS24!I15-E15+L15</f>
        <v>885309.62153810938</v>
      </c>
      <c r="G15" s="5">
        <f>IF(MVTMARS24!I15+L15&gt;700000,(MVTMARS24!I15-E15+L15),0)</f>
        <v>885309.62153810938</v>
      </c>
      <c r="H15" s="36">
        <f t="shared" si="0"/>
        <v>0</v>
      </c>
      <c r="I15" s="6">
        <f t="shared" si="2"/>
        <v>885309.62153810938</v>
      </c>
      <c r="J15" s="36">
        <f>VLOOKUP($A15,[24]HISTOAVRIL24!$A$6:$AQ$42,22,0)</f>
        <v>0</v>
      </c>
      <c r="K15" s="36">
        <f>VLOOKUP($A15,[24]HISTOAVRIL24!$A$6:$AU$38,45,0)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VLOOKUP($A15,[24]HISTOAVRIL24!$A$6:$AU$38,7,0)</f>
        <v>0</v>
      </c>
      <c r="Q15" s="36">
        <f>VLOOKUP($A15,[24]HISTOAVRIL24!$A$6:$AU$38,23,0)</f>
        <v>0</v>
      </c>
      <c r="R15" s="36">
        <f>VLOOKUP($A15,[24]HISTOAVRIL24!$A$6:$AU$38,46,0)</f>
        <v>0</v>
      </c>
      <c r="S15" s="36">
        <f>VLOOKUP($A15,[24]HISTOAVRIL24!$A$6:$AU$38,26,0)</f>
        <v>0</v>
      </c>
      <c r="T15" s="36">
        <f>VLOOKUP($A15,[24]HISTOAVRIL24!$A$6:$BG$38,58,0)</f>
        <v>0</v>
      </c>
      <c r="U15" s="36">
        <f>VLOOKUP($A15,[24]HISTOAVRIL24!$A$6:$AU$38,28,0)</f>
        <v>0</v>
      </c>
      <c r="V15" s="36">
        <f>VLOOKUP($A15,[24]HISTOAVRIL24!$A$6:$AU$38,19,0)</f>
        <v>0</v>
      </c>
      <c r="W15" s="36">
        <f>VLOOKUP($A15,[24]HISTOAVRIL24!$A$6:$AU$38,20,0)</f>
        <v>0</v>
      </c>
      <c r="X15" s="36">
        <f>VLOOKUP($A15,[24]HISTOAVRIL24!$A$6:$AU$38,27,0)</f>
        <v>0</v>
      </c>
      <c r="Y15" s="36">
        <f>VLOOKUP($A15,[24]HISTOAVRIL24!$A$6:$BM$38,33,0)</f>
        <v>0</v>
      </c>
      <c r="Z15" s="36">
        <f>VLOOKUP($A15,[24]HISTOAVRIL24!$A$6:$BM$38,65,0)</f>
        <v>0</v>
      </c>
      <c r="AA15" s="36"/>
      <c r="AB15" s="36">
        <f>VLOOKUP($A15,[24]HISTOAVRIL24!$A$6:$AU$38,43,0)</f>
        <v>0</v>
      </c>
      <c r="AC15" s="36">
        <f>VLOOKUP($A15,[24]HISTOAVRIL24!$A$6:$AU$38,44,0)</f>
        <v>0</v>
      </c>
      <c r="AD15" s="36">
        <f>VLOOKUP($A15,[24]HISTOAVRIL24!$A$6:$AU$38,47,0)</f>
        <v>0</v>
      </c>
      <c r="AE15" s="36">
        <f>VLOOKUP(A15,[24]HISTOAVRIL24!$A$6:$BB$38,54,0)</f>
        <v>0</v>
      </c>
      <c r="AF15" s="36">
        <f>VLOOKUP($A15,[24]HISTOAVRIL24!$A$6:$CA$38,60,0)</f>
        <v>0</v>
      </c>
      <c r="AG15" s="36">
        <f>VLOOKUP($A15,[24]HISTOAVRIL24!$A$6:$CA$38,61,0)</f>
        <v>0</v>
      </c>
      <c r="AH15" s="36">
        <f>VLOOKUP($A15,[24]HISTOAVRIL24!$A$6:$CA$38,62,0)</f>
        <v>0</v>
      </c>
      <c r="AI15" s="36">
        <f>VLOOKUP($A15,[24]HISTOAVRIL24!$A$6:$CA$38,63,0)</f>
        <v>0</v>
      </c>
      <c r="AJ15" s="36">
        <f>VLOOKUP($A15,[24]HISTOAVRIL24!$A$6:$CA$38,64,0)</f>
        <v>0</v>
      </c>
      <c r="AK15" s="36">
        <f>VLOOKUP($A15,[24]HISTOAVRIL24!$A$6:$CA$38,65,0)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VLOOKUP($A16,[24]HISTOAVRIL24!$A$6:$BA$38,48,0)</f>
        <v>0</v>
      </c>
      <c r="F16" s="36">
        <f>MVTMARS24!I16-E16+L16</f>
        <v>995858.70650704834</v>
      </c>
      <c r="G16" s="5">
        <f>IF(MVTMARS24!I16+L16&gt;700000,(MVTMARS24!I16-E16+L16),0)</f>
        <v>995858.70650704834</v>
      </c>
      <c r="H16" s="36">
        <f t="shared" si="0"/>
        <v>0</v>
      </c>
      <c r="I16" s="6">
        <f t="shared" si="2"/>
        <v>995858.70650704834</v>
      </c>
      <c r="J16" s="36">
        <f>VLOOKUP($A16,[24]HISTOAVRIL24!$A$6:$AQ$42,22,0)</f>
        <v>0</v>
      </c>
      <c r="K16" s="36">
        <f>VLOOKUP($A16,[24]HISTOAVRIL24!$A$6:$AU$38,45,0)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VLOOKUP($A16,[24]HISTOAVRIL24!$A$6:$AU$38,7,0)</f>
        <v>0</v>
      </c>
      <c r="Q16" s="36">
        <f>VLOOKUP($A16,[24]HISTOAVRIL24!$A$6:$AU$38,23,0)</f>
        <v>0</v>
      </c>
      <c r="R16" s="36">
        <f>VLOOKUP($A16,[24]HISTOAVRIL24!$A$6:$AU$38,46,0)</f>
        <v>0</v>
      </c>
      <c r="S16" s="36">
        <f>VLOOKUP($A16,[24]HISTOAVRIL24!$A$6:$AU$38,26,0)</f>
        <v>0</v>
      </c>
      <c r="T16" s="36">
        <f>VLOOKUP($A16,[24]HISTOAVRIL24!$A$6:$BG$38,58,0)</f>
        <v>0</v>
      </c>
      <c r="U16" s="36">
        <f>VLOOKUP($A16,[24]HISTOAVRIL24!$A$6:$AU$38,28,0)</f>
        <v>0</v>
      </c>
      <c r="V16" s="36">
        <f>VLOOKUP($A16,[24]HISTOAVRIL24!$A$6:$AU$38,19,0)</f>
        <v>0</v>
      </c>
      <c r="W16" s="36">
        <f>VLOOKUP($A16,[24]HISTOAVRIL24!$A$6:$AU$38,20,0)</f>
        <v>0</v>
      </c>
      <c r="X16" s="36">
        <f>VLOOKUP($A16,[24]HISTOAVRIL24!$A$6:$AU$38,27,0)</f>
        <v>0</v>
      </c>
      <c r="Y16" s="36">
        <f>VLOOKUP($A16,[24]HISTOAVRIL24!$A$6:$BM$38,33,0)</f>
        <v>0</v>
      </c>
      <c r="Z16" s="36">
        <f>VLOOKUP($A16,[24]HISTOAVRIL24!$A$6:$BM$38,65,0)</f>
        <v>0</v>
      </c>
      <c r="AA16" s="36"/>
      <c r="AB16" s="36">
        <f>VLOOKUP($A16,[24]HISTOAVRIL24!$A$6:$AU$38,43,0)</f>
        <v>0</v>
      </c>
      <c r="AC16" s="36">
        <f>VLOOKUP($A16,[24]HISTOAVRIL24!$A$6:$AU$38,44,0)</f>
        <v>0</v>
      </c>
      <c r="AD16" s="36">
        <f>VLOOKUP($A16,[24]HISTOAVRIL24!$A$6:$AU$38,47,0)</f>
        <v>0</v>
      </c>
      <c r="AE16" s="36">
        <f>VLOOKUP(A16,[24]HISTOAVRIL24!$A$6:$BB$38,54,0)</f>
        <v>0</v>
      </c>
      <c r="AF16" s="36">
        <f>VLOOKUP($A16,[24]HISTOAVRIL24!$A$6:$CA$38,60,0)</f>
        <v>0</v>
      </c>
      <c r="AG16" s="36">
        <f>VLOOKUP($A16,[24]HISTOAVRIL24!$A$6:$CA$38,61,0)</f>
        <v>0</v>
      </c>
      <c r="AH16" s="36">
        <f>VLOOKUP($A16,[24]HISTOAVRIL24!$A$6:$CA$38,62,0)</f>
        <v>0</v>
      </c>
      <c r="AI16" s="36">
        <f>VLOOKUP($A16,[24]HISTOAVRIL24!$A$6:$CA$38,63,0)</f>
        <v>0</v>
      </c>
      <c r="AJ16" s="36">
        <f>VLOOKUP($A16,[24]HISTOAVRIL24!$A$6:$CA$38,64,0)</f>
        <v>0</v>
      </c>
      <c r="AK16" s="36">
        <f>VLOOKUP($A16,[24]HISTOAVRIL24!$A$6:$CA$38,65,0)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VLOOKUP($A17,[24]HISTOAVRIL24!$A$6:$BA$38,48,0)</f>
        <v>0</v>
      </c>
      <c r="F17" s="36">
        <f>MVTMARS24!I17-E17+L17</f>
        <v>833402.7005255461</v>
      </c>
      <c r="G17" s="5">
        <f>IF(MVTMARS24!I17+L17&gt;700000,(MVTMARS24!I17-E17+L17),0)</f>
        <v>833402.7005255461</v>
      </c>
      <c r="H17" s="36">
        <f t="shared" si="0"/>
        <v>0</v>
      </c>
      <c r="I17" s="6">
        <f t="shared" si="2"/>
        <v>833402.7005255461</v>
      </c>
      <c r="J17" s="36">
        <f>VLOOKUP($A17,[24]HISTOAVRIL24!$A$6:$AQ$42,22,0)</f>
        <v>0</v>
      </c>
      <c r="K17" s="36">
        <f>VLOOKUP($A17,[24]HISTOAVRIL24!$A$6:$AU$38,45,0)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VLOOKUP($A17,[24]HISTOAVRIL24!$A$6:$AU$38,7,0)</f>
        <v>0</v>
      </c>
      <c r="Q17" s="36">
        <f>VLOOKUP($A17,[24]HISTOAVRIL24!$A$6:$AU$38,23,0)</f>
        <v>0</v>
      </c>
      <c r="R17" s="36">
        <f>VLOOKUP($A17,[24]HISTOAVRIL24!$A$6:$AU$38,46,0)</f>
        <v>0</v>
      </c>
      <c r="S17" s="36">
        <f>VLOOKUP($A17,[24]HISTOAVRIL24!$A$6:$AU$38,26,0)</f>
        <v>0</v>
      </c>
      <c r="T17" s="36">
        <f>VLOOKUP($A17,[24]HISTOAVRIL24!$A$6:$BG$38,58,0)</f>
        <v>0</v>
      </c>
      <c r="U17" s="36">
        <f>VLOOKUP($A17,[24]HISTOAVRIL24!$A$6:$AU$38,28,0)</f>
        <v>0</v>
      </c>
      <c r="V17" s="36">
        <f>VLOOKUP($A17,[24]HISTOAVRIL24!$A$6:$AU$38,19,0)</f>
        <v>0</v>
      </c>
      <c r="W17" s="36">
        <f>VLOOKUP($A17,[24]HISTOAVRIL24!$A$6:$AU$38,20,0)</f>
        <v>0</v>
      </c>
      <c r="X17" s="36">
        <f>VLOOKUP($A17,[24]HISTOAVRIL24!$A$6:$AU$38,27,0)</f>
        <v>0</v>
      </c>
      <c r="Y17" s="36">
        <f>VLOOKUP($A17,[24]HISTOAVRIL24!$A$6:$BM$38,33,0)</f>
        <v>0</v>
      </c>
      <c r="Z17" s="36">
        <f>VLOOKUP($A17,[24]HISTOAVRIL24!$A$6:$BM$38,65,0)</f>
        <v>0</v>
      </c>
      <c r="AA17" s="36"/>
      <c r="AB17" s="36">
        <f>VLOOKUP($A17,[24]HISTOAVRIL24!$A$6:$AU$38,43,0)</f>
        <v>0</v>
      </c>
      <c r="AC17" s="36">
        <f>VLOOKUP($A17,[24]HISTOAVRIL24!$A$6:$AU$38,44,0)</f>
        <v>0</v>
      </c>
      <c r="AD17" s="36">
        <f>VLOOKUP($A17,[24]HISTOAVRIL24!$A$6:$AU$38,47,0)</f>
        <v>0</v>
      </c>
      <c r="AE17" s="36">
        <f>VLOOKUP(A17,[24]HISTOAVRIL24!$A$6:$BB$38,54,0)</f>
        <v>0</v>
      </c>
      <c r="AF17" s="36">
        <f>VLOOKUP($A17,[24]HISTOAVRIL24!$A$6:$CA$38,60,0)</f>
        <v>0</v>
      </c>
      <c r="AG17" s="36">
        <f>VLOOKUP($A17,[24]HISTOAVRIL24!$A$6:$CA$38,61,0)</f>
        <v>0</v>
      </c>
      <c r="AH17" s="36">
        <f>VLOOKUP($A17,[24]HISTOAVRIL24!$A$6:$CA$38,62,0)</f>
        <v>0</v>
      </c>
      <c r="AI17" s="36">
        <f>VLOOKUP($A17,[24]HISTOAVRIL24!$A$6:$CA$38,63,0)</f>
        <v>0</v>
      </c>
      <c r="AJ17" s="36">
        <f>VLOOKUP($A17,[24]HISTOAVRIL24!$A$6:$CA$38,64,0)</f>
        <v>0</v>
      </c>
      <c r="AK17" s="36">
        <f>VLOOKUP($A17,[24]HISTOAVRIL24!$A$6:$CA$38,65,0)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VLOOKUP($A18,[24]HISTOAVRIL24!$A$6:$BA$38,48,0)</f>
        <v>0</v>
      </c>
      <c r="F18" s="36">
        <f>MVTMARS24!I18-E18+L18</f>
        <v>879662.76419736946</v>
      </c>
      <c r="G18" s="5">
        <f>IF(MVTMARS24!I18+L18&gt;700000,(MVTMARS24!I18-E18+L18),0)</f>
        <v>879662.76419736946</v>
      </c>
      <c r="H18" s="36">
        <f t="shared" si="0"/>
        <v>0</v>
      </c>
      <c r="I18" s="6">
        <f t="shared" si="2"/>
        <v>879662.76419736946</v>
      </c>
      <c r="J18" s="36">
        <f>VLOOKUP($A18,[24]HISTOAVRIL24!$A$6:$AQ$42,22,0)</f>
        <v>0</v>
      </c>
      <c r="K18" s="36">
        <f>VLOOKUP($A18,[24]HISTOAVRIL24!$A$6:$AU$38,45,0)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VLOOKUP($A18,[24]HISTOAVRIL24!$A$6:$AU$38,7,0)</f>
        <v>0</v>
      </c>
      <c r="Q18" s="36">
        <f>VLOOKUP($A18,[24]HISTOAVRIL24!$A$6:$AU$38,23,0)</f>
        <v>0</v>
      </c>
      <c r="R18" s="36">
        <f>VLOOKUP($A18,[24]HISTOAVRIL24!$A$6:$AU$38,46,0)</f>
        <v>0</v>
      </c>
      <c r="S18" s="36">
        <f>VLOOKUP($A18,[24]HISTOAVRIL24!$A$6:$AU$38,26,0)</f>
        <v>0</v>
      </c>
      <c r="T18" s="36">
        <f>VLOOKUP($A18,[24]HISTOAVRIL24!$A$6:$BG$38,58,0)</f>
        <v>0</v>
      </c>
      <c r="U18" s="36">
        <f>VLOOKUP($A18,[24]HISTOAVRIL24!$A$6:$AU$38,28,0)</f>
        <v>0</v>
      </c>
      <c r="V18" s="36">
        <f>VLOOKUP($A18,[24]HISTOAVRIL24!$A$6:$AU$38,19,0)</f>
        <v>0</v>
      </c>
      <c r="W18" s="36">
        <f>VLOOKUP($A18,[24]HISTOAVRIL24!$A$6:$AU$38,20,0)</f>
        <v>0</v>
      </c>
      <c r="X18" s="36">
        <f>VLOOKUP($A18,[24]HISTOAVRIL24!$A$6:$AU$38,27,0)</f>
        <v>0</v>
      </c>
      <c r="Y18" s="36">
        <f>VLOOKUP($A18,[24]HISTOAVRIL24!$A$6:$BM$38,33,0)</f>
        <v>0</v>
      </c>
      <c r="Z18" s="36">
        <f>VLOOKUP($A18,[24]HISTOAVRIL24!$A$6:$BM$38,65,0)</f>
        <v>0</v>
      </c>
      <c r="AA18" s="36"/>
      <c r="AB18" s="36">
        <f>VLOOKUP($A18,[24]HISTOAVRIL24!$A$6:$AU$38,43,0)</f>
        <v>0</v>
      </c>
      <c r="AC18" s="36">
        <f>VLOOKUP($A18,[24]HISTOAVRIL24!$A$6:$AU$38,44,0)</f>
        <v>0</v>
      </c>
      <c r="AD18" s="36">
        <f>VLOOKUP($A18,[24]HISTOAVRIL24!$A$6:$AU$38,47,0)</f>
        <v>0</v>
      </c>
      <c r="AE18" s="36">
        <f>VLOOKUP(A18,[24]HISTOAVRIL24!$A$6:$BB$38,54,0)</f>
        <v>0</v>
      </c>
      <c r="AF18" s="36">
        <f>VLOOKUP($A18,[24]HISTOAVRIL24!$A$6:$CA$38,60,0)</f>
        <v>0</v>
      </c>
      <c r="AG18" s="36">
        <f>VLOOKUP($A18,[24]HISTOAVRIL24!$A$6:$CA$38,61,0)</f>
        <v>0</v>
      </c>
      <c r="AH18" s="36">
        <f>VLOOKUP($A18,[24]HISTOAVRIL24!$A$6:$CA$38,62,0)</f>
        <v>0</v>
      </c>
      <c r="AI18" s="36">
        <f>VLOOKUP($A18,[24]HISTOAVRIL24!$A$6:$CA$38,63,0)</f>
        <v>0</v>
      </c>
      <c r="AJ18" s="36">
        <f>VLOOKUP($A18,[24]HISTOAVRIL24!$A$6:$CA$38,64,0)</f>
        <v>0</v>
      </c>
      <c r="AK18" s="36">
        <f>VLOOKUP($A18,[24]HISTOAVRIL24!$A$6:$CA$38,65,0)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MVTMARS24!I19-E19+L19</f>
        <v>676217.13072703336</v>
      </c>
      <c r="G19" s="5">
        <f>IF(MVTMARS24!I19+L19&gt;700000,(MVTMARS24!I19-E19+L19),0)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MVTMARS24!I20-E20+L20</f>
        <v>76000</v>
      </c>
      <c r="G20" s="5">
        <f>IF(MVTMARS24!I20+L20&gt;700000,(MVTMARS24!I20-E20+L20),0)</f>
        <v>0</v>
      </c>
      <c r="H20" s="36">
        <f t="shared" si="0"/>
        <v>0</v>
      </c>
      <c r="I20" s="6">
        <f t="shared" si="2"/>
        <v>76000</v>
      </c>
      <c r="J20" s="36">
        <f>VLOOKUP($A20,[24]HISTOAVRIL24!$A$6:$AQ$42,22,0)</f>
        <v>0</v>
      </c>
      <c r="K20" s="36">
        <f>VLOOKUP($A20,[24]HISTOAVRIL24!$A$6:$AU$38,45,0)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VLOOKUP($A20,[24]HISTOAVRIL24!$A$6:$AU$38,7,0)</f>
        <v>0</v>
      </c>
      <c r="Q20" s="36">
        <f>VLOOKUP($A20,[24]HISTOAVRIL24!$A$6:$AU$38,23,0)</f>
        <v>0</v>
      </c>
      <c r="R20" s="36">
        <f>VLOOKUP($A20,[24]HISTOAVRIL24!$A$6:$AU$38,46,0)</f>
        <v>0</v>
      </c>
      <c r="S20" s="36">
        <f>VLOOKUP($A20,[24]HISTOAVRIL24!$A$6:$AU$38,26,0)</f>
        <v>0</v>
      </c>
      <c r="T20" s="36">
        <f>VLOOKUP($A20,[24]HISTOAVRIL24!$A$6:$BG$38,58,0)</f>
        <v>0</v>
      </c>
      <c r="U20" s="36">
        <f>VLOOKUP($A20,[24]HISTOAVRIL24!$A$6:$AU$38,28,0)</f>
        <v>0</v>
      </c>
      <c r="V20" s="36">
        <f>VLOOKUP($A20,[24]HISTOAVRIL24!$A$6:$AU$38,19,0)</f>
        <v>0</v>
      </c>
      <c r="W20" s="36">
        <f>VLOOKUP($A20,[24]HISTOAVRIL24!$A$6:$AU$38,20,0)</f>
        <v>0</v>
      </c>
      <c r="X20" s="36">
        <f>VLOOKUP($A20,[24]HISTOAVRIL24!$A$6:$AU$38,27,0)</f>
        <v>0</v>
      </c>
      <c r="Y20" s="36">
        <f>VLOOKUP($A20,[24]HISTOAVRIL24!$A$6:$BM$38,33,0)</f>
        <v>0</v>
      </c>
      <c r="Z20" s="36">
        <f>VLOOKUP($A20,[24]HISTOAVRIL24!$A$6:$BM$38,65,0)</f>
        <v>0</v>
      </c>
      <c r="AA20" s="36"/>
      <c r="AB20" s="36">
        <f>VLOOKUP($A20,[24]HISTOAVRIL24!$A$6:$AU$38,43,0)</f>
        <v>0</v>
      </c>
      <c r="AC20" s="36">
        <f>VLOOKUP($A20,[24]HISTOAVRIL24!$A$6:$AU$38,44,0)</f>
        <v>0</v>
      </c>
      <c r="AD20" s="36">
        <f>VLOOKUP($A20,[24]HISTOAVRIL24!$A$6:$AU$38,47,0)</f>
        <v>0</v>
      </c>
      <c r="AE20" s="36">
        <f>VLOOKUP(A20,[24]HISTOAVRIL24!$A$6:$BB$38,54,0)</f>
        <v>0</v>
      </c>
      <c r="AF20" s="36">
        <f>VLOOKUP($A20,[24]HISTOAVRIL24!$A$6:$CA$38,60,0)</f>
        <v>0</v>
      </c>
      <c r="AG20" s="36">
        <f>VLOOKUP($A20,[24]HISTOAVRIL24!$A$6:$CA$38,61,0)</f>
        <v>0</v>
      </c>
      <c r="AH20" s="36">
        <f>VLOOKUP($A20,[24]HISTOAVRIL24!$A$6:$CA$38,62,0)</f>
        <v>0</v>
      </c>
      <c r="AI20" s="36">
        <f>VLOOKUP($A20,[24]HISTOAVRIL24!$A$6:$CA$38,63,0)</f>
        <v>0</v>
      </c>
      <c r="AJ20" s="36">
        <f>VLOOKUP($A20,[24]HISTOAVRIL24!$A$6:$CA$38,64,0)</f>
        <v>0</v>
      </c>
      <c r="AK20" s="36">
        <f>VLOOKUP($A20,[24]HISTOAVRIL24!$A$6:$CA$38,65,0)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MVTMARS24!I21-E21+L21</f>
        <v>856355.80062958295</v>
      </c>
      <c r="G21" s="5">
        <f>IF(MVTMARS24!I21+L21&gt;700000,(MVTMARS24!I21-E21+L21),0)</f>
        <v>856355.80062958295</v>
      </c>
      <c r="H21" s="36">
        <f t="shared" si="0"/>
        <v>0</v>
      </c>
      <c r="I21" s="6">
        <f t="shared" si="2"/>
        <v>856355.80062958295</v>
      </c>
      <c r="J21" s="36">
        <f>VLOOKUP($A21,[24]HISTOAVRIL24!$A$6:$AQ$42,22,0)</f>
        <v>0</v>
      </c>
      <c r="K21" s="36">
        <f>VLOOKUP($A21,[24]HISTOAVRIL24!$A$6:$AU$38,45,0)</f>
        <v>24000</v>
      </c>
      <c r="L21" s="36">
        <f t="shared" si="3"/>
        <v>18000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VLOOKUP($A21,[24]HISTOAVRIL24!$A$6:$AU$38,7,0)</f>
        <v>0</v>
      </c>
      <c r="Q21" s="36">
        <f>VLOOKUP($A21,[24]HISTOAVRIL24!$A$6:$AU$38,23,0)</f>
        <v>0</v>
      </c>
      <c r="R21" s="36">
        <f>VLOOKUP($A21,[24]HISTOAVRIL24!$A$6:$AU$38,46,0)</f>
        <v>0</v>
      </c>
      <c r="S21" s="36">
        <f>VLOOKUP($A21,[24]HISTOAVRIL24!$A$6:$AU$38,26,0)</f>
        <v>0</v>
      </c>
      <c r="T21" s="36">
        <f>VLOOKUP($A21,[24]HISTOAVRIL24!$A$6:$BG$38,58,0)</f>
        <v>0</v>
      </c>
      <c r="U21" s="36">
        <f>VLOOKUP($A21,[24]HISTOAVRIL24!$A$6:$AU$38,28,0)</f>
        <v>0</v>
      </c>
      <c r="V21" s="36">
        <f>VLOOKUP($A21,[24]HISTOAVRIL24!$A$6:$AU$38,19,0)</f>
        <v>0</v>
      </c>
      <c r="W21" s="36">
        <f>VLOOKUP($A21,[24]HISTOAVRIL24!$A$6:$AU$38,20,0)</f>
        <v>0</v>
      </c>
      <c r="X21" s="36">
        <f>VLOOKUP($A21,[24]HISTOAVRIL24!$A$6:$AU$38,27,0)</f>
        <v>0</v>
      </c>
      <c r="Y21" s="36">
        <f>VLOOKUP($A21,[24]HISTOAVRIL24!$A$6:$BM$38,33,0)</f>
        <v>0</v>
      </c>
      <c r="Z21" s="36">
        <f>VLOOKUP($A21,[24]HISTOAVRIL24!$A$6:$BM$38,65,0)</f>
        <v>0</v>
      </c>
      <c r="AA21" s="36"/>
      <c r="AB21" s="36">
        <f>VLOOKUP($A21,[24]HISTOAVRIL24!$A$6:$AU$38,43,0)</f>
        <v>0</v>
      </c>
      <c r="AC21" s="36">
        <f>VLOOKUP($A21,[24]HISTOAVRIL24!$A$6:$AU$38,44,0)</f>
        <v>0</v>
      </c>
      <c r="AD21" s="36">
        <f>VLOOKUP($A21,[24]HISTOAVRIL24!$A$6:$AU$38,47,0)</f>
        <v>0</v>
      </c>
      <c r="AE21" s="36">
        <f>VLOOKUP(A21,[24]HISTOAVRIL24!$A$6:$BB$38,54,0)</f>
        <v>0</v>
      </c>
      <c r="AF21" s="36">
        <f>VLOOKUP($A21,[24]HISTOAVRIL24!$A$6:$CA$38,60,0)</f>
        <v>0</v>
      </c>
      <c r="AG21" s="36">
        <f>VLOOKUP($A21,[24]HISTOAVRIL24!$A$6:$CA$38,61,0)</f>
        <v>0</v>
      </c>
      <c r="AH21" s="36">
        <f>VLOOKUP($A21,[24]HISTOAVRIL24!$A$6:$CA$38,62,0)</f>
        <v>0</v>
      </c>
      <c r="AI21" s="36">
        <f>VLOOKUP($A21,[24]HISTOAVRIL24!$A$6:$CA$38,63,0)</f>
        <v>0</v>
      </c>
      <c r="AJ21" s="36">
        <f>VLOOKUP($A21,[24]HISTOAVRIL24!$A$6:$CA$38,64,0)</f>
        <v>0</v>
      </c>
      <c r="AK21" s="36">
        <f>VLOOKUP($A21,[24]HISTOAVRIL24!$A$6:$CA$38,65,0)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MVTMARS24!I22-E22+L22</f>
        <v>824738.95952735876</v>
      </c>
      <c r="G22" s="5">
        <f>IF(MVTMARS24!I22+L22&gt;700000,(MVTMARS24!I22-E22+L22),0)</f>
        <v>824738.95952735876</v>
      </c>
      <c r="H22" s="36">
        <f t="shared" si="0"/>
        <v>0</v>
      </c>
      <c r="I22" s="6">
        <f t="shared" si="2"/>
        <v>824738.95952735876</v>
      </c>
      <c r="J22" s="36">
        <f>VLOOKUP($A22,[24]HISTOAVRIL24!$A$6:$AQ$42,22,0)</f>
        <v>0</v>
      </c>
      <c r="K22" s="36">
        <f>VLOOKUP($A22,[24]HISTOAVRIL24!$A$6:$AU$38,45,0)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VLOOKUP($A22,[24]HISTOAVRIL24!$A$6:$AU$38,7,0)</f>
        <v>0</v>
      </c>
      <c r="Q22" s="36">
        <f>VLOOKUP($A22,[24]HISTOAVRIL24!$A$6:$AU$38,23,0)</f>
        <v>0</v>
      </c>
      <c r="R22" s="36">
        <f>VLOOKUP($A22,[24]HISTOAVRIL24!$A$6:$AU$38,46,0)</f>
        <v>0</v>
      </c>
      <c r="S22" s="36">
        <f>VLOOKUP($A22,[24]HISTOAVRIL24!$A$6:$AU$38,26,0)</f>
        <v>0</v>
      </c>
      <c r="T22" s="36">
        <f>VLOOKUP($A22,[24]HISTOAVRIL24!$A$6:$BG$38,58,0)</f>
        <v>0</v>
      </c>
      <c r="U22" s="36">
        <f>VLOOKUP($A22,[24]HISTOAVRIL24!$A$6:$AU$38,28,0)</f>
        <v>0</v>
      </c>
      <c r="V22" s="36">
        <f>VLOOKUP($A22,[24]HISTOAVRIL24!$A$6:$AU$38,19,0)</f>
        <v>0</v>
      </c>
      <c r="W22" s="36">
        <f>VLOOKUP($A22,[24]HISTOAVRIL24!$A$6:$AU$38,20,0)</f>
        <v>0</v>
      </c>
      <c r="X22" s="36">
        <f>VLOOKUP($A22,[24]HISTOAVRIL24!$A$6:$AU$38,27,0)</f>
        <v>0</v>
      </c>
      <c r="Y22" s="36">
        <f>VLOOKUP($A22,[24]HISTOAVRIL24!$A$6:$BM$38,33,0)</f>
        <v>0</v>
      </c>
      <c r="Z22" s="36">
        <f>VLOOKUP($A22,[24]HISTOAVRIL24!$A$6:$BM$38,65,0)</f>
        <v>0</v>
      </c>
      <c r="AA22" s="36"/>
      <c r="AB22" s="36">
        <f>VLOOKUP($A22,[24]HISTOAVRIL24!$A$6:$AU$38,43,0)</f>
        <v>0</v>
      </c>
      <c r="AC22" s="36">
        <f>VLOOKUP($A22,[24]HISTOAVRIL24!$A$6:$AU$38,44,0)</f>
        <v>0</v>
      </c>
      <c r="AD22" s="36">
        <f>VLOOKUP($A22,[24]HISTOAVRIL24!$A$6:$AU$38,47,0)</f>
        <v>0</v>
      </c>
      <c r="AE22" s="36">
        <f>VLOOKUP(A22,[24]HISTOAVRIL24!$A$6:$BB$38,54,0)</f>
        <v>0</v>
      </c>
      <c r="AF22" s="36">
        <f>VLOOKUP($A22,[24]HISTOAVRIL24!$A$6:$CA$38,60,0)</f>
        <v>0</v>
      </c>
      <c r="AG22" s="36">
        <f>VLOOKUP($A22,[24]HISTOAVRIL24!$A$6:$CA$38,61,0)</f>
        <v>0</v>
      </c>
      <c r="AH22" s="36">
        <f>VLOOKUP($A22,[24]HISTOAVRIL24!$A$6:$CA$38,62,0)</f>
        <v>0</v>
      </c>
      <c r="AI22" s="36">
        <f>VLOOKUP($A22,[24]HISTOAVRIL24!$A$6:$CA$38,63,0)</f>
        <v>0</v>
      </c>
      <c r="AJ22" s="36">
        <f>VLOOKUP($A22,[24]HISTOAVRIL24!$A$6:$CA$38,64,0)</f>
        <v>0</v>
      </c>
      <c r="AK22" s="36">
        <f>VLOOKUP($A22,[24]HISTOAVRIL24!$A$6:$CA$38,65,0)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MVTMARS24!I23-E23+L23</f>
        <v>930674.32467319479</v>
      </c>
      <c r="G23" s="5">
        <f>IF(MVTMARS24!I23+L23&gt;700000,(MVTMARS24!I23-E23+L23),0)</f>
        <v>930674.32467319479</v>
      </c>
      <c r="H23" s="36">
        <f t="shared" si="0"/>
        <v>0</v>
      </c>
      <c r="I23" s="6">
        <f t="shared" si="2"/>
        <v>930674.32467319479</v>
      </c>
      <c r="J23" s="36">
        <f>VLOOKUP($A23,[24]HISTOAVRIL24!$A$6:$AQ$42,22,0)</f>
        <v>0</v>
      </c>
      <c r="K23" s="36">
        <f>VLOOKUP($A23,[24]HISTOAVRIL24!$A$6:$AU$38,45,0)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VLOOKUP($A23,[24]HISTOAVRIL24!$A$6:$AU$38,7,0)</f>
        <v>0</v>
      </c>
      <c r="Q23" s="36">
        <f>VLOOKUP($A23,[24]HISTOAVRIL24!$A$6:$AU$38,23,0)</f>
        <v>0</v>
      </c>
      <c r="R23" s="36">
        <f>VLOOKUP($A23,[24]HISTOAVRIL24!$A$6:$AU$38,46,0)</f>
        <v>0</v>
      </c>
      <c r="S23" s="36">
        <f>VLOOKUP($A23,[24]HISTOAVRIL24!$A$6:$AU$38,26,0)</f>
        <v>0</v>
      </c>
      <c r="T23" s="36">
        <f>VLOOKUP($A23,[24]HISTOAVRIL24!$A$6:$BG$38,58,0)</f>
        <v>0</v>
      </c>
      <c r="U23" s="36">
        <f>VLOOKUP($A23,[24]HISTOAVRIL24!$A$6:$AU$38,28,0)</f>
        <v>0</v>
      </c>
      <c r="V23" s="36">
        <f>VLOOKUP($A23,[24]HISTOAVRIL24!$A$6:$AU$38,19,0)</f>
        <v>0</v>
      </c>
      <c r="W23" s="36">
        <f>VLOOKUP($A23,[24]HISTOAVRIL24!$A$6:$AU$38,20,0)</f>
        <v>0</v>
      </c>
      <c r="X23" s="36">
        <f>VLOOKUP($A23,[24]HISTOAVRIL24!$A$6:$AU$38,27,0)</f>
        <v>0</v>
      </c>
      <c r="Y23" s="36">
        <f>VLOOKUP($A23,[24]HISTOAVRIL24!$A$6:$BM$38,33,0)</f>
        <v>0</v>
      </c>
      <c r="Z23" s="36">
        <f>VLOOKUP($A23,[24]HISTOAVRIL24!$A$6:$BM$38,65,0)</f>
        <v>0</v>
      </c>
      <c r="AA23" s="36"/>
      <c r="AB23" s="36">
        <f>VLOOKUP($A23,[24]HISTOAVRIL24!$A$6:$AU$38,43,0)</f>
        <v>0</v>
      </c>
      <c r="AC23" s="36">
        <f>VLOOKUP($A23,[24]HISTOAVRIL24!$A$6:$AU$38,44,0)</f>
        <v>0</v>
      </c>
      <c r="AD23" s="36">
        <f>VLOOKUP($A23,[24]HISTOAVRIL24!$A$6:$AU$38,47,0)</f>
        <v>0</v>
      </c>
      <c r="AE23" s="36">
        <f>VLOOKUP(A23,[24]HISTOAVRIL24!$A$6:$BB$38,54,0)</f>
        <v>0</v>
      </c>
      <c r="AF23" s="36">
        <f>VLOOKUP($A23,[24]HISTOAVRIL24!$A$6:$CA$38,60,0)</f>
        <v>0</v>
      </c>
      <c r="AG23" s="36">
        <f>VLOOKUP($A23,[24]HISTOAVRIL24!$A$6:$CA$38,61,0)</f>
        <v>0</v>
      </c>
      <c r="AH23" s="36">
        <f>VLOOKUP($A23,[24]HISTOAVRIL24!$A$6:$CA$38,62,0)</f>
        <v>0</v>
      </c>
      <c r="AI23" s="36">
        <f>VLOOKUP($A23,[24]HISTOAVRIL24!$A$6:$CA$38,63,0)</f>
        <v>0</v>
      </c>
      <c r="AJ23" s="36">
        <f>VLOOKUP($A23,[24]HISTOAVRIL24!$A$6:$CA$38,64,0)</f>
        <v>0</v>
      </c>
      <c r="AK23" s="36">
        <f>VLOOKUP($A23,[24]HISTOAVRIL24!$A$6:$CA$38,65,0)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MVTMARS24!I24-E24+L24</f>
        <v>1103827.8441992993</v>
      </c>
      <c r="G24" s="5">
        <f>IF(MVTMARS24!I24+L24&gt;700000,(MVTMARS24!I24-E24+L24),0)</f>
        <v>1103827.8441992993</v>
      </c>
      <c r="H24" s="36">
        <f t="shared" si="0"/>
        <v>0</v>
      </c>
      <c r="I24" s="6">
        <f t="shared" si="2"/>
        <v>1103827.8441992993</v>
      </c>
      <c r="J24" s="36">
        <f>VLOOKUP($A24,[24]HISTOAVRIL24!$A$6:$AQ$42,22,0)</f>
        <v>0</v>
      </c>
      <c r="K24" s="36">
        <f>VLOOKUP($A24,[24]HISTOAVRIL24!$A$6:$AU$38,45,0)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VLOOKUP($A24,[24]HISTOAVRIL24!$A$6:$AU$38,7,0)</f>
        <v>0</v>
      </c>
      <c r="Q24" s="36">
        <f>VLOOKUP($A24,[24]HISTOAVRIL24!$A$6:$AU$38,23,0)</f>
        <v>0</v>
      </c>
      <c r="R24" s="36">
        <f>VLOOKUP($A24,[24]HISTOAVRIL24!$A$6:$AU$38,46,0)</f>
        <v>0</v>
      </c>
      <c r="S24" s="36">
        <f>VLOOKUP($A24,[24]HISTOAVRIL24!$A$6:$AU$38,26,0)</f>
        <v>0</v>
      </c>
      <c r="T24" s="36">
        <f>VLOOKUP($A24,[24]HISTOAVRIL24!$A$6:$BG$38,58,0)</f>
        <v>0</v>
      </c>
      <c r="U24" s="36">
        <f>VLOOKUP($A24,[24]HISTOAVRIL24!$A$6:$AU$38,28,0)</f>
        <v>0</v>
      </c>
      <c r="V24" s="36">
        <f>VLOOKUP($A24,[24]HISTOAVRIL24!$A$6:$AU$38,19,0)</f>
        <v>0</v>
      </c>
      <c r="W24" s="36">
        <f>VLOOKUP($A24,[24]HISTOAVRIL24!$A$6:$AU$38,20,0)</f>
        <v>0</v>
      </c>
      <c r="X24" s="36">
        <f>VLOOKUP($A24,[24]HISTOAVRIL24!$A$6:$AU$38,27,0)</f>
        <v>0</v>
      </c>
      <c r="Y24" s="36">
        <f>VLOOKUP($A24,[24]HISTOAVRIL24!$A$6:$BM$38,33,0)</f>
        <v>0</v>
      </c>
      <c r="Z24" s="36">
        <f>VLOOKUP($A24,[24]HISTOAVRIL24!$A$6:$BM$38,65,0)</f>
        <v>0</v>
      </c>
      <c r="AA24" s="36"/>
      <c r="AB24" s="36">
        <f>VLOOKUP($A24,[24]HISTOAVRIL24!$A$6:$AU$38,43,0)</f>
        <v>0</v>
      </c>
      <c r="AC24" s="36">
        <f>VLOOKUP($A24,[24]HISTOAVRIL24!$A$6:$AU$38,44,0)</f>
        <v>0</v>
      </c>
      <c r="AD24" s="36">
        <f>VLOOKUP($A24,[24]HISTOAVRIL24!$A$6:$AU$38,47,0)</f>
        <v>0</v>
      </c>
      <c r="AE24" s="36">
        <f>VLOOKUP(A24,[24]HISTOAVRIL24!$A$6:$BB$38,54,0)</f>
        <v>0</v>
      </c>
      <c r="AF24" s="36">
        <f>VLOOKUP($A24,[24]HISTOAVRIL24!$A$6:$CA$38,60,0)</f>
        <v>0</v>
      </c>
      <c r="AG24" s="36">
        <f>VLOOKUP($A24,[24]HISTOAVRIL24!$A$6:$CA$38,61,0)</f>
        <v>0</v>
      </c>
      <c r="AH24" s="36">
        <f>VLOOKUP($A24,[24]HISTOAVRIL24!$A$6:$CA$38,62,0)</f>
        <v>0</v>
      </c>
      <c r="AI24" s="36">
        <f>VLOOKUP($A24,[24]HISTOAVRIL24!$A$6:$CA$38,63,0)</f>
        <v>0</v>
      </c>
      <c r="AJ24" s="36">
        <f>VLOOKUP($A24,[24]HISTOAVRIL24!$A$6:$CA$38,64,0)</f>
        <v>0</v>
      </c>
      <c r="AK24" s="36">
        <f>VLOOKUP($A24,[24]HISTOAVRIL24!$A$6:$CA$38,65,0)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MVTMARS24!I25-E25+L25</f>
        <v>915141.79504321574</v>
      </c>
      <c r="G25" s="5">
        <f>IF(MVTMARS24!I25+L25&gt;700000,(MVTMARS24!I25-E25+L25),0)</f>
        <v>915141.79504321574</v>
      </c>
      <c r="H25" s="36">
        <f t="shared" si="0"/>
        <v>0</v>
      </c>
      <c r="I25" s="6">
        <f t="shared" si="2"/>
        <v>915141.79504321574</v>
      </c>
      <c r="J25" s="36">
        <f>VLOOKUP($A25,[24]HISTOAVRIL24!$A$6:$AQ$42,22,0)</f>
        <v>0</v>
      </c>
      <c r="K25" s="36">
        <f>VLOOKUP($A25,[24]HISTOAVRIL24!$A$6:$AU$38,45,0)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VLOOKUP($A25,[24]HISTOAVRIL24!$A$6:$AU$38,7,0)</f>
        <v>3000</v>
      </c>
      <c r="Q25" s="36">
        <f>VLOOKUP($A25,[24]HISTOAVRIL24!$A$6:$AU$38,23,0)</f>
        <v>0</v>
      </c>
      <c r="R25" s="36">
        <f>VLOOKUP($A25,[24]HISTOAVRIL24!$A$6:$AU$38,46,0)</f>
        <v>0</v>
      </c>
      <c r="S25" s="36">
        <f>VLOOKUP($A25,[24]HISTOAVRIL24!$A$6:$AU$38,26,0)</f>
        <v>0</v>
      </c>
      <c r="T25" s="36">
        <f>VLOOKUP($A25,[24]HISTOAVRIL24!$A$6:$BG$38,58,0)</f>
        <v>0</v>
      </c>
      <c r="U25" s="36">
        <f>VLOOKUP($A25,[24]HISTOAVRIL24!$A$6:$AU$38,28,0)</f>
        <v>0</v>
      </c>
      <c r="V25" s="36">
        <f>VLOOKUP($A25,[24]HISTOAVRIL24!$A$6:$AU$38,19,0)</f>
        <v>0</v>
      </c>
      <c r="W25" s="36">
        <f>VLOOKUP($A25,[24]HISTOAVRIL24!$A$6:$AU$38,20,0)</f>
        <v>0</v>
      </c>
      <c r="X25" s="36">
        <f>VLOOKUP($A25,[24]HISTOAVRIL24!$A$6:$AU$38,27,0)</f>
        <v>0</v>
      </c>
      <c r="Y25" s="36">
        <f>VLOOKUP($A25,[24]HISTOAVRIL24!$A$6:$BM$38,33,0)</f>
        <v>0</v>
      </c>
      <c r="Z25" s="36">
        <f>VLOOKUP($A25,[24]HISTOAVRIL24!$A$6:$BM$38,65,0)</f>
        <v>0</v>
      </c>
      <c r="AA25" s="36"/>
      <c r="AB25" s="36">
        <f>VLOOKUP($A25,[24]HISTOAVRIL24!$A$6:$AU$38,43,0)</f>
        <v>0</v>
      </c>
      <c r="AC25" s="36">
        <f>VLOOKUP($A25,[24]HISTOAVRIL24!$A$6:$AU$38,44,0)</f>
        <v>0</v>
      </c>
      <c r="AD25" s="36">
        <f>VLOOKUP($A25,[24]HISTOAVRIL24!$A$6:$AU$38,47,0)</f>
        <v>0</v>
      </c>
      <c r="AE25" s="36">
        <f>VLOOKUP(A25,[24]HISTOAVRIL24!$A$6:$BB$38,54,0)</f>
        <v>0</v>
      </c>
      <c r="AF25" s="36">
        <f>VLOOKUP($A25,[24]HISTOAVRIL24!$A$6:$CA$38,60,0)</f>
        <v>0</v>
      </c>
      <c r="AG25" s="36">
        <f>VLOOKUP($A25,[24]HISTOAVRIL24!$A$6:$CA$38,61,0)</f>
        <v>0</v>
      </c>
      <c r="AH25" s="36">
        <f>VLOOKUP($A25,[24]HISTOAVRIL24!$A$6:$CA$38,62,0)</f>
        <v>0</v>
      </c>
      <c r="AI25" s="36">
        <f>VLOOKUP($A25,[24]HISTOAVRIL24!$A$6:$CA$38,63,0)</f>
        <v>0</v>
      </c>
      <c r="AJ25" s="36">
        <f>VLOOKUP($A25,[24]HISTOAVRIL24!$A$6:$CA$38,64,0)</f>
        <v>0</v>
      </c>
      <c r="AK25" s="36">
        <f>VLOOKUP($A25,[24]HISTOAVRIL24!$A$6:$CA$38,65,0)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MVTMARS24!I26-E26+L26</f>
        <v>843266.46813543816</v>
      </c>
      <c r="G26" s="5">
        <f>IF(MVTMARS24!I26+L26&gt;700000,(MVTMARS24!I26-E26+L26),0)</f>
        <v>843266.46813543816</v>
      </c>
      <c r="H26" s="36">
        <f t="shared" si="0"/>
        <v>0</v>
      </c>
      <c r="I26" s="6">
        <f t="shared" si="2"/>
        <v>843266.46813543816</v>
      </c>
      <c r="J26" s="36">
        <f>VLOOKUP($A26,[24]HISTOAVRIL24!$A$6:$AQ$42,22,0)</f>
        <v>0</v>
      </c>
      <c r="K26" s="36">
        <f>VLOOKUP($A26,[24]HISTOAVRIL24!$A$6:$AU$38,45,0)</f>
        <v>23000</v>
      </c>
      <c r="L26" s="36">
        <f t="shared" si="3"/>
        <v>17000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VLOOKUP($A26,[24]HISTOAVRIL24!$A$6:$AU$38,7,0)</f>
        <v>0</v>
      </c>
      <c r="Q26" s="36">
        <f>VLOOKUP($A26,[24]HISTOAVRIL24!$A$6:$AU$38,23,0)</f>
        <v>0</v>
      </c>
      <c r="R26" s="36">
        <f>VLOOKUP($A26,[24]HISTOAVRIL24!$A$6:$AU$38,46,0)</f>
        <v>0</v>
      </c>
      <c r="S26" s="36">
        <f>VLOOKUP($A26,[24]HISTOAVRIL24!$A$6:$AU$38,26,0)</f>
        <v>0</v>
      </c>
      <c r="T26" s="36">
        <f>VLOOKUP($A26,[24]HISTOAVRIL24!$A$6:$BG$38,58,0)</f>
        <v>0</v>
      </c>
      <c r="U26" s="36">
        <f>VLOOKUP($A26,[24]HISTOAVRIL24!$A$6:$AU$38,28,0)</f>
        <v>0</v>
      </c>
      <c r="V26" s="36">
        <f>VLOOKUP($A26,[24]HISTOAVRIL24!$A$6:$AU$38,19,0)</f>
        <v>0</v>
      </c>
      <c r="W26" s="36">
        <f>VLOOKUP($A26,[24]HISTOAVRIL24!$A$6:$AU$38,20,0)</f>
        <v>0</v>
      </c>
      <c r="X26" s="36">
        <f>VLOOKUP($A26,[24]HISTOAVRIL24!$A$6:$AU$38,27,0)</f>
        <v>0</v>
      </c>
      <c r="Y26" s="36">
        <f>VLOOKUP($A26,[24]HISTOAVRIL24!$A$6:$BM$38,33,0)</f>
        <v>0</v>
      </c>
      <c r="Z26" s="36">
        <f>VLOOKUP($A26,[24]HISTOAVRIL24!$A$6:$BM$38,65,0)</f>
        <v>0</v>
      </c>
      <c r="AA26" s="36"/>
      <c r="AB26" s="36">
        <f>VLOOKUP($A26,[24]HISTOAVRIL24!$A$6:$AU$38,43,0)</f>
        <v>0</v>
      </c>
      <c r="AC26" s="36">
        <f>VLOOKUP($A26,[24]HISTOAVRIL24!$A$6:$AU$38,44,0)</f>
        <v>0</v>
      </c>
      <c r="AD26" s="36">
        <f>VLOOKUP($A26,[24]HISTOAVRIL24!$A$6:$AU$38,47,0)</f>
        <v>0</v>
      </c>
      <c r="AE26" s="36">
        <f>VLOOKUP(A26,[24]HISTOAVRIL24!$A$6:$BB$38,54,0)</f>
        <v>0</v>
      </c>
      <c r="AF26" s="36">
        <f>VLOOKUP($A26,[24]HISTOAVRIL24!$A$6:$CA$38,60,0)</f>
        <v>0</v>
      </c>
      <c r="AG26" s="36">
        <f>VLOOKUP($A26,[24]HISTOAVRIL24!$A$6:$CA$38,61,0)</f>
        <v>0</v>
      </c>
      <c r="AH26" s="36">
        <f>VLOOKUP($A26,[24]HISTOAVRIL24!$A$6:$CA$38,62,0)</f>
        <v>0</v>
      </c>
      <c r="AI26" s="36">
        <f>VLOOKUP($A26,[24]HISTOAVRIL24!$A$6:$CA$38,63,0)</f>
        <v>0</v>
      </c>
      <c r="AJ26" s="36">
        <f>VLOOKUP($A26,[24]HISTOAVRIL24!$A$6:$CA$38,64,0)</f>
        <v>0</v>
      </c>
      <c r="AK26" s="36">
        <f>VLOOKUP($A26,[24]HISTOAVRIL24!$A$6:$CA$38,65,0)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MVTMARS24!I27-E27+L27</f>
        <v>843824.17371512204</v>
      </c>
      <c r="G27" s="5">
        <f>IF(MVTMARS24!I27+L27&gt;700000,(MVTMARS24!I27-E27+L27),0)</f>
        <v>843824.17371512204</v>
      </c>
      <c r="H27" s="36">
        <f t="shared" si="0"/>
        <v>0</v>
      </c>
      <c r="I27" s="6">
        <f t="shared" si="2"/>
        <v>843824.17371512204</v>
      </c>
      <c r="J27" s="36">
        <f>VLOOKUP($A27,[24]HISTOAVRIL24!$A$6:$AQ$42,22,0)</f>
        <v>0</v>
      </c>
      <c r="K27" s="36">
        <f>VLOOKUP($A27,[24]HISTOAVRIL24!$A$6:$AU$38,45,0)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VLOOKUP($A27,[24]HISTOAVRIL24!$A$6:$AU$38,7,0)</f>
        <v>0</v>
      </c>
      <c r="Q27" s="36">
        <f>VLOOKUP($A27,[24]HISTOAVRIL24!$A$6:$AU$38,23,0)</f>
        <v>0</v>
      </c>
      <c r="R27" s="36">
        <f>VLOOKUP($A27,[24]HISTOAVRIL24!$A$6:$AU$38,46,0)</f>
        <v>0</v>
      </c>
      <c r="S27" s="36">
        <f>VLOOKUP($A27,[24]HISTOAVRIL24!$A$6:$AU$38,26,0)</f>
        <v>0</v>
      </c>
      <c r="T27" s="36">
        <f>VLOOKUP($A27,[24]HISTOAVRIL24!$A$6:$BG$38,58,0)</f>
        <v>0</v>
      </c>
      <c r="U27" s="36">
        <f>VLOOKUP($A27,[24]HISTOAVRIL24!$A$6:$AU$38,28,0)</f>
        <v>0</v>
      </c>
      <c r="V27" s="36">
        <f>VLOOKUP($A27,[24]HISTOAVRIL24!$A$6:$AU$38,19,0)</f>
        <v>0</v>
      </c>
      <c r="W27" s="36">
        <f>VLOOKUP($A27,[24]HISTOAVRIL24!$A$6:$AU$38,20,0)</f>
        <v>0</v>
      </c>
      <c r="X27" s="36">
        <f>VLOOKUP($A27,[24]HISTOAVRIL24!$A$6:$AU$38,27,0)</f>
        <v>0</v>
      </c>
      <c r="Y27" s="36">
        <f>VLOOKUP($A27,[24]HISTOAVRIL24!$A$6:$BM$38,33,0)</f>
        <v>0</v>
      </c>
      <c r="Z27" s="36">
        <f>VLOOKUP($A27,[24]HISTOAVRIL24!$A$6:$BM$38,65,0)</f>
        <v>0</v>
      </c>
      <c r="AA27" s="36"/>
      <c r="AB27" s="36">
        <f>VLOOKUP($A27,[24]HISTOAVRIL24!$A$6:$AU$38,43,0)</f>
        <v>0</v>
      </c>
      <c r="AC27" s="36">
        <f>VLOOKUP($A27,[24]HISTOAVRIL24!$A$6:$AU$38,44,0)</f>
        <v>0</v>
      </c>
      <c r="AD27" s="36">
        <f>VLOOKUP($A27,[24]HISTOAVRIL24!$A$6:$AU$38,47,0)</f>
        <v>0</v>
      </c>
      <c r="AE27" s="36">
        <f>VLOOKUP(A27,[24]HISTOAVRIL24!$A$6:$BB$38,54,0)</f>
        <v>0</v>
      </c>
      <c r="AF27" s="36">
        <f>VLOOKUP($A27,[24]HISTOAVRIL24!$A$6:$CA$38,60,0)</f>
        <v>0</v>
      </c>
      <c r="AG27" s="36">
        <f>VLOOKUP($A27,[24]HISTOAVRIL24!$A$6:$CA$38,61,0)</f>
        <v>0</v>
      </c>
      <c r="AH27" s="36">
        <f>VLOOKUP($A27,[24]HISTOAVRIL24!$A$6:$CA$38,62,0)</f>
        <v>0</v>
      </c>
      <c r="AI27" s="36">
        <f>VLOOKUP($A27,[24]HISTOAVRIL24!$A$6:$CA$38,63,0)</f>
        <v>0</v>
      </c>
      <c r="AJ27" s="36">
        <f>VLOOKUP($A27,[24]HISTOAVRIL24!$A$6:$CA$38,64,0)</f>
        <v>0</v>
      </c>
      <c r="AK27" s="36">
        <f>VLOOKUP($A27,[24]HISTOAVRIL24!$A$6:$CA$38,65,0)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MVTMARS24!I28-E28+L28</f>
        <v>745176.12513194664</v>
      </c>
      <c r="G28" s="5">
        <f>IF(MVTMARS24!I28+L28&gt;700000,(MVTMARS24!I28-E28+L28),0)</f>
        <v>745176.12513194664</v>
      </c>
      <c r="H28" s="36">
        <f t="shared" si="0"/>
        <v>0</v>
      </c>
      <c r="I28" s="6">
        <f t="shared" si="2"/>
        <v>745176.12513194664</v>
      </c>
      <c r="J28" s="36">
        <f>VLOOKUP($A28,[24]HISTOAVRIL24!$A$6:$AQ$42,22,0)</f>
        <v>0</v>
      </c>
      <c r="K28" s="36">
        <f>VLOOKUP($A28,[24]HISTOAVRIL24!$A$6:$AU$38,45,0)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VLOOKUP($A28,[24]HISTOAVRIL24!$A$6:$AU$38,7,0)</f>
        <v>0</v>
      </c>
      <c r="Q28" s="36">
        <f>VLOOKUP($A28,[24]HISTOAVRIL24!$A$6:$AU$38,23,0)</f>
        <v>0</v>
      </c>
      <c r="R28" s="36">
        <f>VLOOKUP($A28,[24]HISTOAVRIL24!$A$6:$AU$38,46,0)</f>
        <v>0</v>
      </c>
      <c r="S28" s="36">
        <f>VLOOKUP($A28,[24]HISTOAVRIL24!$A$6:$AU$38,26,0)</f>
        <v>0</v>
      </c>
      <c r="T28" s="36">
        <f>VLOOKUP($A28,[24]HISTOAVRIL24!$A$6:$BG$38,58,0)</f>
        <v>0</v>
      </c>
      <c r="U28" s="36">
        <f>VLOOKUP($A28,[24]HISTOAVRIL24!$A$6:$AU$38,28,0)</f>
        <v>0</v>
      </c>
      <c r="V28" s="36">
        <f>VLOOKUP($A28,[24]HISTOAVRIL24!$A$6:$AU$38,19,0)</f>
        <v>0</v>
      </c>
      <c r="W28" s="36">
        <f>VLOOKUP($A28,[24]HISTOAVRIL24!$A$6:$AU$38,20,0)</f>
        <v>0</v>
      </c>
      <c r="X28" s="36">
        <f>VLOOKUP($A28,[24]HISTOAVRIL24!$A$6:$AU$38,27,0)</f>
        <v>0</v>
      </c>
      <c r="Y28" s="36">
        <f>VLOOKUP($A28,[24]HISTOAVRIL24!$A$6:$BM$38,33,0)</f>
        <v>0</v>
      </c>
      <c r="Z28" s="36">
        <f>VLOOKUP($A28,[24]HISTOAVRIL24!$A$6:$BM$38,65,0)</f>
        <v>0</v>
      </c>
      <c r="AA28" s="36"/>
      <c r="AB28" s="36">
        <f>VLOOKUP($A28,[24]HISTOAVRIL24!$A$6:$AU$38,43,0)</f>
        <v>0</v>
      </c>
      <c r="AC28" s="36">
        <f>VLOOKUP($A28,[24]HISTOAVRIL24!$A$6:$AU$38,44,0)</f>
        <v>0</v>
      </c>
      <c r="AD28" s="36">
        <f>VLOOKUP($A28,[24]HISTOAVRIL24!$A$6:$AU$38,47,0)</f>
        <v>0</v>
      </c>
      <c r="AE28" s="36">
        <f>VLOOKUP(A28,[24]HISTOAVRIL24!$A$6:$BB$38,54,0)</f>
        <v>0</v>
      </c>
      <c r="AF28" s="36">
        <f>VLOOKUP($A28,[24]HISTOAVRIL24!$A$6:$CA$38,60,0)</f>
        <v>0</v>
      </c>
      <c r="AG28" s="36">
        <f>VLOOKUP($A28,[24]HISTOAVRIL24!$A$6:$CA$38,61,0)</f>
        <v>0</v>
      </c>
      <c r="AH28" s="36">
        <f>VLOOKUP($A28,[24]HISTOAVRIL24!$A$6:$CA$38,62,0)</f>
        <v>0</v>
      </c>
      <c r="AI28" s="36">
        <f>VLOOKUP($A28,[24]HISTOAVRIL24!$A$6:$CA$38,63,0)</f>
        <v>0</v>
      </c>
      <c r="AJ28" s="36">
        <f>VLOOKUP($A28,[24]HISTOAVRIL24!$A$6:$CA$38,64,0)</f>
        <v>0</v>
      </c>
      <c r="AK28" s="36">
        <f>VLOOKUP($A28,[24]HISTOAVRIL24!$A$6:$CA$38,65,0)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MVTMARS24!I29-E29+L29</f>
        <v>870151.34423741512</v>
      </c>
      <c r="G29" s="5">
        <f>IF(MVTMARS24!I29+L29&gt;700000,(MVTMARS24!I29-E29+L29),0)</f>
        <v>870151.34423741512</v>
      </c>
      <c r="H29" s="36">
        <f t="shared" si="0"/>
        <v>0</v>
      </c>
      <c r="I29" s="6">
        <f t="shared" si="2"/>
        <v>870151.34423741512</v>
      </c>
      <c r="J29" s="36">
        <f>VLOOKUP($A29,[24]HISTOAVRIL24!$A$6:$AQ$42,22,0)</f>
        <v>0</v>
      </c>
      <c r="K29" s="36">
        <f>VLOOKUP($A29,[24]HISTOAVRIL24!$A$6:$AU$38,45,0)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VLOOKUP($A29,[24]HISTOAVRIL24!$A$6:$AU$38,7,0)</f>
        <v>0</v>
      </c>
      <c r="Q29" s="36">
        <f>VLOOKUP($A29,[24]HISTOAVRIL24!$A$6:$AU$38,23,0)</f>
        <v>0</v>
      </c>
      <c r="R29" s="36">
        <f>VLOOKUP($A29,[24]HISTOAVRIL24!$A$6:$AU$38,46,0)</f>
        <v>0</v>
      </c>
      <c r="S29" s="36">
        <f>VLOOKUP($A29,[24]HISTOAVRIL24!$A$6:$AU$38,26,0)</f>
        <v>0</v>
      </c>
      <c r="T29" s="36">
        <f>VLOOKUP($A29,[24]HISTOAVRIL24!$A$6:$BG$38,58,0)</f>
        <v>0</v>
      </c>
      <c r="U29" s="36">
        <f>VLOOKUP($A29,[24]HISTOAVRIL24!$A$6:$AU$38,28,0)</f>
        <v>0</v>
      </c>
      <c r="V29" s="36">
        <f>VLOOKUP($A29,[24]HISTOAVRIL24!$A$6:$AU$38,19,0)</f>
        <v>0</v>
      </c>
      <c r="W29" s="36">
        <f>VLOOKUP($A29,[24]HISTOAVRIL24!$A$6:$AU$38,20,0)</f>
        <v>0</v>
      </c>
      <c r="X29" s="36">
        <f>VLOOKUP($A29,[24]HISTOAVRIL24!$A$6:$AU$38,27,0)</f>
        <v>0</v>
      </c>
      <c r="Y29" s="36">
        <f>VLOOKUP($A29,[24]HISTOAVRIL24!$A$6:$BM$38,33,0)</f>
        <v>0</v>
      </c>
      <c r="Z29" s="36">
        <f>VLOOKUP($A29,[24]HISTOAVRIL24!$A$6:$BM$38,65,0)</f>
        <v>0</v>
      </c>
      <c r="AA29" s="36"/>
      <c r="AB29" s="36">
        <f>VLOOKUP($A29,[24]HISTOAVRIL24!$A$6:$AU$38,43,0)</f>
        <v>0</v>
      </c>
      <c r="AC29" s="36">
        <f>VLOOKUP($A29,[24]HISTOAVRIL24!$A$6:$AU$38,44,0)</f>
        <v>0</v>
      </c>
      <c r="AD29" s="36">
        <f>VLOOKUP($A29,[24]HISTOAVRIL24!$A$6:$AU$38,47,0)</f>
        <v>0</v>
      </c>
      <c r="AE29" s="36">
        <f>VLOOKUP(A29,[24]HISTOAVRIL24!$A$6:$BB$38,54,0)</f>
        <v>0</v>
      </c>
      <c r="AF29" s="36">
        <f>VLOOKUP($A29,[24]HISTOAVRIL24!$A$6:$CA$38,60,0)</f>
        <v>0</v>
      </c>
      <c r="AG29" s="36">
        <f>VLOOKUP($A29,[24]HISTOAVRIL24!$A$6:$CA$38,61,0)</f>
        <v>0</v>
      </c>
      <c r="AH29" s="36">
        <f>VLOOKUP($A29,[24]HISTOAVRIL24!$A$6:$CA$38,62,0)</f>
        <v>0</v>
      </c>
      <c r="AI29" s="36">
        <f>VLOOKUP($A29,[24]HISTOAVRIL24!$A$6:$CA$38,63,0)</f>
        <v>0</v>
      </c>
      <c r="AJ29" s="36">
        <f>VLOOKUP($A29,[24]HISTOAVRIL24!$A$6:$CA$38,64,0)</f>
        <v>0</v>
      </c>
      <c r="AK29" s="36">
        <f>VLOOKUP($A29,[24]HISTOAVRIL24!$A$6:$CA$38,65,0)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MVTMARS24!I30-E30+L30</f>
        <v>774786.81046782702</v>
      </c>
      <c r="G30" s="5">
        <f>IF(MVTMARS24!I30+L30&gt;700000,(MVTMARS24!I30-E30+L30),0)</f>
        <v>774786.81046782702</v>
      </c>
      <c r="H30" s="36">
        <f t="shared" si="0"/>
        <v>0</v>
      </c>
      <c r="I30" s="6">
        <f t="shared" si="2"/>
        <v>774786.81046782702</v>
      </c>
      <c r="J30" s="36">
        <f>VLOOKUP($A30,[24]HISTOAVRIL24!$A$6:$AQ$42,22,0)</f>
        <v>0</v>
      </c>
      <c r="K30" s="36">
        <f>VLOOKUP($A30,[24]HISTOAVRIL24!$A$6:$AU$38,45,0)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VLOOKUP($A30,[24]HISTOAVRIL24!$A$6:$AU$38,7,0)</f>
        <v>0</v>
      </c>
      <c r="Q30" s="36">
        <f>VLOOKUP($A30,[24]HISTOAVRIL24!$A$6:$AU$38,23,0)</f>
        <v>0</v>
      </c>
      <c r="R30" s="36">
        <f>VLOOKUP($A30,[24]HISTOAVRIL24!$A$6:$AU$38,46,0)</f>
        <v>0</v>
      </c>
      <c r="S30" s="36">
        <f>VLOOKUP($A30,[24]HISTOAVRIL24!$A$6:$AU$38,26,0)</f>
        <v>0</v>
      </c>
      <c r="T30" s="36">
        <f>VLOOKUP($A30,[24]HISTOAVRIL24!$A$6:$BG$38,58,0)</f>
        <v>0</v>
      </c>
      <c r="U30" s="36">
        <f>VLOOKUP($A30,[24]HISTOAVRIL24!$A$6:$AU$38,28,0)</f>
        <v>0</v>
      </c>
      <c r="V30" s="36">
        <f>VLOOKUP($A30,[24]HISTOAVRIL24!$A$6:$AU$38,19,0)</f>
        <v>0</v>
      </c>
      <c r="W30" s="36">
        <f>VLOOKUP($A30,[24]HISTOAVRIL24!$A$6:$AU$38,20,0)</f>
        <v>0</v>
      </c>
      <c r="X30" s="36">
        <f>VLOOKUP($A30,[24]HISTOAVRIL24!$A$6:$AU$38,27,0)</f>
        <v>0</v>
      </c>
      <c r="Y30" s="36">
        <f>VLOOKUP($A30,[24]HISTOAVRIL24!$A$6:$BM$38,33,0)</f>
        <v>0</v>
      </c>
      <c r="Z30" s="36">
        <f>VLOOKUP($A30,[24]HISTOAVRIL24!$A$6:$BM$38,65,0)</f>
        <v>0</v>
      </c>
      <c r="AA30" s="36"/>
      <c r="AB30" s="36">
        <f>VLOOKUP($A30,[24]HISTOAVRIL24!$A$6:$AU$38,43,0)</f>
        <v>0</v>
      </c>
      <c r="AC30" s="36">
        <f>VLOOKUP($A30,[24]HISTOAVRIL24!$A$6:$AU$38,44,0)</f>
        <v>0</v>
      </c>
      <c r="AD30" s="36">
        <f>VLOOKUP($A30,[24]HISTOAVRIL24!$A$6:$AU$38,47,0)</f>
        <v>0</v>
      </c>
      <c r="AE30" s="36">
        <f>VLOOKUP(A30,[24]HISTOAVRIL24!$A$6:$BB$38,54,0)</f>
        <v>0</v>
      </c>
      <c r="AF30" s="36">
        <f>VLOOKUP($A30,[24]HISTOAVRIL24!$A$6:$CA$38,60,0)</f>
        <v>0</v>
      </c>
      <c r="AG30" s="36">
        <f>VLOOKUP($A30,[24]HISTOAVRIL24!$A$6:$CA$38,61,0)</f>
        <v>0</v>
      </c>
      <c r="AH30" s="36">
        <f>VLOOKUP($A30,[24]HISTOAVRIL24!$A$6:$CA$38,62,0)</f>
        <v>0</v>
      </c>
      <c r="AI30" s="36">
        <f>VLOOKUP($A30,[24]HISTOAVRIL24!$A$6:$CA$38,63,0)</f>
        <v>0</v>
      </c>
      <c r="AJ30" s="36">
        <f>VLOOKUP($A30,[24]HISTOAVRIL24!$A$6:$CA$38,64,0)</f>
        <v>0</v>
      </c>
      <c r="AK30" s="36">
        <f>VLOOKUP($A30,[24]HISTOAVRIL24!$A$6:$CA$38,65,0)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MVTMARS24!I31-E31+L31</f>
        <v>934903.03114813485</v>
      </c>
      <c r="G31" s="5">
        <f>IF(MVTMARS24!I31+L31&gt;700000,(MVTMARS24!I31-E31+L31),0)</f>
        <v>934903.03114813485</v>
      </c>
      <c r="H31" s="36">
        <f t="shared" si="0"/>
        <v>0</v>
      </c>
      <c r="I31" s="6">
        <f t="shared" si="2"/>
        <v>934903.03114813485</v>
      </c>
      <c r="J31" s="36">
        <f>VLOOKUP($A31,[24]HISTOAVRIL24!$A$6:$AQ$42,22,0)</f>
        <v>0</v>
      </c>
      <c r="K31" s="36">
        <f>VLOOKUP($A31,[24]HISTOAVRIL24!$A$6:$AU$38,45,0)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VLOOKUP($A31,[24]HISTOAVRIL24!$A$6:$AU$38,7,0)</f>
        <v>0</v>
      </c>
      <c r="Q31" s="36">
        <f>VLOOKUP($A31,[24]HISTOAVRIL24!$A$6:$AU$38,23,0)</f>
        <v>0</v>
      </c>
      <c r="R31" s="36">
        <f>VLOOKUP($A31,[24]HISTOAVRIL24!$A$6:$AU$38,46,0)</f>
        <v>0</v>
      </c>
      <c r="S31" s="36">
        <f>VLOOKUP($A31,[24]HISTOAVRIL24!$A$6:$AU$38,26,0)</f>
        <v>0</v>
      </c>
      <c r="T31" s="36">
        <f>VLOOKUP($A31,[24]HISTOAVRIL24!$A$6:$BG$38,58,0)</f>
        <v>0</v>
      </c>
      <c r="U31" s="36">
        <f>VLOOKUP($A31,[24]HISTOAVRIL24!$A$6:$AU$38,28,0)</f>
        <v>0</v>
      </c>
      <c r="V31" s="36">
        <f>VLOOKUP($A31,[24]HISTOAVRIL24!$A$6:$AU$38,19,0)</f>
        <v>0</v>
      </c>
      <c r="W31" s="36">
        <f>VLOOKUP($A31,[24]HISTOAVRIL24!$A$6:$AU$38,20,0)</f>
        <v>0</v>
      </c>
      <c r="X31" s="36">
        <f>VLOOKUP($A31,[24]HISTOAVRIL24!$A$6:$AU$38,27,0)</f>
        <v>0</v>
      </c>
      <c r="Y31" s="36">
        <f>VLOOKUP($A31,[24]HISTOAVRIL24!$A$6:$BM$38,33,0)</f>
        <v>0</v>
      </c>
      <c r="Z31" s="36">
        <f>VLOOKUP($A31,[24]HISTOAVRIL24!$A$6:$BM$38,65,0)</f>
        <v>0</v>
      </c>
      <c r="AA31" s="36"/>
      <c r="AB31" s="36">
        <f>VLOOKUP($A31,[24]HISTOAVRIL24!$A$6:$AU$38,43,0)</f>
        <v>0</v>
      </c>
      <c r="AC31" s="36">
        <f>VLOOKUP($A31,[24]HISTOAVRIL24!$A$6:$AU$38,44,0)</f>
        <v>0</v>
      </c>
      <c r="AD31" s="36">
        <f>VLOOKUP($A31,[24]HISTOAVRIL24!$A$6:$AU$38,47,0)</f>
        <v>0</v>
      </c>
      <c r="AE31" s="36">
        <f>VLOOKUP(A31,[24]HISTOAVRIL24!$A$6:$BB$38,54,0)</f>
        <v>0</v>
      </c>
      <c r="AF31" s="36">
        <f>VLOOKUP($A31,[24]HISTOAVRIL24!$A$6:$CA$38,60,0)</f>
        <v>0</v>
      </c>
      <c r="AG31" s="36">
        <f>VLOOKUP($A31,[24]HISTOAVRIL24!$A$6:$CA$38,61,0)</f>
        <v>0</v>
      </c>
      <c r="AH31" s="36">
        <f>VLOOKUP($A31,[24]HISTOAVRIL24!$A$6:$CA$38,62,0)</f>
        <v>0</v>
      </c>
      <c r="AI31" s="36">
        <f>VLOOKUP($A31,[24]HISTOAVRIL24!$A$6:$CA$38,63,0)</f>
        <v>0</v>
      </c>
      <c r="AJ31" s="36">
        <f>VLOOKUP($A31,[24]HISTOAVRIL24!$A$6:$CA$38,64,0)</f>
        <v>0</v>
      </c>
      <c r="AK31" s="36">
        <f>VLOOKUP($A31,[24]HISTOAVRIL24!$A$6:$CA$38,65,0)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MVTMARS24!I32-E32+L32</f>
        <v>824243.98131057119</v>
      </c>
      <c r="G32" s="5">
        <f>IF(MVTMARS24!I32+L32&gt;700000,(MVTMARS24!I32-E32+L32),0)</f>
        <v>824243.98131057119</v>
      </c>
      <c r="H32" s="36">
        <f t="shared" si="0"/>
        <v>0</v>
      </c>
      <c r="I32" s="6">
        <f t="shared" si="2"/>
        <v>824243.98131057119</v>
      </c>
      <c r="J32" s="36">
        <f>VLOOKUP($A32,[24]HISTOAVRIL24!$A$6:$AQ$42,22,0)</f>
        <v>0</v>
      </c>
      <c r="K32" s="36">
        <f>VLOOKUP($A32,[24]HISTOAVRIL24!$A$6:$AU$38,45,0)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VLOOKUP($A32,[24]HISTOAVRIL24!$A$6:$AU$38,7,0)</f>
        <v>0</v>
      </c>
      <c r="Q32" s="36">
        <f>VLOOKUP($A32,[24]HISTOAVRIL24!$A$6:$AU$38,23,0)</f>
        <v>0</v>
      </c>
      <c r="R32" s="36">
        <f>VLOOKUP($A32,[24]HISTOAVRIL24!$A$6:$AU$38,46,0)</f>
        <v>0</v>
      </c>
      <c r="S32" s="36">
        <f>VLOOKUP($A32,[24]HISTOAVRIL24!$A$6:$AU$38,26,0)</f>
        <v>0</v>
      </c>
      <c r="T32" s="36">
        <f>VLOOKUP($A32,[24]HISTOAVRIL24!$A$6:$BG$38,58,0)</f>
        <v>0</v>
      </c>
      <c r="U32" s="36">
        <f>VLOOKUP($A32,[24]HISTOAVRIL24!$A$6:$AU$38,28,0)</f>
        <v>0</v>
      </c>
      <c r="V32" s="36">
        <f>VLOOKUP($A32,[24]HISTOAVRIL24!$A$6:$AU$38,19,0)</f>
        <v>0</v>
      </c>
      <c r="W32" s="36">
        <f>VLOOKUP($A32,[24]HISTOAVRIL24!$A$6:$AU$38,20,0)</f>
        <v>0</v>
      </c>
      <c r="X32" s="36">
        <f>VLOOKUP($A32,[24]HISTOAVRIL24!$A$6:$AU$38,27,0)</f>
        <v>0</v>
      </c>
      <c r="Y32" s="36">
        <f>VLOOKUP($A32,[24]HISTOAVRIL24!$A$6:$BM$38,33,0)</f>
        <v>0</v>
      </c>
      <c r="Z32" s="36">
        <f>VLOOKUP($A32,[24]HISTOAVRIL24!$A$6:$BM$38,65,0)</f>
        <v>0</v>
      </c>
      <c r="AA32" s="36"/>
      <c r="AB32" s="36">
        <f>VLOOKUP($A32,[24]HISTOAVRIL24!$A$6:$AU$38,43,0)</f>
        <v>0</v>
      </c>
      <c r="AC32" s="36">
        <f>VLOOKUP($A32,[24]HISTOAVRIL24!$A$6:$AU$38,44,0)</f>
        <v>0</v>
      </c>
      <c r="AD32" s="36">
        <f>VLOOKUP($A32,[24]HISTOAVRIL24!$A$6:$AU$38,47,0)</f>
        <v>0</v>
      </c>
      <c r="AE32" s="36">
        <f>VLOOKUP(A32,[24]HISTOAVRIL24!$A$6:$BB$38,54,0)</f>
        <v>0</v>
      </c>
      <c r="AF32" s="36">
        <f>VLOOKUP($A32,[24]HISTOAVRIL24!$A$6:$CA$38,60,0)</f>
        <v>0</v>
      </c>
      <c r="AG32" s="36">
        <f>VLOOKUP($A32,[24]HISTOAVRIL24!$A$6:$CA$38,61,0)</f>
        <v>0</v>
      </c>
      <c r="AH32" s="36">
        <f>VLOOKUP($A32,[24]HISTOAVRIL24!$A$6:$CA$38,62,0)</f>
        <v>0</v>
      </c>
      <c r="AI32" s="36">
        <f>VLOOKUP($A32,[24]HISTOAVRIL24!$A$6:$CA$38,63,0)</f>
        <v>0</v>
      </c>
      <c r="AJ32" s="36">
        <f>VLOOKUP($A32,[24]HISTOAVRIL24!$A$6:$CA$38,64,0)</f>
        <v>0</v>
      </c>
      <c r="AK32" s="36">
        <f>VLOOKUP($A32,[24]HISTOAVRIL24!$A$6:$CA$38,65,0)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MVTMARS24!I33-E33+L33</f>
        <v>824552.64928596013</v>
      </c>
      <c r="G33" s="5">
        <f>IF(MVTMARS24!I33+L33&gt;700000,(MVTMARS24!I33-E33+L33),0)</f>
        <v>824552.64928596013</v>
      </c>
      <c r="H33" s="36">
        <f t="shared" si="0"/>
        <v>0</v>
      </c>
      <c r="I33" s="6">
        <f t="shared" si="2"/>
        <v>824552.64928596013</v>
      </c>
      <c r="J33" s="36">
        <f>VLOOKUP($A33,[24]HISTOAVRIL24!$A$6:$AQ$42,22,0)</f>
        <v>0</v>
      </c>
      <c r="K33" s="36">
        <f>VLOOKUP($A33,[24]HISTOAVRIL24!$A$6:$AU$38,45,0)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VLOOKUP($A33,[24]HISTOAVRIL24!$A$6:$AU$38,7,0)</f>
        <v>0</v>
      </c>
      <c r="Q33" s="36">
        <f>VLOOKUP($A33,[24]HISTOAVRIL24!$A$6:$AU$38,23,0)</f>
        <v>0</v>
      </c>
      <c r="R33" s="36">
        <f>VLOOKUP($A33,[24]HISTOAVRIL24!$A$6:$AU$38,46,0)</f>
        <v>0</v>
      </c>
      <c r="S33" s="36">
        <f>VLOOKUP($A33,[24]HISTOAVRIL24!$A$6:$AU$38,26,0)</f>
        <v>0</v>
      </c>
      <c r="T33" s="36">
        <f>VLOOKUP($A33,[24]HISTOAVRIL24!$A$6:$BG$38,58,0)</f>
        <v>0</v>
      </c>
      <c r="U33" s="36">
        <f>VLOOKUP($A33,[24]HISTOAVRIL24!$A$6:$AU$38,28,0)</f>
        <v>0</v>
      </c>
      <c r="V33" s="36">
        <f>VLOOKUP($A33,[24]HISTOAVRIL24!$A$6:$AU$38,19,0)</f>
        <v>0</v>
      </c>
      <c r="W33" s="36">
        <f>VLOOKUP($A33,[24]HISTOAVRIL24!$A$6:$AU$38,20,0)</f>
        <v>0</v>
      </c>
      <c r="X33" s="36">
        <f>VLOOKUP($A33,[24]HISTOAVRIL24!$A$6:$AU$38,27,0)</f>
        <v>0</v>
      </c>
      <c r="Y33" s="36">
        <f>VLOOKUP($A33,[24]HISTOAVRIL24!$A$6:$BM$38,33,0)</f>
        <v>0</v>
      </c>
      <c r="Z33" s="36">
        <f>VLOOKUP($A33,[24]HISTOAVRIL24!$A$6:$BM$38,65,0)</f>
        <v>0</v>
      </c>
      <c r="AA33" s="36"/>
      <c r="AB33" s="36">
        <f>VLOOKUP($A33,[24]HISTOAVRIL24!$A$6:$AU$38,43,0)</f>
        <v>0</v>
      </c>
      <c r="AC33" s="36">
        <f>VLOOKUP($A33,[24]HISTOAVRIL24!$A$6:$AU$38,44,0)</f>
        <v>0</v>
      </c>
      <c r="AD33" s="36">
        <f>VLOOKUP($A33,[24]HISTOAVRIL24!$A$6:$AU$38,47,0)</f>
        <v>0</v>
      </c>
      <c r="AE33" s="36">
        <f>VLOOKUP(A33,[24]HISTOAVRIL24!$A$6:$BB$38,54,0)</f>
        <v>0</v>
      </c>
      <c r="AF33" s="36">
        <f>VLOOKUP($A33,[24]HISTOAVRIL24!$A$6:$CA$38,60,0)</f>
        <v>0</v>
      </c>
      <c r="AG33" s="36">
        <f>VLOOKUP($A33,[24]HISTOAVRIL24!$A$6:$CA$38,61,0)</f>
        <v>0</v>
      </c>
      <c r="AH33" s="36">
        <f>VLOOKUP($A33,[24]HISTOAVRIL24!$A$6:$CA$38,62,0)</f>
        <v>0</v>
      </c>
      <c r="AI33" s="36">
        <f>VLOOKUP($A33,[24]HISTOAVRIL24!$A$6:$CA$38,63,0)</f>
        <v>0</v>
      </c>
      <c r="AJ33" s="36">
        <f>VLOOKUP($A33,[24]HISTOAVRIL24!$A$6:$CA$38,64,0)</f>
        <v>0</v>
      </c>
      <c r="AK33" s="36">
        <f>VLOOKUP($A33,[24]HISTOAVRIL24!$A$6:$CA$38,65,0)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MVTMARS24!I34-E34+L34</f>
        <v>481000</v>
      </c>
      <c r="G34" s="5">
        <f>IF(MVTMARS24!I34+L34&gt;700000,(MVTMARS24!I34-E34+L34),0)</f>
        <v>0</v>
      </c>
      <c r="H34" s="36">
        <f t="shared" si="0"/>
        <v>0</v>
      </c>
      <c r="I34" s="6">
        <f t="shared" si="2"/>
        <v>481000</v>
      </c>
      <c r="J34" s="36">
        <f>VLOOKUP($A34,[24]HISTOAVRIL24!$A$6:$AQ$42,22,0)</f>
        <v>0</v>
      </c>
      <c r="K34" s="36">
        <f>VLOOKUP($A34,[24]HISTOAVRIL24!$A$6:$AU$38,45,0)</f>
        <v>105000</v>
      </c>
      <c r="L34" s="36">
        <f t="shared" si="3"/>
        <v>99000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VLOOKUP($A34,[24]HISTOAVRIL24!$A$6:$AU$38,7,0)</f>
        <v>0</v>
      </c>
      <c r="Q34" s="36">
        <f>VLOOKUP($A34,[24]HISTOAVRIL24!$A$6:$AU$38,23,0)</f>
        <v>0</v>
      </c>
      <c r="R34" s="36">
        <f>VLOOKUP($A34,[24]HISTOAVRIL24!$A$6:$AU$38,46,0)</f>
        <v>0</v>
      </c>
      <c r="S34" s="36">
        <f>VLOOKUP($A34,[24]HISTOAVRIL24!$A$6:$AU$38,26,0)</f>
        <v>0</v>
      </c>
      <c r="T34" s="36">
        <f>VLOOKUP($A34,[24]HISTOAVRIL24!$A$6:$BG$38,58,0)</f>
        <v>0</v>
      </c>
      <c r="U34" s="36">
        <f>VLOOKUP($A34,[24]HISTOAVRIL24!$A$6:$AU$38,28,0)</f>
        <v>0</v>
      </c>
      <c r="V34" s="36">
        <f>VLOOKUP($A34,[24]HISTOAVRIL24!$A$6:$AU$38,19,0)</f>
        <v>0</v>
      </c>
      <c r="W34" s="36">
        <f>VLOOKUP($A34,[24]HISTOAVRIL24!$A$6:$AU$38,20,0)</f>
        <v>0</v>
      </c>
      <c r="X34" s="36">
        <f>VLOOKUP($A34,[24]HISTOAVRIL24!$A$6:$AU$38,27,0)</f>
        <v>0</v>
      </c>
      <c r="Y34" s="36">
        <f>VLOOKUP($A34,[24]HISTOAVRIL24!$A$6:$BM$38,33,0)</f>
        <v>0</v>
      </c>
      <c r="Z34" s="36">
        <f>VLOOKUP($A34,[24]HISTOAVRIL24!$A$6:$BM$38,65,0)</f>
        <v>0</v>
      </c>
      <c r="AA34" s="36"/>
      <c r="AB34" s="36">
        <f>VLOOKUP($A34,[24]HISTOAVRIL24!$A$6:$AU$38,43,0)</f>
        <v>0</v>
      </c>
      <c r="AC34" s="36">
        <f>VLOOKUP($A34,[24]HISTOAVRIL24!$A$6:$AU$38,44,0)</f>
        <v>0</v>
      </c>
      <c r="AD34" s="36">
        <f>VLOOKUP($A34,[24]HISTOAVRIL24!$A$6:$AU$38,47,0)</f>
        <v>0</v>
      </c>
      <c r="AE34" s="36">
        <f>VLOOKUP(A34,[24]HISTOAVRIL24!$A$6:$BB$38,54,0)</f>
        <v>0</v>
      </c>
      <c r="AF34" s="36">
        <f>VLOOKUP($A34,[24]HISTOAVRIL24!$A$6:$CA$38,60,0)</f>
        <v>0</v>
      </c>
      <c r="AG34" s="36">
        <f>VLOOKUP($A34,[24]HISTOAVRIL24!$A$6:$CA$38,61,0)</f>
        <v>0</v>
      </c>
      <c r="AH34" s="36">
        <f>VLOOKUP($A34,[24]HISTOAVRIL24!$A$6:$CA$38,62,0)</f>
        <v>0</v>
      </c>
      <c r="AI34" s="36">
        <f>VLOOKUP($A34,[24]HISTOAVRIL24!$A$6:$CA$38,63,0)</f>
        <v>0</v>
      </c>
      <c r="AJ34" s="36">
        <f>VLOOKUP($A34,[24]HISTOAVRIL24!$A$6:$CA$38,64,0)</f>
        <v>0</v>
      </c>
      <c r="AK34" s="36">
        <f>VLOOKUP($A34,[24]HISTOAVRIL24!$A$6:$CA$38,65,0)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MVTMARS24!I35-E35+L35</f>
        <v>176000</v>
      </c>
      <c r="G35" s="5">
        <f>IF(MVTMARS24!I35+L35&gt;700000,(MVTMARS24!I35-E35+L35),0)</f>
        <v>0</v>
      </c>
      <c r="H35" s="36">
        <f t="shared" si="0"/>
        <v>0</v>
      </c>
      <c r="I35" s="6">
        <f t="shared" si="2"/>
        <v>176000</v>
      </c>
      <c r="J35" s="36">
        <f>VLOOKUP($A35,[24]HISTOAVRIL24!$A$6:$AQ$42,22,0)</f>
        <v>0</v>
      </c>
      <c r="K35" s="36">
        <f>VLOOKUP($A35,[24]HISTOAVRIL24!$A$6:$AU$38,45,0)</f>
        <v>22000</v>
      </c>
      <c r="L35" s="36">
        <f t="shared" si="3"/>
        <v>16000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VLOOKUP($A35,[24]HISTOAVRIL24!$A$6:$AU$38,7,0)</f>
        <v>3000</v>
      </c>
      <c r="Q35" s="36">
        <f>VLOOKUP($A35,[24]HISTOAVRIL24!$A$6:$AU$38,23,0)</f>
        <v>0</v>
      </c>
      <c r="R35" s="36">
        <f>VLOOKUP($A35,[24]HISTOAVRIL24!$A$6:$AU$38,46,0)</f>
        <v>0</v>
      </c>
      <c r="S35" s="36">
        <f>VLOOKUP($A35,[24]HISTOAVRIL24!$A$6:$AU$38,26,0)</f>
        <v>0</v>
      </c>
      <c r="T35" s="36">
        <f>VLOOKUP($A35,[24]HISTOAVRIL24!$A$6:$BG$38,58,0)</f>
        <v>0</v>
      </c>
      <c r="U35" s="36">
        <f>VLOOKUP($A35,[24]HISTOAVRIL24!$A$6:$AU$38,28,0)</f>
        <v>0</v>
      </c>
      <c r="V35" s="36">
        <f>VLOOKUP($A35,[24]HISTOAVRIL24!$A$6:$AU$38,19,0)</f>
        <v>0</v>
      </c>
      <c r="W35" s="36">
        <f>VLOOKUP($A35,[24]HISTOAVRIL24!$A$6:$AU$38,20,0)</f>
        <v>0</v>
      </c>
      <c r="X35" s="36">
        <f>VLOOKUP($A35,[24]HISTOAVRIL24!$A$6:$AU$38,27,0)</f>
        <v>0</v>
      </c>
      <c r="Y35" s="36">
        <f>VLOOKUP($A35,[24]HISTOAVRIL24!$A$6:$BM$38,33,0)</f>
        <v>0</v>
      </c>
      <c r="Z35" s="36">
        <f>VLOOKUP($A35,[24]HISTOAVRIL24!$A$6:$BM$38,65,0)</f>
        <v>0</v>
      </c>
      <c r="AA35" s="36"/>
      <c r="AB35" s="36">
        <f>VLOOKUP($A35,[24]HISTOAVRIL24!$A$6:$AU$38,43,0)</f>
        <v>0</v>
      </c>
      <c r="AC35" s="36">
        <f>VLOOKUP($A35,[24]HISTOAVRIL24!$A$6:$AU$38,44,0)</f>
        <v>0</v>
      </c>
      <c r="AD35" s="36">
        <f>VLOOKUP($A35,[24]HISTOAVRIL24!$A$6:$AU$38,47,0)</f>
        <v>0</v>
      </c>
      <c r="AE35" s="36">
        <f>VLOOKUP(A35,[24]HISTOAVRIL24!$A$6:$BB$38,54,0)</f>
        <v>0</v>
      </c>
      <c r="AF35" s="36">
        <f>VLOOKUP($A35,[24]HISTOAVRIL24!$A$6:$CA$38,60,0)</f>
        <v>0</v>
      </c>
      <c r="AG35" s="36">
        <f>VLOOKUP($A35,[24]HISTOAVRIL24!$A$6:$CA$38,61,0)</f>
        <v>0</v>
      </c>
      <c r="AH35" s="36">
        <f>VLOOKUP($A35,[24]HISTOAVRIL24!$A$6:$CA$38,62,0)</f>
        <v>0</v>
      </c>
      <c r="AI35" s="36">
        <f>VLOOKUP($A35,[24]HISTOAVRIL24!$A$6:$CA$38,63,0)</f>
        <v>0</v>
      </c>
      <c r="AJ35" s="36">
        <f>VLOOKUP($A35,[24]HISTOAVRIL24!$A$6:$CA$38,64,0)</f>
        <v>0</v>
      </c>
      <c r="AK35" s="36">
        <f>VLOOKUP($A35,[24]HISTOAVRIL24!$A$6:$CA$38,65,0)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MVTMARS24!I36-E36+L36</f>
        <v>861599.08181867818</v>
      </c>
      <c r="G36" s="5">
        <f>IF(MVTMARS24!I36+L36&gt;700000,(MVTMARS24!I36-E36+L36),0)</f>
        <v>861599.08181867818</v>
      </c>
      <c r="H36" s="36">
        <f t="shared" si="0"/>
        <v>0</v>
      </c>
      <c r="I36" s="6">
        <f t="shared" si="2"/>
        <v>861599.08181867818</v>
      </c>
      <c r="J36" s="36">
        <f>VLOOKUP($A36,[24]HISTOAVRIL24!$A$6:$AQ$42,22,0)</f>
        <v>0</v>
      </c>
      <c r="K36" s="36">
        <f>VLOOKUP($A36,[24]HISTOAVRIL24!$A$6:$AU$38,45,0)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VLOOKUP($A36,[24]HISTOAVRIL24!$A$6:$AU$38,7,0)</f>
        <v>0</v>
      </c>
      <c r="Q36" s="36">
        <f>VLOOKUP($A36,[24]HISTOAVRIL24!$A$6:$AU$38,23,0)</f>
        <v>0</v>
      </c>
      <c r="R36" s="36">
        <f>VLOOKUP($A36,[24]HISTOAVRIL24!$A$6:$AU$38,46,0)</f>
        <v>0</v>
      </c>
      <c r="S36" s="36">
        <f>VLOOKUP($A36,[24]HISTOAVRIL24!$A$6:$AU$38,26,0)</f>
        <v>0</v>
      </c>
      <c r="T36" s="36">
        <f>VLOOKUP($A36,[24]HISTOAVRIL24!$A$6:$BG$38,58,0)</f>
        <v>0</v>
      </c>
      <c r="U36" s="36">
        <f>VLOOKUP($A36,[24]HISTOAVRIL24!$A$6:$AU$38,28,0)</f>
        <v>0</v>
      </c>
      <c r="V36" s="36">
        <f>VLOOKUP($A36,[24]HISTOAVRIL24!$A$6:$AU$38,19,0)</f>
        <v>0</v>
      </c>
      <c r="W36" s="36">
        <f>VLOOKUP($A36,[24]HISTOAVRIL24!$A$6:$AU$38,20,0)</f>
        <v>0</v>
      </c>
      <c r="X36" s="36">
        <f>VLOOKUP($A36,[24]HISTOAVRIL24!$A$6:$AU$38,27,0)</f>
        <v>0</v>
      </c>
      <c r="Y36" s="36">
        <f>VLOOKUP($A36,[24]HISTOAVRIL24!$A$6:$BM$38,33,0)</f>
        <v>0</v>
      </c>
      <c r="Z36" s="36">
        <f>VLOOKUP($A36,[24]HISTOAVRIL24!$A$6:$BM$38,65,0)</f>
        <v>0</v>
      </c>
      <c r="AA36" s="36"/>
      <c r="AB36" s="36">
        <f>VLOOKUP($A36,[24]HISTOAVRIL24!$A$6:$AU$38,43,0)</f>
        <v>0</v>
      </c>
      <c r="AC36" s="36">
        <f>VLOOKUP($A36,[24]HISTOAVRIL24!$A$6:$AU$38,44,0)</f>
        <v>0</v>
      </c>
      <c r="AD36" s="36">
        <f>VLOOKUP($A36,[24]HISTOAVRIL24!$A$6:$AU$38,47,0)</f>
        <v>0</v>
      </c>
      <c r="AE36" s="36">
        <f>VLOOKUP(A36,[24]HISTOAVRIL24!$A$6:$BB$38,54,0)</f>
        <v>0</v>
      </c>
      <c r="AF36" s="36">
        <f>VLOOKUP($A36,[24]HISTOAVRIL24!$A$6:$CA$38,60,0)</f>
        <v>0</v>
      </c>
      <c r="AG36" s="36">
        <f>VLOOKUP($A36,[24]HISTOAVRIL24!$A$6:$CA$38,61,0)</f>
        <v>0</v>
      </c>
      <c r="AH36" s="36">
        <f>VLOOKUP($A36,[24]HISTOAVRIL24!$A$6:$CA$38,62,0)</f>
        <v>0</v>
      </c>
      <c r="AI36" s="36">
        <f>VLOOKUP($A36,[24]HISTOAVRIL24!$A$6:$CA$38,63,0)</f>
        <v>0</v>
      </c>
      <c r="AJ36" s="36">
        <f>VLOOKUP($A36,[24]HISTOAVRIL24!$A$6:$CA$38,64,0)</f>
        <v>0</v>
      </c>
      <c r="AK36" s="36">
        <f>VLOOKUP($A36,[24]HISTOAVRIL24!$A$6:$CA$38,65,0)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MVTMARS24!I37-E37+L37</f>
        <v>1894400.7147676253</v>
      </c>
      <c r="G37" s="5">
        <f>IF(MVTMARS24!I37+L37&gt;700000,(MVTMARS24!I37-E37+L37),0)</f>
        <v>1894400.7147676253</v>
      </c>
      <c r="H37" s="36">
        <f t="shared" si="0"/>
        <v>0</v>
      </c>
      <c r="I37" s="6">
        <f t="shared" si="2"/>
        <v>1894400.7147676253</v>
      </c>
      <c r="J37" s="36">
        <f>VLOOKUP($A37,[24]HISTOAVRIL24!$A$6:$AQ$42,22,0)</f>
        <v>0</v>
      </c>
      <c r="K37" s="36">
        <f>VLOOKUP($A37,[24]HISTOAVRIL24!$A$6:$AU$38,45,0)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VLOOKUP($A37,[24]HISTOAVRIL24!$A$6:$AU$38,7,0)</f>
        <v>3000</v>
      </c>
      <c r="Q37" s="36">
        <f>VLOOKUP($A37,[24]HISTOAVRIL24!$A$6:$AU$38,23,0)</f>
        <v>0</v>
      </c>
      <c r="R37" s="36">
        <f>VLOOKUP($A37,[24]HISTOAVRIL24!$A$6:$AU$38,46,0)</f>
        <v>0</v>
      </c>
      <c r="S37" s="36">
        <f>VLOOKUP($A37,[24]HISTOAVRIL24!$A$6:$AU$38,26,0)</f>
        <v>0</v>
      </c>
      <c r="T37" s="36">
        <f>VLOOKUP($A37,[24]HISTOAVRIL24!$A$6:$BG$38,58,0)</f>
        <v>0</v>
      </c>
      <c r="U37" s="36">
        <f>VLOOKUP($A37,[24]HISTOAVRIL24!$A$6:$AU$38,28,0)</f>
        <v>0</v>
      </c>
      <c r="V37" s="36">
        <f>VLOOKUP($A37,[24]HISTOAVRIL24!$A$6:$AU$38,19,0)</f>
        <v>0</v>
      </c>
      <c r="W37" s="36">
        <f>VLOOKUP($A37,[24]HISTOAVRIL24!$A$6:$AU$38,20,0)</f>
        <v>0</v>
      </c>
      <c r="X37" s="36">
        <f>VLOOKUP($A37,[24]HISTOAVRIL24!$A$6:$AU$38,27,0)</f>
        <v>0</v>
      </c>
      <c r="Y37" s="36">
        <f>VLOOKUP($A37,[24]HISTOAVRIL24!$A$6:$BM$38,33,0)</f>
        <v>0</v>
      </c>
      <c r="Z37" s="36">
        <f>VLOOKUP($A37,[24]HISTOAVRIL24!$A$6:$BM$38,65,0)</f>
        <v>0</v>
      </c>
      <c r="AA37" s="36"/>
      <c r="AB37" s="36">
        <f>VLOOKUP($A37,[24]HISTOAVRIL24!$A$6:$AU$38,43,0)</f>
        <v>0</v>
      </c>
      <c r="AC37" s="36">
        <f>VLOOKUP($A37,[24]HISTOAVRIL24!$A$6:$AU$38,44,0)</f>
        <v>0</v>
      </c>
      <c r="AD37" s="36">
        <f>VLOOKUP($A37,[24]HISTOAVRIL24!$A$6:$AU$38,47,0)</f>
        <v>0</v>
      </c>
      <c r="AE37" s="36">
        <f>VLOOKUP(A37,[24]HISTOAVRIL24!$A$6:$BB$38,54,0)</f>
        <v>0</v>
      </c>
      <c r="AF37" s="36">
        <f>VLOOKUP($A37,[24]HISTOAVRIL24!$A$6:$CA$38,60,0)</f>
        <v>0</v>
      </c>
      <c r="AG37" s="36">
        <f>VLOOKUP($A37,[24]HISTOAVRIL24!$A$6:$CA$38,61,0)</f>
        <v>0</v>
      </c>
      <c r="AH37" s="36">
        <f>VLOOKUP($A37,[24]HISTOAVRIL24!$A$6:$CA$38,62,0)</f>
        <v>0</v>
      </c>
      <c r="AI37" s="36">
        <f>VLOOKUP($A37,[24]HISTOAVRIL24!$A$6:$CA$38,63,0)</f>
        <v>0</v>
      </c>
      <c r="AJ37" s="36">
        <f>VLOOKUP($A37,[24]HISTOAVRIL24!$A$6:$CA$38,64,0)</f>
        <v>0</v>
      </c>
      <c r="AK37" s="36">
        <f>VLOOKUP($A37,[24]HISTOAVRIL24!$A$6:$CA$38,65,0)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MVTMARS24!I38-E38+L38</f>
        <v>76000</v>
      </c>
      <c r="G38" s="5">
        <f>IF(MVTMARS24!I38+L38&gt;700000,(MVTMARS24!I38-E38+L38),0)</f>
        <v>0</v>
      </c>
      <c r="H38" s="36">
        <f t="shared" si="0"/>
        <v>0</v>
      </c>
      <c r="I38" s="6">
        <f t="shared" si="2"/>
        <v>76000</v>
      </c>
      <c r="J38" s="36">
        <f>VLOOKUP($A38,[24]HISTOAVRIL24!$A$6:$AQ$42,22,0)</f>
        <v>0</v>
      </c>
      <c r="K38" s="36">
        <f>VLOOKUP($A38,[24]HISTOAVRIL24!$A$6:$AU$38,45,0)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VLOOKUP($A38,[24]HISTOAVRIL24!$A$6:$AU$38,7,0)</f>
        <v>0</v>
      </c>
      <c r="Q38" s="36">
        <f>VLOOKUP($A38,[24]HISTOAVRIL24!$A$6:$AU$38,23,0)</f>
        <v>0</v>
      </c>
      <c r="R38" s="36">
        <f>VLOOKUP($A38,[24]HISTOAVRIL24!$A$6:$AU$38,46,0)</f>
        <v>0</v>
      </c>
      <c r="S38" s="36">
        <f>VLOOKUP($A38,[24]HISTOAVRIL24!$A$6:$AU$38,26,0)</f>
        <v>0</v>
      </c>
      <c r="T38" s="36">
        <f>VLOOKUP($A38,[24]HISTOAVRIL24!$A$6:$BG$38,58,0)</f>
        <v>0</v>
      </c>
      <c r="U38" s="36">
        <f>VLOOKUP($A38,[24]HISTOAVRIL24!$A$6:$AU$38,28,0)</f>
        <v>0</v>
      </c>
      <c r="V38" s="36">
        <f>VLOOKUP($A38,[24]HISTOAVRIL24!$A$6:$AU$38,19,0)</f>
        <v>0</v>
      </c>
      <c r="W38" s="36">
        <f>VLOOKUP($A38,[24]HISTOAVRIL24!$A$6:$AU$38,20,0)</f>
        <v>0</v>
      </c>
      <c r="X38" s="36">
        <f>VLOOKUP($A38,[24]HISTOAVRIL24!$A$6:$AU$38,27,0)</f>
        <v>0</v>
      </c>
      <c r="Y38" s="36">
        <f>VLOOKUP($A38,[24]HISTOAVRIL24!$A$6:$BM$38,33,0)</f>
        <v>0</v>
      </c>
      <c r="Z38" s="36">
        <f>VLOOKUP($A38,[24]HISTOAVRIL24!$A$6:$BM$38,65,0)</f>
        <v>0</v>
      </c>
      <c r="AA38" s="36"/>
      <c r="AB38" s="36">
        <f>VLOOKUP($A38,[24]HISTOAVRIL24!$A$6:$AU$38,43,0)</f>
        <v>0</v>
      </c>
      <c r="AC38" s="36">
        <f>VLOOKUP($A38,[24]HISTOAVRIL24!$A$6:$AU$38,44,0)</f>
        <v>0</v>
      </c>
      <c r="AD38" s="36">
        <f>VLOOKUP($A38,[24]HISTOAVRIL24!$A$6:$AU$38,47,0)</f>
        <v>0</v>
      </c>
      <c r="AE38" s="36">
        <f>VLOOKUP(A38,[24]HISTOAVRIL24!$A$6:$BB$38,54,0)</f>
        <v>0</v>
      </c>
      <c r="AF38" s="36">
        <f>VLOOKUP($A38,[24]HISTOAVRIL24!$A$6:$CA$38,60,0)</f>
        <v>0</v>
      </c>
      <c r="AG38" s="36">
        <f>VLOOKUP($A38,[24]HISTOAVRIL24!$A$6:$CA$38,61,0)</f>
        <v>0</v>
      </c>
      <c r="AH38" s="36">
        <f>VLOOKUP($A38,[24]HISTOAVRIL24!$A$6:$CA$38,62,0)</f>
        <v>0</v>
      </c>
      <c r="AI38" s="36">
        <f>VLOOKUP($A38,[24]HISTOAVRIL24!$A$6:$CA$38,63,0)</f>
        <v>0</v>
      </c>
      <c r="AJ38" s="36">
        <f>VLOOKUP($A38,[24]HISTOAVRIL24!$A$6:$CA$38,64,0)</f>
        <v>0</v>
      </c>
      <c r="AK38" s="36">
        <f>VLOOKUP($A38,[24]HISTOAVRIL24!$A$6:$CA$38,65,0)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MVTMARS24!I39-E39+L39</f>
        <v>2059313.2142100567</v>
      </c>
      <c r="G39" s="5">
        <f>IF(MVTMARS24!I39+L39&gt;700000,(MVTMARS24!I39-E39+L39),0)</f>
        <v>2059313.2142100567</v>
      </c>
      <c r="H39" s="36">
        <f t="shared" si="0"/>
        <v>0</v>
      </c>
      <c r="I39" s="6">
        <f t="shared" si="2"/>
        <v>2059313.2142100567</v>
      </c>
      <c r="J39" s="36">
        <f>VLOOKUP($A39,[24]HISTOAVRIL24!$A$6:$AQ$42,22,0)</f>
        <v>0</v>
      </c>
      <c r="K39" s="36">
        <f>VLOOKUP($A39,[24]HISTOAVRIL24!$A$6:$AU$38,45,0)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VLOOKUP($A39,[24]HISTOAVRIL24!$A$6:$AU$38,7,0)</f>
        <v>0</v>
      </c>
      <c r="Q39" s="36">
        <f>VLOOKUP($A39,[24]HISTOAVRIL24!$A$6:$AU$38,23,0)</f>
        <v>0</v>
      </c>
      <c r="R39" s="36">
        <f>VLOOKUP($A39,[24]HISTOAVRIL24!$A$6:$AU$38,46,0)</f>
        <v>0</v>
      </c>
      <c r="S39" s="36">
        <f>VLOOKUP($A39,[24]HISTOAVRIL24!$A$6:$AU$38,26,0)</f>
        <v>0</v>
      </c>
      <c r="T39" s="36">
        <f>VLOOKUP($A39,[24]HISTOAVRIL24!$A$6:$BG$38,58,0)</f>
        <v>0</v>
      </c>
      <c r="U39" s="36">
        <f>VLOOKUP($A39,[24]HISTOAVRIL24!$A$6:$AU$38,28,0)</f>
        <v>0</v>
      </c>
      <c r="V39" s="36">
        <f>VLOOKUP($A39,[24]HISTOAVRIL24!$A$6:$AU$38,19,0)</f>
        <v>0</v>
      </c>
      <c r="W39" s="36">
        <f>VLOOKUP($A39,[24]HISTOAVRIL24!$A$6:$AU$38,20,0)</f>
        <v>0</v>
      </c>
      <c r="X39" s="36">
        <f>VLOOKUP($A39,[24]HISTOAVRIL24!$A$6:$AU$38,27,0)</f>
        <v>0</v>
      </c>
      <c r="Y39" s="36">
        <f>VLOOKUP($A39,[24]HISTOAVRIL24!$A$6:$BM$38,33,0)</f>
        <v>0</v>
      </c>
      <c r="Z39" s="36">
        <f>VLOOKUP($A39,[24]HISTOAVRIL24!$A$6:$BM$38,65,0)</f>
        <v>0</v>
      </c>
      <c r="AA39" s="36"/>
      <c r="AB39" s="36">
        <f>VLOOKUP($A39,[24]HISTOAVRIL24!$A$6:$AU$38,43,0)</f>
        <v>0</v>
      </c>
      <c r="AC39" s="36">
        <f>VLOOKUP($A39,[24]HISTOAVRIL24!$A$6:$AU$38,44,0)</f>
        <v>0</v>
      </c>
      <c r="AD39" s="36">
        <f>VLOOKUP($A39,[24]HISTOAVRIL24!$A$6:$AU$38,47,0)</f>
        <v>0</v>
      </c>
      <c r="AE39" s="36">
        <f>VLOOKUP(A39,[24]HISTOAVRIL24!$A$6:$BB$38,54,0)</f>
        <v>0</v>
      </c>
      <c r="AF39" s="36">
        <f>VLOOKUP($A39,[24]HISTOAVRIL24!$A$6:$CA$38,60,0)</f>
        <v>0</v>
      </c>
      <c r="AG39" s="36">
        <f>VLOOKUP($A39,[24]HISTOAVRIL24!$A$6:$CA$38,61,0)</f>
        <v>0</v>
      </c>
      <c r="AH39" s="36">
        <f>VLOOKUP($A39,[24]HISTOAVRIL24!$A$6:$CA$38,62,0)</f>
        <v>0</v>
      </c>
      <c r="AI39" s="36">
        <f>VLOOKUP($A39,[24]HISTOAVRIL24!$A$6:$CA$38,63,0)</f>
        <v>0</v>
      </c>
      <c r="AJ39" s="36">
        <f>VLOOKUP($A39,[24]HISTOAVRIL24!$A$6:$CA$38,64,0)</f>
        <v>0</v>
      </c>
      <c r="AK39" s="36">
        <f>VLOOKUP($A39,[24]HISTOAVRIL24!$A$6:$CA$38,65,0)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29320656.655274987</v>
      </c>
      <c r="G41" s="9">
        <f t="shared" si="10"/>
        <v>27835439.524547949</v>
      </c>
      <c r="H41" s="36">
        <f t="shared" si="10"/>
        <v>0</v>
      </c>
      <c r="I41" s="9">
        <f t="shared" si="10"/>
        <v>29320656.655274987</v>
      </c>
      <c r="J41" s="9">
        <f t="shared" si="10"/>
        <v>0</v>
      </c>
      <c r="K41" s="9">
        <f t="shared" si="10"/>
        <v>948500</v>
      </c>
      <c r="L41" s="9">
        <f t="shared" si="10"/>
        <v>756500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G6" activePane="bottomRight" state="frozen"/>
      <selection activeCell="B43" sqref="B43"/>
      <selection pane="topRight" activeCell="B43" sqref="B43"/>
      <selection pane="bottomLeft" activeCell="B43" sqref="B43"/>
      <selection pane="bottomRight" activeCell="K6" sqref="J6:AK39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45429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VLOOKUP($A6,[24]HISTOMAI24!$A$6:$BA$38,48,0)</f>
        <v>0</v>
      </c>
      <c r="F6" s="36">
        <f>MVTAVRIL24!I6-E6+L6</f>
        <v>946220.58968855068</v>
      </c>
      <c r="G6" s="5">
        <f>IF(MVTAVRIL24!I6+L6&gt;700000,(MVTAVRIL24!I6-E6+L6),0)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VLOOKUP($A6,[24]HISTOMAI24!$A$6:$AQ$42,22,0)</f>
        <v>0</v>
      </c>
      <c r="K6" s="36">
        <f>VLOOKUP($A6,[24]HISTOMAI24!$A$6:$AU$38,45,0)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VLOOKUP($A6,[24]HISTOMAI24!$A$6:$AU$38,7,0)</f>
        <v>0</v>
      </c>
      <c r="Q6" s="36">
        <f>VLOOKUP($A6,[24]HISTOMAI24!$A$6:$AU$38,23,0)</f>
        <v>0</v>
      </c>
      <c r="R6" s="36">
        <f>VLOOKUP($A6,[24]HISTOMAI24!$A$6:$AU$38,46,0)</f>
        <v>0</v>
      </c>
      <c r="S6" s="36">
        <f>VLOOKUP($A6,[24]HISTOMAI24!$A$6:$AU$38,26,0)</f>
        <v>0</v>
      </c>
      <c r="T6" s="36">
        <f>VLOOKUP($A6,[24]HISTOMAI24!$A$6:$BG$38,58,0)</f>
        <v>0</v>
      </c>
      <c r="U6" s="36">
        <f>VLOOKUP($A6,[24]HISTOMAI24!$A$6:$AU$38,28,0)</f>
        <v>0</v>
      </c>
      <c r="V6" s="36">
        <f>VLOOKUP($A6,[24]HISTOMAI24!$A$6:$AU$38,19,0)</f>
        <v>0</v>
      </c>
      <c r="W6" s="36">
        <f>VLOOKUP($A6,[24]HISTOMAI24!$A$6:$AU$38,20,0)</f>
        <v>0</v>
      </c>
      <c r="X6" s="36">
        <f>VLOOKUP($A6,[24]HISTOMAI24!$A$6:$AU$38,27,0)</f>
        <v>0</v>
      </c>
      <c r="Y6" s="36">
        <f>VLOOKUP($A6,[24]HISTOMAI24!$A$6:$BM$38,33,0)</f>
        <v>0</v>
      </c>
      <c r="Z6" s="36">
        <f>VLOOKUP($A6,[24]HISTOMAI24!$A$6:$BM$38,65,0)</f>
        <v>0</v>
      </c>
      <c r="AA6" s="36"/>
      <c r="AB6" s="36">
        <f>VLOOKUP($A6,[24]HISTOMAI24!$A$6:$AU$38,43,0)</f>
        <v>0</v>
      </c>
      <c r="AC6" s="36">
        <f>VLOOKUP($A6,[24]HISTOMAI24!$A$6:$AU$38,44,0)</f>
        <v>0</v>
      </c>
      <c r="AD6" s="36">
        <f>VLOOKUP($A6,[24]HISTOMAI24!$A$6:$AU$38,47,0)</f>
        <v>0</v>
      </c>
      <c r="AE6" s="36">
        <f>VLOOKUP(A6,[24]HISTOMAI24!$A$6:$BB$38,54,0)</f>
        <v>0</v>
      </c>
      <c r="AF6" s="36">
        <f>VLOOKUP($A6,[24]HISTOMAI24!$A$6:$CA$38,60,0)</f>
        <v>0</v>
      </c>
      <c r="AG6" s="36">
        <f>VLOOKUP($A6,[24]HISTOMAI24!$A$6:$CA$38,61,0)</f>
        <v>0</v>
      </c>
      <c r="AH6" s="36">
        <f>VLOOKUP($A6,[24]HISTOMAI24!$A$6:$CA$38,62,0)</f>
        <v>0</v>
      </c>
      <c r="AI6" s="36">
        <f>VLOOKUP($A6,[24]HISTOMAI24!$A$6:$CA$38,63,0)</f>
        <v>0</v>
      </c>
      <c r="AJ6" s="36">
        <f>VLOOKUP($A6,[24]HISTOMAI24!$A$6:$CA$38,64,0)</f>
        <v>0</v>
      </c>
      <c r="AK6" s="36">
        <f>VLOOKUP($A6,[24]HISTOMAI24!$A$6:$CA$38,65,0)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VLOOKUP($A7,[24]HISTOMAI24!$A$6:$BA$38,48,0)</f>
        <v>0</v>
      </c>
      <c r="F7" s="36">
        <f>MVTAVRIL24!I7-E7+L7</f>
        <v>795791.19348721951</v>
      </c>
      <c r="G7" s="5">
        <f>IF(MVTAVRIL24!I7+L7&gt;700000,(MVTAVRIL24!I7-E7+L7),0)</f>
        <v>795791.19348721951</v>
      </c>
      <c r="H7" s="36">
        <f t="shared" si="0"/>
        <v>0</v>
      </c>
      <c r="I7" s="6">
        <f t="shared" ref="I7:I39" si="2">F7+H7</f>
        <v>795791.19348721951</v>
      </c>
      <c r="J7" s="36">
        <f>VLOOKUP($A7,[24]HISTOMAI24!$A$6:$AQ$42,22,0)</f>
        <v>0</v>
      </c>
      <c r="K7" s="36">
        <f>VLOOKUP($A7,[24]HISTOMAI24!$A$6:$AU$38,45,0)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VLOOKUP($A7,[24]HISTOMAI24!$A$6:$AU$38,7,0)</f>
        <v>3000</v>
      </c>
      <c r="Q7" s="36">
        <f>VLOOKUP($A7,[24]HISTOMAI24!$A$6:$AU$38,23,0)</f>
        <v>0</v>
      </c>
      <c r="R7" s="36">
        <f>VLOOKUP($A7,[24]HISTOMAI24!$A$6:$AU$38,46,0)</f>
        <v>0</v>
      </c>
      <c r="S7" s="36">
        <f>VLOOKUP($A7,[24]HISTOMAI24!$A$6:$AU$38,26,0)</f>
        <v>0</v>
      </c>
      <c r="T7" s="36">
        <f>VLOOKUP($A7,[24]HISTOMAI24!$A$6:$BG$38,58,0)</f>
        <v>0</v>
      </c>
      <c r="U7" s="36">
        <f>VLOOKUP($A7,[24]HISTOMAI24!$A$6:$AU$38,28,0)</f>
        <v>0</v>
      </c>
      <c r="V7" s="36">
        <f>VLOOKUP($A7,[24]HISTOMAI24!$A$6:$AU$38,19,0)</f>
        <v>0</v>
      </c>
      <c r="W7" s="36">
        <f>VLOOKUP($A7,[24]HISTOMAI24!$A$6:$AU$38,20,0)</f>
        <v>0</v>
      </c>
      <c r="X7" s="36">
        <f>VLOOKUP($A7,[24]HISTOMAI24!$A$6:$AU$38,27,0)</f>
        <v>0</v>
      </c>
      <c r="Y7" s="36">
        <f>VLOOKUP($A7,[24]HISTOMAI24!$A$6:$BM$38,33,0)</f>
        <v>0</v>
      </c>
      <c r="Z7" s="36">
        <f>VLOOKUP($A7,[24]HISTOMAI24!$A$6:$BM$38,65,0)</f>
        <v>0</v>
      </c>
      <c r="AA7" s="36"/>
      <c r="AB7" s="36">
        <f>VLOOKUP($A7,[24]HISTOMAI24!$A$6:$AU$38,43,0)</f>
        <v>0</v>
      </c>
      <c r="AC7" s="36">
        <f>VLOOKUP($A7,[24]HISTOMAI24!$A$6:$AU$38,44,0)</f>
        <v>0</v>
      </c>
      <c r="AD7" s="36">
        <f>VLOOKUP($A7,[24]HISTOMAI24!$A$6:$AU$38,47,0)</f>
        <v>0</v>
      </c>
      <c r="AE7" s="36">
        <f>VLOOKUP(A7,[24]HISTOMAI24!$A$6:$BB$38,54,0)</f>
        <v>0</v>
      </c>
      <c r="AF7" s="36">
        <f>VLOOKUP($A7,[24]HISTOMAI24!$A$6:$CA$38,60,0)</f>
        <v>0</v>
      </c>
      <c r="AG7" s="36">
        <f>VLOOKUP($A7,[24]HISTOMAI24!$A$6:$CA$38,61,0)</f>
        <v>0</v>
      </c>
      <c r="AH7" s="36">
        <f>VLOOKUP($A7,[24]HISTOMAI24!$A$6:$CA$38,62,0)</f>
        <v>0</v>
      </c>
      <c r="AI7" s="36">
        <f>VLOOKUP($A7,[24]HISTOMAI24!$A$6:$CA$38,63,0)</f>
        <v>0</v>
      </c>
      <c r="AJ7" s="36">
        <f>VLOOKUP($A7,[24]HISTOMAI24!$A$6:$CA$38,64,0)</f>
        <v>0</v>
      </c>
      <c r="AK7" s="36">
        <f>VLOOKUP($A7,[24]HISTOMAI24!$A$6:$CA$38,65,0)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VLOOKUP($A8,[24]HISTOMAI24!$A$6:$BA$38,48,0)</f>
        <v>0</v>
      </c>
      <c r="F8" s="36">
        <f>MVTAVRIL24!I8-E8+L8</f>
        <v>839533.31236524263</v>
      </c>
      <c r="G8" s="5">
        <f>IF(MVTAVRIL24!I8+L8&gt;700000,(MVTAVRIL24!I8-E8+L8),0)</f>
        <v>839533.31236524263</v>
      </c>
      <c r="H8" s="36">
        <f t="shared" si="0"/>
        <v>0</v>
      </c>
      <c r="I8" s="6">
        <f t="shared" si="2"/>
        <v>839533.31236524263</v>
      </c>
      <c r="J8" s="36">
        <f>VLOOKUP($A8,[24]HISTOMAI24!$A$6:$AQ$42,22,0)</f>
        <v>0</v>
      </c>
      <c r="K8" s="36">
        <f>VLOOKUP($A8,[24]HISTOMAI24!$A$6:$AU$38,45,0)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VLOOKUP($A8,[24]HISTOMAI24!$A$6:$AU$38,7,0)</f>
        <v>0</v>
      </c>
      <c r="Q8" s="36">
        <f>VLOOKUP($A8,[24]HISTOMAI24!$A$6:$AU$38,23,0)</f>
        <v>0</v>
      </c>
      <c r="R8" s="36">
        <f>VLOOKUP($A8,[24]HISTOMAI24!$A$6:$AU$38,46,0)</f>
        <v>0</v>
      </c>
      <c r="S8" s="36">
        <f>VLOOKUP($A8,[24]HISTOMAI24!$A$6:$AU$38,26,0)</f>
        <v>0</v>
      </c>
      <c r="T8" s="36">
        <f>VLOOKUP($A8,[24]HISTOMAI24!$A$6:$BG$38,58,0)</f>
        <v>0</v>
      </c>
      <c r="U8" s="36">
        <f>VLOOKUP($A8,[24]HISTOMAI24!$A$6:$AU$38,28,0)</f>
        <v>0</v>
      </c>
      <c r="V8" s="36">
        <f>VLOOKUP($A8,[24]HISTOMAI24!$A$6:$AU$38,19,0)</f>
        <v>0</v>
      </c>
      <c r="W8" s="36">
        <f>VLOOKUP($A8,[24]HISTOMAI24!$A$6:$AU$38,20,0)</f>
        <v>0</v>
      </c>
      <c r="X8" s="36">
        <f>VLOOKUP($A8,[24]HISTOMAI24!$A$6:$AU$38,27,0)</f>
        <v>0</v>
      </c>
      <c r="Y8" s="36">
        <f>VLOOKUP($A8,[24]HISTOMAI24!$A$6:$BM$38,33,0)</f>
        <v>0</v>
      </c>
      <c r="Z8" s="36">
        <f>VLOOKUP($A8,[24]HISTOMAI24!$A$6:$BM$38,65,0)</f>
        <v>0</v>
      </c>
      <c r="AA8" s="36"/>
      <c r="AB8" s="36">
        <f>VLOOKUP($A8,[24]HISTOMAI24!$A$6:$AU$38,43,0)</f>
        <v>0</v>
      </c>
      <c r="AC8" s="36">
        <f>VLOOKUP($A8,[24]HISTOMAI24!$A$6:$AU$38,44,0)</f>
        <v>0</v>
      </c>
      <c r="AD8" s="36">
        <f>VLOOKUP($A8,[24]HISTOMAI24!$A$6:$AU$38,47,0)</f>
        <v>0</v>
      </c>
      <c r="AE8" s="36">
        <f>VLOOKUP(A8,[24]HISTOMAI24!$A$6:$BB$38,54,0)</f>
        <v>0</v>
      </c>
      <c r="AF8" s="36">
        <f>VLOOKUP($A8,[24]HISTOMAI24!$A$6:$CA$38,60,0)</f>
        <v>0</v>
      </c>
      <c r="AG8" s="36">
        <f>VLOOKUP($A8,[24]HISTOMAI24!$A$6:$CA$38,61,0)</f>
        <v>0</v>
      </c>
      <c r="AH8" s="36">
        <f>VLOOKUP($A8,[24]HISTOMAI24!$A$6:$CA$38,62,0)</f>
        <v>0</v>
      </c>
      <c r="AI8" s="36">
        <f>VLOOKUP($A8,[24]HISTOMAI24!$A$6:$CA$38,63,0)</f>
        <v>0</v>
      </c>
      <c r="AJ8" s="36">
        <f>VLOOKUP($A8,[24]HISTOMAI24!$A$6:$CA$38,64,0)</f>
        <v>0</v>
      </c>
      <c r="AK8" s="36">
        <f>VLOOKUP($A8,[24]HISTOMAI24!$A$6:$CA$38,65,0)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VLOOKUP($A9,[24]HISTOMAI24!$A$6:$BA$38,48,0)</f>
        <v>0</v>
      </c>
      <c r="F9" s="36">
        <f>MVTAVRIL24!I9-E9+L9</f>
        <v>896962.00686817756</v>
      </c>
      <c r="G9" s="5">
        <f>IF(MVTAVRIL24!I9+L9&gt;700000,(MVTAVRIL24!I9-E9+L9),0)</f>
        <v>896962.00686817756</v>
      </c>
      <c r="H9" s="36">
        <f t="shared" si="0"/>
        <v>0</v>
      </c>
      <c r="I9" s="6">
        <f t="shared" si="2"/>
        <v>896962.00686817756</v>
      </c>
      <c r="J9" s="36">
        <f>VLOOKUP($A9,[24]HISTOMAI24!$A$6:$AQ$42,22,0)</f>
        <v>0</v>
      </c>
      <c r="K9" s="36">
        <f>VLOOKUP($A9,[24]HISTOMAI24!$A$6:$AU$38,45,0)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VLOOKUP($A9,[24]HISTOMAI24!$A$6:$AU$38,7,0)</f>
        <v>0</v>
      </c>
      <c r="Q9" s="36">
        <f>VLOOKUP($A9,[24]HISTOMAI24!$A$6:$AU$38,23,0)</f>
        <v>0</v>
      </c>
      <c r="R9" s="36">
        <f>VLOOKUP($A9,[24]HISTOMAI24!$A$6:$AU$38,46,0)</f>
        <v>0</v>
      </c>
      <c r="S9" s="36">
        <f>VLOOKUP($A9,[24]HISTOMAI24!$A$6:$AU$38,26,0)</f>
        <v>0</v>
      </c>
      <c r="T9" s="36">
        <f>VLOOKUP($A9,[24]HISTOMAI24!$A$6:$BG$38,58,0)</f>
        <v>0</v>
      </c>
      <c r="U9" s="36">
        <f>VLOOKUP($A9,[24]HISTOMAI24!$A$6:$AU$38,28,0)</f>
        <v>0</v>
      </c>
      <c r="V9" s="36">
        <f>VLOOKUP($A9,[24]HISTOMAI24!$A$6:$AU$38,19,0)</f>
        <v>0</v>
      </c>
      <c r="W9" s="36">
        <f>VLOOKUP($A9,[24]HISTOMAI24!$A$6:$AU$38,20,0)</f>
        <v>0</v>
      </c>
      <c r="X9" s="36">
        <f>VLOOKUP($A9,[24]HISTOMAI24!$A$6:$AU$38,27,0)</f>
        <v>0</v>
      </c>
      <c r="Y9" s="36">
        <f>VLOOKUP($A9,[24]HISTOMAI24!$A$6:$BM$38,33,0)</f>
        <v>0</v>
      </c>
      <c r="Z9" s="36">
        <f>VLOOKUP($A9,[24]HISTOMAI24!$A$6:$BM$38,65,0)</f>
        <v>0</v>
      </c>
      <c r="AA9" s="36"/>
      <c r="AB9" s="36">
        <f>VLOOKUP($A9,[24]HISTOMAI24!$A$6:$AU$38,43,0)</f>
        <v>0</v>
      </c>
      <c r="AC9" s="36">
        <f>VLOOKUP($A9,[24]HISTOMAI24!$A$6:$AU$38,44,0)</f>
        <v>0</v>
      </c>
      <c r="AD9" s="36">
        <f>VLOOKUP($A9,[24]HISTOMAI24!$A$6:$AU$38,47,0)</f>
        <v>0</v>
      </c>
      <c r="AE9" s="36">
        <f>VLOOKUP(A9,[24]HISTOMAI24!$A$6:$BB$38,54,0)</f>
        <v>0</v>
      </c>
      <c r="AF9" s="36">
        <f>VLOOKUP($A9,[24]HISTOMAI24!$A$6:$CA$38,60,0)</f>
        <v>0</v>
      </c>
      <c r="AG9" s="36">
        <f>VLOOKUP($A9,[24]HISTOMAI24!$A$6:$CA$38,61,0)</f>
        <v>0</v>
      </c>
      <c r="AH9" s="36">
        <f>VLOOKUP($A9,[24]HISTOMAI24!$A$6:$CA$38,62,0)</f>
        <v>0</v>
      </c>
      <c r="AI9" s="36">
        <f>VLOOKUP($A9,[24]HISTOMAI24!$A$6:$CA$38,63,0)</f>
        <v>0</v>
      </c>
      <c r="AJ9" s="36">
        <f>VLOOKUP($A9,[24]HISTOMAI24!$A$6:$CA$38,64,0)</f>
        <v>0</v>
      </c>
      <c r="AK9" s="36">
        <f>VLOOKUP($A9,[24]HISTOMAI24!$A$6:$CA$38,65,0)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VLOOKUP($A10,[24]HISTOMAI24!$A$6:$BA$38,48,0)</f>
        <v>0</v>
      </c>
      <c r="F10" s="36">
        <f>MVTAVRIL24!I10-E10+L10</f>
        <v>836805.20622596238</v>
      </c>
      <c r="G10" s="5">
        <f>IF(MVTAVRIL24!I10+L10&gt;700000,(MVTAVRIL24!I10-E10+L10),0)</f>
        <v>836805.20622596238</v>
      </c>
      <c r="H10" s="36">
        <f t="shared" si="0"/>
        <v>0</v>
      </c>
      <c r="I10" s="6">
        <f t="shared" si="2"/>
        <v>836805.20622596238</v>
      </c>
      <c r="J10" s="36">
        <f>VLOOKUP($A10,[24]HISTOMAI24!$A$6:$AQ$42,22,0)</f>
        <v>0</v>
      </c>
      <c r="K10" s="36">
        <f>VLOOKUP($A10,[24]HISTOMAI24!$A$6:$AU$38,45,0)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VLOOKUP($A10,[24]HISTOMAI24!$A$6:$AU$38,7,0)</f>
        <v>0</v>
      </c>
      <c r="Q10" s="36">
        <f>VLOOKUP($A10,[24]HISTOMAI24!$A$6:$AU$38,23,0)</f>
        <v>0</v>
      </c>
      <c r="R10" s="36">
        <f>VLOOKUP($A10,[24]HISTOMAI24!$A$6:$AU$38,46,0)</f>
        <v>0</v>
      </c>
      <c r="S10" s="36">
        <f>VLOOKUP($A10,[24]HISTOMAI24!$A$6:$AU$38,26,0)</f>
        <v>0</v>
      </c>
      <c r="T10" s="36">
        <f>VLOOKUP($A10,[24]HISTOMAI24!$A$6:$BG$38,58,0)</f>
        <v>0</v>
      </c>
      <c r="U10" s="36">
        <f>VLOOKUP($A10,[24]HISTOMAI24!$A$6:$AU$38,28,0)</f>
        <v>0</v>
      </c>
      <c r="V10" s="36">
        <f>VLOOKUP($A10,[24]HISTOMAI24!$A$6:$AU$38,19,0)</f>
        <v>0</v>
      </c>
      <c r="W10" s="36">
        <f>VLOOKUP($A10,[24]HISTOMAI24!$A$6:$AU$38,20,0)</f>
        <v>0</v>
      </c>
      <c r="X10" s="36">
        <f>VLOOKUP($A10,[24]HISTOMAI24!$A$6:$AU$38,27,0)</f>
        <v>0</v>
      </c>
      <c r="Y10" s="36">
        <f>VLOOKUP($A10,[24]HISTOMAI24!$A$6:$BM$38,33,0)</f>
        <v>0</v>
      </c>
      <c r="Z10" s="36">
        <f>VLOOKUP($A10,[24]HISTOMAI24!$A$6:$BM$38,65,0)</f>
        <v>0</v>
      </c>
      <c r="AA10" s="36"/>
      <c r="AB10" s="36">
        <f>VLOOKUP($A10,[24]HISTOMAI24!$A$6:$AU$38,43,0)</f>
        <v>0</v>
      </c>
      <c r="AC10" s="36">
        <f>VLOOKUP($A10,[24]HISTOMAI24!$A$6:$AU$38,44,0)</f>
        <v>0</v>
      </c>
      <c r="AD10" s="36">
        <f>VLOOKUP($A10,[24]HISTOMAI24!$A$6:$AU$38,47,0)</f>
        <v>0</v>
      </c>
      <c r="AE10" s="36">
        <f>VLOOKUP(A10,[24]HISTOMAI24!$A$6:$BB$38,54,0)</f>
        <v>0</v>
      </c>
      <c r="AF10" s="36">
        <f>VLOOKUP($A10,[24]HISTOMAI24!$A$6:$CA$38,60,0)</f>
        <v>0</v>
      </c>
      <c r="AG10" s="36">
        <f>VLOOKUP($A10,[24]HISTOMAI24!$A$6:$CA$38,61,0)</f>
        <v>0</v>
      </c>
      <c r="AH10" s="36">
        <f>VLOOKUP($A10,[24]HISTOMAI24!$A$6:$CA$38,62,0)</f>
        <v>0</v>
      </c>
      <c r="AI10" s="36">
        <f>VLOOKUP($A10,[24]HISTOMAI24!$A$6:$CA$38,63,0)</f>
        <v>0</v>
      </c>
      <c r="AJ10" s="36">
        <f>VLOOKUP($A10,[24]HISTOMAI24!$A$6:$CA$38,64,0)</f>
        <v>0</v>
      </c>
      <c r="AK10" s="36">
        <f>VLOOKUP($A10,[24]HISTOMAI24!$A$6:$CA$38,65,0)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VLOOKUP($A11,[24]HISTOMAI24!$A$6:$BA$38,48,0)</f>
        <v>0</v>
      </c>
      <c r="F11" s="36">
        <f>MVTAVRIL24!I11-E11+L11</f>
        <v>854855.82895949238</v>
      </c>
      <c r="G11" s="5">
        <f>IF(MVTAVRIL24!I11+L11&gt;700000,(MVTAVRIL24!I11-E11+L11),0)</f>
        <v>854855.82895949238</v>
      </c>
      <c r="H11" s="36">
        <f t="shared" si="0"/>
        <v>0</v>
      </c>
      <c r="I11" s="6">
        <f t="shared" si="2"/>
        <v>854855.82895949238</v>
      </c>
      <c r="J11" s="36">
        <f>VLOOKUP($A11,[24]HISTOMAI24!$A$6:$AQ$42,22,0)</f>
        <v>0</v>
      </c>
      <c r="K11" s="36">
        <f>VLOOKUP($A11,[24]HISTOMAI24!$A$6:$AU$38,45,0)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VLOOKUP($A11,[24]HISTOMAI24!$A$6:$AU$38,7,0)</f>
        <v>0</v>
      </c>
      <c r="Q11" s="36">
        <f>VLOOKUP($A11,[24]HISTOMAI24!$A$6:$AU$38,23,0)</f>
        <v>0</v>
      </c>
      <c r="R11" s="36">
        <f>VLOOKUP($A11,[24]HISTOMAI24!$A$6:$AU$38,46,0)</f>
        <v>0</v>
      </c>
      <c r="S11" s="36">
        <f>VLOOKUP($A11,[24]HISTOMAI24!$A$6:$AU$38,26,0)</f>
        <v>0</v>
      </c>
      <c r="T11" s="36">
        <f>VLOOKUP($A11,[24]HISTOMAI24!$A$6:$BG$38,58,0)</f>
        <v>0</v>
      </c>
      <c r="U11" s="36">
        <f>VLOOKUP($A11,[24]HISTOMAI24!$A$6:$AU$38,28,0)</f>
        <v>0</v>
      </c>
      <c r="V11" s="36">
        <f>VLOOKUP($A11,[24]HISTOMAI24!$A$6:$AU$38,19,0)</f>
        <v>0</v>
      </c>
      <c r="W11" s="36">
        <f>VLOOKUP($A11,[24]HISTOMAI24!$A$6:$AU$38,20,0)</f>
        <v>0</v>
      </c>
      <c r="X11" s="36">
        <f>VLOOKUP($A11,[24]HISTOMAI24!$A$6:$AU$38,27,0)</f>
        <v>0</v>
      </c>
      <c r="Y11" s="36">
        <f>VLOOKUP($A11,[24]HISTOMAI24!$A$6:$BM$38,33,0)</f>
        <v>0</v>
      </c>
      <c r="Z11" s="36">
        <f>VLOOKUP($A11,[24]HISTOMAI24!$A$6:$BM$38,65,0)</f>
        <v>0</v>
      </c>
      <c r="AA11" s="36"/>
      <c r="AB11" s="36">
        <f>VLOOKUP($A11,[24]HISTOMAI24!$A$6:$AU$38,43,0)</f>
        <v>0</v>
      </c>
      <c r="AC11" s="36">
        <f>VLOOKUP($A11,[24]HISTOMAI24!$A$6:$AU$38,44,0)</f>
        <v>0</v>
      </c>
      <c r="AD11" s="36">
        <f>VLOOKUP($A11,[24]HISTOMAI24!$A$6:$AU$38,47,0)</f>
        <v>0</v>
      </c>
      <c r="AE11" s="36">
        <f>VLOOKUP(A11,[24]HISTOMAI24!$A$6:$BB$38,54,0)</f>
        <v>0</v>
      </c>
      <c r="AF11" s="36">
        <f>VLOOKUP($A11,[24]HISTOMAI24!$A$6:$CA$38,60,0)</f>
        <v>0</v>
      </c>
      <c r="AG11" s="36">
        <f>VLOOKUP($A11,[24]HISTOMAI24!$A$6:$CA$38,61,0)</f>
        <v>0</v>
      </c>
      <c r="AH11" s="36">
        <f>VLOOKUP($A11,[24]HISTOMAI24!$A$6:$CA$38,62,0)</f>
        <v>0</v>
      </c>
      <c r="AI11" s="36">
        <f>VLOOKUP($A11,[24]HISTOMAI24!$A$6:$CA$38,63,0)</f>
        <v>0</v>
      </c>
      <c r="AJ11" s="36">
        <f>VLOOKUP($A11,[24]HISTOMAI24!$A$6:$CA$38,64,0)</f>
        <v>0</v>
      </c>
      <c r="AK11" s="36">
        <f>VLOOKUP($A11,[24]HISTOMAI24!$A$6:$CA$38,65,0)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VLOOKUP($A12,[24]HISTOMAI24!$A$6:$BA$38,48,0)</f>
        <v>0</v>
      </c>
      <c r="F12" s="36">
        <f>MVTAVRIL24!I12-E12+L12</f>
        <v>878100.14741339569</v>
      </c>
      <c r="G12" s="5">
        <f>IF(MVTAVRIL24!I12+L12&gt;700000,(MVTAVRIL24!I12-E12+L12),0)</f>
        <v>878100.14741339569</v>
      </c>
      <c r="H12" s="36">
        <f t="shared" si="0"/>
        <v>0</v>
      </c>
      <c r="I12" s="6">
        <f t="shared" si="2"/>
        <v>878100.14741339569</v>
      </c>
      <c r="J12" s="36">
        <f>VLOOKUP($A12,[24]HISTOMAI24!$A$6:$AQ$42,22,0)</f>
        <v>0</v>
      </c>
      <c r="K12" s="36">
        <f>VLOOKUP($A12,[24]HISTOMAI24!$A$6:$AU$38,45,0)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VLOOKUP($A12,[24]HISTOMAI24!$A$6:$AU$38,7,0)</f>
        <v>0</v>
      </c>
      <c r="Q12" s="36">
        <f>VLOOKUP($A12,[24]HISTOMAI24!$A$6:$AU$38,23,0)</f>
        <v>0</v>
      </c>
      <c r="R12" s="36">
        <f>VLOOKUP($A12,[24]HISTOMAI24!$A$6:$AU$38,46,0)</f>
        <v>0</v>
      </c>
      <c r="S12" s="36">
        <f>VLOOKUP($A12,[24]HISTOMAI24!$A$6:$AU$38,26,0)</f>
        <v>0</v>
      </c>
      <c r="T12" s="36">
        <f>VLOOKUP($A12,[24]HISTOMAI24!$A$6:$BG$38,58,0)</f>
        <v>0</v>
      </c>
      <c r="U12" s="36">
        <f>VLOOKUP($A12,[24]HISTOMAI24!$A$6:$AU$38,28,0)</f>
        <v>0</v>
      </c>
      <c r="V12" s="36">
        <f>VLOOKUP($A12,[24]HISTOMAI24!$A$6:$AU$38,19,0)</f>
        <v>0</v>
      </c>
      <c r="W12" s="36">
        <f>VLOOKUP($A12,[24]HISTOMAI24!$A$6:$AU$38,20,0)</f>
        <v>0</v>
      </c>
      <c r="X12" s="36">
        <f>VLOOKUP($A12,[24]HISTOMAI24!$A$6:$AU$38,27,0)</f>
        <v>0</v>
      </c>
      <c r="Y12" s="36">
        <f>VLOOKUP($A12,[24]HISTOMAI24!$A$6:$BM$38,33,0)</f>
        <v>0</v>
      </c>
      <c r="Z12" s="36">
        <f>VLOOKUP($A12,[24]HISTOMAI24!$A$6:$BM$38,65,0)</f>
        <v>0</v>
      </c>
      <c r="AA12" s="36"/>
      <c r="AB12" s="36">
        <f>VLOOKUP($A12,[24]HISTOMAI24!$A$6:$AU$38,43,0)</f>
        <v>0</v>
      </c>
      <c r="AC12" s="36">
        <f>VLOOKUP($A12,[24]HISTOMAI24!$A$6:$AU$38,44,0)</f>
        <v>0</v>
      </c>
      <c r="AD12" s="36">
        <f>VLOOKUP($A12,[24]HISTOMAI24!$A$6:$AU$38,47,0)</f>
        <v>0</v>
      </c>
      <c r="AE12" s="36">
        <f>VLOOKUP(A12,[24]HISTOMAI24!$A$6:$BB$38,54,0)</f>
        <v>0</v>
      </c>
      <c r="AF12" s="36">
        <f>VLOOKUP($A12,[24]HISTOMAI24!$A$6:$CA$38,60,0)</f>
        <v>0</v>
      </c>
      <c r="AG12" s="36">
        <f>VLOOKUP($A12,[24]HISTOMAI24!$A$6:$CA$38,61,0)</f>
        <v>0</v>
      </c>
      <c r="AH12" s="36">
        <f>VLOOKUP($A12,[24]HISTOMAI24!$A$6:$CA$38,62,0)</f>
        <v>0</v>
      </c>
      <c r="AI12" s="36">
        <f>VLOOKUP($A12,[24]HISTOMAI24!$A$6:$CA$38,63,0)</f>
        <v>0</v>
      </c>
      <c r="AJ12" s="36">
        <f>VLOOKUP($A12,[24]HISTOMAI24!$A$6:$CA$38,64,0)</f>
        <v>0</v>
      </c>
      <c r="AK12" s="36">
        <f>VLOOKUP($A12,[24]HISTOMAI24!$A$6:$CA$38,65,0)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VLOOKUP($A13,[24]HISTOMAI24!$A$6:$BA$38,48,0)</f>
        <v>0</v>
      </c>
      <c r="F13" s="36">
        <f>MVTAVRIL24!I13-E13+L13</f>
        <v>842555.14612214814</v>
      </c>
      <c r="G13" s="5">
        <f>IF(MVTAVRIL24!I13+L13&gt;700000,(MVTAVRIL24!I13-E13+L13),0)</f>
        <v>842555.14612214814</v>
      </c>
      <c r="H13" s="36">
        <f t="shared" si="0"/>
        <v>0</v>
      </c>
      <c r="I13" s="6">
        <f t="shared" si="2"/>
        <v>842555.14612214814</v>
      </c>
      <c r="J13" s="36">
        <f>VLOOKUP($A13,[24]HISTOMAI24!$A$6:$AQ$42,22,0)</f>
        <v>0</v>
      </c>
      <c r="K13" s="36">
        <f>VLOOKUP($A13,[24]HISTOMAI24!$A$6:$AU$38,45,0)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VLOOKUP($A13,[24]HISTOMAI24!$A$6:$AU$38,7,0)</f>
        <v>0</v>
      </c>
      <c r="Q13" s="36">
        <f>VLOOKUP($A13,[24]HISTOMAI24!$A$6:$AU$38,23,0)</f>
        <v>0</v>
      </c>
      <c r="R13" s="36">
        <f>VLOOKUP($A13,[24]HISTOMAI24!$A$6:$AU$38,46,0)</f>
        <v>0</v>
      </c>
      <c r="S13" s="36">
        <f>VLOOKUP($A13,[24]HISTOMAI24!$A$6:$AU$38,26,0)</f>
        <v>0</v>
      </c>
      <c r="T13" s="36">
        <f>VLOOKUP($A13,[24]HISTOMAI24!$A$6:$BG$38,58,0)</f>
        <v>0</v>
      </c>
      <c r="U13" s="36">
        <f>VLOOKUP($A13,[24]HISTOMAI24!$A$6:$AU$38,28,0)</f>
        <v>0</v>
      </c>
      <c r="V13" s="36">
        <f>VLOOKUP($A13,[24]HISTOMAI24!$A$6:$AU$38,19,0)</f>
        <v>0</v>
      </c>
      <c r="W13" s="36">
        <f>VLOOKUP($A13,[24]HISTOMAI24!$A$6:$AU$38,20,0)</f>
        <v>0</v>
      </c>
      <c r="X13" s="36">
        <f>VLOOKUP($A13,[24]HISTOMAI24!$A$6:$AU$38,27,0)</f>
        <v>0</v>
      </c>
      <c r="Y13" s="36">
        <f>VLOOKUP($A13,[24]HISTOMAI24!$A$6:$BM$38,33,0)</f>
        <v>0</v>
      </c>
      <c r="Z13" s="36">
        <f>VLOOKUP($A13,[24]HISTOMAI24!$A$6:$BM$38,65,0)</f>
        <v>0</v>
      </c>
      <c r="AA13" s="36"/>
      <c r="AB13" s="36">
        <f>VLOOKUP($A13,[24]HISTOMAI24!$A$6:$AU$38,43,0)</f>
        <v>0</v>
      </c>
      <c r="AC13" s="36">
        <f>VLOOKUP($A13,[24]HISTOMAI24!$A$6:$AU$38,44,0)</f>
        <v>0</v>
      </c>
      <c r="AD13" s="36">
        <f>VLOOKUP($A13,[24]HISTOMAI24!$A$6:$AU$38,47,0)</f>
        <v>0</v>
      </c>
      <c r="AE13" s="36">
        <f>VLOOKUP(A13,[24]HISTOMAI24!$A$6:$BB$38,54,0)</f>
        <v>0</v>
      </c>
      <c r="AF13" s="36">
        <f>VLOOKUP($A13,[24]HISTOMAI24!$A$6:$CA$38,60,0)</f>
        <v>0</v>
      </c>
      <c r="AG13" s="36">
        <f>VLOOKUP($A13,[24]HISTOMAI24!$A$6:$CA$38,61,0)</f>
        <v>0</v>
      </c>
      <c r="AH13" s="36">
        <f>VLOOKUP($A13,[24]HISTOMAI24!$A$6:$CA$38,62,0)</f>
        <v>0</v>
      </c>
      <c r="AI13" s="36">
        <f>VLOOKUP($A13,[24]HISTOMAI24!$A$6:$CA$38,63,0)</f>
        <v>0</v>
      </c>
      <c r="AJ13" s="36">
        <f>VLOOKUP($A13,[24]HISTOMAI24!$A$6:$CA$38,64,0)</f>
        <v>0</v>
      </c>
      <c r="AK13" s="36">
        <f>VLOOKUP($A13,[24]HISTOMAI24!$A$6:$CA$38,65,0)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VLOOKUP($A14,[24]HISTOMAI24!$A$6:$BA$38,48,0)</f>
        <v>0</v>
      </c>
      <c r="F14" s="36">
        <f>MVTAVRIL24!I14-E14+L14</f>
        <v>1395425.9823482623</v>
      </c>
      <c r="G14" s="5">
        <f>IF(MVTAVRIL24!I14+L14&gt;700000,(MVTAVRIL24!I14-E14+L14),0)</f>
        <v>1395425.9823482623</v>
      </c>
      <c r="H14" s="36">
        <f t="shared" si="0"/>
        <v>0</v>
      </c>
      <c r="I14" s="6">
        <f t="shared" si="2"/>
        <v>1395425.9823482623</v>
      </c>
      <c r="J14" s="36">
        <f>VLOOKUP($A14,[24]HISTOMAI24!$A$6:$AQ$42,22,0)</f>
        <v>0</v>
      </c>
      <c r="K14" s="36">
        <f>VLOOKUP($A14,[24]HISTOMAI24!$A$6:$AU$38,45,0)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VLOOKUP($A14,[24]HISTOMAI24!$A$6:$AU$38,7,0)</f>
        <v>0</v>
      </c>
      <c r="Q14" s="36">
        <f>VLOOKUP($A14,[24]HISTOMAI24!$A$6:$AU$38,23,0)</f>
        <v>0</v>
      </c>
      <c r="R14" s="36">
        <f>VLOOKUP($A14,[24]HISTOMAI24!$A$6:$AU$38,46,0)</f>
        <v>0</v>
      </c>
      <c r="S14" s="36">
        <f>VLOOKUP($A14,[24]HISTOMAI24!$A$6:$AU$38,26,0)</f>
        <v>0</v>
      </c>
      <c r="T14" s="36">
        <f>VLOOKUP($A14,[24]HISTOMAI24!$A$6:$BG$38,58,0)</f>
        <v>0</v>
      </c>
      <c r="U14" s="36">
        <f>VLOOKUP($A14,[24]HISTOMAI24!$A$6:$AU$38,28,0)</f>
        <v>0</v>
      </c>
      <c r="V14" s="36">
        <f>VLOOKUP($A14,[24]HISTOMAI24!$A$6:$AU$38,19,0)</f>
        <v>0</v>
      </c>
      <c r="W14" s="36">
        <f>VLOOKUP($A14,[24]HISTOMAI24!$A$6:$AU$38,20,0)</f>
        <v>0</v>
      </c>
      <c r="X14" s="36">
        <f>VLOOKUP($A14,[24]HISTOMAI24!$A$6:$AU$38,27,0)</f>
        <v>0</v>
      </c>
      <c r="Y14" s="36">
        <f>VLOOKUP($A14,[24]HISTOMAI24!$A$6:$BM$38,33,0)</f>
        <v>0</v>
      </c>
      <c r="Z14" s="36">
        <f>VLOOKUP($A14,[24]HISTOMAI24!$A$6:$BM$38,65,0)</f>
        <v>0</v>
      </c>
      <c r="AA14" s="36"/>
      <c r="AB14" s="36">
        <f>VLOOKUP($A14,[24]HISTOMAI24!$A$6:$AU$38,43,0)</f>
        <v>0</v>
      </c>
      <c r="AC14" s="36">
        <f>VLOOKUP($A14,[24]HISTOMAI24!$A$6:$AU$38,44,0)</f>
        <v>0</v>
      </c>
      <c r="AD14" s="36">
        <f>VLOOKUP($A14,[24]HISTOMAI24!$A$6:$AU$38,47,0)</f>
        <v>0</v>
      </c>
      <c r="AE14" s="36">
        <f>VLOOKUP(A14,[24]HISTOMAI24!$A$6:$BB$38,54,0)</f>
        <v>0</v>
      </c>
      <c r="AF14" s="36">
        <f>VLOOKUP($A14,[24]HISTOMAI24!$A$6:$CA$38,60,0)</f>
        <v>0</v>
      </c>
      <c r="AG14" s="36">
        <f>VLOOKUP($A14,[24]HISTOMAI24!$A$6:$CA$38,61,0)</f>
        <v>0</v>
      </c>
      <c r="AH14" s="36">
        <f>VLOOKUP($A14,[24]HISTOMAI24!$A$6:$CA$38,62,0)</f>
        <v>0</v>
      </c>
      <c r="AI14" s="36">
        <f>VLOOKUP($A14,[24]HISTOMAI24!$A$6:$CA$38,63,0)</f>
        <v>0</v>
      </c>
      <c r="AJ14" s="36">
        <f>VLOOKUP($A14,[24]HISTOMAI24!$A$6:$CA$38,64,0)</f>
        <v>0</v>
      </c>
      <c r="AK14" s="36">
        <f>VLOOKUP($A14,[24]HISTOMAI24!$A$6:$CA$38,65,0)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VLOOKUP($A15,[24]HISTOMAI24!$A$6:$BA$38,48,0)</f>
        <v>0</v>
      </c>
      <c r="F15" s="36">
        <f>MVTAVRIL24!I15-E15+L15</f>
        <v>904309.62153810938</v>
      </c>
      <c r="G15" s="5">
        <f>IF(MVTAVRIL24!I15+L15&gt;700000,(MVTAVRIL24!I15-E15+L15),0)</f>
        <v>904309.62153810938</v>
      </c>
      <c r="H15" s="36">
        <f t="shared" si="0"/>
        <v>0</v>
      </c>
      <c r="I15" s="6">
        <f t="shared" si="2"/>
        <v>904309.62153810938</v>
      </c>
      <c r="J15" s="36">
        <f>VLOOKUP($A15,[24]HISTOMAI24!$A$6:$AQ$42,22,0)</f>
        <v>0</v>
      </c>
      <c r="K15" s="36">
        <f>VLOOKUP($A15,[24]HISTOMAI24!$A$6:$AU$38,45,0)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VLOOKUP($A15,[24]HISTOMAI24!$A$6:$AU$38,7,0)</f>
        <v>0</v>
      </c>
      <c r="Q15" s="36">
        <f>VLOOKUP($A15,[24]HISTOMAI24!$A$6:$AU$38,23,0)</f>
        <v>0</v>
      </c>
      <c r="R15" s="36">
        <f>VLOOKUP($A15,[24]HISTOMAI24!$A$6:$AU$38,46,0)</f>
        <v>0</v>
      </c>
      <c r="S15" s="36">
        <f>VLOOKUP($A15,[24]HISTOMAI24!$A$6:$AU$38,26,0)</f>
        <v>0</v>
      </c>
      <c r="T15" s="36">
        <f>VLOOKUP($A15,[24]HISTOMAI24!$A$6:$BG$38,58,0)</f>
        <v>0</v>
      </c>
      <c r="U15" s="36">
        <f>VLOOKUP($A15,[24]HISTOMAI24!$A$6:$AU$38,28,0)</f>
        <v>0</v>
      </c>
      <c r="V15" s="36">
        <f>VLOOKUP($A15,[24]HISTOMAI24!$A$6:$AU$38,19,0)</f>
        <v>0</v>
      </c>
      <c r="W15" s="36">
        <f>VLOOKUP($A15,[24]HISTOMAI24!$A$6:$AU$38,20,0)</f>
        <v>0</v>
      </c>
      <c r="X15" s="36">
        <f>VLOOKUP($A15,[24]HISTOMAI24!$A$6:$AU$38,27,0)</f>
        <v>0</v>
      </c>
      <c r="Y15" s="36">
        <f>VLOOKUP($A15,[24]HISTOMAI24!$A$6:$BM$38,33,0)</f>
        <v>0</v>
      </c>
      <c r="Z15" s="36">
        <f>VLOOKUP($A15,[24]HISTOMAI24!$A$6:$BM$38,65,0)</f>
        <v>0</v>
      </c>
      <c r="AA15" s="36"/>
      <c r="AB15" s="36">
        <f>VLOOKUP($A15,[24]HISTOMAI24!$A$6:$AU$38,43,0)</f>
        <v>0</v>
      </c>
      <c r="AC15" s="36">
        <f>VLOOKUP($A15,[24]HISTOMAI24!$A$6:$AU$38,44,0)</f>
        <v>0</v>
      </c>
      <c r="AD15" s="36">
        <f>VLOOKUP($A15,[24]HISTOMAI24!$A$6:$AU$38,47,0)</f>
        <v>0</v>
      </c>
      <c r="AE15" s="36">
        <f>VLOOKUP(A15,[24]HISTOMAI24!$A$6:$BB$38,54,0)</f>
        <v>0</v>
      </c>
      <c r="AF15" s="36">
        <f>VLOOKUP($A15,[24]HISTOMAI24!$A$6:$CA$38,60,0)</f>
        <v>0</v>
      </c>
      <c r="AG15" s="36">
        <f>VLOOKUP($A15,[24]HISTOMAI24!$A$6:$CA$38,61,0)</f>
        <v>0</v>
      </c>
      <c r="AH15" s="36">
        <f>VLOOKUP($A15,[24]HISTOMAI24!$A$6:$CA$38,62,0)</f>
        <v>0</v>
      </c>
      <c r="AI15" s="36">
        <f>VLOOKUP($A15,[24]HISTOMAI24!$A$6:$CA$38,63,0)</f>
        <v>0</v>
      </c>
      <c r="AJ15" s="36">
        <f>VLOOKUP($A15,[24]HISTOMAI24!$A$6:$CA$38,64,0)</f>
        <v>0</v>
      </c>
      <c r="AK15" s="36">
        <f>VLOOKUP($A15,[24]HISTOMAI24!$A$6:$CA$38,65,0)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VLOOKUP($A16,[24]HISTOMAI24!$A$6:$BA$38,48,0)</f>
        <v>0</v>
      </c>
      <c r="F16" s="36">
        <f>MVTAVRIL24!I16-E16+L16</f>
        <v>1014858.7065070483</v>
      </c>
      <c r="G16" s="5">
        <f>IF(MVTAVRIL24!I16+L16&gt;700000,(MVTAVRIL24!I16-E16+L16),0)</f>
        <v>1014858.7065070483</v>
      </c>
      <c r="H16" s="36">
        <f t="shared" si="0"/>
        <v>0</v>
      </c>
      <c r="I16" s="6">
        <f t="shared" si="2"/>
        <v>1014858.7065070483</v>
      </c>
      <c r="J16" s="36">
        <f>VLOOKUP($A16,[24]HISTOMAI24!$A$6:$AQ$42,22,0)</f>
        <v>0</v>
      </c>
      <c r="K16" s="36">
        <f>VLOOKUP($A16,[24]HISTOMAI24!$A$6:$AU$38,45,0)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VLOOKUP($A16,[24]HISTOMAI24!$A$6:$AU$38,7,0)</f>
        <v>0</v>
      </c>
      <c r="Q16" s="36">
        <f>VLOOKUP($A16,[24]HISTOMAI24!$A$6:$AU$38,23,0)</f>
        <v>0</v>
      </c>
      <c r="R16" s="36">
        <f>VLOOKUP($A16,[24]HISTOMAI24!$A$6:$AU$38,46,0)</f>
        <v>0</v>
      </c>
      <c r="S16" s="36">
        <f>VLOOKUP($A16,[24]HISTOMAI24!$A$6:$AU$38,26,0)</f>
        <v>0</v>
      </c>
      <c r="T16" s="36">
        <f>VLOOKUP($A16,[24]HISTOMAI24!$A$6:$BG$38,58,0)</f>
        <v>0</v>
      </c>
      <c r="U16" s="36">
        <f>VLOOKUP($A16,[24]HISTOMAI24!$A$6:$AU$38,28,0)</f>
        <v>0</v>
      </c>
      <c r="V16" s="36">
        <f>VLOOKUP($A16,[24]HISTOMAI24!$A$6:$AU$38,19,0)</f>
        <v>0</v>
      </c>
      <c r="W16" s="36">
        <f>VLOOKUP($A16,[24]HISTOMAI24!$A$6:$AU$38,20,0)</f>
        <v>0</v>
      </c>
      <c r="X16" s="36">
        <f>VLOOKUP($A16,[24]HISTOMAI24!$A$6:$AU$38,27,0)</f>
        <v>0</v>
      </c>
      <c r="Y16" s="36">
        <f>VLOOKUP($A16,[24]HISTOMAI24!$A$6:$BM$38,33,0)</f>
        <v>0</v>
      </c>
      <c r="Z16" s="36">
        <f>VLOOKUP($A16,[24]HISTOMAI24!$A$6:$BM$38,65,0)</f>
        <v>0</v>
      </c>
      <c r="AA16" s="36"/>
      <c r="AB16" s="36">
        <f>VLOOKUP($A16,[24]HISTOMAI24!$A$6:$AU$38,43,0)</f>
        <v>0</v>
      </c>
      <c r="AC16" s="36">
        <f>VLOOKUP($A16,[24]HISTOMAI24!$A$6:$AU$38,44,0)</f>
        <v>0</v>
      </c>
      <c r="AD16" s="36">
        <f>VLOOKUP($A16,[24]HISTOMAI24!$A$6:$AU$38,47,0)</f>
        <v>0</v>
      </c>
      <c r="AE16" s="36">
        <f>VLOOKUP(A16,[24]HISTOMAI24!$A$6:$BB$38,54,0)</f>
        <v>0</v>
      </c>
      <c r="AF16" s="36">
        <f>VLOOKUP($A16,[24]HISTOMAI24!$A$6:$CA$38,60,0)</f>
        <v>0</v>
      </c>
      <c r="AG16" s="36">
        <f>VLOOKUP($A16,[24]HISTOMAI24!$A$6:$CA$38,61,0)</f>
        <v>0</v>
      </c>
      <c r="AH16" s="36">
        <f>VLOOKUP($A16,[24]HISTOMAI24!$A$6:$CA$38,62,0)</f>
        <v>0</v>
      </c>
      <c r="AI16" s="36">
        <f>VLOOKUP($A16,[24]HISTOMAI24!$A$6:$CA$38,63,0)</f>
        <v>0</v>
      </c>
      <c r="AJ16" s="36">
        <f>VLOOKUP($A16,[24]HISTOMAI24!$A$6:$CA$38,64,0)</f>
        <v>0</v>
      </c>
      <c r="AK16" s="36">
        <f>VLOOKUP($A16,[24]HISTOMAI24!$A$6:$CA$38,65,0)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VLOOKUP($A17,[24]HISTOMAI24!$A$6:$BA$38,48,0)</f>
        <v>0</v>
      </c>
      <c r="F17" s="36">
        <f>MVTAVRIL24!I17-E17+L17</f>
        <v>852402.7005255461</v>
      </c>
      <c r="G17" s="5">
        <f>IF(MVTAVRIL24!I17+L17&gt;700000,(MVTAVRIL24!I17-E17+L17),0)</f>
        <v>852402.7005255461</v>
      </c>
      <c r="H17" s="36">
        <f t="shared" si="0"/>
        <v>0</v>
      </c>
      <c r="I17" s="6">
        <f t="shared" si="2"/>
        <v>852402.7005255461</v>
      </c>
      <c r="J17" s="36">
        <f>VLOOKUP($A17,[24]HISTOMAI24!$A$6:$AQ$42,22,0)</f>
        <v>0</v>
      </c>
      <c r="K17" s="36">
        <f>VLOOKUP($A17,[24]HISTOMAI24!$A$6:$AU$38,45,0)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VLOOKUP($A17,[24]HISTOMAI24!$A$6:$AU$38,7,0)</f>
        <v>0</v>
      </c>
      <c r="Q17" s="36">
        <f>VLOOKUP($A17,[24]HISTOMAI24!$A$6:$AU$38,23,0)</f>
        <v>0</v>
      </c>
      <c r="R17" s="36">
        <f>VLOOKUP($A17,[24]HISTOMAI24!$A$6:$AU$38,46,0)</f>
        <v>0</v>
      </c>
      <c r="S17" s="36">
        <f>VLOOKUP($A17,[24]HISTOMAI24!$A$6:$AU$38,26,0)</f>
        <v>0</v>
      </c>
      <c r="T17" s="36">
        <f>VLOOKUP($A17,[24]HISTOMAI24!$A$6:$BG$38,58,0)</f>
        <v>0</v>
      </c>
      <c r="U17" s="36">
        <f>VLOOKUP($A17,[24]HISTOMAI24!$A$6:$AU$38,28,0)</f>
        <v>0</v>
      </c>
      <c r="V17" s="36">
        <f>VLOOKUP($A17,[24]HISTOMAI24!$A$6:$AU$38,19,0)</f>
        <v>0</v>
      </c>
      <c r="W17" s="36">
        <f>VLOOKUP($A17,[24]HISTOMAI24!$A$6:$AU$38,20,0)</f>
        <v>0</v>
      </c>
      <c r="X17" s="36">
        <f>VLOOKUP($A17,[24]HISTOMAI24!$A$6:$AU$38,27,0)</f>
        <v>0</v>
      </c>
      <c r="Y17" s="36">
        <f>VLOOKUP($A17,[24]HISTOMAI24!$A$6:$BM$38,33,0)</f>
        <v>0</v>
      </c>
      <c r="Z17" s="36">
        <f>VLOOKUP($A17,[24]HISTOMAI24!$A$6:$BM$38,65,0)</f>
        <v>0</v>
      </c>
      <c r="AA17" s="36"/>
      <c r="AB17" s="36">
        <f>VLOOKUP($A17,[24]HISTOMAI24!$A$6:$AU$38,43,0)</f>
        <v>0</v>
      </c>
      <c r="AC17" s="36">
        <f>VLOOKUP($A17,[24]HISTOMAI24!$A$6:$AU$38,44,0)</f>
        <v>0</v>
      </c>
      <c r="AD17" s="36">
        <f>VLOOKUP($A17,[24]HISTOMAI24!$A$6:$AU$38,47,0)</f>
        <v>0</v>
      </c>
      <c r="AE17" s="36">
        <f>VLOOKUP(A17,[24]HISTOMAI24!$A$6:$BB$38,54,0)</f>
        <v>0</v>
      </c>
      <c r="AF17" s="36">
        <f>VLOOKUP($A17,[24]HISTOMAI24!$A$6:$CA$38,60,0)</f>
        <v>0</v>
      </c>
      <c r="AG17" s="36">
        <f>VLOOKUP($A17,[24]HISTOMAI24!$A$6:$CA$38,61,0)</f>
        <v>0</v>
      </c>
      <c r="AH17" s="36">
        <f>VLOOKUP($A17,[24]HISTOMAI24!$A$6:$CA$38,62,0)</f>
        <v>0</v>
      </c>
      <c r="AI17" s="36">
        <f>VLOOKUP($A17,[24]HISTOMAI24!$A$6:$CA$38,63,0)</f>
        <v>0</v>
      </c>
      <c r="AJ17" s="36">
        <f>VLOOKUP($A17,[24]HISTOMAI24!$A$6:$CA$38,64,0)</f>
        <v>0</v>
      </c>
      <c r="AK17" s="36">
        <f>VLOOKUP($A17,[24]HISTOMAI24!$A$6:$CA$38,65,0)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VLOOKUP($A18,[24]HISTOMAI24!$A$6:$BA$38,48,0)</f>
        <v>0</v>
      </c>
      <c r="F18" s="36">
        <f>MVTAVRIL24!I18-E18+L18</f>
        <v>898662.76419736946</v>
      </c>
      <c r="G18" s="5">
        <f>IF(MVTAVRIL24!I18+L18&gt;700000,(MVTAVRIL24!I18-E18+L18),0)</f>
        <v>898662.76419736946</v>
      </c>
      <c r="H18" s="36">
        <f t="shared" si="0"/>
        <v>0</v>
      </c>
      <c r="I18" s="6">
        <f t="shared" si="2"/>
        <v>898662.76419736946</v>
      </c>
      <c r="J18" s="36">
        <f>VLOOKUP($A18,[24]HISTOMAI24!$A$6:$AQ$42,22,0)</f>
        <v>0</v>
      </c>
      <c r="K18" s="36">
        <f>VLOOKUP($A18,[24]HISTOMAI24!$A$6:$AU$38,45,0)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VLOOKUP($A18,[24]HISTOMAI24!$A$6:$AU$38,7,0)</f>
        <v>0</v>
      </c>
      <c r="Q18" s="36">
        <f>VLOOKUP($A18,[24]HISTOMAI24!$A$6:$AU$38,23,0)</f>
        <v>0</v>
      </c>
      <c r="R18" s="36">
        <f>VLOOKUP($A18,[24]HISTOMAI24!$A$6:$AU$38,46,0)</f>
        <v>0</v>
      </c>
      <c r="S18" s="36">
        <f>VLOOKUP($A18,[24]HISTOMAI24!$A$6:$AU$38,26,0)</f>
        <v>0</v>
      </c>
      <c r="T18" s="36">
        <f>VLOOKUP($A18,[24]HISTOMAI24!$A$6:$BG$38,58,0)</f>
        <v>0</v>
      </c>
      <c r="U18" s="36">
        <f>VLOOKUP($A18,[24]HISTOMAI24!$A$6:$AU$38,28,0)</f>
        <v>0</v>
      </c>
      <c r="V18" s="36">
        <f>VLOOKUP($A18,[24]HISTOMAI24!$A$6:$AU$38,19,0)</f>
        <v>0</v>
      </c>
      <c r="W18" s="36">
        <f>VLOOKUP($A18,[24]HISTOMAI24!$A$6:$AU$38,20,0)</f>
        <v>0</v>
      </c>
      <c r="X18" s="36">
        <f>VLOOKUP($A18,[24]HISTOMAI24!$A$6:$AU$38,27,0)</f>
        <v>0</v>
      </c>
      <c r="Y18" s="36">
        <f>VLOOKUP($A18,[24]HISTOMAI24!$A$6:$BM$38,33,0)</f>
        <v>0</v>
      </c>
      <c r="Z18" s="36">
        <f>VLOOKUP($A18,[24]HISTOMAI24!$A$6:$BM$38,65,0)</f>
        <v>0</v>
      </c>
      <c r="AA18" s="36"/>
      <c r="AB18" s="36">
        <f>VLOOKUP($A18,[24]HISTOMAI24!$A$6:$AU$38,43,0)</f>
        <v>0</v>
      </c>
      <c r="AC18" s="36">
        <f>VLOOKUP($A18,[24]HISTOMAI24!$A$6:$AU$38,44,0)</f>
        <v>0</v>
      </c>
      <c r="AD18" s="36">
        <f>VLOOKUP($A18,[24]HISTOMAI24!$A$6:$AU$38,47,0)</f>
        <v>0</v>
      </c>
      <c r="AE18" s="36">
        <f>VLOOKUP(A18,[24]HISTOMAI24!$A$6:$BB$38,54,0)</f>
        <v>0</v>
      </c>
      <c r="AF18" s="36">
        <f>VLOOKUP($A18,[24]HISTOMAI24!$A$6:$CA$38,60,0)</f>
        <v>0</v>
      </c>
      <c r="AG18" s="36">
        <f>VLOOKUP($A18,[24]HISTOMAI24!$A$6:$CA$38,61,0)</f>
        <v>0</v>
      </c>
      <c r="AH18" s="36">
        <f>VLOOKUP($A18,[24]HISTOMAI24!$A$6:$CA$38,62,0)</f>
        <v>0</v>
      </c>
      <c r="AI18" s="36">
        <f>VLOOKUP($A18,[24]HISTOMAI24!$A$6:$CA$38,63,0)</f>
        <v>0</v>
      </c>
      <c r="AJ18" s="36">
        <f>VLOOKUP($A18,[24]HISTOMAI24!$A$6:$CA$38,64,0)</f>
        <v>0</v>
      </c>
      <c r="AK18" s="36">
        <f>VLOOKUP($A18,[24]HISTOMAI24!$A$6:$CA$38,65,0)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MVTAVRIL24!I19-E19+L19</f>
        <v>676217.13072703336</v>
      </c>
      <c r="G19" s="5">
        <f>IF(MVTAVRIL24!I19+L19&gt;700000,(MVTAVRIL24!I19-E19+L19),0)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MVTAVRIL24!I20-E20+L20</f>
        <v>95000</v>
      </c>
      <c r="G20" s="5">
        <f>IF(MVTAVRIL24!I20+L20&gt;700000,(MVTAVRIL24!I20-E20+L20),0)</f>
        <v>0</v>
      </c>
      <c r="H20" s="36">
        <f t="shared" si="0"/>
        <v>0</v>
      </c>
      <c r="I20" s="6">
        <f t="shared" si="2"/>
        <v>95000</v>
      </c>
      <c r="J20" s="36">
        <f>VLOOKUP($A20,[24]HISTOMAI24!$A$6:$AQ$42,22,0)</f>
        <v>0</v>
      </c>
      <c r="K20" s="36">
        <f>VLOOKUP($A20,[24]HISTOMAI24!$A$6:$AU$38,45,0)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VLOOKUP($A20,[24]HISTOMAI24!$A$6:$AU$38,7,0)</f>
        <v>0</v>
      </c>
      <c r="Q20" s="36">
        <f>VLOOKUP($A20,[24]HISTOMAI24!$A$6:$AU$38,23,0)</f>
        <v>0</v>
      </c>
      <c r="R20" s="36">
        <f>VLOOKUP($A20,[24]HISTOMAI24!$A$6:$AU$38,46,0)</f>
        <v>0</v>
      </c>
      <c r="S20" s="36">
        <f>VLOOKUP($A20,[24]HISTOMAI24!$A$6:$AU$38,26,0)</f>
        <v>0</v>
      </c>
      <c r="T20" s="36">
        <f>VLOOKUP($A20,[24]HISTOMAI24!$A$6:$BG$38,58,0)</f>
        <v>0</v>
      </c>
      <c r="U20" s="36">
        <f>VLOOKUP($A20,[24]HISTOMAI24!$A$6:$AU$38,28,0)</f>
        <v>0</v>
      </c>
      <c r="V20" s="36">
        <f>VLOOKUP($A20,[24]HISTOMAI24!$A$6:$AU$38,19,0)</f>
        <v>0</v>
      </c>
      <c r="W20" s="36">
        <f>VLOOKUP($A20,[24]HISTOMAI24!$A$6:$AU$38,20,0)</f>
        <v>0</v>
      </c>
      <c r="X20" s="36">
        <f>VLOOKUP($A20,[24]HISTOMAI24!$A$6:$AU$38,27,0)</f>
        <v>0</v>
      </c>
      <c r="Y20" s="36">
        <f>VLOOKUP($A20,[24]HISTOMAI24!$A$6:$BM$38,33,0)</f>
        <v>0</v>
      </c>
      <c r="Z20" s="36">
        <f>VLOOKUP($A20,[24]HISTOMAI24!$A$6:$BM$38,65,0)</f>
        <v>0</v>
      </c>
      <c r="AA20" s="36"/>
      <c r="AB20" s="36">
        <f>VLOOKUP($A20,[24]HISTOMAI24!$A$6:$AU$38,43,0)</f>
        <v>0</v>
      </c>
      <c r="AC20" s="36">
        <f>VLOOKUP($A20,[24]HISTOMAI24!$A$6:$AU$38,44,0)</f>
        <v>0</v>
      </c>
      <c r="AD20" s="36">
        <f>VLOOKUP($A20,[24]HISTOMAI24!$A$6:$AU$38,47,0)</f>
        <v>0</v>
      </c>
      <c r="AE20" s="36">
        <f>VLOOKUP(A20,[24]HISTOMAI24!$A$6:$BB$38,54,0)</f>
        <v>0</v>
      </c>
      <c r="AF20" s="36">
        <f>VLOOKUP($A20,[24]HISTOMAI24!$A$6:$CA$38,60,0)</f>
        <v>0</v>
      </c>
      <c r="AG20" s="36">
        <f>VLOOKUP($A20,[24]HISTOMAI24!$A$6:$CA$38,61,0)</f>
        <v>0</v>
      </c>
      <c r="AH20" s="36">
        <f>VLOOKUP($A20,[24]HISTOMAI24!$A$6:$CA$38,62,0)</f>
        <v>0</v>
      </c>
      <c r="AI20" s="36">
        <f>VLOOKUP($A20,[24]HISTOMAI24!$A$6:$CA$38,63,0)</f>
        <v>0</v>
      </c>
      <c r="AJ20" s="36">
        <f>VLOOKUP($A20,[24]HISTOMAI24!$A$6:$CA$38,64,0)</f>
        <v>0</v>
      </c>
      <c r="AK20" s="36">
        <f>VLOOKUP($A20,[24]HISTOMAI24!$A$6:$CA$38,65,0)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MVTAVRIL24!I21-E21+L21</f>
        <v>875355.80062958295</v>
      </c>
      <c r="G21" s="5">
        <f>IF(MVTAVRIL24!I21+L21&gt;700000,(MVTAVRIL24!I21-E21+L21),0)</f>
        <v>875355.80062958295</v>
      </c>
      <c r="H21" s="36">
        <f t="shared" si="0"/>
        <v>0</v>
      </c>
      <c r="I21" s="6">
        <f t="shared" si="2"/>
        <v>875355.80062958295</v>
      </c>
      <c r="J21" s="36">
        <f>VLOOKUP($A21,[24]HISTOMAI24!$A$6:$AQ$42,22,0)</f>
        <v>0</v>
      </c>
      <c r="K21" s="36">
        <f>VLOOKUP($A21,[24]HISTOMAI24!$A$6:$AU$38,45,0)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VLOOKUP($A21,[24]HISTOMAI24!$A$6:$AU$38,7,0)</f>
        <v>0</v>
      </c>
      <c r="Q21" s="36">
        <f>VLOOKUP($A21,[24]HISTOMAI24!$A$6:$AU$38,23,0)</f>
        <v>0</v>
      </c>
      <c r="R21" s="36">
        <f>VLOOKUP($A21,[24]HISTOMAI24!$A$6:$AU$38,46,0)</f>
        <v>0</v>
      </c>
      <c r="S21" s="36">
        <f>VLOOKUP($A21,[24]HISTOMAI24!$A$6:$AU$38,26,0)</f>
        <v>0</v>
      </c>
      <c r="T21" s="36">
        <f>VLOOKUP($A21,[24]HISTOMAI24!$A$6:$BG$38,58,0)</f>
        <v>0</v>
      </c>
      <c r="U21" s="36">
        <f>VLOOKUP($A21,[24]HISTOMAI24!$A$6:$AU$38,28,0)</f>
        <v>0</v>
      </c>
      <c r="V21" s="36">
        <f>VLOOKUP($A21,[24]HISTOMAI24!$A$6:$AU$38,19,0)</f>
        <v>0</v>
      </c>
      <c r="W21" s="36">
        <f>VLOOKUP($A21,[24]HISTOMAI24!$A$6:$AU$38,20,0)</f>
        <v>0</v>
      </c>
      <c r="X21" s="36">
        <f>VLOOKUP($A21,[24]HISTOMAI24!$A$6:$AU$38,27,0)</f>
        <v>0</v>
      </c>
      <c r="Y21" s="36">
        <f>VLOOKUP($A21,[24]HISTOMAI24!$A$6:$BM$38,33,0)</f>
        <v>0</v>
      </c>
      <c r="Z21" s="36">
        <f>VLOOKUP($A21,[24]HISTOMAI24!$A$6:$BM$38,65,0)</f>
        <v>0</v>
      </c>
      <c r="AA21" s="36"/>
      <c r="AB21" s="36">
        <f>VLOOKUP($A21,[24]HISTOMAI24!$A$6:$AU$38,43,0)</f>
        <v>0</v>
      </c>
      <c r="AC21" s="36">
        <f>VLOOKUP($A21,[24]HISTOMAI24!$A$6:$AU$38,44,0)</f>
        <v>0</v>
      </c>
      <c r="AD21" s="36">
        <f>VLOOKUP($A21,[24]HISTOMAI24!$A$6:$AU$38,47,0)</f>
        <v>0</v>
      </c>
      <c r="AE21" s="36">
        <f>VLOOKUP(A21,[24]HISTOMAI24!$A$6:$BB$38,54,0)</f>
        <v>0</v>
      </c>
      <c r="AF21" s="36">
        <f>VLOOKUP($A21,[24]HISTOMAI24!$A$6:$CA$38,60,0)</f>
        <v>0</v>
      </c>
      <c r="AG21" s="36">
        <f>VLOOKUP($A21,[24]HISTOMAI24!$A$6:$CA$38,61,0)</f>
        <v>0</v>
      </c>
      <c r="AH21" s="36">
        <f>VLOOKUP($A21,[24]HISTOMAI24!$A$6:$CA$38,62,0)</f>
        <v>0</v>
      </c>
      <c r="AI21" s="36">
        <f>VLOOKUP($A21,[24]HISTOMAI24!$A$6:$CA$38,63,0)</f>
        <v>0</v>
      </c>
      <c r="AJ21" s="36">
        <f>VLOOKUP($A21,[24]HISTOMAI24!$A$6:$CA$38,64,0)</f>
        <v>0</v>
      </c>
      <c r="AK21" s="36">
        <f>VLOOKUP($A21,[24]HISTOMAI24!$A$6:$CA$38,65,0)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MVTAVRIL24!I22-E22+L22</f>
        <v>843738.95952735876</v>
      </c>
      <c r="G22" s="5">
        <f>IF(MVTAVRIL24!I22+L22&gt;700000,(MVTAVRIL24!I22-E22+L22),0)</f>
        <v>843738.95952735876</v>
      </c>
      <c r="H22" s="36">
        <f t="shared" si="0"/>
        <v>0</v>
      </c>
      <c r="I22" s="6">
        <f t="shared" si="2"/>
        <v>843738.95952735876</v>
      </c>
      <c r="J22" s="36">
        <f>VLOOKUP($A22,[24]HISTOMAI24!$A$6:$AQ$42,22,0)</f>
        <v>0</v>
      </c>
      <c r="K22" s="36">
        <f>VLOOKUP($A22,[24]HISTOMAI24!$A$6:$AU$38,45,0)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VLOOKUP($A22,[24]HISTOMAI24!$A$6:$AU$38,7,0)</f>
        <v>0</v>
      </c>
      <c r="Q22" s="36">
        <f>VLOOKUP($A22,[24]HISTOMAI24!$A$6:$AU$38,23,0)</f>
        <v>0</v>
      </c>
      <c r="R22" s="36">
        <f>VLOOKUP($A22,[24]HISTOMAI24!$A$6:$AU$38,46,0)</f>
        <v>0</v>
      </c>
      <c r="S22" s="36">
        <f>VLOOKUP($A22,[24]HISTOMAI24!$A$6:$AU$38,26,0)</f>
        <v>0</v>
      </c>
      <c r="T22" s="36">
        <f>VLOOKUP($A22,[24]HISTOMAI24!$A$6:$BG$38,58,0)</f>
        <v>0</v>
      </c>
      <c r="U22" s="36">
        <f>VLOOKUP($A22,[24]HISTOMAI24!$A$6:$AU$38,28,0)</f>
        <v>0</v>
      </c>
      <c r="V22" s="36">
        <f>VLOOKUP($A22,[24]HISTOMAI24!$A$6:$AU$38,19,0)</f>
        <v>0</v>
      </c>
      <c r="W22" s="36">
        <f>VLOOKUP($A22,[24]HISTOMAI24!$A$6:$AU$38,20,0)</f>
        <v>0</v>
      </c>
      <c r="X22" s="36">
        <f>VLOOKUP($A22,[24]HISTOMAI24!$A$6:$AU$38,27,0)</f>
        <v>0</v>
      </c>
      <c r="Y22" s="36">
        <f>VLOOKUP($A22,[24]HISTOMAI24!$A$6:$BM$38,33,0)</f>
        <v>0</v>
      </c>
      <c r="Z22" s="36">
        <f>VLOOKUP($A22,[24]HISTOMAI24!$A$6:$BM$38,65,0)</f>
        <v>0</v>
      </c>
      <c r="AA22" s="36"/>
      <c r="AB22" s="36">
        <f>VLOOKUP($A22,[24]HISTOMAI24!$A$6:$AU$38,43,0)</f>
        <v>0</v>
      </c>
      <c r="AC22" s="36">
        <f>VLOOKUP($A22,[24]HISTOMAI24!$A$6:$AU$38,44,0)</f>
        <v>0</v>
      </c>
      <c r="AD22" s="36">
        <f>VLOOKUP($A22,[24]HISTOMAI24!$A$6:$AU$38,47,0)</f>
        <v>0</v>
      </c>
      <c r="AE22" s="36">
        <f>VLOOKUP(A22,[24]HISTOMAI24!$A$6:$BB$38,54,0)</f>
        <v>0</v>
      </c>
      <c r="AF22" s="36">
        <f>VLOOKUP($A22,[24]HISTOMAI24!$A$6:$CA$38,60,0)</f>
        <v>0</v>
      </c>
      <c r="AG22" s="36">
        <f>VLOOKUP($A22,[24]HISTOMAI24!$A$6:$CA$38,61,0)</f>
        <v>0</v>
      </c>
      <c r="AH22" s="36">
        <f>VLOOKUP($A22,[24]HISTOMAI24!$A$6:$CA$38,62,0)</f>
        <v>0</v>
      </c>
      <c r="AI22" s="36">
        <f>VLOOKUP($A22,[24]HISTOMAI24!$A$6:$CA$38,63,0)</f>
        <v>0</v>
      </c>
      <c r="AJ22" s="36">
        <f>VLOOKUP($A22,[24]HISTOMAI24!$A$6:$CA$38,64,0)</f>
        <v>0</v>
      </c>
      <c r="AK22" s="36">
        <f>VLOOKUP($A22,[24]HISTOMAI24!$A$6:$CA$38,65,0)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MVTAVRIL24!I23-E23+L23</f>
        <v>949674.32467319479</v>
      </c>
      <c r="G23" s="5">
        <f>IF(MVTAVRIL24!I23+L23&gt;700000,(MVTAVRIL24!I23-E23+L23),0)</f>
        <v>949674.32467319479</v>
      </c>
      <c r="H23" s="36">
        <f t="shared" si="0"/>
        <v>0</v>
      </c>
      <c r="I23" s="6">
        <f t="shared" si="2"/>
        <v>949674.32467319479</v>
      </c>
      <c r="J23" s="36">
        <f>VLOOKUP($A23,[24]HISTOMAI24!$A$6:$AQ$42,22,0)</f>
        <v>0</v>
      </c>
      <c r="K23" s="36">
        <f>VLOOKUP($A23,[24]HISTOMAI24!$A$6:$AU$38,45,0)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VLOOKUP($A23,[24]HISTOMAI24!$A$6:$AU$38,7,0)</f>
        <v>0</v>
      </c>
      <c r="Q23" s="36">
        <f>VLOOKUP($A23,[24]HISTOMAI24!$A$6:$AU$38,23,0)</f>
        <v>0</v>
      </c>
      <c r="R23" s="36">
        <f>VLOOKUP($A23,[24]HISTOMAI24!$A$6:$AU$38,46,0)</f>
        <v>0</v>
      </c>
      <c r="S23" s="36">
        <f>VLOOKUP($A23,[24]HISTOMAI24!$A$6:$AU$38,26,0)</f>
        <v>0</v>
      </c>
      <c r="T23" s="36">
        <f>VLOOKUP($A23,[24]HISTOMAI24!$A$6:$BG$38,58,0)</f>
        <v>0</v>
      </c>
      <c r="U23" s="36">
        <f>VLOOKUP($A23,[24]HISTOMAI24!$A$6:$AU$38,28,0)</f>
        <v>0</v>
      </c>
      <c r="V23" s="36">
        <f>VLOOKUP($A23,[24]HISTOMAI24!$A$6:$AU$38,19,0)</f>
        <v>0</v>
      </c>
      <c r="W23" s="36">
        <f>VLOOKUP($A23,[24]HISTOMAI24!$A$6:$AU$38,20,0)</f>
        <v>0</v>
      </c>
      <c r="X23" s="36">
        <f>VLOOKUP($A23,[24]HISTOMAI24!$A$6:$AU$38,27,0)</f>
        <v>0</v>
      </c>
      <c r="Y23" s="36">
        <f>VLOOKUP($A23,[24]HISTOMAI24!$A$6:$BM$38,33,0)</f>
        <v>0</v>
      </c>
      <c r="Z23" s="36">
        <f>VLOOKUP($A23,[24]HISTOMAI24!$A$6:$BM$38,65,0)</f>
        <v>0</v>
      </c>
      <c r="AA23" s="36"/>
      <c r="AB23" s="36">
        <f>VLOOKUP($A23,[24]HISTOMAI24!$A$6:$AU$38,43,0)</f>
        <v>0</v>
      </c>
      <c r="AC23" s="36">
        <f>VLOOKUP($A23,[24]HISTOMAI24!$A$6:$AU$38,44,0)</f>
        <v>0</v>
      </c>
      <c r="AD23" s="36">
        <f>VLOOKUP($A23,[24]HISTOMAI24!$A$6:$AU$38,47,0)</f>
        <v>0</v>
      </c>
      <c r="AE23" s="36">
        <f>VLOOKUP(A23,[24]HISTOMAI24!$A$6:$BB$38,54,0)</f>
        <v>0</v>
      </c>
      <c r="AF23" s="36">
        <f>VLOOKUP($A23,[24]HISTOMAI24!$A$6:$CA$38,60,0)</f>
        <v>0</v>
      </c>
      <c r="AG23" s="36">
        <f>VLOOKUP($A23,[24]HISTOMAI24!$A$6:$CA$38,61,0)</f>
        <v>0</v>
      </c>
      <c r="AH23" s="36">
        <f>VLOOKUP($A23,[24]HISTOMAI24!$A$6:$CA$38,62,0)</f>
        <v>0</v>
      </c>
      <c r="AI23" s="36">
        <f>VLOOKUP($A23,[24]HISTOMAI24!$A$6:$CA$38,63,0)</f>
        <v>0</v>
      </c>
      <c r="AJ23" s="36">
        <f>VLOOKUP($A23,[24]HISTOMAI24!$A$6:$CA$38,64,0)</f>
        <v>0</v>
      </c>
      <c r="AK23" s="36">
        <f>VLOOKUP($A23,[24]HISTOMAI24!$A$6:$CA$38,65,0)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MVTAVRIL24!I24-E24+L24</f>
        <v>1122827.8441992993</v>
      </c>
      <c r="G24" s="5">
        <f>IF(MVTAVRIL24!I24+L24&gt;700000,(MVTAVRIL24!I24-E24+L24),0)</f>
        <v>1122827.8441992993</v>
      </c>
      <c r="H24" s="36">
        <f t="shared" si="0"/>
        <v>0</v>
      </c>
      <c r="I24" s="6">
        <f t="shared" si="2"/>
        <v>1122827.8441992993</v>
      </c>
      <c r="J24" s="36">
        <f>VLOOKUP($A24,[24]HISTOMAI24!$A$6:$AQ$42,22,0)</f>
        <v>0</v>
      </c>
      <c r="K24" s="36">
        <f>VLOOKUP($A24,[24]HISTOMAI24!$A$6:$AU$38,45,0)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VLOOKUP($A24,[24]HISTOMAI24!$A$6:$AU$38,7,0)</f>
        <v>0</v>
      </c>
      <c r="Q24" s="36">
        <f>VLOOKUP($A24,[24]HISTOMAI24!$A$6:$AU$38,23,0)</f>
        <v>0</v>
      </c>
      <c r="R24" s="36">
        <f>VLOOKUP($A24,[24]HISTOMAI24!$A$6:$AU$38,46,0)</f>
        <v>0</v>
      </c>
      <c r="S24" s="36">
        <f>VLOOKUP($A24,[24]HISTOMAI24!$A$6:$AU$38,26,0)</f>
        <v>0</v>
      </c>
      <c r="T24" s="36">
        <f>VLOOKUP($A24,[24]HISTOMAI24!$A$6:$BG$38,58,0)</f>
        <v>0</v>
      </c>
      <c r="U24" s="36">
        <f>VLOOKUP($A24,[24]HISTOMAI24!$A$6:$AU$38,28,0)</f>
        <v>0</v>
      </c>
      <c r="V24" s="36">
        <f>VLOOKUP($A24,[24]HISTOMAI24!$A$6:$AU$38,19,0)</f>
        <v>0</v>
      </c>
      <c r="W24" s="36">
        <f>VLOOKUP($A24,[24]HISTOMAI24!$A$6:$AU$38,20,0)</f>
        <v>0</v>
      </c>
      <c r="X24" s="36">
        <f>VLOOKUP($A24,[24]HISTOMAI24!$A$6:$AU$38,27,0)</f>
        <v>0</v>
      </c>
      <c r="Y24" s="36">
        <f>VLOOKUP($A24,[24]HISTOMAI24!$A$6:$BM$38,33,0)</f>
        <v>0</v>
      </c>
      <c r="Z24" s="36">
        <f>VLOOKUP($A24,[24]HISTOMAI24!$A$6:$BM$38,65,0)</f>
        <v>0</v>
      </c>
      <c r="AA24" s="36"/>
      <c r="AB24" s="36">
        <f>VLOOKUP($A24,[24]HISTOMAI24!$A$6:$AU$38,43,0)</f>
        <v>0</v>
      </c>
      <c r="AC24" s="36">
        <f>VLOOKUP($A24,[24]HISTOMAI24!$A$6:$AU$38,44,0)</f>
        <v>0</v>
      </c>
      <c r="AD24" s="36">
        <f>VLOOKUP($A24,[24]HISTOMAI24!$A$6:$AU$38,47,0)</f>
        <v>0</v>
      </c>
      <c r="AE24" s="36">
        <f>VLOOKUP(A24,[24]HISTOMAI24!$A$6:$BB$38,54,0)</f>
        <v>0</v>
      </c>
      <c r="AF24" s="36">
        <f>VLOOKUP($A24,[24]HISTOMAI24!$A$6:$CA$38,60,0)</f>
        <v>0</v>
      </c>
      <c r="AG24" s="36">
        <f>VLOOKUP($A24,[24]HISTOMAI24!$A$6:$CA$38,61,0)</f>
        <v>0</v>
      </c>
      <c r="AH24" s="36">
        <f>VLOOKUP($A24,[24]HISTOMAI24!$A$6:$CA$38,62,0)</f>
        <v>0</v>
      </c>
      <c r="AI24" s="36">
        <f>VLOOKUP($A24,[24]HISTOMAI24!$A$6:$CA$38,63,0)</f>
        <v>0</v>
      </c>
      <c r="AJ24" s="36">
        <f>VLOOKUP($A24,[24]HISTOMAI24!$A$6:$CA$38,64,0)</f>
        <v>0</v>
      </c>
      <c r="AK24" s="36">
        <f>VLOOKUP($A24,[24]HISTOMAI24!$A$6:$CA$38,65,0)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MVTAVRIL24!I25-E25+L25</f>
        <v>934141.79504321574</v>
      </c>
      <c r="G25" s="5">
        <f>IF(MVTAVRIL24!I25+L25&gt;700000,(MVTAVRIL24!I25-E25+L25),0)</f>
        <v>934141.79504321574</v>
      </c>
      <c r="H25" s="36">
        <f t="shared" si="0"/>
        <v>0</v>
      </c>
      <c r="I25" s="6">
        <f t="shared" si="2"/>
        <v>934141.79504321574</v>
      </c>
      <c r="J25" s="36">
        <f>VLOOKUP($A25,[24]HISTOMAI24!$A$6:$AQ$42,22,0)</f>
        <v>0</v>
      </c>
      <c r="K25" s="36">
        <f>VLOOKUP($A25,[24]HISTOMAI24!$A$6:$AU$38,45,0)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VLOOKUP($A25,[24]HISTOMAI24!$A$6:$AU$38,7,0)</f>
        <v>3000</v>
      </c>
      <c r="Q25" s="36">
        <f>VLOOKUP($A25,[24]HISTOMAI24!$A$6:$AU$38,23,0)</f>
        <v>0</v>
      </c>
      <c r="R25" s="36">
        <f>VLOOKUP($A25,[24]HISTOMAI24!$A$6:$AU$38,46,0)</f>
        <v>0</v>
      </c>
      <c r="S25" s="36">
        <f>VLOOKUP($A25,[24]HISTOMAI24!$A$6:$AU$38,26,0)</f>
        <v>0</v>
      </c>
      <c r="T25" s="36">
        <f>VLOOKUP($A25,[24]HISTOMAI24!$A$6:$BG$38,58,0)</f>
        <v>0</v>
      </c>
      <c r="U25" s="36">
        <f>VLOOKUP($A25,[24]HISTOMAI24!$A$6:$AU$38,28,0)</f>
        <v>0</v>
      </c>
      <c r="V25" s="36">
        <f>VLOOKUP($A25,[24]HISTOMAI24!$A$6:$AU$38,19,0)</f>
        <v>0</v>
      </c>
      <c r="W25" s="36">
        <f>VLOOKUP($A25,[24]HISTOMAI24!$A$6:$AU$38,20,0)</f>
        <v>0</v>
      </c>
      <c r="X25" s="36">
        <f>VLOOKUP($A25,[24]HISTOMAI24!$A$6:$AU$38,27,0)</f>
        <v>0</v>
      </c>
      <c r="Y25" s="36">
        <f>VLOOKUP($A25,[24]HISTOMAI24!$A$6:$BM$38,33,0)</f>
        <v>0</v>
      </c>
      <c r="Z25" s="36">
        <f>VLOOKUP($A25,[24]HISTOMAI24!$A$6:$BM$38,65,0)</f>
        <v>0</v>
      </c>
      <c r="AA25" s="36"/>
      <c r="AB25" s="36">
        <f>VLOOKUP($A25,[24]HISTOMAI24!$A$6:$AU$38,43,0)</f>
        <v>0</v>
      </c>
      <c r="AC25" s="36">
        <f>VLOOKUP($A25,[24]HISTOMAI24!$A$6:$AU$38,44,0)</f>
        <v>0</v>
      </c>
      <c r="AD25" s="36">
        <f>VLOOKUP($A25,[24]HISTOMAI24!$A$6:$AU$38,47,0)</f>
        <v>0</v>
      </c>
      <c r="AE25" s="36">
        <f>VLOOKUP(A25,[24]HISTOMAI24!$A$6:$BB$38,54,0)</f>
        <v>0</v>
      </c>
      <c r="AF25" s="36">
        <f>VLOOKUP($A25,[24]HISTOMAI24!$A$6:$CA$38,60,0)</f>
        <v>0</v>
      </c>
      <c r="AG25" s="36">
        <f>VLOOKUP($A25,[24]HISTOMAI24!$A$6:$CA$38,61,0)</f>
        <v>0</v>
      </c>
      <c r="AH25" s="36">
        <f>VLOOKUP($A25,[24]HISTOMAI24!$A$6:$CA$38,62,0)</f>
        <v>0</v>
      </c>
      <c r="AI25" s="36">
        <f>VLOOKUP($A25,[24]HISTOMAI24!$A$6:$CA$38,63,0)</f>
        <v>0</v>
      </c>
      <c r="AJ25" s="36">
        <f>VLOOKUP($A25,[24]HISTOMAI24!$A$6:$CA$38,64,0)</f>
        <v>0</v>
      </c>
      <c r="AK25" s="36">
        <f>VLOOKUP($A25,[24]HISTOMAI24!$A$6:$CA$38,65,0)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MVTAVRIL24!I26-E26+L26</f>
        <v>862266.46813543816</v>
      </c>
      <c r="G26" s="5">
        <f>IF(MVTAVRIL24!I26+L26&gt;700000,(MVTAVRIL24!I26-E26+L26),0)</f>
        <v>862266.46813543816</v>
      </c>
      <c r="H26" s="36">
        <f t="shared" si="0"/>
        <v>0</v>
      </c>
      <c r="I26" s="6">
        <f t="shared" si="2"/>
        <v>862266.46813543816</v>
      </c>
      <c r="J26" s="36">
        <f>VLOOKUP($A26,[24]HISTOMAI24!$A$6:$AQ$42,22,0)</f>
        <v>0</v>
      </c>
      <c r="K26" s="36">
        <f>VLOOKUP($A26,[24]HISTOMAI24!$A$6:$AU$38,45,0)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VLOOKUP($A26,[24]HISTOMAI24!$A$6:$AU$38,7,0)</f>
        <v>0</v>
      </c>
      <c r="Q26" s="36">
        <f>VLOOKUP($A26,[24]HISTOMAI24!$A$6:$AU$38,23,0)</f>
        <v>0</v>
      </c>
      <c r="R26" s="36">
        <f>VLOOKUP($A26,[24]HISTOMAI24!$A$6:$AU$38,46,0)</f>
        <v>0</v>
      </c>
      <c r="S26" s="36">
        <f>VLOOKUP($A26,[24]HISTOMAI24!$A$6:$AU$38,26,0)</f>
        <v>0</v>
      </c>
      <c r="T26" s="36">
        <f>VLOOKUP($A26,[24]HISTOMAI24!$A$6:$BG$38,58,0)</f>
        <v>0</v>
      </c>
      <c r="U26" s="36">
        <f>VLOOKUP($A26,[24]HISTOMAI24!$A$6:$AU$38,28,0)</f>
        <v>0</v>
      </c>
      <c r="V26" s="36">
        <f>VLOOKUP($A26,[24]HISTOMAI24!$A$6:$AU$38,19,0)</f>
        <v>0</v>
      </c>
      <c r="W26" s="36">
        <f>VLOOKUP($A26,[24]HISTOMAI24!$A$6:$AU$38,20,0)</f>
        <v>0</v>
      </c>
      <c r="X26" s="36">
        <f>VLOOKUP($A26,[24]HISTOMAI24!$A$6:$AU$38,27,0)</f>
        <v>0</v>
      </c>
      <c r="Y26" s="36">
        <f>VLOOKUP($A26,[24]HISTOMAI24!$A$6:$BM$38,33,0)</f>
        <v>0</v>
      </c>
      <c r="Z26" s="36">
        <f>VLOOKUP($A26,[24]HISTOMAI24!$A$6:$BM$38,65,0)</f>
        <v>0</v>
      </c>
      <c r="AA26" s="36"/>
      <c r="AB26" s="36">
        <f>VLOOKUP($A26,[24]HISTOMAI24!$A$6:$AU$38,43,0)</f>
        <v>0</v>
      </c>
      <c r="AC26" s="36">
        <f>VLOOKUP($A26,[24]HISTOMAI24!$A$6:$AU$38,44,0)</f>
        <v>0</v>
      </c>
      <c r="AD26" s="36">
        <f>VLOOKUP($A26,[24]HISTOMAI24!$A$6:$AU$38,47,0)</f>
        <v>0</v>
      </c>
      <c r="AE26" s="36">
        <f>VLOOKUP(A26,[24]HISTOMAI24!$A$6:$BB$38,54,0)</f>
        <v>0</v>
      </c>
      <c r="AF26" s="36">
        <f>VLOOKUP($A26,[24]HISTOMAI24!$A$6:$CA$38,60,0)</f>
        <v>0</v>
      </c>
      <c r="AG26" s="36">
        <f>VLOOKUP($A26,[24]HISTOMAI24!$A$6:$CA$38,61,0)</f>
        <v>0</v>
      </c>
      <c r="AH26" s="36">
        <f>VLOOKUP($A26,[24]HISTOMAI24!$A$6:$CA$38,62,0)</f>
        <v>0</v>
      </c>
      <c r="AI26" s="36">
        <f>VLOOKUP($A26,[24]HISTOMAI24!$A$6:$CA$38,63,0)</f>
        <v>0</v>
      </c>
      <c r="AJ26" s="36">
        <f>VLOOKUP($A26,[24]HISTOMAI24!$A$6:$CA$38,64,0)</f>
        <v>0</v>
      </c>
      <c r="AK26" s="36">
        <f>VLOOKUP($A26,[24]HISTOMAI24!$A$6:$CA$38,65,0)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MVTAVRIL24!I27-E27+L27</f>
        <v>862824.17371512204</v>
      </c>
      <c r="G27" s="5">
        <f>IF(MVTAVRIL24!I27+L27&gt;700000,(MVTAVRIL24!I27-E27+L27),0)</f>
        <v>862824.17371512204</v>
      </c>
      <c r="H27" s="36">
        <f t="shared" si="0"/>
        <v>0</v>
      </c>
      <c r="I27" s="6">
        <f t="shared" si="2"/>
        <v>862824.17371512204</v>
      </c>
      <c r="J27" s="36">
        <f>VLOOKUP($A27,[24]HISTOMAI24!$A$6:$AQ$42,22,0)</f>
        <v>0</v>
      </c>
      <c r="K27" s="36">
        <f>VLOOKUP($A27,[24]HISTOMAI24!$A$6:$AU$38,45,0)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VLOOKUP($A27,[24]HISTOMAI24!$A$6:$AU$38,7,0)</f>
        <v>0</v>
      </c>
      <c r="Q27" s="36">
        <f>VLOOKUP($A27,[24]HISTOMAI24!$A$6:$AU$38,23,0)</f>
        <v>0</v>
      </c>
      <c r="R27" s="36">
        <f>VLOOKUP($A27,[24]HISTOMAI24!$A$6:$AU$38,46,0)</f>
        <v>0</v>
      </c>
      <c r="S27" s="36">
        <f>VLOOKUP($A27,[24]HISTOMAI24!$A$6:$AU$38,26,0)</f>
        <v>0</v>
      </c>
      <c r="T27" s="36">
        <f>VLOOKUP($A27,[24]HISTOMAI24!$A$6:$BG$38,58,0)</f>
        <v>0</v>
      </c>
      <c r="U27" s="36">
        <f>VLOOKUP($A27,[24]HISTOMAI24!$A$6:$AU$38,28,0)</f>
        <v>0</v>
      </c>
      <c r="V27" s="36">
        <f>VLOOKUP($A27,[24]HISTOMAI24!$A$6:$AU$38,19,0)</f>
        <v>0</v>
      </c>
      <c r="W27" s="36">
        <f>VLOOKUP($A27,[24]HISTOMAI24!$A$6:$AU$38,20,0)</f>
        <v>0</v>
      </c>
      <c r="X27" s="36">
        <f>VLOOKUP($A27,[24]HISTOMAI24!$A$6:$AU$38,27,0)</f>
        <v>0</v>
      </c>
      <c r="Y27" s="36">
        <f>VLOOKUP($A27,[24]HISTOMAI24!$A$6:$BM$38,33,0)</f>
        <v>0</v>
      </c>
      <c r="Z27" s="36">
        <f>VLOOKUP($A27,[24]HISTOMAI24!$A$6:$BM$38,65,0)</f>
        <v>0</v>
      </c>
      <c r="AA27" s="36"/>
      <c r="AB27" s="36">
        <f>VLOOKUP($A27,[24]HISTOMAI24!$A$6:$AU$38,43,0)</f>
        <v>0</v>
      </c>
      <c r="AC27" s="36">
        <f>VLOOKUP($A27,[24]HISTOMAI24!$A$6:$AU$38,44,0)</f>
        <v>0</v>
      </c>
      <c r="AD27" s="36">
        <f>VLOOKUP($A27,[24]HISTOMAI24!$A$6:$AU$38,47,0)</f>
        <v>0</v>
      </c>
      <c r="AE27" s="36">
        <f>VLOOKUP(A27,[24]HISTOMAI24!$A$6:$BB$38,54,0)</f>
        <v>0</v>
      </c>
      <c r="AF27" s="36">
        <f>VLOOKUP($A27,[24]HISTOMAI24!$A$6:$CA$38,60,0)</f>
        <v>0</v>
      </c>
      <c r="AG27" s="36">
        <f>VLOOKUP($A27,[24]HISTOMAI24!$A$6:$CA$38,61,0)</f>
        <v>0</v>
      </c>
      <c r="AH27" s="36">
        <f>VLOOKUP($A27,[24]HISTOMAI24!$A$6:$CA$38,62,0)</f>
        <v>0</v>
      </c>
      <c r="AI27" s="36">
        <f>VLOOKUP($A27,[24]HISTOMAI24!$A$6:$CA$38,63,0)</f>
        <v>0</v>
      </c>
      <c r="AJ27" s="36">
        <f>VLOOKUP($A27,[24]HISTOMAI24!$A$6:$CA$38,64,0)</f>
        <v>0</v>
      </c>
      <c r="AK27" s="36">
        <f>VLOOKUP($A27,[24]HISTOMAI24!$A$6:$CA$38,65,0)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MVTAVRIL24!I28-E28+L28</f>
        <v>764176.12513194664</v>
      </c>
      <c r="G28" s="5">
        <f>IF(MVTAVRIL24!I28+L28&gt;700000,(MVTAVRIL24!I28-E28+L28),0)</f>
        <v>764176.12513194664</v>
      </c>
      <c r="H28" s="36">
        <f t="shared" si="0"/>
        <v>0</v>
      </c>
      <c r="I28" s="6">
        <f t="shared" si="2"/>
        <v>764176.12513194664</v>
      </c>
      <c r="J28" s="36">
        <f>VLOOKUP($A28,[24]HISTOMAI24!$A$6:$AQ$42,22,0)</f>
        <v>0</v>
      </c>
      <c r="K28" s="36">
        <f>VLOOKUP($A28,[24]HISTOMAI24!$A$6:$AU$38,45,0)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VLOOKUP($A28,[24]HISTOMAI24!$A$6:$AU$38,7,0)</f>
        <v>0</v>
      </c>
      <c r="Q28" s="36">
        <f>VLOOKUP($A28,[24]HISTOMAI24!$A$6:$AU$38,23,0)</f>
        <v>0</v>
      </c>
      <c r="R28" s="36">
        <f>VLOOKUP($A28,[24]HISTOMAI24!$A$6:$AU$38,46,0)</f>
        <v>0</v>
      </c>
      <c r="S28" s="36">
        <f>VLOOKUP($A28,[24]HISTOMAI24!$A$6:$AU$38,26,0)</f>
        <v>0</v>
      </c>
      <c r="T28" s="36">
        <f>VLOOKUP($A28,[24]HISTOMAI24!$A$6:$BG$38,58,0)</f>
        <v>0</v>
      </c>
      <c r="U28" s="36">
        <f>VLOOKUP($A28,[24]HISTOMAI24!$A$6:$AU$38,28,0)</f>
        <v>0</v>
      </c>
      <c r="V28" s="36">
        <f>VLOOKUP($A28,[24]HISTOMAI24!$A$6:$AU$38,19,0)</f>
        <v>0</v>
      </c>
      <c r="W28" s="36">
        <f>VLOOKUP($A28,[24]HISTOMAI24!$A$6:$AU$38,20,0)</f>
        <v>0</v>
      </c>
      <c r="X28" s="36">
        <f>VLOOKUP($A28,[24]HISTOMAI24!$A$6:$AU$38,27,0)</f>
        <v>0</v>
      </c>
      <c r="Y28" s="36">
        <f>VLOOKUP($A28,[24]HISTOMAI24!$A$6:$BM$38,33,0)</f>
        <v>0</v>
      </c>
      <c r="Z28" s="36">
        <f>VLOOKUP($A28,[24]HISTOMAI24!$A$6:$BM$38,65,0)</f>
        <v>0</v>
      </c>
      <c r="AA28" s="36"/>
      <c r="AB28" s="36">
        <f>VLOOKUP($A28,[24]HISTOMAI24!$A$6:$AU$38,43,0)</f>
        <v>0</v>
      </c>
      <c r="AC28" s="36">
        <f>VLOOKUP($A28,[24]HISTOMAI24!$A$6:$AU$38,44,0)</f>
        <v>0</v>
      </c>
      <c r="AD28" s="36">
        <f>VLOOKUP($A28,[24]HISTOMAI24!$A$6:$AU$38,47,0)</f>
        <v>0</v>
      </c>
      <c r="AE28" s="36">
        <f>VLOOKUP(A28,[24]HISTOMAI24!$A$6:$BB$38,54,0)</f>
        <v>0</v>
      </c>
      <c r="AF28" s="36">
        <f>VLOOKUP($A28,[24]HISTOMAI24!$A$6:$CA$38,60,0)</f>
        <v>0</v>
      </c>
      <c r="AG28" s="36">
        <f>VLOOKUP($A28,[24]HISTOMAI24!$A$6:$CA$38,61,0)</f>
        <v>0</v>
      </c>
      <c r="AH28" s="36">
        <f>VLOOKUP($A28,[24]HISTOMAI24!$A$6:$CA$38,62,0)</f>
        <v>0</v>
      </c>
      <c r="AI28" s="36">
        <f>VLOOKUP($A28,[24]HISTOMAI24!$A$6:$CA$38,63,0)</f>
        <v>0</v>
      </c>
      <c r="AJ28" s="36">
        <f>VLOOKUP($A28,[24]HISTOMAI24!$A$6:$CA$38,64,0)</f>
        <v>0</v>
      </c>
      <c r="AK28" s="36">
        <f>VLOOKUP($A28,[24]HISTOMAI24!$A$6:$CA$38,65,0)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MVTAVRIL24!I29-E29+L29</f>
        <v>889151.34423741512</v>
      </c>
      <c r="G29" s="5">
        <f>IF(MVTAVRIL24!I29+L29&gt;700000,(MVTAVRIL24!I29-E29+L29),0)</f>
        <v>889151.34423741512</v>
      </c>
      <c r="H29" s="36">
        <f t="shared" si="0"/>
        <v>0</v>
      </c>
      <c r="I29" s="6">
        <f t="shared" si="2"/>
        <v>889151.34423741512</v>
      </c>
      <c r="J29" s="36">
        <f>VLOOKUP($A29,[24]HISTOMAI24!$A$6:$AQ$42,22,0)</f>
        <v>0</v>
      </c>
      <c r="K29" s="36">
        <f>VLOOKUP($A29,[24]HISTOMAI24!$A$6:$AU$38,45,0)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VLOOKUP($A29,[24]HISTOMAI24!$A$6:$AU$38,7,0)</f>
        <v>0</v>
      </c>
      <c r="Q29" s="36">
        <f>VLOOKUP($A29,[24]HISTOMAI24!$A$6:$AU$38,23,0)</f>
        <v>0</v>
      </c>
      <c r="R29" s="36">
        <f>VLOOKUP($A29,[24]HISTOMAI24!$A$6:$AU$38,46,0)</f>
        <v>0</v>
      </c>
      <c r="S29" s="36">
        <f>VLOOKUP($A29,[24]HISTOMAI24!$A$6:$AU$38,26,0)</f>
        <v>0</v>
      </c>
      <c r="T29" s="36">
        <f>VLOOKUP($A29,[24]HISTOMAI24!$A$6:$BG$38,58,0)</f>
        <v>0</v>
      </c>
      <c r="U29" s="36">
        <f>VLOOKUP($A29,[24]HISTOMAI24!$A$6:$AU$38,28,0)</f>
        <v>0</v>
      </c>
      <c r="V29" s="36">
        <f>VLOOKUP($A29,[24]HISTOMAI24!$A$6:$AU$38,19,0)</f>
        <v>0</v>
      </c>
      <c r="W29" s="36">
        <f>VLOOKUP($A29,[24]HISTOMAI24!$A$6:$AU$38,20,0)</f>
        <v>0</v>
      </c>
      <c r="X29" s="36">
        <f>VLOOKUP($A29,[24]HISTOMAI24!$A$6:$AU$38,27,0)</f>
        <v>0</v>
      </c>
      <c r="Y29" s="36">
        <f>VLOOKUP($A29,[24]HISTOMAI24!$A$6:$BM$38,33,0)</f>
        <v>0</v>
      </c>
      <c r="Z29" s="36">
        <f>VLOOKUP($A29,[24]HISTOMAI24!$A$6:$BM$38,65,0)</f>
        <v>0</v>
      </c>
      <c r="AA29" s="36"/>
      <c r="AB29" s="36">
        <f>VLOOKUP($A29,[24]HISTOMAI24!$A$6:$AU$38,43,0)</f>
        <v>0</v>
      </c>
      <c r="AC29" s="36">
        <f>VLOOKUP($A29,[24]HISTOMAI24!$A$6:$AU$38,44,0)</f>
        <v>0</v>
      </c>
      <c r="AD29" s="36">
        <f>VLOOKUP($A29,[24]HISTOMAI24!$A$6:$AU$38,47,0)</f>
        <v>0</v>
      </c>
      <c r="AE29" s="36">
        <f>VLOOKUP(A29,[24]HISTOMAI24!$A$6:$BB$38,54,0)</f>
        <v>0</v>
      </c>
      <c r="AF29" s="36">
        <f>VLOOKUP($A29,[24]HISTOMAI24!$A$6:$CA$38,60,0)</f>
        <v>0</v>
      </c>
      <c r="AG29" s="36">
        <f>VLOOKUP($A29,[24]HISTOMAI24!$A$6:$CA$38,61,0)</f>
        <v>0</v>
      </c>
      <c r="AH29" s="36">
        <f>VLOOKUP($A29,[24]HISTOMAI24!$A$6:$CA$38,62,0)</f>
        <v>0</v>
      </c>
      <c r="AI29" s="36">
        <f>VLOOKUP($A29,[24]HISTOMAI24!$A$6:$CA$38,63,0)</f>
        <v>0</v>
      </c>
      <c r="AJ29" s="36">
        <f>VLOOKUP($A29,[24]HISTOMAI24!$A$6:$CA$38,64,0)</f>
        <v>0</v>
      </c>
      <c r="AK29" s="36">
        <f>VLOOKUP($A29,[24]HISTOMAI24!$A$6:$CA$38,65,0)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MVTAVRIL24!I30-E30+L30</f>
        <v>793786.81046782702</v>
      </c>
      <c r="G30" s="5">
        <f>IF(MVTAVRIL24!I30+L30&gt;700000,(MVTAVRIL24!I30-E30+L30),0)</f>
        <v>793786.81046782702</v>
      </c>
      <c r="H30" s="36">
        <f t="shared" si="0"/>
        <v>0</v>
      </c>
      <c r="I30" s="6">
        <f t="shared" si="2"/>
        <v>793786.81046782702</v>
      </c>
      <c r="J30" s="36">
        <f>VLOOKUP($A30,[24]HISTOMAI24!$A$6:$AQ$42,22,0)</f>
        <v>0</v>
      </c>
      <c r="K30" s="36">
        <f>VLOOKUP($A30,[24]HISTOMAI24!$A$6:$AU$38,45,0)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VLOOKUP($A30,[24]HISTOMAI24!$A$6:$AU$38,7,0)</f>
        <v>0</v>
      </c>
      <c r="Q30" s="36">
        <f>VLOOKUP($A30,[24]HISTOMAI24!$A$6:$AU$38,23,0)</f>
        <v>0</v>
      </c>
      <c r="R30" s="36">
        <f>VLOOKUP($A30,[24]HISTOMAI24!$A$6:$AU$38,46,0)</f>
        <v>0</v>
      </c>
      <c r="S30" s="36">
        <f>VLOOKUP($A30,[24]HISTOMAI24!$A$6:$AU$38,26,0)</f>
        <v>0</v>
      </c>
      <c r="T30" s="36">
        <f>VLOOKUP($A30,[24]HISTOMAI24!$A$6:$BG$38,58,0)</f>
        <v>0</v>
      </c>
      <c r="U30" s="36">
        <f>VLOOKUP($A30,[24]HISTOMAI24!$A$6:$AU$38,28,0)</f>
        <v>0</v>
      </c>
      <c r="V30" s="36">
        <f>VLOOKUP($A30,[24]HISTOMAI24!$A$6:$AU$38,19,0)</f>
        <v>0</v>
      </c>
      <c r="W30" s="36">
        <f>VLOOKUP($A30,[24]HISTOMAI24!$A$6:$AU$38,20,0)</f>
        <v>0</v>
      </c>
      <c r="X30" s="36">
        <f>VLOOKUP($A30,[24]HISTOMAI24!$A$6:$AU$38,27,0)</f>
        <v>0</v>
      </c>
      <c r="Y30" s="36">
        <f>VLOOKUP($A30,[24]HISTOMAI24!$A$6:$BM$38,33,0)</f>
        <v>0</v>
      </c>
      <c r="Z30" s="36">
        <f>VLOOKUP($A30,[24]HISTOMAI24!$A$6:$BM$38,65,0)</f>
        <v>0</v>
      </c>
      <c r="AA30" s="36"/>
      <c r="AB30" s="36">
        <f>VLOOKUP($A30,[24]HISTOMAI24!$A$6:$AU$38,43,0)</f>
        <v>0</v>
      </c>
      <c r="AC30" s="36">
        <f>VLOOKUP($A30,[24]HISTOMAI24!$A$6:$AU$38,44,0)</f>
        <v>0</v>
      </c>
      <c r="AD30" s="36">
        <f>VLOOKUP($A30,[24]HISTOMAI24!$A$6:$AU$38,47,0)</f>
        <v>0</v>
      </c>
      <c r="AE30" s="36">
        <f>VLOOKUP(A30,[24]HISTOMAI24!$A$6:$BB$38,54,0)</f>
        <v>0</v>
      </c>
      <c r="AF30" s="36">
        <f>VLOOKUP($A30,[24]HISTOMAI24!$A$6:$CA$38,60,0)</f>
        <v>0</v>
      </c>
      <c r="AG30" s="36">
        <f>VLOOKUP($A30,[24]HISTOMAI24!$A$6:$CA$38,61,0)</f>
        <v>0</v>
      </c>
      <c r="AH30" s="36">
        <f>VLOOKUP($A30,[24]HISTOMAI24!$A$6:$CA$38,62,0)</f>
        <v>0</v>
      </c>
      <c r="AI30" s="36">
        <f>VLOOKUP($A30,[24]HISTOMAI24!$A$6:$CA$38,63,0)</f>
        <v>0</v>
      </c>
      <c r="AJ30" s="36">
        <f>VLOOKUP($A30,[24]HISTOMAI24!$A$6:$CA$38,64,0)</f>
        <v>0</v>
      </c>
      <c r="AK30" s="36">
        <f>VLOOKUP($A30,[24]HISTOMAI24!$A$6:$CA$38,65,0)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MVTAVRIL24!I31-E31+L31</f>
        <v>953903.03114813485</v>
      </c>
      <c r="G31" s="5">
        <f>IF(MVTAVRIL24!I31+L31&gt;700000,(MVTAVRIL24!I31-E31+L31),0)</f>
        <v>953903.03114813485</v>
      </c>
      <c r="H31" s="36">
        <f t="shared" si="0"/>
        <v>0</v>
      </c>
      <c r="I31" s="6">
        <f t="shared" si="2"/>
        <v>953903.03114813485</v>
      </c>
      <c r="J31" s="36">
        <f>VLOOKUP($A31,[24]HISTOMAI24!$A$6:$AQ$42,22,0)</f>
        <v>0</v>
      </c>
      <c r="K31" s="36">
        <f>VLOOKUP($A31,[24]HISTOMAI24!$A$6:$AU$38,45,0)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VLOOKUP($A31,[24]HISTOMAI24!$A$6:$AU$38,7,0)</f>
        <v>0</v>
      </c>
      <c r="Q31" s="36">
        <f>VLOOKUP($A31,[24]HISTOMAI24!$A$6:$AU$38,23,0)</f>
        <v>0</v>
      </c>
      <c r="R31" s="36">
        <f>VLOOKUP($A31,[24]HISTOMAI24!$A$6:$AU$38,46,0)</f>
        <v>0</v>
      </c>
      <c r="S31" s="36">
        <f>VLOOKUP($A31,[24]HISTOMAI24!$A$6:$AU$38,26,0)</f>
        <v>0</v>
      </c>
      <c r="T31" s="36">
        <f>VLOOKUP($A31,[24]HISTOMAI24!$A$6:$BG$38,58,0)</f>
        <v>0</v>
      </c>
      <c r="U31" s="36">
        <f>VLOOKUP($A31,[24]HISTOMAI24!$A$6:$AU$38,28,0)</f>
        <v>0</v>
      </c>
      <c r="V31" s="36">
        <f>VLOOKUP($A31,[24]HISTOMAI24!$A$6:$AU$38,19,0)</f>
        <v>0</v>
      </c>
      <c r="W31" s="36">
        <f>VLOOKUP($A31,[24]HISTOMAI24!$A$6:$AU$38,20,0)</f>
        <v>0</v>
      </c>
      <c r="X31" s="36">
        <f>VLOOKUP($A31,[24]HISTOMAI24!$A$6:$AU$38,27,0)</f>
        <v>0</v>
      </c>
      <c r="Y31" s="36">
        <f>VLOOKUP($A31,[24]HISTOMAI24!$A$6:$BM$38,33,0)</f>
        <v>0</v>
      </c>
      <c r="Z31" s="36">
        <f>VLOOKUP($A31,[24]HISTOMAI24!$A$6:$BM$38,65,0)</f>
        <v>0</v>
      </c>
      <c r="AA31" s="36"/>
      <c r="AB31" s="36">
        <f>VLOOKUP($A31,[24]HISTOMAI24!$A$6:$AU$38,43,0)</f>
        <v>0</v>
      </c>
      <c r="AC31" s="36">
        <f>VLOOKUP($A31,[24]HISTOMAI24!$A$6:$AU$38,44,0)</f>
        <v>0</v>
      </c>
      <c r="AD31" s="36">
        <f>VLOOKUP($A31,[24]HISTOMAI24!$A$6:$AU$38,47,0)</f>
        <v>0</v>
      </c>
      <c r="AE31" s="36">
        <f>VLOOKUP(A31,[24]HISTOMAI24!$A$6:$BB$38,54,0)</f>
        <v>0</v>
      </c>
      <c r="AF31" s="36">
        <f>VLOOKUP($A31,[24]HISTOMAI24!$A$6:$CA$38,60,0)</f>
        <v>0</v>
      </c>
      <c r="AG31" s="36">
        <f>VLOOKUP($A31,[24]HISTOMAI24!$A$6:$CA$38,61,0)</f>
        <v>0</v>
      </c>
      <c r="AH31" s="36">
        <f>VLOOKUP($A31,[24]HISTOMAI24!$A$6:$CA$38,62,0)</f>
        <v>0</v>
      </c>
      <c r="AI31" s="36">
        <f>VLOOKUP($A31,[24]HISTOMAI24!$A$6:$CA$38,63,0)</f>
        <v>0</v>
      </c>
      <c r="AJ31" s="36">
        <f>VLOOKUP($A31,[24]HISTOMAI24!$A$6:$CA$38,64,0)</f>
        <v>0</v>
      </c>
      <c r="AK31" s="36">
        <f>VLOOKUP($A31,[24]HISTOMAI24!$A$6:$CA$38,65,0)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MVTAVRIL24!I32-E32+L32</f>
        <v>843243.98131057119</v>
      </c>
      <c r="G32" s="5">
        <f>IF(MVTAVRIL24!I32+L32&gt;700000,(MVTAVRIL24!I32-E32+L32),0)</f>
        <v>843243.98131057119</v>
      </c>
      <c r="H32" s="36">
        <f t="shared" si="0"/>
        <v>0</v>
      </c>
      <c r="I32" s="6">
        <f t="shared" si="2"/>
        <v>843243.98131057119</v>
      </c>
      <c r="J32" s="36">
        <f>VLOOKUP($A32,[24]HISTOMAI24!$A$6:$AQ$42,22,0)</f>
        <v>0</v>
      </c>
      <c r="K32" s="36">
        <f>VLOOKUP($A32,[24]HISTOMAI24!$A$6:$AU$38,45,0)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VLOOKUP($A32,[24]HISTOMAI24!$A$6:$AU$38,7,0)</f>
        <v>0</v>
      </c>
      <c r="Q32" s="36">
        <f>VLOOKUP($A32,[24]HISTOMAI24!$A$6:$AU$38,23,0)</f>
        <v>0</v>
      </c>
      <c r="R32" s="36">
        <f>VLOOKUP($A32,[24]HISTOMAI24!$A$6:$AU$38,46,0)</f>
        <v>0</v>
      </c>
      <c r="S32" s="36">
        <f>VLOOKUP($A32,[24]HISTOMAI24!$A$6:$AU$38,26,0)</f>
        <v>0</v>
      </c>
      <c r="T32" s="36">
        <f>VLOOKUP($A32,[24]HISTOMAI24!$A$6:$BG$38,58,0)</f>
        <v>0</v>
      </c>
      <c r="U32" s="36">
        <f>VLOOKUP($A32,[24]HISTOMAI24!$A$6:$AU$38,28,0)</f>
        <v>0</v>
      </c>
      <c r="V32" s="36">
        <f>VLOOKUP($A32,[24]HISTOMAI24!$A$6:$AU$38,19,0)</f>
        <v>0</v>
      </c>
      <c r="W32" s="36">
        <f>VLOOKUP($A32,[24]HISTOMAI24!$A$6:$AU$38,20,0)</f>
        <v>0</v>
      </c>
      <c r="X32" s="36">
        <f>VLOOKUP($A32,[24]HISTOMAI24!$A$6:$AU$38,27,0)</f>
        <v>0</v>
      </c>
      <c r="Y32" s="36">
        <f>VLOOKUP($A32,[24]HISTOMAI24!$A$6:$BM$38,33,0)</f>
        <v>0</v>
      </c>
      <c r="Z32" s="36">
        <f>VLOOKUP($A32,[24]HISTOMAI24!$A$6:$BM$38,65,0)</f>
        <v>0</v>
      </c>
      <c r="AA32" s="36"/>
      <c r="AB32" s="36">
        <f>VLOOKUP($A32,[24]HISTOMAI24!$A$6:$AU$38,43,0)</f>
        <v>0</v>
      </c>
      <c r="AC32" s="36">
        <f>VLOOKUP($A32,[24]HISTOMAI24!$A$6:$AU$38,44,0)</f>
        <v>0</v>
      </c>
      <c r="AD32" s="36">
        <f>VLOOKUP($A32,[24]HISTOMAI24!$A$6:$AU$38,47,0)</f>
        <v>0</v>
      </c>
      <c r="AE32" s="36">
        <f>VLOOKUP(A32,[24]HISTOMAI24!$A$6:$BB$38,54,0)</f>
        <v>0</v>
      </c>
      <c r="AF32" s="36">
        <f>VLOOKUP($A32,[24]HISTOMAI24!$A$6:$CA$38,60,0)</f>
        <v>0</v>
      </c>
      <c r="AG32" s="36">
        <f>VLOOKUP($A32,[24]HISTOMAI24!$A$6:$CA$38,61,0)</f>
        <v>0</v>
      </c>
      <c r="AH32" s="36">
        <f>VLOOKUP($A32,[24]HISTOMAI24!$A$6:$CA$38,62,0)</f>
        <v>0</v>
      </c>
      <c r="AI32" s="36">
        <f>VLOOKUP($A32,[24]HISTOMAI24!$A$6:$CA$38,63,0)</f>
        <v>0</v>
      </c>
      <c r="AJ32" s="36">
        <f>VLOOKUP($A32,[24]HISTOMAI24!$A$6:$CA$38,64,0)</f>
        <v>0</v>
      </c>
      <c r="AK32" s="36">
        <f>VLOOKUP($A32,[24]HISTOMAI24!$A$6:$CA$38,65,0)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MVTAVRIL24!I33-E33+L33</f>
        <v>843552.64928596013</v>
      </c>
      <c r="G33" s="5">
        <f>IF(MVTAVRIL24!I33+L33&gt;700000,(MVTAVRIL24!I33-E33+L33),0)</f>
        <v>843552.64928596013</v>
      </c>
      <c r="H33" s="36">
        <f t="shared" si="0"/>
        <v>0</v>
      </c>
      <c r="I33" s="6">
        <f t="shared" si="2"/>
        <v>843552.64928596013</v>
      </c>
      <c r="J33" s="36">
        <f>VLOOKUP($A33,[24]HISTOMAI24!$A$6:$AQ$42,22,0)</f>
        <v>0</v>
      </c>
      <c r="K33" s="36">
        <f>VLOOKUP($A33,[24]HISTOMAI24!$A$6:$AU$38,45,0)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VLOOKUP($A33,[24]HISTOMAI24!$A$6:$AU$38,7,0)</f>
        <v>0</v>
      </c>
      <c r="Q33" s="36">
        <f>VLOOKUP($A33,[24]HISTOMAI24!$A$6:$AU$38,23,0)</f>
        <v>0</v>
      </c>
      <c r="R33" s="36">
        <f>VLOOKUP($A33,[24]HISTOMAI24!$A$6:$AU$38,46,0)</f>
        <v>0</v>
      </c>
      <c r="S33" s="36">
        <f>VLOOKUP($A33,[24]HISTOMAI24!$A$6:$AU$38,26,0)</f>
        <v>0</v>
      </c>
      <c r="T33" s="36">
        <f>VLOOKUP($A33,[24]HISTOMAI24!$A$6:$BG$38,58,0)</f>
        <v>0</v>
      </c>
      <c r="U33" s="36">
        <f>VLOOKUP($A33,[24]HISTOMAI24!$A$6:$AU$38,28,0)</f>
        <v>0</v>
      </c>
      <c r="V33" s="36">
        <f>VLOOKUP($A33,[24]HISTOMAI24!$A$6:$AU$38,19,0)</f>
        <v>0</v>
      </c>
      <c r="W33" s="36">
        <f>VLOOKUP($A33,[24]HISTOMAI24!$A$6:$AU$38,20,0)</f>
        <v>0</v>
      </c>
      <c r="X33" s="36">
        <f>VLOOKUP($A33,[24]HISTOMAI24!$A$6:$AU$38,27,0)</f>
        <v>0</v>
      </c>
      <c r="Y33" s="36">
        <f>VLOOKUP($A33,[24]HISTOMAI24!$A$6:$BM$38,33,0)</f>
        <v>0</v>
      </c>
      <c r="Z33" s="36">
        <f>VLOOKUP($A33,[24]HISTOMAI24!$A$6:$BM$38,65,0)</f>
        <v>0</v>
      </c>
      <c r="AA33" s="36"/>
      <c r="AB33" s="36">
        <f>VLOOKUP($A33,[24]HISTOMAI24!$A$6:$AU$38,43,0)</f>
        <v>0</v>
      </c>
      <c r="AC33" s="36">
        <f>VLOOKUP($A33,[24]HISTOMAI24!$A$6:$AU$38,44,0)</f>
        <v>0</v>
      </c>
      <c r="AD33" s="36">
        <f>VLOOKUP($A33,[24]HISTOMAI24!$A$6:$AU$38,47,0)</f>
        <v>0</v>
      </c>
      <c r="AE33" s="36">
        <f>VLOOKUP(A33,[24]HISTOMAI24!$A$6:$BB$38,54,0)</f>
        <v>0</v>
      </c>
      <c r="AF33" s="36">
        <f>VLOOKUP($A33,[24]HISTOMAI24!$A$6:$CA$38,60,0)</f>
        <v>0</v>
      </c>
      <c r="AG33" s="36">
        <f>VLOOKUP($A33,[24]HISTOMAI24!$A$6:$CA$38,61,0)</f>
        <v>0</v>
      </c>
      <c r="AH33" s="36">
        <f>VLOOKUP($A33,[24]HISTOMAI24!$A$6:$CA$38,62,0)</f>
        <v>0</v>
      </c>
      <c r="AI33" s="36">
        <f>VLOOKUP($A33,[24]HISTOMAI24!$A$6:$CA$38,63,0)</f>
        <v>0</v>
      </c>
      <c r="AJ33" s="36">
        <f>VLOOKUP($A33,[24]HISTOMAI24!$A$6:$CA$38,64,0)</f>
        <v>0</v>
      </c>
      <c r="AK33" s="36">
        <f>VLOOKUP($A33,[24]HISTOMAI24!$A$6:$CA$38,65,0)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MVTAVRIL24!I34-E34+L34</f>
        <v>500000</v>
      </c>
      <c r="G34" s="5">
        <f>IF(MVTAVRIL24!I34+L34&gt;700000,(MVTAVRIL24!I34-E34+L34),0)</f>
        <v>0</v>
      </c>
      <c r="H34" s="36">
        <f t="shared" si="0"/>
        <v>0</v>
      </c>
      <c r="I34" s="6">
        <f t="shared" si="2"/>
        <v>500000</v>
      </c>
      <c r="J34" s="36">
        <f>VLOOKUP($A34,[24]HISTOMAI24!$A$6:$AQ$42,22,0)</f>
        <v>0</v>
      </c>
      <c r="K34" s="36">
        <f>VLOOKUP($A34,[24]HISTOMAI24!$A$6:$AU$38,45,0)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VLOOKUP($A34,[24]HISTOMAI24!$A$6:$AU$38,7,0)</f>
        <v>0</v>
      </c>
      <c r="Q34" s="36">
        <f>VLOOKUP($A34,[24]HISTOMAI24!$A$6:$AU$38,23,0)</f>
        <v>0</v>
      </c>
      <c r="R34" s="36">
        <f>VLOOKUP($A34,[24]HISTOMAI24!$A$6:$AU$38,46,0)</f>
        <v>0</v>
      </c>
      <c r="S34" s="36">
        <f>VLOOKUP($A34,[24]HISTOMAI24!$A$6:$AU$38,26,0)</f>
        <v>0</v>
      </c>
      <c r="T34" s="36">
        <f>VLOOKUP($A34,[24]HISTOMAI24!$A$6:$BG$38,58,0)</f>
        <v>0</v>
      </c>
      <c r="U34" s="36">
        <f>VLOOKUP($A34,[24]HISTOMAI24!$A$6:$AU$38,28,0)</f>
        <v>0</v>
      </c>
      <c r="V34" s="36">
        <f>VLOOKUP($A34,[24]HISTOMAI24!$A$6:$AU$38,19,0)</f>
        <v>0</v>
      </c>
      <c r="W34" s="36">
        <f>VLOOKUP($A34,[24]HISTOMAI24!$A$6:$AU$38,20,0)</f>
        <v>0</v>
      </c>
      <c r="X34" s="36">
        <f>VLOOKUP($A34,[24]HISTOMAI24!$A$6:$AU$38,27,0)</f>
        <v>0</v>
      </c>
      <c r="Y34" s="36">
        <f>VLOOKUP($A34,[24]HISTOMAI24!$A$6:$BM$38,33,0)</f>
        <v>0</v>
      </c>
      <c r="Z34" s="36">
        <f>VLOOKUP($A34,[24]HISTOMAI24!$A$6:$BM$38,65,0)</f>
        <v>0</v>
      </c>
      <c r="AA34" s="36"/>
      <c r="AB34" s="36">
        <f>VLOOKUP($A34,[24]HISTOMAI24!$A$6:$AU$38,43,0)</f>
        <v>0</v>
      </c>
      <c r="AC34" s="36">
        <f>VLOOKUP($A34,[24]HISTOMAI24!$A$6:$AU$38,44,0)</f>
        <v>0</v>
      </c>
      <c r="AD34" s="36">
        <f>VLOOKUP($A34,[24]HISTOMAI24!$A$6:$AU$38,47,0)</f>
        <v>0</v>
      </c>
      <c r="AE34" s="36">
        <f>VLOOKUP(A34,[24]HISTOMAI24!$A$6:$BB$38,54,0)</f>
        <v>0</v>
      </c>
      <c r="AF34" s="36">
        <f>VLOOKUP($A34,[24]HISTOMAI24!$A$6:$CA$38,60,0)</f>
        <v>0</v>
      </c>
      <c r="AG34" s="36">
        <f>VLOOKUP($A34,[24]HISTOMAI24!$A$6:$CA$38,61,0)</f>
        <v>0</v>
      </c>
      <c r="AH34" s="36">
        <f>VLOOKUP($A34,[24]HISTOMAI24!$A$6:$CA$38,62,0)</f>
        <v>0</v>
      </c>
      <c r="AI34" s="36">
        <f>VLOOKUP($A34,[24]HISTOMAI24!$A$6:$CA$38,63,0)</f>
        <v>0</v>
      </c>
      <c r="AJ34" s="36">
        <f>VLOOKUP($A34,[24]HISTOMAI24!$A$6:$CA$38,64,0)</f>
        <v>0</v>
      </c>
      <c r="AK34" s="36">
        <f>VLOOKUP($A34,[24]HISTOMAI24!$A$6:$CA$38,65,0)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MVTAVRIL24!I35-E35+L35</f>
        <v>195000</v>
      </c>
      <c r="G35" s="5">
        <f>IF(MVTAVRIL24!I35+L35&gt;700000,(MVTAVRIL24!I35-E35+L35),0)</f>
        <v>0</v>
      </c>
      <c r="H35" s="36">
        <f t="shared" si="0"/>
        <v>0</v>
      </c>
      <c r="I35" s="6">
        <f t="shared" si="2"/>
        <v>195000</v>
      </c>
      <c r="J35" s="36">
        <f>VLOOKUP($A35,[24]HISTOMAI24!$A$6:$AQ$42,22,0)</f>
        <v>0</v>
      </c>
      <c r="K35" s="36">
        <f>VLOOKUP($A35,[24]HISTOMAI24!$A$6:$AU$38,45,0)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VLOOKUP($A35,[24]HISTOMAI24!$A$6:$AU$38,7,0)</f>
        <v>3000</v>
      </c>
      <c r="Q35" s="36">
        <f>VLOOKUP($A35,[24]HISTOMAI24!$A$6:$AU$38,23,0)</f>
        <v>0</v>
      </c>
      <c r="R35" s="36">
        <f>VLOOKUP($A35,[24]HISTOMAI24!$A$6:$AU$38,46,0)</f>
        <v>0</v>
      </c>
      <c r="S35" s="36">
        <f>VLOOKUP($A35,[24]HISTOMAI24!$A$6:$AU$38,26,0)</f>
        <v>0</v>
      </c>
      <c r="T35" s="36">
        <f>VLOOKUP($A35,[24]HISTOMAI24!$A$6:$BG$38,58,0)</f>
        <v>0</v>
      </c>
      <c r="U35" s="36">
        <f>VLOOKUP($A35,[24]HISTOMAI24!$A$6:$AU$38,28,0)</f>
        <v>0</v>
      </c>
      <c r="V35" s="36">
        <f>VLOOKUP($A35,[24]HISTOMAI24!$A$6:$AU$38,19,0)</f>
        <v>0</v>
      </c>
      <c r="W35" s="36">
        <f>VLOOKUP($A35,[24]HISTOMAI24!$A$6:$AU$38,20,0)</f>
        <v>0</v>
      </c>
      <c r="X35" s="36">
        <f>VLOOKUP($A35,[24]HISTOMAI24!$A$6:$AU$38,27,0)</f>
        <v>0</v>
      </c>
      <c r="Y35" s="36">
        <f>VLOOKUP($A35,[24]HISTOMAI24!$A$6:$BM$38,33,0)</f>
        <v>0</v>
      </c>
      <c r="Z35" s="36">
        <f>VLOOKUP($A35,[24]HISTOMAI24!$A$6:$BM$38,65,0)</f>
        <v>0</v>
      </c>
      <c r="AA35" s="36"/>
      <c r="AB35" s="36">
        <f>VLOOKUP($A35,[24]HISTOMAI24!$A$6:$AU$38,43,0)</f>
        <v>0</v>
      </c>
      <c r="AC35" s="36">
        <f>VLOOKUP($A35,[24]HISTOMAI24!$A$6:$AU$38,44,0)</f>
        <v>0</v>
      </c>
      <c r="AD35" s="36">
        <f>VLOOKUP($A35,[24]HISTOMAI24!$A$6:$AU$38,47,0)</f>
        <v>0</v>
      </c>
      <c r="AE35" s="36">
        <f>VLOOKUP(A35,[24]HISTOMAI24!$A$6:$BB$38,54,0)</f>
        <v>0</v>
      </c>
      <c r="AF35" s="36">
        <f>VLOOKUP($A35,[24]HISTOMAI24!$A$6:$CA$38,60,0)</f>
        <v>0</v>
      </c>
      <c r="AG35" s="36">
        <f>VLOOKUP($A35,[24]HISTOMAI24!$A$6:$CA$38,61,0)</f>
        <v>0</v>
      </c>
      <c r="AH35" s="36">
        <f>VLOOKUP($A35,[24]HISTOMAI24!$A$6:$CA$38,62,0)</f>
        <v>0</v>
      </c>
      <c r="AI35" s="36">
        <f>VLOOKUP($A35,[24]HISTOMAI24!$A$6:$CA$38,63,0)</f>
        <v>0</v>
      </c>
      <c r="AJ35" s="36">
        <f>VLOOKUP($A35,[24]HISTOMAI24!$A$6:$CA$38,64,0)</f>
        <v>0</v>
      </c>
      <c r="AK35" s="36">
        <f>VLOOKUP($A35,[24]HISTOMAI24!$A$6:$CA$38,65,0)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MVTAVRIL24!I36-E36+L36</f>
        <v>880599.08181867818</v>
      </c>
      <c r="G36" s="5">
        <f>IF(MVTAVRIL24!I36+L36&gt;700000,(MVTAVRIL24!I36-E36+L36),0)</f>
        <v>880599.08181867818</v>
      </c>
      <c r="H36" s="36">
        <f t="shared" si="0"/>
        <v>0</v>
      </c>
      <c r="I36" s="6">
        <f t="shared" si="2"/>
        <v>880599.08181867818</v>
      </c>
      <c r="J36" s="36">
        <f>VLOOKUP($A36,[24]HISTOMAI24!$A$6:$AQ$42,22,0)</f>
        <v>0</v>
      </c>
      <c r="K36" s="36">
        <f>VLOOKUP($A36,[24]HISTOMAI24!$A$6:$AU$38,45,0)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VLOOKUP($A36,[24]HISTOMAI24!$A$6:$AU$38,7,0)</f>
        <v>0</v>
      </c>
      <c r="Q36" s="36">
        <f>VLOOKUP($A36,[24]HISTOMAI24!$A$6:$AU$38,23,0)</f>
        <v>0</v>
      </c>
      <c r="R36" s="36">
        <f>VLOOKUP($A36,[24]HISTOMAI24!$A$6:$AU$38,46,0)</f>
        <v>0</v>
      </c>
      <c r="S36" s="36">
        <f>VLOOKUP($A36,[24]HISTOMAI24!$A$6:$AU$38,26,0)</f>
        <v>0</v>
      </c>
      <c r="T36" s="36">
        <f>VLOOKUP($A36,[24]HISTOMAI24!$A$6:$BG$38,58,0)</f>
        <v>0</v>
      </c>
      <c r="U36" s="36">
        <f>VLOOKUP($A36,[24]HISTOMAI24!$A$6:$AU$38,28,0)</f>
        <v>0</v>
      </c>
      <c r="V36" s="36">
        <f>VLOOKUP($A36,[24]HISTOMAI24!$A$6:$AU$38,19,0)</f>
        <v>0</v>
      </c>
      <c r="W36" s="36">
        <f>VLOOKUP($A36,[24]HISTOMAI24!$A$6:$AU$38,20,0)</f>
        <v>0</v>
      </c>
      <c r="X36" s="36">
        <f>VLOOKUP($A36,[24]HISTOMAI24!$A$6:$AU$38,27,0)</f>
        <v>0</v>
      </c>
      <c r="Y36" s="36">
        <f>VLOOKUP($A36,[24]HISTOMAI24!$A$6:$BM$38,33,0)</f>
        <v>0</v>
      </c>
      <c r="Z36" s="36">
        <f>VLOOKUP($A36,[24]HISTOMAI24!$A$6:$BM$38,65,0)</f>
        <v>0</v>
      </c>
      <c r="AA36" s="36"/>
      <c r="AB36" s="36">
        <f>VLOOKUP($A36,[24]HISTOMAI24!$A$6:$AU$38,43,0)</f>
        <v>0</v>
      </c>
      <c r="AC36" s="36">
        <f>VLOOKUP($A36,[24]HISTOMAI24!$A$6:$AU$38,44,0)</f>
        <v>0</v>
      </c>
      <c r="AD36" s="36">
        <f>VLOOKUP($A36,[24]HISTOMAI24!$A$6:$AU$38,47,0)</f>
        <v>0</v>
      </c>
      <c r="AE36" s="36">
        <f>VLOOKUP(A36,[24]HISTOMAI24!$A$6:$BB$38,54,0)</f>
        <v>0</v>
      </c>
      <c r="AF36" s="36">
        <f>VLOOKUP($A36,[24]HISTOMAI24!$A$6:$CA$38,60,0)</f>
        <v>0</v>
      </c>
      <c r="AG36" s="36">
        <f>VLOOKUP($A36,[24]HISTOMAI24!$A$6:$CA$38,61,0)</f>
        <v>0</v>
      </c>
      <c r="AH36" s="36">
        <f>VLOOKUP($A36,[24]HISTOMAI24!$A$6:$CA$38,62,0)</f>
        <v>0</v>
      </c>
      <c r="AI36" s="36">
        <f>VLOOKUP($A36,[24]HISTOMAI24!$A$6:$CA$38,63,0)</f>
        <v>0</v>
      </c>
      <c r="AJ36" s="36">
        <f>VLOOKUP($A36,[24]HISTOMAI24!$A$6:$CA$38,64,0)</f>
        <v>0</v>
      </c>
      <c r="AK36" s="36">
        <f>VLOOKUP($A36,[24]HISTOMAI24!$A$6:$CA$38,65,0)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MVTAVRIL24!I37-E37+L37</f>
        <v>1913400.7147676253</v>
      </c>
      <c r="G37" s="5">
        <f>IF(MVTAVRIL24!I37+L37&gt;700000,(MVTAVRIL24!I37-E37+L37),0)</f>
        <v>1913400.7147676253</v>
      </c>
      <c r="H37" s="36">
        <f t="shared" si="0"/>
        <v>0</v>
      </c>
      <c r="I37" s="6">
        <f t="shared" si="2"/>
        <v>1913400.7147676253</v>
      </c>
      <c r="J37" s="36">
        <f>VLOOKUP($A37,[24]HISTOMAI24!$A$6:$AQ$42,22,0)</f>
        <v>0</v>
      </c>
      <c r="K37" s="36">
        <f>VLOOKUP($A37,[24]HISTOMAI24!$A$6:$AU$38,45,0)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VLOOKUP($A37,[24]HISTOMAI24!$A$6:$AU$38,7,0)</f>
        <v>3000</v>
      </c>
      <c r="Q37" s="36">
        <f>VLOOKUP($A37,[24]HISTOMAI24!$A$6:$AU$38,23,0)</f>
        <v>0</v>
      </c>
      <c r="R37" s="36">
        <f>VLOOKUP($A37,[24]HISTOMAI24!$A$6:$AU$38,46,0)</f>
        <v>0</v>
      </c>
      <c r="S37" s="36">
        <f>VLOOKUP($A37,[24]HISTOMAI24!$A$6:$AU$38,26,0)</f>
        <v>0</v>
      </c>
      <c r="T37" s="36">
        <f>VLOOKUP($A37,[24]HISTOMAI24!$A$6:$BG$38,58,0)</f>
        <v>0</v>
      </c>
      <c r="U37" s="36">
        <f>VLOOKUP($A37,[24]HISTOMAI24!$A$6:$AU$38,28,0)</f>
        <v>0</v>
      </c>
      <c r="V37" s="36">
        <f>VLOOKUP($A37,[24]HISTOMAI24!$A$6:$AU$38,19,0)</f>
        <v>0</v>
      </c>
      <c r="W37" s="36">
        <f>VLOOKUP($A37,[24]HISTOMAI24!$A$6:$AU$38,20,0)</f>
        <v>0</v>
      </c>
      <c r="X37" s="36">
        <f>VLOOKUP($A37,[24]HISTOMAI24!$A$6:$AU$38,27,0)</f>
        <v>0</v>
      </c>
      <c r="Y37" s="36">
        <f>VLOOKUP($A37,[24]HISTOMAI24!$A$6:$BM$38,33,0)</f>
        <v>0</v>
      </c>
      <c r="Z37" s="36">
        <f>VLOOKUP($A37,[24]HISTOMAI24!$A$6:$BM$38,65,0)</f>
        <v>0</v>
      </c>
      <c r="AA37" s="36"/>
      <c r="AB37" s="36">
        <f>VLOOKUP($A37,[24]HISTOMAI24!$A$6:$AU$38,43,0)</f>
        <v>0</v>
      </c>
      <c r="AC37" s="36">
        <f>VLOOKUP($A37,[24]HISTOMAI24!$A$6:$AU$38,44,0)</f>
        <v>0</v>
      </c>
      <c r="AD37" s="36">
        <f>VLOOKUP($A37,[24]HISTOMAI24!$A$6:$AU$38,47,0)</f>
        <v>0</v>
      </c>
      <c r="AE37" s="36">
        <f>VLOOKUP(A37,[24]HISTOMAI24!$A$6:$BB$38,54,0)</f>
        <v>0</v>
      </c>
      <c r="AF37" s="36">
        <f>VLOOKUP($A37,[24]HISTOMAI24!$A$6:$CA$38,60,0)</f>
        <v>0</v>
      </c>
      <c r="AG37" s="36">
        <f>VLOOKUP($A37,[24]HISTOMAI24!$A$6:$CA$38,61,0)</f>
        <v>0</v>
      </c>
      <c r="AH37" s="36">
        <f>VLOOKUP($A37,[24]HISTOMAI24!$A$6:$CA$38,62,0)</f>
        <v>0</v>
      </c>
      <c r="AI37" s="36">
        <f>VLOOKUP($A37,[24]HISTOMAI24!$A$6:$CA$38,63,0)</f>
        <v>0</v>
      </c>
      <c r="AJ37" s="36">
        <f>VLOOKUP($A37,[24]HISTOMAI24!$A$6:$CA$38,64,0)</f>
        <v>0</v>
      </c>
      <c r="AK37" s="36">
        <f>VLOOKUP($A37,[24]HISTOMAI24!$A$6:$CA$38,65,0)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MVTAVRIL24!I38-E38+L38</f>
        <v>95000</v>
      </c>
      <c r="G38" s="5">
        <f>IF(MVTAVRIL24!I38+L38&gt;700000,(MVTAVRIL24!I38-E38+L38),0)</f>
        <v>0</v>
      </c>
      <c r="H38" s="36">
        <f t="shared" si="0"/>
        <v>0</v>
      </c>
      <c r="I38" s="6">
        <f t="shared" si="2"/>
        <v>95000</v>
      </c>
      <c r="J38" s="36">
        <f>VLOOKUP($A38,[24]HISTOMAI24!$A$6:$AQ$42,22,0)</f>
        <v>0</v>
      </c>
      <c r="K38" s="36">
        <f>VLOOKUP($A38,[24]HISTOMAI24!$A$6:$AU$38,45,0)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VLOOKUP($A38,[24]HISTOMAI24!$A$6:$AU$38,7,0)</f>
        <v>0</v>
      </c>
      <c r="Q38" s="36">
        <f>VLOOKUP($A38,[24]HISTOMAI24!$A$6:$AU$38,23,0)</f>
        <v>0</v>
      </c>
      <c r="R38" s="36">
        <f>VLOOKUP($A38,[24]HISTOMAI24!$A$6:$AU$38,46,0)</f>
        <v>0</v>
      </c>
      <c r="S38" s="36">
        <f>VLOOKUP($A38,[24]HISTOMAI24!$A$6:$AU$38,26,0)</f>
        <v>0</v>
      </c>
      <c r="T38" s="36">
        <f>VLOOKUP($A38,[24]HISTOMAI24!$A$6:$BG$38,58,0)</f>
        <v>0</v>
      </c>
      <c r="U38" s="36">
        <f>VLOOKUP($A38,[24]HISTOMAI24!$A$6:$AU$38,28,0)</f>
        <v>0</v>
      </c>
      <c r="V38" s="36">
        <f>VLOOKUP($A38,[24]HISTOMAI24!$A$6:$AU$38,19,0)</f>
        <v>0</v>
      </c>
      <c r="W38" s="36">
        <f>VLOOKUP($A38,[24]HISTOMAI24!$A$6:$AU$38,20,0)</f>
        <v>0</v>
      </c>
      <c r="X38" s="36">
        <f>VLOOKUP($A38,[24]HISTOMAI24!$A$6:$AU$38,27,0)</f>
        <v>0</v>
      </c>
      <c r="Y38" s="36">
        <f>VLOOKUP($A38,[24]HISTOMAI24!$A$6:$BM$38,33,0)</f>
        <v>0</v>
      </c>
      <c r="Z38" s="36">
        <f>VLOOKUP($A38,[24]HISTOMAI24!$A$6:$BM$38,65,0)</f>
        <v>0</v>
      </c>
      <c r="AA38" s="36"/>
      <c r="AB38" s="36">
        <f>VLOOKUP($A38,[24]HISTOMAI24!$A$6:$AU$38,43,0)</f>
        <v>0</v>
      </c>
      <c r="AC38" s="36">
        <f>VLOOKUP($A38,[24]HISTOMAI24!$A$6:$AU$38,44,0)</f>
        <v>0</v>
      </c>
      <c r="AD38" s="36">
        <f>VLOOKUP($A38,[24]HISTOMAI24!$A$6:$AU$38,47,0)</f>
        <v>0</v>
      </c>
      <c r="AE38" s="36">
        <f>VLOOKUP(A38,[24]HISTOMAI24!$A$6:$BB$38,54,0)</f>
        <v>0</v>
      </c>
      <c r="AF38" s="36">
        <f>VLOOKUP($A38,[24]HISTOMAI24!$A$6:$CA$38,60,0)</f>
        <v>0</v>
      </c>
      <c r="AG38" s="36">
        <f>VLOOKUP($A38,[24]HISTOMAI24!$A$6:$CA$38,61,0)</f>
        <v>0</v>
      </c>
      <c r="AH38" s="36">
        <f>VLOOKUP($A38,[24]HISTOMAI24!$A$6:$CA$38,62,0)</f>
        <v>0</v>
      </c>
      <c r="AI38" s="36">
        <f>VLOOKUP($A38,[24]HISTOMAI24!$A$6:$CA$38,63,0)</f>
        <v>0</v>
      </c>
      <c r="AJ38" s="36">
        <f>VLOOKUP($A38,[24]HISTOMAI24!$A$6:$CA$38,64,0)</f>
        <v>0</v>
      </c>
      <c r="AK38" s="36">
        <f>VLOOKUP($A38,[24]HISTOMAI24!$A$6:$CA$38,65,0)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MVTAVRIL24!I39-E39+L39</f>
        <v>2078313.2142100567</v>
      </c>
      <c r="G39" s="5">
        <f>IF(MVTAVRIL24!I39+L39&gt;700000,(MVTAVRIL24!I39-E39+L39),0)</f>
        <v>2078313.2142100567</v>
      </c>
      <c r="H39" s="36">
        <f t="shared" si="0"/>
        <v>0</v>
      </c>
      <c r="I39" s="6">
        <f t="shared" si="2"/>
        <v>2078313.2142100567</v>
      </c>
      <c r="J39" s="36">
        <f>VLOOKUP($A39,[24]HISTOMAI24!$A$6:$AQ$42,22,0)</f>
        <v>0</v>
      </c>
      <c r="K39" s="36">
        <f>VLOOKUP($A39,[24]HISTOMAI24!$A$6:$AU$38,45,0)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VLOOKUP($A39,[24]HISTOMAI24!$A$6:$AU$38,7,0)</f>
        <v>0</v>
      </c>
      <c r="Q39" s="36">
        <f>VLOOKUP($A39,[24]HISTOMAI24!$A$6:$AU$38,23,0)</f>
        <v>0</v>
      </c>
      <c r="R39" s="36">
        <f>VLOOKUP($A39,[24]HISTOMAI24!$A$6:$AU$38,46,0)</f>
        <v>0</v>
      </c>
      <c r="S39" s="36">
        <f>VLOOKUP($A39,[24]HISTOMAI24!$A$6:$AU$38,26,0)</f>
        <v>0</v>
      </c>
      <c r="T39" s="36">
        <f>VLOOKUP($A39,[24]HISTOMAI24!$A$6:$BG$38,58,0)</f>
        <v>0</v>
      </c>
      <c r="U39" s="36">
        <f>VLOOKUP($A39,[24]HISTOMAI24!$A$6:$AU$38,28,0)</f>
        <v>0</v>
      </c>
      <c r="V39" s="36">
        <f>VLOOKUP($A39,[24]HISTOMAI24!$A$6:$AU$38,19,0)</f>
        <v>0</v>
      </c>
      <c r="W39" s="36">
        <f>VLOOKUP($A39,[24]HISTOMAI24!$A$6:$AU$38,20,0)</f>
        <v>0</v>
      </c>
      <c r="X39" s="36">
        <f>VLOOKUP($A39,[24]HISTOMAI24!$A$6:$AU$38,27,0)</f>
        <v>0</v>
      </c>
      <c r="Y39" s="36">
        <f>VLOOKUP($A39,[24]HISTOMAI24!$A$6:$BM$38,33,0)</f>
        <v>0</v>
      </c>
      <c r="Z39" s="36">
        <f>VLOOKUP($A39,[24]HISTOMAI24!$A$6:$BM$38,65,0)</f>
        <v>0</v>
      </c>
      <c r="AA39" s="36"/>
      <c r="AB39" s="36">
        <f>VLOOKUP($A39,[24]HISTOMAI24!$A$6:$AU$38,43,0)</f>
        <v>0</v>
      </c>
      <c r="AC39" s="36">
        <f>VLOOKUP($A39,[24]HISTOMAI24!$A$6:$AU$38,44,0)</f>
        <v>0</v>
      </c>
      <c r="AD39" s="36">
        <f>VLOOKUP($A39,[24]HISTOMAI24!$A$6:$AU$38,47,0)</f>
        <v>0</v>
      </c>
      <c r="AE39" s="36">
        <f>VLOOKUP(A39,[24]HISTOMAI24!$A$6:$BB$38,54,0)</f>
        <v>0</v>
      </c>
      <c r="AF39" s="36">
        <f>VLOOKUP($A39,[24]HISTOMAI24!$A$6:$CA$38,60,0)</f>
        <v>0</v>
      </c>
      <c r="AG39" s="36">
        <f>VLOOKUP($A39,[24]HISTOMAI24!$A$6:$CA$38,61,0)</f>
        <v>0</v>
      </c>
      <c r="AH39" s="36">
        <f>VLOOKUP($A39,[24]HISTOMAI24!$A$6:$CA$38,62,0)</f>
        <v>0</v>
      </c>
      <c r="AI39" s="36">
        <f>VLOOKUP($A39,[24]HISTOMAI24!$A$6:$CA$38,63,0)</f>
        <v>0</v>
      </c>
      <c r="AJ39" s="36">
        <f>VLOOKUP($A39,[24]HISTOMAI24!$A$6:$CA$38,64,0)</f>
        <v>0</v>
      </c>
      <c r="AK39" s="36">
        <f>VLOOKUP($A39,[24]HISTOMAI24!$A$6:$CA$38,65,0)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29928656.655274987</v>
      </c>
      <c r="G41" s="9">
        <f t="shared" si="10"/>
        <v>28367439.524547949</v>
      </c>
      <c r="H41" s="36">
        <f t="shared" si="10"/>
        <v>0</v>
      </c>
      <c r="I41" s="9">
        <f t="shared" si="10"/>
        <v>29928656.655274987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G6" activePane="bottomRight" state="frozen"/>
      <selection activeCell="B43" sqref="B43"/>
      <selection pane="topRight" activeCell="B43" sqref="B43"/>
      <selection pane="bottomLeft" activeCell="B43" sqref="B43"/>
      <selection pane="bottomRight" activeCell="K6" sqref="J6:AK39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45429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VLOOKUP($A6,[24]HISTOMAI24!$A$6:$BA$38,48,0)</f>
        <v>0</v>
      </c>
      <c r="F6" s="36">
        <f>MVTAVRIL24!I6-E6+L6</f>
        <v>946220.58968855068</v>
      </c>
      <c r="G6" s="5">
        <f>IF(MVTAVRIL24!I6+L6&gt;700000,(MVTAVRIL24!I6-E6+L6),0)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VLOOKUP($A6,[24]HISTOMAI24!$A$6:$AQ$42,22,0)</f>
        <v>0</v>
      </c>
      <c r="K6" s="36">
        <f>VLOOKUP($A6,[24]HISTOMAI24!$A$6:$AU$38,45,0)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VLOOKUP($A6,[24]HISTOMAI24!$A$6:$AU$38,7,0)</f>
        <v>0</v>
      </c>
      <c r="Q6" s="36">
        <f>VLOOKUP($A6,[24]HISTOMAI24!$A$6:$AU$38,23,0)</f>
        <v>0</v>
      </c>
      <c r="R6" s="36">
        <f>VLOOKUP($A6,[24]HISTOMAI24!$A$6:$AU$38,46,0)</f>
        <v>0</v>
      </c>
      <c r="S6" s="36">
        <f>VLOOKUP($A6,[24]HISTOMAI24!$A$6:$AU$38,26,0)</f>
        <v>0</v>
      </c>
      <c r="T6" s="36">
        <f>VLOOKUP($A6,[24]HISTOMAI24!$A$6:$BG$38,58,0)</f>
        <v>0</v>
      </c>
      <c r="U6" s="36">
        <f>VLOOKUP($A6,[24]HISTOMAI24!$A$6:$AU$38,28,0)</f>
        <v>0</v>
      </c>
      <c r="V6" s="36">
        <f>VLOOKUP($A6,[24]HISTOMAI24!$A$6:$AU$38,19,0)</f>
        <v>0</v>
      </c>
      <c r="W6" s="36">
        <f>VLOOKUP($A6,[24]HISTOMAI24!$A$6:$AU$38,20,0)</f>
        <v>0</v>
      </c>
      <c r="X6" s="36">
        <f>VLOOKUP($A6,[24]HISTOMAI24!$A$6:$AU$38,27,0)</f>
        <v>0</v>
      </c>
      <c r="Y6" s="36">
        <f>VLOOKUP($A6,[24]HISTOMAI24!$A$6:$BM$38,33,0)</f>
        <v>0</v>
      </c>
      <c r="Z6" s="36">
        <f>VLOOKUP($A6,[24]HISTOMAI24!$A$6:$BM$38,65,0)</f>
        <v>0</v>
      </c>
      <c r="AA6" s="36"/>
      <c r="AB6" s="36">
        <f>VLOOKUP($A6,[24]HISTOMAI24!$A$6:$AU$38,43,0)</f>
        <v>0</v>
      </c>
      <c r="AC6" s="36">
        <f>VLOOKUP($A6,[24]HISTOMAI24!$A$6:$AU$38,44,0)</f>
        <v>0</v>
      </c>
      <c r="AD6" s="36">
        <f>VLOOKUP($A6,[24]HISTOMAI24!$A$6:$AU$38,47,0)</f>
        <v>0</v>
      </c>
      <c r="AE6" s="36">
        <f>VLOOKUP(A6,[24]HISTOMAI24!$A$6:$BB$38,54,0)</f>
        <v>0</v>
      </c>
      <c r="AF6" s="36">
        <f>VLOOKUP($A6,[24]HISTOMAI24!$A$6:$CA$38,60,0)</f>
        <v>0</v>
      </c>
      <c r="AG6" s="36">
        <f>VLOOKUP($A6,[24]HISTOMAI24!$A$6:$CA$38,61,0)</f>
        <v>0</v>
      </c>
      <c r="AH6" s="36">
        <f>VLOOKUP($A6,[24]HISTOMAI24!$A$6:$CA$38,62,0)</f>
        <v>0</v>
      </c>
      <c r="AI6" s="36">
        <f>VLOOKUP($A6,[24]HISTOMAI24!$A$6:$CA$38,63,0)</f>
        <v>0</v>
      </c>
      <c r="AJ6" s="36">
        <f>VLOOKUP($A6,[24]HISTOMAI24!$A$6:$CA$38,64,0)</f>
        <v>0</v>
      </c>
      <c r="AK6" s="36">
        <f>VLOOKUP($A6,[24]HISTOMAI24!$A$6:$CA$38,65,0)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VLOOKUP($A7,[24]HISTOMAI24!$A$6:$BA$38,48,0)</f>
        <v>0</v>
      </c>
      <c r="F7" s="36">
        <f>MVTAVRIL24!I7-E7+L7</f>
        <v>795791.19348721951</v>
      </c>
      <c r="G7" s="5">
        <f>IF(MVTAVRIL24!I7+L7&gt;700000,(MVTAVRIL24!I7-E7+L7),0)</f>
        <v>795791.19348721951</v>
      </c>
      <c r="H7" s="36">
        <f t="shared" si="0"/>
        <v>0</v>
      </c>
      <c r="I7" s="6">
        <f t="shared" ref="I7:I39" si="2">F7+H7</f>
        <v>795791.19348721951</v>
      </c>
      <c r="J7" s="36">
        <f>VLOOKUP($A7,[24]HISTOMAI24!$A$6:$AQ$42,22,0)</f>
        <v>0</v>
      </c>
      <c r="K7" s="36">
        <f>VLOOKUP($A7,[24]HISTOMAI24!$A$6:$AU$38,45,0)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VLOOKUP($A7,[24]HISTOMAI24!$A$6:$AU$38,7,0)</f>
        <v>3000</v>
      </c>
      <c r="Q7" s="36">
        <f>VLOOKUP($A7,[24]HISTOMAI24!$A$6:$AU$38,23,0)</f>
        <v>0</v>
      </c>
      <c r="R7" s="36">
        <f>VLOOKUP($A7,[24]HISTOMAI24!$A$6:$AU$38,46,0)</f>
        <v>0</v>
      </c>
      <c r="S7" s="36">
        <f>VLOOKUP($A7,[24]HISTOMAI24!$A$6:$AU$38,26,0)</f>
        <v>0</v>
      </c>
      <c r="T7" s="36">
        <f>VLOOKUP($A7,[24]HISTOMAI24!$A$6:$BG$38,58,0)</f>
        <v>0</v>
      </c>
      <c r="U7" s="36">
        <f>VLOOKUP($A7,[24]HISTOMAI24!$A$6:$AU$38,28,0)</f>
        <v>0</v>
      </c>
      <c r="V7" s="36">
        <f>VLOOKUP($A7,[24]HISTOMAI24!$A$6:$AU$38,19,0)</f>
        <v>0</v>
      </c>
      <c r="W7" s="36">
        <f>VLOOKUP($A7,[24]HISTOMAI24!$A$6:$AU$38,20,0)</f>
        <v>0</v>
      </c>
      <c r="X7" s="36">
        <f>VLOOKUP($A7,[24]HISTOMAI24!$A$6:$AU$38,27,0)</f>
        <v>0</v>
      </c>
      <c r="Y7" s="36">
        <f>VLOOKUP($A7,[24]HISTOMAI24!$A$6:$BM$38,33,0)</f>
        <v>0</v>
      </c>
      <c r="Z7" s="36">
        <f>VLOOKUP($A7,[24]HISTOMAI24!$A$6:$BM$38,65,0)</f>
        <v>0</v>
      </c>
      <c r="AA7" s="36"/>
      <c r="AB7" s="36">
        <f>VLOOKUP($A7,[24]HISTOMAI24!$A$6:$AU$38,43,0)</f>
        <v>0</v>
      </c>
      <c r="AC7" s="36">
        <f>VLOOKUP($A7,[24]HISTOMAI24!$A$6:$AU$38,44,0)</f>
        <v>0</v>
      </c>
      <c r="AD7" s="36">
        <f>VLOOKUP($A7,[24]HISTOMAI24!$A$6:$AU$38,47,0)</f>
        <v>0</v>
      </c>
      <c r="AE7" s="36">
        <f>VLOOKUP(A7,[24]HISTOMAI24!$A$6:$BB$38,54,0)</f>
        <v>0</v>
      </c>
      <c r="AF7" s="36">
        <f>VLOOKUP($A7,[24]HISTOMAI24!$A$6:$CA$38,60,0)</f>
        <v>0</v>
      </c>
      <c r="AG7" s="36">
        <f>VLOOKUP($A7,[24]HISTOMAI24!$A$6:$CA$38,61,0)</f>
        <v>0</v>
      </c>
      <c r="AH7" s="36">
        <f>VLOOKUP($A7,[24]HISTOMAI24!$A$6:$CA$38,62,0)</f>
        <v>0</v>
      </c>
      <c r="AI7" s="36">
        <f>VLOOKUP($A7,[24]HISTOMAI24!$A$6:$CA$38,63,0)</f>
        <v>0</v>
      </c>
      <c r="AJ7" s="36">
        <f>VLOOKUP($A7,[24]HISTOMAI24!$A$6:$CA$38,64,0)</f>
        <v>0</v>
      </c>
      <c r="AK7" s="36">
        <f>VLOOKUP($A7,[24]HISTOMAI24!$A$6:$CA$38,65,0)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VLOOKUP($A8,[24]HISTOMAI24!$A$6:$BA$38,48,0)</f>
        <v>0</v>
      </c>
      <c r="F8" s="36">
        <f>MVTAVRIL24!I8-E8+L8</f>
        <v>839533.31236524263</v>
      </c>
      <c r="G8" s="5">
        <f>IF(MVTAVRIL24!I8+L8&gt;700000,(MVTAVRIL24!I8-E8+L8),0)</f>
        <v>839533.31236524263</v>
      </c>
      <c r="H8" s="36">
        <f t="shared" si="0"/>
        <v>0</v>
      </c>
      <c r="I8" s="6">
        <f t="shared" si="2"/>
        <v>839533.31236524263</v>
      </c>
      <c r="J8" s="36">
        <f>VLOOKUP($A8,[24]HISTOMAI24!$A$6:$AQ$42,22,0)</f>
        <v>0</v>
      </c>
      <c r="K8" s="36">
        <f>VLOOKUP($A8,[24]HISTOMAI24!$A$6:$AU$38,45,0)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VLOOKUP($A8,[24]HISTOMAI24!$A$6:$AU$38,7,0)</f>
        <v>0</v>
      </c>
      <c r="Q8" s="36">
        <f>VLOOKUP($A8,[24]HISTOMAI24!$A$6:$AU$38,23,0)</f>
        <v>0</v>
      </c>
      <c r="R8" s="36">
        <f>VLOOKUP($A8,[24]HISTOMAI24!$A$6:$AU$38,46,0)</f>
        <v>0</v>
      </c>
      <c r="S8" s="36">
        <f>VLOOKUP($A8,[24]HISTOMAI24!$A$6:$AU$38,26,0)</f>
        <v>0</v>
      </c>
      <c r="T8" s="36">
        <f>VLOOKUP($A8,[24]HISTOMAI24!$A$6:$BG$38,58,0)</f>
        <v>0</v>
      </c>
      <c r="U8" s="36">
        <f>VLOOKUP($A8,[24]HISTOMAI24!$A$6:$AU$38,28,0)</f>
        <v>0</v>
      </c>
      <c r="V8" s="36">
        <f>VLOOKUP($A8,[24]HISTOMAI24!$A$6:$AU$38,19,0)</f>
        <v>0</v>
      </c>
      <c r="W8" s="36">
        <f>VLOOKUP($A8,[24]HISTOMAI24!$A$6:$AU$38,20,0)</f>
        <v>0</v>
      </c>
      <c r="X8" s="36">
        <f>VLOOKUP($A8,[24]HISTOMAI24!$A$6:$AU$38,27,0)</f>
        <v>0</v>
      </c>
      <c r="Y8" s="36">
        <f>VLOOKUP($A8,[24]HISTOMAI24!$A$6:$BM$38,33,0)</f>
        <v>0</v>
      </c>
      <c r="Z8" s="36">
        <f>VLOOKUP($A8,[24]HISTOMAI24!$A$6:$BM$38,65,0)</f>
        <v>0</v>
      </c>
      <c r="AA8" s="36"/>
      <c r="AB8" s="36">
        <f>VLOOKUP($A8,[24]HISTOMAI24!$A$6:$AU$38,43,0)</f>
        <v>0</v>
      </c>
      <c r="AC8" s="36">
        <f>VLOOKUP($A8,[24]HISTOMAI24!$A$6:$AU$38,44,0)</f>
        <v>0</v>
      </c>
      <c r="AD8" s="36">
        <f>VLOOKUP($A8,[24]HISTOMAI24!$A$6:$AU$38,47,0)</f>
        <v>0</v>
      </c>
      <c r="AE8" s="36">
        <f>VLOOKUP(A8,[24]HISTOMAI24!$A$6:$BB$38,54,0)</f>
        <v>0</v>
      </c>
      <c r="AF8" s="36">
        <f>VLOOKUP($A8,[24]HISTOMAI24!$A$6:$CA$38,60,0)</f>
        <v>0</v>
      </c>
      <c r="AG8" s="36">
        <f>VLOOKUP($A8,[24]HISTOMAI24!$A$6:$CA$38,61,0)</f>
        <v>0</v>
      </c>
      <c r="AH8" s="36">
        <f>VLOOKUP($A8,[24]HISTOMAI24!$A$6:$CA$38,62,0)</f>
        <v>0</v>
      </c>
      <c r="AI8" s="36">
        <f>VLOOKUP($A8,[24]HISTOMAI24!$A$6:$CA$38,63,0)</f>
        <v>0</v>
      </c>
      <c r="AJ8" s="36">
        <f>VLOOKUP($A8,[24]HISTOMAI24!$A$6:$CA$38,64,0)</f>
        <v>0</v>
      </c>
      <c r="AK8" s="36">
        <f>VLOOKUP($A8,[24]HISTOMAI24!$A$6:$CA$38,65,0)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VLOOKUP($A9,[24]HISTOMAI24!$A$6:$BA$38,48,0)</f>
        <v>0</v>
      </c>
      <c r="F9" s="36">
        <f>MVTAVRIL24!I9-E9+L9</f>
        <v>896962.00686817756</v>
      </c>
      <c r="G9" s="5">
        <f>IF(MVTAVRIL24!I9+L9&gt;700000,(MVTAVRIL24!I9-E9+L9),0)</f>
        <v>896962.00686817756</v>
      </c>
      <c r="H9" s="36">
        <f t="shared" si="0"/>
        <v>0</v>
      </c>
      <c r="I9" s="6">
        <f t="shared" si="2"/>
        <v>896962.00686817756</v>
      </c>
      <c r="J9" s="36">
        <f>VLOOKUP($A9,[24]HISTOMAI24!$A$6:$AQ$42,22,0)</f>
        <v>0</v>
      </c>
      <c r="K9" s="36">
        <f>VLOOKUP($A9,[24]HISTOMAI24!$A$6:$AU$38,45,0)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VLOOKUP($A9,[24]HISTOMAI24!$A$6:$AU$38,7,0)</f>
        <v>0</v>
      </c>
      <c r="Q9" s="36">
        <f>VLOOKUP($A9,[24]HISTOMAI24!$A$6:$AU$38,23,0)</f>
        <v>0</v>
      </c>
      <c r="R9" s="36">
        <f>VLOOKUP($A9,[24]HISTOMAI24!$A$6:$AU$38,46,0)</f>
        <v>0</v>
      </c>
      <c r="S9" s="36">
        <f>VLOOKUP($A9,[24]HISTOMAI24!$A$6:$AU$38,26,0)</f>
        <v>0</v>
      </c>
      <c r="T9" s="36">
        <f>VLOOKUP($A9,[24]HISTOMAI24!$A$6:$BG$38,58,0)</f>
        <v>0</v>
      </c>
      <c r="U9" s="36">
        <f>VLOOKUP($A9,[24]HISTOMAI24!$A$6:$AU$38,28,0)</f>
        <v>0</v>
      </c>
      <c r="V9" s="36">
        <f>VLOOKUP($A9,[24]HISTOMAI24!$A$6:$AU$38,19,0)</f>
        <v>0</v>
      </c>
      <c r="W9" s="36">
        <f>VLOOKUP($A9,[24]HISTOMAI24!$A$6:$AU$38,20,0)</f>
        <v>0</v>
      </c>
      <c r="X9" s="36">
        <f>VLOOKUP($A9,[24]HISTOMAI24!$A$6:$AU$38,27,0)</f>
        <v>0</v>
      </c>
      <c r="Y9" s="36">
        <f>VLOOKUP($A9,[24]HISTOMAI24!$A$6:$BM$38,33,0)</f>
        <v>0</v>
      </c>
      <c r="Z9" s="36">
        <f>VLOOKUP($A9,[24]HISTOMAI24!$A$6:$BM$38,65,0)</f>
        <v>0</v>
      </c>
      <c r="AA9" s="36"/>
      <c r="AB9" s="36">
        <f>VLOOKUP($A9,[24]HISTOMAI24!$A$6:$AU$38,43,0)</f>
        <v>0</v>
      </c>
      <c r="AC9" s="36">
        <f>VLOOKUP($A9,[24]HISTOMAI24!$A$6:$AU$38,44,0)</f>
        <v>0</v>
      </c>
      <c r="AD9" s="36">
        <f>VLOOKUP($A9,[24]HISTOMAI24!$A$6:$AU$38,47,0)</f>
        <v>0</v>
      </c>
      <c r="AE9" s="36">
        <f>VLOOKUP(A9,[24]HISTOMAI24!$A$6:$BB$38,54,0)</f>
        <v>0</v>
      </c>
      <c r="AF9" s="36">
        <f>VLOOKUP($A9,[24]HISTOMAI24!$A$6:$CA$38,60,0)</f>
        <v>0</v>
      </c>
      <c r="AG9" s="36">
        <f>VLOOKUP($A9,[24]HISTOMAI24!$A$6:$CA$38,61,0)</f>
        <v>0</v>
      </c>
      <c r="AH9" s="36">
        <f>VLOOKUP($A9,[24]HISTOMAI24!$A$6:$CA$38,62,0)</f>
        <v>0</v>
      </c>
      <c r="AI9" s="36">
        <f>VLOOKUP($A9,[24]HISTOMAI24!$A$6:$CA$38,63,0)</f>
        <v>0</v>
      </c>
      <c r="AJ9" s="36">
        <f>VLOOKUP($A9,[24]HISTOMAI24!$A$6:$CA$38,64,0)</f>
        <v>0</v>
      </c>
      <c r="AK9" s="36">
        <f>VLOOKUP($A9,[24]HISTOMAI24!$A$6:$CA$38,65,0)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VLOOKUP($A10,[24]HISTOMAI24!$A$6:$BA$38,48,0)</f>
        <v>0</v>
      </c>
      <c r="F10" s="36">
        <f>MVTAVRIL24!I10-E10+L10</f>
        <v>836805.20622596238</v>
      </c>
      <c r="G10" s="5">
        <f>IF(MVTAVRIL24!I10+L10&gt;700000,(MVTAVRIL24!I10-E10+L10),0)</f>
        <v>836805.20622596238</v>
      </c>
      <c r="H10" s="36">
        <f t="shared" si="0"/>
        <v>0</v>
      </c>
      <c r="I10" s="6">
        <f t="shared" si="2"/>
        <v>836805.20622596238</v>
      </c>
      <c r="J10" s="36">
        <f>VLOOKUP($A10,[24]HISTOMAI24!$A$6:$AQ$42,22,0)</f>
        <v>0</v>
      </c>
      <c r="K10" s="36">
        <f>VLOOKUP($A10,[24]HISTOMAI24!$A$6:$AU$38,45,0)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VLOOKUP($A10,[24]HISTOMAI24!$A$6:$AU$38,7,0)</f>
        <v>0</v>
      </c>
      <c r="Q10" s="36">
        <f>VLOOKUP($A10,[24]HISTOMAI24!$A$6:$AU$38,23,0)</f>
        <v>0</v>
      </c>
      <c r="R10" s="36">
        <f>VLOOKUP($A10,[24]HISTOMAI24!$A$6:$AU$38,46,0)</f>
        <v>0</v>
      </c>
      <c r="S10" s="36">
        <f>VLOOKUP($A10,[24]HISTOMAI24!$A$6:$AU$38,26,0)</f>
        <v>0</v>
      </c>
      <c r="T10" s="36">
        <f>VLOOKUP($A10,[24]HISTOMAI24!$A$6:$BG$38,58,0)</f>
        <v>0</v>
      </c>
      <c r="U10" s="36">
        <f>VLOOKUP($A10,[24]HISTOMAI24!$A$6:$AU$38,28,0)</f>
        <v>0</v>
      </c>
      <c r="V10" s="36">
        <f>VLOOKUP($A10,[24]HISTOMAI24!$A$6:$AU$38,19,0)</f>
        <v>0</v>
      </c>
      <c r="W10" s="36">
        <f>VLOOKUP($A10,[24]HISTOMAI24!$A$6:$AU$38,20,0)</f>
        <v>0</v>
      </c>
      <c r="X10" s="36">
        <f>VLOOKUP($A10,[24]HISTOMAI24!$A$6:$AU$38,27,0)</f>
        <v>0</v>
      </c>
      <c r="Y10" s="36">
        <f>VLOOKUP($A10,[24]HISTOMAI24!$A$6:$BM$38,33,0)</f>
        <v>0</v>
      </c>
      <c r="Z10" s="36">
        <f>VLOOKUP($A10,[24]HISTOMAI24!$A$6:$BM$38,65,0)</f>
        <v>0</v>
      </c>
      <c r="AA10" s="36"/>
      <c r="AB10" s="36">
        <f>VLOOKUP($A10,[24]HISTOMAI24!$A$6:$AU$38,43,0)</f>
        <v>0</v>
      </c>
      <c r="AC10" s="36">
        <f>VLOOKUP($A10,[24]HISTOMAI24!$A$6:$AU$38,44,0)</f>
        <v>0</v>
      </c>
      <c r="AD10" s="36">
        <f>VLOOKUP($A10,[24]HISTOMAI24!$A$6:$AU$38,47,0)</f>
        <v>0</v>
      </c>
      <c r="AE10" s="36">
        <f>VLOOKUP(A10,[24]HISTOMAI24!$A$6:$BB$38,54,0)</f>
        <v>0</v>
      </c>
      <c r="AF10" s="36">
        <f>VLOOKUP($A10,[24]HISTOMAI24!$A$6:$CA$38,60,0)</f>
        <v>0</v>
      </c>
      <c r="AG10" s="36">
        <f>VLOOKUP($A10,[24]HISTOMAI24!$A$6:$CA$38,61,0)</f>
        <v>0</v>
      </c>
      <c r="AH10" s="36">
        <f>VLOOKUP($A10,[24]HISTOMAI24!$A$6:$CA$38,62,0)</f>
        <v>0</v>
      </c>
      <c r="AI10" s="36">
        <f>VLOOKUP($A10,[24]HISTOMAI24!$A$6:$CA$38,63,0)</f>
        <v>0</v>
      </c>
      <c r="AJ10" s="36">
        <f>VLOOKUP($A10,[24]HISTOMAI24!$A$6:$CA$38,64,0)</f>
        <v>0</v>
      </c>
      <c r="AK10" s="36">
        <f>VLOOKUP($A10,[24]HISTOMAI24!$A$6:$CA$38,65,0)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VLOOKUP($A11,[24]HISTOMAI24!$A$6:$BA$38,48,0)</f>
        <v>0</v>
      </c>
      <c r="F11" s="36">
        <f>MVTAVRIL24!I11-E11+L11</f>
        <v>854855.82895949238</v>
      </c>
      <c r="G11" s="5">
        <f>IF(MVTAVRIL24!I11+L11&gt;700000,(MVTAVRIL24!I11-E11+L11),0)</f>
        <v>854855.82895949238</v>
      </c>
      <c r="H11" s="36">
        <f t="shared" si="0"/>
        <v>0</v>
      </c>
      <c r="I11" s="6">
        <f t="shared" si="2"/>
        <v>854855.82895949238</v>
      </c>
      <c r="J11" s="36">
        <f>VLOOKUP($A11,[24]HISTOMAI24!$A$6:$AQ$42,22,0)</f>
        <v>0</v>
      </c>
      <c r="K11" s="36">
        <f>VLOOKUP($A11,[24]HISTOMAI24!$A$6:$AU$38,45,0)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VLOOKUP($A11,[24]HISTOMAI24!$A$6:$AU$38,7,0)</f>
        <v>0</v>
      </c>
      <c r="Q11" s="36">
        <f>VLOOKUP($A11,[24]HISTOMAI24!$A$6:$AU$38,23,0)</f>
        <v>0</v>
      </c>
      <c r="R11" s="36">
        <f>VLOOKUP($A11,[24]HISTOMAI24!$A$6:$AU$38,46,0)</f>
        <v>0</v>
      </c>
      <c r="S11" s="36">
        <f>VLOOKUP($A11,[24]HISTOMAI24!$A$6:$AU$38,26,0)</f>
        <v>0</v>
      </c>
      <c r="T11" s="36">
        <f>VLOOKUP($A11,[24]HISTOMAI24!$A$6:$BG$38,58,0)</f>
        <v>0</v>
      </c>
      <c r="U11" s="36">
        <f>VLOOKUP($A11,[24]HISTOMAI24!$A$6:$AU$38,28,0)</f>
        <v>0</v>
      </c>
      <c r="V11" s="36">
        <f>VLOOKUP($A11,[24]HISTOMAI24!$A$6:$AU$38,19,0)</f>
        <v>0</v>
      </c>
      <c r="W11" s="36">
        <f>VLOOKUP($A11,[24]HISTOMAI24!$A$6:$AU$38,20,0)</f>
        <v>0</v>
      </c>
      <c r="X11" s="36">
        <f>VLOOKUP($A11,[24]HISTOMAI24!$A$6:$AU$38,27,0)</f>
        <v>0</v>
      </c>
      <c r="Y11" s="36">
        <f>VLOOKUP($A11,[24]HISTOMAI24!$A$6:$BM$38,33,0)</f>
        <v>0</v>
      </c>
      <c r="Z11" s="36">
        <f>VLOOKUP($A11,[24]HISTOMAI24!$A$6:$BM$38,65,0)</f>
        <v>0</v>
      </c>
      <c r="AA11" s="36"/>
      <c r="AB11" s="36">
        <f>VLOOKUP($A11,[24]HISTOMAI24!$A$6:$AU$38,43,0)</f>
        <v>0</v>
      </c>
      <c r="AC11" s="36">
        <f>VLOOKUP($A11,[24]HISTOMAI24!$A$6:$AU$38,44,0)</f>
        <v>0</v>
      </c>
      <c r="AD11" s="36">
        <f>VLOOKUP($A11,[24]HISTOMAI24!$A$6:$AU$38,47,0)</f>
        <v>0</v>
      </c>
      <c r="AE11" s="36">
        <f>VLOOKUP(A11,[24]HISTOMAI24!$A$6:$BB$38,54,0)</f>
        <v>0</v>
      </c>
      <c r="AF11" s="36">
        <f>VLOOKUP($A11,[24]HISTOMAI24!$A$6:$CA$38,60,0)</f>
        <v>0</v>
      </c>
      <c r="AG11" s="36">
        <f>VLOOKUP($A11,[24]HISTOMAI24!$A$6:$CA$38,61,0)</f>
        <v>0</v>
      </c>
      <c r="AH11" s="36">
        <f>VLOOKUP($A11,[24]HISTOMAI24!$A$6:$CA$38,62,0)</f>
        <v>0</v>
      </c>
      <c r="AI11" s="36">
        <f>VLOOKUP($A11,[24]HISTOMAI24!$A$6:$CA$38,63,0)</f>
        <v>0</v>
      </c>
      <c r="AJ11" s="36">
        <f>VLOOKUP($A11,[24]HISTOMAI24!$A$6:$CA$38,64,0)</f>
        <v>0</v>
      </c>
      <c r="AK11" s="36">
        <f>VLOOKUP($A11,[24]HISTOMAI24!$A$6:$CA$38,65,0)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VLOOKUP($A12,[24]HISTOMAI24!$A$6:$BA$38,48,0)</f>
        <v>0</v>
      </c>
      <c r="F12" s="36">
        <f>MVTAVRIL24!I12-E12+L12</f>
        <v>878100.14741339569</v>
      </c>
      <c r="G12" s="5">
        <f>IF(MVTAVRIL24!I12+L12&gt;700000,(MVTAVRIL24!I12-E12+L12),0)</f>
        <v>878100.14741339569</v>
      </c>
      <c r="H12" s="36">
        <f t="shared" si="0"/>
        <v>0</v>
      </c>
      <c r="I12" s="6">
        <f t="shared" si="2"/>
        <v>878100.14741339569</v>
      </c>
      <c r="J12" s="36">
        <f>VLOOKUP($A12,[24]HISTOMAI24!$A$6:$AQ$42,22,0)</f>
        <v>0</v>
      </c>
      <c r="K12" s="36">
        <f>VLOOKUP($A12,[24]HISTOMAI24!$A$6:$AU$38,45,0)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VLOOKUP($A12,[24]HISTOMAI24!$A$6:$AU$38,7,0)</f>
        <v>0</v>
      </c>
      <c r="Q12" s="36">
        <f>VLOOKUP($A12,[24]HISTOMAI24!$A$6:$AU$38,23,0)</f>
        <v>0</v>
      </c>
      <c r="R12" s="36">
        <f>VLOOKUP($A12,[24]HISTOMAI24!$A$6:$AU$38,46,0)</f>
        <v>0</v>
      </c>
      <c r="S12" s="36">
        <f>VLOOKUP($A12,[24]HISTOMAI24!$A$6:$AU$38,26,0)</f>
        <v>0</v>
      </c>
      <c r="T12" s="36">
        <f>VLOOKUP($A12,[24]HISTOMAI24!$A$6:$BG$38,58,0)</f>
        <v>0</v>
      </c>
      <c r="U12" s="36">
        <f>VLOOKUP($A12,[24]HISTOMAI24!$A$6:$AU$38,28,0)</f>
        <v>0</v>
      </c>
      <c r="V12" s="36">
        <f>VLOOKUP($A12,[24]HISTOMAI24!$A$6:$AU$38,19,0)</f>
        <v>0</v>
      </c>
      <c r="W12" s="36">
        <f>VLOOKUP($A12,[24]HISTOMAI24!$A$6:$AU$38,20,0)</f>
        <v>0</v>
      </c>
      <c r="X12" s="36">
        <f>VLOOKUP($A12,[24]HISTOMAI24!$A$6:$AU$38,27,0)</f>
        <v>0</v>
      </c>
      <c r="Y12" s="36">
        <f>VLOOKUP($A12,[24]HISTOMAI24!$A$6:$BM$38,33,0)</f>
        <v>0</v>
      </c>
      <c r="Z12" s="36">
        <f>VLOOKUP($A12,[24]HISTOMAI24!$A$6:$BM$38,65,0)</f>
        <v>0</v>
      </c>
      <c r="AA12" s="36"/>
      <c r="AB12" s="36">
        <f>VLOOKUP($A12,[24]HISTOMAI24!$A$6:$AU$38,43,0)</f>
        <v>0</v>
      </c>
      <c r="AC12" s="36">
        <f>VLOOKUP($A12,[24]HISTOMAI24!$A$6:$AU$38,44,0)</f>
        <v>0</v>
      </c>
      <c r="AD12" s="36">
        <f>VLOOKUP($A12,[24]HISTOMAI24!$A$6:$AU$38,47,0)</f>
        <v>0</v>
      </c>
      <c r="AE12" s="36">
        <f>VLOOKUP(A12,[24]HISTOMAI24!$A$6:$BB$38,54,0)</f>
        <v>0</v>
      </c>
      <c r="AF12" s="36">
        <f>VLOOKUP($A12,[24]HISTOMAI24!$A$6:$CA$38,60,0)</f>
        <v>0</v>
      </c>
      <c r="AG12" s="36">
        <f>VLOOKUP($A12,[24]HISTOMAI24!$A$6:$CA$38,61,0)</f>
        <v>0</v>
      </c>
      <c r="AH12" s="36">
        <f>VLOOKUP($A12,[24]HISTOMAI24!$A$6:$CA$38,62,0)</f>
        <v>0</v>
      </c>
      <c r="AI12" s="36">
        <f>VLOOKUP($A12,[24]HISTOMAI24!$A$6:$CA$38,63,0)</f>
        <v>0</v>
      </c>
      <c r="AJ12" s="36">
        <f>VLOOKUP($A12,[24]HISTOMAI24!$A$6:$CA$38,64,0)</f>
        <v>0</v>
      </c>
      <c r="AK12" s="36">
        <f>VLOOKUP($A12,[24]HISTOMAI24!$A$6:$CA$38,65,0)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VLOOKUP($A13,[24]HISTOMAI24!$A$6:$BA$38,48,0)</f>
        <v>0</v>
      </c>
      <c r="F13" s="36">
        <f>MVTAVRIL24!I13-E13+L13</f>
        <v>842555.14612214814</v>
      </c>
      <c r="G13" s="5">
        <f>IF(MVTAVRIL24!I13+L13&gt;700000,(MVTAVRIL24!I13-E13+L13),0)</f>
        <v>842555.14612214814</v>
      </c>
      <c r="H13" s="36">
        <f t="shared" si="0"/>
        <v>0</v>
      </c>
      <c r="I13" s="6">
        <f t="shared" si="2"/>
        <v>842555.14612214814</v>
      </c>
      <c r="J13" s="36">
        <f>VLOOKUP($A13,[24]HISTOMAI24!$A$6:$AQ$42,22,0)</f>
        <v>0</v>
      </c>
      <c r="K13" s="36">
        <f>VLOOKUP($A13,[24]HISTOMAI24!$A$6:$AU$38,45,0)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VLOOKUP($A13,[24]HISTOMAI24!$A$6:$AU$38,7,0)</f>
        <v>0</v>
      </c>
      <c r="Q13" s="36">
        <f>VLOOKUP($A13,[24]HISTOMAI24!$A$6:$AU$38,23,0)</f>
        <v>0</v>
      </c>
      <c r="R13" s="36">
        <f>VLOOKUP($A13,[24]HISTOMAI24!$A$6:$AU$38,46,0)</f>
        <v>0</v>
      </c>
      <c r="S13" s="36">
        <f>VLOOKUP($A13,[24]HISTOMAI24!$A$6:$AU$38,26,0)</f>
        <v>0</v>
      </c>
      <c r="T13" s="36">
        <f>VLOOKUP($A13,[24]HISTOMAI24!$A$6:$BG$38,58,0)</f>
        <v>0</v>
      </c>
      <c r="U13" s="36">
        <f>VLOOKUP($A13,[24]HISTOMAI24!$A$6:$AU$38,28,0)</f>
        <v>0</v>
      </c>
      <c r="V13" s="36">
        <f>VLOOKUP($A13,[24]HISTOMAI24!$A$6:$AU$38,19,0)</f>
        <v>0</v>
      </c>
      <c r="W13" s="36">
        <f>VLOOKUP($A13,[24]HISTOMAI24!$A$6:$AU$38,20,0)</f>
        <v>0</v>
      </c>
      <c r="X13" s="36">
        <f>VLOOKUP($A13,[24]HISTOMAI24!$A$6:$AU$38,27,0)</f>
        <v>0</v>
      </c>
      <c r="Y13" s="36">
        <f>VLOOKUP($A13,[24]HISTOMAI24!$A$6:$BM$38,33,0)</f>
        <v>0</v>
      </c>
      <c r="Z13" s="36">
        <f>VLOOKUP($A13,[24]HISTOMAI24!$A$6:$BM$38,65,0)</f>
        <v>0</v>
      </c>
      <c r="AA13" s="36"/>
      <c r="AB13" s="36">
        <f>VLOOKUP($A13,[24]HISTOMAI24!$A$6:$AU$38,43,0)</f>
        <v>0</v>
      </c>
      <c r="AC13" s="36">
        <f>VLOOKUP($A13,[24]HISTOMAI24!$A$6:$AU$38,44,0)</f>
        <v>0</v>
      </c>
      <c r="AD13" s="36">
        <f>VLOOKUP($A13,[24]HISTOMAI24!$A$6:$AU$38,47,0)</f>
        <v>0</v>
      </c>
      <c r="AE13" s="36">
        <f>VLOOKUP(A13,[24]HISTOMAI24!$A$6:$BB$38,54,0)</f>
        <v>0</v>
      </c>
      <c r="AF13" s="36">
        <f>VLOOKUP($A13,[24]HISTOMAI24!$A$6:$CA$38,60,0)</f>
        <v>0</v>
      </c>
      <c r="AG13" s="36">
        <f>VLOOKUP($A13,[24]HISTOMAI24!$A$6:$CA$38,61,0)</f>
        <v>0</v>
      </c>
      <c r="AH13" s="36">
        <f>VLOOKUP($A13,[24]HISTOMAI24!$A$6:$CA$38,62,0)</f>
        <v>0</v>
      </c>
      <c r="AI13" s="36">
        <f>VLOOKUP($A13,[24]HISTOMAI24!$A$6:$CA$38,63,0)</f>
        <v>0</v>
      </c>
      <c r="AJ13" s="36">
        <f>VLOOKUP($A13,[24]HISTOMAI24!$A$6:$CA$38,64,0)</f>
        <v>0</v>
      </c>
      <c r="AK13" s="36">
        <f>VLOOKUP($A13,[24]HISTOMAI24!$A$6:$CA$38,65,0)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VLOOKUP($A14,[24]HISTOMAI24!$A$6:$BA$38,48,0)</f>
        <v>0</v>
      </c>
      <c r="F14" s="36">
        <f>MVTAVRIL24!I14-E14+L14</f>
        <v>1395425.9823482623</v>
      </c>
      <c r="G14" s="5">
        <f>IF(MVTAVRIL24!I14+L14&gt;700000,(MVTAVRIL24!I14-E14+L14),0)</f>
        <v>1395425.9823482623</v>
      </c>
      <c r="H14" s="36">
        <f t="shared" si="0"/>
        <v>0</v>
      </c>
      <c r="I14" s="6">
        <f t="shared" si="2"/>
        <v>1395425.9823482623</v>
      </c>
      <c r="J14" s="36">
        <f>VLOOKUP($A14,[24]HISTOMAI24!$A$6:$AQ$42,22,0)</f>
        <v>0</v>
      </c>
      <c r="K14" s="36">
        <f>VLOOKUP($A14,[24]HISTOMAI24!$A$6:$AU$38,45,0)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VLOOKUP($A14,[24]HISTOMAI24!$A$6:$AU$38,7,0)</f>
        <v>0</v>
      </c>
      <c r="Q14" s="36">
        <f>VLOOKUP($A14,[24]HISTOMAI24!$A$6:$AU$38,23,0)</f>
        <v>0</v>
      </c>
      <c r="R14" s="36">
        <f>VLOOKUP($A14,[24]HISTOMAI24!$A$6:$AU$38,46,0)</f>
        <v>0</v>
      </c>
      <c r="S14" s="36">
        <f>VLOOKUP($A14,[24]HISTOMAI24!$A$6:$AU$38,26,0)</f>
        <v>0</v>
      </c>
      <c r="T14" s="36">
        <f>VLOOKUP($A14,[24]HISTOMAI24!$A$6:$BG$38,58,0)</f>
        <v>0</v>
      </c>
      <c r="U14" s="36">
        <f>VLOOKUP($A14,[24]HISTOMAI24!$A$6:$AU$38,28,0)</f>
        <v>0</v>
      </c>
      <c r="V14" s="36">
        <f>VLOOKUP($A14,[24]HISTOMAI24!$A$6:$AU$38,19,0)</f>
        <v>0</v>
      </c>
      <c r="W14" s="36">
        <f>VLOOKUP($A14,[24]HISTOMAI24!$A$6:$AU$38,20,0)</f>
        <v>0</v>
      </c>
      <c r="X14" s="36">
        <f>VLOOKUP($A14,[24]HISTOMAI24!$A$6:$AU$38,27,0)</f>
        <v>0</v>
      </c>
      <c r="Y14" s="36">
        <f>VLOOKUP($A14,[24]HISTOMAI24!$A$6:$BM$38,33,0)</f>
        <v>0</v>
      </c>
      <c r="Z14" s="36">
        <f>VLOOKUP($A14,[24]HISTOMAI24!$A$6:$BM$38,65,0)</f>
        <v>0</v>
      </c>
      <c r="AA14" s="36"/>
      <c r="AB14" s="36">
        <f>VLOOKUP($A14,[24]HISTOMAI24!$A$6:$AU$38,43,0)</f>
        <v>0</v>
      </c>
      <c r="AC14" s="36">
        <f>VLOOKUP($A14,[24]HISTOMAI24!$A$6:$AU$38,44,0)</f>
        <v>0</v>
      </c>
      <c r="AD14" s="36">
        <f>VLOOKUP($A14,[24]HISTOMAI24!$A$6:$AU$38,47,0)</f>
        <v>0</v>
      </c>
      <c r="AE14" s="36">
        <f>VLOOKUP(A14,[24]HISTOMAI24!$A$6:$BB$38,54,0)</f>
        <v>0</v>
      </c>
      <c r="AF14" s="36">
        <f>VLOOKUP($A14,[24]HISTOMAI24!$A$6:$CA$38,60,0)</f>
        <v>0</v>
      </c>
      <c r="AG14" s="36">
        <f>VLOOKUP($A14,[24]HISTOMAI24!$A$6:$CA$38,61,0)</f>
        <v>0</v>
      </c>
      <c r="AH14" s="36">
        <f>VLOOKUP($A14,[24]HISTOMAI24!$A$6:$CA$38,62,0)</f>
        <v>0</v>
      </c>
      <c r="AI14" s="36">
        <f>VLOOKUP($A14,[24]HISTOMAI24!$A$6:$CA$38,63,0)</f>
        <v>0</v>
      </c>
      <c r="AJ14" s="36">
        <f>VLOOKUP($A14,[24]HISTOMAI24!$A$6:$CA$38,64,0)</f>
        <v>0</v>
      </c>
      <c r="AK14" s="36">
        <f>VLOOKUP($A14,[24]HISTOMAI24!$A$6:$CA$38,65,0)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VLOOKUP($A15,[24]HISTOMAI24!$A$6:$BA$38,48,0)</f>
        <v>0</v>
      </c>
      <c r="F15" s="36">
        <f>MVTAVRIL24!I15-E15+L15</f>
        <v>904309.62153810938</v>
      </c>
      <c r="G15" s="5">
        <f>IF(MVTAVRIL24!I15+L15&gt;700000,(MVTAVRIL24!I15-E15+L15),0)</f>
        <v>904309.62153810938</v>
      </c>
      <c r="H15" s="36">
        <f t="shared" si="0"/>
        <v>0</v>
      </c>
      <c r="I15" s="6">
        <f t="shared" si="2"/>
        <v>904309.62153810938</v>
      </c>
      <c r="J15" s="36">
        <f>VLOOKUP($A15,[24]HISTOMAI24!$A$6:$AQ$42,22,0)</f>
        <v>0</v>
      </c>
      <c r="K15" s="36">
        <f>VLOOKUP($A15,[24]HISTOMAI24!$A$6:$AU$38,45,0)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VLOOKUP($A15,[24]HISTOMAI24!$A$6:$AU$38,7,0)</f>
        <v>0</v>
      </c>
      <c r="Q15" s="36">
        <f>VLOOKUP($A15,[24]HISTOMAI24!$A$6:$AU$38,23,0)</f>
        <v>0</v>
      </c>
      <c r="R15" s="36">
        <f>VLOOKUP($A15,[24]HISTOMAI24!$A$6:$AU$38,46,0)</f>
        <v>0</v>
      </c>
      <c r="S15" s="36">
        <f>VLOOKUP($A15,[24]HISTOMAI24!$A$6:$AU$38,26,0)</f>
        <v>0</v>
      </c>
      <c r="T15" s="36">
        <f>VLOOKUP($A15,[24]HISTOMAI24!$A$6:$BG$38,58,0)</f>
        <v>0</v>
      </c>
      <c r="U15" s="36">
        <f>VLOOKUP($A15,[24]HISTOMAI24!$A$6:$AU$38,28,0)</f>
        <v>0</v>
      </c>
      <c r="V15" s="36">
        <f>VLOOKUP($A15,[24]HISTOMAI24!$A$6:$AU$38,19,0)</f>
        <v>0</v>
      </c>
      <c r="W15" s="36">
        <f>VLOOKUP($A15,[24]HISTOMAI24!$A$6:$AU$38,20,0)</f>
        <v>0</v>
      </c>
      <c r="X15" s="36">
        <f>VLOOKUP($A15,[24]HISTOMAI24!$A$6:$AU$38,27,0)</f>
        <v>0</v>
      </c>
      <c r="Y15" s="36">
        <f>VLOOKUP($A15,[24]HISTOMAI24!$A$6:$BM$38,33,0)</f>
        <v>0</v>
      </c>
      <c r="Z15" s="36">
        <f>VLOOKUP($A15,[24]HISTOMAI24!$A$6:$BM$38,65,0)</f>
        <v>0</v>
      </c>
      <c r="AA15" s="36"/>
      <c r="AB15" s="36">
        <f>VLOOKUP($A15,[24]HISTOMAI24!$A$6:$AU$38,43,0)</f>
        <v>0</v>
      </c>
      <c r="AC15" s="36">
        <f>VLOOKUP($A15,[24]HISTOMAI24!$A$6:$AU$38,44,0)</f>
        <v>0</v>
      </c>
      <c r="AD15" s="36">
        <f>VLOOKUP($A15,[24]HISTOMAI24!$A$6:$AU$38,47,0)</f>
        <v>0</v>
      </c>
      <c r="AE15" s="36">
        <f>VLOOKUP(A15,[24]HISTOMAI24!$A$6:$BB$38,54,0)</f>
        <v>0</v>
      </c>
      <c r="AF15" s="36">
        <f>VLOOKUP($A15,[24]HISTOMAI24!$A$6:$CA$38,60,0)</f>
        <v>0</v>
      </c>
      <c r="AG15" s="36">
        <f>VLOOKUP($A15,[24]HISTOMAI24!$A$6:$CA$38,61,0)</f>
        <v>0</v>
      </c>
      <c r="AH15" s="36">
        <f>VLOOKUP($A15,[24]HISTOMAI24!$A$6:$CA$38,62,0)</f>
        <v>0</v>
      </c>
      <c r="AI15" s="36">
        <f>VLOOKUP($A15,[24]HISTOMAI24!$A$6:$CA$38,63,0)</f>
        <v>0</v>
      </c>
      <c r="AJ15" s="36">
        <f>VLOOKUP($A15,[24]HISTOMAI24!$A$6:$CA$38,64,0)</f>
        <v>0</v>
      </c>
      <c r="AK15" s="36">
        <f>VLOOKUP($A15,[24]HISTOMAI24!$A$6:$CA$38,65,0)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VLOOKUP($A16,[24]HISTOMAI24!$A$6:$BA$38,48,0)</f>
        <v>0</v>
      </c>
      <c r="F16" s="36">
        <f>MVTAVRIL24!I16-E16+L16</f>
        <v>1014858.7065070483</v>
      </c>
      <c r="G16" s="5">
        <f>IF(MVTAVRIL24!I16+L16&gt;700000,(MVTAVRIL24!I16-E16+L16),0)</f>
        <v>1014858.7065070483</v>
      </c>
      <c r="H16" s="36">
        <f t="shared" si="0"/>
        <v>0</v>
      </c>
      <c r="I16" s="6">
        <f t="shared" si="2"/>
        <v>1014858.7065070483</v>
      </c>
      <c r="J16" s="36">
        <f>VLOOKUP($A16,[24]HISTOMAI24!$A$6:$AQ$42,22,0)</f>
        <v>0</v>
      </c>
      <c r="K16" s="36">
        <f>VLOOKUP($A16,[24]HISTOMAI24!$A$6:$AU$38,45,0)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VLOOKUP($A16,[24]HISTOMAI24!$A$6:$AU$38,7,0)</f>
        <v>0</v>
      </c>
      <c r="Q16" s="36">
        <f>VLOOKUP($A16,[24]HISTOMAI24!$A$6:$AU$38,23,0)</f>
        <v>0</v>
      </c>
      <c r="R16" s="36">
        <f>VLOOKUP($A16,[24]HISTOMAI24!$A$6:$AU$38,46,0)</f>
        <v>0</v>
      </c>
      <c r="S16" s="36">
        <f>VLOOKUP($A16,[24]HISTOMAI24!$A$6:$AU$38,26,0)</f>
        <v>0</v>
      </c>
      <c r="T16" s="36">
        <f>VLOOKUP($A16,[24]HISTOMAI24!$A$6:$BG$38,58,0)</f>
        <v>0</v>
      </c>
      <c r="U16" s="36">
        <f>VLOOKUP($A16,[24]HISTOMAI24!$A$6:$AU$38,28,0)</f>
        <v>0</v>
      </c>
      <c r="V16" s="36">
        <f>VLOOKUP($A16,[24]HISTOMAI24!$A$6:$AU$38,19,0)</f>
        <v>0</v>
      </c>
      <c r="W16" s="36">
        <f>VLOOKUP($A16,[24]HISTOMAI24!$A$6:$AU$38,20,0)</f>
        <v>0</v>
      </c>
      <c r="X16" s="36">
        <f>VLOOKUP($A16,[24]HISTOMAI24!$A$6:$AU$38,27,0)</f>
        <v>0</v>
      </c>
      <c r="Y16" s="36">
        <f>VLOOKUP($A16,[24]HISTOMAI24!$A$6:$BM$38,33,0)</f>
        <v>0</v>
      </c>
      <c r="Z16" s="36">
        <f>VLOOKUP($A16,[24]HISTOMAI24!$A$6:$BM$38,65,0)</f>
        <v>0</v>
      </c>
      <c r="AA16" s="36"/>
      <c r="AB16" s="36">
        <f>VLOOKUP($A16,[24]HISTOMAI24!$A$6:$AU$38,43,0)</f>
        <v>0</v>
      </c>
      <c r="AC16" s="36">
        <f>VLOOKUP($A16,[24]HISTOMAI24!$A$6:$AU$38,44,0)</f>
        <v>0</v>
      </c>
      <c r="AD16" s="36">
        <f>VLOOKUP($A16,[24]HISTOMAI24!$A$6:$AU$38,47,0)</f>
        <v>0</v>
      </c>
      <c r="AE16" s="36">
        <f>VLOOKUP(A16,[24]HISTOMAI24!$A$6:$BB$38,54,0)</f>
        <v>0</v>
      </c>
      <c r="AF16" s="36">
        <f>VLOOKUP($A16,[24]HISTOMAI24!$A$6:$CA$38,60,0)</f>
        <v>0</v>
      </c>
      <c r="AG16" s="36">
        <f>VLOOKUP($A16,[24]HISTOMAI24!$A$6:$CA$38,61,0)</f>
        <v>0</v>
      </c>
      <c r="AH16" s="36">
        <f>VLOOKUP($A16,[24]HISTOMAI24!$A$6:$CA$38,62,0)</f>
        <v>0</v>
      </c>
      <c r="AI16" s="36">
        <f>VLOOKUP($A16,[24]HISTOMAI24!$A$6:$CA$38,63,0)</f>
        <v>0</v>
      </c>
      <c r="AJ16" s="36">
        <f>VLOOKUP($A16,[24]HISTOMAI24!$A$6:$CA$38,64,0)</f>
        <v>0</v>
      </c>
      <c r="AK16" s="36">
        <f>VLOOKUP($A16,[24]HISTOMAI24!$A$6:$CA$38,65,0)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VLOOKUP($A17,[24]HISTOMAI24!$A$6:$BA$38,48,0)</f>
        <v>0</v>
      </c>
      <c r="F17" s="36">
        <f>MVTAVRIL24!I17-E17+L17</f>
        <v>852402.7005255461</v>
      </c>
      <c r="G17" s="5">
        <f>IF(MVTAVRIL24!I17+L17&gt;700000,(MVTAVRIL24!I17-E17+L17),0)</f>
        <v>852402.7005255461</v>
      </c>
      <c r="H17" s="36">
        <f t="shared" si="0"/>
        <v>0</v>
      </c>
      <c r="I17" s="6">
        <f t="shared" si="2"/>
        <v>852402.7005255461</v>
      </c>
      <c r="J17" s="36">
        <f>VLOOKUP($A17,[24]HISTOMAI24!$A$6:$AQ$42,22,0)</f>
        <v>0</v>
      </c>
      <c r="K17" s="36">
        <f>VLOOKUP($A17,[24]HISTOMAI24!$A$6:$AU$38,45,0)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VLOOKUP($A17,[24]HISTOMAI24!$A$6:$AU$38,7,0)</f>
        <v>0</v>
      </c>
      <c r="Q17" s="36">
        <f>VLOOKUP($A17,[24]HISTOMAI24!$A$6:$AU$38,23,0)</f>
        <v>0</v>
      </c>
      <c r="R17" s="36">
        <f>VLOOKUP($A17,[24]HISTOMAI24!$A$6:$AU$38,46,0)</f>
        <v>0</v>
      </c>
      <c r="S17" s="36">
        <f>VLOOKUP($A17,[24]HISTOMAI24!$A$6:$AU$38,26,0)</f>
        <v>0</v>
      </c>
      <c r="T17" s="36">
        <f>VLOOKUP($A17,[24]HISTOMAI24!$A$6:$BG$38,58,0)</f>
        <v>0</v>
      </c>
      <c r="U17" s="36">
        <f>VLOOKUP($A17,[24]HISTOMAI24!$A$6:$AU$38,28,0)</f>
        <v>0</v>
      </c>
      <c r="V17" s="36">
        <f>VLOOKUP($A17,[24]HISTOMAI24!$A$6:$AU$38,19,0)</f>
        <v>0</v>
      </c>
      <c r="W17" s="36">
        <f>VLOOKUP($A17,[24]HISTOMAI24!$A$6:$AU$38,20,0)</f>
        <v>0</v>
      </c>
      <c r="X17" s="36">
        <f>VLOOKUP($A17,[24]HISTOMAI24!$A$6:$AU$38,27,0)</f>
        <v>0</v>
      </c>
      <c r="Y17" s="36">
        <f>VLOOKUP($A17,[24]HISTOMAI24!$A$6:$BM$38,33,0)</f>
        <v>0</v>
      </c>
      <c r="Z17" s="36">
        <f>VLOOKUP($A17,[24]HISTOMAI24!$A$6:$BM$38,65,0)</f>
        <v>0</v>
      </c>
      <c r="AA17" s="36"/>
      <c r="AB17" s="36">
        <f>VLOOKUP($A17,[24]HISTOMAI24!$A$6:$AU$38,43,0)</f>
        <v>0</v>
      </c>
      <c r="AC17" s="36">
        <f>VLOOKUP($A17,[24]HISTOMAI24!$A$6:$AU$38,44,0)</f>
        <v>0</v>
      </c>
      <c r="AD17" s="36">
        <f>VLOOKUP($A17,[24]HISTOMAI24!$A$6:$AU$38,47,0)</f>
        <v>0</v>
      </c>
      <c r="AE17" s="36">
        <f>VLOOKUP(A17,[24]HISTOMAI24!$A$6:$BB$38,54,0)</f>
        <v>0</v>
      </c>
      <c r="AF17" s="36">
        <f>VLOOKUP($A17,[24]HISTOMAI24!$A$6:$CA$38,60,0)</f>
        <v>0</v>
      </c>
      <c r="AG17" s="36">
        <f>VLOOKUP($A17,[24]HISTOMAI24!$A$6:$CA$38,61,0)</f>
        <v>0</v>
      </c>
      <c r="AH17" s="36">
        <f>VLOOKUP($A17,[24]HISTOMAI24!$A$6:$CA$38,62,0)</f>
        <v>0</v>
      </c>
      <c r="AI17" s="36">
        <f>VLOOKUP($A17,[24]HISTOMAI24!$A$6:$CA$38,63,0)</f>
        <v>0</v>
      </c>
      <c r="AJ17" s="36">
        <f>VLOOKUP($A17,[24]HISTOMAI24!$A$6:$CA$38,64,0)</f>
        <v>0</v>
      </c>
      <c r="AK17" s="36">
        <f>VLOOKUP($A17,[24]HISTOMAI24!$A$6:$CA$38,65,0)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VLOOKUP($A18,[24]HISTOMAI24!$A$6:$BA$38,48,0)</f>
        <v>0</v>
      </c>
      <c r="F18" s="36">
        <f>MVTAVRIL24!I18-E18+L18</f>
        <v>898662.76419736946</v>
      </c>
      <c r="G18" s="5">
        <f>IF(MVTAVRIL24!I18+L18&gt;700000,(MVTAVRIL24!I18-E18+L18),0)</f>
        <v>898662.76419736946</v>
      </c>
      <c r="H18" s="36">
        <f t="shared" si="0"/>
        <v>0</v>
      </c>
      <c r="I18" s="6">
        <f t="shared" si="2"/>
        <v>898662.76419736946</v>
      </c>
      <c r="J18" s="36">
        <f>VLOOKUP($A18,[24]HISTOMAI24!$A$6:$AQ$42,22,0)</f>
        <v>0</v>
      </c>
      <c r="K18" s="36">
        <f>VLOOKUP($A18,[24]HISTOMAI24!$A$6:$AU$38,45,0)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VLOOKUP($A18,[24]HISTOMAI24!$A$6:$AU$38,7,0)</f>
        <v>0</v>
      </c>
      <c r="Q18" s="36">
        <f>VLOOKUP($A18,[24]HISTOMAI24!$A$6:$AU$38,23,0)</f>
        <v>0</v>
      </c>
      <c r="R18" s="36">
        <f>VLOOKUP($A18,[24]HISTOMAI24!$A$6:$AU$38,46,0)</f>
        <v>0</v>
      </c>
      <c r="S18" s="36">
        <f>VLOOKUP($A18,[24]HISTOMAI24!$A$6:$AU$38,26,0)</f>
        <v>0</v>
      </c>
      <c r="T18" s="36">
        <f>VLOOKUP($A18,[24]HISTOMAI24!$A$6:$BG$38,58,0)</f>
        <v>0</v>
      </c>
      <c r="U18" s="36">
        <f>VLOOKUP($A18,[24]HISTOMAI24!$A$6:$AU$38,28,0)</f>
        <v>0</v>
      </c>
      <c r="V18" s="36">
        <f>VLOOKUP($A18,[24]HISTOMAI24!$A$6:$AU$38,19,0)</f>
        <v>0</v>
      </c>
      <c r="W18" s="36">
        <f>VLOOKUP($A18,[24]HISTOMAI24!$A$6:$AU$38,20,0)</f>
        <v>0</v>
      </c>
      <c r="X18" s="36">
        <f>VLOOKUP($A18,[24]HISTOMAI24!$A$6:$AU$38,27,0)</f>
        <v>0</v>
      </c>
      <c r="Y18" s="36">
        <f>VLOOKUP($A18,[24]HISTOMAI24!$A$6:$BM$38,33,0)</f>
        <v>0</v>
      </c>
      <c r="Z18" s="36">
        <f>VLOOKUP($A18,[24]HISTOMAI24!$A$6:$BM$38,65,0)</f>
        <v>0</v>
      </c>
      <c r="AA18" s="36"/>
      <c r="AB18" s="36">
        <f>VLOOKUP($A18,[24]HISTOMAI24!$A$6:$AU$38,43,0)</f>
        <v>0</v>
      </c>
      <c r="AC18" s="36">
        <f>VLOOKUP($A18,[24]HISTOMAI24!$A$6:$AU$38,44,0)</f>
        <v>0</v>
      </c>
      <c r="AD18" s="36">
        <f>VLOOKUP($A18,[24]HISTOMAI24!$A$6:$AU$38,47,0)</f>
        <v>0</v>
      </c>
      <c r="AE18" s="36">
        <f>VLOOKUP(A18,[24]HISTOMAI24!$A$6:$BB$38,54,0)</f>
        <v>0</v>
      </c>
      <c r="AF18" s="36">
        <f>VLOOKUP($A18,[24]HISTOMAI24!$A$6:$CA$38,60,0)</f>
        <v>0</v>
      </c>
      <c r="AG18" s="36">
        <f>VLOOKUP($A18,[24]HISTOMAI24!$A$6:$CA$38,61,0)</f>
        <v>0</v>
      </c>
      <c r="AH18" s="36">
        <f>VLOOKUP($A18,[24]HISTOMAI24!$A$6:$CA$38,62,0)</f>
        <v>0</v>
      </c>
      <c r="AI18" s="36">
        <f>VLOOKUP($A18,[24]HISTOMAI24!$A$6:$CA$38,63,0)</f>
        <v>0</v>
      </c>
      <c r="AJ18" s="36">
        <f>VLOOKUP($A18,[24]HISTOMAI24!$A$6:$CA$38,64,0)</f>
        <v>0</v>
      </c>
      <c r="AK18" s="36">
        <f>VLOOKUP($A18,[24]HISTOMAI24!$A$6:$CA$38,65,0)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MVTAVRIL24!I19-E19+L19</f>
        <v>676217.13072703336</v>
      </c>
      <c r="G19" s="5">
        <f>IF(MVTAVRIL24!I19+L19&gt;700000,(MVTAVRIL24!I19-E19+L19),0)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MVTAVRIL24!I20-E20+L20</f>
        <v>95000</v>
      </c>
      <c r="G20" s="5">
        <f>IF(MVTAVRIL24!I20+L20&gt;700000,(MVTAVRIL24!I20-E20+L20),0)</f>
        <v>0</v>
      </c>
      <c r="H20" s="36">
        <f t="shared" si="0"/>
        <v>0</v>
      </c>
      <c r="I20" s="6">
        <f t="shared" si="2"/>
        <v>95000</v>
      </c>
      <c r="J20" s="36">
        <f>VLOOKUP($A20,[24]HISTOMAI24!$A$6:$AQ$42,22,0)</f>
        <v>0</v>
      </c>
      <c r="K20" s="36">
        <f>VLOOKUP($A20,[24]HISTOMAI24!$A$6:$AU$38,45,0)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VLOOKUP($A20,[24]HISTOMAI24!$A$6:$AU$38,7,0)</f>
        <v>0</v>
      </c>
      <c r="Q20" s="36">
        <f>VLOOKUP($A20,[24]HISTOMAI24!$A$6:$AU$38,23,0)</f>
        <v>0</v>
      </c>
      <c r="R20" s="36">
        <f>VLOOKUP($A20,[24]HISTOMAI24!$A$6:$AU$38,46,0)</f>
        <v>0</v>
      </c>
      <c r="S20" s="36">
        <f>VLOOKUP($A20,[24]HISTOMAI24!$A$6:$AU$38,26,0)</f>
        <v>0</v>
      </c>
      <c r="T20" s="36">
        <f>VLOOKUP($A20,[24]HISTOMAI24!$A$6:$BG$38,58,0)</f>
        <v>0</v>
      </c>
      <c r="U20" s="36">
        <f>VLOOKUP($A20,[24]HISTOMAI24!$A$6:$AU$38,28,0)</f>
        <v>0</v>
      </c>
      <c r="V20" s="36">
        <f>VLOOKUP($A20,[24]HISTOMAI24!$A$6:$AU$38,19,0)</f>
        <v>0</v>
      </c>
      <c r="W20" s="36">
        <f>VLOOKUP($A20,[24]HISTOMAI24!$A$6:$AU$38,20,0)</f>
        <v>0</v>
      </c>
      <c r="X20" s="36">
        <f>VLOOKUP($A20,[24]HISTOMAI24!$A$6:$AU$38,27,0)</f>
        <v>0</v>
      </c>
      <c r="Y20" s="36">
        <f>VLOOKUP($A20,[24]HISTOMAI24!$A$6:$BM$38,33,0)</f>
        <v>0</v>
      </c>
      <c r="Z20" s="36">
        <f>VLOOKUP($A20,[24]HISTOMAI24!$A$6:$BM$38,65,0)</f>
        <v>0</v>
      </c>
      <c r="AA20" s="36"/>
      <c r="AB20" s="36">
        <f>VLOOKUP($A20,[24]HISTOMAI24!$A$6:$AU$38,43,0)</f>
        <v>0</v>
      </c>
      <c r="AC20" s="36">
        <f>VLOOKUP($A20,[24]HISTOMAI24!$A$6:$AU$38,44,0)</f>
        <v>0</v>
      </c>
      <c r="AD20" s="36">
        <f>VLOOKUP($A20,[24]HISTOMAI24!$A$6:$AU$38,47,0)</f>
        <v>0</v>
      </c>
      <c r="AE20" s="36">
        <f>VLOOKUP(A20,[24]HISTOMAI24!$A$6:$BB$38,54,0)</f>
        <v>0</v>
      </c>
      <c r="AF20" s="36">
        <f>VLOOKUP($A20,[24]HISTOMAI24!$A$6:$CA$38,60,0)</f>
        <v>0</v>
      </c>
      <c r="AG20" s="36">
        <f>VLOOKUP($A20,[24]HISTOMAI24!$A$6:$CA$38,61,0)</f>
        <v>0</v>
      </c>
      <c r="AH20" s="36">
        <f>VLOOKUP($A20,[24]HISTOMAI24!$A$6:$CA$38,62,0)</f>
        <v>0</v>
      </c>
      <c r="AI20" s="36">
        <f>VLOOKUP($A20,[24]HISTOMAI24!$A$6:$CA$38,63,0)</f>
        <v>0</v>
      </c>
      <c r="AJ20" s="36">
        <f>VLOOKUP($A20,[24]HISTOMAI24!$A$6:$CA$38,64,0)</f>
        <v>0</v>
      </c>
      <c r="AK20" s="36">
        <f>VLOOKUP($A20,[24]HISTOMAI24!$A$6:$CA$38,65,0)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MVTAVRIL24!I21-E21+L21</f>
        <v>875355.80062958295</v>
      </c>
      <c r="G21" s="5">
        <f>IF(MVTAVRIL24!I21+L21&gt;700000,(MVTAVRIL24!I21-E21+L21),0)</f>
        <v>875355.80062958295</v>
      </c>
      <c r="H21" s="36">
        <f t="shared" si="0"/>
        <v>0</v>
      </c>
      <c r="I21" s="6">
        <f t="shared" si="2"/>
        <v>875355.80062958295</v>
      </c>
      <c r="J21" s="36">
        <f>VLOOKUP($A21,[24]HISTOMAI24!$A$6:$AQ$42,22,0)</f>
        <v>0</v>
      </c>
      <c r="K21" s="36">
        <f>VLOOKUP($A21,[24]HISTOMAI24!$A$6:$AU$38,45,0)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VLOOKUP($A21,[24]HISTOMAI24!$A$6:$AU$38,7,0)</f>
        <v>0</v>
      </c>
      <c r="Q21" s="36">
        <f>VLOOKUP($A21,[24]HISTOMAI24!$A$6:$AU$38,23,0)</f>
        <v>0</v>
      </c>
      <c r="R21" s="36">
        <f>VLOOKUP($A21,[24]HISTOMAI24!$A$6:$AU$38,46,0)</f>
        <v>0</v>
      </c>
      <c r="S21" s="36">
        <f>VLOOKUP($A21,[24]HISTOMAI24!$A$6:$AU$38,26,0)</f>
        <v>0</v>
      </c>
      <c r="T21" s="36">
        <f>VLOOKUP($A21,[24]HISTOMAI24!$A$6:$BG$38,58,0)</f>
        <v>0</v>
      </c>
      <c r="U21" s="36">
        <f>VLOOKUP($A21,[24]HISTOMAI24!$A$6:$AU$38,28,0)</f>
        <v>0</v>
      </c>
      <c r="V21" s="36">
        <f>VLOOKUP($A21,[24]HISTOMAI24!$A$6:$AU$38,19,0)</f>
        <v>0</v>
      </c>
      <c r="W21" s="36">
        <f>VLOOKUP($A21,[24]HISTOMAI24!$A$6:$AU$38,20,0)</f>
        <v>0</v>
      </c>
      <c r="X21" s="36">
        <f>VLOOKUP($A21,[24]HISTOMAI24!$A$6:$AU$38,27,0)</f>
        <v>0</v>
      </c>
      <c r="Y21" s="36">
        <f>VLOOKUP($A21,[24]HISTOMAI24!$A$6:$BM$38,33,0)</f>
        <v>0</v>
      </c>
      <c r="Z21" s="36">
        <f>VLOOKUP($A21,[24]HISTOMAI24!$A$6:$BM$38,65,0)</f>
        <v>0</v>
      </c>
      <c r="AA21" s="36"/>
      <c r="AB21" s="36">
        <f>VLOOKUP($A21,[24]HISTOMAI24!$A$6:$AU$38,43,0)</f>
        <v>0</v>
      </c>
      <c r="AC21" s="36">
        <f>VLOOKUP($A21,[24]HISTOMAI24!$A$6:$AU$38,44,0)</f>
        <v>0</v>
      </c>
      <c r="AD21" s="36">
        <f>VLOOKUP($A21,[24]HISTOMAI24!$A$6:$AU$38,47,0)</f>
        <v>0</v>
      </c>
      <c r="AE21" s="36">
        <f>VLOOKUP(A21,[24]HISTOMAI24!$A$6:$BB$38,54,0)</f>
        <v>0</v>
      </c>
      <c r="AF21" s="36">
        <f>VLOOKUP($A21,[24]HISTOMAI24!$A$6:$CA$38,60,0)</f>
        <v>0</v>
      </c>
      <c r="AG21" s="36">
        <f>VLOOKUP($A21,[24]HISTOMAI24!$A$6:$CA$38,61,0)</f>
        <v>0</v>
      </c>
      <c r="AH21" s="36">
        <f>VLOOKUP($A21,[24]HISTOMAI24!$A$6:$CA$38,62,0)</f>
        <v>0</v>
      </c>
      <c r="AI21" s="36">
        <f>VLOOKUP($A21,[24]HISTOMAI24!$A$6:$CA$38,63,0)</f>
        <v>0</v>
      </c>
      <c r="AJ21" s="36">
        <f>VLOOKUP($A21,[24]HISTOMAI24!$A$6:$CA$38,64,0)</f>
        <v>0</v>
      </c>
      <c r="AK21" s="36">
        <f>VLOOKUP($A21,[24]HISTOMAI24!$A$6:$CA$38,65,0)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MVTAVRIL24!I22-E22+L22</f>
        <v>843738.95952735876</v>
      </c>
      <c r="G22" s="5">
        <f>IF(MVTAVRIL24!I22+L22&gt;700000,(MVTAVRIL24!I22-E22+L22),0)</f>
        <v>843738.95952735876</v>
      </c>
      <c r="H22" s="36">
        <f t="shared" si="0"/>
        <v>0</v>
      </c>
      <c r="I22" s="6">
        <f t="shared" si="2"/>
        <v>843738.95952735876</v>
      </c>
      <c r="J22" s="36">
        <f>VLOOKUP($A22,[24]HISTOMAI24!$A$6:$AQ$42,22,0)</f>
        <v>0</v>
      </c>
      <c r="K22" s="36">
        <f>VLOOKUP($A22,[24]HISTOMAI24!$A$6:$AU$38,45,0)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VLOOKUP($A22,[24]HISTOMAI24!$A$6:$AU$38,7,0)</f>
        <v>0</v>
      </c>
      <c r="Q22" s="36">
        <f>VLOOKUP($A22,[24]HISTOMAI24!$A$6:$AU$38,23,0)</f>
        <v>0</v>
      </c>
      <c r="R22" s="36">
        <f>VLOOKUP($A22,[24]HISTOMAI24!$A$6:$AU$38,46,0)</f>
        <v>0</v>
      </c>
      <c r="S22" s="36">
        <f>VLOOKUP($A22,[24]HISTOMAI24!$A$6:$AU$38,26,0)</f>
        <v>0</v>
      </c>
      <c r="T22" s="36">
        <f>VLOOKUP($A22,[24]HISTOMAI24!$A$6:$BG$38,58,0)</f>
        <v>0</v>
      </c>
      <c r="U22" s="36">
        <f>VLOOKUP($A22,[24]HISTOMAI24!$A$6:$AU$38,28,0)</f>
        <v>0</v>
      </c>
      <c r="V22" s="36">
        <f>VLOOKUP($A22,[24]HISTOMAI24!$A$6:$AU$38,19,0)</f>
        <v>0</v>
      </c>
      <c r="W22" s="36">
        <f>VLOOKUP($A22,[24]HISTOMAI24!$A$6:$AU$38,20,0)</f>
        <v>0</v>
      </c>
      <c r="X22" s="36">
        <f>VLOOKUP($A22,[24]HISTOMAI24!$A$6:$AU$38,27,0)</f>
        <v>0</v>
      </c>
      <c r="Y22" s="36">
        <f>VLOOKUP($A22,[24]HISTOMAI24!$A$6:$BM$38,33,0)</f>
        <v>0</v>
      </c>
      <c r="Z22" s="36">
        <f>VLOOKUP($A22,[24]HISTOMAI24!$A$6:$BM$38,65,0)</f>
        <v>0</v>
      </c>
      <c r="AA22" s="36"/>
      <c r="AB22" s="36">
        <f>VLOOKUP($A22,[24]HISTOMAI24!$A$6:$AU$38,43,0)</f>
        <v>0</v>
      </c>
      <c r="AC22" s="36">
        <f>VLOOKUP($A22,[24]HISTOMAI24!$A$6:$AU$38,44,0)</f>
        <v>0</v>
      </c>
      <c r="AD22" s="36">
        <f>VLOOKUP($A22,[24]HISTOMAI24!$A$6:$AU$38,47,0)</f>
        <v>0</v>
      </c>
      <c r="AE22" s="36">
        <f>VLOOKUP(A22,[24]HISTOMAI24!$A$6:$BB$38,54,0)</f>
        <v>0</v>
      </c>
      <c r="AF22" s="36">
        <f>VLOOKUP($A22,[24]HISTOMAI24!$A$6:$CA$38,60,0)</f>
        <v>0</v>
      </c>
      <c r="AG22" s="36">
        <f>VLOOKUP($A22,[24]HISTOMAI24!$A$6:$CA$38,61,0)</f>
        <v>0</v>
      </c>
      <c r="AH22" s="36">
        <f>VLOOKUP($A22,[24]HISTOMAI24!$A$6:$CA$38,62,0)</f>
        <v>0</v>
      </c>
      <c r="AI22" s="36">
        <f>VLOOKUP($A22,[24]HISTOMAI24!$A$6:$CA$38,63,0)</f>
        <v>0</v>
      </c>
      <c r="AJ22" s="36">
        <f>VLOOKUP($A22,[24]HISTOMAI24!$A$6:$CA$38,64,0)</f>
        <v>0</v>
      </c>
      <c r="AK22" s="36">
        <f>VLOOKUP($A22,[24]HISTOMAI24!$A$6:$CA$38,65,0)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MVTAVRIL24!I23-E23+L23</f>
        <v>949674.32467319479</v>
      </c>
      <c r="G23" s="5">
        <f>IF(MVTAVRIL24!I23+L23&gt;700000,(MVTAVRIL24!I23-E23+L23),0)</f>
        <v>949674.32467319479</v>
      </c>
      <c r="H23" s="36">
        <f t="shared" si="0"/>
        <v>0</v>
      </c>
      <c r="I23" s="6">
        <f t="shared" si="2"/>
        <v>949674.32467319479</v>
      </c>
      <c r="J23" s="36">
        <f>VLOOKUP($A23,[24]HISTOMAI24!$A$6:$AQ$42,22,0)</f>
        <v>0</v>
      </c>
      <c r="K23" s="36">
        <f>VLOOKUP($A23,[24]HISTOMAI24!$A$6:$AU$38,45,0)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VLOOKUP($A23,[24]HISTOMAI24!$A$6:$AU$38,7,0)</f>
        <v>0</v>
      </c>
      <c r="Q23" s="36">
        <f>VLOOKUP($A23,[24]HISTOMAI24!$A$6:$AU$38,23,0)</f>
        <v>0</v>
      </c>
      <c r="R23" s="36">
        <f>VLOOKUP($A23,[24]HISTOMAI24!$A$6:$AU$38,46,0)</f>
        <v>0</v>
      </c>
      <c r="S23" s="36">
        <f>VLOOKUP($A23,[24]HISTOMAI24!$A$6:$AU$38,26,0)</f>
        <v>0</v>
      </c>
      <c r="T23" s="36">
        <f>VLOOKUP($A23,[24]HISTOMAI24!$A$6:$BG$38,58,0)</f>
        <v>0</v>
      </c>
      <c r="U23" s="36">
        <f>VLOOKUP($A23,[24]HISTOMAI24!$A$6:$AU$38,28,0)</f>
        <v>0</v>
      </c>
      <c r="V23" s="36">
        <f>VLOOKUP($A23,[24]HISTOMAI24!$A$6:$AU$38,19,0)</f>
        <v>0</v>
      </c>
      <c r="W23" s="36">
        <f>VLOOKUP($A23,[24]HISTOMAI24!$A$6:$AU$38,20,0)</f>
        <v>0</v>
      </c>
      <c r="X23" s="36">
        <f>VLOOKUP($A23,[24]HISTOMAI24!$A$6:$AU$38,27,0)</f>
        <v>0</v>
      </c>
      <c r="Y23" s="36">
        <f>VLOOKUP($A23,[24]HISTOMAI24!$A$6:$BM$38,33,0)</f>
        <v>0</v>
      </c>
      <c r="Z23" s="36">
        <f>VLOOKUP($A23,[24]HISTOMAI24!$A$6:$BM$38,65,0)</f>
        <v>0</v>
      </c>
      <c r="AA23" s="36"/>
      <c r="AB23" s="36">
        <f>VLOOKUP($A23,[24]HISTOMAI24!$A$6:$AU$38,43,0)</f>
        <v>0</v>
      </c>
      <c r="AC23" s="36">
        <f>VLOOKUP($A23,[24]HISTOMAI24!$A$6:$AU$38,44,0)</f>
        <v>0</v>
      </c>
      <c r="AD23" s="36">
        <f>VLOOKUP($A23,[24]HISTOMAI24!$A$6:$AU$38,47,0)</f>
        <v>0</v>
      </c>
      <c r="AE23" s="36">
        <f>VLOOKUP(A23,[24]HISTOMAI24!$A$6:$BB$38,54,0)</f>
        <v>0</v>
      </c>
      <c r="AF23" s="36">
        <f>VLOOKUP($A23,[24]HISTOMAI24!$A$6:$CA$38,60,0)</f>
        <v>0</v>
      </c>
      <c r="AG23" s="36">
        <f>VLOOKUP($A23,[24]HISTOMAI24!$A$6:$CA$38,61,0)</f>
        <v>0</v>
      </c>
      <c r="AH23" s="36">
        <f>VLOOKUP($A23,[24]HISTOMAI24!$A$6:$CA$38,62,0)</f>
        <v>0</v>
      </c>
      <c r="AI23" s="36">
        <f>VLOOKUP($A23,[24]HISTOMAI24!$A$6:$CA$38,63,0)</f>
        <v>0</v>
      </c>
      <c r="AJ23" s="36">
        <f>VLOOKUP($A23,[24]HISTOMAI24!$A$6:$CA$38,64,0)</f>
        <v>0</v>
      </c>
      <c r="AK23" s="36">
        <f>VLOOKUP($A23,[24]HISTOMAI24!$A$6:$CA$38,65,0)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MVTAVRIL24!I24-E24+L24</f>
        <v>1122827.8441992993</v>
      </c>
      <c r="G24" s="5">
        <f>IF(MVTAVRIL24!I24+L24&gt;700000,(MVTAVRIL24!I24-E24+L24),0)</f>
        <v>1122827.8441992993</v>
      </c>
      <c r="H24" s="36">
        <f t="shared" si="0"/>
        <v>0</v>
      </c>
      <c r="I24" s="6">
        <f t="shared" si="2"/>
        <v>1122827.8441992993</v>
      </c>
      <c r="J24" s="36">
        <f>VLOOKUP($A24,[24]HISTOMAI24!$A$6:$AQ$42,22,0)</f>
        <v>0</v>
      </c>
      <c r="K24" s="36">
        <f>VLOOKUP($A24,[24]HISTOMAI24!$A$6:$AU$38,45,0)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VLOOKUP($A24,[24]HISTOMAI24!$A$6:$AU$38,7,0)</f>
        <v>0</v>
      </c>
      <c r="Q24" s="36">
        <f>VLOOKUP($A24,[24]HISTOMAI24!$A$6:$AU$38,23,0)</f>
        <v>0</v>
      </c>
      <c r="R24" s="36">
        <f>VLOOKUP($A24,[24]HISTOMAI24!$A$6:$AU$38,46,0)</f>
        <v>0</v>
      </c>
      <c r="S24" s="36">
        <f>VLOOKUP($A24,[24]HISTOMAI24!$A$6:$AU$38,26,0)</f>
        <v>0</v>
      </c>
      <c r="T24" s="36">
        <f>VLOOKUP($A24,[24]HISTOMAI24!$A$6:$BG$38,58,0)</f>
        <v>0</v>
      </c>
      <c r="U24" s="36">
        <f>VLOOKUP($A24,[24]HISTOMAI24!$A$6:$AU$38,28,0)</f>
        <v>0</v>
      </c>
      <c r="V24" s="36">
        <f>VLOOKUP($A24,[24]HISTOMAI24!$A$6:$AU$38,19,0)</f>
        <v>0</v>
      </c>
      <c r="W24" s="36">
        <f>VLOOKUP($A24,[24]HISTOMAI24!$A$6:$AU$38,20,0)</f>
        <v>0</v>
      </c>
      <c r="X24" s="36">
        <f>VLOOKUP($A24,[24]HISTOMAI24!$A$6:$AU$38,27,0)</f>
        <v>0</v>
      </c>
      <c r="Y24" s="36">
        <f>VLOOKUP($A24,[24]HISTOMAI24!$A$6:$BM$38,33,0)</f>
        <v>0</v>
      </c>
      <c r="Z24" s="36">
        <f>VLOOKUP($A24,[24]HISTOMAI24!$A$6:$BM$38,65,0)</f>
        <v>0</v>
      </c>
      <c r="AA24" s="36"/>
      <c r="AB24" s="36">
        <f>VLOOKUP($A24,[24]HISTOMAI24!$A$6:$AU$38,43,0)</f>
        <v>0</v>
      </c>
      <c r="AC24" s="36">
        <f>VLOOKUP($A24,[24]HISTOMAI24!$A$6:$AU$38,44,0)</f>
        <v>0</v>
      </c>
      <c r="AD24" s="36">
        <f>VLOOKUP($A24,[24]HISTOMAI24!$A$6:$AU$38,47,0)</f>
        <v>0</v>
      </c>
      <c r="AE24" s="36">
        <f>VLOOKUP(A24,[24]HISTOMAI24!$A$6:$BB$38,54,0)</f>
        <v>0</v>
      </c>
      <c r="AF24" s="36">
        <f>VLOOKUP($A24,[24]HISTOMAI24!$A$6:$CA$38,60,0)</f>
        <v>0</v>
      </c>
      <c r="AG24" s="36">
        <f>VLOOKUP($A24,[24]HISTOMAI24!$A$6:$CA$38,61,0)</f>
        <v>0</v>
      </c>
      <c r="AH24" s="36">
        <f>VLOOKUP($A24,[24]HISTOMAI24!$A$6:$CA$38,62,0)</f>
        <v>0</v>
      </c>
      <c r="AI24" s="36">
        <f>VLOOKUP($A24,[24]HISTOMAI24!$A$6:$CA$38,63,0)</f>
        <v>0</v>
      </c>
      <c r="AJ24" s="36">
        <f>VLOOKUP($A24,[24]HISTOMAI24!$A$6:$CA$38,64,0)</f>
        <v>0</v>
      </c>
      <c r="AK24" s="36">
        <f>VLOOKUP($A24,[24]HISTOMAI24!$A$6:$CA$38,65,0)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MVTAVRIL24!I25-E25+L25</f>
        <v>934141.79504321574</v>
      </c>
      <c r="G25" s="5">
        <f>IF(MVTAVRIL24!I25+L25&gt;700000,(MVTAVRIL24!I25-E25+L25),0)</f>
        <v>934141.79504321574</v>
      </c>
      <c r="H25" s="36">
        <f t="shared" si="0"/>
        <v>0</v>
      </c>
      <c r="I25" s="6">
        <f t="shared" si="2"/>
        <v>934141.79504321574</v>
      </c>
      <c r="J25" s="36">
        <f>VLOOKUP($A25,[24]HISTOMAI24!$A$6:$AQ$42,22,0)</f>
        <v>0</v>
      </c>
      <c r="K25" s="36">
        <f>VLOOKUP($A25,[24]HISTOMAI24!$A$6:$AU$38,45,0)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VLOOKUP($A25,[24]HISTOMAI24!$A$6:$AU$38,7,0)</f>
        <v>3000</v>
      </c>
      <c r="Q25" s="36">
        <f>VLOOKUP($A25,[24]HISTOMAI24!$A$6:$AU$38,23,0)</f>
        <v>0</v>
      </c>
      <c r="R25" s="36">
        <f>VLOOKUP($A25,[24]HISTOMAI24!$A$6:$AU$38,46,0)</f>
        <v>0</v>
      </c>
      <c r="S25" s="36">
        <f>VLOOKUP($A25,[24]HISTOMAI24!$A$6:$AU$38,26,0)</f>
        <v>0</v>
      </c>
      <c r="T25" s="36">
        <f>VLOOKUP($A25,[24]HISTOMAI24!$A$6:$BG$38,58,0)</f>
        <v>0</v>
      </c>
      <c r="U25" s="36">
        <f>VLOOKUP($A25,[24]HISTOMAI24!$A$6:$AU$38,28,0)</f>
        <v>0</v>
      </c>
      <c r="V25" s="36">
        <f>VLOOKUP($A25,[24]HISTOMAI24!$A$6:$AU$38,19,0)</f>
        <v>0</v>
      </c>
      <c r="W25" s="36">
        <f>VLOOKUP($A25,[24]HISTOMAI24!$A$6:$AU$38,20,0)</f>
        <v>0</v>
      </c>
      <c r="X25" s="36">
        <f>VLOOKUP($A25,[24]HISTOMAI24!$A$6:$AU$38,27,0)</f>
        <v>0</v>
      </c>
      <c r="Y25" s="36">
        <f>VLOOKUP($A25,[24]HISTOMAI24!$A$6:$BM$38,33,0)</f>
        <v>0</v>
      </c>
      <c r="Z25" s="36">
        <f>VLOOKUP($A25,[24]HISTOMAI24!$A$6:$BM$38,65,0)</f>
        <v>0</v>
      </c>
      <c r="AA25" s="36"/>
      <c r="AB25" s="36">
        <f>VLOOKUP($A25,[24]HISTOMAI24!$A$6:$AU$38,43,0)</f>
        <v>0</v>
      </c>
      <c r="AC25" s="36">
        <f>VLOOKUP($A25,[24]HISTOMAI24!$A$6:$AU$38,44,0)</f>
        <v>0</v>
      </c>
      <c r="AD25" s="36">
        <f>VLOOKUP($A25,[24]HISTOMAI24!$A$6:$AU$38,47,0)</f>
        <v>0</v>
      </c>
      <c r="AE25" s="36">
        <f>VLOOKUP(A25,[24]HISTOMAI24!$A$6:$BB$38,54,0)</f>
        <v>0</v>
      </c>
      <c r="AF25" s="36">
        <f>VLOOKUP($A25,[24]HISTOMAI24!$A$6:$CA$38,60,0)</f>
        <v>0</v>
      </c>
      <c r="AG25" s="36">
        <f>VLOOKUP($A25,[24]HISTOMAI24!$A$6:$CA$38,61,0)</f>
        <v>0</v>
      </c>
      <c r="AH25" s="36">
        <f>VLOOKUP($A25,[24]HISTOMAI24!$A$6:$CA$38,62,0)</f>
        <v>0</v>
      </c>
      <c r="AI25" s="36">
        <f>VLOOKUP($A25,[24]HISTOMAI24!$A$6:$CA$38,63,0)</f>
        <v>0</v>
      </c>
      <c r="AJ25" s="36">
        <f>VLOOKUP($A25,[24]HISTOMAI24!$A$6:$CA$38,64,0)</f>
        <v>0</v>
      </c>
      <c r="AK25" s="36">
        <f>VLOOKUP($A25,[24]HISTOMAI24!$A$6:$CA$38,65,0)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MVTAVRIL24!I26-E26+L26</f>
        <v>862266.46813543816</v>
      </c>
      <c r="G26" s="5">
        <f>IF(MVTAVRIL24!I26+L26&gt;700000,(MVTAVRIL24!I26-E26+L26),0)</f>
        <v>862266.46813543816</v>
      </c>
      <c r="H26" s="36">
        <f t="shared" si="0"/>
        <v>0</v>
      </c>
      <c r="I26" s="6">
        <f t="shared" si="2"/>
        <v>862266.46813543816</v>
      </c>
      <c r="J26" s="36">
        <f>VLOOKUP($A26,[24]HISTOMAI24!$A$6:$AQ$42,22,0)</f>
        <v>0</v>
      </c>
      <c r="K26" s="36">
        <f>VLOOKUP($A26,[24]HISTOMAI24!$A$6:$AU$38,45,0)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VLOOKUP($A26,[24]HISTOMAI24!$A$6:$AU$38,7,0)</f>
        <v>0</v>
      </c>
      <c r="Q26" s="36">
        <f>VLOOKUP($A26,[24]HISTOMAI24!$A$6:$AU$38,23,0)</f>
        <v>0</v>
      </c>
      <c r="R26" s="36">
        <f>VLOOKUP($A26,[24]HISTOMAI24!$A$6:$AU$38,46,0)</f>
        <v>0</v>
      </c>
      <c r="S26" s="36">
        <f>VLOOKUP($A26,[24]HISTOMAI24!$A$6:$AU$38,26,0)</f>
        <v>0</v>
      </c>
      <c r="T26" s="36">
        <f>VLOOKUP($A26,[24]HISTOMAI24!$A$6:$BG$38,58,0)</f>
        <v>0</v>
      </c>
      <c r="U26" s="36">
        <f>VLOOKUP($A26,[24]HISTOMAI24!$A$6:$AU$38,28,0)</f>
        <v>0</v>
      </c>
      <c r="V26" s="36">
        <f>VLOOKUP($A26,[24]HISTOMAI24!$A$6:$AU$38,19,0)</f>
        <v>0</v>
      </c>
      <c r="W26" s="36">
        <f>VLOOKUP($A26,[24]HISTOMAI24!$A$6:$AU$38,20,0)</f>
        <v>0</v>
      </c>
      <c r="X26" s="36">
        <f>VLOOKUP($A26,[24]HISTOMAI24!$A$6:$AU$38,27,0)</f>
        <v>0</v>
      </c>
      <c r="Y26" s="36">
        <f>VLOOKUP($A26,[24]HISTOMAI24!$A$6:$BM$38,33,0)</f>
        <v>0</v>
      </c>
      <c r="Z26" s="36">
        <f>VLOOKUP($A26,[24]HISTOMAI24!$A$6:$BM$38,65,0)</f>
        <v>0</v>
      </c>
      <c r="AA26" s="36"/>
      <c r="AB26" s="36">
        <f>VLOOKUP($A26,[24]HISTOMAI24!$A$6:$AU$38,43,0)</f>
        <v>0</v>
      </c>
      <c r="AC26" s="36">
        <f>VLOOKUP($A26,[24]HISTOMAI24!$A$6:$AU$38,44,0)</f>
        <v>0</v>
      </c>
      <c r="AD26" s="36">
        <f>VLOOKUP($A26,[24]HISTOMAI24!$A$6:$AU$38,47,0)</f>
        <v>0</v>
      </c>
      <c r="AE26" s="36">
        <f>VLOOKUP(A26,[24]HISTOMAI24!$A$6:$BB$38,54,0)</f>
        <v>0</v>
      </c>
      <c r="AF26" s="36">
        <f>VLOOKUP($A26,[24]HISTOMAI24!$A$6:$CA$38,60,0)</f>
        <v>0</v>
      </c>
      <c r="AG26" s="36">
        <f>VLOOKUP($A26,[24]HISTOMAI24!$A$6:$CA$38,61,0)</f>
        <v>0</v>
      </c>
      <c r="AH26" s="36">
        <f>VLOOKUP($A26,[24]HISTOMAI24!$A$6:$CA$38,62,0)</f>
        <v>0</v>
      </c>
      <c r="AI26" s="36">
        <f>VLOOKUP($A26,[24]HISTOMAI24!$A$6:$CA$38,63,0)</f>
        <v>0</v>
      </c>
      <c r="AJ26" s="36">
        <f>VLOOKUP($A26,[24]HISTOMAI24!$A$6:$CA$38,64,0)</f>
        <v>0</v>
      </c>
      <c r="AK26" s="36">
        <f>VLOOKUP($A26,[24]HISTOMAI24!$A$6:$CA$38,65,0)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MVTAVRIL24!I27-E27+L27</f>
        <v>862824.17371512204</v>
      </c>
      <c r="G27" s="5">
        <f>IF(MVTAVRIL24!I27+L27&gt;700000,(MVTAVRIL24!I27-E27+L27),0)</f>
        <v>862824.17371512204</v>
      </c>
      <c r="H27" s="36">
        <f t="shared" si="0"/>
        <v>0</v>
      </c>
      <c r="I27" s="6">
        <f t="shared" si="2"/>
        <v>862824.17371512204</v>
      </c>
      <c r="J27" s="36">
        <f>VLOOKUP($A27,[24]HISTOMAI24!$A$6:$AQ$42,22,0)</f>
        <v>0</v>
      </c>
      <c r="K27" s="36">
        <f>VLOOKUP($A27,[24]HISTOMAI24!$A$6:$AU$38,45,0)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VLOOKUP($A27,[24]HISTOMAI24!$A$6:$AU$38,7,0)</f>
        <v>0</v>
      </c>
      <c r="Q27" s="36">
        <f>VLOOKUP($A27,[24]HISTOMAI24!$A$6:$AU$38,23,0)</f>
        <v>0</v>
      </c>
      <c r="R27" s="36">
        <f>VLOOKUP($A27,[24]HISTOMAI24!$A$6:$AU$38,46,0)</f>
        <v>0</v>
      </c>
      <c r="S27" s="36">
        <f>VLOOKUP($A27,[24]HISTOMAI24!$A$6:$AU$38,26,0)</f>
        <v>0</v>
      </c>
      <c r="T27" s="36">
        <f>VLOOKUP($A27,[24]HISTOMAI24!$A$6:$BG$38,58,0)</f>
        <v>0</v>
      </c>
      <c r="U27" s="36">
        <f>VLOOKUP($A27,[24]HISTOMAI24!$A$6:$AU$38,28,0)</f>
        <v>0</v>
      </c>
      <c r="V27" s="36">
        <f>VLOOKUP($A27,[24]HISTOMAI24!$A$6:$AU$38,19,0)</f>
        <v>0</v>
      </c>
      <c r="W27" s="36">
        <f>VLOOKUP($A27,[24]HISTOMAI24!$A$6:$AU$38,20,0)</f>
        <v>0</v>
      </c>
      <c r="X27" s="36">
        <f>VLOOKUP($A27,[24]HISTOMAI24!$A$6:$AU$38,27,0)</f>
        <v>0</v>
      </c>
      <c r="Y27" s="36">
        <f>VLOOKUP($A27,[24]HISTOMAI24!$A$6:$BM$38,33,0)</f>
        <v>0</v>
      </c>
      <c r="Z27" s="36">
        <f>VLOOKUP($A27,[24]HISTOMAI24!$A$6:$BM$38,65,0)</f>
        <v>0</v>
      </c>
      <c r="AA27" s="36"/>
      <c r="AB27" s="36">
        <f>VLOOKUP($A27,[24]HISTOMAI24!$A$6:$AU$38,43,0)</f>
        <v>0</v>
      </c>
      <c r="AC27" s="36">
        <f>VLOOKUP($A27,[24]HISTOMAI24!$A$6:$AU$38,44,0)</f>
        <v>0</v>
      </c>
      <c r="AD27" s="36">
        <f>VLOOKUP($A27,[24]HISTOMAI24!$A$6:$AU$38,47,0)</f>
        <v>0</v>
      </c>
      <c r="AE27" s="36">
        <f>VLOOKUP(A27,[24]HISTOMAI24!$A$6:$BB$38,54,0)</f>
        <v>0</v>
      </c>
      <c r="AF27" s="36">
        <f>VLOOKUP($A27,[24]HISTOMAI24!$A$6:$CA$38,60,0)</f>
        <v>0</v>
      </c>
      <c r="AG27" s="36">
        <f>VLOOKUP($A27,[24]HISTOMAI24!$A$6:$CA$38,61,0)</f>
        <v>0</v>
      </c>
      <c r="AH27" s="36">
        <f>VLOOKUP($A27,[24]HISTOMAI24!$A$6:$CA$38,62,0)</f>
        <v>0</v>
      </c>
      <c r="AI27" s="36">
        <f>VLOOKUP($A27,[24]HISTOMAI24!$A$6:$CA$38,63,0)</f>
        <v>0</v>
      </c>
      <c r="AJ27" s="36">
        <f>VLOOKUP($A27,[24]HISTOMAI24!$A$6:$CA$38,64,0)</f>
        <v>0</v>
      </c>
      <c r="AK27" s="36">
        <f>VLOOKUP($A27,[24]HISTOMAI24!$A$6:$CA$38,65,0)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MVTAVRIL24!I28-E28+L28</f>
        <v>764176.12513194664</v>
      </c>
      <c r="G28" s="5">
        <f>IF(MVTAVRIL24!I28+L28&gt;700000,(MVTAVRIL24!I28-E28+L28),0)</f>
        <v>764176.12513194664</v>
      </c>
      <c r="H28" s="36">
        <f t="shared" si="0"/>
        <v>0</v>
      </c>
      <c r="I28" s="6">
        <f t="shared" si="2"/>
        <v>764176.12513194664</v>
      </c>
      <c r="J28" s="36">
        <f>VLOOKUP($A28,[24]HISTOMAI24!$A$6:$AQ$42,22,0)</f>
        <v>0</v>
      </c>
      <c r="K28" s="36">
        <f>VLOOKUP($A28,[24]HISTOMAI24!$A$6:$AU$38,45,0)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VLOOKUP($A28,[24]HISTOMAI24!$A$6:$AU$38,7,0)</f>
        <v>0</v>
      </c>
      <c r="Q28" s="36">
        <f>VLOOKUP($A28,[24]HISTOMAI24!$A$6:$AU$38,23,0)</f>
        <v>0</v>
      </c>
      <c r="R28" s="36">
        <f>VLOOKUP($A28,[24]HISTOMAI24!$A$6:$AU$38,46,0)</f>
        <v>0</v>
      </c>
      <c r="S28" s="36">
        <f>VLOOKUP($A28,[24]HISTOMAI24!$A$6:$AU$38,26,0)</f>
        <v>0</v>
      </c>
      <c r="T28" s="36">
        <f>VLOOKUP($A28,[24]HISTOMAI24!$A$6:$BG$38,58,0)</f>
        <v>0</v>
      </c>
      <c r="U28" s="36">
        <f>VLOOKUP($A28,[24]HISTOMAI24!$A$6:$AU$38,28,0)</f>
        <v>0</v>
      </c>
      <c r="V28" s="36">
        <f>VLOOKUP($A28,[24]HISTOMAI24!$A$6:$AU$38,19,0)</f>
        <v>0</v>
      </c>
      <c r="W28" s="36">
        <f>VLOOKUP($A28,[24]HISTOMAI24!$A$6:$AU$38,20,0)</f>
        <v>0</v>
      </c>
      <c r="X28" s="36">
        <f>VLOOKUP($A28,[24]HISTOMAI24!$A$6:$AU$38,27,0)</f>
        <v>0</v>
      </c>
      <c r="Y28" s="36">
        <f>VLOOKUP($A28,[24]HISTOMAI24!$A$6:$BM$38,33,0)</f>
        <v>0</v>
      </c>
      <c r="Z28" s="36">
        <f>VLOOKUP($A28,[24]HISTOMAI24!$A$6:$BM$38,65,0)</f>
        <v>0</v>
      </c>
      <c r="AA28" s="36"/>
      <c r="AB28" s="36">
        <f>VLOOKUP($A28,[24]HISTOMAI24!$A$6:$AU$38,43,0)</f>
        <v>0</v>
      </c>
      <c r="AC28" s="36">
        <f>VLOOKUP($A28,[24]HISTOMAI24!$A$6:$AU$38,44,0)</f>
        <v>0</v>
      </c>
      <c r="AD28" s="36">
        <f>VLOOKUP($A28,[24]HISTOMAI24!$A$6:$AU$38,47,0)</f>
        <v>0</v>
      </c>
      <c r="AE28" s="36">
        <f>VLOOKUP(A28,[24]HISTOMAI24!$A$6:$BB$38,54,0)</f>
        <v>0</v>
      </c>
      <c r="AF28" s="36">
        <f>VLOOKUP($A28,[24]HISTOMAI24!$A$6:$CA$38,60,0)</f>
        <v>0</v>
      </c>
      <c r="AG28" s="36">
        <f>VLOOKUP($A28,[24]HISTOMAI24!$A$6:$CA$38,61,0)</f>
        <v>0</v>
      </c>
      <c r="AH28" s="36">
        <f>VLOOKUP($A28,[24]HISTOMAI24!$A$6:$CA$38,62,0)</f>
        <v>0</v>
      </c>
      <c r="AI28" s="36">
        <f>VLOOKUP($A28,[24]HISTOMAI24!$A$6:$CA$38,63,0)</f>
        <v>0</v>
      </c>
      <c r="AJ28" s="36">
        <f>VLOOKUP($A28,[24]HISTOMAI24!$A$6:$CA$38,64,0)</f>
        <v>0</v>
      </c>
      <c r="AK28" s="36">
        <f>VLOOKUP($A28,[24]HISTOMAI24!$A$6:$CA$38,65,0)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MVTAVRIL24!I29-E29+L29</f>
        <v>889151.34423741512</v>
      </c>
      <c r="G29" s="5">
        <f>IF(MVTAVRIL24!I29+L29&gt;700000,(MVTAVRIL24!I29-E29+L29),0)</f>
        <v>889151.34423741512</v>
      </c>
      <c r="H29" s="36">
        <f t="shared" si="0"/>
        <v>0</v>
      </c>
      <c r="I29" s="6">
        <f t="shared" si="2"/>
        <v>889151.34423741512</v>
      </c>
      <c r="J29" s="36">
        <f>VLOOKUP($A29,[24]HISTOMAI24!$A$6:$AQ$42,22,0)</f>
        <v>0</v>
      </c>
      <c r="K29" s="36">
        <f>VLOOKUP($A29,[24]HISTOMAI24!$A$6:$AU$38,45,0)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VLOOKUP($A29,[24]HISTOMAI24!$A$6:$AU$38,7,0)</f>
        <v>0</v>
      </c>
      <c r="Q29" s="36">
        <f>VLOOKUP($A29,[24]HISTOMAI24!$A$6:$AU$38,23,0)</f>
        <v>0</v>
      </c>
      <c r="R29" s="36">
        <f>VLOOKUP($A29,[24]HISTOMAI24!$A$6:$AU$38,46,0)</f>
        <v>0</v>
      </c>
      <c r="S29" s="36">
        <f>VLOOKUP($A29,[24]HISTOMAI24!$A$6:$AU$38,26,0)</f>
        <v>0</v>
      </c>
      <c r="T29" s="36">
        <f>VLOOKUP($A29,[24]HISTOMAI24!$A$6:$BG$38,58,0)</f>
        <v>0</v>
      </c>
      <c r="U29" s="36">
        <f>VLOOKUP($A29,[24]HISTOMAI24!$A$6:$AU$38,28,0)</f>
        <v>0</v>
      </c>
      <c r="V29" s="36">
        <f>VLOOKUP($A29,[24]HISTOMAI24!$A$6:$AU$38,19,0)</f>
        <v>0</v>
      </c>
      <c r="W29" s="36">
        <f>VLOOKUP($A29,[24]HISTOMAI24!$A$6:$AU$38,20,0)</f>
        <v>0</v>
      </c>
      <c r="X29" s="36">
        <f>VLOOKUP($A29,[24]HISTOMAI24!$A$6:$AU$38,27,0)</f>
        <v>0</v>
      </c>
      <c r="Y29" s="36">
        <f>VLOOKUP($A29,[24]HISTOMAI24!$A$6:$BM$38,33,0)</f>
        <v>0</v>
      </c>
      <c r="Z29" s="36">
        <f>VLOOKUP($A29,[24]HISTOMAI24!$A$6:$BM$38,65,0)</f>
        <v>0</v>
      </c>
      <c r="AA29" s="36"/>
      <c r="AB29" s="36">
        <f>VLOOKUP($A29,[24]HISTOMAI24!$A$6:$AU$38,43,0)</f>
        <v>0</v>
      </c>
      <c r="AC29" s="36">
        <f>VLOOKUP($A29,[24]HISTOMAI24!$A$6:$AU$38,44,0)</f>
        <v>0</v>
      </c>
      <c r="AD29" s="36">
        <f>VLOOKUP($A29,[24]HISTOMAI24!$A$6:$AU$38,47,0)</f>
        <v>0</v>
      </c>
      <c r="AE29" s="36">
        <f>VLOOKUP(A29,[24]HISTOMAI24!$A$6:$BB$38,54,0)</f>
        <v>0</v>
      </c>
      <c r="AF29" s="36">
        <f>VLOOKUP($A29,[24]HISTOMAI24!$A$6:$CA$38,60,0)</f>
        <v>0</v>
      </c>
      <c r="AG29" s="36">
        <f>VLOOKUP($A29,[24]HISTOMAI24!$A$6:$CA$38,61,0)</f>
        <v>0</v>
      </c>
      <c r="AH29" s="36">
        <f>VLOOKUP($A29,[24]HISTOMAI24!$A$6:$CA$38,62,0)</f>
        <v>0</v>
      </c>
      <c r="AI29" s="36">
        <f>VLOOKUP($A29,[24]HISTOMAI24!$A$6:$CA$38,63,0)</f>
        <v>0</v>
      </c>
      <c r="AJ29" s="36">
        <f>VLOOKUP($A29,[24]HISTOMAI24!$A$6:$CA$38,64,0)</f>
        <v>0</v>
      </c>
      <c r="AK29" s="36">
        <f>VLOOKUP($A29,[24]HISTOMAI24!$A$6:$CA$38,65,0)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MVTAVRIL24!I30-E30+L30</f>
        <v>793786.81046782702</v>
      </c>
      <c r="G30" s="5">
        <f>IF(MVTAVRIL24!I30+L30&gt;700000,(MVTAVRIL24!I30-E30+L30),0)</f>
        <v>793786.81046782702</v>
      </c>
      <c r="H30" s="36">
        <f t="shared" si="0"/>
        <v>0</v>
      </c>
      <c r="I30" s="6">
        <f t="shared" si="2"/>
        <v>793786.81046782702</v>
      </c>
      <c r="J30" s="36">
        <f>VLOOKUP($A30,[24]HISTOMAI24!$A$6:$AQ$42,22,0)</f>
        <v>0</v>
      </c>
      <c r="K30" s="36">
        <f>VLOOKUP($A30,[24]HISTOMAI24!$A$6:$AU$38,45,0)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VLOOKUP($A30,[24]HISTOMAI24!$A$6:$AU$38,7,0)</f>
        <v>0</v>
      </c>
      <c r="Q30" s="36">
        <f>VLOOKUP($A30,[24]HISTOMAI24!$A$6:$AU$38,23,0)</f>
        <v>0</v>
      </c>
      <c r="R30" s="36">
        <f>VLOOKUP($A30,[24]HISTOMAI24!$A$6:$AU$38,46,0)</f>
        <v>0</v>
      </c>
      <c r="S30" s="36">
        <f>VLOOKUP($A30,[24]HISTOMAI24!$A$6:$AU$38,26,0)</f>
        <v>0</v>
      </c>
      <c r="T30" s="36">
        <f>VLOOKUP($A30,[24]HISTOMAI24!$A$6:$BG$38,58,0)</f>
        <v>0</v>
      </c>
      <c r="U30" s="36">
        <f>VLOOKUP($A30,[24]HISTOMAI24!$A$6:$AU$38,28,0)</f>
        <v>0</v>
      </c>
      <c r="V30" s="36">
        <f>VLOOKUP($A30,[24]HISTOMAI24!$A$6:$AU$38,19,0)</f>
        <v>0</v>
      </c>
      <c r="W30" s="36">
        <f>VLOOKUP($A30,[24]HISTOMAI24!$A$6:$AU$38,20,0)</f>
        <v>0</v>
      </c>
      <c r="X30" s="36">
        <f>VLOOKUP($A30,[24]HISTOMAI24!$A$6:$AU$38,27,0)</f>
        <v>0</v>
      </c>
      <c r="Y30" s="36">
        <f>VLOOKUP($A30,[24]HISTOMAI24!$A$6:$BM$38,33,0)</f>
        <v>0</v>
      </c>
      <c r="Z30" s="36">
        <f>VLOOKUP($A30,[24]HISTOMAI24!$A$6:$BM$38,65,0)</f>
        <v>0</v>
      </c>
      <c r="AA30" s="36"/>
      <c r="AB30" s="36">
        <f>VLOOKUP($A30,[24]HISTOMAI24!$A$6:$AU$38,43,0)</f>
        <v>0</v>
      </c>
      <c r="AC30" s="36">
        <f>VLOOKUP($A30,[24]HISTOMAI24!$A$6:$AU$38,44,0)</f>
        <v>0</v>
      </c>
      <c r="AD30" s="36">
        <f>VLOOKUP($A30,[24]HISTOMAI24!$A$6:$AU$38,47,0)</f>
        <v>0</v>
      </c>
      <c r="AE30" s="36">
        <f>VLOOKUP(A30,[24]HISTOMAI24!$A$6:$BB$38,54,0)</f>
        <v>0</v>
      </c>
      <c r="AF30" s="36">
        <f>VLOOKUP($A30,[24]HISTOMAI24!$A$6:$CA$38,60,0)</f>
        <v>0</v>
      </c>
      <c r="AG30" s="36">
        <f>VLOOKUP($A30,[24]HISTOMAI24!$A$6:$CA$38,61,0)</f>
        <v>0</v>
      </c>
      <c r="AH30" s="36">
        <f>VLOOKUP($A30,[24]HISTOMAI24!$A$6:$CA$38,62,0)</f>
        <v>0</v>
      </c>
      <c r="AI30" s="36">
        <f>VLOOKUP($A30,[24]HISTOMAI24!$A$6:$CA$38,63,0)</f>
        <v>0</v>
      </c>
      <c r="AJ30" s="36">
        <f>VLOOKUP($A30,[24]HISTOMAI24!$A$6:$CA$38,64,0)</f>
        <v>0</v>
      </c>
      <c r="AK30" s="36">
        <f>VLOOKUP($A30,[24]HISTOMAI24!$A$6:$CA$38,65,0)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MVTAVRIL24!I31-E31+L31</f>
        <v>953903.03114813485</v>
      </c>
      <c r="G31" s="5">
        <f>IF(MVTAVRIL24!I31+L31&gt;700000,(MVTAVRIL24!I31-E31+L31),0)</f>
        <v>953903.03114813485</v>
      </c>
      <c r="H31" s="36">
        <f t="shared" si="0"/>
        <v>0</v>
      </c>
      <c r="I31" s="6">
        <f t="shared" si="2"/>
        <v>953903.03114813485</v>
      </c>
      <c r="J31" s="36">
        <f>VLOOKUP($A31,[24]HISTOMAI24!$A$6:$AQ$42,22,0)</f>
        <v>0</v>
      </c>
      <c r="K31" s="36">
        <f>VLOOKUP($A31,[24]HISTOMAI24!$A$6:$AU$38,45,0)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VLOOKUP($A31,[24]HISTOMAI24!$A$6:$AU$38,7,0)</f>
        <v>0</v>
      </c>
      <c r="Q31" s="36">
        <f>VLOOKUP($A31,[24]HISTOMAI24!$A$6:$AU$38,23,0)</f>
        <v>0</v>
      </c>
      <c r="R31" s="36">
        <f>VLOOKUP($A31,[24]HISTOMAI24!$A$6:$AU$38,46,0)</f>
        <v>0</v>
      </c>
      <c r="S31" s="36">
        <f>VLOOKUP($A31,[24]HISTOMAI24!$A$6:$AU$38,26,0)</f>
        <v>0</v>
      </c>
      <c r="T31" s="36">
        <f>VLOOKUP($A31,[24]HISTOMAI24!$A$6:$BG$38,58,0)</f>
        <v>0</v>
      </c>
      <c r="U31" s="36">
        <f>VLOOKUP($A31,[24]HISTOMAI24!$A$6:$AU$38,28,0)</f>
        <v>0</v>
      </c>
      <c r="V31" s="36">
        <f>VLOOKUP($A31,[24]HISTOMAI24!$A$6:$AU$38,19,0)</f>
        <v>0</v>
      </c>
      <c r="W31" s="36">
        <f>VLOOKUP($A31,[24]HISTOMAI24!$A$6:$AU$38,20,0)</f>
        <v>0</v>
      </c>
      <c r="X31" s="36">
        <f>VLOOKUP($A31,[24]HISTOMAI24!$A$6:$AU$38,27,0)</f>
        <v>0</v>
      </c>
      <c r="Y31" s="36">
        <f>VLOOKUP($A31,[24]HISTOMAI24!$A$6:$BM$38,33,0)</f>
        <v>0</v>
      </c>
      <c r="Z31" s="36">
        <f>VLOOKUP($A31,[24]HISTOMAI24!$A$6:$BM$38,65,0)</f>
        <v>0</v>
      </c>
      <c r="AA31" s="36"/>
      <c r="AB31" s="36">
        <f>VLOOKUP($A31,[24]HISTOMAI24!$A$6:$AU$38,43,0)</f>
        <v>0</v>
      </c>
      <c r="AC31" s="36">
        <f>VLOOKUP($A31,[24]HISTOMAI24!$A$6:$AU$38,44,0)</f>
        <v>0</v>
      </c>
      <c r="AD31" s="36">
        <f>VLOOKUP($A31,[24]HISTOMAI24!$A$6:$AU$38,47,0)</f>
        <v>0</v>
      </c>
      <c r="AE31" s="36">
        <f>VLOOKUP(A31,[24]HISTOMAI24!$A$6:$BB$38,54,0)</f>
        <v>0</v>
      </c>
      <c r="AF31" s="36">
        <f>VLOOKUP($A31,[24]HISTOMAI24!$A$6:$CA$38,60,0)</f>
        <v>0</v>
      </c>
      <c r="AG31" s="36">
        <f>VLOOKUP($A31,[24]HISTOMAI24!$A$6:$CA$38,61,0)</f>
        <v>0</v>
      </c>
      <c r="AH31" s="36">
        <f>VLOOKUP($A31,[24]HISTOMAI24!$A$6:$CA$38,62,0)</f>
        <v>0</v>
      </c>
      <c r="AI31" s="36">
        <f>VLOOKUP($A31,[24]HISTOMAI24!$A$6:$CA$38,63,0)</f>
        <v>0</v>
      </c>
      <c r="AJ31" s="36">
        <f>VLOOKUP($A31,[24]HISTOMAI24!$A$6:$CA$38,64,0)</f>
        <v>0</v>
      </c>
      <c r="AK31" s="36">
        <f>VLOOKUP($A31,[24]HISTOMAI24!$A$6:$CA$38,65,0)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MVTAVRIL24!I32-E32+L32</f>
        <v>843243.98131057119</v>
      </c>
      <c r="G32" s="5">
        <f>IF(MVTAVRIL24!I32+L32&gt;700000,(MVTAVRIL24!I32-E32+L32),0)</f>
        <v>843243.98131057119</v>
      </c>
      <c r="H32" s="36">
        <f t="shared" si="0"/>
        <v>0</v>
      </c>
      <c r="I32" s="6">
        <f t="shared" si="2"/>
        <v>843243.98131057119</v>
      </c>
      <c r="J32" s="36">
        <f>VLOOKUP($A32,[24]HISTOMAI24!$A$6:$AQ$42,22,0)</f>
        <v>0</v>
      </c>
      <c r="K32" s="36">
        <f>VLOOKUP($A32,[24]HISTOMAI24!$A$6:$AU$38,45,0)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VLOOKUP($A32,[24]HISTOMAI24!$A$6:$AU$38,7,0)</f>
        <v>0</v>
      </c>
      <c r="Q32" s="36">
        <f>VLOOKUP($A32,[24]HISTOMAI24!$A$6:$AU$38,23,0)</f>
        <v>0</v>
      </c>
      <c r="R32" s="36">
        <f>VLOOKUP($A32,[24]HISTOMAI24!$A$6:$AU$38,46,0)</f>
        <v>0</v>
      </c>
      <c r="S32" s="36">
        <f>VLOOKUP($A32,[24]HISTOMAI24!$A$6:$AU$38,26,0)</f>
        <v>0</v>
      </c>
      <c r="T32" s="36">
        <f>VLOOKUP($A32,[24]HISTOMAI24!$A$6:$BG$38,58,0)</f>
        <v>0</v>
      </c>
      <c r="U32" s="36">
        <f>VLOOKUP($A32,[24]HISTOMAI24!$A$6:$AU$38,28,0)</f>
        <v>0</v>
      </c>
      <c r="V32" s="36">
        <f>VLOOKUP($A32,[24]HISTOMAI24!$A$6:$AU$38,19,0)</f>
        <v>0</v>
      </c>
      <c r="W32" s="36">
        <f>VLOOKUP($A32,[24]HISTOMAI24!$A$6:$AU$38,20,0)</f>
        <v>0</v>
      </c>
      <c r="X32" s="36">
        <f>VLOOKUP($A32,[24]HISTOMAI24!$A$6:$AU$38,27,0)</f>
        <v>0</v>
      </c>
      <c r="Y32" s="36">
        <f>VLOOKUP($A32,[24]HISTOMAI24!$A$6:$BM$38,33,0)</f>
        <v>0</v>
      </c>
      <c r="Z32" s="36">
        <f>VLOOKUP($A32,[24]HISTOMAI24!$A$6:$BM$38,65,0)</f>
        <v>0</v>
      </c>
      <c r="AA32" s="36"/>
      <c r="AB32" s="36">
        <f>VLOOKUP($A32,[24]HISTOMAI24!$A$6:$AU$38,43,0)</f>
        <v>0</v>
      </c>
      <c r="AC32" s="36">
        <f>VLOOKUP($A32,[24]HISTOMAI24!$A$6:$AU$38,44,0)</f>
        <v>0</v>
      </c>
      <c r="AD32" s="36">
        <f>VLOOKUP($A32,[24]HISTOMAI24!$A$6:$AU$38,47,0)</f>
        <v>0</v>
      </c>
      <c r="AE32" s="36">
        <f>VLOOKUP(A32,[24]HISTOMAI24!$A$6:$BB$38,54,0)</f>
        <v>0</v>
      </c>
      <c r="AF32" s="36">
        <f>VLOOKUP($A32,[24]HISTOMAI24!$A$6:$CA$38,60,0)</f>
        <v>0</v>
      </c>
      <c r="AG32" s="36">
        <f>VLOOKUP($A32,[24]HISTOMAI24!$A$6:$CA$38,61,0)</f>
        <v>0</v>
      </c>
      <c r="AH32" s="36">
        <f>VLOOKUP($A32,[24]HISTOMAI24!$A$6:$CA$38,62,0)</f>
        <v>0</v>
      </c>
      <c r="AI32" s="36">
        <f>VLOOKUP($A32,[24]HISTOMAI24!$A$6:$CA$38,63,0)</f>
        <v>0</v>
      </c>
      <c r="AJ32" s="36">
        <f>VLOOKUP($A32,[24]HISTOMAI24!$A$6:$CA$38,64,0)</f>
        <v>0</v>
      </c>
      <c r="AK32" s="36">
        <f>VLOOKUP($A32,[24]HISTOMAI24!$A$6:$CA$38,65,0)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MVTAVRIL24!I33-E33+L33</f>
        <v>843552.64928596013</v>
      </c>
      <c r="G33" s="5">
        <f>IF(MVTAVRIL24!I33+L33&gt;700000,(MVTAVRIL24!I33-E33+L33),0)</f>
        <v>843552.64928596013</v>
      </c>
      <c r="H33" s="36">
        <f t="shared" si="0"/>
        <v>0</v>
      </c>
      <c r="I33" s="6">
        <f t="shared" si="2"/>
        <v>843552.64928596013</v>
      </c>
      <c r="J33" s="36">
        <f>VLOOKUP($A33,[24]HISTOMAI24!$A$6:$AQ$42,22,0)</f>
        <v>0</v>
      </c>
      <c r="K33" s="36">
        <f>VLOOKUP($A33,[24]HISTOMAI24!$A$6:$AU$38,45,0)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VLOOKUP($A33,[24]HISTOMAI24!$A$6:$AU$38,7,0)</f>
        <v>0</v>
      </c>
      <c r="Q33" s="36">
        <f>VLOOKUP($A33,[24]HISTOMAI24!$A$6:$AU$38,23,0)</f>
        <v>0</v>
      </c>
      <c r="R33" s="36">
        <f>VLOOKUP($A33,[24]HISTOMAI24!$A$6:$AU$38,46,0)</f>
        <v>0</v>
      </c>
      <c r="S33" s="36">
        <f>VLOOKUP($A33,[24]HISTOMAI24!$A$6:$AU$38,26,0)</f>
        <v>0</v>
      </c>
      <c r="T33" s="36">
        <f>VLOOKUP($A33,[24]HISTOMAI24!$A$6:$BG$38,58,0)</f>
        <v>0</v>
      </c>
      <c r="U33" s="36">
        <f>VLOOKUP($A33,[24]HISTOMAI24!$A$6:$AU$38,28,0)</f>
        <v>0</v>
      </c>
      <c r="V33" s="36">
        <f>VLOOKUP($A33,[24]HISTOMAI24!$A$6:$AU$38,19,0)</f>
        <v>0</v>
      </c>
      <c r="W33" s="36">
        <f>VLOOKUP($A33,[24]HISTOMAI24!$A$6:$AU$38,20,0)</f>
        <v>0</v>
      </c>
      <c r="X33" s="36">
        <f>VLOOKUP($A33,[24]HISTOMAI24!$A$6:$AU$38,27,0)</f>
        <v>0</v>
      </c>
      <c r="Y33" s="36">
        <f>VLOOKUP($A33,[24]HISTOMAI24!$A$6:$BM$38,33,0)</f>
        <v>0</v>
      </c>
      <c r="Z33" s="36">
        <f>VLOOKUP($A33,[24]HISTOMAI24!$A$6:$BM$38,65,0)</f>
        <v>0</v>
      </c>
      <c r="AA33" s="36"/>
      <c r="AB33" s="36">
        <f>VLOOKUP($A33,[24]HISTOMAI24!$A$6:$AU$38,43,0)</f>
        <v>0</v>
      </c>
      <c r="AC33" s="36">
        <f>VLOOKUP($A33,[24]HISTOMAI24!$A$6:$AU$38,44,0)</f>
        <v>0</v>
      </c>
      <c r="AD33" s="36">
        <f>VLOOKUP($A33,[24]HISTOMAI24!$A$6:$AU$38,47,0)</f>
        <v>0</v>
      </c>
      <c r="AE33" s="36">
        <f>VLOOKUP(A33,[24]HISTOMAI24!$A$6:$BB$38,54,0)</f>
        <v>0</v>
      </c>
      <c r="AF33" s="36">
        <f>VLOOKUP($A33,[24]HISTOMAI24!$A$6:$CA$38,60,0)</f>
        <v>0</v>
      </c>
      <c r="AG33" s="36">
        <f>VLOOKUP($A33,[24]HISTOMAI24!$A$6:$CA$38,61,0)</f>
        <v>0</v>
      </c>
      <c r="AH33" s="36">
        <f>VLOOKUP($A33,[24]HISTOMAI24!$A$6:$CA$38,62,0)</f>
        <v>0</v>
      </c>
      <c r="AI33" s="36">
        <f>VLOOKUP($A33,[24]HISTOMAI24!$A$6:$CA$38,63,0)</f>
        <v>0</v>
      </c>
      <c r="AJ33" s="36">
        <f>VLOOKUP($A33,[24]HISTOMAI24!$A$6:$CA$38,64,0)</f>
        <v>0</v>
      </c>
      <c r="AK33" s="36">
        <f>VLOOKUP($A33,[24]HISTOMAI24!$A$6:$CA$38,65,0)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MVTAVRIL24!I34-E34+L34</f>
        <v>500000</v>
      </c>
      <c r="G34" s="5">
        <f>IF(MVTAVRIL24!I34+L34&gt;700000,(MVTAVRIL24!I34-E34+L34),0)</f>
        <v>0</v>
      </c>
      <c r="H34" s="36">
        <f t="shared" si="0"/>
        <v>0</v>
      </c>
      <c r="I34" s="6">
        <f t="shared" si="2"/>
        <v>500000</v>
      </c>
      <c r="J34" s="36">
        <f>VLOOKUP($A34,[24]HISTOMAI24!$A$6:$AQ$42,22,0)</f>
        <v>0</v>
      </c>
      <c r="K34" s="36">
        <f>VLOOKUP($A34,[24]HISTOMAI24!$A$6:$AU$38,45,0)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VLOOKUP($A34,[24]HISTOMAI24!$A$6:$AU$38,7,0)</f>
        <v>0</v>
      </c>
      <c r="Q34" s="36">
        <f>VLOOKUP($A34,[24]HISTOMAI24!$A$6:$AU$38,23,0)</f>
        <v>0</v>
      </c>
      <c r="R34" s="36">
        <f>VLOOKUP($A34,[24]HISTOMAI24!$A$6:$AU$38,46,0)</f>
        <v>0</v>
      </c>
      <c r="S34" s="36">
        <f>VLOOKUP($A34,[24]HISTOMAI24!$A$6:$AU$38,26,0)</f>
        <v>0</v>
      </c>
      <c r="T34" s="36">
        <f>VLOOKUP($A34,[24]HISTOMAI24!$A$6:$BG$38,58,0)</f>
        <v>0</v>
      </c>
      <c r="U34" s="36">
        <f>VLOOKUP($A34,[24]HISTOMAI24!$A$6:$AU$38,28,0)</f>
        <v>0</v>
      </c>
      <c r="V34" s="36">
        <f>VLOOKUP($A34,[24]HISTOMAI24!$A$6:$AU$38,19,0)</f>
        <v>0</v>
      </c>
      <c r="W34" s="36">
        <f>VLOOKUP($A34,[24]HISTOMAI24!$A$6:$AU$38,20,0)</f>
        <v>0</v>
      </c>
      <c r="X34" s="36">
        <f>VLOOKUP($A34,[24]HISTOMAI24!$A$6:$AU$38,27,0)</f>
        <v>0</v>
      </c>
      <c r="Y34" s="36">
        <f>VLOOKUP($A34,[24]HISTOMAI24!$A$6:$BM$38,33,0)</f>
        <v>0</v>
      </c>
      <c r="Z34" s="36">
        <f>VLOOKUP($A34,[24]HISTOMAI24!$A$6:$BM$38,65,0)</f>
        <v>0</v>
      </c>
      <c r="AA34" s="36"/>
      <c r="AB34" s="36">
        <f>VLOOKUP($A34,[24]HISTOMAI24!$A$6:$AU$38,43,0)</f>
        <v>0</v>
      </c>
      <c r="AC34" s="36">
        <f>VLOOKUP($A34,[24]HISTOMAI24!$A$6:$AU$38,44,0)</f>
        <v>0</v>
      </c>
      <c r="AD34" s="36">
        <f>VLOOKUP($A34,[24]HISTOMAI24!$A$6:$AU$38,47,0)</f>
        <v>0</v>
      </c>
      <c r="AE34" s="36">
        <f>VLOOKUP(A34,[24]HISTOMAI24!$A$6:$BB$38,54,0)</f>
        <v>0</v>
      </c>
      <c r="AF34" s="36">
        <f>VLOOKUP($A34,[24]HISTOMAI24!$A$6:$CA$38,60,0)</f>
        <v>0</v>
      </c>
      <c r="AG34" s="36">
        <f>VLOOKUP($A34,[24]HISTOMAI24!$A$6:$CA$38,61,0)</f>
        <v>0</v>
      </c>
      <c r="AH34" s="36">
        <f>VLOOKUP($A34,[24]HISTOMAI24!$A$6:$CA$38,62,0)</f>
        <v>0</v>
      </c>
      <c r="AI34" s="36">
        <f>VLOOKUP($A34,[24]HISTOMAI24!$A$6:$CA$38,63,0)</f>
        <v>0</v>
      </c>
      <c r="AJ34" s="36">
        <f>VLOOKUP($A34,[24]HISTOMAI24!$A$6:$CA$38,64,0)</f>
        <v>0</v>
      </c>
      <c r="AK34" s="36">
        <f>VLOOKUP($A34,[24]HISTOMAI24!$A$6:$CA$38,65,0)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MVTAVRIL24!I35-E35+L35</f>
        <v>195000</v>
      </c>
      <c r="G35" s="5">
        <f>IF(MVTAVRIL24!I35+L35&gt;700000,(MVTAVRIL24!I35-E35+L35),0)</f>
        <v>0</v>
      </c>
      <c r="H35" s="36">
        <f t="shared" si="0"/>
        <v>0</v>
      </c>
      <c r="I35" s="6">
        <f t="shared" si="2"/>
        <v>195000</v>
      </c>
      <c r="J35" s="36">
        <f>VLOOKUP($A35,[24]HISTOMAI24!$A$6:$AQ$42,22,0)</f>
        <v>0</v>
      </c>
      <c r="K35" s="36">
        <f>VLOOKUP($A35,[24]HISTOMAI24!$A$6:$AU$38,45,0)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VLOOKUP($A35,[24]HISTOMAI24!$A$6:$AU$38,7,0)</f>
        <v>3000</v>
      </c>
      <c r="Q35" s="36">
        <f>VLOOKUP($A35,[24]HISTOMAI24!$A$6:$AU$38,23,0)</f>
        <v>0</v>
      </c>
      <c r="R35" s="36">
        <f>VLOOKUP($A35,[24]HISTOMAI24!$A$6:$AU$38,46,0)</f>
        <v>0</v>
      </c>
      <c r="S35" s="36">
        <f>VLOOKUP($A35,[24]HISTOMAI24!$A$6:$AU$38,26,0)</f>
        <v>0</v>
      </c>
      <c r="T35" s="36">
        <f>VLOOKUP($A35,[24]HISTOMAI24!$A$6:$BG$38,58,0)</f>
        <v>0</v>
      </c>
      <c r="U35" s="36">
        <f>VLOOKUP($A35,[24]HISTOMAI24!$A$6:$AU$38,28,0)</f>
        <v>0</v>
      </c>
      <c r="V35" s="36">
        <f>VLOOKUP($A35,[24]HISTOMAI24!$A$6:$AU$38,19,0)</f>
        <v>0</v>
      </c>
      <c r="W35" s="36">
        <f>VLOOKUP($A35,[24]HISTOMAI24!$A$6:$AU$38,20,0)</f>
        <v>0</v>
      </c>
      <c r="X35" s="36">
        <f>VLOOKUP($A35,[24]HISTOMAI24!$A$6:$AU$38,27,0)</f>
        <v>0</v>
      </c>
      <c r="Y35" s="36">
        <f>VLOOKUP($A35,[24]HISTOMAI24!$A$6:$BM$38,33,0)</f>
        <v>0</v>
      </c>
      <c r="Z35" s="36">
        <f>VLOOKUP($A35,[24]HISTOMAI24!$A$6:$BM$38,65,0)</f>
        <v>0</v>
      </c>
      <c r="AA35" s="36"/>
      <c r="AB35" s="36">
        <f>VLOOKUP($A35,[24]HISTOMAI24!$A$6:$AU$38,43,0)</f>
        <v>0</v>
      </c>
      <c r="AC35" s="36">
        <f>VLOOKUP($A35,[24]HISTOMAI24!$A$6:$AU$38,44,0)</f>
        <v>0</v>
      </c>
      <c r="AD35" s="36">
        <f>VLOOKUP($A35,[24]HISTOMAI24!$A$6:$AU$38,47,0)</f>
        <v>0</v>
      </c>
      <c r="AE35" s="36">
        <f>VLOOKUP(A35,[24]HISTOMAI24!$A$6:$BB$38,54,0)</f>
        <v>0</v>
      </c>
      <c r="AF35" s="36">
        <f>VLOOKUP($A35,[24]HISTOMAI24!$A$6:$CA$38,60,0)</f>
        <v>0</v>
      </c>
      <c r="AG35" s="36">
        <f>VLOOKUP($A35,[24]HISTOMAI24!$A$6:$CA$38,61,0)</f>
        <v>0</v>
      </c>
      <c r="AH35" s="36">
        <f>VLOOKUP($A35,[24]HISTOMAI24!$A$6:$CA$38,62,0)</f>
        <v>0</v>
      </c>
      <c r="AI35" s="36">
        <f>VLOOKUP($A35,[24]HISTOMAI24!$A$6:$CA$38,63,0)</f>
        <v>0</v>
      </c>
      <c r="AJ35" s="36">
        <f>VLOOKUP($A35,[24]HISTOMAI24!$A$6:$CA$38,64,0)</f>
        <v>0</v>
      </c>
      <c r="AK35" s="36">
        <f>VLOOKUP($A35,[24]HISTOMAI24!$A$6:$CA$38,65,0)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MVTAVRIL24!I36-E36+L36</f>
        <v>880599.08181867818</v>
      </c>
      <c r="G36" s="5">
        <f>IF(MVTAVRIL24!I36+L36&gt;700000,(MVTAVRIL24!I36-E36+L36),0)</f>
        <v>880599.08181867818</v>
      </c>
      <c r="H36" s="36">
        <f t="shared" si="0"/>
        <v>0</v>
      </c>
      <c r="I36" s="6">
        <f t="shared" si="2"/>
        <v>880599.08181867818</v>
      </c>
      <c r="J36" s="36">
        <f>VLOOKUP($A36,[24]HISTOMAI24!$A$6:$AQ$42,22,0)</f>
        <v>0</v>
      </c>
      <c r="K36" s="36">
        <f>VLOOKUP($A36,[24]HISTOMAI24!$A$6:$AU$38,45,0)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VLOOKUP($A36,[24]HISTOMAI24!$A$6:$AU$38,7,0)</f>
        <v>0</v>
      </c>
      <c r="Q36" s="36">
        <f>VLOOKUP($A36,[24]HISTOMAI24!$A$6:$AU$38,23,0)</f>
        <v>0</v>
      </c>
      <c r="R36" s="36">
        <f>VLOOKUP($A36,[24]HISTOMAI24!$A$6:$AU$38,46,0)</f>
        <v>0</v>
      </c>
      <c r="S36" s="36">
        <f>VLOOKUP($A36,[24]HISTOMAI24!$A$6:$AU$38,26,0)</f>
        <v>0</v>
      </c>
      <c r="T36" s="36">
        <f>VLOOKUP($A36,[24]HISTOMAI24!$A$6:$BG$38,58,0)</f>
        <v>0</v>
      </c>
      <c r="U36" s="36">
        <f>VLOOKUP($A36,[24]HISTOMAI24!$A$6:$AU$38,28,0)</f>
        <v>0</v>
      </c>
      <c r="V36" s="36">
        <f>VLOOKUP($A36,[24]HISTOMAI24!$A$6:$AU$38,19,0)</f>
        <v>0</v>
      </c>
      <c r="W36" s="36">
        <f>VLOOKUP($A36,[24]HISTOMAI24!$A$6:$AU$38,20,0)</f>
        <v>0</v>
      </c>
      <c r="X36" s="36">
        <f>VLOOKUP($A36,[24]HISTOMAI24!$A$6:$AU$38,27,0)</f>
        <v>0</v>
      </c>
      <c r="Y36" s="36">
        <f>VLOOKUP($A36,[24]HISTOMAI24!$A$6:$BM$38,33,0)</f>
        <v>0</v>
      </c>
      <c r="Z36" s="36">
        <f>VLOOKUP($A36,[24]HISTOMAI24!$A$6:$BM$38,65,0)</f>
        <v>0</v>
      </c>
      <c r="AA36" s="36"/>
      <c r="AB36" s="36">
        <f>VLOOKUP($A36,[24]HISTOMAI24!$A$6:$AU$38,43,0)</f>
        <v>0</v>
      </c>
      <c r="AC36" s="36">
        <f>VLOOKUP($A36,[24]HISTOMAI24!$A$6:$AU$38,44,0)</f>
        <v>0</v>
      </c>
      <c r="AD36" s="36">
        <f>VLOOKUP($A36,[24]HISTOMAI24!$A$6:$AU$38,47,0)</f>
        <v>0</v>
      </c>
      <c r="AE36" s="36">
        <f>VLOOKUP(A36,[24]HISTOMAI24!$A$6:$BB$38,54,0)</f>
        <v>0</v>
      </c>
      <c r="AF36" s="36">
        <f>VLOOKUP($A36,[24]HISTOMAI24!$A$6:$CA$38,60,0)</f>
        <v>0</v>
      </c>
      <c r="AG36" s="36">
        <f>VLOOKUP($A36,[24]HISTOMAI24!$A$6:$CA$38,61,0)</f>
        <v>0</v>
      </c>
      <c r="AH36" s="36">
        <f>VLOOKUP($A36,[24]HISTOMAI24!$A$6:$CA$38,62,0)</f>
        <v>0</v>
      </c>
      <c r="AI36" s="36">
        <f>VLOOKUP($A36,[24]HISTOMAI24!$A$6:$CA$38,63,0)</f>
        <v>0</v>
      </c>
      <c r="AJ36" s="36">
        <f>VLOOKUP($A36,[24]HISTOMAI24!$A$6:$CA$38,64,0)</f>
        <v>0</v>
      </c>
      <c r="AK36" s="36">
        <f>VLOOKUP($A36,[24]HISTOMAI24!$A$6:$CA$38,65,0)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MVTAVRIL24!I37-E37+L37</f>
        <v>1913400.7147676253</v>
      </c>
      <c r="G37" s="5">
        <f>IF(MVTAVRIL24!I37+L37&gt;700000,(MVTAVRIL24!I37-E37+L37),0)</f>
        <v>1913400.7147676253</v>
      </c>
      <c r="H37" s="36">
        <f t="shared" si="0"/>
        <v>0</v>
      </c>
      <c r="I37" s="6">
        <f t="shared" si="2"/>
        <v>1913400.7147676253</v>
      </c>
      <c r="J37" s="36">
        <f>VLOOKUP($A37,[24]HISTOMAI24!$A$6:$AQ$42,22,0)</f>
        <v>0</v>
      </c>
      <c r="K37" s="36">
        <f>VLOOKUP($A37,[24]HISTOMAI24!$A$6:$AU$38,45,0)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VLOOKUP($A37,[24]HISTOMAI24!$A$6:$AU$38,7,0)</f>
        <v>3000</v>
      </c>
      <c r="Q37" s="36">
        <f>VLOOKUP($A37,[24]HISTOMAI24!$A$6:$AU$38,23,0)</f>
        <v>0</v>
      </c>
      <c r="R37" s="36">
        <f>VLOOKUP($A37,[24]HISTOMAI24!$A$6:$AU$38,46,0)</f>
        <v>0</v>
      </c>
      <c r="S37" s="36">
        <f>VLOOKUP($A37,[24]HISTOMAI24!$A$6:$AU$38,26,0)</f>
        <v>0</v>
      </c>
      <c r="T37" s="36">
        <f>VLOOKUP($A37,[24]HISTOMAI24!$A$6:$BG$38,58,0)</f>
        <v>0</v>
      </c>
      <c r="U37" s="36">
        <f>VLOOKUP($A37,[24]HISTOMAI24!$A$6:$AU$38,28,0)</f>
        <v>0</v>
      </c>
      <c r="V37" s="36">
        <f>VLOOKUP($A37,[24]HISTOMAI24!$A$6:$AU$38,19,0)</f>
        <v>0</v>
      </c>
      <c r="W37" s="36">
        <f>VLOOKUP($A37,[24]HISTOMAI24!$A$6:$AU$38,20,0)</f>
        <v>0</v>
      </c>
      <c r="X37" s="36">
        <f>VLOOKUP($A37,[24]HISTOMAI24!$A$6:$AU$38,27,0)</f>
        <v>0</v>
      </c>
      <c r="Y37" s="36">
        <f>VLOOKUP($A37,[24]HISTOMAI24!$A$6:$BM$38,33,0)</f>
        <v>0</v>
      </c>
      <c r="Z37" s="36">
        <f>VLOOKUP($A37,[24]HISTOMAI24!$A$6:$BM$38,65,0)</f>
        <v>0</v>
      </c>
      <c r="AA37" s="36"/>
      <c r="AB37" s="36">
        <f>VLOOKUP($A37,[24]HISTOMAI24!$A$6:$AU$38,43,0)</f>
        <v>0</v>
      </c>
      <c r="AC37" s="36">
        <f>VLOOKUP($A37,[24]HISTOMAI24!$A$6:$AU$38,44,0)</f>
        <v>0</v>
      </c>
      <c r="AD37" s="36">
        <f>VLOOKUP($A37,[24]HISTOMAI24!$A$6:$AU$38,47,0)</f>
        <v>0</v>
      </c>
      <c r="AE37" s="36">
        <f>VLOOKUP(A37,[24]HISTOMAI24!$A$6:$BB$38,54,0)</f>
        <v>0</v>
      </c>
      <c r="AF37" s="36">
        <f>VLOOKUP($A37,[24]HISTOMAI24!$A$6:$CA$38,60,0)</f>
        <v>0</v>
      </c>
      <c r="AG37" s="36">
        <f>VLOOKUP($A37,[24]HISTOMAI24!$A$6:$CA$38,61,0)</f>
        <v>0</v>
      </c>
      <c r="AH37" s="36">
        <f>VLOOKUP($A37,[24]HISTOMAI24!$A$6:$CA$38,62,0)</f>
        <v>0</v>
      </c>
      <c r="AI37" s="36">
        <f>VLOOKUP($A37,[24]HISTOMAI24!$A$6:$CA$38,63,0)</f>
        <v>0</v>
      </c>
      <c r="AJ37" s="36">
        <f>VLOOKUP($A37,[24]HISTOMAI24!$A$6:$CA$38,64,0)</f>
        <v>0</v>
      </c>
      <c r="AK37" s="36">
        <f>VLOOKUP($A37,[24]HISTOMAI24!$A$6:$CA$38,65,0)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MVTAVRIL24!I38-E38+L38</f>
        <v>95000</v>
      </c>
      <c r="G38" s="5">
        <f>IF(MVTAVRIL24!I38+L38&gt;700000,(MVTAVRIL24!I38-E38+L38),0)</f>
        <v>0</v>
      </c>
      <c r="H38" s="36">
        <f t="shared" si="0"/>
        <v>0</v>
      </c>
      <c r="I38" s="6">
        <f t="shared" si="2"/>
        <v>95000</v>
      </c>
      <c r="J38" s="36">
        <f>VLOOKUP($A38,[24]HISTOMAI24!$A$6:$AQ$42,22,0)</f>
        <v>0</v>
      </c>
      <c r="K38" s="36">
        <f>VLOOKUP($A38,[24]HISTOMAI24!$A$6:$AU$38,45,0)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VLOOKUP($A38,[24]HISTOMAI24!$A$6:$AU$38,7,0)</f>
        <v>0</v>
      </c>
      <c r="Q38" s="36">
        <f>VLOOKUP($A38,[24]HISTOMAI24!$A$6:$AU$38,23,0)</f>
        <v>0</v>
      </c>
      <c r="R38" s="36">
        <f>VLOOKUP($A38,[24]HISTOMAI24!$A$6:$AU$38,46,0)</f>
        <v>0</v>
      </c>
      <c r="S38" s="36">
        <f>VLOOKUP($A38,[24]HISTOMAI24!$A$6:$AU$38,26,0)</f>
        <v>0</v>
      </c>
      <c r="T38" s="36">
        <f>VLOOKUP($A38,[24]HISTOMAI24!$A$6:$BG$38,58,0)</f>
        <v>0</v>
      </c>
      <c r="U38" s="36">
        <f>VLOOKUP($A38,[24]HISTOMAI24!$A$6:$AU$38,28,0)</f>
        <v>0</v>
      </c>
      <c r="V38" s="36">
        <f>VLOOKUP($A38,[24]HISTOMAI24!$A$6:$AU$38,19,0)</f>
        <v>0</v>
      </c>
      <c r="W38" s="36">
        <f>VLOOKUP($A38,[24]HISTOMAI24!$A$6:$AU$38,20,0)</f>
        <v>0</v>
      </c>
      <c r="X38" s="36">
        <f>VLOOKUP($A38,[24]HISTOMAI24!$A$6:$AU$38,27,0)</f>
        <v>0</v>
      </c>
      <c r="Y38" s="36">
        <f>VLOOKUP($A38,[24]HISTOMAI24!$A$6:$BM$38,33,0)</f>
        <v>0</v>
      </c>
      <c r="Z38" s="36">
        <f>VLOOKUP($A38,[24]HISTOMAI24!$A$6:$BM$38,65,0)</f>
        <v>0</v>
      </c>
      <c r="AA38" s="36"/>
      <c r="AB38" s="36">
        <f>VLOOKUP($A38,[24]HISTOMAI24!$A$6:$AU$38,43,0)</f>
        <v>0</v>
      </c>
      <c r="AC38" s="36">
        <f>VLOOKUP($A38,[24]HISTOMAI24!$A$6:$AU$38,44,0)</f>
        <v>0</v>
      </c>
      <c r="AD38" s="36">
        <f>VLOOKUP($A38,[24]HISTOMAI24!$A$6:$AU$38,47,0)</f>
        <v>0</v>
      </c>
      <c r="AE38" s="36">
        <f>VLOOKUP(A38,[24]HISTOMAI24!$A$6:$BB$38,54,0)</f>
        <v>0</v>
      </c>
      <c r="AF38" s="36">
        <f>VLOOKUP($A38,[24]HISTOMAI24!$A$6:$CA$38,60,0)</f>
        <v>0</v>
      </c>
      <c r="AG38" s="36">
        <f>VLOOKUP($A38,[24]HISTOMAI24!$A$6:$CA$38,61,0)</f>
        <v>0</v>
      </c>
      <c r="AH38" s="36">
        <f>VLOOKUP($A38,[24]HISTOMAI24!$A$6:$CA$38,62,0)</f>
        <v>0</v>
      </c>
      <c r="AI38" s="36">
        <f>VLOOKUP($A38,[24]HISTOMAI24!$A$6:$CA$38,63,0)</f>
        <v>0</v>
      </c>
      <c r="AJ38" s="36">
        <f>VLOOKUP($A38,[24]HISTOMAI24!$A$6:$CA$38,64,0)</f>
        <v>0</v>
      </c>
      <c r="AK38" s="36">
        <f>VLOOKUP($A38,[24]HISTOMAI24!$A$6:$CA$38,65,0)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MVTAVRIL24!I39-E39+L39</f>
        <v>2078313.2142100567</v>
      </c>
      <c r="G39" s="5">
        <f>IF(MVTAVRIL24!I39+L39&gt;700000,(MVTAVRIL24!I39-E39+L39),0)</f>
        <v>2078313.2142100567</v>
      </c>
      <c r="H39" s="36">
        <f t="shared" si="0"/>
        <v>0</v>
      </c>
      <c r="I39" s="6">
        <f t="shared" si="2"/>
        <v>2078313.2142100567</v>
      </c>
      <c r="J39" s="36">
        <f>VLOOKUP($A39,[24]HISTOMAI24!$A$6:$AQ$42,22,0)</f>
        <v>0</v>
      </c>
      <c r="K39" s="36">
        <f>VLOOKUP($A39,[24]HISTOMAI24!$A$6:$AU$38,45,0)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VLOOKUP($A39,[24]HISTOMAI24!$A$6:$AU$38,7,0)</f>
        <v>0</v>
      </c>
      <c r="Q39" s="36">
        <f>VLOOKUP($A39,[24]HISTOMAI24!$A$6:$AU$38,23,0)</f>
        <v>0</v>
      </c>
      <c r="R39" s="36">
        <f>VLOOKUP($A39,[24]HISTOMAI24!$A$6:$AU$38,46,0)</f>
        <v>0</v>
      </c>
      <c r="S39" s="36">
        <f>VLOOKUP($A39,[24]HISTOMAI24!$A$6:$AU$38,26,0)</f>
        <v>0</v>
      </c>
      <c r="T39" s="36">
        <f>VLOOKUP($A39,[24]HISTOMAI24!$A$6:$BG$38,58,0)</f>
        <v>0</v>
      </c>
      <c r="U39" s="36">
        <f>VLOOKUP($A39,[24]HISTOMAI24!$A$6:$AU$38,28,0)</f>
        <v>0</v>
      </c>
      <c r="V39" s="36">
        <f>VLOOKUP($A39,[24]HISTOMAI24!$A$6:$AU$38,19,0)</f>
        <v>0</v>
      </c>
      <c r="W39" s="36">
        <f>VLOOKUP($A39,[24]HISTOMAI24!$A$6:$AU$38,20,0)</f>
        <v>0</v>
      </c>
      <c r="X39" s="36">
        <f>VLOOKUP($A39,[24]HISTOMAI24!$A$6:$AU$38,27,0)</f>
        <v>0</v>
      </c>
      <c r="Y39" s="36">
        <f>VLOOKUP($A39,[24]HISTOMAI24!$A$6:$BM$38,33,0)</f>
        <v>0</v>
      </c>
      <c r="Z39" s="36">
        <f>VLOOKUP($A39,[24]HISTOMAI24!$A$6:$BM$38,65,0)</f>
        <v>0</v>
      </c>
      <c r="AA39" s="36"/>
      <c r="AB39" s="36">
        <f>VLOOKUP($A39,[24]HISTOMAI24!$A$6:$AU$38,43,0)</f>
        <v>0</v>
      </c>
      <c r="AC39" s="36">
        <f>VLOOKUP($A39,[24]HISTOMAI24!$A$6:$AU$38,44,0)</f>
        <v>0</v>
      </c>
      <c r="AD39" s="36">
        <f>VLOOKUP($A39,[24]HISTOMAI24!$A$6:$AU$38,47,0)</f>
        <v>0</v>
      </c>
      <c r="AE39" s="36">
        <f>VLOOKUP(A39,[24]HISTOMAI24!$A$6:$BB$38,54,0)</f>
        <v>0</v>
      </c>
      <c r="AF39" s="36">
        <f>VLOOKUP($A39,[24]HISTOMAI24!$A$6:$CA$38,60,0)</f>
        <v>0</v>
      </c>
      <c r="AG39" s="36">
        <f>VLOOKUP($A39,[24]HISTOMAI24!$A$6:$CA$38,61,0)</f>
        <v>0</v>
      </c>
      <c r="AH39" s="36">
        <f>VLOOKUP($A39,[24]HISTOMAI24!$A$6:$CA$38,62,0)</f>
        <v>0</v>
      </c>
      <c r="AI39" s="36">
        <f>VLOOKUP($A39,[24]HISTOMAI24!$A$6:$CA$38,63,0)</f>
        <v>0</v>
      </c>
      <c r="AJ39" s="36">
        <f>VLOOKUP($A39,[24]HISTOMAI24!$A$6:$CA$38,64,0)</f>
        <v>0</v>
      </c>
      <c r="AK39" s="36">
        <f>VLOOKUP($A39,[24]HISTOMAI24!$A$6:$CA$38,65,0)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29928656.655274987</v>
      </c>
      <c r="G41" s="9">
        <f t="shared" si="10"/>
        <v>28367439.524547949</v>
      </c>
      <c r="H41" s="36">
        <f t="shared" si="10"/>
        <v>0</v>
      </c>
      <c r="I41" s="9">
        <f t="shared" si="10"/>
        <v>29928656.655274987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45460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VLOOKUP($A6,[24]HISTOJUIN24!$A$6:$BA$38,48,0)</f>
        <v>0</v>
      </c>
      <c r="F6" s="36">
        <f>MVTMAI24!I6-E6+L6</f>
        <v>946220.58968855068</v>
      </c>
      <c r="G6" s="5">
        <f>IF(MVTMAI24!I6+L6&gt;700000,(MVTMAI24!I6-E6+L6),0)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VLOOKUP($A6,[24]HISTOJUIN24!$A$6:$AQ$42,22,0)</f>
        <v>0</v>
      </c>
      <c r="K6" s="36">
        <f>VLOOKUP($A6,[24]HISTOJUIN24!$A$6:$AU$38,45,0)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VLOOKUP($A6,[24]HISTOJUIN24!$A$6:$AU$38,7,0)</f>
        <v>0</v>
      </c>
      <c r="Q6" s="36">
        <f>VLOOKUP($A6,[24]HISTOJUIN24!$A$6:$AU$38,23,0)</f>
        <v>0</v>
      </c>
      <c r="R6" s="36">
        <f>VLOOKUP($A6,[24]HISTOJUIN24!$A$6:$AU$38,46,0)</f>
        <v>0</v>
      </c>
      <c r="S6" s="36">
        <f>VLOOKUP($A6,[24]HISTOJUIN24!$A$6:$AU$38,26,0)</f>
        <v>0</v>
      </c>
      <c r="T6" s="36">
        <f>VLOOKUP($A6,[24]HISTOJUIN24!$A$6:$BG$38,58,0)</f>
        <v>0</v>
      </c>
      <c r="U6" s="36">
        <f>VLOOKUP($A6,[24]HISTOJUIN24!$A$6:$AU$38,28,0)</f>
        <v>0</v>
      </c>
      <c r="V6" s="36">
        <f>VLOOKUP($A6,[24]HISTOJUIN24!$A$6:$AU$38,19,0)</f>
        <v>0</v>
      </c>
      <c r="W6" s="36">
        <f>VLOOKUP($A6,[24]HISTOJUIN24!$A$6:$AU$38,20,0)</f>
        <v>0</v>
      </c>
      <c r="X6" s="36">
        <f>VLOOKUP($A6,[24]HISTOJUIN24!$A$6:$AU$38,27,0)</f>
        <v>0</v>
      </c>
      <c r="Y6" s="36">
        <f>VLOOKUP($A6,[24]HISTOJUIN24!$A$6:$BM$38,33,0)</f>
        <v>0</v>
      </c>
      <c r="Z6" s="36">
        <f>VLOOKUP($A6,[24]HISTOJUIN24!$A$6:$BM$38,65,0)</f>
        <v>0</v>
      </c>
      <c r="AA6" s="36"/>
      <c r="AB6" s="36">
        <f>VLOOKUP($A6,[24]HISTOJUIN24!$A$6:$AU$38,43,0)</f>
        <v>0</v>
      </c>
      <c r="AC6" s="36">
        <f>VLOOKUP($A6,[24]HISTOJUIN24!$A$6:$AU$38,44,0)</f>
        <v>0</v>
      </c>
      <c r="AD6" s="36">
        <f>VLOOKUP($A6,[24]HISTOJUIN24!$A$6:$AU$38,47,0)</f>
        <v>0</v>
      </c>
      <c r="AE6" s="36">
        <f>VLOOKUP(A6,[24]HISTOJUIN24!$A$6:$BB$38,54,0)</f>
        <v>0</v>
      </c>
      <c r="AF6" s="36">
        <f>VLOOKUP($A6,[24]HISTOJUIN24!$A$6:$CA$38,60,0)</f>
        <v>0</v>
      </c>
      <c r="AG6" s="36">
        <f>VLOOKUP($A6,[24]HISTOJUIN24!$A$6:$CA$38,61,0)</f>
        <v>0</v>
      </c>
      <c r="AH6" s="36">
        <f>VLOOKUP($A6,[24]HISTOJUIN24!$A$6:$CA$38,62,0)</f>
        <v>0</v>
      </c>
      <c r="AI6" s="36">
        <f>VLOOKUP($A6,[24]HISTOJUIN24!$A$6:$CA$38,63,0)</f>
        <v>0</v>
      </c>
      <c r="AJ6" s="36">
        <f>VLOOKUP($A6,[24]HISTOJUIN24!$A$6:$CA$38,64,0)</f>
        <v>0</v>
      </c>
      <c r="AK6" s="36">
        <f>VLOOKUP($A6,[24]HISTOJUIN24!$A$6:$CA$38,65,0)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VLOOKUP($A7,[24]HISTOJUIN24!$A$6:$BA$38,48,0)</f>
        <v>0</v>
      </c>
      <c r="F7" s="36">
        <f>MVTMAI24!I7-E7+L7</f>
        <v>814791.19348721951</v>
      </c>
      <c r="G7" s="5">
        <f>IF(MVTMAI24!I7+L7&gt;700000,(MVTMAI24!I7-E7+L7),0)</f>
        <v>814791.19348721951</v>
      </c>
      <c r="H7" s="36">
        <f t="shared" si="0"/>
        <v>0</v>
      </c>
      <c r="I7" s="6">
        <f t="shared" ref="I7:I39" si="2">F7+H7</f>
        <v>814791.19348721951</v>
      </c>
      <c r="J7" s="36">
        <f>VLOOKUP($A7,[24]HISTOJUIN24!$A$6:$AQ$42,22,0)</f>
        <v>0</v>
      </c>
      <c r="K7" s="36">
        <f>VLOOKUP($A7,[24]HISTOJUIN24!$A$6:$AU$38,45,0)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VLOOKUP($A7,[24]HISTOJUIN24!$A$6:$AU$38,7,0)</f>
        <v>3000</v>
      </c>
      <c r="Q7" s="36">
        <f>VLOOKUP($A7,[24]HISTOJUIN24!$A$6:$AU$38,23,0)</f>
        <v>0</v>
      </c>
      <c r="R7" s="36">
        <f>VLOOKUP($A7,[24]HISTOJUIN24!$A$6:$AU$38,46,0)</f>
        <v>0</v>
      </c>
      <c r="S7" s="36">
        <f>VLOOKUP($A7,[24]HISTOJUIN24!$A$6:$AU$38,26,0)</f>
        <v>0</v>
      </c>
      <c r="T7" s="36">
        <f>VLOOKUP($A7,[24]HISTOJUIN24!$A$6:$BG$38,58,0)</f>
        <v>0</v>
      </c>
      <c r="U7" s="36">
        <f>VLOOKUP($A7,[24]HISTOJUIN24!$A$6:$AU$38,28,0)</f>
        <v>0</v>
      </c>
      <c r="V7" s="36">
        <f>VLOOKUP($A7,[24]HISTOJUIN24!$A$6:$AU$38,19,0)</f>
        <v>0</v>
      </c>
      <c r="W7" s="36">
        <f>VLOOKUP($A7,[24]HISTOJUIN24!$A$6:$AU$38,20,0)</f>
        <v>0</v>
      </c>
      <c r="X7" s="36">
        <f>VLOOKUP($A7,[24]HISTOJUIN24!$A$6:$AU$38,27,0)</f>
        <v>0</v>
      </c>
      <c r="Y7" s="36">
        <f>VLOOKUP($A7,[24]HISTOJUIN24!$A$6:$BM$38,33,0)</f>
        <v>0</v>
      </c>
      <c r="Z7" s="36">
        <f>VLOOKUP($A7,[24]HISTOJUIN24!$A$6:$BM$38,65,0)</f>
        <v>0</v>
      </c>
      <c r="AA7" s="36"/>
      <c r="AB7" s="36">
        <f>VLOOKUP($A7,[24]HISTOJUIN24!$A$6:$AU$38,43,0)</f>
        <v>0</v>
      </c>
      <c r="AC7" s="36">
        <f>VLOOKUP($A7,[24]HISTOJUIN24!$A$6:$AU$38,44,0)</f>
        <v>0</v>
      </c>
      <c r="AD7" s="36">
        <f>VLOOKUP($A7,[24]HISTOJUIN24!$A$6:$AU$38,47,0)</f>
        <v>0</v>
      </c>
      <c r="AE7" s="36">
        <f>VLOOKUP(A7,[24]HISTOJUIN24!$A$6:$BB$38,54,0)</f>
        <v>0</v>
      </c>
      <c r="AF7" s="36">
        <f>VLOOKUP($A7,[24]HISTOJUIN24!$A$6:$CA$38,60,0)</f>
        <v>0</v>
      </c>
      <c r="AG7" s="36">
        <f>VLOOKUP($A7,[24]HISTOJUIN24!$A$6:$CA$38,61,0)</f>
        <v>0</v>
      </c>
      <c r="AH7" s="36">
        <f>VLOOKUP($A7,[24]HISTOJUIN24!$A$6:$CA$38,62,0)</f>
        <v>0</v>
      </c>
      <c r="AI7" s="36">
        <f>VLOOKUP($A7,[24]HISTOJUIN24!$A$6:$CA$38,63,0)</f>
        <v>0</v>
      </c>
      <c r="AJ7" s="36">
        <f>VLOOKUP($A7,[24]HISTOJUIN24!$A$6:$CA$38,64,0)</f>
        <v>0</v>
      </c>
      <c r="AK7" s="36">
        <f>VLOOKUP($A7,[24]HISTOJUIN24!$A$6:$CA$38,65,0)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VLOOKUP($A8,[24]HISTOJUIN24!$A$6:$BA$38,48,0)</f>
        <v>0</v>
      </c>
      <c r="F8" s="36">
        <f>MVTMAI24!I8-E8+L8</f>
        <v>858533.31236524263</v>
      </c>
      <c r="G8" s="5">
        <f>IF(MVTMAI24!I8+L8&gt;700000,(MVTMAI24!I8-E8+L8),0)</f>
        <v>858533.31236524263</v>
      </c>
      <c r="H8" s="36">
        <f t="shared" si="0"/>
        <v>0</v>
      </c>
      <c r="I8" s="6">
        <f t="shared" si="2"/>
        <v>858533.31236524263</v>
      </c>
      <c r="J8" s="36">
        <f>VLOOKUP($A8,[24]HISTOJUIN24!$A$6:$AQ$42,22,0)</f>
        <v>0</v>
      </c>
      <c r="K8" s="36">
        <f>VLOOKUP($A8,[24]HISTOJUIN24!$A$6:$AU$38,45,0)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VLOOKUP($A8,[24]HISTOJUIN24!$A$6:$AU$38,7,0)</f>
        <v>0</v>
      </c>
      <c r="Q8" s="36">
        <f>VLOOKUP($A8,[24]HISTOJUIN24!$A$6:$AU$38,23,0)</f>
        <v>0</v>
      </c>
      <c r="R8" s="36">
        <f>VLOOKUP($A8,[24]HISTOJUIN24!$A$6:$AU$38,46,0)</f>
        <v>0</v>
      </c>
      <c r="S8" s="36">
        <f>VLOOKUP($A8,[24]HISTOJUIN24!$A$6:$AU$38,26,0)</f>
        <v>0</v>
      </c>
      <c r="T8" s="36">
        <f>VLOOKUP($A8,[24]HISTOJUIN24!$A$6:$BG$38,58,0)</f>
        <v>0</v>
      </c>
      <c r="U8" s="36">
        <f>VLOOKUP($A8,[24]HISTOJUIN24!$A$6:$AU$38,28,0)</f>
        <v>0</v>
      </c>
      <c r="V8" s="36">
        <f>VLOOKUP($A8,[24]HISTOJUIN24!$A$6:$AU$38,19,0)</f>
        <v>0</v>
      </c>
      <c r="W8" s="36">
        <f>VLOOKUP($A8,[24]HISTOJUIN24!$A$6:$AU$38,20,0)</f>
        <v>0</v>
      </c>
      <c r="X8" s="36">
        <f>VLOOKUP($A8,[24]HISTOJUIN24!$A$6:$AU$38,27,0)</f>
        <v>0</v>
      </c>
      <c r="Y8" s="36">
        <f>VLOOKUP($A8,[24]HISTOJUIN24!$A$6:$BM$38,33,0)</f>
        <v>0</v>
      </c>
      <c r="Z8" s="36">
        <f>VLOOKUP($A8,[24]HISTOJUIN24!$A$6:$BM$38,65,0)</f>
        <v>0</v>
      </c>
      <c r="AA8" s="36"/>
      <c r="AB8" s="36">
        <f>VLOOKUP($A8,[24]HISTOJUIN24!$A$6:$AU$38,43,0)</f>
        <v>0</v>
      </c>
      <c r="AC8" s="36">
        <f>VLOOKUP($A8,[24]HISTOJUIN24!$A$6:$AU$38,44,0)</f>
        <v>0</v>
      </c>
      <c r="AD8" s="36">
        <f>VLOOKUP($A8,[24]HISTOJUIN24!$A$6:$AU$38,47,0)</f>
        <v>0</v>
      </c>
      <c r="AE8" s="36">
        <f>VLOOKUP(A8,[24]HISTOJUIN24!$A$6:$BB$38,54,0)</f>
        <v>0</v>
      </c>
      <c r="AF8" s="36">
        <f>VLOOKUP($A8,[24]HISTOJUIN24!$A$6:$CA$38,60,0)</f>
        <v>0</v>
      </c>
      <c r="AG8" s="36">
        <f>VLOOKUP($A8,[24]HISTOJUIN24!$A$6:$CA$38,61,0)</f>
        <v>0</v>
      </c>
      <c r="AH8" s="36">
        <f>VLOOKUP($A8,[24]HISTOJUIN24!$A$6:$CA$38,62,0)</f>
        <v>0</v>
      </c>
      <c r="AI8" s="36">
        <f>VLOOKUP($A8,[24]HISTOJUIN24!$A$6:$CA$38,63,0)</f>
        <v>0</v>
      </c>
      <c r="AJ8" s="36">
        <f>VLOOKUP($A8,[24]HISTOJUIN24!$A$6:$CA$38,64,0)</f>
        <v>0</v>
      </c>
      <c r="AK8" s="36">
        <f>VLOOKUP($A8,[24]HISTOJUIN24!$A$6:$CA$38,65,0)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VLOOKUP($A9,[24]HISTOJUIN24!$A$6:$BA$38,48,0)</f>
        <v>0</v>
      </c>
      <c r="F9" s="36">
        <f>MVTMAI24!I9-E9+L9</f>
        <v>915962.00686817756</v>
      </c>
      <c r="G9" s="5">
        <f>IF(MVTMAI24!I9+L9&gt;700000,(MVTMAI24!I9-E9+L9),0)</f>
        <v>915962.00686817756</v>
      </c>
      <c r="H9" s="36">
        <f t="shared" si="0"/>
        <v>0</v>
      </c>
      <c r="I9" s="6">
        <f t="shared" si="2"/>
        <v>915962.00686817756</v>
      </c>
      <c r="J9" s="36">
        <f>VLOOKUP($A9,[24]HISTOJUIN24!$A$6:$AQ$42,22,0)</f>
        <v>0</v>
      </c>
      <c r="K9" s="36">
        <f>VLOOKUP($A9,[24]HISTOJUIN24!$A$6:$AU$38,45,0)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VLOOKUP($A9,[24]HISTOJUIN24!$A$6:$AU$38,7,0)</f>
        <v>0</v>
      </c>
      <c r="Q9" s="36">
        <f>VLOOKUP($A9,[24]HISTOJUIN24!$A$6:$AU$38,23,0)</f>
        <v>0</v>
      </c>
      <c r="R9" s="36">
        <f>VLOOKUP($A9,[24]HISTOJUIN24!$A$6:$AU$38,46,0)</f>
        <v>0</v>
      </c>
      <c r="S9" s="36">
        <f>VLOOKUP($A9,[24]HISTOJUIN24!$A$6:$AU$38,26,0)</f>
        <v>0</v>
      </c>
      <c r="T9" s="36">
        <f>VLOOKUP($A9,[24]HISTOJUIN24!$A$6:$BG$38,58,0)</f>
        <v>0</v>
      </c>
      <c r="U9" s="36">
        <f>VLOOKUP($A9,[24]HISTOJUIN24!$A$6:$AU$38,28,0)</f>
        <v>0</v>
      </c>
      <c r="V9" s="36">
        <f>VLOOKUP($A9,[24]HISTOJUIN24!$A$6:$AU$38,19,0)</f>
        <v>0</v>
      </c>
      <c r="W9" s="36">
        <f>VLOOKUP($A9,[24]HISTOJUIN24!$A$6:$AU$38,20,0)</f>
        <v>0</v>
      </c>
      <c r="X9" s="36">
        <f>VLOOKUP($A9,[24]HISTOJUIN24!$A$6:$AU$38,27,0)</f>
        <v>0</v>
      </c>
      <c r="Y9" s="36">
        <f>VLOOKUP($A9,[24]HISTOJUIN24!$A$6:$BM$38,33,0)</f>
        <v>0</v>
      </c>
      <c r="Z9" s="36">
        <f>VLOOKUP($A9,[24]HISTOJUIN24!$A$6:$BM$38,65,0)</f>
        <v>0</v>
      </c>
      <c r="AA9" s="36"/>
      <c r="AB9" s="36">
        <f>VLOOKUP($A9,[24]HISTOJUIN24!$A$6:$AU$38,43,0)</f>
        <v>0</v>
      </c>
      <c r="AC9" s="36">
        <f>VLOOKUP($A9,[24]HISTOJUIN24!$A$6:$AU$38,44,0)</f>
        <v>0</v>
      </c>
      <c r="AD9" s="36">
        <f>VLOOKUP($A9,[24]HISTOJUIN24!$A$6:$AU$38,47,0)</f>
        <v>0</v>
      </c>
      <c r="AE9" s="36">
        <f>VLOOKUP(A9,[24]HISTOJUIN24!$A$6:$BB$38,54,0)</f>
        <v>0</v>
      </c>
      <c r="AF9" s="36">
        <f>VLOOKUP($A9,[24]HISTOJUIN24!$A$6:$CA$38,60,0)</f>
        <v>0</v>
      </c>
      <c r="AG9" s="36">
        <f>VLOOKUP($A9,[24]HISTOJUIN24!$A$6:$CA$38,61,0)</f>
        <v>0</v>
      </c>
      <c r="AH9" s="36">
        <f>VLOOKUP($A9,[24]HISTOJUIN24!$A$6:$CA$38,62,0)</f>
        <v>0</v>
      </c>
      <c r="AI9" s="36">
        <f>VLOOKUP($A9,[24]HISTOJUIN24!$A$6:$CA$38,63,0)</f>
        <v>0</v>
      </c>
      <c r="AJ9" s="36">
        <f>VLOOKUP($A9,[24]HISTOJUIN24!$A$6:$CA$38,64,0)</f>
        <v>0</v>
      </c>
      <c r="AK9" s="36">
        <f>VLOOKUP($A9,[24]HISTOJUIN24!$A$6:$CA$38,65,0)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VLOOKUP($A10,[24]HISTOJUIN24!$A$6:$BA$38,48,0)</f>
        <v>0</v>
      </c>
      <c r="F10" s="36">
        <f>MVTMAI24!I10-E10+L10</f>
        <v>855805.20622596238</v>
      </c>
      <c r="G10" s="5">
        <f>IF(MVTMAI24!I10+L10&gt;700000,(MVTMAI24!I10-E10+L10),0)</f>
        <v>855805.20622596238</v>
      </c>
      <c r="H10" s="36">
        <f t="shared" si="0"/>
        <v>0</v>
      </c>
      <c r="I10" s="6">
        <f t="shared" si="2"/>
        <v>855805.20622596238</v>
      </c>
      <c r="J10" s="36">
        <f>VLOOKUP($A10,[24]HISTOJUIN24!$A$6:$AQ$42,22,0)</f>
        <v>0</v>
      </c>
      <c r="K10" s="36">
        <f>VLOOKUP($A10,[24]HISTOJUIN24!$A$6:$AU$38,45,0)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VLOOKUP($A10,[24]HISTOJUIN24!$A$6:$AU$38,7,0)</f>
        <v>0</v>
      </c>
      <c r="Q10" s="36">
        <f>VLOOKUP($A10,[24]HISTOJUIN24!$A$6:$AU$38,23,0)</f>
        <v>0</v>
      </c>
      <c r="R10" s="36">
        <f>VLOOKUP($A10,[24]HISTOJUIN24!$A$6:$AU$38,46,0)</f>
        <v>0</v>
      </c>
      <c r="S10" s="36">
        <f>VLOOKUP($A10,[24]HISTOJUIN24!$A$6:$AU$38,26,0)</f>
        <v>0</v>
      </c>
      <c r="T10" s="36">
        <f>VLOOKUP($A10,[24]HISTOJUIN24!$A$6:$BG$38,58,0)</f>
        <v>0</v>
      </c>
      <c r="U10" s="36">
        <f>VLOOKUP($A10,[24]HISTOJUIN24!$A$6:$AU$38,28,0)</f>
        <v>0</v>
      </c>
      <c r="V10" s="36">
        <f>VLOOKUP($A10,[24]HISTOJUIN24!$A$6:$AU$38,19,0)</f>
        <v>0</v>
      </c>
      <c r="W10" s="36">
        <f>VLOOKUP($A10,[24]HISTOJUIN24!$A$6:$AU$38,20,0)</f>
        <v>0</v>
      </c>
      <c r="X10" s="36">
        <f>VLOOKUP($A10,[24]HISTOJUIN24!$A$6:$AU$38,27,0)</f>
        <v>0</v>
      </c>
      <c r="Y10" s="36">
        <f>VLOOKUP($A10,[24]HISTOJUIN24!$A$6:$BM$38,33,0)</f>
        <v>0</v>
      </c>
      <c r="Z10" s="36">
        <f>VLOOKUP($A10,[24]HISTOJUIN24!$A$6:$BM$38,65,0)</f>
        <v>0</v>
      </c>
      <c r="AA10" s="36"/>
      <c r="AB10" s="36">
        <f>VLOOKUP($A10,[24]HISTOJUIN24!$A$6:$AU$38,43,0)</f>
        <v>0</v>
      </c>
      <c r="AC10" s="36">
        <f>VLOOKUP($A10,[24]HISTOJUIN24!$A$6:$AU$38,44,0)</f>
        <v>0</v>
      </c>
      <c r="AD10" s="36">
        <f>VLOOKUP($A10,[24]HISTOJUIN24!$A$6:$AU$38,47,0)</f>
        <v>0</v>
      </c>
      <c r="AE10" s="36">
        <f>VLOOKUP(A10,[24]HISTOJUIN24!$A$6:$BB$38,54,0)</f>
        <v>0</v>
      </c>
      <c r="AF10" s="36">
        <f>VLOOKUP($A10,[24]HISTOJUIN24!$A$6:$CA$38,60,0)</f>
        <v>0</v>
      </c>
      <c r="AG10" s="36">
        <f>VLOOKUP($A10,[24]HISTOJUIN24!$A$6:$CA$38,61,0)</f>
        <v>0</v>
      </c>
      <c r="AH10" s="36">
        <f>VLOOKUP($A10,[24]HISTOJUIN24!$A$6:$CA$38,62,0)</f>
        <v>0</v>
      </c>
      <c r="AI10" s="36">
        <f>VLOOKUP($A10,[24]HISTOJUIN24!$A$6:$CA$38,63,0)</f>
        <v>0</v>
      </c>
      <c r="AJ10" s="36">
        <f>VLOOKUP($A10,[24]HISTOJUIN24!$A$6:$CA$38,64,0)</f>
        <v>0</v>
      </c>
      <c r="AK10" s="36">
        <f>VLOOKUP($A10,[24]HISTOJUIN24!$A$6:$CA$38,65,0)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VLOOKUP($A11,[24]HISTOJUIN24!$A$6:$BA$38,48,0)</f>
        <v>0</v>
      </c>
      <c r="F11" s="36">
        <f>MVTMAI24!I11-E11+L11</f>
        <v>873855.82895949238</v>
      </c>
      <c r="G11" s="5">
        <f>IF(MVTMAI24!I11+L11&gt;700000,(MVTMAI24!I11-E11+L11),0)</f>
        <v>873855.82895949238</v>
      </c>
      <c r="H11" s="36">
        <f t="shared" si="0"/>
        <v>0</v>
      </c>
      <c r="I11" s="6">
        <f t="shared" si="2"/>
        <v>873855.82895949238</v>
      </c>
      <c r="J11" s="36">
        <f>VLOOKUP($A11,[24]HISTOJUIN24!$A$6:$AQ$42,22,0)</f>
        <v>0</v>
      </c>
      <c r="K11" s="36">
        <f>VLOOKUP($A11,[24]HISTOJUIN24!$A$6:$AU$38,45,0)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VLOOKUP($A11,[24]HISTOJUIN24!$A$6:$AU$38,7,0)</f>
        <v>0</v>
      </c>
      <c r="Q11" s="36">
        <f>VLOOKUP($A11,[24]HISTOJUIN24!$A$6:$AU$38,23,0)</f>
        <v>0</v>
      </c>
      <c r="R11" s="36">
        <f>VLOOKUP($A11,[24]HISTOJUIN24!$A$6:$AU$38,46,0)</f>
        <v>0</v>
      </c>
      <c r="S11" s="36">
        <f>VLOOKUP($A11,[24]HISTOJUIN24!$A$6:$AU$38,26,0)</f>
        <v>0</v>
      </c>
      <c r="T11" s="36">
        <f>VLOOKUP($A11,[24]HISTOJUIN24!$A$6:$BG$38,58,0)</f>
        <v>0</v>
      </c>
      <c r="U11" s="36">
        <f>VLOOKUP($A11,[24]HISTOJUIN24!$A$6:$AU$38,28,0)</f>
        <v>0</v>
      </c>
      <c r="V11" s="36">
        <f>VLOOKUP($A11,[24]HISTOJUIN24!$A$6:$AU$38,19,0)</f>
        <v>0</v>
      </c>
      <c r="W11" s="36">
        <f>VLOOKUP($A11,[24]HISTOJUIN24!$A$6:$AU$38,20,0)</f>
        <v>0</v>
      </c>
      <c r="X11" s="36">
        <f>VLOOKUP($A11,[24]HISTOJUIN24!$A$6:$AU$38,27,0)</f>
        <v>0</v>
      </c>
      <c r="Y11" s="36">
        <f>VLOOKUP($A11,[24]HISTOJUIN24!$A$6:$BM$38,33,0)</f>
        <v>0</v>
      </c>
      <c r="Z11" s="36">
        <f>VLOOKUP($A11,[24]HISTOJUIN24!$A$6:$BM$38,65,0)</f>
        <v>0</v>
      </c>
      <c r="AA11" s="36"/>
      <c r="AB11" s="36">
        <f>VLOOKUP($A11,[24]HISTOJUIN24!$A$6:$AU$38,43,0)</f>
        <v>0</v>
      </c>
      <c r="AC11" s="36">
        <f>VLOOKUP($A11,[24]HISTOJUIN24!$A$6:$AU$38,44,0)</f>
        <v>0</v>
      </c>
      <c r="AD11" s="36">
        <f>VLOOKUP($A11,[24]HISTOJUIN24!$A$6:$AU$38,47,0)</f>
        <v>0</v>
      </c>
      <c r="AE11" s="36">
        <f>VLOOKUP(A11,[24]HISTOJUIN24!$A$6:$BB$38,54,0)</f>
        <v>0</v>
      </c>
      <c r="AF11" s="36">
        <f>VLOOKUP($A11,[24]HISTOJUIN24!$A$6:$CA$38,60,0)</f>
        <v>0</v>
      </c>
      <c r="AG11" s="36">
        <f>VLOOKUP($A11,[24]HISTOJUIN24!$A$6:$CA$38,61,0)</f>
        <v>0</v>
      </c>
      <c r="AH11" s="36">
        <f>VLOOKUP($A11,[24]HISTOJUIN24!$A$6:$CA$38,62,0)</f>
        <v>0</v>
      </c>
      <c r="AI11" s="36">
        <f>VLOOKUP($A11,[24]HISTOJUIN24!$A$6:$CA$38,63,0)</f>
        <v>0</v>
      </c>
      <c r="AJ11" s="36">
        <f>VLOOKUP($A11,[24]HISTOJUIN24!$A$6:$CA$38,64,0)</f>
        <v>0</v>
      </c>
      <c r="AK11" s="36">
        <f>VLOOKUP($A11,[24]HISTOJUIN24!$A$6:$CA$38,65,0)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VLOOKUP($A12,[24]HISTOJUIN24!$A$6:$BA$38,48,0)</f>
        <v>0</v>
      </c>
      <c r="F12" s="36">
        <f>MVTMAI24!I12-E12+L12</f>
        <v>897100.14741339569</v>
      </c>
      <c r="G12" s="5">
        <f>IF(MVTMAI24!I12+L12&gt;700000,(MVTMAI24!I12-E12+L12),0)</f>
        <v>897100.14741339569</v>
      </c>
      <c r="H12" s="36">
        <f t="shared" si="0"/>
        <v>0</v>
      </c>
      <c r="I12" s="6">
        <f t="shared" si="2"/>
        <v>897100.14741339569</v>
      </c>
      <c r="J12" s="36">
        <f>VLOOKUP($A12,[24]HISTOJUIN24!$A$6:$AQ$42,22,0)</f>
        <v>0</v>
      </c>
      <c r="K12" s="36">
        <f>VLOOKUP($A12,[24]HISTOJUIN24!$A$6:$AU$38,45,0)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VLOOKUP($A12,[24]HISTOJUIN24!$A$6:$AU$38,7,0)</f>
        <v>0</v>
      </c>
      <c r="Q12" s="36">
        <f>VLOOKUP($A12,[24]HISTOJUIN24!$A$6:$AU$38,23,0)</f>
        <v>0</v>
      </c>
      <c r="R12" s="36">
        <f>VLOOKUP($A12,[24]HISTOJUIN24!$A$6:$AU$38,46,0)</f>
        <v>0</v>
      </c>
      <c r="S12" s="36">
        <f>VLOOKUP($A12,[24]HISTOJUIN24!$A$6:$AU$38,26,0)</f>
        <v>0</v>
      </c>
      <c r="T12" s="36">
        <f>VLOOKUP($A12,[24]HISTOJUIN24!$A$6:$BG$38,58,0)</f>
        <v>0</v>
      </c>
      <c r="U12" s="36">
        <f>VLOOKUP($A12,[24]HISTOJUIN24!$A$6:$AU$38,28,0)</f>
        <v>0</v>
      </c>
      <c r="V12" s="36">
        <f>VLOOKUP($A12,[24]HISTOJUIN24!$A$6:$AU$38,19,0)</f>
        <v>0</v>
      </c>
      <c r="W12" s="36">
        <f>VLOOKUP($A12,[24]HISTOJUIN24!$A$6:$AU$38,20,0)</f>
        <v>0</v>
      </c>
      <c r="X12" s="36">
        <f>VLOOKUP($A12,[24]HISTOJUIN24!$A$6:$AU$38,27,0)</f>
        <v>0</v>
      </c>
      <c r="Y12" s="36">
        <f>VLOOKUP($A12,[24]HISTOJUIN24!$A$6:$BM$38,33,0)</f>
        <v>0</v>
      </c>
      <c r="Z12" s="36">
        <f>VLOOKUP($A12,[24]HISTOJUIN24!$A$6:$BM$38,65,0)</f>
        <v>0</v>
      </c>
      <c r="AA12" s="36"/>
      <c r="AB12" s="36">
        <f>VLOOKUP($A12,[24]HISTOJUIN24!$A$6:$AU$38,43,0)</f>
        <v>0</v>
      </c>
      <c r="AC12" s="36">
        <f>VLOOKUP($A12,[24]HISTOJUIN24!$A$6:$AU$38,44,0)</f>
        <v>0</v>
      </c>
      <c r="AD12" s="36">
        <f>VLOOKUP($A12,[24]HISTOJUIN24!$A$6:$AU$38,47,0)</f>
        <v>0</v>
      </c>
      <c r="AE12" s="36">
        <f>VLOOKUP(A12,[24]HISTOJUIN24!$A$6:$BB$38,54,0)</f>
        <v>0</v>
      </c>
      <c r="AF12" s="36">
        <f>VLOOKUP($A12,[24]HISTOJUIN24!$A$6:$CA$38,60,0)</f>
        <v>0</v>
      </c>
      <c r="AG12" s="36">
        <f>VLOOKUP($A12,[24]HISTOJUIN24!$A$6:$CA$38,61,0)</f>
        <v>0</v>
      </c>
      <c r="AH12" s="36">
        <f>VLOOKUP($A12,[24]HISTOJUIN24!$A$6:$CA$38,62,0)</f>
        <v>0</v>
      </c>
      <c r="AI12" s="36">
        <f>VLOOKUP($A12,[24]HISTOJUIN24!$A$6:$CA$38,63,0)</f>
        <v>0</v>
      </c>
      <c r="AJ12" s="36">
        <f>VLOOKUP($A12,[24]HISTOJUIN24!$A$6:$CA$38,64,0)</f>
        <v>0</v>
      </c>
      <c r="AK12" s="36">
        <f>VLOOKUP($A12,[24]HISTOJUIN24!$A$6:$CA$38,65,0)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VLOOKUP($A13,[24]HISTOJUIN24!$A$6:$BA$38,48,0)</f>
        <v>0</v>
      </c>
      <c r="F13" s="36">
        <f>MVTMAI24!I13-E13+L13</f>
        <v>861555.14612214814</v>
      </c>
      <c r="G13" s="5">
        <f>IF(MVTMAI24!I13+L13&gt;700000,(MVTMAI24!I13-E13+L13),0)</f>
        <v>861555.14612214814</v>
      </c>
      <c r="H13" s="36">
        <f t="shared" si="0"/>
        <v>0</v>
      </c>
      <c r="I13" s="6">
        <f t="shared" si="2"/>
        <v>861555.14612214814</v>
      </c>
      <c r="J13" s="36">
        <f>VLOOKUP($A13,[24]HISTOJUIN24!$A$6:$AQ$42,22,0)</f>
        <v>0</v>
      </c>
      <c r="K13" s="36">
        <f>VLOOKUP($A13,[24]HISTOJUIN24!$A$6:$AU$38,45,0)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VLOOKUP($A13,[24]HISTOJUIN24!$A$6:$AU$38,7,0)</f>
        <v>0</v>
      </c>
      <c r="Q13" s="36">
        <f>VLOOKUP($A13,[24]HISTOJUIN24!$A$6:$AU$38,23,0)</f>
        <v>0</v>
      </c>
      <c r="R13" s="36">
        <f>VLOOKUP($A13,[24]HISTOJUIN24!$A$6:$AU$38,46,0)</f>
        <v>0</v>
      </c>
      <c r="S13" s="36">
        <f>VLOOKUP($A13,[24]HISTOJUIN24!$A$6:$AU$38,26,0)</f>
        <v>0</v>
      </c>
      <c r="T13" s="36">
        <f>VLOOKUP($A13,[24]HISTOJUIN24!$A$6:$BG$38,58,0)</f>
        <v>0</v>
      </c>
      <c r="U13" s="36">
        <f>VLOOKUP($A13,[24]HISTOJUIN24!$A$6:$AU$38,28,0)</f>
        <v>0</v>
      </c>
      <c r="V13" s="36">
        <f>VLOOKUP($A13,[24]HISTOJUIN24!$A$6:$AU$38,19,0)</f>
        <v>0</v>
      </c>
      <c r="W13" s="36">
        <f>VLOOKUP($A13,[24]HISTOJUIN24!$A$6:$AU$38,20,0)</f>
        <v>0</v>
      </c>
      <c r="X13" s="36">
        <f>VLOOKUP($A13,[24]HISTOJUIN24!$A$6:$AU$38,27,0)</f>
        <v>0</v>
      </c>
      <c r="Y13" s="36">
        <f>VLOOKUP($A13,[24]HISTOJUIN24!$A$6:$BM$38,33,0)</f>
        <v>0</v>
      </c>
      <c r="Z13" s="36">
        <f>VLOOKUP($A13,[24]HISTOJUIN24!$A$6:$BM$38,65,0)</f>
        <v>0</v>
      </c>
      <c r="AA13" s="36"/>
      <c r="AB13" s="36">
        <f>VLOOKUP($A13,[24]HISTOJUIN24!$A$6:$AU$38,43,0)</f>
        <v>0</v>
      </c>
      <c r="AC13" s="36">
        <f>VLOOKUP($A13,[24]HISTOJUIN24!$A$6:$AU$38,44,0)</f>
        <v>0</v>
      </c>
      <c r="AD13" s="36">
        <f>VLOOKUP($A13,[24]HISTOJUIN24!$A$6:$AU$38,47,0)</f>
        <v>0</v>
      </c>
      <c r="AE13" s="36">
        <f>VLOOKUP(A13,[24]HISTOJUIN24!$A$6:$BB$38,54,0)</f>
        <v>0</v>
      </c>
      <c r="AF13" s="36">
        <f>VLOOKUP($A13,[24]HISTOJUIN24!$A$6:$CA$38,60,0)</f>
        <v>0</v>
      </c>
      <c r="AG13" s="36">
        <f>VLOOKUP($A13,[24]HISTOJUIN24!$A$6:$CA$38,61,0)</f>
        <v>0</v>
      </c>
      <c r="AH13" s="36">
        <f>VLOOKUP($A13,[24]HISTOJUIN24!$A$6:$CA$38,62,0)</f>
        <v>0</v>
      </c>
      <c r="AI13" s="36">
        <f>VLOOKUP($A13,[24]HISTOJUIN24!$A$6:$CA$38,63,0)</f>
        <v>0</v>
      </c>
      <c r="AJ13" s="36">
        <f>VLOOKUP($A13,[24]HISTOJUIN24!$A$6:$CA$38,64,0)</f>
        <v>0</v>
      </c>
      <c r="AK13" s="36">
        <f>VLOOKUP($A13,[24]HISTOJUIN24!$A$6:$CA$38,65,0)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VLOOKUP($A14,[24]HISTOJUIN24!$A$6:$BA$38,48,0)</f>
        <v>0</v>
      </c>
      <c r="F14" s="36">
        <f>MVTMAI24!I14-E14+L14</f>
        <v>1414425.9823482623</v>
      </c>
      <c r="G14" s="5">
        <f>IF(MVTMAI24!I14+L14&gt;700000,(MVTMAI24!I14-E14+L14),0)</f>
        <v>1414425.9823482623</v>
      </c>
      <c r="H14" s="36">
        <f t="shared" si="0"/>
        <v>0</v>
      </c>
      <c r="I14" s="6">
        <f t="shared" si="2"/>
        <v>1414425.9823482623</v>
      </c>
      <c r="J14" s="36">
        <f>VLOOKUP($A14,[24]HISTOJUIN24!$A$6:$AQ$42,22,0)</f>
        <v>0</v>
      </c>
      <c r="K14" s="36">
        <f>VLOOKUP($A14,[24]HISTOJUIN24!$A$6:$AU$38,45,0)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VLOOKUP($A14,[24]HISTOJUIN24!$A$6:$AU$38,7,0)</f>
        <v>0</v>
      </c>
      <c r="Q14" s="36">
        <f>VLOOKUP($A14,[24]HISTOJUIN24!$A$6:$AU$38,23,0)</f>
        <v>0</v>
      </c>
      <c r="R14" s="36">
        <f>VLOOKUP($A14,[24]HISTOJUIN24!$A$6:$AU$38,46,0)</f>
        <v>0</v>
      </c>
      <c r="S14" s="36">
        <f>VLOOKUP($A14,[24]HISTOJUIN24!$A$6:$AU$38,26,0)</f>
        <v>0</v>
      </c>
      <c r="T14" s="36">
        <f>VLOOKUP($A14,[24]HISTOJUIN24!$A$6:$BG$38,58,0)</f>
        <v>0</v>
      </c>
      <c r="U14" s="36">
        <f>VLOOKUP($A14,[24]HISTOJUIN24!$A$6:$AU$38,28,0)</f>
        <v>0</v>
      </c>
      <c r="V14" s="36">
        <f>VLOOKUP($A14,[24]HISTOJUIN24!$A$6:$AU$38,19,0)</f>
        <v>0</v>
      </c>
      <c r="W14" s="36">
        <f>VLOOKUP($A14,[24]HISTOJUIN24!$A$6:$AU$38,20,0)</f>
        <v>0</v>
      </c>
      <c r="X14" s="36">
        <f>VLOOKUP($A14,[24]HISTOJUIN24!$A$6:$AU$38,27,0)</f>
        <v>0</v>
      </c>
      <c r="Y14" s="36">
        <f>VLOOKUP($A14,[24]HISTOJUIN24!$A$6:$BM$38,33,0)</f>
        <v>0</v>
      </c>
      <c r="Z14" s="36">
        <f>VLOOKUP($A14,[24]HISTOJUIN24!$A$6:$BM$38,65,0)</f>
        <v>0</v>
      </c>
      <c r="AA14" s="36"/>
      <c r="AB14" s="36">
        <f>VLOOKUP($A14,[24]HISTOJUIN24!$A$6:$AU$38,43,0)</f>
        <v>0</v>
      </c>
      <c r="AC14" s="36">
        <f>VLOOKUP($A14,[24]HISTOJUIN24!$A$6:$AU$38,44,0)</f>
        <v>0</v>
      </c>
      <c r="AD14" s="36">
        <f>VLOOKUP($A14,[24]HISTOJUIN24!$A$6:$AU$38,47,0)</f>
        <v>0</v>
      </c>
      <c r="AE14" s="36">
        <f>VLOOKUP(A14,[24]HISTOJUIN24!$A$6:$BB$38,54,0)</f>
        <v>0</v>
      </c>
      <c r="AF14" s="36">
        <f>VLOOKUP($A14,[24]HISTOJUIN24!$A$6:$CA$38,60,0)</f>
        <v>0</v>
      </c>
      <c r="AG14" s="36">
        <f>VLOOKUP($A14,[24]HISTOJUIN24!$A$6:$CA$38,61,0)</f>
        <v>0</v>
      </c>
      <c r="AH14" s="36">
        <f>VLOOKUP($A14,[24]HISTOJUIN24!$A$6:$CA$38,62,0)</f>
        <v>0</v>
      </c>
      <c r="AI14" s="36">
        <f>VLOOKUP($A14,[24]HISTOJUIN24!$A$6:$CA$38,63,0)</f>
        <v>0</v>
      </c>
      <c r="AJ14" s="36">
        <f>VLOOKUP($A14,[24]HISTOJUIN24!$A$6:$CA$38,64,0)</f>
        <v>0</v>
      </c>
      <c r="AK14" s="36">
        <f>VLOOKUP($A14,[24]HISTOJUIN24!$A$6:$CA$38,65,0)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VLOOKUP($A15,[24]HISTOJUIN24!$A$6:$BA$38,48,0)</f>
        <v>0</v>
      </c>
      <c r="F15" s="36">
        <f>MVTMAI24!I15-E15+L15</f>
        <v>923309.62153810938</v>
      </c>
      <c r="G15" s="5">
        <f>IF(MVTMAI24!I15+L15&gt;700000,(MVTMAI24!I15-E15+L15),0)</f>
        <v>923309.62153810938</v>
      </c>
      <c r="H15" s="36">
        <f t="shared" si="0"/>
        <v>0</v>
      </c>
      <c r="I15" s="6">
        <f t="shared" si="2"/>
        <v>923309.62153810938</v>
      </c>
      <c r="J15" s="36">
        <f>VLOOKUP($A15,[24]HISTOJUIN24!$A$6:$AQ$42,22,0)</f>
        <v>0</v>
      </c>
      <c r="K15" s="36">
        <f>VLOOKUP($A15,[24]HISTOJUIN24!$A$6:$AU$38,45,0)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VLOOKUP($A15,[24]HISTOJUIN24!$A$6:$AU$38,7,0)</f>
        <v>0</v>
      </c>
      <c r="Q15" s="36">
        <f>VLOOKUP($A15,[24]HISTOJUIN24!$A$6:$AU$38,23,0)</f>
        <v>0</v>
      </c>
      <c r="R15" s="36">
        <f>VLOOKUP($A15,[24]HISTOJUIN24!$A$6:$AU$38,46,0)</f>
        <v>0</v>
      </c>
      <c r="S15" s="36">
        <f>VLOOKUP($A15,[24]HISTOJUIN24!$A$6:$AU$38,26,0)</f>
        <v>0</v>
      </c>
      <c r="T15" s="36">
        <f>VLOOKUP($A15,[24]HISTOJUIN24!$A$6:$BG$38,58,0)</f>
        <v>0</v>
      </c>
      <c r="U15" s="36">
        <f>VLOOKUP($A15,[24]HISTOJUIN24!$A$6:$AU$38,28,0)</f>
        <v>0</v>
      </c>
      <c r="V15" s="36">
        <f>VLOOKUP($A15,[24]HISTOJUIN24!$A$6:$AU$38,19,0)</f>
        <v>0</v>
      </c>
      <c r="W15" s="36">
        <f>VLOOKUP($A15,[24]HISTOJUIN24!$A$6:$AU$38,20,0)</f>
        <v>0</v>
      </c>
      <c r="X15" s="36">
        <f>VLOOKUP($A15,[24]HISTOJUIN24!$A$6:$AU$38,27,0)</f>
        <v>0</v>
      </c>
      <c r="Y15" s="36">
        <f>VLOOKUP($A15,[24]HISTOJUIN24!$A$6:$BM$38,33,0)</f>
        <v>0</v>
      </c>
      <c r="Z15" s="36">
        <f>VLOOKUP($A15,[24]HISTOJUIN24!$A$6:$BM$38,65,0)</f>
        <v>0</v>
      </c>
      <c r="AA15" s="36"/>
      <c r="AB15" s="36">
        <f>VLOOKUP($A15,[24]HISTOJUIN24!$A$6:$AU$38,43,0)</f>
        <v>0</v>
      </c>
      <c r="AC15" s="36">
        <f>VLOOKUP($A15,[24]HISTOJUIN24!$A$6:$AU$38,44,0)</f>
        <v>0</v>
      </c>
      <c r="AD15" s="36">
        <f>VLOOKUP($A15,[24]HISTOJUIN24!$A$6:$AU$38,47,0)</f>
        <v>0</v>
      </c>
      <c r="AE15" s="36">
        <f>VLOOKUP(A15,[24]HISTOJUIN24!$A$6:$BB$38,54,0)</f>
        <v>0</v>
      </c>
      <c r="AF15" s="36">
        <f>VLOOKUP($A15,[24]HISTOJUIN24!$A$6:$CA$38,60,0)</f>
        <v>0</v>
      </c>
      <c r="AG15" s="36">
        <f>VLOOKUP($A15,[24]HISTOJUIN24!$A$6:$CA$38,61,0)</f>
        <v>0</v>
      </c>
      <c r="AH15" s="36">
        <f>VLOOKUP($A15,[24]HISTOJUIN24!$A$6:$CA$38,62,0)</f>
        <v>0</v>
      </c>
      <c r="AI15" s="36">
        <f>VLOOKUP($A15,[24]HISTOJUIN24!$A$6:$CA$38,63,0)</f>
        <v>0</v>
      </c>
      <c r="AJ15" s="36">
        <f>VLOOKUP($A15,[24]HISTOJUIN24!$A$6:$CA$38,64,0)</f>
        <v>0</v>
      </c>
      <c r="AK15" s="36">
        <f>VLOOKUP($A15,[24]HISTOJUIN24!$A$6:$CA$38,65,0)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VLOOKUP($A16,[24]HISTOJUIN24!$A$6:$BA$38,48,0)</f>
        <v>0</v>
      </c>
      <c r="F16" s="36">
        <f>MVTMAI24!I16-E16+L16</f>
        <v>1033858.7065070483</v>
      </c>
      <c r="G16" s="5">
        <f>IF(MVTMAI24!I16+L16&gt;700000,(MVTMAI24!I16-E16+L16),0)</f>
        <v>1033858.7065070483</v>
      </c>
      <c r="H16" s="36">
        <f t="shared" si="0"/>
        <v>0</v>
      </c>
      <c r="I16" s="6">
        <f t="shared" si="2"/>
        <v>1033858.7065070483</v>
      </c>
      <c r="J16" s="36">
        <f>VLOOKUP($A16,[24]HISTOJUIN24!$A$6:$AQ$42,22,0)</f>
        <v>0</v>
      </c>
      <c r="K16" s="36">
        <f>VLOOKUP($A16,[24]HISTOJUIN24!$A$6:$AU$38,45,0)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VLOOKUP($A16,[24]HISTOJUIN24!$A$6:$AU$38,7,0)</f>
        <v>0</v>
      </c>
      <c r="Q16" s="36">
        <f>VLOOKUP($A16,[24]HISTOJUIN24!$A$6:$AU$38,23,0)</f>
        <v>0</v>
      </c>
      <c r="R16" s="36">
        <f>VLOOKUP($A16,[24]HISTOJUIN24!$A$6:$AU$38,46,0)</f>
        <v>0</v>
      </c>
      <c r="S16" s="36">
        <f>VLOOKUP($A16,[24]HISTOJUIN24!$A$6:$AU$38,26,0)</f>
        <v>0</v>
      </c>
      <c r="T16" s="36">
        <f>VLOOKUP($A16,[24]HISTOJUIN24!$A$6:$BG$38,58,0)</f>
        <v>0</v>
      </c>
      <c r="U16" s="36">
        <f>VLOOKUP($A16,[24]HISTOJUIN24!$A$6:$AU$38,28,0)</f>
        <v>0</v>
      </c>
      <c r="V16" s="36">
        <f>VLOOKUP($A16,[24]HISTOJUIN24!$A$6:$AU$38,19,0)</f>
        <v>0</v>
      </c>
      <c r="W16" s="36">
        <f>VLOOKUP($A16,[24]HISTOJUIN24!$A$6:$AU$38,20,0)</f>
        <v>0</v>
      </c>
      <c r="X16" s="36">
        <f>VLOOKUP($A16,[24]HISTOJUIN24!$A$6:$AU$38,27,0)</f>
        <v>0</v>
      </c>
      <c r="Y16" s="36">
        <f>VLOOKUP($A16,[24]HISTOJUIN24!$A$6:$BM$38,33,0)</f>
        <v>0</v>
      </c>
      <c r="Z16" s="36">
        <f>VLOOKUP($A16,[24]HISTOJUIN24!$A$6:$BM$38,65,0)</f>
        <v>0</v>
      </c>
      <c r="AA16" s="36"/>
      <c r="AB16" s="36">
        <f>VLOOKUP($A16,[24]HISTOJUIN24!$A$6:$AU$38,43,0)</f>
        <v>0</v>
      </c>
      <c r="AC16" s="36">
        <f>VLOOKUP($A16,[24]HISTOJUIN24!$A$6:$AU$38,44,0)</f>
        <v>0</v>
      </c>
      <c r="AD16" s="36">
        <f>VLOOKUP($A16,[24]HISTOJUIN24!$A$6:$AU$38,47,0)</f>
        <v>0</v>
      </c>
      <c r="AE16" s="36">
        <f>VLOOKUP(A16,[24]HISTOJUIN24!$A$6:$BB$38,54,0)</f>
        <v>0</v>
      </c>
      <c r="AF16" s="36">
        <f>VLOOKUP($A16,[24]HISTOJUIN24!$A$6:$CA$38,60,0)</f>
        <v>0</v>
      </c>
      <c r="AG16" s="36">
        <f>VLOOKUP($A16,[24]HISTOJUIN24!$A$6:$CA$38,61,0)</f>
        <v>0</v>
      </c>
      <c r="AH16" s="36">
        <f>VLOOKUP($A16,[24]HISTOJUIN24!$A$6:$CA$38,62,0)</f>
        <v>0</v>
      </c>
      <c r="AI16" s="36">
        <f>VLOOKUP($A16,[24]HISTOJUIN24!$A$6:$CA$38,63,0)</f>
        <v>0</v>
      </c>
      <c r="AJ16" s="36">
        <f>VLOOKUP($A16,[24]HISTOJUIN24!$A$6:$CA$38,64,0)</f>
        <v>0</v>
      </c>
      <c r="AK16" s="36">
        <f>VLOOKUP($A16,[24]HISTOJUIN24!$A$6:$CA$38,65,0)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VLOOKUP($A17,[24]HISTOJUIN24!$A$6:$BA$38,48,0)</f>
        <v>0</v>
      </c>
      <c r="F17" s="36">
        <f>MVTMAI24!I17-E17+L17</f>
        <v>871402.7005255461</v>
      </c>
      <c r="G17" s="5">
        <f>IF(MVTMAI24!I17+L17&gt;700000,(MVTMAI24!I17-E17+L17),0)</f>
        <v>871402.7005255461</v>
      </c>
      <c r="H17" s="36">
        <f t="shared" si="0"/>
        <v>0</v>
      </c>
      <c r="I17" s="6">
        <f t="shared" si="2"/>
        <v>871402.7005255461</v>
      </c>
      <c r="J17" s="36">
        <f>VLOOKUP($A17,[24]HISTOJUIN24!$A$6:$AQ$42,22,0)</f>
        <v>0</v>
      </c>
      <c r="K17" s="36">
        <f>VLOOKUP($A17,[24]HISTOJUIN24!$A$6:$AU$38,45,0)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VLOOKUP($A17,[24]HISTOJUIN24!$A$6:$AU$38,7,0)</f>
        <v>0</v>
      </c>
      <c r="Q17" s="36">
        <f>VLOOKUP($A17,[24]HISTOJUIN24!$A$6:$AU$38,23,0)</f>
        <v>0</v>
      </c>
      <c r="R17" s="36">
        <f>VLOOKUP($A17,[24]HISTOJUIN24!$A$6:$AU$38,46,0)</f>
        <v>0</v>
      </c>
      <c r="S17" s="36">
        <f>VLOOKUP($A17,[24]HISTOJUIN24!$A$6:$AU$38,26,0)</f>
        <v>0</v>
      </c>
      <c r="T17" s="36">
        <f>VLOOKUP($A17,[24]HISTOJUIN24!$A$6:$BG$38,58,0)</f>
        <v>0</v>
      </c>
      <c r="U17" s="36">
        <f>VLOOKUP($A17,[24]HISTOJUIN24!$A$6:$AU$38,28,0)</f>
        <v>0</v>
      </c>
      <c r="V17" s="36">
        <f>VLOOKUP($A17,[24]HISTOJUIN24!$A$6:$AU$38,19,0)</f>
        <v>0</v>
      </c>
      <c r="W17" s="36">
        <f>VLOOKUP($A17,[24]HISTOJUIN24!$A$6:$AU$38,20,0)</f>
        <v>0</v>
      </c>
      <c r="X17" s="36">
        <f>VLOOKUP($A17,[24]HISTOJUIN24!$A$6:$AU$38,27,0)</f>
        <v>0</v>
      </c>
      <c r="Y17" s="36">
        <f>VLOOKUP($A17,[24]HISTOJUIN24!$A$6:$BM$38,33,0)</f>
        <v>0</v>
      </c>
      <c r="Z17" s="36">
        <f>VLOOKUP($A17,[24]HISTOJUIN24!$A$6:$BM$38,65,0)</f>
        <v>0</v>
      </c>
      <c r="AA17" s="36"/>
      <c r="AB17" s="36">
        <f>VLOOKUP($A17,[24]HISTOJUIN24!$A$6:$AU$38,43,0)</f>
        <v>0</v>
      </c>
      <c r="AC17" s="36">
        <f>VLOOKUP($A17,[24]HISTOJUIN24!$A$6:$AU$38,44,0)</f>
        <v>0</v>
      </c>
      <c r="AD17" s="36">
        <f>VLOOKUP($A17,[24]HISTOJUIN24!$A$6:$AU$38,47,0)</f>
        <v>0</v>
      </c>
      <c r="AE17" s="36">
        <f>VLOOKUP(A17,[24]HISTOJUIN24!$A$6:$BB$38,54,0)</f>
        <v>0</v>
      </c>
      <c r="AF17" s="36">
        <f>VLOOKUP($A17,[24]HISTOJUIN24!$A$6:$CA$38,60,0)</f>
        <v>0</v>
      </c>
      <c r="AG17" s="36">
        <f>VLOOKUP($A17,[24]HISTOJUIN24!$A$6:$CA$38,61,0)</f>
        <v>0</v>
      </c>
      <c r="AH17" s="36">
        <f>VLOOKUP($A17,[24]HISTOJUIN24!$A$6:$CA$38,62,0)</f>
        <v>0</v>
      </c>
      <c r="AI17" s="36">
        <f>VLOOKUP($A17,[24]HISTOJUIN24!$A$6:$CA$38,63,0)</f>
        <v>0</v>
      </c>
      <c r="AJ17" s="36">
        <f>VLOOKUP($A17,[24]HISTOJUIN24!$A$6:$CA$38,64,0)</f>
        <v>0</v>
      </c>
      <c r="AK17" s="36">
        <f>VLOOKUP($A17,[24]HISTOJUIN24!$A$6:$CA$38,65,0)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VLOOKUP($A18,[24]HISTOJUIN24!$A$6:$BA$38,48,0)</f>
        <v>0</v>
      </c>
      <c r="F18" s="36">
        <f>MVTMAI24!I18-E18+L18</f>
        <v>917662.76419736946</v>
      </c>
      <c r="G18" s="5">
        <f>IF(MVTMAI24!I18+L18&gt;700000,(MVTMAI24!I18-E18+L18),0)</f>
        <v>917662.76419736946</v>
      </c>
      <c r="H18" s="36">
        <f t="shared" si="0"/>
        <v>0</v>
      </c>
      <c r="I18" s="6">
        <f t="shared" si="2"/>
        <v>917662.76419736946</v>
      </c>
      <c r="J18" s="36">
        <f>VLOOKUP($A18,[24]HISTOJUIN24!$A$6:$AQ$42,22,0)</f>
        <v>0</v>
      </c>
      <c r="K18" s="36">
        <f>VLOOKUP($A18,[24]HISTOJUIN24!$A$6:$AU$38,45,0)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VLOOKUP($A18,[24]HISTOJUIN24!$A$6:$AU$38,7,0)</f>
        <v>0</v>
      </c>
      <c r="Q18" s="36">
        <f>VLOOKUP($A18,[24]HISTOJUIN24!$A$6:$AU$38,23,0)</f>
        <v>0</v>
      </c>
      <c r="R18" s="36">
        <f>VLOOKUP($A18,[24]HISTOJUIN24!$A$6:$AU$38,46,0)</f>
        <v>0</v>
      </c>
      <c r="S18" s="36">
        <f>VLOOKUP($A18,[24]HISTOJUIN24!$A$6:$AU$38,26,0)</f>
        <v>0</v>
      </c>
      <c r="T18" s="36">
        <f>VLOOKUP($A18,[24]HISTOJUIN24!$A$6:$BG$38,58,0)</f>
        <v>0</v>
      </c>
      <c r="U18" s="36">
        <f>VLOOKUP($A18,[24]HISTOJUIN24!$A$6:$AU$38,28,0)</f>
        <v>0</v>
      </c>
      <c r="V18" s="36">
        <f>VLOOKUP($A18,[24]HISTOJUIN24!$A$6:$AU$38,19,0)</f>
        <v>0</v>
      </c>
      <c r="W18" s="36">
        <f>VLOOKUP($A18,[24]HISTOJUIN24!$A$6:$AU$38,20,0)</f>
        <v>0</v>
      </c>
      <c r="X18" s="36">
        <f>VLOOKUP($A18,[24]HISTOJUIN24!$A$6:$AU$38,27,0)</f>
        <v>0</v>
      </c>
      <c r="Y18" s="36">
        <f>VLOOKUP($A18,[24]HISTOJUIN24!$A$6:$BM$38,33,0)</f>
        <v>0</v>
      </c>
      <c r="Z18" s="36">
        <f>VLOOKUP($A18,[24]HISTOJUIN24!$A$6:$BM$38,65,0)</f>
        <v>0</v>
      </c>
      <c r="AA18" s="36"/>
      <c r="AB18" s="36">
        <f>VLOOKUP($A18,[24]HISTOJUIN24!$A$6:$AU$38,43,0)</f>
        <v>0</v>
      </c>
      <c r="AC18" s="36">
        <f>VLOOKUP($A18,[24]HISTOJUIN24!$A$6:$AU$38,44,0)</f>
        <v>0</v>
      </c>
      <c r="AD18" s="36">
        <f>VLOOKUP($A18,[24]HISTOJUIN24!$A$6:$AU$38,47,0)</f>
        <v>0</v>
      </c>
      <c r="AE18" s="36">
        <f>VLOOKUP(A18,[24]HISTOJUIN24!$A$6:$BB$38,54,0)</f>
        <v>0</v>
      </c>
      <c r="AF18" s="36">
        <f>VLOOKUP($A18,[24]HISTOJUIN24!$A$6:$CA$38,60,0)</f>
        <v>0</v>
      </c>
      <c r="AG18" s="36">
        <f>VLOOKUP($A18,[24]HISTOJUIN24!$A$6:$CA$38,61,0)</f>
        <v>0</v>
      </c>
      <c r="AH18" s="36">
        <f>VLOOKUP($A18,[24]HISTOJUIN24!$A$6:$CA$38,62,0)</f>
        <v>0</v>
      </c>
      <c r="AI18" s="36">
        <f>VLOOKUP($A18,[24]HISTOJUIN24!$A$6:$CA$38,63,0)</f>
        <v>0</v>
      </c>
      <c r="AJ18" s="36">
        <f>VLOOKUP($A18,[24]HISTOJUIN24!$A$6:$CA$38,64,0)</f>
        <v>0</v>
      </c>
      <c r="AK18" s="36">
        <f>VLOOKUP($A18,[24]HISTOJUIN24!$A$6:$CA$38,65,0)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MVTMAI24!I19-E19+L19</f>
        <v>676217.13072703336</v>
      </c>
      <c r="G19" s="5">
        <f>IF(MVTMAI24!I19+L19&gt;700000,(MVTMAI24!I19-E19+L19),0)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MVTMAI24!I20-E20+L20</f>
        <v>114000</v>
      </c>
      <c r="G20" s="5">
        <f>IF(MVTMAI24!I20+L20&gt;700000,(MVTMAI24!I20-E20+L20),0)</f>
        <v>0</v>
      </c>
      <c r="H20" s="36">
        <f t="shared" si="0"/>
        <v>0</v>
      </c>
      <c r="I20" s="6">
        <f t="shared" si="2"/>
        <v>114000</v>
      </c>
      <c r="J20" s="36">
        <f>VLOOKUP($A20,[24]HISTOJUIN24!$A$6:$AQ$42,22,0)</f>
        <v>0</v>
      </c>
      <c r="K20" s="36">
        <f>VLOOKUP($A20,[24]HISTOJUIN24!$A$6:$AU$38,45,0)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VLOOKUP($A20,[24]HISTOJUIN24!$A$6:$AU$38,7,0)</f>
        <v>0</v>
      </c>
      <c r="Q20" s="36">
        <f>VLOOKUP($A20,[24]HISTOJUIN24!$A$6:$AU$38,23,0)</f>
        <v>0</v>
      </c>
      <c r="R20" s="36">
        <f>VLOOKUP($A20,[24]HISTOJUIN24!$A$6:$AU$38,46,0)</f>
        <v>0</v>
      </c>
      <c r="S20" s="36">
        <f>VLOOKUP($A20,[24]HISTOJUIN24!$A$6:$AU$38,26,0)</f>
        <v>0</v>
      </c>
      <c r="T20" s="36">
        <f>VLOOKUP($A20,[24]HISTOJUIN24!$A$6:$BG$38,58,0)</f>
        <v>0</v>
      </c>
      <c r="U20" s="36">
        <f>VLOOKUP($A20,[24]HISTOJUIN24!$A$6:$AU$38,28,0)</f>
        <v>0</v>
      </c>
      <c r="V20" s="36">
        <f>VLOOKUP($A20,[24]HISTOJUIN24!$A$6:$AU$38,19,0)</f>
        <v>0</v>
      </c>
      <c r="W20" s="36">
        <f>VLOOKUP($A20,[24]HISTOJUIN24!$A$6:$AU$38,20,0)</f>
        <v>0</v>
      </c>
      <c r="X20" s="36">
        <f>VLOOKUP($A20,[24]HISTOJUIN24!$A$6:$AU$38,27,0)</f>
        <v>0</v>
      </c>
      <c r="Y20" s="36">
        <f>VLOOKUP($A20,[24]HISTOJUIN24!$A$6:$BM$38,33,0)</f>
        <v>0</v>
      </c>
      <c r="Z20" s="36">
        <f>VLOOKUP($A20,[24]HISTOJUIN24!$A$6:$BM$38,65,0)</f>
        <v>0</v>
      </c>
      <c r="AA20" s="36"/>
      <c r="AB20" s="36">
        <f>VLOOKUP($A20,[24]HISTOJUIN24!$A$6:$AU$38,43,0)</f>
        <v>0</v>
      </c>
      <c r="AC20" s="36">
        <f>VLOOKUP($A20,[24]HISTOJUIN24!$A$6:$AU$38,44,0)</f>
        <v>0</v>
      </c>
      <c r="AD20" s="36">
        <f>VLOOKUP($A20,[24]HISTOJUIN24!$A$6:$AU$38,47,0)</f>
        <v>0</v>
      </c>
      <c r="AE20" s="36">
        <f>VLOOKUP(A20,[24]HISTOJUIN24!$A$6:$BB$38,54,0)</f>
        <v>0</v>
      </c>
      <c r="AF20" s="36">
        <f>VLOOKUP($A20,[24]HISTOJUIN24!$A$6:$CA$38,60,0)</f>
        <v>0</v>
      </c>
      <c r="AG20" s="36">
        <f>VLOOKUP($A20,[24]HISTOJUIN24!$A$6:$CA$38,61,0)</f>
        <v>0</v>
      </c>
      <c r="AH20" s="36">
        <f>VLOOKUP($A20,[24]HISTOJUIN24!$A$6:$CA$38,62,0)</f>
        <v>0</v>
      </c>
      <c r="AI20" s="36">
        <f>VLOOKUP($A20,[24]HISTOJUIN24!$A$6:$CA$38,63,0)</f>
        <v>0</v>
      </c>
      <c r="AJ20" s="36">
        <f>VLOOKUP($A20,[24]HISTOJUIN24!$A$6:$CA$38,64,0)</f>
        <v>0</v>
      </c>
      <c r="AK20" s="36">
        <f>VLOOKUP($A20,[24]HISTOJUIN24!$A$6:$CA$38,65,0)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MVTMAI24!I21-E21+L21</f>
        <v>894355.80062958295</v>
      </c>
      <c r="G21" s="5">
        <f>IF(MVTMAI24!I21+L21&gt;700000,(MVTMAI24!I21-E21+L21),0)</f>
        <v>894355.80062958295</v>
      </c>
      <c r="H21" s="36">
        <f t="shared" si="0"/>
        <v>0</v>
      </c>
      <c r="I21" s="6">
        <f t="shared" si="2"/>
        <v>894355.80062958295</v>
      </c>
      <c r="J21" s="36">
        <f>VLOOKUP($A21,[24]HISTOJUIN24!$A$6:$AQ$42,22,0)</f>
        <v>0</v>
      </c>
      <c r="K21" s="36">
        <f>VLOOKUP($A21,[24]HISTOJUIN24!$A$6:$AU$38,45,0)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VLOOKUP($A21,[24]HISTOJUIN24!$A$6:$AU$38,7,0)</f>
        <v>0</v>
      </c>
      <c r="Q21" s="36">
        <f>VLOOKUP($A21,[24]HISTOJUIN24!$A$6:$AU$38,23,0)</f>
        <v>0</v>
      </c>
      <c r="R21" s="36">
        <f>VLOOKUP($A21,[24]HISTOJUIN24!$A$6:$AU$38,46,0)</f>
        <v>0</v>
      </c>
      <c r="S21" s="36">
        <f>VLOOKUP($A21,[24]HISTOJUIN24!$A$6:$AU$38,26,0)</f>
        <v>0</v>
      </c>
      <c r="T21" s="36">
        <f>VLOOKUP($A21,[24]HISTOJUIN24!$A$6:$BG$38,58,0)</f>
        <v>0</v>
      </c>
      <c r="U21" s="36">
        <f>VLOOKUP($A21,[24]HISTOJUIN24!$A$6:$AU$38,28,0)</f>
        <v>0</v>
      </c>
      <c r="V21" s="36">
        <f>VLOOKUP($A21,[24]HISTOJUIN24!$A$6:$AU$38,19,0)</f>
        <v>0</v>
      </c>
      <c r="W21" s="36">
        <f>VLOOKUP($A21,[24]HISTOJUIN24!$A$6:$AU$38,20,0)</f>
        <v>0</v>
      </c>
      <c r="X21" s="36">
        <f>VLOOKUP($A21,[24]HISTOJUIN24!$A$6:$AU$38,27,0)</f>
        <v>0</v>
      </c>
      <c r="Y21" s="36">
        <f>VLOOKUP($A21,[24]HISTOJUIN24!$A$6:$BM$38,33,0)</f>
        <v>0</v>
      </c>
      <c r="Z21" s="36">
        <f>VLOOKUP($A21,[24]HISTOJUIN24!$A$6:$BM$38,65,0)</f>
        <v>0</v>
      </c>
      <c r="AA21" s="36"/>
      <c r="AB21" s="36">
        <f>VLOOKUP($A21,[24]HISTOJUIN24!$A$6:$AU$38,43,0)</f>
        <v>0</v>
      </c>
      <c r="AC21" s="36">
        <f>VLOOKUP($A21,[24]HISTOJUIN24!$A$6:$AU$38,44,0)</f>
        <v>0</v>
      </c>
      <c r="AD21" s="36">
        <f>VLOOKUP($A21,[24]HISTOJUIN24!$A$6:$AU$38,47,0)</f>
        <v>0</v>
      </c>
      <c r="AE21" s="36">
        <f>VLOOKUP(A21,[24]HISTOJUIN24!$A$6:$BB$38,54,0)</f>
        <v>0</v>
      </c>
      <c r="AF21" s="36">
        <f>VLOOKUP($A21,[24]HISTOJUIN24!$A$6:$CA$38,60,0)</f>
        <v>0</v>
      </c>
      <c r="AG21" s="36">
        <f>VLOOKUP($A21,[24]HISTOJUIN24!$A$6:$CA$38,61,0)</f>
        <v>0</v>
      </c>
      <c r="AH21" s="36">
        <f>VLOOKUP($A21,[24]HISTOJUIN24!$A$6:$CA$38,62,0)</f>
        <v>0</v>
      </c>
      <c r="AI21" s="36">
        <f>VLOOKUP($A21,[24]HISTOJUIN24!$A$6:$CA$38,63,0)</f>
        <v>0</v>
      </c>
      <c r="AJ21" s="36">
        <f>VLOOKUP($A21,[24]HISTOJUIN24!$A$6:$CA$38,64,0)</f>
        <v>0</v>
      </c>
      <c r="AK21" s="36">
        <f>VLOOKUP($A21,[24]HISTOJUIN24!$A$6:$CA$38,65,0)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MVTMAI24!I22-E22+L22</f>
        <v>862738.95952735876</v>
      </c>
      <c r="G22" s="5">
        <f>IF(MVTMAI24!I22+L22&gt;700000,(MVTMAI24!I22-E22+L22),0)</f>
        <v>862738.95952735876</v>
      </c>
      <c r="H22" s="36">
        <f t="shared" si="0"/>
        <v>0</v>
      </c>
      <c r="I22" s="6">
        <f t="shared" si="2"/>
        <v>862738.95952735876</v>
      </c>
      <c r="J22" s="36">
        <f>VLOOKUP($A22,[24]HISTOJUIN24!$A$6:$AQ$42,22,0)</f>
        <v>0</v>
      </c>
      <c r="K22" s="36">
        <f>VLOOKUP($A22,[24]HISTOJUIN24!$A$6:$AU$38,45,0)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VLOOKUP($A22,[24]HISTOJUIN24!$A$6:$AU$38,7,0)</f>
        <v>0</v>
      </c>
      <c r="Q22" s="36">
        <f>VLOOKUP($A22,[24]HISTOJUIN24!$A$6:$AU$38,23,0)</f>
        <v>0</v>
      </c>
      <c r="R22" s="36">
        <f>VLOOKUP($A22,[24]HISTOJUIN24!$A$6:$AU$38,46,0)</f>
        <v>0</v>
      </c>
      <c r="S22" s="36">
        <f>VLOOKUP($A22,[24]HISTOJUIN24!$A$6:$AU$38,26,0)</f>
        <v>0</v>
      </c>
      <c r="T22" s="36">
        <f>VLOOKUP($A22,[24]HISTOJUIN24!$A$6:$BG$38,58,0)</f>
        <v>0</v>
      </c>
      <c r="U22" s="36">
        <f>VLOOKUP($A22,[24]HISTOJUIN24!$A$6:$AU$38,28,0)</f>
        <v>0</v>
      </c>
      <c r="V22" s="36">
        <f>VLOOKUP($A22,[24]HISTOJUIN24!$A$6:$AU$38,19,0)</f>
        <v>0</v>
      </c>
      <c r="W22" s="36">
        <f>VLOOKUP($A22,[24]HISTOJUIN24!$A$6:$AU$38,20,0)</f>
        <v>0</v>
      </c>
      <c r="X22" s="36">
        <f>VLOOKUP($A22,[24]HISTOJUIN24!$A$6:$AU$38,27,0)</f>
        <v>0</v>
      </c>
      <c r="Y22" s="36">
        <f>VLOOKUP($A22,[24]HISTOJUIN24!$A$6:$BM$38,33,0)</f>
        <v>0</v>
      </c>
      <c r="Z22" s="36">
        <f>VLOOKUP($A22,[24]HISTOJUIN24!$A$6:$BM$38,65,0)</f>
        <v>0</v>
      </c>
      <c r="AA22" s="36"/>
      <c r="AB22" s="36">
        <f>VLOOKUP($A22,[24]HISTOJUIN24!$A$6:$AU$38,43,0)</f>
        <v>0</v>
      </c>
      <c r="AC22" s="36">
        <f>VLOOKUP($A22,[24]HISTOJUIN24!$A$6:$AU$38,44,0)</f>
        <v>0</v>
      </c>
      <c r="AD22" s="36">
        <f>VLOOKUP($A22,[24]HISTOJUIN24!$A$6:$AU$38,47,0)</f>
        <v>0</v>
      </c>
      <c r="AE22" s="36">
        <f>VLOOKUP(A22,[24]HISTOJUIN24!$A$6:$BB$38,54,0)</f>
        <v>0</v>
      </c>
      <c r="AF22" s="36">
        <f>VLOOKUP($A22,[24]HISTOJUIN24!$A$6:$CA$38,60,0)</f>
        <v>0</v>
      </c>
      <c r="AG22" s="36">
        <f>VLOOKUP($A22,[24]HISTOJUIN24!$A$6:$CA$38,61,0)</f>
        <v>0</v>
      </c>
      <c r="AH22" s="36">
        <f>VLOOKUP($A22,[24]HISTOJUIN24!$A$6:$CA$38,62,0)</f>
        <v>0</v>
      </c>
      <c r="AI22" s="36">
        <f>VLOOKUP($A22,[24]HISTOJUIN24!$A$6:$CA$38,63,0)</f>
        <v>0</v>
      </c>
      <c r="AJ22" s="36">
        <f>VLOOKUP($A22,[24]HISTOJUIN24!$A$6:$CA$38,64,0)</f>
        <v>0</v>
      </c>
      <c r="AK22" s="36">
        <f>VLOOKUP($A22,[24]HISTOJUIN24!$A$6:$CA$38,65,0)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MVTMAI24!I23-E23+L23</f>
        <v>968674.32467319479</v>
      </c>
      <c r="G23" s="5">
        <f>IF(MVTMAI24!I23+L23&gt;700000,(MVTMAI24!I23-E23+L23),0)</f>
        <v>968674.32467319479</v>
      </c>
      <c r="H23" s="36">
        <f t="shared" si="0"/>
        <v>0</v>
      </c>
      <c r="I23" s="6">
        <f t="shared" si="2"/>
        <v>968674.32467319479</v>
      </c>
      <c r="J23" s="36">
        <f>VLOOKUP($A23,[24]HISTOJUIN24!$A$6:$AQ$42,22,0)</f>
        <v>0</v>
      </c>
      <c r="K23" s="36">
        <f>VLOOKUP($A23,[24]HISTOJUIN24!$A$6:$AU$38,45,0)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VLOOKUP($A23,[24]HISTOJUIN24!$A$6:$AU$38,7,0)</f>
        <v>0</v>
      </c>
      <c r="Q23" s="36">
        <f>VLOOKUP($A23,[24]HISTOJUIN24!$A$6:$AU$38,23,0)</f>
        <v>0</v>
      </c>
      <c r="R23" s="36">
        <f>VLOOKUP($A23,[24]HISTOJUIN24!$A$6:$AU$38,46,0)</f>
        <v>0</v>
      </c>
      <c r="S23" s="36">
        <f>VLOOKUP($A23,[24]HISTOJUIN24!$A$6:$AU$38,26,0)</f>
        <v>0</v>
      </c>
      <c r="T23" s="36">
        <f>VLOOKUP($A23,[24]HISTOJUIN24!$A$6:$BG$38,58,0)</f>
        <v>0</v>
      </c>
      <c r="U23" s="36">
        <f>VLOOKUP($A23,[24]HISTOJUIN24!$A$6:$AU$38,28,0)</f>
        <v>0</v>
      </c>
      <c r="V23" s="36">
        <f>VLOOKUP($A23,[24]HISTOJUIN24!$A$6:$AU$38,19,0)</f>
        <v>0</v>
      </c>
      <c r="W23" s="36">
        <f>VLOOKUP($A23,[24]HISTOJUIN24!$A$6:$AU$38,20,0)</f>
        <v>0</v>
      </c>
      <c r="X23" s="36">
        <f>VLOOKUP($A23,[24]HISTOJUIN24!$A$6:$AU$38,27,0)</f>
        <v>0</v>
      </c>
      <c r="Y23" s="36">
        <f>VLOOKUP($A23,[24]HISTOJUIN24!$A$6:$BM$38,33,0)</f>
        <v>0</v>
      </c>
      <c r="Z23" s="36">
        <f>VLOOKUP($A23,[24]HISTOJUIN24!$A$6:$BM$38,65,0)</f>
        <v>0</v>
      </c>
      <c r="AA23" s="36"/>
      <c r="AB23" s="36">
        <f>VLOOKUP($A23,[24]HISTOJUIN24!$A$6:$AU$38,43,0)</f>
        <v>0</v>
      </c>
      <c r="AC23" s="36">
        <f>VLOOKUP($A23,[24]HISTOJUIN24!$A$6:$AU$38,44,0)</f>
        <v>0</v>
      </c>
      <c r="AD23" s="36">
        <f>VLOOKUP($A23,[24]HISTOJUIN24!$A$6:$AU$38,47,0)</f>
        <v>0</v>
      </c>
      <c r="AE23" s="36">
        <f>VLOOKUP(A23,[24]HISTOJUIN24!$A$6:$BB$38,54,0)</f>
        <v>0</v>
      </c>
      <c r="AF23" s="36">
        <f>VLOOKUP($A23,[24]HISTOJUIN24!$A$6:$CA$38,60,0)</f>
        <v>0</v>
      </c>
      <c r="AG23" s="36">
        <f>VLOOKUP($A23,[24]HISTOJUIN24!$A$6:$CA$38,61,0)</f>
        <v>0</v>
      </c>
      <c r="AH23" s="36">
        <f>VLOOKUP($A23,[24]HISTOJUIN24!$A$6:$CA$38,62,0)</f>
        <v>0</v>
      </c>
      <c r="AI23" s="36">
        <f>VLOOKUP($A23,[24]HISTOJUIN24!$A$6:$CA$38,63,0)</f>
        <v>0</v>
      </c>
      <c r="AJ23" s="36">
        <f>VLOOKUP($A23,[24]HISTOJUIN24!$A$6:$CA$38,64,0)</f>
        <v>0</v>
      </c>
      <c r="AK23" s="36">
        <f>VLOOKUP($A23,[24]HISTOJUIN24!$A$6:$CA$38,65,0)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MVTMAI24!I24-E24+L24</f>
        <v>1141827.8441992993</v>
      </c>
      <c r="G24" s="5">
        <f>IF(MVTMAI24!I24+L24&gt;700000,(MVTMAI24!I24-E24+L24),0)</f>
        <v>1141827.8441992993</v>
      </c>
      <c r="H24" s="36">
        <f t="shared" si="0"/>
        <v>0</v>
      </c>
      <c r="I24" s="6">
        <f t="shared" si="2"/>
        <v>1141827.8441992993</v>
      </c>
      <c r="J24" s="36">
        <f>VLOOKUP($A24,[24]HISTOJUIN24!$A$6:$AQ$42,22,0)</f>
        <v>0</v>
      </c>
      <c r="K24" s="36">
        <f>VLOOKUP($A24,[24]HISTOJUIN24!$A$6:$AU$38,45,0)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VLOOKUP($A24,[24]HISTOJUIN24!$A$6:$AU$38,7,0)</f>
        <v>0</v>
      </c>
      <c r="Q24" s="36">
        <f>VLOOKUP($A24,[24]HISTOJUIN24!$A$6:$AU$38,23,0)</f>
        <v>0</v>
      </c>
      <c r="R24" s="36">
        <f>VLOOKUP($A24,[24]HISTOJUIN24!$A$6:$AU$38,46,0)</f>
        <v>0</v>
      </c>
      <c r="S24" s="36">
        <f>VLOOKUP($A24,[24]HISTOJUIN24!$A$6:$AU$38,26,0)</f>
        <v>0</v>
      </c>
      <c r="T24" s="36">
        <f>VLOOKUP($A24,[24]HISTOJUIN24!$A$6:$BG$38,58,0)</f>
        <v>0</v>
      </c>
      <c r="U24" s="36">
        <f>VLOOKUP($A24,[24]HISTOJUIN24!$A$6:$AU$38,28,0)</f>
        <v>0</v>
      </c>
      <c r="V24" s="36">
        <f>VLOOKUP($A24,[24]HISTOJUIN24!$A$6:$AU$38,19,0)</f>
        <v>0</v>
      </c>
      <c r="W24" s="36">
        <f>VLOOKUP($A24,[24]HISTOJUIN24!$A$6:$AU$38,20,0)</f>
        <v>0</v>
      </c>
      <c r="X24" s="36">
        <f>VLOOKUP($A24,[24]HISTOJUIN24!$A$6:$AU$38,27,0)</f>
        <v>0</v>
      </c>
      <c r="Y24" s="36">
        <f>VLOOKUP($A24,[24]HISTOJUIN24!$A$6:$BM$38,33,0)</f>
        <v>0</v>
      </c>
      <c r="Z24" s="36">
        <f>VLOOKUP($A24,[24]HISTOJUIN24!$A$6:$BM$38,65,0)</f>
        <v>0</v>
      </c>
      <c r="AA24" s="36"/>
      <c r="AB24" s="36">
        <f>VLOOKUP($A24,[24]HISTOJUIN24!$A$6:$AU$38,43,0)</f>
        <v>0</v>
      </c>
      <c r="AC24" s="36">
        <f>VLOOKUP($A24,[24]HISTOJUIN24!$A$6:$AU$38,44,0)</f>
        <v>0</v>
      </c>
      <c r="AD24" s="36">
        <f>VLOOKUP($A24,[24]HISTOJUIN24!$A$6:$AU$38,47,0)</f>
        <v>0</v>
      </c>
      <c r="AE24" s="36">
        <f>VLOOKUP(A24,[24]HISTOJUIN24!$A$6:$BB$38,54,0)</f>
        <v>0</v>
      </c>
      <c r="AF24" s="36">
        <f>VLOOKUP($A24,[24]HISTOJUIN24!$A$6:$CA$38,60,0)</f>
        <v>0</v>
      </c>
      <c r="AG24" s="36">
        <f>VLOOKUP($A24,[24]HISTOJUIN24!$A$6:$CA$38,61,0)</f>
        <v>0</v>
      </c>
      <c r="AH24" s="36">
        <f>VLOOKUP($A24,[24]HISTOJUIN24!$A$6:$CA$38,62,0)</f>
        <v>0</v>
      </c>
      <c r="AI24" s="36">
        <f>VLOOKUP($A24,[24]HISTOJUIN24!$A$6:$CA$38,63,0)</f>
        <v>0</v>
      </c>
      <c r="AJ24" s="36">
        <f>VLOOKUP($A24,[24]HISTOJUIN24!$A$6:$CA$38,64,0)</f>
        <v>0</v>
      </c>
      <c r="AK24" s="36">
        <f>VLOOKUP($A24,[24]HISTOJUIN24!$A$6:$CA$38,65,0)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MVTMAI24!I25-E25+L25</f>
        <v>953141.79504321574</v>
      </c>
      <c r="G25" s="5">
        <f>IF(MVTMAI24!I25+L25&gt;700000,(MVTMAI24!I25-E25+L25),0)</f>
        <v>953141.79504321574</v>
      </c>
      <c r="H25" s="36">
        <f t="shared" si="0"/>
        <v>0</v>
      </c>
      <c r="I25" s="6">
        <f t="shared" si="2"/>
        <v>953141.79504321574</v>
      </c>
      <c r="J25" s="36">
        <f>VLOOKUP($A25,[24]HISTOJUIN24!$A$6:$AQ$42,22,0)</f>
        <v>0</v>
      </c>
      <c r="K25" s="36">
        <f>VLOOKUP($A25,[24]HISTOJUIN24!$A$6:$AU$38,45,0)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VLOOKUP($A25,[24]HISTOJUIN24!$A$6:$AU$38,7,0)</f>
        <v>3000</v>
      </c>
      <c r="Q25" s="36">
        <f>VLOOKUP($A25,[24]HISTOJUIN24!$A$6:$AU$38,23,0)</f>
        <v>0</v>
      </c>
      <c r="R25" s="36">
        <f>VLOOKUP($A25,[24]HISTOJUIN24!$A$6:$AU$38,46,0)</f>
        <v>0</v>
      </c>
      <c r="S25" s="36">
        <f>VLOOKUP($A25,[24]HISTOJUIN24!$A$6:$AU$38,26,0)</f>
        <v>0</v>
      </c>
      <c r="T25" s="36">
        <f>VLOOKUP($A25,[24]HISTOJUIN24!$A$6:$BG$38,58,0)</f>
        <v>0</v>
      </c>
      <c r="U25" s="36">
        <f>VLOOKUP($A25,[24]HISTOJUIN24!$A$6:$AU$38,28,0)</f>
        <v>0</v>
      </c>
      <c r="V25" s="36">
        <f>VLOOKUP($A25,[24]HISTOJUIN24!$A$6:$AU$38,19,0)</f>
        <v>0</v>
      </c>
      <c r="W25" s="36">
        <f>VLOOKUP($A25,[24]HISTOJUIN24!$A$6:$AU$38,20,0)</f>
        <v>0</v>
      </c>
      <c r="X25" s="36">
        <f>VLOOKUP($A25,[24]HISTOJUIN24!$A$6:$AU$38,27,0)</f>
        <v>0</v>
      </c>
      <c r="Y25" s="36">
        <f>VLOOKUP($A25,[24]HISTOJUIN24!$A$6:$BM$38,33,0)</f>
        <v>0</v>
      </c>
      <c r="Z25" s="36">
        <f>VLOOKUP($A25,[24]HISTOJUIN24!$A$6:$BM$38,65,0)</f>
        <v>0</v>
      </c>
      <c r="AA25" s="36"/>
      <c r="AB25" s="36">
        <f>VLOOKUP($A25,[24]HISTOJUIN24!$A$6:$AU$38,43,0)</f>
        <v>0</v>
      </c>
      <c r="AC25" s="36">
        <f>VLOOKUP($A25,[24]HISTOJUIN24!$A$6:$AU$38,44,0)</f>
        <v>0</v>
      </c>
      <c r="AD25" s="36">
        <f>VLOOKUP($A25,[24]HISTOJUIN24!$A$6:$AU$38,47,0)</f>
        <v>0</v>
      </c>
      <c r="AE25" s="36">
        <f>VLOOKUP(A25,[24]HISTOJUIN24!$A$6:$BB$38,54,0)</f>
        <v>0</v>
      </c>
      <c r="AF25" s="36">
        <f>VLOOKUP($A25,[24]HISTOJUIN24!$A$6:$CA$38,60,0)</f>
        <v>0</v>
      </c>
      <c r="AG25" s="36">
        <f>VLOOKUP($A25,[24]HISTOJUIN24!$A$6:$CA$38,61,0)</f>
        <v>0</v>
      </c>
      <c r="AH25" s="36">
        <f>VLOOKUP($A25,[24]HISTOJUIN24!$A$6:$CA$38,62,0)</f>
        <v>0</v>
      </c>
      <c r="AI25" s="36">
        <f>VLOOKUP($A25,[24]HISTOJUIN24!$A$6:$CA$38,63,0)</f>
        <v>0</v>
      </c>
      <c r="AJ25" s="36">
        <f>VLOOKUP($A25,[24]HISTOJUIN24!$A$6:$CA$38,64,0)</f>
        <v>0</v>
      </c>
      <c r="AK25" s="36">
        <f>VLOOKUP($A25,[24]HISTOJUIN24!$A$6:$CA$38,65,0)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MVTMAI24!I26-E26+L26</f>
        <v>881266.46813543816</v>
      </c>
      <c r="G26" s="5">
        <f>IF(MVTMAI24!I26+L26&gt;700000,(MVTMAI24!I26-E26+L26),0)</f>
        <v>881266.46813543816</v>
      </c>
      <c r="H26" s="36">
        <f t="shared" si="0"/>
        <v>0</v>
      </c>
      <c r="I26" s="6">
        <f t="shared" si="2"/>
        <v>881266.46813543816</v>
      </c>
      <c r="J26" s="36">
        <f>VLOOKUP($A26,[24]HISTOJUIN24!$A$6:$AQ$42,22,0)</f>
        <v>0</v>
      </c>
      <c r="K26" s="36">
        <f>VLOOKUP($A26,[24]HISTOJUIN24!$A$6:$AU$38,45,0)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VLOOKUP($A26,[24]HISTOJUIN24!$A$6:$AU$38,7,0)</f>
        <v>0</v>
      </c>
      <c r="Q26" s="36">
        <f>VLOOKUP($A26,[24]HISTOJUIN24!$A$6:$AU$38,23,0)</f>
        <v>0</v>
      </c>
      <c r="R26" s="36">
        <f>VLOOKUP($A26,[24]HISTOJUIN24!$A$6:$AU$38,46,0)</f>
        <v>0</v>
      </c>
      <c r="S26" s="36">
        <f>VLOOKUP($A26,[24]HISTOJUIN24!$A$6:$AU$38,26,0)</f>
        <v>0</v>
      </c>
      <c r="T26" s="36">
        <f>VLOOKUP($A26,[24]HISTOJUIN24!$A$6:$BG$38,58,0)</f>
        <v>0</v>
      </c>
      <c r="U26" s="36">
        <f>VLOOKUP($A26,[24]HISTOJUIN24!$A$6:$AU$38,28,0)</f>
        <v>0</v>
      </c>
      <c r="V26" s="36">
        <f>VLOOKUP($A26,[24]HISTOJUIN24!$A$6:$AU$38,19,0)</f>
        <v>0</v>
      </c>
      <c r="W26" s="36">
        <f>VLOOKUP($A26,[24]HISTOJUIN24!$A$6:$AU$38,20,0)</f>
        <v>0</v>
      </c>
      <c r="X26" s="36">
        <f>VLOOKUP($A26,[24]HISTOJUIN24!$A$6:$AU$38,27,0)</f>
        <v>0</v>
      </c>
      <c r="Y26" s="36">
        <f>VLOOKUP($A26,[24]HISTOJUIN24!$A$6:$BM$38,33,0)</f>
        <v>0</v>
      </c>
      <c r="Z26" s="36">
        <f>VLOOKUP($A26,[24]HISTOJUIN24!$A$6:$BM$38,65,0)</f>
        <v>0</v>
      </c>
      <c r="AA26" s="36"/>
      <c r="AB26" s="36">
        <f>VLOOKUP($A26,[24]HISTOJUIN24!$A$6:$AU$38,43,0)</f>
        <v>0</v>
      </c>
      <c r="AC26" s="36">
        <f>VLOOKUP($A26,[24]HISTOJUIN24!$A$6:$AU$38,44,0)</f>
        <v>0</v>
      </c>
      <c r="AD26" s="36">
        <f>VLOOKUP($A26,[24]HISTOJUIN24!$A$6:$AU$38,47,0)</f>
        <v>0</v>
      </c>
      <c r="AE26" s="36">
        <f>VLOOKUP(A26,[24]HISTOJUIN24!$A$6:$BB$38,54,0)</f>
        <v>0</v>
      </c>
      <c r="AF26" s="36">
        <f>VLOOKUP($A26,[24]HISTOJUIN24!$A$6:$CA$38,60,0)</f>
        <v>0</v>
      </c>
      <c r="AG26" s="36">
        <f>VLOOKUP($A26,[24]HISTOJUIN24!$A$6:$CA$38,61,0)</f>
        <v>0</v>
      </c>
      <c r="AH26" s="36">
        <f>VLOOKUP($A26,[24]HISTOJUIN24!$A$6:$CA$38,62,0)</f>
        <v>0</v>
      </c>
      <c r="AI26" s="36">
        <f>VLOOKUP($A26,[24]HISTOJUIN24!$A$6:$CA$38,63,0)</f>
        <v>0</v>
      </c>
      <c r="AJ26" s="36">
        <f>VLOOKUP($A26,[24]HISTOJUIN24!$A$6:$CA$38,64,0)</f>
        <v>0</v>
      </c>
      <c r="AK26" s="36">
        <f>VLOOKUP($A26,[24]HISTOJUIN24!$A$6:$CA$38,65,0)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MVTMAI24!I27-E27+L27</f>
        <v>881824.17371512204</v>
      </c>
      <c r="G27" s="5">
        <f>IF(MVTMAI24!I27+L27&gt;700000,(MVTMAI24!I27-E27+L27),0)</f>
        <v>881824.17371512204</v>
      </c>
      <c r="H27" s="36">
        <f t="shared" si="0"/>
        <v>0</v>
      </c>
      <c r="I27" s="6">
        <f t="shared" si="2"/>
        <v>881824.17371512204</v>
      </c>
      <c r="J27" s="36">
        <f>VLOOKUP($A27,[24]HISTOJUIN24!$A$6:$AQ$42,22,0)</f>
        <v>0</v>
      </c>
      <c r="K27" s="36">
        <f>VLOOKUP($A27,[24]HISTOJUIN24!$A$6:$AU$38,45,0)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VLOOKUP($A27,[24]HISTOJUIN24!$A$6:$AU$38,7,0)</f>
        <v>0</v>
      </c>
      <c r="Q27" s="36">
        <f>VLOOKUP($A27,[24]HISTOJUIN24!$A$6:$AU$38,23,0)</f>
        <v>0</v>
      </c>
      <c r="R27" s="36">
        <f>VLOOKUP($A27,[24]HISTOJUIN24!$A$6:$AU$38,46,0)</f>
        <v>0</v>
      </c>
      <c r="S27" s="36">
        <f>VLOOKUP($A27,[24]HISTOJUIN24!$A$6:$AU$38,26,0)</f>
        <v>0</v>
      </c>
      <c r="T27" s="36">
        <f>VLOOKUP($A27,[24]HISTOJUIN24!$A$6:$BG$38,58,0)</f>
        <v>0</v>
      </c>
      <c r="U27" s="36">
        <f>VLOOKUP($A27,[24]HISTOJUIN24!$A$6:$AU$38,28,0)</f>
        <v>0</v>
      </c>
      <c r="V27" s="36">
        <f>VLOOKUP($A27,[24]HISTOJUIN24!$A$6:$AU$38,19,0)</f>
        <v>0</v>
      </c>
      <c r="W27" s="36">
        <f>VLOOKUP($A27,[24]HISTOJUIN24!$A$6:$AU$38,20,0)</f>
        <v>0</v>
      </c>
      <c r="X27" s="36">
        <f>VLOOKUP($A27,[24]HISTOJUIN24!$A$6:$AU$38,27,0)</f>
        <v>0</v>
      </c>
      <c r="Y27" s="36">
        <f>VLOOKUP($A27,[24]HISTOJUIN24!$A$6:$BM$38,33,0)</f>
        <v>0</v>
      </c>
      <c r="Z27" s="36">
        <f>VLOOKUP($A27,[24]HISTOJUIN24!$A$6:$BM$38,65,0)</f>
        <v>0</v>
      </c>
      <c r="AA27" s="36"/>
      <c r="AB27" s="36">
        <f>VLOOKUP($A27,[24]HISTOJUIN24!$A$6:$AU$38,43,0)</f>
        <v>0</v>
      </c>
      <c r="AC27" s="36">
        <f>VLOOKUP($A27,[24]HISTOJUIN24!$A$6:$AU$38,44,0)</f>
        <v>0</v>
      </c>
      <c r="AD27" s="36">
        <f>VLOOKUP($A27,[24]HISTOJUIN24!$A$6:$AU$38,47,0)</f>
        <v>0</v>
      </c>
      <c r="AE27" s="36">
        <f>VLOOKUP(A27,[24]HISTOJUIN24!$A$6:$BB$38,54,0)</f>
        <v>0</v>
      </c>
      <c r="AF27" s="36">
        <f>VLOOKUP($A27,[24]HISTOJUIN24!$A$6:$CA$38,60,0)</f>
        <v>0</v>
      </c>
      <c r="AG27" s="36">
        <f>VLOOKUP($A27,[24]HISTOJUIN24!$A$6:$CA$38,61,0)</f>
        <v>0</v>
      </c>
      <c r="AH27" s="36">
        <f>VLOOKUP($A27,[24]HISTOJUIN24!$A$6:$CA$38,62,0)</f>
        <v>0</v>
      </c>
      <c r="AI27" s="36">
        <f>VLOOKUP($A27,[24]HISTOJUIN24!$A$6:$CA$38,63,0)</f>
        <v>0</v>
      </c>
      <c r="AJ27" s="36">
        <f>VLOOKUP($A27,[24]HISTOJUIN24!$A$6:$CA$38,64,0)</f>
        <v>0</v>
      </c>
      <c r="AK27" s="36">
        <f>VLOOKUP($A27,[24]HISTOJUIN24!$A$6:$CA$38,65,0)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MVTMAI24!I28-E28+L28</f>
        <v>783176.12513194664</v>
      </c>
      <c r="G28" s="5">
        <f>IF(MVTMAI24!I28+L28&gt;700000,(MVTMAI24!I28-E28+L28),0)</f>
        <v>783176.12513194664</v>
      </c>
      <c r="H28" s="36">
        <f t="shared" si="0"/>
        <v>0</v>
      </c>
      <c r="I28" s="6">
        <f t="shared" si="2"/>
        <v>783176.12513194664</v>
      </c>
      <c r="J28" s="36">
        <f>VLOOKUP($A28,[24]HISTOJUIN24!$A$6:$AQ$42,22,0)</f>
        <v>0</v>
      </c>
      <c r="K28" s="36">
        <f>VLOOKUP($A28,[24]HISTOJUIN24!$A$6:$AU$38,45,0)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VLOOKUP($A28,[24]HISTOJUIN24!$A$6:$AU$38,7,0)</f>
        <v>0</v>
      </c>
      <c r="Q28" s="36">
        <f>VLOOKUP($A28,[24]HISTOJUIN24!$A$6:$AU$38,23,0)</f>
        <v>0</v>
      </c>
      <c r="R28" s="36">
        <f>VLOOKUP($A28,[24]HISTOJUIN24!$A$6:$AU$38,46,0)</f>
        <v>0</v>
      </c>
      <c r="S28" s="36">
        <f>VLOOKUP($A28,[24]HISTOJUIN24!$A$6:$AU$38,26,0)</f>
        <v>0</v>
      </c>
      <c r="T28" s="36">
        <f>VLOOKUP($A28,[24]HISTOJUIN24!$A$6:$BG$38,58,0)</f>
        <v>0</v>
      </c>
      <c r="U28" s="36">
        <f>VLOOKUP($A28,[24]HISTOJUIN24!$A$6:$AU$38,28,0)</f>
        <v>0</v>
      </c>
      <c r="V28" s="36">
        <f>VLOOKUP($A28,[24]HISTOJUIN24!$A$6:$AU$38,19,0)</f>
        <v>0</v>
      </c>
      <c r="W28" s="36">
        <f>VLOOKUP($A28,[24]HISTOJUIN24!$A$6:$AU$38,20,0)</f>
        <v>0</v>
      </c>
      <c r="X28" s="36">
        <f>VLOOKUP($A28,[24]HISTOJUIN24!$A$6:$AU$38,27,0)</f>
        <v>0</v>
      </c>
      <c r="Y28" s="36">
        <f>VLOOKUP($A28,[24]HISTOJUIN24!$A$6:$BM$38,33,0)</f>
        <v>0</v>
      </c>
      <c r="Z28" s="36">
        <f>VLOOKUP($A28,[24]HISTOJUIN24!$A$6:$BM$38,65,0)</f>
        <v>0</v>
      </c>
      <c r="AA28" s="36"/>
      <c r="AB28" s="36">
        <f>VLOOKUP($A28,[24]HISTOJUIN24!$A$6:$AU$38,43,0)</f>
        <v>0</v>
      </c>
      <c r="AC28" s="36">
        <f>VLOOKUP($A28,[24]HISTOJUIN24!$A$6:$AU$38,44,0)</f>
        <v>0</v>
      </c>
      <c r="AD28" s="36">
        <f>VLOOKUP($A28,[24]HISTOJUIN24!$A$6:$AU$38,47,0)</f>
        <v>0</v>
      </c>
      <c r="AE28" s="36">
        <f>VLOOKUP(A28,[24]HISTOJUIN24!$A$6:$BB$38,54,0)</f>
        <v>0</v>
      </c>
      <c r="AF28" s="36">
        <f>VLOOKUP($A28,[24]HISTOJUIN24!$A$6:$CA$38,60,0)</f>
        <v>0</v>
      </c>
      <c r="AG28" s="36">
        <f>VLOOKUP($A28,[24]HISTOJUIN24!$A$6:$CA$38,61,0)</f>
        <v>0</v>
      </c>
      <c r="AH28" s="36">
        <f>VLOOKUP($A28,[24]HISTOJUIN24!$A$6:$CA$38,62,0)</f>
        <v>0</v>
      </c>
      <c r="AI28" s="36">
        <f>VLOOKUP($A28,[24]HISTOJUIN24!$A$6:$CA$38,63,0)</f>
        <v>0</v>
      </c>
      <c r="AJ28" s="36">
        <f>VLOOKUP($A28,[24]HISTOJUIN24!$A$6:$CA$38,64,0)</f>
        <v>0</v>
      </c>
      <c r="AK28" s="36">
        <f>VLOOKUP($A28,[24]HISTOJUIN24!$A$6:$CA$38,65,0)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MVTMAI24!I29-E29+L29</f>
        <v>908151.34423741512</v>
      </c>
      <c r="G29" s="5">
        <f>IF(MVTMAI24!I29+L29&gt;700000,(MVTMAI24!I29-E29+L29),0)</f>
        <v>908151.34423741512</v>
      </c>
      <c r="H29" s="36">
        <f t="shared" si="0"/>
        <v>0</v>
      </c>
      <c r="I29" s="6">
        <f t="shared" si="2"/>
        <v>908151.34423741512</v>
      </c>
      <c r="J29" s="36">
        <f>VLOOKUP($A29,[24]HISTOJUIN24!$A$6:$AQ$42,22,0)</f>
        <v>0</v>
      </c>
      <c r="K29" s="36">
        <f>VLOOKUP($A29,[24]HISTOJUIN24!$A$6:$AU$38,45,0)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VLOOKUP($A29,[24]HISTOJUIN24!$A$6:$AU$38,7,0)</f>
        <v>0</v>
      </c>
      <c r="Q29" s="36">
        <f>VLOOKUP($A29,[24]HISTOJUIN24!$A$6:$AU$38,23,0)</f>
        <v>0</v>
      </c>
      <c r="R29" s="36">
        <f>VLOOKUP($A29,[24]HISTOJUIN24!$A$6:$AU$38,46,0)</f>
        <v>0</v>
      </c>
      <c r="S29" s="36">
        <f>VLOOKUP($A29,[24]HISTOJUIN24!$A$6:$AU$38,26,0)</f>
        <v>0</v>
      </c>
      <c r="T29" s="36">
        <f>VLOOKUP($A29,[24]HISTOJUIN24!$A$6:$BG$38,58,0)</f>
        <v>0</v>
      </c>
      <c r="U29" s="36">
        <f>VLOOKUP($A29,[24]HISTOJUIN24!$A$6:$AU$38,28,0)</f>
        <v>0</v>
      </c>
      <c r="V29" s="36">
        <f>VLOOKUP($A29,[24]HISTOJUIN24!$A$6:$AU$38,19,0)</f>
        <v>0</v>
      </c>
      <c r="W29" s="36">
        <f>VLOOKUP($A29,[24]HISTOJUIN24!$A$6:$AU$38,20,0)</f>
        <v>0</v>
      </c>
      <c r="X29" s="36">
        <f>VLOOKUP($A29,[24]HISTOJUIN24!$A$6:$AU$38,27,0)</f>
        <v>0</v>
      </c>
      <c r="Y29" s="36">
        <f>VLOOKUP($A29,[24]HISTOJUIN24!$A$6:$BM$38,33,0)</f>
        <v>0</v>
      </c>
      <c r="Z29" s="36">
        <f>VLOOKUP($A29,[24]HISTOJUIN24!$A$6:$BM$38,65,0)</f>
        <v>0</v>
      </c>
      <c r="AA29" s="36"/>
      <c r="AB29" s="36">
        <f>VLOOKUP($A29,[24]HISTOJUIN24!$A$6:$AU$38,43,0)</f>
        <v>0</v>
      </c>
      <c r="AC29" s="36">
        <f>VLOOKUP($A29,[24]HISTOJUIN24!$A$6:$AU$38,44,0)</f>
        <v>0</v>
      </c>
      <c r="AD29" s="36">
        <f>VLOOKUP($A29,[24]HISTOJUIN24!$A$6:$AU$38,47,0)</f>
        <v>0</v>
      </c>
      <c r="AE29" s="36">
        <f>VLOOKUP(A29,[24]HISTOJUIN24!$A$6:$BB$38,54,0)</f>
        <v>0</v>
      </c>
      <c r="AF29" s="36">
        <f>VLOOKUP($A29,[24]HISTOJUIN24!$A$6:$CA$38,60,0)</f>
        <v>0</v>
      </c>
      <c r="AG29" s="36">
        <f>VLOOKUP($A29,[24]HISTOJUIN24!$A$6:$CA$38,61,0)</f>
        <v>0</v>
      </c>
      <c r="AH29" s="36">
        <f>VLOOKUP($A29,[24]HISTOJUIN24!$A$6:$CA$38,62,0)</f>
        <v>0</v>
      </c>
      <c r="AI29" s="36">
        <f>VLOOKUP($A29,[24]HISTOJUIN24!$A$6:$CA$38,63,0)</f>
        <v>0</v>
      </c>
      <c r="AJ29" s="36">
        <f>VLOOKUP($A29,[24]HISTOJUIN24!$A$6:$CA$38,64,0)</f>
        <v>0</v>
      </c>
      <c r="AK29" s="36">
        <f>VLOOKUP($A29,[24]HISTOJUIN24!$A$6:$CA$38,65,0)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MVTMAI24!I30-E30+L30</f>
        <v>812786.81046782702</v>
      </c>
      <c r="G30" s="5">
        <f>IF(MVTMAI24!I30+L30&gt;700000,(MVTMAI24!I30-E30+L30),0)</f>
        <v>812786.81046782702</v>
      </c>
      <c r="H30" s="36">
        <f t="shared" si="0"/>
        <v>0</v>
      </c>
      <c r="I30" s="6">
        <f t="shared" si="2"/>
        <v>812786.81046782702</v>
      </c>
      <c r="J30" s="36">
        <f>VLOOKUP($A30,[24]HISTOJUIN24!$A$6:$AQ$42,22,0)</f>
        <v>0</v>
      </c>
      <c r="K30" s="36">
        <f>VLOOKUP($A30,[24]HISTOJUIN24!$A$6:$AU$38,45,0)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VLOOKUP($A30,[24]HISTOJUIN24!$A$6:$AU$38,7,0)</f>
        <v>0</v>
      </c>
      <c r="Q30" s="36">
        <f>VLOOKUP($A30,[24]HISTOJUIN24!$A$6:$AU$38,23,0)</f>
        <v>0</v>
      </c>
      <c r="R30" s="36">
        <f>VLOOKUP($A30,[24]HISTOJUIN24!$A$6:$AU$38,46,0)</f>
        <v>0</v>
      </c>
      <c r="S30" s="36">
        <f>VLOOKUP($A30,[24]HISTOJUIN24!$A$6:$AU$38,26,0)</f>
        <v>0</v>
      </c>
      <c r="T30" s="36">
        <f>VLOOKUP($A30,[24]HISTOJUIN24!$A$6:$BG$38,58,0)</f>
        <v>0</v>
      </c>
      <c r="U30" s="36">
        <f>VLOOKUP($A30,[24]HISTOJUIN24!$A$6:$AU$38,28,0)</f>
        <v>0</v>
      </c>
      <c r="V30" s="36">
        <f>VLOOKUP($A30,[24]HISTOJUIN24!$A$6:$AU$38,19,0)</f>
        <v>0</v>
      </c>
      <c r="W30" s="36">
        <f>VLOOKUP($A30,[24]HISTOJUIN24!$A$6:$AU$38,20,0)</f>
        <v>0</v>
      </c>
      <c r="X30" s="36">
        <f>VLOOKUP($A30,[24]HISTOJUIN24!$A$6:$AU$38,27,0)</f>
        <v>0</v>
      </c>
      <c r="Y30" s="36">
        <f>VLOOKUP($A30,[24]HISTOJUIN24!$A$6:$BM$38,33,0)</f>
        <v>0</v>
      </c>
      <c r="Z30" s="36">
        <f>VLOOKUP($A30,[24]HISTOJUIN24!$A$6:$BM$38,65,0)</f>
        <v>0</v>
      </c>
      <c r="AA30" s="36"/>
      <c r="AB30" s="36">
        <f>VLOOKUP($A30,[24]HISTOJUIN24!$A$6:$AU$38,43,0)</f>
        <v>0</v>
      </c>
      <c r="AC30" s="36">
        <f>VLOOKUP($A30,[24]HISTOJUIN24!$A$6:$AU$38,44,0)</f>
        <v>0</v>
      </c>
      <c r="AD30" s="36">
        <f>VLOOKUP($A30,[24]HISTOJUIN24!$A$6:$AU$38,47,0)</f>
        <v>0</v>
      </c>
      <c r="AE30" s="36">
        <f>VLOOKUP(A30,[24]HISTOJUIN24!$A$6:$BB$38,54,0)</f>
        <v>0</v>
      </c>
      <c r="AF30" s="36">
        <f>VLOOKUP($A30,[24]HISTOJUIN24!$A$6:$CA$38,60,0)</f>
        <v>0</v>
      </c>
      <c r="AG30" s="36">
        <f>VLOOKUP($A30,[24]HISTOJUIN24!$A$6:$CA$38,61,0)</f>
        <v>0</v>
      </c>
      <c r="AH30" s="36">
        <f>VLOOKUP($A30,[24]HISTOJUIN24!$A$6:$CA$38,62,0)</f>
        <v>0</v>
      </c>
      <c r="AI30" s="36">
        <f>VLOOKUP($A30,[24]HISTOJUIN24!$A$6:$CA$38,63,0)</f>
        <v>0</v>
      </c>
      <c r="AJ30" s="36">
        <f>VLOOKUP($A30,[24]HISTOJUIN24!$A$6:$CA$38,64,0)</f>
        <v>0</v>
      </c>
      <c r="AK30" s="36">
        <f>VLOOKUP($A30,[24]HISTOJUIN24!$A$6:$CA$38,65,0)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MVTMAI24!I31-E31+L31</f>
        <v>972903.03114813485</v>
      </c>
      <c r="G31" s="5">
        <f>IF(MVTMAI24!I31+L31&gt;700000,(MVTMAI24!I31-E31+L31),0)</f>
        <v>972903.03114813485</v>
      </c>
      <c r="H31" s="36">
        <f t="shared" si="0"/>
        <v>0</v>
      </c>
      <c r="I31" s="6">
        <f t="shared" si="2"/>
        <v>972903.03114813485</v>
      </c>
      <c r="J31" s="36">
        <f>VLOOKUP($A31,[24]HISTOJUIN24!$A$6:$AQ$42,22,0)</f>
        <v>0</v>
      </c>
      <c r="K31" s="36">
        <f>VLOOKUP($A31,[24]HISTOJUIN24!$A$6:$AU$38,45,0)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VLOOKUP($A31,[24]HISTOJUIN24!$A$6:$AU$38,7,0)</f>
        <v>0</v>
      </c>
      <c r="Q31" s="36">
        <f>VLOOKUP($A31,[24]HISTOJUIN24!$A$6:$AU$38,23,0)</f>
        <v>0</v>
      </c>
      <c r="R31" s="36">
        <f>VLOOKUP($A31,[24]HISTOJUIN24!$A$6:$AU$38,46,0)</f>
        <v>0</v>
      </c>
      <c r="S31" s="36">
        <f>VLOOKUP($A31,[24]HISTOJUIN24!$A$6:$AU$38,26,0)</f>
        <v>0</v>
      </c>
      <c r="T31" s="36">
        <f>VLOOKUP($A31,[24]HISTOJUIN24!$A$6:$BG$38,58,0)</f>
        <v>0</v>
      </c>
      <c r="U31" s="36">
        <f>VLOOKUP($A31,[24]HISTOJUIN24!$A$6:$AU$38,28,0)</f>
        <v>0</v>
      </c>
      <c r="V31" s="36">
        <f>VLOOKUP($A31,[24]HISTOJUIN24!$A$6:$AU$38,19,0)</f>
        <v>0</v>
      </c>
      <c r="W31" s="36">
        <f>VLOOKUP($A31,[24]HISTOJUIN24!$A$6:$AU$38,20,0)</f>
        <v>0</v>
      </c>
      <c r="X31" s="36">
        <f>VLOOKUP($A31,[24]HISTOJUIN24!$A$6:$AU$38,27,0)</f>
        <v>0</v>
      </c>
      <c r="Y31" s="36">
        <f>VLOOKUP($A31,[24]HISTOJUIN24!$A$6:$BM$38,33,0)</f>
        <v>0</v>
      </c>
      <c r="Z31" s="36">
        <f>VLOOKUP($A31,[24]HISTOJUIN24!$A$6:$BM$38,65,0)</f>
        <v>0</v>
      </c>
      <c r="AA31" s="36"/>
      <c r="AB31" s="36">
        <f>VLOOKUP($A31,[24]HISTOJUIN24!$A$6:$AU$38,43,0)</f>
        <v>0</v>
      </c>
      <c r="AC31" s="36">
        <f>VLOOKUP($A31,[24]HISTOJUIN24!$A$6:$AU$38,44,0)</f>
        <v>0</v>
      </c>
      <c r="AD31" s="36">
        <f>VLOOKUP($A31,[24]HISTOJUIN24!$A$6:$AU$38,47,0)</f>
        <v>0</v>
      </c>
      <c r="AE31" s="36">
        <f>VLOOKUP(A31,[24]HISTOJUIN24!$A$6:$BB$38,54,0)</f>
        <v>0</v>
      </c>
      <c r="AF31" s="36">
        <f>VLOOKUP($A31,[24]HISTOJUIN24!$A$6:$CA$38,60,0)</f>
        <v>0</v>
      </c>
      <c r="AG31" s="36">
        <f>VLOOKUP($A31,[24]HISTOJUIN24!$A$6:$CA$38,61,0)</f>
        <v>0</v>
      </c>
      <c r="AH31" s="36">
        <f>VLOOKUP($A31,[24]HISTOJUIN24!$A$6:$CA$38,62,0)</f>
        <v>0</v>
      </c>
      <c r="AI31" s="36">
        <f>VLOOKUP($A31,[24]HISTOJUIN24!$A$6:$CA$38,63,0)</f>
        <v>0</v>
      </c>
      <c r="AJ31" s="36">
        <f>VLOOKUP($A31,[24]HISTOJUIN24!$A$6:$CA$38,64,0)</f>
        <v>0</v>
      </c>
      <c r="AK31" s="36">
        <f>VLOOKUP($A31,[24]HISTOJUIN24!$A$6:$CA$38,65,0)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MVTMAI24!I32-E32+L32</f>
        <v>862243.98131057119</v>
      </c>
      <c r="G32" s="5">
        <f>IF(MVTMAI24!I32+L32&gt;700000,(MVTMAI24!I32-E32+L32),0)</f>
        <v>862243.98131057119</v>
      </c>
      <c r="H32" s="36">
        <f t="shared" si="0"/>
        <v>0</v>
      </c>
      <c r="I32" s="6">
        <f t="shared" si="2"/>
        <v>862243.98131057119</v>
      </c>
      <c r="J32" s="36">
        <f>VLOOKUP($A32,[24]HISTOJUIN24!$A$6:$AQ$42,22,0)</f>
        <v>0</v>
      </c>
      <c r="K32" s="36">
        <f>VLOOKUP($A32,[24]HISTOJUIN24!$A$6:$AU$38,45,0)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VLOOKUP($A32,[24]HISTOJUIN24!$A$6:$AU$38,7,0)</f>
        <v>0</v>
      </c>
      <c r="Q32" s="36">
        <f>VLOOKUP($A32,[24]HISTOJUIN24!$A$6:$AU$38,23,0)</f>
        <v>0</v>
      </c>
      <c r="R32" s="36">
        <f>VLOOKUP($A32,[24]HISTOJUIN24!$A$6:$AU$38,46,0)</f>
        <v>0</v>
      </c>
      <c r="S32" s="36">
        <f>VLOOKUP($A32,[24]HISTOJUIN24!$A$6:$AU$38,26,0)</f>
        <v>0</v>
      </c>
      <c r="T32" s="36">
        <f>VLOOKUP($A32,[24]HISTOJUIN24!$A$6:$BG$38,58,0)</f>
        <v>0</v>
      </c>
      <c r="U32" s="36">
        <f>VLOOKUP($A32,[24]HISTOJUIN24!$A$6:$AU$38,28,0)</f>
        <v>0</v>
      </c>
      <c r="V32" s="36">
        <f>VLOOKUP($A32,[24]HISTOJUIN24!$A$6:$AU$38,19,0)</f>
        <v>0</v>
      </c>
      <c r="W32" s="36">
        <f>VLOOKUP($A32,[24]HISTOJUIN24!$A$6:$AU$38,20,0)</f>
        <v>0</v>
      </c>
      <c r="X32" s="36">
        <f>VLOOKUP($A32,[24]HISTOJUIN24!$A$6:$AU$38,27,0)</f>
        <v>0</v>
      </c>
      <c r="Y32" s="36">
        <f>VLOOKUP($A32,[24]HISTOJUIN24!$A$6:$BM$38,33,0)</f>
        <v>0</v>
      </c>
      <c r="Z32" s="36">
        <f>VLOOKUP($A32,[24]HISTOJUIN24!$A$6:$BM$38,65,0)</f>
        <v>0</v>
      </c>
      <c r="AA32" s="36"/>
      <c r="AB32" s="36">
        <f>VLOOKUP($A32,[24]HISTOJUIN24!$A$6:$AU$38,43,0)</f>
        <v>0</v>
      </c>
      <c r="AC32" s="36">
        <f>VLOOKUP($A32,[24]HISTOJUIN24!$A$6:$AU$38,44,0)</f>
        <v>0</v>
      </c>
      <c r="AD32" s="36">
        <f>VLOOKUP($A32,[24]HISTOJUIN24!$A$6:$AU$38,47,0)</f>
        <v>0</v>
      </c>
      <c r="AE32" s="36">
        <f>VLOOKUP(A32,[24]HISTOJUIN24!$A$6:$BB$38,54,0)</f>
        <v>0</v>
      </c>
      <c r="AF32" s="36">
        <f>VLOOKUP($A32,[24]HISTOJUIN24!$A$6:$CA$38,60,0)</f>
        <v>0</v>
      </c>
      <c r="AG32" s="36">
        <f>VLOOKUP($A32,[24]HISTOJUIN24!$A$6:$CA$38,61,0)</f>
        <v>0</v>
      </c>
      <c r="AH32" s="36">
        <f>VLOOKUP($A32,[24]HISTOJUIN24!$A$6:$CA$38,62,0)</f>
        <v>0</v>
      </c>
      <c r="AI32" s="36">
        <f>VLOOKUP($A32,[24]HISTOJUIN24!$A$6:$CA$38,63,0)</f>
        <v>0</v>
      </c>
      <c r="AJ32" s="36">
        <f>VLOOKUP($A32,[24]HISTOJUIN24!$A$6:$CA$38,64,0)</f>
        <v>0</v>
      </c>
      <c r="AK32" s="36">
        <f>VLOOKUP($A32,[24]HISTOJUIN24!$A$6:$CA$38,65,0)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MVTMAI24!I33-E33+L33</f>
        <v>862552.64928596013</v>
      </c>
      <c r="G33" s="5">
        <f>IF(MVTMAI24!I33+L33&gt;700000,(MVTMAI24!I33-E33+L33),0)</f>
        <v>862552.64928596013</v>
      </c>
      <c r="H33" s="36">
        <f t="shared" si="0"/>
        <v>0</v>
      </c>
      <c r="I33" s="6">
        <f t="shared" si="2"/>
        <v>862552.64928596013</v>
      </c>
      <c r="J33" s="36">
        <f>VLOOKUP($A33,[24]HISTOJUIN24!$A$6:$AQ$42,22,0)</f>
        <v>0</v>
      </c>
      <c r="K33" s="36">
        <f>VLOOKUP($A33,[24]HISTOJUIN24!$A$6:$AU$38,45,0)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VLOOKUP($A33,[24]HISTOJUIN24!$A$6:$AU$38,7,0)</f>
        <v>0</v>
      </c>
      <c r="Q33" s="36">
        <f>VLOOKUP($A33,[24]HISTOJUIN24!$A$6:$AU$38,23,0)</f>
        <v>0</v>
      </c>
      <c r="R33" s="36">
        <f>VLOOKUP($A33,[24]HISTOJUIN24!$A$6:$AU$38,46,0)</f>
        <v>0</v>
      </c>
      <c r="S33" s="36">
        <f>VLOOKUP($A33,[24]HISTOJUIN24!$A$6:$AU$38,26,0)</f>
        <v>0</v>
      </c>
      <c r="T33" s="36">
        <f>VLOOKUP($A33,[24]HISTOJUIN24!$A$6:$BG$38,58,0)</f>
        <v>0</v>
      </c>
      <c r="U33" s="36">
        <f>VLOOKUP($A33,[24]HISTOJUIN24!$A$6:$AU$38,28,0)</f>
        <v>0</v>
      </c>
      <c r="V33" s="36">
        <f>VLOOKUP($A33,[24]HISTOJUIN24!$A$6:$AU$38,19,0)</f>
        <v>0</v>
      </c>
      <c r="W33" s="36">
        <f>VLOOKUP($A33,[24]HISTOJUIN24!$A$6:$AU$38,20,0)</f>
        <v>0</v>
      </c>
      <c r="X33" s="36">
        <f>VLOOKUP($A33,[24]HISTOJUIN24!$A$6:$AU$38,27,0)</f>
        <v>0</v>
      </c>
      <c r="Y33" s="36">
        <f>VLOOKUP($A33,[24]HISTOJUIN24!$A$6:$BM$38,33,0)</f>
        <v>0</v>
      </c>
      <c r="Z33" s="36">
        <f>VLOOKUP($A33,[24]HISTOJUIN24!$A$6:$BM$38,65,0)</f>
        <v>0</v>
      </c>
      <c r="AA33" s="36"/>
      <c r="AB33" s="36">
        <f>VLOOKUP($A33,[24]HISTOJUIN24!$A$6:$AU$38,43,0)</f>
        <v>0</v>
      </c>
      <c r="AC33" s="36">
        <f>VLOOKUP($A33,[24]HISTOJUIN24!$A$6:$AU$38,44,0)</f>
        <v>0</v>
      </c>
      <c r="AD33" s="36">
        <f>VLOOKUP($A33,[24]HISTOJUIN24!$A$6:$AU$38,47,0)</f>
        <v>0</v>
      </c>
      <c r="AE33" s="36">
        <f>VLOOKUP(A33,[24]HISTOJUIN24!$A$6:$BB$38,54,0)</f>
        <v>0</v>
      </c>
      <c r="AF33" s="36">
        <f>VLOOKUP($A33,[24]HISTOJUIN24!$A$6:$CA$38,60,0)</f>
        <v>0</v>
      </c>
      <c r="AG33" s="36">
        <f>VLOOKUP($A33,[24]HISTOJUIN24!$A$6:$CA$38,61,0)</f>
        <v>0</v>
      </c>
      <c r="AH33" s="36">
        <f>VLOOKUP($A33,[24]HISTOJUIN24!$A$6:$CA$38,62,0)</f>
        <v>0</v>
      </c>
      <c r="AI33" s="36">
        <f>VLOOKUP($A33,[24]HISTOJUIN24!$A$6:$CA$38,63,0)</f>
        <v>0</v>
      </c>
      <c r="AJ33" s="36">
        <f>VLOOKUP($A33,[24]HISTOJUIN24!$A$6:$CA$38,64,0)</f>
        <v>0</v>
      </c>
      <c r="AK33" s="36">
        <f>VLOOKUP($A33,[24]HISTOJUIN24!$A$6:$CA$38,65,0)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MVTMAI24!I34-E34+L34</f>
        <v>519000</v>
      </c>
      <c r="G34" s="5">
        <f>IF(MVTMAI24!I34+L34&gt;700000,(MVTMAI24!I34-E34+L34),0)</f>
        <v>0</v>
      </c>
      <c r="H34" s="36">
        <f t="shared" si="0"/>
        <v>0</v>
      </c>
      <c r="I34" s="6">
        <f t="shared" si="2"/>
        <v>519000</v>
      </c>
      <c r="J34" s="36">
        <f>VLOOKUP($A34,[24]HISTOJUIN24!$A$6:$AQ$42,22,0)</f>
        <v>0</v>
      </c>
      <c r="K34" s="36">
        <f>VLOOKUP($A34,[24]HISTOJUIN24!$A$6:$AU$38,45,0)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VLOOKUP($A34,[24]HISTOJUIN24!$A$6:$AU$38,7,0)</f>
        <v>0</v>
      </c>
      <c r="Q34" s="36">
        <f>VLOOKUP($A34,[24]HISTOJUIN24!$A$6:$AU$38,23,0)</f>
        <v>0</v>
      </c>
      <c r="R34" s="36">
        <f>VLOOKUP($A34,[24]HISTOJUIN24!$A$6:$AU$38,46,0)</f>
        <v>0</v>
      </c>
      <c r="S34" s="36">
        <f>VLOOKUP($A34,[24]HISTOJUIN24!$A$6:$AU$38,26,0)</f>
        <v>0</v>
      </c>
      <c r="T34" s="36">
        <f>VLOOKUP($A34,[24]HISTOJUIN24!$A$6:$BG$38,58,0)</f>
        <v>0</v>
      </c>
      <c r="U34" s="36">
        <f>VLOOKUP($A34,[24]HISTOJUIN24!$A$6:$AU$38,28,0)</f>
        <v>0</v>
      </c>
      <c r="V34" s="36">
        <f>VLOOKUP($A34,[24]HISTOJUIN24!$A$6:$AU$38,19,0)</f>
        <v>0</v>
      </c>
      <c r="W34" s="36">
        <f>VLOOKUP($A34,[24]HISTOJUIN24!$A$6:$AU$38,20,0)</f>
        <v>0</v>
      </c>
      <c r="X34" s="36">
        <f>VLOOKUP($A34,[24]HISTOJUIN24!$A$6:$AU$38,27,0)</f>
        <v>0</v>
      </c>
      <c r="Y34" s="36">
        <f>VLOOKUP($A34,[24]HISTOJUIN24!$A$6:$BM$38,33,0)</f>
        <v>0</v>
      </c>
      <c r="Z34" s="36">
        <f>VLOOKUP($A34,[24]HISTOJUIN24!$A$6:$BM$38,65,0)</f>
        <v>0</v>
      </c>
      <c r="AA34" s="36"/>
      <c r="AB34" s="36">
        <f>VLOOKUP($A34,[24]HISTOJUIN24!$A$6:$AU$38,43,0)</f>
        <v>0</v>
      </c>
      <c r="AC34" s="36">
        <f>VLOOKUP($A34,[24]HISTOJUIN24!$A$6:$AU$38,44,0)</f>
        <v>0</v>
      </c>
      <c r="AD34" s="36">
        <f>VLOOKUP($A34,[24]HISTOJUIN24!$A$6:$AU$38,47,0)</f>
        <v>0</v>
      </c>
      <c r="AE34" s="36">
        <f>VLOOKUP(A34,[24]HISTOJUIN24!$A$6:$BB$38,54,0)</f>
        <v>0</v>
      </c>
      <c r="AF34" s="36">
        <f>VLOOKUP($A34,[24]HISTOJUIN24!$A$6:$CA$38,60,0)</f>
        <v>0</v>
      </c>
      <c r="AG34" s="36">
        <f>VLOOKUP($A34,[24]HISTOJUIN24!$A$6:$CA$38,61,0)</f>
        <v>0</v>
      </c>
      <c r="AH34" s="36">
        <f>VLOOKUP($A34,[24]HISTOJUIN24!$A$6:$CA$38,62,0)</f>
        <v>0</v>
      </c>
      <c r="AI34" s="36">
        <f>VLOOKUP($A34,[24]HISTOJUIN24!$A$6:$CA$38,63,0)</f>
        <v>0</v>
      </c>
      <c r="AJ34" s="36">
        <f>VLOOKUP($A34,[24]HISTOJUIN24!$A$6:$CA$38,64,0)</f>
        <v>0</v>
      </c>
      <c r="AK34" s="36">
        <f>VLOOKUP($A34,[24]HISTOJUIN24!$A$6:$CA$38,65,0)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MVTMAI24!I35-E35+L35</f>
        <v>214000</v>
      </c>
      <c r="G35" s="5">
        <f>IF(MVTMAI24!I35+L35&gt;700000,(MVTMAI24!I35-E35+L35),0)</f>
        <v>0</v>
      </c>
      <c r="H35" s="36">
        <f t="shared" si="0"/>
        <v>0</v>
      </c>
      <c r="I35" s="6">
        <f t="shared" si="2"/>
        <v>214000</v>
      </c>
      <c r="J35" s="36">
        <f>VLOOKUP($A35,[24]HISTOJUIN24!$A$6:$AQ$42,22,0)</f>
        <v>0</v>
      </c>
      <c r="K35" s="36">
        <f>VLOOKUP($A35,[24]HISTOJUIN24!$A$6:$AU$38,45,0)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VLOOKUP($A35,[24]HISTOJUIN24!$A$6:$AU$38,7,0)</f>
        <v>3000</v>
      </c>
      <c r="Q35" s="36">
        <f>VLOOKUP($A35,[24]HISTOJUIN24!$A$6:$AU$38,23,0)</f>
        <v>0</v>
      </c>
      <c r="R35" s="36">
        <f>VLOOKUP($A35,[24]HISTOJUIN24!$A$6:$AU$38,46,0)</f>
        <v>0</v>
      </c>
      <c r="S35" s="36">
        <f>VLOOKUP($A35,[24]HISTOJUIN24!$A$6:$AU$38,26,0)</f>
        <v>0</v>
      </c>
      <c r="T35" s="36">
        <f>VLOOKUP($A35,[24]HISTOJUIN24!$A$6:$BG$38,58,0)</f>
        <v>0</v>
      </c>
      <c r="U35" s="36">
        <f>VLOOKUP($A35,[24]HISTOJUIN24!$A$6:$AU$38,28,0)</f>
        <v>0</v>
      </c>
      <c r="V35" s="36">
        <f>VLOOKUP($A35,[24]HISTOJUIN24!$A$6:$AU$38,19,0)</f>
        <v>0</v>
      </c>
      <c r="W35" s="36">
        <f>VLOOKUP($A35,[24]HISTOJUIN24!$A$6:$AU$38,20,0)</f>
        <v>0</v>
      </c>
      <c r="X35" s="36">
        <f>VLOOKUP($A35,[24]HISTOJUIN24!$A$6:$AU$38,27,0)</f>
        <v>0</v>
      </c>
      <c r="Y35" s="36">
        <f>VLOOKUP($A35,[24]HISTOJUIN24!$A$6:$BM$38,33,0)</f>
        <v>0</v>
      </c>
      <c r="Z35" s="36">
        <f>VLOOKUP($A35,[24]HISTOJUIN24!$A$6:$BM$38,65,0)</f>
        <v>0</v>
      </c>
      <c r="AA35" s="36"/>
      <c r="AB35" s="36">
        <f>VLOOKUP($A35,[24]HISTOJUIN24!$A$6:$AU$38,43,0)</f>
        <v>0</v>
      </c>
      <c r="AC35" s="36">
        <f>VLOOKUP($A35,[24]HISTOJUIN24!$A$6:$AU$38,44,0)</f>
        <v>0</v>
      </c>
      <c r="AD35" s="36">
        <f>VLOOKUP($A35,[24]HISTOJUIN24!$A$6:$AU$38,47,0)</f>
        <v>0</v>
      </c>
      <c r="AE35" s="36">
        <f>VLOOKUP(A35,[24]HISTOJUIN24!$A$6:$BB$38,54,0)</f>
        <v>0</v>
      </c>
      <c r="AF35" s="36">
        <f>VLOOKUP($A35,[24]HISTOJUIN24!$A$6:$CA$38,60,0)</f>
        <v>0</v>
      </c>
      <c r="AG35" s="36">
        <f>VLOOKUP($A35,[24]HISTOJUIN24!$A$6:$CA$38,61,0)</f>
        <v>0</v>
      </c>
      <c r="AH35" s="36">
        <f>VLOOKUP($A35,[24]HISTOJUIN24!$A$6:$CA$38,62,0)</f>
        <v>0</v>
      </c>
      <c r="AI35" s="36">
        <f>VLOOKUP($A35,[24]HISTOJUIN24!$A$6:$CA$38,63,0)</f>
        <v>0</v>
      </c>
      <c r="AJ35" s="36">
        <f>VLOOKUP($A35,[24]HISTOJUIN24!$A$6:$CA$38,64,0)</f>
        <v>0</v>
      </c>
      <c r="AK35" s="36">
        <f>VLOOKUP($A35,[24]HISTOJUIN24!$A$6:$CA$38,65,0)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MVTMAI24!I36-E36+L36</f>
        <v>899599.08181867818</v>
      </c>
      <c r="G36" s="5">
        <f>IF(MVTMAI24!I36+L36&gt;700000,(MVTMAI24!I36-E36+L36),0)</f>
        <v>899599.08181867818</v>
      </c>
      <c r="H36" s="36">
        <f t="shared" si="0"/>
        <v>0</v>
      </c>
      <c r="I36" s="6">
        <f t="shared" si="2"/>
        <v>899599.08181867818</v>
      </c>
      <c r="J36" s="36">
        <f>VLOOKUP($A36,[24]HISTOJUIN24!$A$6:$AQ$42,22,0)</f>
        <v>0</v>
      </c>
      <c r="K36" s="36">
        <f>VLOOKUP($A36,[24]HISTOJUIN24!$A$6:$AU$38,45,0)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VLOOKUP($A36,[24]HISTOJUIN24!$A$6:$AU$38,7,0)</f>
        <v>0</v>
      </c>
      <c r="Q36" s="36">
        <f>VLOOKUP($A36,[24]HISTOJUIN24!$A$6:$AU$38,23,0)</f>
        <v>0</v>
      </c>
      <c r="R36" s="36">
        <f>VLOOKUP($A36,[24]HISTOJUIN24!$A$6:$AU$38,46,0)</f>
        <v>0</v>
      </c>
      <c r="S36" s="36">
        <f>VLOOKUP($A36,[24]HISTOJUIN24!$A$6:$AU$38,26,0)</f>
        <v>0</v>
      </c>
      <c r="T36" s="36">
        <f>VLOOKUP($A36,[24]HISTOJUIN24!$A$6:$BG$38,58,0)</f>
        <v>0</v>
      </c>
      <c r="U36" s="36">
        <f>VLOOKUP($A36,[24]HISTOJUIN24!$A$6:$AU$38,28,0)</f>
        <v>0</v>
      </c>
      <c r="V36" s="36">
        <f>VLOOKUP($A36,[24]HISTOJUIN24!$A$6:$AU$38,19,0)</f>
        <v>0</v>
      </c>
      <c r="W36" s="36">
        <f>VLOOKUP($A36,[24]HISTOJUIN24!$A$6:$AU$38,20,0)</f>
        <v>0</v>
      </c>
      <c r="X36" s="36">
        <f>VLOOKUP($A36,[24]HISTOJUIN24!$A$6:$AU$38,27,0)</f>
        <v>0</v>
      </c>
      <c r="Y36" s="36">
        <f>VLOOKUP($A36,[24]HISTOJUIN24!$A$6:$BM$38,33,0)</f>
        <v>0</v>
      </c>
      <c r="Z36" s="36">
        <f>VLOOKUP($A36,[24]HISTOJUIN24!$A$6:$BM$38,65,0)</f>
        <v>0</v>
      </c>
      <c r="AA36" s="36"/>
      <c r="AB36" s="36">
        <f>VLOOKUP($A36,[24]HISTOJUIN24!$A$6:$AU$38,43,0)</f>
        <v>0</v>
      </c>
      <c r="AC36" s="36">
        <f>VLOOKUP($A36,[24]HISTOJUIN24!$A$6:$AU$38,44,0)</f>
        <v>0</v>
      </c>
      <c r="AD36" s="36">
        <f>VLOOKUP($A36,[24]HISTOJUIN24!$A$6:$AU$38,47,0)</f>
        <v>0</v>
      </c>
      <c r="AE36" s="36">
        <f>VLOOKUP(A36,[24]HISTOJUIN24!$A$6:$BB$38,54,0)</f>
        <v>0</v>
      </c>
      <c r="AF36" s="36">
        <f>VLOOKUP($A36,[24]HISTOJUIN24!$A$6:$CA$38,60,0)</f>
        <v>0</v>
      </c>
      <c r="AG36" s="36">
        <f>VLOOKUP($A36,[24]HISTOJUIN24!$A$6:$CA$38,61,0)</f>
        <v>0</v>
      </c>
      <c r="AH36" s="36">
        <f>VLOOKUP($A36,[24]HISTOJUIN24!$A$6:$CA$38,62,0)</f>
        <v>0</v>
      </c>
      <c r="AI36" s="36">
        <f>VLOOKUP($A36,[24]HISTOJUIN24!$A$6:$CA$38,63,0)</f>
        <v>0</v>
      </c>
      <c r="AJ36" s="36">
        <f>VLOOKUP($A36,[24]HISTOJUIN24!$A$6:$CA$38,64,0)</f>
        <v>0</v>
      </c>
      <c r="AK36" s="36">
        <f>VLOOKUP($A36,[24]HISTOJUIN24!$A$6:$CA$38,65,0)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MVTMAI24!I37-E37+L37</f>
        <v>1932400.7147676253</v>
      </c>
      <c r="G37" s="5">
        <f>IF(MVTMAI24!I37+L37&gt;700000,(MVTMAI24!I37-E37+L37),0)</f>
        <v>1932400.7147676253</v>
      </c>
      <c r="H37" s="36">
        <f t="shared" si="0"/>
        <v>0</v>
      </c>
      <c r="I37" s="6">
        <f t="shared" si="2"/>
        <v>1932400.7147676253</v>
      </c>
      <c r="J37" s="36">
        <f>VLOOKUP($A37,[24]HISTOJUIN24!$A$6:$AQ$42,22,0)</f>
        <v>0</v>
      </c>
      <c r="K37" s="36">
        <f>VLOOKUP($A37,[24]HISTOJUIN24!$A$6:$AU$38,45,0)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VLOOKUP($A37,[24]HISTOJUIN24!$A$6:$AU$38,7,0)</f>
        <v>3000</v>
      </c>
      <c r="Q37" s="36">
        <f>VLOOKUP($A37,[24]HISTOJUIN24!$A$6:$AU$38,23,0)</f>
        <v>0</v>
      </c>
      <c r="R37" s="36">
        <f>VLOOKUP($A37,[24]HISTOJUIN24!$A$6:$AU$38,46,0)</f>
        <v>0</v>
      </c>
      <c r="S37" s="36">
        <f>VLOOKUP($A37,[24]HISTOJUIN24!$A$6:$AU$38,26,0)</f>
        <v>0</v>
      </c>
      <c r="T37" s="36">
        <f>VLOOKUP($A37,[24]HISTOJUIN24!$A$6:$BG$38,58,0)</f>
        <v>0</v>
      </c>
      <c r="U37" s="36">
        <f>VLOOKUP($A37,[24]HISTOJUIN24!$A$6:$AU$38,28,0)</f>
        <v>0</v>
      </c>
      <c r="V37" s="36">
        <f>VLOOKUP($A37,[24]HISTOJUIN24!$A$6:$AU$38,19,0)</f>
        <v>0</v>
      </c>
      <c r="W37" s="36">
        <f>VLOOKUP($A37,[24]HISTOJUIN24!$A$6:$AU$38,20,0)</f>
        <v>0</v>
      </c>
      <c r="X37" s="36">
        <f>VLOOKUP($A37,[24]HISTOJUIN24!$A$6:$AU$38,27,0)</f>
        <v>0</v>
      </c>
      <c r="Y37" s="36">
        <f>VLOOKUP($A37,[24]HISTOJUIN24!$A$6:$BM$38,33,0)</f>
        <v>0</v>
      </c>
      <c r="Z37" s="36">
        <f>VLOOKUP($A37,[24]HISTOJUIN24!$A$6:$BM$38,65,0)</f>
        <v>0</v>
      </c>
      <c r="AA37" s="36"/>
      <c r="AB37" s="36">
        <f>VLOOKUP($A37,[24]HISTOJUIN24!$A$6:$AU$38,43,0)</f>
        <v>0</v>
      </c>
      <c r="AC37" s="36">
        <f>VLOOKUP($A37,[24]HISTOJUIN24!$A$6:$AU$38,44,0)</f>
        <v>0</v>
      </c>
      <c r="AD37" s="36">
        <f>VLOOKUP($A37,[24]HISTOJUIN24!$A$6:$AU$38,47,0)</f>
        <v>0</v>
      </c>
      <c r="AE37" s="36">
        <f>VLOOKUP(A37,[24]HISTOJUIN24!$A$6:$BB$38,54,0)</f>
        <v>0</v>
      </c>
      <c r="AF37" s="36">
        <f>VLOOKUP($A37,[24]HISTOJUIN24!$A$6:$CA$38,60,0)</f>
        <v>0</v>
      </c>
      <c r="AG37" s="36">
        <f>VLOOKUP($A37,[24]HISTOJUIN24!$A$6:$CA$38,61,0)</f>
        <v>0</v>
      </c>
      <c r="AH37" s="36">
        <f>VLOOKUP($A37,[24]HISTOJUIN24!$A$6:$CA$38,62,0)</f>
        <v>0</v>
      </c>
      <c r="AI37" s="36">
        <f>VLOOKUP($A37,[24]HISTOJUIN24!$A$6:$CA$38,63,0)</f>
        <v>0</v>
      </c>
      <c r="AJ37" s="36">
        <f>VLOOKUP($A37,[24]HISTOJUIN24!$A$6:$CA$38,64,0)</f>
        <v>0</v>
      </c>
      <c r="AK37" s="36">
        <f>VLOOKUP($A37,[24]HISTOJUIN24!$A$6:$CA$38,65,0)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MVTMAI24!I38-E38+L38</f>
        <v>114000</v>
      </c>
      <c r="G38" s="5">
        <f>IF(MVTMAI24!I38+L38&gt;700000,(MVTMAI24!I38-E38+L38),0)</f>
        <v>0</v>
      </c>
      <c r="H38" s="36">
        <f t="shared" si="0"/>
        <v>0</v>
      </c>
      <c r="I38" s="6">
        <f t="shared" si="2"/>
        <v>114000</v>
      </c>
      <c r="J38" s="36">
        <f>VLOOKUP($A38,[24]HISTOJUIN24!$A$6:$AQ$42,22,0)</f>
        <v>0</v>
      </c>
      <c r="K38" s="36">
        <f>VLOOKUP($A38,[24]HISTOJUIN24!$A$6:$AU$38,45,0)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VLOOKUP($A38,[24]HISTOJUIN24!$A$6:$AU$38,7,0)</f>
        <v>0</v>
      </c>
      <c r="Q38" s="36">
        <f>VLOOKUP($A38,[24]HISTOJUIN24!$A$6:$AU$38,23,0)</f>
        <v>0</v>
      </c>
      <c r="R38" s="36">
        <f>VLOOKUP($A38,[24]HISTOJUIN24!$A$6:$AU$38,46,0)</f>
        <v>0</v>
      </c>
      <c r="S38" s="36">
        <f>VLOOKUP($A38,[24]HISTOJUIN24!$A$6:$AU$38,26,0)</f>
        <v>0</v>
      </c>
      <c r="T38" s="36">
        <f>VLOOKUP($A38,[24]HISTOJUIN24!$A$6:$BG$38,58,0)</f>
        <v>0</v>
      </c>
      <c r="U38" s="36">
        <f>VLOOKUP($A38,[24]HISTOJUIN24!$A$6:$AU$38,28,0)</f>
        <v>0</v>
      </c>
      <c r="V38" s="36">
        <f>VLOOKUP($A38,[24]HISTOJUIN24!$A$6:$AU$38,19,0)</f>
        <v>0</v>
      </c>
      <c r="W38" s="36">
        <f>VLOOKUP($A38,[24]HISTOJUIN24!$A$6:$AU$38,20,0)</f>
        <v>0</v>
      </c>
      <c r="X38" s="36">
        <f>VLOOKUP($A38,[24]HISTOJUIN24!$A$6:$AU$38,27,0)</f>
        <v>0</v>
      </c>
      <c r="Y38" s="36">
        <f>VLOOKUP($A38,[24]HISTOJUIN24!$A$6:$BM$38,33,0)</f>
        <v>0</v>
      </c>
      <c r="Z38" s="36">
        <f>VLOOKUP($A38,[24]HISTOJUIN24!$A$6:$BM$38,65,0)</f>
        <v>0</v>
      </c>
      <c r="AA38" s="36"/>
      <c r="AB38" s="36">
        <f>VLOOKUP($A38,[24]HISTOJUIN24!$A$6:$AU$38,43,0)</f>
        <v>0</v>
      </c>
      <c r="AC38" s="36">
        <f>VLOOKUP($A38,[24]HISTOJUIN24!$A$6:$AU$38,44,0)</f>
        <v>0</v>
      </c>
      <c r="AD38" s="36">
        <f>VLOOKUP($A38,[24]HISTOJUIN24!$A$6:$AU$38,47,0)</f>
        <v>0</v>
      </c>
      <c r="AE38" s="36">
        <f>VLOOKUP(A38,[24]HISTOJUIN24!$A$6:$BB$38,54,0)</f>
        <v>0</v>
      </c>
      <c r="AF38" s="36">
        <f>VLOOKUP($A38,[24]HISTOJUIN24!$A$6:$CA$38,60,0)</f>
        <v>0</v>
      </c>
      <c r="AG38" s="36">
        <f>VLOOKUP($A38,[24]HISTOJUIN24!$A$6:$CA$38,61,0)</f>
        <v>0</v>
      </c>
      <c r="AH38" s="36">
        <f>VLOOKUP($A38,[24]HISTOJUIN24!$A$6:$CA$38,62,0)</f>
        <v>0</v>
      </c>
      <c r="AI38" s="36">
        <f>VLOOKUP($A38,[24]HISTOJUIN24!$A$6:$CA$38,63,0)</f>
        <v>0</v>
      </c>
      <c r="AJ38" s="36">
        <f>VLOOKUP($A38,[24]HISTOJUIN24!$A$6:$CA$38,64,0)</f>
        <v>0</v>
      </c>
      <c r="AK38" s="36">
        <f>VLOOKUP($A38,[24]HISTOJUIN24!$A$6:$CA$38,65,0)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MVTMAI24!I39-E39+L39</f>
        <v>2097313.2142100567</v>
      </c>
      <c r="G39" s="5">
        <f>IF(MVTMAI24!I39+L39&gt;700000,(MVTMAI24!I39-E39+L39),0)</f>
        <v>2097313.2142100567</v>
      </c>
      <c r="H39" s="36">
        <f t="shared" si="0"/>
        <v>0</v>
      </c>
      <c r="I39" s="6">
        <f t="shared" si="2"/>
        <v>2097313.2142100567</v>
      </c>
      <c r="J39" s="36">
        <f>VLOOKUP($A39,[24]HISTOJUIN24!$A$6:$AQ$42,22,0)</f>
        <v>0</v>
      </c>
      <c r="K39" s="36">
        <f>VLOOKUP($A39,[24]HISTOJUIN24!$A$6:$AU$38,45,0)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VLOOKUP($A39,[24]HISTOJUIN24!$A$6:$AU$38,7,0)</f>
        <v>0</v>
      </c>
      <c r="Q39" s="36">
        <f>VLOOKUP($A39,[24]HISTOJUIN24!$A$6:$AU$38,23,0)</f>
        <v>0</v>
      </c>
      <c r="R39" s="36">
        <f>VLOOKUP($A39,[24]HISTOJUIN24!$A$6:$AU$38,46,0)</f>
        <v>0</v>
      </c>
      <c r="S39" s="36">
        <f>VLOOKUP($A39,[24]HISTOJUIN24!$A$6:$AU$38,26,0)</f>
        <v>0</v>
      </c>
      <c r="T39" s="36">
        <f>VLOOKUP($A39,[24]HISTOJUIN24!$A$6:$BG$38,58,0)</f>
        <v>0</v>
      </c>
      <c r="U39" s="36">
        <f>VLOOKUP($A39,[24]HISTOJUIN24!$A$6:$AU$38,28,0)</f>
        <v>0</v>
      </c>
      <c r="V39" s="36">
        <f>VLOOKUP($A39,[24]HISTOJUIN24!$A$6:$AU$38,19,0)</f>
        <v>0</v>
      </c>
      <c r="W39" s="36">
        <f>VLOOKUP($A39,[24]HISTOJUIN24!$A$6:$AU$38,20,0)</f>
        <v>0</v>
      </c>
      <c r="X39" s="36">
        <f>VLOOKUP($A39,[24]HISTOJUIN24!$A$6:$AU$38,27,0)</f>
        <v>0</v>
      </c>
      <c r="Y39" s="36">
        <f>VLOOKUP($A39,[24]HISTOJUIN24!$A$6:$BM$38,33,0)</f>
        <v>0</v>
      </c>
      <c r="Z39" s="36">
        <f>VLOOKUP($A39,[24]HISTOJUIN24!$A$6:$BM$38,65,0)</f>
        <v>0</v>
      </c>
      <c r="AA39" s="36"/>
      <c r="AB39" s="36">
        <f>VLOOKUP($A39,[24]HISTOJUIN24!$A$6:$AU$38,43,0)</f>
        <v>0</v>
      </c>
      <c r="AC39" s="36">
        <f>VLOOKUP($A39,[24]HISTOJUIN24!$A$6:$AU$38,44,0)</f>
        <v>0</v>
      </c>
      <c r="AD39" s="36">
        <f>VLOOKUP($A39,[24]HISTOJUIN24!$A$6:$AU$38,47,0)</f>
        <v>0</v>
      </c>
      <c r="AE39" s="36">
        <f>VLOOKUP(A39,[24]HISTOJUIN24!$A$6:$BB$38,54,0)</f>
        <v>0</v>
      </c>
      <c r="AF39" s="36">
        <f>VLOOKUP($A39,[24]HISTOJUIN24!$A$6:$CA$38,60,0)</f>
        <v>0</v>
      </c>
      <c r="AG39" s="36">
        <f>VLOOKUP($A39,[24]HISTOJUIN24!$A$6:$CA$38,61,0)</f>
        <v>0</v>
      </c>
      <c r="AH39" s="36">
        <f>VLOOKUP($A39,[24]HISTOJUIN24!$A$6:$CA$38,62,0)</f>
        <v>0</v>
      </c>
      <c r="AI39" s="36">
        <f>VLOOKUP($A39,[24]HISTOJUIN24!$A$6:$CA$38,63,0)</f>
        <v>0</v>
      </c>
      <c r="AJ39" s="36">
        <f>VLOOKUP($A39,[24]HISTOJUIN24!$A$6:$CA$38,64,0)</f>
        <v>0</v>
      </c>
      <c r="AK39" s="36">
        <f>VLOOKUP($A39,[24]HISTOJUIN24!$A$6:$CA$38,65,0)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30536656.655274987</v>
      </c>
      <c r="G41" s="9">
        <f t="shared" si="10"/>
        <v>28899439.524547949</v>
      </c>
      <c r="H41" s="36">
        <f t="shared" si="10"/>
        <v>0</v>
      </c>
      <c r="I41" s="9">
        <f t="shared" si="10"/>
        <v>30536656.655274987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5" bestFit="1" customWidth="1"/>
    <col min="12" max="12" width="17.5703125" style="155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4"/>
      <c r="K4" s="163">
        <v>45460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VLOOKUP($A6,[24]HISTOJUIN24!$A$6:$BA$38,48,0)</f>
        <v>0</v>
      </c>
      <c r="F6" s="36">
        <f>MVTMAI24!I6-E6+L6</f>
        <v>946220.58968855068</v>
      </c>
      <c r="G6" s="5">
        <f>IF(MVTMAI24!I6+L6&gt;700000,(MVTMAI24!I6-E6+L6),0)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VLOOKUP($A6,[24]HISTOJUIN24!$A$6:$AQ$42,22,0)</f>
        <v>0</v>
      </c>
      <c r="K6" s="36">
        <f>VLOOKUP($A6,[24]HISTOJUIN24!$A$6:$AU$38,45,0)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VLOOKUP($A6,[24]HISTOJUIN24!$A$6:$AU$38,7,0)</f>
        <v>0</v>
      </c>
      <c r="Q6" s="36">
        <f>VLOOKUP($A6,[24]HISTOJUIN24!$A$6:$AU$38,23,0)</f>
        <v>0</v>
      </c>
      <c r="R6" s="36">
        <f>VLOOKUP($A6,[24]HISTOJUIN24!$A$6:$AU$38,46,0)</f>
        <v>0</v>
      </c>
      <c r="S6" s="36">
        <f>VLOOKUP($A6,[24]HISTOJUIN24!$A$6:$AU$38,26,0)</f>
        <v>0</v>
      </c>
      <c r="T6" s="36">
        <f>VLOOKUP($A6,[24]HISTOJUIN24!$A$6:$BG$38,58,0)</f>
        <v>0</v>
      </c>
      <c r="U6" s="36">
        <f>VLOOKUP($A6,[24]HISTOJUIN24!$A$6:$AU$38,28,0)</f>
        <v>0</v>
      </c>
      <c r="V6" s="36">
        <f>VLOOKUP($A6,[24]HISTOJUIN24!$A$6:$AU$38,19,0)</f>
        <v>0</v>
      </c>
      <c r="W6" s="36">
        <f>VLOOKUP($A6,[24]HISTOJUIN24!$A$6:$AU$38,20,0)</f>
        <v>0</v>
      </c>
      <c r="X6" s="36">
        <f>VLOOKUP($A6,[24]HISTOJUIN24!$A$6:$AU$38,27,0)</f>
        <v>0</v>
      </c>
      <c r="Y6" s="36">
        <f>VLOOKUP($A6,[24]HISTOJUIN24!$A$6:$BM$38,33,0)</f>
        <v>0</v>
      </c>
      <c r="Z6" s="36">
        <f>VLOOKUP($A6,[24]HISTOJUIN24!$A$6:$BM$38,65,0)</f>
        <v>0</v>
      </c>
      <c r="AA6" s="36"/>
      <c r="AB6" s="36">
        <f>VLOOKUP($A6,[24]HISTOJUIN24!$A$6:$AU$38,43,0)</f>
        <v>0</v>
      </c>
      <c r="AC6" s="36">
        <f>VLOOKUP($A6,[24]HISTOJUIN24!$A$6:$AU$38,44,0)</f>
        <v>0</v>
      </c>
      <c r="AD6" s="36">
        <f>VLOOKUP($A6,[24]HISTOJUIN24!$A$6:$AU$38,47,0)</f>
        <v>0</v>
      </c>
      <c r="AE6" s="36">
        <f>VLOOKUP(A6,[24]HISTOJUIN24!$A$6:$BB$38,54,0)</f>
        <v>0</v>
      </c>
      <c r="AF6" s="36">
        <f>VLOOKUP($A6,[24]HISTOJUIN24!$A$6:$CA$38,60,0)</f>
        <v>0</v>
      </c>
      <c r="AG6" s="36">
        <f>VLOOKUP($A6,[24]HISTOJUIN24!$A$6:$CA$38,61,0)</f>
        <v>0</v>
      </c>
      <c r="AH6" s="36">
        <f>VLOOKUP($A6,[24]HISTOJUIN24!$A$6:$CA$38,62,0)</f>
        <v>0</v>
      </c>
      <c r="AI6" s="36">
        <f>VLOOKUP($A6,[24]HISTOJUIN24!$A$6:$CA$38,63,0)</f>
        <v>0</v>
      </c>
      <c r="AJ6" s="36">
        <f>VLOOKUP($A6,[24]HISTOJUIN24!$A$6:$CA$38,64,0)</f>
        <v>0</v>
      </c>
      <c r="AK6" s="36">
        <f>VLOOKUP($A6,[24]HISTOJUIN24!$A$6:$CA$38,65,0)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VLOOKUP($A7,[24]HISTOJUIN24!$A$6:$BA$38,48,0)</f>
        <v>0</v>
      </c>
      <c r="F7" s="36">
        <f>MVTMAI24!I7-E7+L7</f>
        <v>814791.19348721951</v>
      </c>
      <c r="G7" s="5">
        <f>IF(MVTMAI24!I7+L7&gt;700000,(MVTMAI24!I7-E7+L7),0)</f>
        <v>814791.19348721951</v>
      </c>
      <c r="H7" s="36">
        <f t="shared" si="0"/>
        <v>0</v>
      </c>
      <c r="I7" s="6">
        <f t="shared" ref="I7:I39" si="2">F7+H7</f>
        <v>814791.19348721951</v>
      </c>
      <c r="J7" s="36">
        <f>VLOOKUP($A7,[24]HISTOJUIN24!$A$6:$AQ$42,22,0)</f>
        <v>0</v>
      </c>
      <c r="K7" s="36">
        <f>VLOOKUP($A7,[24]HISTOJUIN24!$A$6:$AU$38,45,0)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VLOOKUP($A7,[24]HISTOJUIN24!$A$6:$AU$38,7,0)</f>
        <v>3000</v>
      </c>
      <c r="Q7" s="36">
        <f>VLOOKUP($A7,[24]HISTOJUIN24!$A$6:$AU$38,23,0)</f>
        <v>0</v>
      </c>
      <c r="R7" s="36">
        <f>VLOOKUP($A7,[24]HISTOJUIN24!$A$6:$AU$38,46,0)</f>
        <v>0</v>
      </c>
      <c r="S7" s="36">
        <f>VLOOKUP($A7,[24]HISTOJUIN24!$A$6:$AU$38,26,0)</f>
        <v>0</v>
      </c>
      <c r="T7" s="36">
        <f>VLOOKUP($A7,[24]HISTOJUIN24!$A$6:$BG$38,58,0)</f>
        <v>0</v>
      </c>
      <c r="U7" s="36">
        <f>VLOOKUP($A7,[24]HISTOJUIN24!$A$6:$AU$38,28,0)</f>
        <v>0</v>
      </c>
      <c r="V7" s="36">
        <f>VLOOKUP($A7,[24]HISTOJUIN24!$A$6:$AU$38,19,0)</f>
        <v>0</v>
      </c>
      <c r="W7" s="36">
        <f>VLOOKUP($A7,[24]HISTOJUIN24!$A$6:$AU$38,20,0)</f>
        <v>0</v>
      </c>
      <c r="X7" s="36">
        <f>VLOOKUP($A7,[24]HISTOJUIN24!$A$6:$AU$38,27,0)</f>
        <v>0</v>
      </c>
      <c r="Y7" s="36">
        <f>VLOOKUP($A7,[24]HISTOJUIN24!$A$6:$BM$38,33,0)</f>
        <v>0</v>
      </c>
      <c r="Z7" s="36">
        <f>VLOOKUP($A7,[24]HISTOJUIN24!$A$6:$BM$38,65,0)</f>
        <v>0</v>
      </c>
      <c r="AA7" s="36"/>
      <c r="AB7" s="36">
        <f>VLOOKUP($A7,[24]HISTOJUIN24!$A$6:$AU$38,43,0)</f>
        <v>0</v>
      </c>
      <c r="AC7" s="36">
        <f>VLOOKUP($A7,[24]HISTOJUIN24!$A$6:$AU$38,44,0)</f>
        <v>0</v>
      </c>
      <c r="AD7" s="36">
        <f>VLOOKUP($A7,[24]HISTOJUIN24!$A$6:$AU$38,47,0)</f>
        <v>0</v>
      </c>
      <c r="AE7" s="36">
        <f>VLOOKUP(A7,[24]HISTOJUIN24!$A$6:$BB$38,54,0)</f>
        <v>0</v>
      </c>
      <c r="AF7" s="36">
        <f>VLOOKUP($A7,[24]HISTOJUIN24!$A$6:$CA$38,60,0)</f>
        <v>0</v>
      </c>
      <c r="AG7" s="36">
        <f>VLOOKUP($A7,[24]HISTOJUIN24!$A$6:$CA$38,61,0)</f>
        <v>0</v>
      </c>
      <c r="AH7" s="36">
        <f>VLOOKUP($A7,[24]HISTOJUIN24!$A$6:$CA$38,62,0)</f>
        <v>0</v>
      </c>
      <c r="AI7" s="36">
        <f>VLOOKUP($A7,[24]HISTOJUIN24!$A$6:$CA$38,63,0)</f>
        <v>0</v>
      </c>
      <c r="AJ7" s="36">
        <f>VLOOKUP($A7,[24]HISTOJUIN24!$A$6:$CA$38,64,0)</f>
        <v>0</v>
      </c>
      <c r="AK7" s="36">
        <f>VLOOKUP($A7,[24]HISTOJUIN24!$A$6:$CA$38,65,0)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VLOOKUP($A8,[24]HISTOJUIN24!$A$6:$BA$38,48,0)</f>
        <v>0</v>
      </c>
      <c r="F8" s="36">
        <f>MVTMAI24!I8-E8+L8</f>
        <v>858533.31236524263</v>
      </c>
      <c r="G8" s="5">
        <f>IF(MVTMAI24!I8+L8&gt;700000,(MVTMAI24!I8-E8+L8),0)</f>
        <v>858533.31236524263</v>
      </c>
      <c r="H8" s="36">
        <f t="shared" si="0"/>
        <v>0</v>
      </c>
      <c r="I8" s="6">
        <f t="shared" si="2"/>
        <v>858533.31236524263</v>
      </c>
      <c r="J8" s="36">
        <f>VLOOKUP($A8,[24]HISTOJUIN24!$A$6:$AQ$42,22,0)</f>
        <v>0</v>
      </c>
      <c r="K8" s="36">
        <f>VLOOKUP($A8,[24]HISTOJUIN24!$A$6:$AU$38,45,0)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VLOOKUP($A8,[24]HISTOJUIN24!$A$6:$AU$38,7,0)</f>
        <v>0</v>
      </c>
      <c r="Q8" s="36">
        <f>VLOOKUP($A8,[24]HISTOJUIN24!$A$6:$AU$38,23,0)</f>
        <v>0</v>
      </c>
      <c r="R8" s="36">
        <f>VLOOKUP($A8,[24]HISTOJUIN24!$A$6:$AU$38,46,0)</f>
        <v>0</v>
      </c>
      <c r="S8" s="36">
        <f>VLOOKUP($A8,[24]HISTOJUIN24!$A$6:$AU$38,26,0)</f>
        <v>0</v>
      </c>
      <c r="T8" s="36">
        <f>VLOOKUP($A8,[24]HISTOJUIN24!$A$6:$BG$38,58,0)</f>
        <v>0</v>
      </c>
      <c r="U8" s="36">
        <f>VLOOKUP($A8,[24]HISTOJUIN24!$A$6:$AU$38,28,0)</f>
        <v>0</v>
      </c>
      <c r="V8" s="36">
        <f>VLOOKUP($A8,[24]HISTOJUIN24!$A$6:$AU$38,19,0)</f>
        <v>0</v>
      </c>
      <c r="W8" s="36">
        <f>VLOOKUP($A8,[24]HISTOJUIN24!$A$6:$AU$38,20,0)</f>
        <v>0</v>
      </c>
      <c r="X8" s="36">
        <f>VLOOKUP($A8,[24]HISTOJUIN24!$A$6:$AU$38,27,0)</f>
        <v>0</v>
      </c>
      <c r="Y8" s="36">
        <f>VLOOKUP($A8,[24]HISTOJUIN24!$A$6:$BM$38,33,0)</f>
        <v>0</v>
      </c>
      <c r="Z8" s="36">
        <f>VLOOKUP($A8,[24]HISTOJUIN24!$A$6:$BM$38,65,0)</f>
        <v>0</v>
      </c>
      <c r="AA8" s="36"/>
      <c r="AB8" s="36">
        <f>VLOOKUP($A8,[24]HISTOJUIN24!$A$6:$AU$38,43,0)</f>
        <v>0</v>
      </c>
      <c r="AC8" s="36">
        <f>VLOOKUP($A8,[24]HISTOJUIN24!$A$6:$AU$38,44,0)</f>
        <v>0</v>
      </c>
      <c r="AD8" s="36">
        <f>VLOOKUP($A8,[24]HISTOJUIN24!$A$6:$AU$38,47,0)</f>
        <v>0</v>
      </c>
      <c r="AE8" s="36">
        <f>VLOOKUP(A8,[24]HISTOJUIN24!$A$6:$BB$38,54,0)</f>
        <v>0</v>
      </c>
      <c r="AF8" s="36">
        <f>VLOOKUP($A8,[24]HISTOJUIN24!$A$6:$CA$38,60,0)</f>
        <v>0</v>
      </c>
      <c r="AG8" s="36">
        <f>VLOOKUP($A8,[24]HISTOJUIN24!$A$6:$CA$38,61,0)</f>
        <v>0</v>
      </c>
      <c r="AH8" s="36">
        <f>VLOOKUP($A8,[24]HISTOJUIN24!$A$6:$CA$38,62,0)</f>
        <v>0</v>
      </c>
      <c r="AI8" s="36">
        <f>VLOOKUP($A8,[24]HISTOJUIN24!$A$6:$CA$38,63,0)</f>
        <v>0</v>
      </c>
      <c r="AJ8" s="36">
        <f>VLOOKUP($A8,[24]HISTOJUIN24!$A$6:$CA$38,64,0)</f>
        <v>0</v>
      </c>
      <c r="AK8" s="36">
        <f>VLOOKUP($A8,[24]HISTOJUIN24!$A$6:$CA$38,65,0)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VLOOKUP($A9,[24]HISTOJUIN24!$A$6:$BA$38,48,0)</f>
        <v>0</v>
      </c>
      <c r="F9" s="36">
        <f>MVTMAI24!I9-E9+L9</f>
        <v>915962.00686817756</v>
      </c>
      <c r="G9" s="5">
        <f>IF(MVTMAI24!I9+L9&gt;700000,(MVTMAI24!I9-E9+L9),0)</f>
        <v>915962.00686817756</v>
      </c>
      <c r="H9" s="36">
        <f t="shared" si="0"/>
        <v>0</v>
      </c>
      <c r="I9" s="6">
        <f t="shared" si="2"/>
        <v>915962.00686817756</v>
      </c>
      <c r="J9" s="36">
        <f>VLOOKUP($A9,[24]HISTOJUIN24!$A$6:$AQ$42,22,0)</f>
        <v>0</v>
      </c>
      <c r="K9" s="36">
        <f>VLOOKUP($A9,[24]HISTOJUIN24!$A$6:$AU$38,45,0)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VLOOKUP($A9,[24]HISTOJUIN24!$A$6:$AU$38,7,0)</f>
        <v>0</v>
      </c>
      <c r="Q9" s="36">
        <f>VLOOKUP($A9,[24]HISTOJUIN24!$A$6:$AU$38,23,0)</f>
        <v>0</v>
      </c>
      <c r="R9" s="36">
        <f>VLOOKUP($A9,[24]HISTOJUIN24!$A$6:$AU$38,46,0)</f>
        <v>0</v>
      </c>
      <c r="S9" s="36">
        <f>VLOOKUP($A9,[24]HISTOJUIN24!$A$6:$AU$38,26,0)</f>
        <v>0</v>
      </c>
      <c r="T9" s="36">
        <f>VLOOKUP($A9,[24]HISTOJUIN24!$A$6:$BG$38,58,0)</f>
        <v>0</v>
      </c>
      <c r="U9" s="36">
        <f>VLOOKUP($A9,[24]HISTOJUIN24!$A$6:$AU$38,28,0)</f>
        <v>0</v>
      </c>
      <c r="V9" s="36">
        <f>VLOOKUP($A9,[24]HISTOJUIN24!$A$6:$AU$38,19,0)</f>
        <v>0</v>
      </c>
      <c r="W9" s="36">
        <f>VLOOKUP($A9,[24]HISTOJUIN24!$A$6:$AU$38,20,0)</f>
        <v>0</v>
      </c>
      <c r="X9" s="36">
        <f>VLOOKUP($A9,[24]HISTOJUIN24!$A$6:$AU$38,27,0)</f>
        <v>0</v>
      </c>
      <c r="Y9" s="36">
        <f>VLOOKUP($A9,[24]HISTOJUIN24!$A$6:$BM$38,33,0)</f>
        <v>0</v>
      </c>
      <c r="Z9" s="36">
        <f>VLOOKUP($A9,[24]HISTOJUIN24!$A$6:$BM$38,65,0)</f>
        <v>0</v>
      </c>
      <c r="AA9" s="36"/>
      <c r="AB9" s="36">
        <f>VLOOKUP($A9,[24]HISTOJUIN24!$A$6:$AU$38,43,0)</f>
        <v>0</v>
      </c>
      <c r="AC9" s="36">
        <f>VLOOKUP($A9,[24]HISTOJUIN24!$A$6:$AU$38,44,0)</f>
        <v>0</v>
      </c>
      <c r="AD9" s="36">
        <f>VLOOKUP($A9,[24]HISTOJUIN24!$A$6:$AU$38,47,0)</f>
        <v>0</v>
      </c>
      <c r="AE9" s="36">
        <f>VLOOKUP(A9,[24]HISTOJUIN24!$A$6:$BB$38,54,0)</f>
        <v>0</v>
      </c>
      <c r="AF9" s="36">
        <f>VLOOKUP($A9,[24]HISTOJUIN24!$A$6:$CA$38,60,0)</f>
        <v>0</v>
      </c>
      <c r="AG9" s="36">
        <f>VLOOKUP($A9,[24]HISTOJUIN24!$A$6:$CA$38,61,0)</f>
        <v>0</v>
      </c>
      <c r="AH9" s="36">
        <f>VLOOKUP($A9,[24]HISTOJUIN24!$A$6:$CA$38,62,0)</f>
        <v>0</v>
      </c>
      <c r="AI9" s="36">
        <f>VLOOKUP($A9,[24]HISTOJUIN24!$A$6:$CA$38,63,0)</f>
        <v>0</v>
      </c>
      <c r="AJ9" s="36">
        <f>VLOOKUP($A9,[24]HISTOJUIN24!$A$6:$CA$38,64,0)</f>
        <v>0</v>
      </c>
      <c r="AK9" s="36">
        <f>VLOOKUP($A9,[24]HISTOJUIN24!$A$6:$CA$38,65,0)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VLOOKUP($A10,[24]HISTOJUIN24!$A$6:$BA$38,48,0)</f>
        <v>0</v>
      </c>
      <c r="F10" s="36">
        <f>MVTMAI24!I10-E10+L10</f>
        <v>855805.20622596238</v>
      </c>
      <c r="G10" s="5">
        <f>IF(MVTMAI24!I10+L10&gt;700000,(MVTMAI24!I10-E10+L10),0)</f>
        <v>855805.20622596238</v>
      </c>
      <c r="H10" s="36">
        <f t="shared" si="0"/>
        <v>0</v>
      </c>
      <c r="I10" s="6">
        <f t="shared" si="2"/>
        <v>855805.20622596238</v>
      </c>
      <c r="J10" s="36">
        <f>VLOOKUP($A10,[24]HISTOJUIN24!$A$6:$AQ$42,22,0)</f>
        <v>0</v>
      </c>
      <c r="K10" s="36">
        <f>VLOOKUP($A10,[24]HISTOJUIN24!$A$6:$AU$38,45,0)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VLOOKUP($A10,[24]HISTOJUIN24!$A$6:$AU$38,7,0)</f>
        <v>0</v>
      </c>
      <c r="Q10" s="36">
        <f>VLOOKUP($A10,[24]HISTOJUIN24!$A$6:$AU$38,23,0)</f>
        <v>0</v>
      </c>
      <c r="R10" s="36">
        <f>VLOOKUP($A10,[24]HISTOJUIN24!$A$6:$AU$38,46,0)</f>
        <v>0</v>
      </c>
      <c r="S10" s="36">
        <f>VLOOKUP($A10,[24]HISTOJUIN24!$A$6:$AU$38,26,0)</f>
        <v>0</v>
      </c>
      <c r="T10" s="36">
        <f>VLOOKUP($A10,[24]HISTOJUIN24!$A$6:$BG$38,58,0)</f>
        <v>0</v>
      </c>
      <c r="U10" s="36">
        <f>VLOOKUP($A10,[24]HISTOJUIN24!$A$6:$AU$38,28,0)</f>
        <v>0</v>
      </c>
      <c r="V10" s="36">
        <f>VLOOKUP($A10,[24]HISTOJUIN24!$A$6:$AU$38,19,0)</f>
        <v>0</v>
      </c>
      <c r="W10" s="36">
        <f>VLOOKUP($A10,[24]HISTOJUIN24!$A$6:$AU$38,20,0)</f>
        <v>0</v>
      </c>
      <c r="X10" s="36">
        <f>VLOOKUP($A10,[24]HISTOJUIN24!$A$6:$AU$38,27,0)</f>
        <v>0</v>
      </c>
      <c r="Y10" s="36">
        <f>VLOOKUP($A10,[24]HISTOJUIN24!$A$6:$BM$38,33,0)</f>
        <v>0</v>
      </c>
      <c r="Z10" s="36">
        <f>VLOOKUP($A10,[24]HISTOJUIN24!$A$6:$BM$38,65,0)</f>
        <v>0</v>
      </c>
      <c r="AA10" s="36"/>
      <c r="AB10" s="36">
        <f>VLOOKUP($A10,[24]HISTOJUIN24!$A$6:$AU$38,43,0)</f>
        <v>0</v>
      </c>
      <c r="AC10" s="36">
        <f>VLOOKUP($A10,[24]HISTOJUIN24!$A$6:$AU$38,44,0)</f>
        <v>0</v>
      </c>
      <c r="AD10" s="36">
        <f>VLOOKUP($A10,[24]HISTOJUIN24!$A$6:$AU$38,47,0)</f>
        <v>0</v>
      </c>
      <c r="AE10" s="36">
        <f>VLOOKUP(A10,[24]HISTOJUIN24!$A$6:$BB$38,54,0)</f>
        <v>0</v>
      </c>
      <c r="AF10" s="36">
        <f>VLOOKUP($A10,[24]HISTOJUIN24!$A$6:$CA$38,60,0)</f>
        <v>0</v>
      </c>
      <c r="AG10" s="36">
        <f>VLOOKUP($A10,[24]HISTOJUIN24!$A$6:$CA$38,61,0)</f>
        <v>0</v>
      </c>
      <c r="AH10" s="36">
        <f>VLOOKUP($A10,[24]HISTOJUIN24!$A$6:$CA$38,62,0)</f>
        <v>0</v>
      </c>
      <c r="AI10" s="36">
        <f>VLOOKUP($A10,[24]HISTOJUIN24!$A$6:$CA$38,63,0)</f>
        <v>0</v>
      </c>
      <c r="AJ10" s="36">
        <f>VLOOKUP($A10,[24]HISTOJUIN24!$A$6:$CA$38,64,0)</f>
        <v>0</v>
      </c>
      <c r="AK10" s="36">
        <f>VLOOKUP($A10,[24]HISTOJUIN24!$A$6:$CA$38,65,0)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VLOOKUP($A11,[24]HISTOJUIN24!$A$6:$BA$38,48,0)</f>
        <v>0</v>
      </c>
      <c r="F11" s="36">
        <f>MVTMAI24!I11-E11+L11</f>
        <v>873855.82895949238</v>
      </c>
      <c r="G11" s="5">
        <f>IF(MVTMAI24!I11+L11&gt;700000,(MVTMAI24!I11-E11+L11),0)</f>
        <v>873855.82895949238</v>
      </c>
      <c r="H11" s="36">
        <f t="shared" si="0"/>
        <v>0</v>
      </c>
      <c r="I11" s="6">
        <f t="shared" si="2"/>
        <v>873855.82895949238</v>
      </c>
      <c r="J11" s="36">
        <f>VLOOKUP($A11,[24]HISTOJUIN24!$A$6:$AQ$42,22,0)</f>
        <v>0</v>
      </c>
      <c r="K11" s="36">
        <f>VLOOKUP($A11,[24]HISTOJUIN24!$A$6:$AU$38,45,0)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VLOOKUP($A11,[24]HISTOJUIN24!$A$6:$AU$38,7,0)</f>
        <v>0</v>
      </c>
      <c r="Q11" s="36">
        <f>VLOOKUP($A11,[24]HISTOJUIN24!$A$6:$AU$38,23,0)</f>
        <v>0</v>
      </c>
      <c r="R11" s="36">
        <f>VLOOKUP($A11,[24]HISTOJUIN24!$A$6:$AU$38,46,0)</f>
        <v>0</v>
      </c>
      <c r="S11" s="36">
        <f>VLOOKUP($A11,[24]HISTOJUIN24!$A$6:$AU$38,26,0)</f>
        <v>0</v>
      </c>
      <c r="T11" s="36">
        <f>VLOOKUP($A11,[24]HISTOJUIN24!$A$6:$BG$38,58,0)</f>
        <v>0</v>
      </c>
      <c r="U11" s="36">
        <f>VLOOKUP($A11,[24]HISTOJUIN24!$A$6:$AU$38,28,0)</f>
        <v>0</v>
      </c>
      <c r="V11" s="36">
        <f>VLOOKUP($A11,[24]HISTOJUIN24!$A$6:$AU$38,19,0)</f>
        <v>0</v>
      </c>
      <c r="W11" s="36">
        <f>VLOOKUP($A11,[24]HISTOJUIN24!$A$6:$AU$38,20,0)</f>
        <v>0</v>
      </c>
      <c r="X11" s="36">
        <f>VLOOKUP($A11,[24]HISTOJUIN24!$A$6:$AU$38,27,0)</f>
        <v>0</v>
      </c>
      <c r="Y11" s="36">
        <f>VLOOKUP($A11,[24]HISTOJUIN24!$A$6:$BM$38,33,0)</f>
        <v>0</v>
      </c>
      <c r="Z11" s="36">
        <f>VLOOKUP($A11,[24]HISTOJUIN24!$A$6:$BM$38,65,0)</f>
        <v>0</v>
      </c>
      <c r="AA11" s="36"/>
      <c r="AB11" s="36">
        <f>VLOOKUP($A11,[24]HISTOJUIN24!$A$6:$AU$38,43,0)</f>
        <v>0</v>
      </c>
      <c r="AC11" s="36">
        <f>VLOOKUP($A11,[24]HISTOJUIN24!$A$6:$AU$38,44,0)</f>
        <v>0</v>
      </c>
      <c r="AD11" s="36">
        <f>VLOOKUP($A11,[24]HISTOJUIN24!$A$6:$AU$38,47,0)</f>
        <v>0</v>
      </c>
      <c r="AE11" s="36">
        <f>VLOOKUP(A11,[24]HISTOJUIN24!$A$6:$BB$38,54,0)</f>
        <v>0</v>
      </c>
      <c r="AF11" s="36">
        <f>VLOOKUP($A11,[24]HISTOJUIN24!$A$6:$CA$38,60,0)</f>
        <v>0</v>
      </c>
      <c r="AG11" s="36">
        <f>VLOOKUP($A11,[24]HISTOJUIN24!$A$6:$CA$38,61,0)</f>
        <v>0</v>
      </c>
      <c r="AH11" s="36">
        <f>VLOOKUP($A11,[24]HISTOJUIN24!$A$6:$CA$38,62,0)</f>
        <v>0</v>
      </c>
      <c r="AI11" s="36">
        <f>VLOOKUP($A11,[24]HISTOJUIN24!$A$6:$CA$38,63,0)</f>
        <v>0</v>
      </c>
      <c r="AJ11" s="36">
        <f>VLOOKUP($A11,[24]HISTOJUIN24!$A$6:$CA$38,64,0)</f>
        <v>0</v>
      </c>
      <c r="AK11" s="36">
        <f>VLOOKUP($A11,[24]HISTOJUIN24!$A$6:$CA$38,65,0)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VLOOKUP($A12,[24]HISTOJUIN24!$A$6:$BA$38,48,0)</f>
        <v>0</v>
      </c>
      <c r="F12" s="36">
        <f>MVTMAI24!I12-E12+L12</f>
        <v>897100.14741339569</v>
      </c>
      <c r="G12" s="5">
        <f>IF(MVTMAI24!I12+L12&gt;700000,(MVTMAI24!I12-E12+L12),0)</f>
        <v>897100.14741339569</v>
      </c>
      <c r="H12" s="36">
        <f t="shared" si="0"/>
        <v>0</v>
      </c>
      <c r="I12" s="6">
        <f t="shared" si="2"/>
        <v>897100.14741339569</v>
      </c>
      <c r="J12" s="36">
        <f>VLOOKUP($A12,[24]HISTOJUIN24!$A$6:$AQ$42,22,0)</f>
        <v>0</v>
      </c>
      <c r="K12" s="36">
        <f>VLOOKUP($A12,[24]HISTOJUIN24!$A$6:$AU$38,45,0)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VLOOKUP($A12,[24]HISTOJUIN24!$A$6:$AU$38,7,0)</f>
        <v>0</v>
      </c>
      <c r="Q12" s="36">
        <f>VLOOKUP($A12,[24]HISTOJUIN24!$A$6:$AU$38,23,0)</f>
        <v>0</v>
      </c>
      <c r="R12" s="36">
        <f>VLOOKUP($A12,[24]HISTOJUIN24!$A$6:$AU$38,46,0)</f>
        <v>0</v>
      </c>
      <c r="S12" s="36">
        <f>VLOOKUP($A12,[24]HISTOJUIN24!$A$6:$AU$38,26,0)</f>
        <v>0</v>
      </c>
      <c r="T12" s="36">
        <f>VLOOKUP($A12,[24]HISTOJUIN24!$A$6:$BG$38,58,0)</f>
        <v>0</v>
      </c>
      <c r="U12" s="36">
        <f>VLOOKUP($A12,[24]HISTOJUIN24!$A$6:$AU$38,28,0)</f>
        <v>0</v>
      </c>
      <c r="V12" s="36">
        <f>VLOOKUP($A12,[24]HISTOJUIN24!$A$6:$AU$38,19,0)</f>
        <v>0</v>
      </c>
      <c r="W12" s="36">
        <f>VLOOKUP($A12,[24]HISTOJUIN24!$A$6:$AU$38,20,0)</f>
        <v>0</v>
      </c>
      <c r="X12" s="36">
        <f>VLOOKUP($A12,[24]HISTOJUIN24!$A$6:$AU$38,27,0)</f>
        <v>0</v>
      </c>
      <c r="Y12" s="36">
        <f>VLOOKUP($A12,[24]HISTOJUIN24!$A$6:$BM$38,33,0)</f>
        <v>0</v>
      </c>
      <c r="Z12" s="36">
        <f>VLOOKUP($A12,[24]HISTOJUIN24!$A$6:$BM$38,65,0)</f>
        <v>0</v>
      </c>
      <c r="AA12" s="36"/>
      <c r="AB12" s="36">
        <f>VLOOKUP($A12,[24]HISTOJUIN24!$A$6:$AU$38,43,0)</f>
        <v>0</v>
      </c>
      <c r="AC12" s="36">
        <f>VLOOKUP($A12,[24]HISTOJUIN24!$A$6:$AU$38,44,0)</f>
        <v>0</v>
      </c>
      <c r="AD12" s="36">
        <f>VLOOKUP($A12,[24]HISTOJUIN24!$A$6:$AU$38,47,0)</f>
        <v>0</v>
      </c>
      <c r="AE12" s="36">
        <f>VLOOKUP(A12,[24]HISTOJUIN24!$A$6:$BB$38,54,0)</f>
        <v>0</v>
      </c>
      <c r="AF12" s="36">
        <f>VLOOKUP($A12,[24]HISTOJUIN24!$A$6:$CA$38,60,0)</f>
        <v>0</v>
      </c>
      <c r="AG12" s="36">
        <f>VLOOKUP($A12,[24]HISTOJUIN24!$A$6:$CA$38,61,0)</f>
        <v>0</v>
      </c>
      <c r="AH12" s="36">
        <f>VLOOKUP($A12,[24]HISTOJUIN24!$A$6:$CA$38,62,0)</f>
        <v>0</v>
      </c>
      <c r="AI12" s="36">
        <f>VLOOKUP($A12,[24]HISTOJUIN24!$A$6:$CA$38,63,0)</f>
        <v>0</v>
      </c>
      <c r="AJ12" s="36">
        <f>VLOOKUP($A12,[24]HISTOJUIN24!$A$6:$CA$38,64,0)</f>
        <v>0</v>
      </c>
      <c r="AK12" s="36">
        <f>VLOOKUP($A12,[24]HISTOJUIN24!$A$6:$CA$38,65,0)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VLOOKUP($A13,[24]HISTOJUIN24!$A$6:$BA$38,48,0)</f>
        <v>0</v>
      </c>
      <c r="F13" s="36">
        <f>MVTMAI24!I13-E13+L13</f>
        <v>861555.14612214814</v>
      </c>
      <c r="G13" s="5">
        <f>IF(MVTMAI24!I13+L13&gt;700000,(MVTMAI24!I13-E13+L13),0)</f>
        <v>861555.14612214814</v>
      </c>
      <c r="H13" s="36">
        <f t="shared" si="0"/>
        <v>0</v>
      </c>
      <c r="I13" s="6">
        <f t="shared" si="2"/>
        <v>861555.14612214814</v>
      </c>
      <c r="J13" s="36">
        <f>VLOOKUP($A13,[24]HISTOJUIN24!$A$6:$AQ$42,22,0)</f>
        <v>0</v>
      </c>
      <c r="K13" s="36">
        <f>VLOOKUP($A13,[24]HISTOJUIN24!$A$6:$AU$38,45,0)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VLOOKUP($A13,[24]HISTOJUIN24!$A$6:$AU$38,7,0)</f>
        <v>0</v>
      </c>
      <c r="Q13" s="36">
        <f>VLOOKUP($A13,[24]HISTOJUIN24!$A$6:$AU$38,23,0)</f>
        <v>0</v>
      </c>
      <c r="R13" s="36">
        <f>VLOOKUP($A13,[24]HISTOJUIN24!$A$6:$AU$38,46,0)</f>
        <v>0</v>
      </c>
      <c r="S13" s="36">
        <f>VLOOKUP($A13,[24]HISTOJUIN24!$A$6:$AU$38,26,0)</f>
        <v>0</v>
      </c>
      <c r="T13" s="36">
        <f>VLOOKUP($A13,[24]HISTOJUIN24!$A$6:$BG$38,58,0)</f>
        <v>0</v>
      </c>
      <c r="U13" s="36">
        <f>VLOOKUP($A13,[24]HISTOJUIN24!$A$6:$AU$38,28,0)</f>
        <v>0</v>
      </c>
      <c r="V13" s="36">
        <f>VLOOKUP($A13,[24]HISTOJUIN24!$A$6:$AU$38,19,0)</f>
        <v>0</v>
      </c>
      <c r="W13" s="36">
        <f>VLOOKUP($A13,[24]HISTOJUIN24!$A$6:$AU$38,20,0)</f>
        <v>0</v>
      </c>
      <c r="X13" s="36">
        <f>VLOOKUP($A13,[24]HISTOJUIN24!$A$6:$AU$38,27,0)</f>
        <v>0</v>
      </c>
      <c r="Y13" s="36">
        <f>VLOOKUP($A13,[24]HISTOJUIN24!$A$6:$BM$38,33,0)</f>
        <v>0</v>
      </c>
      <c r="Z13" s="36">
        <f>VLOOKUP($A13,[24]HISTOJUIN24!$A$6:$BM$38,65,0)</f>
        <v>0</v>
      </c>
      <c r="AA13" s="36"/>
      <c r="AB13" s="36">
        <f>VLOOKUP($A13,[24]HISTOJUIN24!$A$6:$AU$38,43,0)</f>
        <v>0</v>
      </c>
      <c r="AC13" s="36">
        <f>VLOOKUP($A13,[24]HISTOJUIN24!$A$6:$AU$38,44,0)</f>
        <v>0</v>
      </c>
      <c r="AD13" s="36">
        <f>VLOOKUP($A13,[24]HISTOJUIN24!$A$6:$AU$38,47,0)</f>
        <v>0</v>
      </c>
      <c r="AE13" s="36">
        <f>VLOOKUP(A13,[24]HISTOJUIN24!$A$6:$BB$38,54,0)</f>
        <v>0</v>
      </c>
      <c r="AF13" s="36">
        <f>VLOOKUP($A13,[24]HISTOJUIN24!$A$6:$CA$38,60,0)</f>
        <v>0</v>
      </c>
      <c r="AG13" s="36">
        <f>VLOOKUP($A13,[24]HISTOJUIN24!$A$6:$CA$38,61,0)</f>
        <v>0</v>
      </c>
      <c r="AH13" s="36">
        <f>VLOOKUP($A13,[24]HISTOJUIN24!$A$6:$CA$38,62,0)</f>
        <v>0</v>
      </c>
      <c r="AI13" s="36">
        <f>VLOOKUP($A13,[24]HISTOJUIN24!$A$6:$CA$38,63,0)</f>
        <v>0</v>
      </c>
      <c r="AJ13" s="36">
        <f>VLOOKUP($A13,[24]HISTOJUIN24!$A$6:$CA$38,64,0)</f>
        <v>0</v>
      </c>
      <c r="AK13" s="36">
        <f>VLOOKUP($A13,[24]HISTOJUIN24!$A$6:$CA$38,65,0)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VLOOKUP($A14,[24]HISTOJUIN24!$A$6:$BA$38,48,0)</f>
        <v>0</v>
      </c>
      <c r="F14" s="36">
        <f>MVTMAI24!I14-E14+L14</f>
        <v>1414425.9823482623</v>
      </c>
      <c r="G14" s="5">
        <f>IF(MVTMAI24!I14+L14&gt;700000,(MVTMAI24!I14-E14+L14),0)</f>
        <v>1414425.9823482623</v>
      </c>
      <c r="H14" s="36">
        <f t="shared" si="0"/>
        <v>0</v>
      </c>
      <c r="I14" s="6">
        <f t="shared" si="2"/>
        <v>1414425.9823482623</v>
      </c>
      <c r="J14" s="36">
        <f>VLOOKUP($A14,[24]HISTOJUIN24!$A$6:$AQ$42,22,0)</f>
        <v>0</v>
      </c>
      <c r="K14" s="36">
        <f>VLOOKUP($A14,[24]HISTOJUIN24!$A$6:$AU$38,45,0)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VLOOKUP($A14,[24]HISTOJUIN24!$A$6:$AU$38,7,0)</f>
        <v>0</v>
      </c>
      <c r="Q14" s="36">
        <f>VLOOKUP($A14,[24]HISTOJUIN24!$A$6:$AU$38,23,0)</f>
        <v>0</v>
      </c>
      <c r="R14" s="36">
        <f>VLOOKUP($A14,[24]HISTOJUIN24!$A$6:$AU$38,46,0)</f>
        <v>0</v>
      </c>
      <c r="S14" s="36">
        <f>VLOOKUP($A14,[24]HISTOJUIN24!$A$6:$AU$38,26,0)</f>
        <v>0</v>
      </c>
      <c r="T14" s="36">
        <f>VLOOKUP($A14,[24]HISTOJUIN24!$A$6:$BG$38,58,0)</f>
        <v>0</v>
      </c>
      <c r="U14" s="36">
        <f>VLOOKUP($A14,[24]HISTOJUIN24!$A$6:$AU$38,28,0)</f>
        <v>0</v>
      </c>
      <c r="V14" s="36">
        <f>VLOOKUP($A14,[24]HISTOJUIN24!$A$6:$AU$38,19,0)</f>
        <v>0</v>
      </c>
      <c r="W14" s="36">
        <f>VLOOKUP($A14,[24]HISTOJUIN24!$A$6:$AU$38,20,0)</f>
        <v>0</v>
      </c>
      <c r="X14" s="36">
        <f>VLOOKUP($A14,[24]HISTOJUIN24!$A$6:$AU$38,27,0)</f>
        <v>0</v>
      </c>
      <c r="Y14" s="36">
        <f>VLOOKUP($A14,[24]HISTOJUIN24!$A$6:$BM$38,33,0)</f>
        <v>0</v>
      </c>
      <c r="Z14" s="36">
        <f>VLOOKUP($A14,[24]HISTOJUIN24!$A$6:$BM$38,65,0)</f>
        <v>0</v>
      </c>
      <c r="AA14" s="36"/>
      <c r="AB14" s="36">
        <f>VLOOKUP($A14,[24]HISTOJUIN24!$A$6:$AU$38,43,0)</f>
        <v>0</v>
      </c>
      <c r="AC14" s="36">
        <f>VLOOKUP($A14,[24]HISTOJUIN24!$A$6:$AU$38,44,0)</f>
        <v>0</v>
      </c>
      <c r="AD14" s="36">
        <f>VLOOKUP($A14,[24]HISTOJUIN24!$A$6:$AU$38,47,0)</f>
        <v>0</v>
      </c>
      <c r="AE14" s="36">
        <f>VLOOKUP(A14,[24]HISTOJUIN24!$A$6:$BB$38,54,0)</f>
        <v>0</v>
      </c>
      <c r="AF14" s="36">
        <f>VLOOKUP($A14,[24]HISTOJUIN24!$A$6:$CA$38,60,0)</f>
        <v>0</v>
      </c>
      <c r="AG14" s="36">
        <f>VLOOKUP($A14,[24]HISTOJUIN24!$A$6:$CA$38,61,0)</f>
        <v>0</v>
      </c>
      <c r="AH14" s="36">
        <f>VLOOKUP($A14,[24]HISTOJUIN24!$A$6:$CA$38,62,0)</f>
        <v>0</v>
      </c>
      <c r="AI14" s="36">
        <f>VLOOKUP($A14,[24]HISTOJUIN24!$A$6:$CA$38,63,0)</f>
        <v>0</v>
      </c>
      <c r="AJ14" s="36">
        <f>VLOOKUP($A14,[24]HISTOJUIN24!$A$6:$CA$38,64,0)</f>
        <v>0</v>
      </c>
      <c r="AK14" s="36">
        <f>VLOOKUP($A14,[24]HISTOJUIN24!$A$6:$CA$38,65,0)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VLOOKUP($A15,[24]HISTOJUIN24!$A$6:$BA$38,48,0)</f>
        <v>0</v>
      </c>
      <c r="F15" s="36">
        <f>MVTMAI24!I15-E15+L15</f>
        <v>923309.62153810938</v>
      </c>
      <c r="G15" s="5">
        <f>IF(MVTMAI24!I15+L15&gt;700000,(MVTMAI24!I15-E15+L15),0)</f>
        <v>923309.62153810938</v>
      </c>
      <c r="H15" s="36">
        <f t="shared" si="0"/>
        <v>0</v>
      </c>
      <c r="I15" s="6">
        <f t="shared" si="2"/>
        <v>923309.62153810938</v>
      </c>
      <c r="J15" s="36">
        <f>VLOOKUP($A15,[24]HISTOJUIN24!$A$6:$AQ$42,22,0)</f>
        <v>0</v>
      </c>
      <c r="K15" s="36">
        <f>VLOOKUP($A15,[24]HISTOJUIN24!$A$6:$AU$38,45,0)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VLOOKUP($A15,[24]HISTOJUIN24!$A$6:$AU$38,7,0)</f>
        <v>0</v>
      </c>
      <c r="Q15" s="36">
        <f>VLOOKUP($A15,[24]HISTOJUIN24!$A$6:$AU$38,23,0)</f>
        <v>0</v>
      </c>
      <c r="R15" s="36">
        <f>VLOOKUP($A15,[24]HISTOJUIN24!$A$6:$AU$38,46,0)</f>
        <v>0</v>
      </c>
      <c r="S15" s="36">
        <f>VLOOKUP($A15,[24]HISTOJUIN24!$A$6:$AU$38,26,0)</f>
        <v>0</v>
      </c>
      <c r="T15" s="36">
        <f>VLOOKUP($A15,[24]HISTOJUIN24!$A$6:$BG$38,58,0)</f>
        <v>0</v>
      </c>
      <c r="U15" s="36">
        <f>VLOOKUP($A15,[24]HISTOJUIN24!$A$6:$AU$38,28,0)</f>
        <v>0</v>
      </c>
      <c r="V15" s="36">
        <f>VLOOKUP($A15,[24]HISTOJUIN24!$A$6:$AU$38,19,0)</f>
        <v>0</v>
      </c>
      <c r="W15" s="36">
        <f>VLOOKUP($A15,[24]HISTOJUIN24!$A$6:$AU$38,20,0)</f>
        <v>0</v>
      </c>
      <c r="X15" s="36">
        <f>VLOOKUP($A15,[24]HISTOJUIN24!$A$6:$AU$38,27,0)</f>
        <v>0</v>
      </c>
      <c r="Y15" s="36">
        <f>VLOOKUP($A15,[24]HISTOJUIN24!$A$6:$BM$38,33,0)</f>
        <v>0</v>
      </c>
      <c r="Z15" s="36">
        <f>VLOOKUP($A15,[24]HISTOJUIN24!$A$6:$BM$38,65,0)</f>
        <v>0</v>
      </c>
      <c r="AA15" s="36"/>
      <c r="AB15" s="36">
        <f>VLOOKUP($A15,[24]HISTOJUIN24!$A$6:$AU$38,43,0)</f>
        <v>0</v>
      </c>
      <c r="AC15" s="36">
        <f>VLOOKUP($A15,[24]HISTOJUIN24!$A$6:$AU$38,44,0)</f>
        <v>0</v>
      </c>
      <c r="AD15" s="36">
        <f>VLOOKUP($A15,[24]HISTOJUIN24!$A$6:$AU$38,47,0)</f>
        <v>0</v>
      </c>
      <c r="AE15" s="36">
        <f>VLOOKUP(A15,[24]HISTOJUIN24!$A$6:$BB$38,54,0)</f>
        <v>0</v>
      </c>
      <c r="AF15" s="36">
        <f>VLOOKUP($A15,[24]HISTOJUIN24!$A$6:$CA$38,60,0)</f>
        <v>0</v>
      </c>
      <c r="AG15" s="36">
        <f>VLOOKUP($A15,[24]HISTOJUIN24!$A$6:$CA$38,61,0)</f>
        <v>0</v>
      </c>
      <c r="AH15" s="36">
        <f>VLOOKUP($A15,[24]HISTOJUIN24!$A$6:$CA$38,62,0)</f>
        <v>0</v>
      </c>
      <c r="AI15" s="36">
        <f>VLOOKUP($A15,[24]HISTOJUIN24!$A$6:$CA$38,63,0)</f>
        <v>0</v>
      </c>
      <c r="AJ15" s="36">
        <f>VLOOKUP($A15,[24]HISTOJUIN24!$A$6:$CA$38,64,0)</f>
        <v>0</v>
      </c>
      <c r="AK15" s="36">
        <f>VLOOKUP($A15,[24]HISTOJUIN24!$A$6:$CA$38,65,0)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VLOOKUP($A16,[24]HISTOJUIN24!$A$6:$BA$38,48,0)</f>
        <v>0</v>
      </c>
      <c r="F16" s="36">
        <f>MVTMAI24!I16-E16+L16</f>
        <v>1033858.7065070483</v>
      </c>
      <c r="G16" s="5">
        <f>IF(MVTMAI24!I16+L16&gt;700000,(MVTMAI24!I16-E16+L16),0)</f>
        <v>1033858.7065070483</v>
      </c>
      <c r="H16" s="36">
        <f t="shared" si="0"/>
        <v>0</v>
      </c>
      <c r="I16" s="6">
        <f t="shared" si="2"/>
        <v>1033858.7065070483</v>
      </c>
      <c r="J16" s="36">
        <f>VLOOKUP($A16,[24]HISTOJUIN24!$A$6:$AQ$42,22,0)</f>
        <v>0</v>
      </c>
      <c r="K16" s="36">
        <f>VLOOKUP($A16,[24]HISTOJUIN24!$A$6:$AU$38,45,0)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VLOOKUP($A16,[24]HISTOJUIN24!$A$6:$AU$38,7,0)</f>
        <v>0</v>
      </c>
      <c r="Q16" s="36">
        <f>VLOOKUP($A16,[24]HISTOJUIN24!$A$6:$AU$38,23,0)</f>
        <v>0</v>
      </c>
      <c r="R16" s="36">
        <f>VLOOKUP($A16,[24]HISTOJUIN24!$A$6:$AU$38,46,0)</f>
        <v>0</v>
      </c>
      <c r="S16" s="36">
        <f>VLOOKUP($A16,[24]HISTOJUIN24!$A$6:$AU$38,26,0)</f>
        <v>0</v>
      </c>
      <c r="T16" s="36">
        <f>VLOOKUP($A16,[24]HISTOJUIN24!$A$6:$BG$38,58,0)</f>
        <v>0</v>
      </c>
      <c r="U16" s="36">
        <f>VLOOKUP($A16,[24]HISTOJUIN24!$A$6:$AU$38,28,0)</f>
        <v>0</v>
      </c>
      <c r="V16" s="36">
        <f>VLOOKUP($A16,[24]HISTOJUIN24!$A$6:$AU$38,19,0)</f>
        <v>0</v>
      </c>
      <c r="W16" s="36">
        <f>VLOOKUP($A16,[24]HISTOJUIN24!$A$6:$AU$38,20,0)</f>
        <v>0</v>
      </c>
      <c r="X16" s="36">
        <f>VLOOKUP($A16,[24]HISTOJUIN24!$A$6:$AU$38,27,0)</f>
        <v>0</v>
      </c>
      <c r="Y16" s="36">
        <f>VLOOKUP($A16,[24]HISTOJUIN24!$A$6:$BM$38,33,0)</f>
        <v>0</v>
      </c>
      <c r="Z16" s="36">
        <f>VLOOKUP($A16,[24]HISTOJUIN24!$A$6:$BM$38,65,0)</f>
        <v>0</v>
      </c>
      <c r="AA16" s="36"/>
      <c r="AB16" s="36">
        <f>VLOOKUP($A16,[24]HISTOJUIN24!$A$6:$AU$38,43,0)</f>
        <v>0</v>
      </c>
      <c r="AC16" s="36">
        <f>VLOOKUP($A16,[24]HISTOJUIN24!$A$6:$AU$38,44,0)</f>
        <v>0</v>
      </c>
      <c r="AD16" s="36">
        <f>VLOOKUP($A16,[24]HISTOJUIN24!$A$6:$AU$38,47,0)</f>
        <v>0</v>
      </c>
      <c r="AE16" s="36">
        <f>VLOOKUP(A16,[24]HISTOJUIN24!$A$6:$BB$38,54,0)</f>
        <v>0</v>
      </c>
      <c r="AF16" s="36">
        <f>VLOOKUP($A16,[24]HISTOJUIN24!$A$6:$CA$38,60,0)</f>
        <v>0</v>
      </c>
      <c r="AG16" s="36">
        <f>VLOOKUP($A16,[24]HISTOJUIN24!$A$6:$CA$38,61,0)</f>
        <v>0</v>
      </c>
      <c r="AH16" s="36">
        <f>VLOOKUP($A16,[24]HISTOJUIN24!$A$6:$CA$38,62,0)</f>
        <v>0</v>
      </c>
      <c r="AI16" s="36">
        <f>VLOOKUP($A16,[24]HISTOJUIN24!$A$6:$CA$38,63,0)</f>
        <v>0</v>
      </c>
      <c r="AJ16" s="36">
        <f>VLOOKUP($A16,[24]HISTOJUIN24!$A$6:$CA$38,64,0)</f>
        <v>0</v>
      </c>
      <c r="AK16" s="36">
        <f>VLOOKUP($A16,[24]HISTOJUIN24!$A$6:$CA$38,65,0)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VLOOKUP($A17,[24]HISTOJUIN24!$A$6:$BA$38,48,0)</f>
        <v>0</v>
      </c>
      <c r="F17" s="36">
        <f>MVTMAI24!I17-E17+L17</f>
        <v>871402.7005255461</v>
      </c>
      <c r="G17" s="5">
        <f>IF(MVTMAI24!I17+L17&gt;700000,(MVTMAI24!I17-E17+L17),0)</f>
        <v>871402.7005255461</v>
      </c>
      <c r="H17" s="36">
        <f t="shared" si="0"/>
        <v>0</v>
      </c>
      <c r="I17" s="6">
        <f t="shared" si="2"/>
        <v>871402.7005255461</v>
      </c>
      <c r="J17" s="36">
        <f>VLOOKUP($A17,[24]HISTOJUIN24!$A$6:$AQ$42,22,0)</f>
        <v>0</v>
      </c>
      <c r="K17" s="36">
        <f>VLOOKUP($A17,[24]HISTOJUIN24!$A$6:$AU$38,45,0)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VLOOKUP($A17,[24]HISTOJUIN24!$A$6:$AU$38,7,0)</f>
        <v>0</v>
      </c>
      <c r="Q17" s="36">
        <f>VLOOKUP($A17,[24]HISTOJUIN24!$A$6:$AU$38,23,0)</f>
        <v>0</v>
      </c>
      <c r="R17" s="36">
        <f>VLOOKUP($A17,[24]HISTOJUIN24!$A$6:$AU$38,46,0)</f>
        <v>0</v>
      </c>
      <c r="S17" s="36">
        <f>VLOOKUP($A17,[24]HISTOJUIN24!$A$6:$AU$38,26,0)</f>
        <v>0</v>
      </c>
      <c r="T17" s="36">
        <f>VLOOKUP($A17,[24]HISTOJUIN24!$A$6:$BG$38,58,0)</f>
        <v>0</v>
      </c>
      <c r="U17" s="36">
        <f>VLOOKUP($A17,[24]HISTOJUIN24!$A$6:$AU$38,28,0)</f>
        <v>0</v>
      </c>
      <c r="V17" s="36">
        <f>VLOOKUP($A17,[24]HISTOJUIN24!$A$6:$AU$38,19,0)</f>
        <v>0</v>
      </c>
      <c r="W17" s="36">
        <f>VLOOKUP($A17,[24]HISTOJUIN24!$A$6:$AU$38,20,0)</f>
        <v>0</v>
      </c>
      <c r="X17" s="36">
        <f>VLOOKUP($A17,[24]HISTOJUIN24!$A$6:$AU$38,27,0)</f>
        <v>0</v>
      </c>
      <c r="Y17" s="36">
        <f>VLOOKUP($A17,[24]HISTOJUIN24!$A$6:$BM$38,33,0)</f>
        <v>0</v>
      </c>
      <c r="Z17" s="36">
        <f>VLOOKUP($A17,[24]HISTOJUIN24!$A$6:$BM$38,65,0)</f>
        <v>0</v>
      </c>
      <c r="AA17" s="36"/>
      <c r="AB17" s="36">
        <f>VLOOKUP($A17,[24]HISTOJUIN24!$A$6:$AU$38,43,0)</f>
        <v>0</v>
      </c>
      <c r="AC17" s="36">
        <f>VLOOKUP($A17,[24]HISTOJUIN24!$A$6:$AU$38,44,0)</f>
        <v>0</v>
      </c>
      <c r="AD17" s="36">
        <f>VLOOKUP($A17,[24]HISTOJUIN24!$A$6:$AU$38,47,0)</f>
        <v>0</v>
      </c>
      <c r="AE17" s="36">
        <f>VLOOKUP(A17,[24]HISTOJUIN24!$A$6:$BB$38,54,0)</f>
        <v>0</v>
      </c>
      <c r="AF17" s="36">
        <f>VLOOKUP($A17,[24]HISTOJUIN24!$A$6:$CA$38,60,0)</f>
        <v>0</v>
      </c>
      <c r="AG17" s="36">
        <f>VLOOKUP($A17,[24]HISTOJUIN24!$A$6:$CA$38,61,0)</f>
        <v>0</v>
      </c>
      <c r="AH17" s="36">
        <f>VLOOKUP($A17,[24]HISTOJUIN24!$A$6:$CA$38,62,0)</f>
        <v>0</v>
      </c>
      <c r="AI17" s="36">
        <f>VLOOKUP($A17,[24]HISTOJUIN24!$A$6:$CA$38,63,0)</f>
        <v>0</v>
      </c>
      <c r="AJ17" s="36">
        <f>VLOOKUP($A17,[24]HISTOJUIN24!$A$6:$CA$38,64,0)</f>
        <v>0</v>
      </c>
      <c r="AK17" s="36">
        <f>VLOOKUP($A17,[24]HISTOJUIN24!$A$6:$CA$38,65,0)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VLOOKUP($A18,[24]HISTOJUIN24!$A$6:$BA$38,48,0)</f>
        <v>0</v>
      </c>
      <c r="F18" s="36">
        <f>MVTMAI24!I18-E18+L18</f>
        <v>917662.76419736946</v>
      </c>
      <c r="G18" s="5">
        <f>IF(MVTMAI24!I18+L18&gt;700000,(MVTMAI24!I18-E18+L18),0)</f>
        <v>917662.76419736946</v>
      </c>
      <c r="H18" s="36">
        <f t="shared" si="0"/>
        <v>0</v>
      </c>
      <c r="I18" s="6">
        <f t="shared" si="2"/>
        <v>917662.76419736946</v>
      </c>
      <c r="J18" s="36">
        <f>VLOOKUP($A18,[24]HISTOJUIN24!$A$6:$AQ$42,22,0)</f>
        <v>0</v>
      </c>
      <c r="K18" s="36">
        <f>VLOOKUP($A18,[24]HISTOJUIN24!$A$6:$AU$38,45,0)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VLOOKUP($A18,[24]HISTOJUIN24!$A$6:$AU$38,7,0)</f>
        <v>0</v>
      </c>
      <c r="Q18" s="36">
        <f>VLOOKUP($A18,[24]HISTOJUIN24!$A$6:$AU$38,23,0)</f>
        <v>0</v>
      </c>
      <c r="R18" s="36">
        <f>VLOOKUP($A18,[24]HISTOJUIN24!$A$6:$AU$38,46,0)</f>
        <v>0</v>
      </c>
      <c r="S18" s="36">
        <f>VLOOKUP($A18,[24]HISTOJUIN24!$A$6:$AU$38,26,0)</f>
        <v>0</v>
      </c>
      <c r="T18" s="36">
        <f>VLOOKUP($A18,[24]HISTOJUIN24!$A$6:$BG$38,58,0)</f>
        <v>0</v>
      </c>
      <c r="U18" s="36">
        <f>VLOOKUP($A18,[24]HISTOJUIN24!$A$6:$AU$38,28,0)</f>
        <v>0</v>
      </c>
      <c r="V18" s="36">
        <f>VLOOKUP($A18,[24]HISTOJUIN24!$A$6:$AU$38,19,0)</f>
        <v>0</v>
      </c>
      <c r="W18" s="36">
        <f>VLOOKUP($A18,[24]HISTOJUIN24!$A$6:$AU$38,20,0)</f>
        <v>0</v>
      </c>
      <c r="X18" s="36">
        <f>VLOOKUP($A18,[24]HISTOJUIN24!$A$6:$AU$38,27,0)</f>
        <v>0</v>
      </c>
      <c r="Y18" s="36">
        <f>VLOOKUP($A18,[24]HISTOJUIN24!$A$6:$BM$38,33,0)</f>
        <v>0</v>
      </c>
      <c r="Z18" s="36">
        <f>VLOOKUP($A18,[24]HISTOJUIN24!$A$6:$BM$38,65,0)</f>
        <v>0</v>
      </c>
      <c r="AA18" s="36"/>
      <c r="AB18" s="36">
        <f>VLOOKUP($A18,[24]HISTOJUIN24!$A$6:$AU$38,43,0)</f>
        <v>0</v>
      </c>
      <c r="AC18" s="36">
        <f>VLOOKUP($A18,[24]HISTOJUIN24!$A$6:$AU$38,44,0)</f>
        <v>0</v>
      </c>
      <c r="AD18" s="36">
        <f>VLOOKUP($A18,[24]HISTOJUIN24!$A$6:$AU$38,47,0)</f>
        <v>0</v>
      </c>
      <c r="AE18" s="36">
        <f>VLOOKUP(A18,[24]HISTOJUIN24!$A$6:$BB$38,54,0)</f>
        <v>0</v>
      </c>
      <c r="AF18" s="36">
        <f>VLOOKUP($A18,[24]HISTOJUIN24!$A$6:$CA$38,60,0)</f>
        <v>0</v>
      </c>
      <c r="AG18" s="36">
        <f>VLOOKUP($A18,[24]HISTOJUIN24!$A$6:$CA$38,61,0)</f>
        <v>0</v>
      </c>
      <c r="AH18" s="36">
        <f>VLOOKUP($A18,[24]HISTOJUIN24!$A$6:$CA$38,62,0)</f>
        <v>0</v>
      </c>
      <c r="AI18" s="36">
        <f>VLOOKUP($A18,[24]HISTOJUIN24!$A$6:$CA$38,63,0)</f>
        <v>0</v>
      </c>
      <c r="AJ18" s="36">
        <f>VLOOKUP($A18,[24]HISTOJUIN24!$A$6:$CA$38,64,0)</f>
        <v>0</v>
      </c>
      <c r="AK18" s="36">
        <f>VLOOKUP($A18,[24]HISTOJUIN24!$A$6:$CA$38,65,0)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MVTMAI24!I19-E19+L19</f>
        <v>676217.13072703336</v>
      </c>
      <c r="G19" s="5">
        <f>IF(MVTMAI24!I19+L19&gt;700000,(MVTMAI24!I19-E19+L19),0)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MVTMAI24!I20-E20+L20</f>
        <v>114000</v>
      </c>
      <c r="G20" s="5">
        <f>IF(MVTMAI24!I20+L20&gt;700000,(MVTMAI24!I20-E20+L20),0)</f>
        <v>0</v>
      </c>
      <c r="H20" s="36">
        <f t="shared" si="0"/>
        <v>0</v>
      </c>
      <c r="I20" s="6">
        <f t="shared" si="2"/>
        <v>114000</v>
      </c>
      <c r="J20" s="36">
        <f>VLOOKUP($A20,[24]HISTOJUIN24!$A$6:$AQ$42,22,0)</f>
        <v>0</v>
      </c>
      <c r="K20" s="36">
        <f>VLOOKUP($A20,[24]HISTOJUIN24!$A$6:$AU$38,45,0)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VLOOKUP($A20,[24]HISTOJUIN24!$A$6:$AU$38,7,0)</f>
        <v>0</v>
      </c>
      <c r="Q20" s="36">
        <f>VLOOKUP($A20,[24]HISTOJUIN24!$A$6:$AU$38,23,0)</f>
        <v>0</v>
      </c>
      <c r="R20" s="36">
        <f>VLOOKUP($A20,[24]HISTOJUIN24!$A$6:$AU$38,46,0)</f>
        <v>0</v>
      </c>
      <c r="S20" s="36">
        <f>VLOOKUP($A20,[24]HISTOJUIN24!$A$6:$AU$38,26,0)</f>
        <v>0</v>
      </c>
      <c r="T20" s="36">
        <f>VLOOKUP($A20,[24]HISTOJUIN24!$A$6:$BG$38,58,0)</f>
        <v>0</v>
      </c>
      <c r="U20" s="36">
        <f>VLOOKUP($A20,[24]HISTOJUIN24!$A$6:$AU$38,28,0)</f>
        <v>0</v>
      </c>
      <c r="V20" s="36">
        <f>VLOOKUP($A20,[24]HISTOJUIN24!$A$6:$AU$38,19,0)</f>
        <v>0</v>
      </c>
      <c r="W20" s="36">
        <f>VLOOKUP($A20,[24]HISTOJUIN24!$A$6:$AU$38,20,0)</f>
        <v>0</v>
      </c>
      <c r="X20" s="36">
        <f>VLOOKUP($A20,[24]HISTOJUIN24!$A$6:$AU$38,27,0)</f>
        <v>0</v>
      </c>
      <c r="Y20" s="36">
        <f>VLOOKUP($A20,[24]HISTOJUIN24!$A$6:$BM$38,33,0)</f>
        <v>0</v>
      </c>
      <c r="Z20" s="36">
        <f>VLOOKUP($A20,[24]HISTOJUIN24!$A$6:$BM$38,65,0)</f>
        <v>0</v>
      </c>
      <c r="AA20" s="36"/>
      <c r="AB20" s="36">
        <f>VLOOKUP($A20,[24]HISTOJUIN24!$A$6:$AU$38,43,0)</f>
        <v>0</v>
      </c>
      <c r="AC20" s="36">
        <f>VLOOKUP($A20,[24]HISTOJUIN24!$A$6:$AU$38,44,0)</f>
        <v>0</v>
      </c>
      <c r="AD20" s="36">
        <f>VLOOKUP($A20,[24]HISTOJUIN24!$A$6:$AU$38,47,0)</f>
        <v>0</v>
      </c>
      <c r="AE20" s="36">
        <f>VLOOKUP(A20,[24]HISTOJUIN24!$A$6:$BB$38,54,0)</f>
        <v>0</v>
      </c>
      <c r="AF20" s="36">
        <f>VLOOKUP($A20,[24]HISTOJUIN24!$A$6:$CA$38,60,0)</f>
        <v>0</v>
      </c>
      <c r="AG20" s="36">
        <f>VLOOKUP($A20,[24]HISTOJUIN24!$A$6:$CA$38,61,0)</f>
        <v>0</v>
      </c>
      <c r="AH20" s="36">
        <f>VLOOKUP($A20,[24]HISTOJUIN24!$A$6:$CA$38,62,0)</f>
        <v>0</v>
      </c>
      <c r="AI20" s="36">
        <f>VLOOKUP($A20,[24]HISTOJUIN24!$A$6:$CA$38,63,0)</f>
        <v>0</v>
      </c>
      <c r="AJ20" s="36">
        <f>VLOOKUP($A20,[24]HISTOJUIN24!$A$6:$CA$38,64,0)</f>
        <v>0</v>
      </c>
      <c r="AK20" s="36">
        <f>VLOOKUP($A20,[24]HISTOJUIN24!$A$6:$CA$38,65,0)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MVTMAI24!I21-E21+L21</f>
        <v>894355.80062958295</v>
      </c>
      <c r="G21" s="5">
        <f>IF(MVTMAI24!I21+L21&gt;700000,(MVTMAI24!I21-E21+L21),0)</f>
        <v>894355.80062958295</v>
      </c>
      <c r="H21" s="36">
        <f t="shared" si="0"/>
        <v>0</v>
      </c>
      <c r="I21" s="6">
        <f t="shared" si="2"/>
        <v>894355.80062958295</v>
      </c>
      <c r="J21" s="36">
        <f>VLOOKUP($A21,[24]HISTOJUIN24!$A$6:$AQ$42,22,0)</f>
        <v>0</v>
      </c>
      <c r="K21" s="36">
        <f>VLOOKUP($A21,[24]HISTOJUIN24!$A$6:$AU$38,45,0)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VLOOKUP($A21,[24]HISTOJUIN24!$A$6:$AU$38,7,0)</f>
        <v>0</v>
      </c>
      <c r="Q21" s="36">
        <f>VLOOKUP($A21,[24]HISTOJUIN24!$A$6:$AU$38,23,0)</f>
        <v>0</v>
      </c>
      <c r="R21" s="36">
        <f>VLOOKUP($A21,[24]HISTOJUIN24!$A$6:$AU$38,46,0)</f>
        <v>0</v>
      </c>
      <c r="S21" s="36">
        <f>VLOOKUP($A21,[24]HISTOJUIN24!$A$6:$AU$38,26,0)</f>
        <v>0</v>
      </c>
      <c r="T21" s="36">
        <f>VLOOKUP($A21,[24]HISTOJUIN24!$A$6:$BG$38,58,0)</f>
        <v>0</v>
      </c>
      <c r="U21" s="36">
        <f>VLOOKUP($A21,[24]HISTOJUIN24!$A$6:$AU$38,28,0)</f>
        <v>0</v>
      </c>
      <c r="V21" s="36">
        <f>VLOOKUP($A21,[24]HISTOJUIN24!$A$6:$AU$38,19,0)</f>
        <v>0</v>
      </c>
      <c r="W21" s="36">
        <f>VLOOKUP($A21,[24]HISTOJUIN24!$A$6:$AU$38,20,0)</f>
        <v>0</v>
      </c>
      <c r="X21" s="36">
        <f>VLOOKUP($A21,[24]HISTOJUIN24!$A$6:$AU$38,27,0)</f>
        <v>0</v>
      </c>
      <c r="Y21" s="36">
        <f>VLOOKUP($A21,[24]HISTOJUIN24!$A$6:$BM$38,33,0)</f>
        <v>0</v>
      </c>
      <c r="Z21" s="36">
        <f>VLOOKUP($A21,[24]HISTOJUIN24!$A$6:$BM$38,65,0)</f>
        <v>0</v>
      </c>
      <c r="AA21" s="36"/>
      <c r="AB21" s="36">
        <f>VLOOKUP($A21,[24]HISTOJUIN24!$A$6:$AU$38,43,0)</f>
        <v>0</v>
      </c>
      <c r="AC21" s="36">
        <f>VLOOKUP($A21,[24]HISTOJUIN24!$A$6:$AU$38,44,0)</f>
        <v>0</v>
      </c>
      <c r="AD21" s="36">
        <f>VLOOKUP($A21,[24]HISTOJUIN24!$A$6:$AU$38,47,0)</f>
        <v>0</v>
      </c>
      <c r="AE21" s="36">
        <f>VLOOKUP(A21,[24]HISTOJUIN24!$A$6:$BB$38,54,0)</f>
        <v>0</v>
      </c>
      <c r="AF21" s="36">
        <f>VLOOKUP($A21,[24]HISTOJUIN24!$A$6:$CA$38,60,0)</f>
        <v>0</v>
      </c>
      <c r="AG21" s="36">
        <f>VLOOKUP($A21,[24]HISTOJUIN24!$A$6:$CA$38,61,0)</f>
        <v>0</v>
      </c>
      <c r="AH21" s="36">
        <f>VLOOKUP($A21,[24]HISTOJUIN24!$A$6:$CA$38,62,0)</f>
        <v>0</v>
      </c>
      <c r="AI21" s="36">
        <f>VLOOKUP($A21,[24]HISTOJUIN24!$A$6:$CA$38,63,0)</f>
        <v>0</v>
      </c>
      <c r="AJ21" s="36">
        <f>VLOOKUP($A21,[24]HISTOJUIN24!$A$6:$CA$38,64,0)</f>
        <v>0</v>
      </c>
      <c r="AK21" s="36">
        <f>VLOOKUP($A21,[24]HISTOJUIN24!$A$6:$CA$38,65,0)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MVTMAI24!I22-E22+L22</f>
        <v>862738.95952735876</v>
      </c>
      <c r="G22" s="5">
        <f>IF(MVTMAI24!I22+L22&gt;700000,(MVTMAI24!I22-E22+L22),0)</f>
        <v>862738.95952735876</v>
      </c>
      <c r="H22" s="36">
        <f t="shared" si="0"/>
        <v>0</v>
      </c>
      <c r="I22" s="6">
        <f t="shared" si="2"/>
        <v>862738.95952735876</v>
      </c>
      <c r="J22" s="36">
        <f>VLOOKUP($A22,[24]HISTOJUIN24!$A$6:$AQ$42,22,0)</f>
        <v>0</v>
      </c>
      <c r="K22" s="36">
        <f>VLOOKUP($A22,[24]HISTOJUIN24!$A$6:$AU$38,45,0)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VLOOKUP($A22,[24]HISTOJUIN24!$A$6:$AU$38,7,0)</f>
        <v>0</v>
      </c>
      <c r="Q22" s="36">
        <f>VLOOKUP($A22,[24]HISTOJUIN24!$A$6:$AU$38,23,0)</f>
        <v>0</v>
      </c>
      <c r="R22" s="36">
        <f>VLOOKUP($A22,[24]HISTOJUIN24!$A$6:$AU$38,46,0)</f>
        <v>0</v>
      </c>
      <c r="S22" s="36">
        <f>VLOOKUP($A22,[24]HISTOJUIN24!$A$6:$AU$38,26,0)</f>
        <v>0</v>
      </c>
      <c r="T22" s="36">
        <f>VLOOKUP($A22,[24]HISTOJUIN24!$A$6:$BG$38,58,0)</f>
        <v>0</v>
      </c>
      <c r="U22" s="36">
        <f>VLOOKUP($A22,[24]HISTOJUIN24!$A$6:$AU$38,28,0)</f>
        <v>0</v>
      </c>
      <c r="V22" s="36">
        <f>VLOOKUP($A22,[24]HISTOJUIN24!$A$6:$AU$38,19,0)</f>
        <v>0</v>
      </c>
      <c r="W22" s="36">
        <f>VLOOKUP($A22,[24]HISTOJUIN24!$A$6:$AU$38,20,0)</f>
        <v>0</v>
      </c>
      <c r="X22" s="36">
        <f>VLOOKUP($A22,[24]HISTOJUIN24!$A$6:$AU$38,27,0)</f>
        <v>0</v>
      </c>
      <c r="Y22" s="36">
        <f>VLOOKUP($A22,[24]HISTOJUIN24!$A$6:$BM$38,33,0)</f>
        <v>0</v>
      </c>
      <c r="Z22" s="36">
        <f>VLOOKUP($A22,[24]HISTOJUIN24!$A$6:$BM$38,65,0)</f>
        <v>0</v>
      </c>
      <c r="AA22" s="36"/>
      <c r="AB22" s="36">
        <f>VLOOKUP($A22,[24]HISTOJUIN24!$A$6:$AU$38,43,0)</f>
        <v>0</v>
      </c>
      <c r="AC22" s="36">
        <f>VLOOKUP($A22,[24]HISTOJUIN24!$A$6:$AU$38,44,0)</f>
        <v>0</v>
      </c>
      <c r="AD22" s="36">
        <f>VLOOKUP($A22,[24]HISTOJUIN24!$A$6:$AU$38,47,0)</f>
        <v>0</v>
      </c>
      <c r="AE22" s="36">
        <f>VLOOKUP(A22,[24]HISTOJUIN24!$A$6:$BB$38,54,0)</f>
        <v>0</v>
      </c>
      <c r="AF22" s="36">
        <f>VLOOKUP($A22,[24]HISTOJUIN24!$A$6:$CA$38,60,0)</f>
        <v>0</v>
      </c>
      <c r="AG22" s="36">
        <f>VLOOKUP($A22,[24]HISTOJUIN24!$A$6:$CA$38,61,0)</f>
        <v>0</v>
      </c>
      <c r="AH22" s="36">
        <f>VLOOKUP($A22,[24]HISTOJUIN24!$A$6:$CA$38,62,0)</f>
        <v>0</v>
      </c>
      <c r="AI22" s="36">
        <f>VLOOKUP($A22,[24]HISTOJUIN24!$A$6:$CA$38,63,0)</f>
        <v>0</v>
      </c>
      <c r="AJ22" s="36">
        <f>VLOOKUP($A22,[24]HISTOJUIN24!$A$6:$CA$38,64,0)</f>
        <v>0</v>
      </c>
      <c r="AK22" s="36">
        <f>VLOOKUP($A22,[24]HISTOJUIN24!$A$6:$CA$38,65,0)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MVTMAI24!I23-E23+L23</f>
        <v>968674.32467319479</v>
      </c>
      <c r="G23" s="5">
        <f>IF(MVTMAI24!I23+L23&gt;700000,(MVTMAI24!I23-E23+L23),0)</f>
        <v>968674.32467319479</v>
      </c>
      <c r="H23" s="36">
        <f t="shared" si="0"/>
        <v>0</v>
      </c>
      <c r="I23" s="6">
        <f t="shared" si="2"/>
        <v>968674.32467319479</v>
      </c>
      <c r="J23" s="36">
        <f>VLOOKUP($A23,[24]HISTOJUIN24!$A$6:$AQ$42,22,0)</f>
        <v>0</v>
      </c>
      <c r="K23" s="36">
        <f>VLOOKUP($A23,[24]HISTOJUIN24!$A$6:$AU$38,45,0)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VLOOKUP($A23,[24]HISTOJUIN24!$A$6:$AU$38,7,0)</f>
        <v>0</v>
      </c>
      <c r="Q23" s="36">
        <f>VLOOKUP($A23,[24]HISTOJUIN24!$A$6:$AU$38,23,0)</f>
        <v>0</v>
      </c>
      <c r="R23" s="36">
        <f>VLOOKUP($A23,[24]HISTOJUIN24!$A$6:$AU$38,46,0)</f>
        <v>0</v>
      </c>
      <c r="S23" s="36">
        <f>VLOOKUP($A23,[24]HISTOJUIN24!$A$6:$AU$38,26,0)</f>
        <v>0</v>
      </c>
      <c r="T23" s="36">
        <f>VLOOKUP($A23,[24]HISTOJUIN24!$A$6:$BG$38,58,0)</f>
        <v>0</v>
      </c>
      <c r="U23" s="36">
        <f>VLOOKUP($A23,[24]HISTOJUIN24!$A$6:$AU$38,28,0)</f>
        <v>0</v>
      </c>
      <c r="V23" s="36">
        <f>VLOOKUP($A23,[24]HISTOJUIN24!$A$6:$AU$38,19,0)</f>
        <v>0</v>
      </c>
      <c r="W23" s="36">
        <f>VLOOKUP($A23,[24]HISTOJUIN24!$A$6:$AU$38,20,0)</f>
        <v>0</v>
      </c>
      <c r="X23" s="36">
        <f>VLOOKUP($A23,[24]HISTOJUIN24!$A$6:$AU$38,27,0)</f>
        <v>0</v>
      </c>
      <c r="Y23" s="36">
        <f>VLOOKUP($A23,[24]HISTOJUIN24!$A$6:$BM$38,33,0)</f>
        <v>0</v>
      </c>
      <c r="Z23" s="36">
        <f>VLOOKUP($A23,[24]HISTOJUIN24!$A$6:$BM$38,65,0)</f>
        <v>0</v>
      </c>
      <c r="AA23" s="36"/>
      <c r="AB23" s="36">
        <f>VLOOKUP($A23,[24]HISTOJUIN24!$A$6:$AU$38,43,0)</f>
        <v>0</v>
      </c>
      <c r="AC23" s="36">
        <f>VLOOKUP($A23,[24]HISTOJUIN24!$A$6:$AU$38,44,0)</f>
        <v>0</v>
      </c>
      <c r="AD23" s="36">
        <f>VLOOKUP($A23,[24]HISTOJUIN24!$A$6:$AU$38,47,0)</f>
        <v>0</v>
      </c>
      <c r="AE23" s="36">
        <f>VLOOKUP(A23,[24]HISTOJUIN24!$A$6:$BB$38,54,0)</f>
        <v>0</v>
      </c>
      <c r="AF23" s="36">
        <f>VLOOKUP($A23,[24]HISTOJUIN24!$A$6:$CA$38,60,0)</f>
        <v>0</v>
      </c>
      <c r="AG23" s="36">
        <f>VLOOKUP($A23,[24]HISTOJUIN24!$A$6:$CA$38,61,0)</f>
        <v>0</v>
      </c>
      <c r="AH23" s="36">
        <f>VLOOKUP($A23,[24]HISTOJUIN24!$A$6:$CA$38,62,0)</f>
        <v>0</v>
      </c>
      <c r="AI23" s="36">
        <f>VLOOKUP($A23,[24]HISTOJUIN24!$A$6:$CA$38,63,0)</f>
        <v>0</v>
      </c>
      <c r="AJ23" s="36">
        <f>VLOOKUP($A23,[24]HISTOJUIN24!$A$6:$CA$38,64,0)</f>
        <v>0</v>
      </c>
      <c r="AK23" s="36">
        <f>VLOOKUP($A23,[24]HISTOJUIN24!$A$6:$CA$38,65,0)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MVTMAI24!I24-E24+L24</f>
        <v>1141827.8441992993</v>
      </c>
      <c r="G24" s="5">
        <f>IF(MVTMAI24!I24+L24&gt;700000,(MVTMAI24!I24-E24+L24),0)</f>
        <v>1141827.8441992993</v>
      </c>
      <c r="H24" s="36">
        <f t="shared" si="0"/>
        <v>0</v>
      </c>
      <c r="I24" s="6">
        <f t="shared" si="2"/>
        <v>1141827.8441992993</v>
      </c>
      <c r="J24" s="36">
        <f>VLOOKUP($A24,[24]HISTOJUIN24!$A$6:$AQ$42,22,0)</f>
        <v>0</v>
      </c>
      <c r="K24" s="36">
        <f>VLOOKUP($A24,[24]HISTOJUIN24!$A$6:$AU$38,45,0)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VLOOKUP($A24,[24]HISTOJUIN24!$A$6:$AU$38,7,0)</f>
        <v>0</v>
      </c>
      <c r="Q24" s="36">
        <f>VLOOKUP($A24,[24]HISTOJUIN24!$A$6:$AU$38,23,0)</f>
        <v>0</v>
      </c>
      <c r="R24" s="36">
        <f>VLOOKUP($A24,[24]HISTOJUIN24!$A$6:$AU$38,46,0)</f>
        <v>0</v>
      </c>
      <c r="S24" s="36">
        <f>VLOOKUP($A24,[24]HISTOJUIN24!$A$6:$AU$38,26,0)</f>
        <v>0</v>
      </c>
      <c r="T24" s="36">
        <f>VLOOKUP($A24,[24]HISTOJUIN24!$A$6:$BG$38,58,0)</f>
        <v>0</v>
      </c>
      <c r="U24" s="36">
        <f>VLOOKUP($A24,[24]HISTOJUIN24!$A$6:$AU$38,28,0)</f>
        <v>0</v>
      </c>
      <c r="V24" s="36">
        <f>VLOOKUP($A24,[24]HISTOJUIN24!$A$6:$AU$38,19,0)</f>
        <v>0</v>
      </c>
      <c r="W24" s="36">
        <f>VLOOKUP($A24,[24]HISTOJUIN24!$A$6:$AU$38,20,0)</f>
        <v>0</v>
      </c>
      <c r="X24" s="36">
        <f>VLOOKUP($A24,[24]HISTOJUIN24!$A$6:$AU$38,27,0)</f>
        <v>0</v>
      </c>
      <c r="Y24" s="36">
        <f>VLOOKUP($A24,[24]HISTOJUIN24!$A$6:$BM$38,33,0)</f>
        <v>0</v>
      </c>
      <c r="Z24" s="36">
        <f>VLOOKUP($A24,[24]HISTOJUIN24!$A$6:$BM$38,65,0)</f>
        <v>0</v>
      </c>
      <c r="AA24" s="36"/>
      <c r="AB24" s="36">
        <f>VLOOKUP($A24,[24]HISTOJUIN24!$A$6:$AU$38,43,0)</f>
        <v>0</v>
      </c>
      <c r="AC24" s="36">
        <f>VLOOKUP($A24,[24]HISTOJUIN24!$A$6:$AU$38,44,0)</f>
        <v>0</v>
      </c>
      <c r="AD24" s="36">
        <f>VLOOKUP($A24,[24]HISTOJUIN24!$A$6:$AU$38,47,0)</f>
        <v>0</v>
      </c>
      <c r="AE24" s="36">
        <f>VLOOKUP(A24,[24]HISTOJUIN24!$A$6:$BB$38,54,0)</f>
        <v>0</v>
      </c>
      <c r="AF24" s="36">
        <f>VLOOKUP($A24,[24]HISTOJUIN24!$A$6:$CA$38,60,0)</f>
        <v>0</v>
      </c>
      <c r="AG24" s="36">
        <f>VLOOKUP($A24,[24]HISTOJUIN24!$A$6:$CA$38,61,0)</f>
        <v>0</v>
      </c>
      <c r="AH24" s="36">
        <f>VLOOKUP($A24,[24]HISTOJUIN24!$A$6:$CA$38,62,0)</f>
        <v>0</v>
      </c>
      <c r="AI24" s="36">
        <f>VLOOKUP($A24,[24]HISTOJUIN24!$A$6:$CA$38,63,0)</f>
        <v>0</v>
      </c>
      <c r="AJ24" s="36">
        <f>VLOOKUP($A24,[24]HISTOJUIN24!$A$6:$CA$38,64,0)</f>
        <v>0</v>
      </c>
      <c r="AK24" s="36">
        <f>VLOOKUP($A24,[24]HISTOJUIN24!$A$6:$CA$38,65,0)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MVTMAI24!I25-E25+L25</f>
        <v>953141.79504321574</v>
      </c>
      <c r="G25" s="5">
        <f>IF(MVTMAI24!I25+L25&gt;700000,(MVTMAI24!I25-E25+L25),0)</f>
        <v>953141.79504321574</v>
      </c>
      <c r="H25" s="36">
        <f t="shared" si="0"/>
        <v>0</v>
      </c>
      <c r="I25" s="6">
        <f t="shared" si="2"/>
        <v>953141.79504321574</v>
      </c>
      <c r="J25" s="36">
        <f>VLOOKUP($A25,[24]HISTOJUIN24!$A$6:$AQ$42,22,0)</f>
        <v>0</v>
      </c>
      <c r="K25" s="36">
        <f>VLOOKUP($A25,[24]HISTOJUIN24!$A$6:$AU$38,45,0)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VLOOKUP($A25,[24]HISTOJUIN24!$A$6:$AU$38,7,0)</f>
        <v>3000</v>
      </c>
      <c r="Q25" s="36">
        <f>VLOOKUP($A25,[24]HISTOJUIN24!$A$6:$AU$38,23,0)</f>
        <v>0</v>
      </c>
      <c r="R25" s="36">
        <f>VLOOKUP($A25,[24]HISTOJUIN24!$A$6:$AU$38,46,0)</f>
        <v>0</v>
      </c>
      <c r="S25" s="36">
        <f>VLOOKUP($A25,[24]HISTOJUIN24!$A$6:$AU$38,26,0)</f>
        <v>0</v>
      </c>
      <c r="T25" s="36">
        <f>VLOOKUP($A25,[24]HISTOJUIN24!$A$6:$BG$38,58,0)</f>
        <v>0</v>
      </c>
      <c r="U25" s="36">
        <f>VLOOKUP($A25,[24]HISTOJUIN24!$A$6:$AU$38,28,0)</f>
        <v>0</v>
      </c>
      <c r="V25" s="36">
        <f>VLOOKUP($A25,[24]HISTOJUIN24!$A$6:$AU$38,19,0)</f>
        <v>0</v>
      </c>
      <c r="W25" s="36">
        <f>VLOOKUP($A25,[24]HISTOJUIN24!$A$6:$AU$38,20,0)</f>
        <v>0</v>
      </c>
      <c r="X25" s="36">
        <f>VLOOKUP($A25,[24]HISTOJUIN24!$A$6:$AU$38,27,0)</f>
        <v>0</v>
      </c>
      <c r="Y25" s="36">
        <f>VLOOKUP($A25,[24]HISTOJUIN24!$A$6:$BM$38,33,0)</f>
        <v>0</v>
      </c>
      <c r="Z25" s="36">
        <f>VLOOKUP($A25,[24]HISTOJUIN24!$A$6:$BM$38,65,0)</f>
        <v>0</v>
      </c>
      <c r="AA25" s="36"/>
      <c r="AB25" s="36">
        <f>VLOOKUP($A25,[24]HISTOJUIN24!$A$6:$AU$38,43,0)</f>
        <v>0</v>
      </c>
      <c r="AC25" s="36">
        <f>VLOOKUP($A25,[24]HISTOJUIN24!$A$6:$AU$38,44,0)</f>
        <v>0</v>
      </c>
      <c r="AD25" s="36">
        <f>VLOOKUP($A25,[24]HISTOJUIN24!$A$6:$AU$38,47,0)</f>
        <v>0</v>
      </c>
      <c r="AE25" s="36">
        <f>VLOOKUP(A25,[24]HISTOJUIN24!$A$6:$BB$38,54,0)</f>
        <v>0</v>
      </c>
      <c r="AF25" s="36">
        <f>VLOOKUP($A25,[24]HISTOJUIN24!$A$6:$CA$38,60,0)</f>
        <v>0</v>
      </c>
      <c r="AG25" s="36">
        <f>VLOOKUP($A25,[24]HISTOJUIN24!$A$6:$CA$38,61,0)</f>
        <v>0</v>
      </c>
      <c r="AH25" s="36">
        <f>VLOOKUP($A25,[24]HISTOJUIN24!$A$6:$CA$38,62,0)</f>
        <v>0</v>
      </c>
      <c r="AI25" s="36">
        <f>VLOOKUP($A25,[24]HISTOJUIN24!$A$6:$CA$38,63,0)</f>
        <v>0</v>
      </c>
      <c r="AJ25" s="36">
        <f>VLOOKUP($A25,[24]HISTOJUIN24!$A$6:$CA$38,64,0)</f>
        <v>0</v>
      </c>
      <c r="AK25" s="36">
        <f>VLOOKUP($A25,[24]HISTOJUIN24!$A$6:$CA$38,65,0)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MVTMAI24!I26-E26+L26</f>
        <v>881266.46813543816</v>
      </c>
      <c r="G26" s="5">
        <f>IF(MVTMAI24!I26+L26&gt;700000,(MVTMAI24!I26-E26+L26),0)</f>
        <v>881266.46813543816</v>
      </c>
      <c r="H26" s="36">
        <f t="shared" si="0"/>
        <v>0</v>
      </c>
      <c r="I26" s="6">
        <f t="shared" si="2"/>
        <v>881266.46813543816</v>
      </c>
      <c r="J26" s="36">
        <f>VLOOKUP($A26,[24]HISTOJUIN24!$A$6:$AQ$42,22,0)</f>
        <v>0</v>
      </c>
      <c r="K26" s="36">
        <f>VLOOKUP($A26,[24]HISTOJUIN24!$A$6:$AU$38,45,0)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VLOOKUP($A26,[24]HISTOJUIN24!$A$6:$AU$38,7,0)</f>
        <v>0</v>
      </c>
      <c r="Q26" s="36">
        <f>VLOOKUP($A26,[24]HISTOJUIN24!$A$6:$AU$38,23,0)</f>
        <v>0</v>
      </c>
      <c r="R26" s="36">
        <f>VLOOKUP($A26,[24]HISTOJUIN24!$A$6:$AU$38,46,0)</f>
        <v>0</v>
      </c>
      <c r="S26" s="36">
        <f>VLOOKUP($A26,[24]HISTOJUIN24!$A$6:$AU$38,26,0)</f>
        <v>0</v>
      </c>
      <c r="T26" s="36">
        <f>VLOOKUP($A26,[24]HISTOJUIN24!$A$6:$BG$38,58,0)</f>
        <v>0</v>
      </c>
      <c r="U26" s="36">
        <f>VLOOKUP($A26,[24]HISTOJUIN24!$A$6:$AU$38,28,0)</f>
        <v>0</v>
      </c>
      <c r="V26" s="36">
        <f>VLOOKUP($A26,[24]HISTOJUIN24!$A$6:$AU$38,19,0)</f>
        <v>0</v>
      </c>
      <c r="W26" s="36">
        <f>VLOOKUP($A26,[24]HISTOJUIN24!$A$6:$AU$38,20,0)</f>
        <v>0</v>
      </c>
      <c r="X26" s="36">
        <f>VLOOKUP($A26,[24]HISTOJUIN24!$A$6:$AU$38,27,0)</f>
        <v>0</v>
      </c>
      <c r="Y26" s="36">
        <f>VLOOKUP($A26,[24]HISTOJUIN24!$A$6:$BM$38,33,0)</f>
        <v>0</v>
      </c>
      <c r="Z26" s="36">
        <f>VLOOKUP($A26,[24]HISTOJUIN24!$A$6:$BM$38,65,0)</f>
        <v>0</v>
      </c>
      <c r="AA26" s="36"/>
      <c r="AB26" s="36">
        <f>VLOOKUP($A26,[24]HISTOJUIN24!$A$6:$AU$38,43,0)</f>
        <v>0</v>
      </c>
      <c r="AC26" s="36">
        <f>VLOOKUP($A26,[24]HISTOJUIN24!$A$6:$AU$38,44,0)</f>
        <v>0</v>
      </c>
      <c r="AD26" s="36">
        <f>VLOOKUP($A26,[24]HISTOJUIN24!$A$6:$AU$38,47,0)</f>
        <v>0</v>
      </c>
      <c r="AE26" s="36">
        <f>VLOOKUP(A26,[24]HISTOJUIN24!$A$6:$BB$38,54,0)</f>
        <v>0</v>
      </c>
      <c r="AF26" s="36">
        <f>VLOOKUP($A26,[24]HISTOJUIN24!$A$6:$CA$38,60,0)</f>
        <v>0</v>
      </c>
      <c r="AG26" s="36">
        <f>VLOOKUP($A26,[24]HISTOJUIN24!$A$6:$CA$38,61,0)</f>
        <v>0</v>
      </c>
      <c r="AH26" s="36">
        <f>VLOOKUP($A26,[24]HISTOJUIN24!$A$6:$CA$38,62,0)</f>
        <v>0</v>
      </c>
      <c r="AI26" s="36">
        <f>VLOOKUP($A26,[24]HISTOJUIN24!$A$6:$CA$38,63,0)</f>
        <v>0</v>
      </c>
      <c r="AJ26" s="36">
        <f>VLOOKUP($A26,[24]HISTOJUIN24!$A$6:$CA$38,64,0)</f>
        <v>0</v>
      </c>
      <c r="AK26" s="36">
        <f>VLOOKUP($A26,[24]HISTOJUIN24!$A$6:$CA$38,65,0)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MVTMAI24!I27-E27+L27</f>
        <v>881824.17371512204</v>
      </c>
      <c r="G27" s="5">
        <f>IF(MVTMAI24!I27+L27&gt;700000,(MVTMAI24!I27-E27+L27),0)</f>
        <v>881824.17371512204</v>
      </c>
      <c r="H27" s="36">
        <f t="shared" si="0"/>
        <v>0</v>
      </c>
      <c r="I27" s="6">
        <f t="shared" si="2"/>
        <v>881824.17371512204</v>
      </c>
      <c r="J27" s="36">
        <f>VLOOKUP($A27,[24]HISTOJUIN24!$A$6:$AQ$42,22,0)</f>
        <v>0</v>
      </c>
      <c r="K27" s="36">
        <f>VLOOKUP($A27,[24]HISTOJUIN24!$A$6:$AU$38,45,0)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VLOOKUP($A27,[24]HISTOJUIN24!$A$6:$AU$38,7,0)</f>
        <v>0</v>
      </c>
      <c r="Q27" s="36">
        <f>VLOOKUP($A27,[24]HISTOJUIN24!$A$6:$AU$38,23,0)</f>
        <v>0</v>
      </c>
      <c r="R27" s="36">
        <f>VLOOKUP($A27,[24]HISTOJUIN24!$A$6:$AU$38,46,0)</f>
        <v>0</v>
      </c>
      <c r="S27" s="36">
        <f>VLOOKUP($A27,[24]HISTOJUIN24!$A$6:$AU$38,26,0)</f>
        <v>0</v>
      </c>
      <c r="T27" s="36">
        <f>VLOOKUP($A27,[24]HISTOJUIN24!$A$6:$BG$38,58,0)</f>
        <v>0</v>
      </c>
      <c r="U27" s="36">
        <f>VLOOKUP($A27,[24]HISTOJUIN24!$A$6:$AU$38,28,0)</f>
        <v>0</v>
      </c>
      <c r="V27" s="36">
        <f>VLOOKUP($A27,[24]HISTOJUIN24!$A$6:$AU$38,19,0)</f>
        <v>0</v>
      </c>
      <c r="W27" s="36">
        <f>VLOOKUP($A27,[24]HISTOJUIN24!$A$6:$AU$38,20,0)</f>
        <v>0</v>
      </c>
      <c r="X27" s="36">
        <f>VLOOKUP($A27,[24]HISTOJUIN24!$A$6:$AU$38,27,0)</f>
        <v>0</v>
      </c>
      <c r="Y27" s="36">
        <f>VLOOKUP($A27,[24]HISTOJUIN24!$A$6:$BM$38,33,0)</f>
        <v>0</v>
      </c>
      <c r="Z27" s="36">
        <f>VLOOKUP($A27,[24]HISTOJUIN24!$A$6:$BM$38,65,0)</f>
        <v>0</v>
      </c>
      <c r="AA27" s="36"/>
      <c r="AB27" s="36">
        <f>VLOOKUP($A27,[24]HISTOJUIN24!$A$6:$AU$38,43,0)</f>
        <v>0</v>
      </c>
      <c r="AC27" s="36">
        <f>VLOOKUP($A27,[24]HISTOJUIN24!$A$6:$AU$38,44,0)</f>
        <v>0</v>
      </c>
      <c r="AD27" s="36">
        <f>VLOOKUP($A27,[24]HISTOJUIN24!$A$6:$AU$38,47,0)</f>
        <v>0</v>
      </c>
      <c r="AE27" s="36">
        <f>VLOOKUP(A27,[24]HISTOJUIN24!$A$6:$BB$38,54,0)</f>
        <v>0</v>
      </c>
      <c r="AF27" s="36">
        <f>VLOOKUP($A27,[24]HISTOJUIN24!$A$6:$CA$38,60,0)</f>
        <v>0</v>
      </c>
      <c r="AG27" s="36">
        <f>VLOOKUP($A27,[24]HISTOJUIN24!$A$6:$CA$38,61,0)</f>
        <v>0</v>
      </c>
      <c r="AH27" s="36">
        <f>VLOOKUP($A27,[24]HISTOJUIN24!$A$6:$CA$38,62,0)</f>
        <v>0</v>
      </c>
      <c r="AI27" s="36">
        <f>VLOOKUP($A27,[24]HISTOJUIN24!$A$6:$CA$38,63,0)</f>
        <v>0</v>
      </c>
      <c r="AJ27" s="36">
        <f>VLOOKUP($A27,[24]HISTOJUIN24!$A$6:$CA$38,64,0)</f>
        <v>0</v>
      </c>
      <c r="AK27" s="36">
        <f>VLOOKUP($A27,[24]HISTOJUIN24!$A$6:$CA$38,65,0)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MVTMAI24!I28-E28+L28</f>
        <v>783176.12513194664</v>
      </c>
      <c r="G28" s="5">
        <f>IF(MVTMAI24!I28+L28&gt;700000,(MVTMAI24!I28-E28+L28),0)</f>
        <v>783176.12513194664</v>
      </c>
      <c r="H28" s="36">
        <f t="shared" si="0"/>
        <v>0</v>
      </c>
      <c r="I28" s="6">
        <f t="shared" si="2"/>
        <v>783176.12513194664</v>
      </c>
      <c r="J28" s="36">
        <f>VLOOKUP($A28,[24]HISTOJUIN24!$A$6:$AQ$42,22,0)</f>
        <v>0</v>
      </c>
      <c r="K28" s="36">
        <f>VLOOKUP($A28,[24]HISTOJUIN24!$A$6:$AU$38,45,0)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VLOOKUP($A28,[24]HISTOJUIN24!$A$6:$AU$38,7,0)</f>
        <v>0</v>
      </c>
      <c r="Q28" s="36">
        <f>VLOOKUP($A28,[24]HISTOJUIN24!$A$6:$AU$38,23,0)</f>
        <v>0</v>
      </c>
      <c r="R28" s="36">
        <f>VLOOKUP($A28,[24]HISTOJUIN24!$A$6:$AU$38,46,0)</f>
        <v>0</v>
      </c>
      <c r="S28" s="36">
        <f>VLOOKUP($A28,[24]HISTOJUIN24!$A$6:$AU$38,26,0)</f>
        <v>0</v>
      </c>
      <c r="T28" s="36">
        <f>VLOOKUP($A28,[24]HISTOJUIN24!$A$6:$BG$38,58,0)</f>
        <v>0</v>
      </c>
      <c r="U28" s="36">
        <f>VLOOKUP($A28,[24]HISTOJUIN24!$A$6:$AU$38,28,0)</f>
        <v>0</v>
      </c>
      <c r="V28" s="36">
        <f>VLOOKUP($A28,[24]HISTOJUIN24!$A$6:$AU$38,19,0)</f>
        <v>0</v>
      </c>
      <c r="W28" s="36">
        <f>VLOOKUP($A28,[24]HISTOJUIN24!$A$6:$AU$38,20,0)</f>
        <v>0</v>
      </c>
      <c r="X28" s="36">
        <f>VLOOKUP($A28,[24]HISTOJUIN24!$A$6:$AU$38,27,0)</f>
        <v>0</v>
      </c>
      <c r="Y28" s="36">
        <f>VLOOKUP($A28,[24]HISTOJUIN24!$A$6:$BM$38,33,0)</f>
        <v>0</v>
      </c>
      <c r="Z28" s="36">
        <f>VLOOKUP($A28,[24]HISTOJUIN24!$A$6:$BM$38,65,0)</f>
        <v>0</v>
      </c>
      <c r="AA28" s="36"/>
      <c r="AB28" s="36">
        <f>VLOOKUP($A28,[24]HISTOJUIN24!$A$6:$AU$38,43,0)</f>
        <v>0</v>
      </c>
      <c r="AC28" s="36">
        <f>VLOOKUP($A28,[24]HISTOJUIN24!$A$6:$AU$38,44,0)</f>
        <v>0</v>
      </c>
      <c r="AD28" s="36">
        <f>VLOOKUP($A28,[24]HISTOJUIN24!$A$6:$AU$38,47,0)</f>
        <v>0</v>
      </c>
      <c r="AE28" s="36">
        <f>VLOOKUP(A28,[24]HISTOJUIN24!$A$6:$BB$38,54,0)</f>
        <v>0</v>
      </c>
      <c r="AF28" s="36">
        <f>VLOOKUP($A28,[24]HISTOJUIN24!$A$6:$CA$38,60,0)</f>
        <v>0</v>
      </c>
      <c r="AG28" s="36">
        <f>VLOOKUP($A28,[24]HISTOJUIN24!$A$6:$CA$38,61,0)</f>
        <v>0</v>
      </c>
      <c r="AH28" s="36">
        <f>VLOOKUP($A28,[24]HISTOJUIN24!$A$6:$CA$38,62,0)</f>
        <v>0</v>
      </c>
      <c r="AI28" s="36">
        <f>VLOOKUP($A28,[24]HISTOJUIN24!$A$6:$CA$38,63,0)</f>
        <v>0</v>
      </c>
      <c r="AJ28" s="36">
        <f>VLOOKUP($A28,[24]HISTOJUIN24!$A$6:$CA$38,64,0)</f>
        <v>0</v>
      </c>
      <c r="AK28" s="36">
        <f>VLOOKUP($A28,[24]HISTOJUIN24!$A$6:$CA$38,65,0)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MVTMAI24!I29-E29+L29</f>
        <v>908151.34423741512</v>
      </c>
      <c r="G29" s="5">
        <f>IF(MVTMAI24!I29+L29&gt;700000,(MVTMAI24!I29-E29+L29),0)</f>
        <v>908151.34423741512</v>
      </c>
      <c r="H29" s="36">
        <f t="shared" si="0"/>
        <v>0</v>
      </c>
      <c r="I29" s="6">
        <f t="shared" si="2"/>
        <v>908151.34423741512</v>
      </c>
      <c r="J29" s="36">
        <f>VLOOKUP($A29,[24]HISTOJUIN24!$A$6:$AQ$42,22,0)</f>
        <v>0</v>
      </c>
      <c r="K29" s="36">
        <f>VLOOKUP($A29,[24]HISTOJUIN24!$A$6:$AU$38,45,0)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VLOOKUP($A29,[24]HISTOJUIN24!$A$6:$AU$38,7,0)</f>
        <v>0</v>
      </c>
      <c r="Q29" s="36">
        <f>VLOOKUP($A29,[24]HISTOJUIN24!$A$6:$AU$38,23,0)</f>
        <v>0</v>
      </c>
      <c r="R29" s="36">
        <f>VLOOKUP($A29,[24]HISTOJUIN24!$A$6:$AU$38,46,0)</f>
        <v>0</v>
      </c>
      <c r="S29" s="36">
        <f>VLOOKUP($A29,[24]HISTOJUIN24!$A$6:$AU$38,26,0)</f>
        <v>0</v>
      </c>
      <c r="T29" s="36">
        <f>VLOOKUP($A29,[24]HISTOJUIN24!$A$6:$BG$38,58,0)</f>
        <v>0</v>
      </c>
      <c r="U29" s="36">
        <f>VLOOKUP($A29,[24]HISTOJUIN24!$A$6:$AU$38,28,0)</f>
        <v>0</v>
      </c>
      <c r="V29" s="36">
        <f>VLOOKUP($A29,[24]HISTOJUIN24!$A$6:$AU$38,19,0)</f>
        <v>0</v>
      </c>
      <c r="W29" s="36">
        <f>VLOOKUP($A29,[24]HISTOJUIN24!$A$6:$AU$38,20,0)</f>
        <v>0</v>
      </c>
      <c r="X29" s="36">
        <f>VLOOKUP($A29,[24]HISTOJUIN24!$A$6:$AU$38,27,0)</f>
        <v>0</v>
      </c>
      <c r="Y29" s="36">
        <f>VLOOKUP($A29,[24]HISTOJUIN24!$A$6:$BM$38,33,0)</f>
        <v>0</v>
      </c>
      <c r="Z29" s="36">
        <f>VLOOKUP($A29,[24]HISTOJUIN24!$A$6:$BM$38,65,0)</f>
        <v>0</v>
      </c>
      <c r="AA29" s="36"/>
      <c r="AB29" s="36">
        <f>VLOOKUP($A29,[24]HISTOJUIN24!$A$6:$AU$38,43,0)</f>
        <v>0</v>
      </c>
      <c r="AC29" s="36">
        <f>VLOOKUP($A29,[24]HISTOJUIN24!$A$6:$AU$38,44,0)</f>
        <v>0</v>
      </c>
      <c r="AD29" s="36">
        <f>VLOOKUP($A29,[24]HISTOJUIN24!$A$6:$AU$38,47,0)</f>
        <v>0</v>
      </c>
      <c r="AE29" s="36">
        <f>VLOOKUP(A29,[24]HISTOJUIN24!$A$6:$BB$38,54,0)</f>
        <v>0</v>
      </c>
      <c r="AF29" s="36">
        <f>VLOOKUP($A29,[24]HISTOJUIN24!$A$6:$CA$38,60,0)</f>
        <v>0</v>
      </c>
      <c r="AG29" s="36">
        <f>VLOOKUP($A29,[24]HISTOJUIN24!$A$6:$CA$38,61,0)</f>
        <v>0</v>
      </c>
      <c r="AH29" s="36">
        <f>VLOOKUP($A29,[24]HISTOJUIN24!$A$6:$CA$38,62,0)</f>
        <v>0</v>
      </c>
      <c r="AI29" s="36">
        <f>VLOOKUP($A29,[24]HISTOJUIN24!$A$6:$CA$38,63,0)</f>
        <v>0</v>
      </c>
      <c r="AJ29" s="36">
        <f>VLOOKUP($A29,[24]HISTOJUIN24!$A$6:$CA$38,64,0)</f>
        <v>0</v>
      </c>
      <c r="AK29" s="36">
        <f>VLOOKUP($A29,[24]HISTOJUIN24!$A$6:$CA$38,65,0)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MVTMAI24!I30-E30+L30</f>
        <v>812786.81046782702</v>
      </c>
      <c r="G30" s="5">
        <f>IF(MVTMAI24!I30+L30&gt;700000,(MVTMAI24!I30-E30+L30),0)</f>
        <v>812786.81046782702</v>
      </c>
      <c r="H30" s="36">
        <f t="shared" si="0"/>
        <v>0</v>
      </c>
      <c r="I30" s="6">
        <f t="shared" si="2"/>
        <v>812786.81046782702</v>
      </c>
      <c r="J30" s="36">
        <f>VLOOKUP($A30,[24]HISTOJUIN24!$A$6:$AQ$42,22,0)</f>
        <v>0</v>
      </c>
      <c r="K30" s="36">
        <f>VLOOKUP($A30,[24]HISTOJUIN24!$A$6:$AU$38,45,0)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VLOOKUP($A30,[24]HISTOJUIN24!$A$6:$AU$38,7,0)</f>
        <v>0</v>
      </c>
      <c r="Q30" s="36">
        <f>VLOOKUP($A30,[24]HISTOJUIN24!$A$6:$AU$38,23,0)</f>
        <v>0</v>
      </c>
      <c r="R30" s="36">
        <f>VLOOKUP($A30,[24]HISTOJUIN24!$A$6:$AU$38,46,0)</f>
        <v>0</v>
      </c>
      <c r="S30" s="36">
        <f>VLOOKUP($A30,[24]HISTOJUIN24!$A$6:$AU$38,26,0)</f>
        <v>0</v>
      </c>
      <c r="T30" s="36">
        <f>VLOOKUP($A30,[24]HISTOJUIN24!$A$6:$BG$38,58,0)</f>
        <v>0</v>
      </c>
      <c r="U30" s="36">
        <f>VLOOKUP($A30,[24]HISTOJUIN24!$A$6:$AU$38,28,0)</f>
        <v>0</v>
      </c>
      <c r="V30" s="36">
        <f>VLOOKUP($A30,[24]HISTOJUIN24!$A$6:$AU$38,19,0)</f>
        <v>0</v>
      </c>
      <c r="W30" s="36">
        <f>VLOOKUP($A30,[24]HISTOJUIN24!$A$6:$AU$38,20,0)</f>
        <v>0</v>
      </c>
      <c r="X30" s="36">
        <f>VLOOKUP($A30,[24]HISTOJUIN24!$A$6:$AU$38,27,0)</f>
        <v>0</v>
      </c>
      <c r="Y30" s="36">
        <f>VLOOKUP($A30,[24]HISTOJUIN24!$A$6:$BM$38,33,0)</f>
        <v>0</v>
      </c>
      <c r="Z30" s="36">
        <f>VLOOKUP($A30,[24]HISTOJUIN24!$A$6:$BM$38,65,0)</f>
        <v>0</v>
      </c>
      <c r="AA30" s="36"/>
      <c r="AB30" s="36">
        <f>VLOOKUP($A30,[24]HISTOJUIN24!$A$6:$AU$38,43,0)</f>
        <v>0</v>
      </c>
      <c r="AC30" s="36">
        <f>VLOOKUP($A30,[24]HISTOJUIN24!$A$6:$AU$38,44,0)</f>
        <v>0</v>
      </c>
      <c r="AD30" s="36">
        <f>VLOOKUP($A30,[24]HISTOJUIN24!$A$6:$AU$38,47,0)</f>
        <v>0</v>
      </c>
      <c r="AE30" s="36">
        <f>VLOOKUP(A30,[24]HISTOJUIN24!$A$6:$BB$38,54,0)</f>
        <v>0</v>
      </c>
      <c r="AF30" s="36">
        <f>VLOOKUP($A30,[24]HISTOJUIN24!$A$6:$CA$38,60,0)</f>
        <v>0</v>
      </c>
      <c r="AG30" s="36">
        <f>VLOOKUP($A30,[24]HISTOJUIN24!$A$6:$CA$38,61,0)</f>
        <v>0</v>
      </c>
      <c r="AH30" s="36">
        <f>VLOOKUP($A30,[24]HISTOJUIN24!$A$6:$CA$38,62,0)</f>
        <v>0</v>
      </c>
      <c r="AI30" s="36">
        <f>VLOOKUP($A30,[24]HISTOJUIN24!$A$6:$CA$38,63,0)</f>
        <v>0</v>
      </c>
      <c r="AJ30" s="36">
        <f>VLOOKUP($A30,[24]HISTOJUIN24!$A$6:$CA$38,64,0)</f>
        <v>0</v>
      </c>
      <c r="AK30" s="36">
        <f>VLOOKUP($A30,[24]HISTOJUIN24!$A$6:$CA$38,65,0)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MVTMAI24!I31-E31+L31</f>
        <v>972903.03114813485</v>
      </c>
      <c r="G31" s="5">
        <f>IF(MVTMAI24!I31+L31&gt;700000,(MVTMAI24!I31-E31+L31),0)</f>
        <v>972903.03114813485</v>
      </c>
      <c r="H31" s="36">
        <f t="shared" si="0"/>
        <v>0</v>
      </c>
      <c r="I31" s="6">
        <f t="shared" si="2"/>
        <v>972903.03114813485</v>
      </c>
      <c r="J31" s="36">
        <f>VLOOKUP($A31,[24]HISTOJUIN24!$A$6:$AQ$42,22,0)</f>
        <v>0</v>
      </c>
      <c r="K31" s="36">
        <f>VLOOKUP($A31,[24]HISTOJUIN24!$A$6:$AU$38,45,0)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VLOOKUP($A31,[24]HISTOJUIN24!$A$6:$AU$38,7,0)</f>
        <v>0</v>
      </c>
      <c r="Q31" s="36">
        <f>VLOOKUP($A31,[24]HISTOJUIN24!$A$6:$AU$38,23,0)</f>
        <v>0</v>
      </c>
      <c r="R31" s="36">
        <f>VLOOKUP($A31,[24]HISTOJUIN24!$A$6:$AU$38,46,0)</f>
        <v>0</v>
      </c>
      <c r="S31" s="36">
        <f>VLOOKUP($A31,[24]HISTOJUIN24!$A$6:$AU$38,26,0)</f>
        <v>0</v>
      </c>
      <c r="T31" s="36">
        <f>VLOOKUP($A31,[24]HISTOJUIN24!$A$6:$BG$38,58,0)</f>
        <v>0</v>
      </c>
      <c r="U31" s="36">
        <f>VLOOKUP($A31,[24]HISTOJUIN24!$A$6:$AU$38,28,0)</f>
        <v>0</v>
      </c>
      <c r="V31" s="36">
        <f>VLOOKUP($A31,[24]HISTOJUIN24!$A$6:$AU$38,19,0)</f>
        <v>0</v>
      </c>
      <c r="W31" s="36">
        <f>VLOOKUP($A31,[24]HISTOJUIN24!$A$6:$AU$38,20,0)</f>
        <v>0</v>
      </c>
      <c r="X31" s="36">
        <f>VLOOKUP($A31,[24]HISTOJUIN24!$A$6:$AU$38,27,0)</f>
        <v>0</v>
      </c>
      <c r="Y31" s="36">
        <f>VLOOKUP($A31,[24]HISTOJUIN24!$A$6:$BM$38,33,0)</f>
        <v>0</v>
      </c>
      <c r="Z31" s="36">
        <f>VLOOKUP($A31,[24]HISTOJUIN24!$A$6:$BM$38,65,0)</f>
        <v>0</v>
      </c>
      <c r="AA31" s="36"/>
      <c r="AB31" s="36">
        <f>VLOOKUP($A31,[24]HISTOJUIN24!$A$6:$AU$38,43,0)</f>
        <v>0</v>
      </c>
      <c r="AC31" s="36">
        <f>VLOOKUP($A31,[24]HISTOJUIN24!$A$6:$AU$38,44,0)</f>
        <v>0</v>
      </c>
      <c r="AD31" s="36">
        <f>VLOOKUP($A31,[24]HISTOJUIN24!$A$6:$AU$38,47,0)</f>
        <v>0</v>
      </c>
      <c r="AE31" s="36">
        <f>VLOOKUP(A31,[24]HISTOJUIN24!$A$6:$BB$38,54,0)</f>
        <v>0</v>
      </c>
      <c r="AF31" s="36">
        <f>VLOOKUP($A31,[24]HISTOJUIN24!$A$6:$CA$38,60,0)</f>
        <v>0</v>
      </c>
      <c r="AG31" s="36">
        <f>VLOOKUP($A31,[24]HISTOJUIN24!$A$6:$CA$38,61,0)</f>
        <v>0</v>
      </c>
      <c r="AH31" s="36">
        <f>VLOOKUP($A31,[24]HISTOJUIN24!$A$6:$CA$38,62,0)</f>
        <v>0</v>
      </c>
      <c r="AI31" s="36">
        <f>VLOOKUP($A31,[24]HISTOJUIN24!$A$6:$CA$38,63,0)</f>
        <v>0</v>
      </c>
      <c r="AJ31" s="36">
        <f>VLOOKUP($A31,[24]HISTOJUIN24!$A$6:$CA$38,64,0)</f>
        <v>0</v>
      </c>
      <c r="AK31" s="36">
        <f>VLOOKUP($A31,[24]HISTOJUIN24!$A$6:$CA$38,65,0)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MVTMAI24!I32-E32+L32</f>
        <v>862243.98131057119</v>
      </c>
      <c r="G32" s="5">
        <f>IF(MVTMAI24!I32+L32&gt;700000,(MVTMAI24!I32-E32+L32),0)</f>
        <v>862243.98131057119</v>
      </c>
      <c r="H32" s="36">
        <f t="shared" si="0"/>
        <v>0</v>
      </c>
      <c r="I32" s="6">
        <f t="shared" si="2"/>
        <v>862243.98131057119</v>
      </c>
      <c r="J32" s="36">
        <f>VLOOKUP($A32,[24]HISTOJUIN24!$A$6:$AQ$42,22,0)</f>
        <v>0</v>
      </c>
      <c r="K32" s="36">
        <f>VLOOKUP($A32,[24]HISTOJUIN24!$A$6:$AU$38,45,0)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VLOOKUP($A32,[24]HISTOJUIN24!$A$6:$AU$38,7,0)</f>
        <v>0</v>
      </c>
      <c r="Q32" s="36">
        <f>VLOOKUP($A32,[24]HISTOJUIN24!$A$6:$AU$38,23,0)</f>
        <v>0</v>
      </c>
      <c r="R32" s="36">
        <f>VLOOKUP($A32,[24]HISTOJUIN24!$A$6:$AU$38,46,0)</f>
        <v>0</v>
      </c>
      <c r="S32" s="36">
        <f>VLOOKUP($A32,[24]HISTOJUIN24!$A$6:$AU$38,26,0)</f>
        <v>0</v>
      </c>
      <c r="T32" s="36">
        <f>VLOOKUP($A32,[24]HISTOJUIN24!$A$6:$BG$38,58,0)</f>
        <v>0</v>
      </c>
      <c r="U32" s="36">
        <f>VLOOKUP($A32,[24]HISTOJUIN24!$A$6:$AU$38,28,0)</f>
        <v>0</v>
      </c>
      <c r="V32" s="36">
        <f>VLOOKUP($A32,[24]HISTOJUIN24!$A$6:$AU$38,19,0)</f>
        <v>0</v>
      </c>
      <c r="W32" s="36">
        <f>VLOOKUP($A32,[24]HISTOJUIN24!$A$6:$AU$38,20,0)</f>
        <v>0</v>
      </c>
      <c r="X32" s="36">
        <f>VLOOKUP($A32,[24]HISTOJUIN24!$A$6:$AU$38,27,0)</f>
        <v>0</v>
      </c>
      <c r="Y32" s="36">
        <f>VLOOKUP($A32,[24]HISTOJUIN24!$A$6:$BM$38,33,0)</f>
        <v>0</v>
      </c>
      <c r="Z32" s="36">
        <f>VLOOKUP($A32,[24]HISTOJUIN24!$A$6:$BM$38,65,0)</f>
        <v>0</v>
      </c>
      <c r="AA32" s="36"/>
      <c r="AB32" s="36">
        <f>VLOOKUP($A32,[24]HISTOJUIN24!$A$6:$AU$38,43,0)</f>
        <v>0</v>
      </c>
      <c r="AC32" s="36">
        <f>VLOOKUP($A32,[24]HISTOJUIN24!$A$6:$AU$38,44,0)</f>
        <v>0</v>
      </c>
      <c r="AD32" s="36">
        <f>VLOOKUP($A32,[24]HISTOJUIN24!$A$6:$AU$38,47,0)</f>
        <v>0</v>
      </c>
      <c r="AE32" s="36">
        <f>VLOOKUP(A32,[24]HISTOJUIN24!$A$6:$BB$38,54,0)</f>
        <v>0</v>
      </c>
      <c r="AF32" s="36">
        <f>VLOOKUP($A32,[24]HISTOJUIN24!$A$6:$CA$38,60,0)</f>
        <v>0</v>
      </c>
      <c r="AG32" s="36">
        <f>VLOOKUP($A32,[24]HISTOJUIN24!$A$6:$CA$38,61,0)</f>
        <v>0</v>
      </c>
      <c r="AH32" s="36">
        <f>VLOOKUP($A32,[24]HISTOJUIN24!$A$6:$CA$38,62,0)</f>
        <v>0</v>
      </c>
      <c r="AI32" s="36">
        <f>VLOOKUP($A32,[24]HISTOJUIN24!$A$6:$CA$38,63,0)</f>
        <v>0</v>
      </c>
      <c r="AJ32" s="36">
        <f>VLOOKUP($A32,[24]HISTOJUIN24!$A$6:$CA$38,64,0)</f>
        <v>0</v>
      </c>
      <c r="AK32" s="36">
        <f>VLOOKUP($A32,[24]HISTOJUIN24!$A$6:$CA$38,65,0)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MVTMAI24!I33-E33+L33</f>
        <v>862552.64928596013</v>
      </c>
      <c r="G33" s="5">
        <f>IF(MVTMAI24!I33+L33&gt;700000,(MVTMAI24!I33-E33+L33),0)</f>
        <v>862552.64928596013</v>
      </c>
      <c r="H33" s="36">
        <f t="shared" si="0"/>
        <v>0</v>
      </c>
      <c r="I33" s="6">
        <f t="shared" si="2"/>
        <v>862552.64928596013</v>
      </c>
      <c r="J33" s="36">
        <f>VLOOKUP($A33,[24]HISTOJUIN24!$A$6:$AQ$42,22,0)</f>
        <v>0</v>
      </c>
      <c r="K33" s="36">
        <f>VLOOKUP($A33,[24]HISTOJUIN24!$A$6:$AU$38,45,0)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VLOOKUP($A33,[24]HISTOJUIN24!$A$6:$AU$38,7,0)</f>
        <v>0</v>
      </c>
      <c r="Q33" s="36">
        <f>VLOOKUP($A33,[24]HISTOJUIN24!$A$6:$AU$38,23,0)</f>
        <v>0</v>
      </c>
      <c r="R33" s="36">
        <f>VLOOKUP($A33,[24]HISTOJUIN24!$A$6:$AU$38,46,0)</f>
        <v>0</v>
      </c>
      <c r="S33" s="36">
        <f>VLOOKUP($A33,[24]HISTOJUIN24!$A$6:$AU$38,26,0)</f>
        <v>0</v>
      </c>
      <c r="T33" s="36">
        <f>VLOOKUP($A33,[24]HISTOJUIN24!$A$6:$BG$38,58,0)</f>
        <v>0</v>
      </c>
      <c r="U33" s="36">
        <f>VLOOKUP($A33,[24]HISTOJUIN24!$A$6:$AU$38,28,0)</f>
        <v>0</v>
      </c>
      <c r="V33" s="36">
        <f>VLOOKUP($A33,[24]HISTOJUIN24!$A$6:$AU$38,19,0)</f>
        <v>0</v>
      </c>
      <c r="W33" s="36">
        <f>VLOOKUP($A33,[24]HISTOJUIN24!$A$6:$AU$38,20,0)</f>
        <v>0</v>
      </c>
      <c r="X33" s="36">
        <f>VLOOKUP($A33,[24]HISTOJUIN24!$A$6:$AU$38,27,0)</f>
        <v>0</v>
      </c>
      <c r="Y33" s="36">
        <f>VLOOKUP($A33,[24]HISTOJUIN24!$A$6:$BM$38,33,0)</f>
        <v>0</v>
      </c>
      <c r="Z33" s="36">
        <f>VLOOKUP($A33,[24]HISTOJUIN24!$A$6:$BM$38,65,0)</f>
        <v>0</v>
      </c>
      <c r="AA33" s="36"/>
      <c r="AB33" s="36">
        <f>VLOOKUP($A33,[24]HISTOJUIN24!$A$6:$AU$38,43,0)</f>
        <v>0</v>
      </c>
      <c r="AC33" s="36">
        <f>VLOOKUP($A33,[24]HISTOJUIN24!$A$6:$AU$38,44,0)</f>
        <v>0</v>
      </c>
      <c r="AD33" s="36">
        <f>VLOOKUP($A33,[24]HISTOJUIN24!$A$6:$AU$38,47,0)</f>
        <v>0</v>
      </c>
      <c r="AE33" s="36">
        <f>VLOOKUP(A33,[24]HISTOJUIN24!$A$6:$BB$38,54,0)</f>
        <v>0</v>
      </c>
      <c r="AF33" s="36">
        <f>VLOOKUP($A33,[24]HISTOJUIN24!$A$6:$CA$38,60,0)</f>
        <v>0</v>
      </c>
      <c r="AG33" s="36">
        <f>VLOOKUP($A33,[24]HISTOJUIN24!$A$6:$CA$38,61,0)</f>
        <v>0</v>
      </c>
      <c r="AH33" s="36">
        <f>VLOOKUP($A33,[24]HISTOJUIN24!$A$6:$CA$38,62,0)</f>
        <v>0</v>
      </c>
      <c r="AI33" s="36">
        <f>VLOOKUP($A33,[24]HISTOJUIN24!$A$6:$CA$38,63,0)</f>
        <v>0</v>
      </c>
      <c r="AJ33" s="36">
        <f>VLOOKUP($A33,[24]HISTOJUIN24!$A$6:$CA$38,64,0)</f>
        <v>0</v>
      </c>
      <c r="AK33" s="36">
        <f>VLOOKUP($A33,[24]HISTOJUIN24!$A$6:$CA$38,65,0)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MVTMAI24!I34-E34+L34</f>
        <v>519000</v>
      </c>
      <c r="G34" s="5">
        <f>IF(MVTMAI24!I34+L34&gt;700000,(MVTMAI24!I34-E34+L34),0)</f>
        <v>0</v>
      </c>
      <c r="H34" s="36">
        <f t="shared" si="0"/>
        <v>0</v>
      </c>
      <c r="I34" s="6">
        <f t="shared" si="2"/>
        <v>519000</v>
      </c>
      <c r="J34" s="36">
        <f>VLOOKUP($A34,[24]HISTOJUIN24!$A$6:$AQ$42,22,0)</f>
        <v>0</v>
      </c>
      <c r="K34" s="36">
        <f>VLOOKUP($A34,[24]HISTOJUIN24!$A$6:$AU$38,45,0)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VLOOKUP($A34,[24]HISTOJUIN24!$A$6:$AU$38,7,0)</f>
        <v>0</v>
      </c>
      <c r="Q34" s="36">
        <f>VLOOKUP($A34,[24]HISTOJUIN24!$A$6:$AU$38,23,0)</f>
        <v>0</v>
      </c>
      <c r="R34" s="36">
        <f>VLOOKUP($A34,[24]HISTOJUIN24!$A$6:$AU$38,46,0)</f>
        <v>0</v>
      </c>
      <c r="S34" s="36">
        <f>VLOOKUP($A34,[24]HISTOJUIN24!$A$6:$AU$38,26,0)</f>
        <v>0</v>
      </c>
      <c r="T34" s="36">
        <f>VLOOKUP($A34,[24]HISTOJUIN24!$A$6:$BG$38,58,0)</f>
        <v>0</v>
      </c>
      <c r="U34" s="36">
        <f>VLOOKUP($A34,[24]HISTOJUIN24!$A$6:$AU$38,28,0)</f>
        <v>0</v>
      </c>
      <c r="V34" s="36">
        <f>VLOOKUP($A34,[24]HISTOJUIN24!$A$6:$AU$38,19,0)</f>
        <v>0</v>
      </c>
      <c r="W34" s="36">
        <f>VLOOKUP($A34,[24]HISTOJUIN24!$A$6:$AU$38,20,0)</f>
        <v>0</v>
      </c>
      <c r="X34" s="36">
        <f>VLOOKUP($A34,[24]HISTOJUIN24!$A$6:$AU$38,27,0)</f>
        <v>0</v>
      </c>
      <c r="Y34" s="36">
        <f>VLOOKUP($A34,[24]HISTOJUIN24!$A$6:$BM$38,33,0)</f>
        <v>0</v>
      </c>
      <c r="Z34" s="36">
        <f>VLOOKUP($A34,[24]HISTOJUIN24!$A$6:$BM$38,65,0)</f>
        <v>0</v>
      </c>
      <c r="AA34" s="36"/>
      <c r="AB34" s="36">
        <f>VLOOKUP($A34,[24]HISTOJUIN24!$A$6:$AU$38,43,0)</f>
        <v>0</v>
      </c>
      <c r="AC34" s="36">
        <f>VLOOKUP($A34,[24]HISTOJUIN24!$A$6:$AU$38,44,0)</f>
        <v>0</v>
      </c>
      <c r="AD34" s="36">
        <f>VLOOKUP($A34,[24]HISTOJUIN24!$A$6:$AU$38,47,0)</f>
        <v>0</v>
      </c>
      <c r="AE34" s="36">
        <f>VLOOKUP(A34,[24]HISTOJUIN24!$A$6:$BB$38,54,0)</f>
        <v>0</v>
      </c>
      <c r="AF34" s="36">
        <f>VLOOKUP($A34,[24]HISTOJUIN24!$A$6:$CA$38,60,0)</f>
        <v>0</v>
      </c>
      <c r="AG34" s="36">
        <f>VLOOKUP($A34,[24]HISTOJUIN24!$A$6:$CA$38,61,0)</f>
        <v>0</v>
      </c>
      <c r="AH34" s="36">
        <f>VLOOKUP($A34,[24]HISTOJUIN24!$A$6:$CA$38,62,0)</f>
        <v>0</v>
      </c>
      <c r="AI34" s="36">
        <f>VLOOKUP($A34,[24]HISTOJUIN24!$A$6:$CA$38,63,0)</f>
        <v>0</v>
      </c>
      <c r="AJ34" s="36">
        <f>VLOOKUP($A34,[24]HISTOJUIN24!$A$6:$CA$38,64,0)</f>
        <v>0</v>
      </c>
      <c r="AK34" s="36">
        <f>VLOOKUP($A34,[24]HISTOJUIN24!$A$6:$CA$38,65,0)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MVTMAI24!I35-E35+L35</f>
        <v>214000</v>
      </c>
      <c r="G35" s="5">
        <f>IF(MVTMAI24!I35+L35&gt;700000,(MVTMAI24!I35-E35+L35),0)</f>
        <v>0</v>
      </c>
      <c r="H35" s="36">
        <f t="shared" si="0"/>
        <v>0</v>
      </c>
      <c r="I35" s="6">
        <f t="shared" si="2"/>
        <v>214000</v>
      </c>
      <c r="J35" s="36">
        <f>VLOOKUP($A35,[24]HISTOJUIN24!$A$6:$AQ$42,22,0)</f>
        <v>0</v>
      </c>
      <c r="K35" s="36">
        <f>VLOOKUP($A35,[24]HISTOJUIN24!$A$6:$AU$38,45,0)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VLOOKUP($A35,[24]HISTOJUIN24!$A$6:$AU$38,7,0)</f>
        <v>3000</v>
      </c>
      <c r="Q35" s="36">
        <f>VLOOKUP($A35,[24]HISTOJUIN24!$A$6:$AU$38,23,0)</f>
        <v>0</v>
      </c>
      <c r="R35" s="36">
        <f>VLOOKUP($A35,[24]HISTOJUIN24!$A$6:$AU$38,46,0)</f>
        <v>0</v>
      </c>
      <c r="S35" s="36">
        <f>VLOOKUP($A35,[24]HISTOJUIN24!$A$6:$AU$38,26,0)</f>
        <v>0</v>
      </c>
      <c r="T35" s="36">
        <f>VLOOKUP($A35,[24]HISTOJUIN24!$A$6:$BG$38,58,0)</f>
        <v>0</v>
      </c>
      <c r="U35" s="36">
        <f>VLOOKUP($A35,[24]HISTOJUIN24!$A$6:$AU$38,28,0)</f>
        <v>0</v>
      </c>
      <c r="V35" s="36">
        <f>VLOOKUP($A35,[24]HISTOJUIN24!$A$6:$AU$38,19,0)</f>
        <v>0</v>
      </c>
      <c r="W35" s="36">
        <f>VLOOKUP($A35,[24]HISTOJUIN24!$A$6:$AU$38,20,0)</f>
        <v>0</v>
      </c>
      <c r="X35" s="36">
        <f>VLOOKUP($A35,[24]HISTOJUIN24!$A$6:$AU$38,27,0)</f>
        <v>0</v>
      </c>
      <c r="Y35" s="36">
        <f>VLOOKUP($A35,[24]HISTOJUIN24!$A$6:$BM$38,33,0)</f>
        <v>0</v>
      </c>
      <c r="Z35" s="36">
        <f>VLOOKUP($A35,[24]HISTOJUIN24!$A$6:$BM$38,65,0)</f>
        <v>0</v>
      </c>
      <c r="AA35" s="36"/>
      <c r="AB35" s="36">
        <f>VLOOKUP($A35,[24]HISTOJUIN24!$A$6:$AU$38,43,0)</f>
        <v>0</v>
      </c>
      <c r="AC35" s="36">
        <f>VLOOKUP($A35,[24]HISTOJUIN24!$A$6:$AU$38,44,0)</f>
        <v>0</v>
      </c>
      <c r="AD35" s="36">
        <f>VLOOKUP($A35,[24]HISTOJUIN24!$A$6:$AU$38,47,0)</f>
        <v>0</v>
      </c>
      <c r="AE35" s="36">
        <f>VLOOKUP(A35,[24]HISTOJUIN24!$A$6:$BB$38,54,0)</f>
        <v>0</v>
      </c>
      <c r="AF35" s="36">
        <f>VLOOKUP($A35,[24]HISTOJUIN24!$A$6:$CA$38,60,0)</f>
        <v>0</v>
      </c>
      <c r="AG35" s="36">
        <f>VLOOKUP($A35,[24]HISTOJUIN24!$A$6:$CA$38,61,0)</f>
        <v>0</v>
      </c>
      <c r="AH35" s="36">
        <f>VLOOKUP($A35,[24]HISTOJUIN24!$A$6:$CA$38,62,0)</f>
        <v>0</v>
      </c>
      <c r="AI35" s="36">
        <f>VLOOKUP($A35,[24]HISTOJUIN24!$A$6:$CA$38,63,0)</f>
        <v>0</v>
      </c>
      <c r="AJ35" s="36">
        <f>VLOOKUP($A35,[24]HISTOJUIN24!$A$6:$CA$38,64,0)</f>
        <v>0</v>
      </c>
      <c r="AK35" s="36">
        <f>VLOOKUP($A35,[24]HISTOJUIN24!$A$6:$CA$38,65,0)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MVTMAI24!I36-E36+L36</f>
        <v>899599.08181867818</v>
      </c>
      <c r="G36" s="5">
        <f>IF(MVTMAI24!I36+L36&gt;700000,(MVTMAI24!I36-E36+L36),0)</f>
        <v>899599.08181867818</v>
      </c>
      <c r="H36" s="36">
        <f t="shared" si="0"/>
        <v>0</v>
      </c>
      <c r="I36" s="6">
        <f t="shared" si="2"/>
        <v>899599.08181867818</v>
      </c>
      <c r="J36" s="36">
        <f>VLOOKUP($A36,[24]HISTOJUIN24!$A$6:$AQ$42,22,0)</f>
        <v>0</v>
      </c>
      <c r="K36" s="36">
        <f>VLOOKUP($A36,[24]HISTOJUIN24!$A$6:$AU$38,45,0)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VLOOKUP($A36,[24]HISTOJUIN24!$A$6:$AU$38,7,0)</f>
        <v>0</v>
      </c>
      <c r="Q36" s="36">
        <f>VLOOKUP($A36,[24]HISTOJUIN24!$A$6:$AU$38,23,0)</f>
        <v>0</v>
      </c>
      <c r="R36" s="36">
        <f>VLOOKUP($A36,[24]HISTOJUIN24!$A$6:$AU$38,46,0)</f>
        <v>0</v>
      </c>
      <c r="S36" s="36">
        <f>VLOOKUP($A36,[24]HISTOJUIN24!$A$6:$AU$38,26,0)</f>
        <v>0</v>
      </c>
      <c r="T36" s="36">
        <f>VLOOKUP($A36,[24]HISTOJUIN24!$A$6:$BG$38,58,0)</f>
        <v>0</v>
      </c>
      <c r="U36" s="36">
        <f>VLOOKUP($A36,[24]HISTOJUIN24!$A$6:$AU$38,28,0)</f>
        <v>0</v>
      </c>
      <c r="V36" s="36">
        <f>VLOOKUP($A36,[24]HISTOJUIN24!$A$6:$AU$38,19,0)</f>
        <v>0</v>
      </c>
      <c r="W36" s="36">
        <f>VLOOKUP($A36,[24]HISTOJUIN24!$A$6:$AU$38,20,0)</f>
        <v>0</v>
      </c>
      <c r="X36" s="36">
        <f>VLOOKUP($A36,[24]HISTOJUIN24!$A$6:$AU$38,27,0)</f>
        <v>0</v>
      </c>
      <c r="Y36" s="36">
        <f>VLOOKUP($A36,[24]HISTOJUIN24!$A$6:$BM$38,33,0)</f>
        <v>0</v>
      </c>
      <c r="Z36" s="36">
        <f>VLOOKUP($A36,[24]HISTOJUIN24!$A$6:$BM$38,65,0)</f>
        <v>0</v>
      </c>
      <c r="AA36" s="36"/>
      <c r="AB36" s="36">
        <f>VLOOKUP($A36,[24]HISTOJUIN24!$A$6:$AU$38,43,0)</f>
        <v>0</v>
      </c>
      <c r="AC36" s="36">
        <f>VLOOKUP($A36,[24]HISTOJUIN24!$A$6:$AU$38,44,0)</f>
        <v>0</v>
      </c>
      <c r="AD36" s="36">
        <f>VLOOKUP($A36,[24]HISTOJUIN24!$A$6:$AU$38,47,0)</f>
        <v>0</v>
      </c>
      <c r="AE36" s="36">
        <f>VLOOKUP(A36,[24]HISTOJUIN24!$A$6:$BB$38,54,0)</f>
        <v>0</v>
      </c>
      <c r="AF36" s="36">
        <f>VLOOKUP($A36,[24]HISTOJUIN24!$A$6:$CA$38,60,0)</f>
        <v>0</v>
      </c>
      <c r="AG36" s="36">
        <f>VLOOKUP($A36,[24]HISTOJUIN24!$A$6:$CA$38,61,0)</f>
        <v>0</v>
      </c>
      <c r="AH36" s="36">
        <f>VLOOKUP($A36,[24]HISTOJUIN24!$A$6:$CA$38,62,0)</f>
        <v>0</v>
      </c>
      <c r="AI36" s="36">
        <f>VLOOKUP($A36,[24]HISTOJUIN24!$A$6:$CA$38,63,0)</f>
        <v>0</v>
      </c>
      <c r="AJ36" s="36">
        <f>VLOOKUP($A36,[24]HISTOJUIN24!$A$6:$CA$38,64,0)</f>
        <v>0</v>
      </c>
      <c r="AK36" s="36">
        <f>VLOOKUP($A36,[24]HISTOJUIN24!$A$6:$CA$38,65,0)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MVTMAI24!I37-E37+L37</f>
        <v>1932400.7147676253</v>
      </c>
      <c r="G37" s="5">
        <f>IF(MVTMAI24!I37+L37&gt;700000,(MVTMAI24!I37-E37+L37),0)</f>
        <v>1932400.7147676253</v>
      </c>
      <c r="H37" s="36">
        <f t="shared" si="0"/>
        <v>0</v>
      </c>
      <c r="I37" s="6">
        <f t="shared" si="2"/>
        <v>1932400.7147676253</v>
      </c>
      <c r="J37" s="36">
        <f>VLOOKUP($A37,[24]HISTOJUIN24!$A$6:$AQ$42,22,0)</f>
        <v>0</v>
      </c>
      <c r="K37" s="36">
        <f>VLOOKUP($A37,[24]HISTOJUIN24!$A$6:$AU$38,45,0)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VLOOKUP($A37,[24]HISTOJUIN24!$A$6:$AU$38,7,0)</f>
        <v>3000</v>
      </c>
      <c r="Q37" s="36">
        <f>VLOOKUP($A37,[24]HISTOJUIN24!$A$6:$AU$38,23,0)</f>
        <v>0</v>
      </c>
      <c r="R37" s="36">
        <f>VLOOKUP($A37,[24]HISTOJUIN24!$A$6:$AU$38,46,0)</f>
        <v>0</v>
      </c>
      <c r="S37" s="36">
        <f>VLOOKUP($A37,[24]HISTOJUIN24!$A$6:$AU$38,26,0)</f>
        <v>0</v>
      </c>
      <c r="T37" s="36">
        <f>VLOOKUP($A37,[24]HISTOJUIN24!$A$6:$BG$38,58,0)</f>
        <v>0</v>
      </c>
      <c r="U37" s="36">
        <f>VLOOKUP($A37,[24]HISTOJUIN24!$A$6:$AU$38,28,0)</f>
        <v>0</v>
      </c>
      <c r="V37" s="36">
        <f>VLOOKUP($A37,[24]HISTOJUIN24!$A$6:$AU$38,19,0)</f>
        <v>0</v>
      </c>
      <c r="W37" s="36">
        <f>VLOOKUP($A37,[24]HISTOJUIN24!$A$6:$AU$38,20,0)</f>
        <v>0</v>
      </c>
      <c r="X37" s="36">
        <f>VLOOKUP($A37,[24]HISTOJUIN24!$A$6:$AU$38,27,0)</f>
        <v>0</v>
      </c>
      <c r="Y37" s="36">
        <f>VLOOKUP($A37,[24]HISTOJUIN24!$A$6:$BM$38,33,0)</f>
        <v>0</v>
      </c>
      <c r="Z37" s="36">
        <f>VLOOKUP($A37,[24]HISTOJUIN24!$A$6:$BM$38,65,0)</f>
        <v>0</v>
      </c>
      <c r="AA37" s="36"/>
      <c r="AB37" s="36">
        <f>VLOOKUP($A37,[24]HISTOJUIN24!$A$6:$AU$38,43,0)</f>
        <v>0</v>
      </c>
      <c r="AC37" s="36">
        <f>VLOOKUP($A37,[24]HISTOJUIN24!$A$6:$AU$38,44,0)</f>
        <v>0</v>
      </c>
      <c r="AD37" s="36">
        <f>VLOOKUP($A37,[24]HISTOJUIN24!$A$6:$AU$38,47,0)</f>
        <v>0</v>
      </c>
      <c r="AE37" s="36">
        <f>VLOOKUP(A37,[24]HISTOJUIN24!$A$6:$BB$38,54,0)</f>
        <v>0</v>
      </c>
      <c r="AF37" s="36">
        <f>VLOOKUP($A37,[24]HISTOJUIN24!$A$6:$CA$38,60,0)</f>
        <v>0</v>
      </c>
      <c r="AG37" s="36">
        <f>VLOOKUP($A37,[24]HISTOJUIN24!$A$6:$CA$38,61,0)</f>
        <v>0</v>
      </c>
      <c r="AH37" s="36">
        <f>VLOOKUP($A37,[24]HISTOJUIN24!$A$6:$CA$38,62,0)</f>
        <v>0</v>
      </c>
      <c r="AI37" s="36">
        <f>VLOOKUP($A37,[24]HISTOJUIN24!$A$6:$CA$38,63,0)</f>
        <v>0</v>
      </c>
      <c r="AJ37" s="36">
        <f>VLOOKUP($A37,[24]HISTOJUIN24!$A$6:$CA$38,64,0)</f>
        <v>0</v>
      </c>
      <c r="AK37" s="36">
        <f>VLOOKUP($A37,[24]HISTOJUIN24!$A$6:$CA$38,65,0)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MVTMAI24!I38-E38+L38</f>
        <v>114000</v>
      </c>
      <c r="G38" s="5">
        <f>IF(MVTMAI24!I38+L38&gt;700000,(MVTMAI24!I38-E38+L38),0)</f>
        <v>0</v>
      </c>
      <c r="H38" s="36">
        <f t="shared" si="0"/>
        <v>0</v>
      </c>
      <c r="I38" s="6">
        <f t="shared" si="2"/>
        <v>114000</v>
      </c>
      <c r="J38" s="36">
        <f>VLOOKUP($A38,[24]HISTOJUIN24!$A$6:$AQ$42,22,0)</f>
        <v>0</v>
      </c>
      <c r="K38" s="36">
        <f>VLOOKUP($A38,[24]HISTOJUIN24!$A$6:$AU$38,45,0)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VLOOKUP($A38,[24]HISTOJUIN24!$A$6:$AU$38,7,0)</f>
        <v>0</v>
      </c>
      <c r="Q38" s="36">
        <f>VLOOKUP($A38,[24]HISTOJUIN24!$A$6:$AU$38,23,0)</f>
        <v>0</v>
      </c>
      <c r="R38" s="36">
        <f>VLOOKUP($A38,[24]HISTOJUIN24!$A$6:$AU$38,46,0)</f>
        <v>0</v>
      </c>
      <c r="S38" s="36">
        <f>VLOOKUP($A38,[24]HISTOJUIN24!$A$6:$AU$38,26,0)</f>
        <v>0</v>
      </c>
      <c r="T38" s="36">
        <f>VLOOKUP($A38,[24]HISTOJUIN24!$A$6:$BG$38,58,0)</f>
        <v>0</v>
      </c>
      <c r="U38" s="36">
        <f>VLOOKUP($A38,[24]HISTOJUIN24!$A$6:$AU$38,28,0)</f>
        <v>0</v>
      </c>
      <c r="V38" s="36">
        <f>VLOOKUP($A38,[24]HISTOJUIN24!$A$6:$AU$38,19,0)</f>
        <v>0</v>
      </c>
      <c r="W38" s="36">
        <f>VLOOKUP($A38,[24]HISTOJUIN24!$A$6:$AU$38,20,0)</f>
        <v>0</v>
      </c>
      <c r="X38" s="36">
        <f>VLOOKUP($A38,[24]HISTOJUIN24!$A$6:$AU$38,27,0)</f>
        <v>0</v>
      </c>
      <c r="Y38" s="36">
        <f>VLOOKUP($A38,[24]HISTOJUIN24!$A$6:$BM$38,33,0)</f>
        <v>0</v>
      </c>
      <c r="Z38" s="36">
        <f>VLOOKUP($A38,[24]HISTOJUIN24!$A$6:$BM$38,65,0)</f>
        <v>0</v>
      </c>
      <c r="AA38" s="36"/>
      <c r="AB38" s="36">
        <f>VLOOKUP($A38,[24]HISTOJUIN24!$A$6:$AU$38,43,0)</f>
        <v>0</v>
      </c>
      <c r="AC38" s="36">
        <f>VLOOKUP($A38,[24]HISTOJUIN24!$A$6:$AU$38,44,0)</f>
        <v>0</v>
      </c>
      <c r="AD38" s="36">
        <f>VLOOKUP($A38,[24]HISTOJUIN24!$A$6:$AU$38,47,0)</f>
        <v>0</v>
      </c>
      <c r="AE38" s="36">
        <f>VLOOKUP(A38,[24]HISTOJUIN24!$A$6:$BB$38,54,0)</f>
        <v>0</v>
      </c>
      <c r="AF38" s="36">
        <f>VLOOKUP($A38,[24]HISTOJUIN24!$A$6:$CA$38,60,0)</f>
        <v>0</v>
      </c>
      <c r="AG38" s="36">
        <f>VLOOKUP($A38,[24]HISTOJUIN24!$A$6:$CA$38,61,0)</f>
        <v>0</v>
      </c>
      <c r="AH38" s="36">
        <f>VLOOKUP($A38,[24]HISTOJUIN24!$A$6:$CA$38,62,0)</f>
        <v>0</v>
      </c>
      <c r="AI38" s="36">
        <f>VLOOKUP($A38,[24]HISTOJUIN24!$A$6:$CA$38,63,0)</f>
        <v>0</v>
      </c>
      <c r="AJ38" s="36">
        <f>VLOOKUP($A38,[24]HISTOJUIN24!$A$6:$CA$38,64,0)</f>
        <v>0</v>
      </c>
      <c r="AK38" s="36">
        <f>VLOOKUP($A38,[24]HISTOJUIN24!$A$6:$CA$38,65,0)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MVTMAI24!I39-E39+L39</f>
        <v>2097313.2142100567</v>
      </c>
      <c r="G39" s="5">
        <f>IF(MVTMAI24!I39+L39&gt;700000,(MVTMAI24!I39-E39+L39),0)</f>
        <v>2097313.2142100567</v>
      </c>
      <c r="H39" s="36">
        <f t="shared" si="0"/>
        <v>0</v>
      </c>
      <c r="I39" s="6">
        <f t="shared" si="2"/>
        <v>2097313.2142100567</v>
      </c>
      <c r="J39" s="36">
        <f>VLOOKUP($A39,[24]HISTOJUIN24!$A$6:$AQ$42,22,0)</f>
        <v>0</v>
      </c>
      <c r="K39" s="36">
        <f>VLOOKUP($A39,[24]HISTOJUIN24!$A$6:$AU$38,45,0)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VLOOKUP($A39,[24]HISTOJUIN24!$A$6:$AU$38,7,0)</f>
        <v>0</v>
      </c>
      <c r="Q39" s="36">
        <f>VLOOKUP($A39,[24]HISTOJUIN24!$A$6:$AU$38,23,0)</f>
        <v>0</v>
      </c>
      <c r="R39" s="36">
        <f>VLOOKUP($A39,[24]HISTOJUIN24!$A$6:$AU$38,46,0)</f>
        <v>0</v>
      </c>
      <c r="S39" s="36">
        <f>VLOOKUP($A39,[24]HISTOJUIN24!$A$6:$AU$38,26,0)</f>
        <v>0</v>
      </c>
      <c r="T39" s="36">
        <f>VLOOKUP($A39,[24]HISTOJUIN24!$A$6:$BG$38,58,0)</f>
        <v>0</v>
      </c>
      <c r="U39" s="36">
        <f>VLOOKUP($A39,[24]HISTOJUIN24!$A$6:$AU$38,28,0)</f>
        <v>0</v>
      </c>
      <c r="V39" s="36">
        <f>VLOOKUP($A39,[24]HISTOJUIN24!$A$6:$AU$38,19,0)</f>
        <v>0</v>
      </c>
      <c r="W39" s="36">
        <f>VLOOKUP($A39,[24]HISTOJUIN24!$A$6:$AU$38,20,0)</f>
        <v>0</v>
      </c>
      <c r="X39" s="36">
        <f>VLOOKUP($A39,[24]HISTOJUIN24!$A$6:$AU$38,27,0)</f>
        <v>0</v>
      </c>
      <c r="Y39" s="36">
        <f>VLOOKUP($A39,[24]HISTOJUIN24!$A$6:$BM$38,33,0)</f>
        <v>0</v>
      </c>
      <c r="Z39" s="36">
        <f>VLOOKUP($A39,[24]HISTOJUIN24!$A$6:$BM$38,65,0)</f>
        <v>0</v>
      </c>
      <c r="AA39" s="36"/>
      <c r="AB39" s="36">
        <f>VLOOKUP($A39,[24]HISTOJUIN24!$A$6:$AU$38,43,0)</f>
        <v>0</v>
      </c>
      <c r="AC39" s="36">
        <f>VLOOKUP($A39,[24]HISTOJUIN24!$A$6:$AU$38,44,0)</f>
        <v>0</v>
      </c>
      <c r="AD39" s="36">
        <f>VLOOKUP($A39,[24]HISTOJUIN24!$A$6:$AU$38,47,0)</f>
        <v>0</v>
      </c>
      <c r="AE39" s="36">
        <f>VLOOKUP(A39,[24]HISTOJUIN24!$A$6:$BB$38,54,0)</f>
        <v>0</v>
      </c>
      <c r="AF39" s="36">
        <f>VLOOKUP($A39,[24]HISTOJUIN24!$A$6:$CA$38,60,0)</f>
        <v>0</v>
      </c>
      <c r="AG39" s="36">
        <f>VLOOKUP($A39,[24]HISTOJUIN24!$A$6:$CA$38,61,0)</f>
        <v>0</v>
      </c>
      <c r="AH39" s="36">
        <f>VLOOKUP($A39,[24]HISTOJUIN24!$A$6:$CA$38,62,0)</f>
        <v>0</v>
      </c>
      <c r="AI39" s="36">
        <f>VLOOKUP($A39,[24]HISTOJUIN24!$A$6:$CA$38,63,0)</f>
        <v>0</v>
      </c>
      <c r="AJ39" s="36">
        <f>VLOOKUP($A39,[24]HISTOJUIN24!$A$6:$CA$38,64,0)</f>
        <v>0</v>
      </c>
      <c r="AK39" s="36">
        <f>VLOOKUP($A39,[24]HISTOJUIN24!$A$6:$CA$38,65,0)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30536656.655274987</v>
      </c>
      <c r="G41" s="9">
        <f t="shared" si="10"/>
        <v>28899439.524547949</v>
      </c>
      <c r="H41" s="36">
        <f t="shared" si="10"/>
        <v>0</v>
      </c>
      <c r="I41" s="9">
        <f t="shared" si="10"/>
        <v>30536656.655274987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E6" activePane="bottomRight" state="frozen"/>
      <selection activeCell="B43" sqref="B43"/>
      <selection pane="topRight" activeCell="B43" sqref="B43"/>
      <selection pane="bottomLeft" activeCell="B43" sqref="B43"/>
      <selection pane="bottomRight" activeCell="E6" sqref="E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45490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VLOOKUP($A6,[24]HISTOJUIL24!$A$6:$BA$38,48,0)</f>
        <v>0</v>
      </c>
      <c r="F6" s="36">
        <f>MVTJUIN24!I6-E6+L6</f>
        <v>946220.58968855068</v>
      </c>
      <c r="G6" s="5">
        <f>IF(MVTJUIN24!I6+L6&gt;700000,(MVTJUIN24!I6-E6+L6),0)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VLOOKUP($A6,[24]HISTOJUIL24!$A$6:$AQ$42,22,0)</f>
        <v>0</v>
      </c>
      <c r="K6" s="36">
        <f>VLOOKUP($A6,[24]HISTOJUIL24!$A$6:$AU$38,45,0)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VLOOKUP($A6,[24]HISTOJUIL24!$A$6:$AU$38,7,0)</f>
        <v>0</v>
      </c>
      <c r="Q6" s="36">
        <f>VLOOKUP($A6,[24]HISTOJUIL24!$A$6:$AU$38,23,0)</f>
        <v>0</v>
      </c>
      <c r="R6" s="36">
        <f>VLOOKUP($A6,[24]HISTOJUIL24!$A$6:$AU$38,46,0)</f>
        <v>0</v>
      </c>
      <c r="S6" s="36">
        <f>VLOOKUP($A6,[24]HISTOJUIL24!$A$6:$AU$38,26,0)</f>
        <v>0</v>
      </c>
      <c r="T6" s="36">
        <f>VLOOKUP($A6,[24]HISTOJUIL24!$A$6:$BG$38,58,0)</f>
        <v>0</v>
      </c>
      <c r="U6" s="36">
        <f>VLOOKUP($A6,[24]HISTOJUIL24!$A$6:$AU$38,28,0)</f>
        <v>0</v>
      </c>
      <c r="V6" s="36">
        <f>VLOOKUP($A6,[24]HISTOJUIL24!$A$6:$AU$38,19,0)</f>
        <v>0</v>
      </c>
      <c r="W6" s="36">
        <f>VLOOKUP($A6,[24]HISTOJUIL24!$A$6:$AU$38,20,0)</f>
        <v>0</v>
      </c>
      <c r="X6" s="36">
        <f>VLOOKUP($A6,[24]HISTOJUIL24!$A$6:$AU$38,27,0)</f>
        <v>0</v>
      </c>
      <c r="Y6" s="36">
        <f>VLOOKUP($A6,[24]HISTOJUIL24!$A$6:$BM$38,33,0)</f>
        <v>0</v>
      </c>
      <c r="Z6" s="36">
        <f>VLOOKUP($A6,[24]HISTOJUIL24!$A$6:$BM$38,65,0)</f>
        <v>0</v>
      </c>
      <c r="AA6" s="36"/>
      <c r="AB6" s="36">
        <f>VLOOKUP($A6,[24]HISTOJUIL24!$A$6:$AU$38,43,0)</f>
        <v>0</v>
      </c>
      <c r="AC6" s="36">
        <f>VLOOKUP($A6,[24]HISTOJUIL24!$A$6:$AU$38,44,0)</f>
        <v>0</v>
      </c>
      <c r="AD6" s="36">
        <f>VLOOKUP($A6,[24]HISTOJUIL24!$A$6:$AU$38,47,0)</f>
        <v>0</v>
      </c>
      <c r="AE6" s="36">
        <f>VLOOKUP(A6,[24]HISTOJUIL24!$A$6:$BB$38,54,0)</f>
        <v>0</v>
      </c>
      <c r="AF6" s="36">
        <f>VLOOKUP($A6,[24]HISTOJUIL24!$A$6:$CA$38,60,0)</f>
        <v>0</v>
      </c>
      <c r="AG6" s="36">
        <f>VLOOKUP($A6,[24]HISTOJUIL24!$A$6:$CA$38,61,0)</f>
        <v>0</v>
      </c>
      <c r="AH6" s="36">
        <f>VLOOKUP($A6,[24]HISTOJUIL24!$A$6:$CA$38,62,0)</f>
        <v>0</v>
      </c>
      <c r="AI6" s="36">
        <f>VLOOKUP($A6,[24]HISTOJUIL24!$A$6:$CA$38,63,0)</f>
        <v>0</v>
      </c>
      <c r="AJ6" s="36">
        <f>VLOOKUP($A6,[24]HISTOJUIL24!$A$6:$CA$38,64,0)</f>
        <v>0</v>
      </c>
      <c r="AK6" s="36">
        <f>VLOOKUP($A6,[24]HISTOJUIL24!$A$6:$CA$38,65,0)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VLOOKUP($A7,[24]HISTOJUIL24!$A$6:$BA$38,48,0)</f>
        <v>0</v>
      </c>
      <c r="F7" s="36">
        <f>MVTJUIN24!I7-E7+L7</f>
        <v>833791.19348721951</v>
      </c>
      <c r="G7" s="5">
        <f>IF(MVTJUIN24!I7+L7&gt;700000,(MVTJUIN24!I7-E7+L7),0)</f>
        <v>833791.19348721951</v>
      </c>
      <c r="H7" s="36">
        <f t="shared" si="0"/>
        <v>0</v>
      </c>
      <c r="I7" s="6">
        <f t="shared" ref="I7:I39" si="2">F7+H7</f>
        <v>833791.19348721951</v>
      </c>
      <c r="J7" s="36">
        <f>VLOOKUP($A7,[24]HISTOJUIL24!$A$6:$AQ$42,22,0)</f>
        <v>0</v>
      </c>
      <c r="K7" s="36">
        <f>VLOOKUP($A7,[24]HISTOJUIL24!$A$6:$AU$38,45,0)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VLOOKUP($A7,[24]HISTOJUIL24!$A$6:$AU$38,7,0)</f>
        <v>3000</v>
      </c>
      <c r="Q7" s="36">
        <f>VLOOKUP($A7,[24]HISTOJUIL24!$A$6:$AU$38,23,0)</f>
        <v>0</v>
      </c>
      <c r="R7" s="36">
        <f>VLOOKUP($A7,[24]HISTOJUIL24!$A$6:$AU$38,46,0)</f>
        <v>0</v>
      </c>
      <c r="S7" s="36">
        <f>VLOOKUP($A7,[24]HISTOJUIL24!$A$6:$AU$38,26,0)</f>
        <v>0</v>
      </c>
      <c r="T7" s="36">
        <f>VLOOKUP($A7,[24]HISTOJUIL24!$A$6:$BG$38,58,0)</f>
        <v>0</v>
      </c>
      <c r="U7" s="36">
        <f>VLOOKUP($A7,[24]HISTOJUIL24!$A$6:$AU$38,28,0)</f>
        <v>0</v>
      </c>
      <c r="V7" s="36">
        <f>VLOOKUP($A7,[24]HISTOJUIL24!$A$6:$AU$38,19,0)</f>
        <v>0</v>
      </c>
      <c r="W7" s="36">
        <f>VLOOKUP($A7,[24]HISTOJUIL24!$A$6:$AU$38,20,0)</f>
        <v>0</v>
      </c>
      <c r="X7" s="36">
        <f>VLOOKUP($A7,[24]HISTOJUIL24!$A$6:$AU$38,27,0)</f>
        <v>0</v>
      </c>
      <c r="Y7" s="36">
        <f>VLOOKUP($A7,[24]HISTOJUIL24!$A$6:$BM$38,33,0)</f>
        <v>0</v>
      </c>
      <c r="Z7" s="36">
        <f>VLOOKUP($A7,[24]HISTOJUIL24!$A$6:$BM$38,65,0)</f>
        <v>0</v>
      </c>
      <c r="AA7" s="36"/>
      <c r="AB7" s="36">
        <f>VLOOKUP($A7,[24]HISTOJUIL24!$A$6:$AU$38,43,0)</f>
        <v>0</v>
      </c>
      <c r="AC7" s="36">
        <f>VLOOKUP($A7,[24]HISTOJUIL24!$A$6:$AU$38,44,0)</f>
        <v>0</v>
      </c>
      <c r="AD7" s="36">
        <f>VLOOKUP($A7,[24]HISTOJUIL24!$A$6:$AU$38,47,0)</f>
        <v>0</v>
      </c>
      <c r="AE7" s="36">
        <f>VLOOKUP(A7,[24]HISTOJUIL24!$A$6:$BB$38,54,0)</f>
        <v>0</v>
      </c>
      <c r="AF7" s="36">
        <f>VLOOKUP($A7,[24]HISTOJUIL24!$A$6:$CA$38,60,0)</f>
        <v>0</v>
      </c>
      <c r="AG7" s="36">
        <f>VLOOKUP($A7,[24]HISTOJUIL24!$A$6:$CA$38,61,0)</f>
        <v>0</v>
      </c>
      <c r="AH7" s="36">
        <f>VLOOKUP($A7,[24]HISTOJUIL24!$A$6:$CA$38,62,0)</f>
        <v>0</v>
      </c>
      <c r="AI7" s="36">
        <f>VLOOKUP($A7,[24]HISTOJUIL24!$A$6:$CA$38,63,0)</f>
        <v>0</v>
      </c>
      <c r="AJ7" s="36">
        <f>VLOOKUP($A7,[24]HISTOJUIL24!$A$6:$CA$38,64,0)</f>
        <v>0</v>
      </c>
      <c r="AK7" s="36">
        <f>VLOOKUP($A7,[24]HISTOJUIL24!$A$6:$CA$38,65,0)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VLOOKUP($A8,[24]HISTOJUIL24!$A$6:$BA$38,48,0)</f>
        <v>0</v>
      </c>
      <c r="F8" s="36">
        <f>MVTJUIN24!I8-E8+L8</f>
        <v>877533.31236524263</v>
      </c>
      <c r="G8" s="5">
        <f>IF(MVTJUIN24!I8+L8&gt;700000,(MVTJUIN24!I8-E8+L8),0)</f>
        <v>877533.31236524263</v>
      </c>
      <c r="H8" s="36">
        <f t="shared" si="0"/>
        <v>0</v>
      </c>
      <c r="I8" s="6">
        <f t="shared" si="2"/>
        <v>877533.31236524263</v>
      </c>
      <c r="J8" s="36">
        <f>VLOOKUP($A8,[24]HISTOJUIL24!$A$6:$AQ$42,22,0)</f>
        <v>0</v>
      </c>
      <c r="K8" s="36">
        <f>VLOOKUP($A8,[24]HISTOJUIL24!$A$6:$AU$38,45,0)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VLOOKUP($A8,[24]HISTOJUIL24!$A$6:$AU$38,7,0)</f>
        <v>0</v>
      </c>
      <c r="Q8" s="36">
        <f>VLOOKUP($A8,[24]HISTOJUIL24!$A$6:$AU$38,23,0)</f>
        <v>0</v>
      </c>
      <c r="R8" s="36">
        <f>VLOOKUP($A8,[24]HISTOJUIL24!$A$6:$AU$38,46,0)</f>
        <v>0</v>
      </c>
      <c r="S8" s="36">
        <f>VLOOKUP($A8,[24]HISTOJUIL24!$A$6:$AU$38,26,0)</f>
        <v>0</v>
      </c>
      <c r="T8" s="36">
        <f>VLOOKUP($A8,[24]HISTOJUIL24!$A$6:$BG$38,58,0)</f>
        <v>0</v>
      </c>
      <c r="U8" s="36">
        <f>VLOOKUP($A8,[24]HISTOJUIL24!$A$6:$AU$38,28,0)</f>
        <v>0</v>
      </c>
      <c r="V8" s="36">
        <f>VLOOKUP($A8,[24]HISTOJUIL24!$A$6:$AU$38,19,0)</f>
        <v>0</v>
      </c>
      <c r="W8" s="36">
        <f>VLOOKUP($A8,[24]HISTOJUIL24!$A$6:$AU$38,20,0)</f>
        <v>0</v>
      </c>
      <c r="X8" s="36">
        <f>VLOOKUP($A8,[24]HISTOJUIL24!$A$6:$AU$38,27,0)</f>
        <v>0</v>
      </c>
      <c r="Y8" s="36">
        <f>VLOOKUP($A8,[24]HISTOJUIL24!$A$6:$BM$38,33,0)</f>
        <v>0</v>
      </c>
      <c r="Z8" s="36">
        <f>VLOOKUP($A8,[24]HISTOJUIL24!$A$6:$BM$38,65,0)</f>
        <v>0</v>
      </c>
      <c r="AA8" s="36"/>
      <c r="AB8" s="36">
        <f>VLOOKUP($A8,[24]HISTOJUIL24!$A$6:$AU$38,43,0)</f>
        <v>0</v>
      </c>
      <c r="AC8" s="36">
        <f>VLOOKUP($A8,[24]HISTOJUIL24!$A$6:$AU$38,44,0)</f>
        <v>0</v>
      </c>
      <c r="AD8" s="36">
        <f>VLOOKUP($A8,[24]HISTOJUIL24!$A$6:$AU$38,47,0)</f>
        <v>0</v>
      </c>
      <c r="AE8" s="36">
        <f>VLOOKUP(A8,[24]HISTOJUIL24!$A$6:$BB$38,54,0)</f>
        <v>0</v>
      </c>
      <c r="AF8" s="36">
        <f>VLOOKUP($A8,[24]HISTOJUIL24!$A$6:$CA$38,60,0)</f>
        <v>0</v>
      </c>
      <c r="AG8" s="36">
        <f>VLOOKUP($A8,[24]HISTOJUIL24!$A$6:$CA$38,61,0)</f>
        <v>0</v>
      </c>
      <c r="AH8" s="36">
        <f>VLOOKUP($A8,[24]HISTOJUIL24!$A$6:$CA$38,62,0)</f>
        <v>0</v>
      </c>
      <c r="AI8" s="36">
        <f>VLOOKUP($A8,[24]HISTOJUIL24!$A$6:$CA$38,63,0)</f>
        <v>0</v>
      </c>
      <c r="AJ8" s="36">
        <f>VLOOKUP($A8,[24]HISTOJUIL24!$A$6:$CA$38,64,0)</f>
        <v>0</v>
      </c>
      <c r="AK8" s="36">
        <f>VLOOKUP($A8,[24]HISTOJUIL24!$A$6:$CA$38,65,0)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VLOOKUP($A9,[24]HISTOJUIL24!$A$6:$BA$38,48,0)</f>
        <v>0</v>
      </c>
      <c r="F9" s="36">
        <f>MVTJUIN24!I9-E9+L9</f>
        <v>934962.00686817756</v>
      </c>
      <c r="G9" s="5">
        <f>IF(MVTJUIN24!I9+L9&gt;700000,(MVTJUIN24!I9-E9+L9),0)</f>
        <v>934962.00686817756</v>
      </c>
      <c r="H9" s="36">
        <f t="shared" si="0"/>
        <v>0</v>
      </c>
      <c r="I9" s="6">
        <f t="shared" si="2"/>
        <v>934962.00686817756</v>
      </c>
      <c r="J9" s="36">
        <f>VLOOKUP($A9,[24]HISTOJUIL24!$A$6:$AQ$42,22,0)</f>
        <v>0</v>
      </c>
      <c r="K9" s="36">
        <f>VLOOKUP($A9,[24]HISTOJUIL24!$A$6:$AU$38,45,0)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VLOOKUP($A9,[24]HISTOJUIL24!$A$6:$AU$38,7,0)</f>
        <v>0</v>
      </c>
      <c r="Q9" s="36">
        <f>VLOOKUP($A9,[24]HISTOJUIL24!$A$6:$AU$38,23,0)</f>
        <v>0</v>
      </c>
      <c r="R9" s="36">
        <f>VLOOKUP($A9,[24]HISTOJUIL24!$A$6:$AU$38,46,0)</f>
        <v>0</v>
      </c>
      <c r="S9" s="36">
        <f>VLOOKUP($A9,[24]HISTOJUIL24!$A$6:$AU$38,26,0)</f>
        <v>0</v>
      </c>
      <c r="T9" s="36">
        <f>VLOOKUP($A9,[24]HISTOJUIL24!$A$6:$BG$38,58,0)</f>
        <v>0</v>
      </c>
      <c r="U9" s="36">
        <f>VLOOKUP($A9,[24]HISTOJUIL24!$A$6:$AU$38,28,0)</f>
        <v>0</v>
      </c>
      <c r="V9" s="36">
        <f>VLOOKUP($A9,[24]HISTOJUIL24!$A$6:$AU$38,19,0)</f>
        <v>0</v>
      </c>
      <c r="W9" s="36">
        <f>VLOOKUP($A9,[24]HISTOJUIL24!$A$6:$AU$38,20,0)</f>
        <v>0</v>
      </c>
      <c r="X9" s="36">
        <f>VLOOKUP($A9,[24]HISTOJUIL24!$A$6:$AU$38,27,0)</f>
        <v>0</v>
      </c>
      <c r="Y9" s="36">
        <f>VLOOKUP($A9,[24]HISTOJUIL24!$A$6:$BM$38,33,0)</f>
        <v>0</v>
      </c>
      <c r="Z9" s="36">
        <f>VLOOKUP($A9,[24]HISTOJUIL24!$A$6:$BM$38,65,0)</f>
        <v>0</v>
      </c>
      <c r="AA9" s="36"/>
      <c r="AB9" s="36">
        <f>VLOOKUP($A9,[24]HISTOJUIL24!$A$6:$AU$38,43,0)</f>
        <v>0</v>
      </c>
      <c r="AC9" s="36">
        <f>VLOOKUP($A9,[24]HISTOJUIL24!$A$6:$AU$38,44,0)</f>
        <v>0</v>
      </c>
      <c r="AD9" s="36">
        <f>VLOOKUP($A9,[24]HISTOJUIL24!$A$6:$AU$38,47,0)</f>
        <v>0</v>
      </c>
      <c r="AE9" s="36">
        <f>VLOOKUP(A9,[24]HISTOJUIL24!$A$6:$BB$38,54,0)</f>
        <v>0</v>
      </c>
      <c r="AF9" s="36">
        <f>VLOOKUP($A9,[24]HISTOJUIL24!$A$6:$CA$38,60,0)</f>
        <v>0</v>
      </c>
      <c r="AG9" s="36">
        <f>VLOOKUP($A9,[24]HISTOJUIL24!$A$6:$CA$38,61,0)</f>
        <v>0</v>
      </c>
      <c r="AH9" s="36">
        <f>VLOOKUP($A9,[24]HISTOJUIL24!$A$6:$CA$38,62,0)</f>
        <v>0</v>
      </c>
      <c r="AI9" s="36">
        <f>VLOOKUP($A9,[24]HISTOJUIL24!$A$6:$CA$38,63,0)</f>
        <v>0</v>
      </c>
      <c r="AJ9" s="36">
        <f>VLOOKUP($A9,[24]HISTOJUIL24!$A$6:$CA$38,64,0)</f>
        <v>0</v>
      </c>
      <c r="AK9" s="36">
        <f>VLOOKUP($A9,[24]HISTOJUIL24!$A$6:$CA$38,65,0)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VLOOKUP($A10,[24]HISTOJUIL24!$A$6:$BA$38,48,0)</f>
        <v>0</v>
      </c>
      <c r="F10" s="36">
        <f>MVTJUIN24!I10-E10+L10</f>
        <v>874805.20622596238</v>
      </c>
      <c r="G10" s="5">
        <f>IF(MVTJUIN24!I10+L10&gt;700000,(MVTJUIN24!I10-E10+L10),0)</f>
        <v>874805.20622596238</v>
      </c>
      <c r="H10" s="36">
        <f t="shared" si="0"/>
        <v>0</v>
      </c>
      <c r="I10" s="6">
        <f t="shared" si="2"/>
        <v>874805.20622596238</v>
      </c>
      <c r="J10" s="36">
        <f>VLOOKUP($A10,[24]HISTOJUIL24!$A$6:$AQ$42,22,0)</f>
        <v>0</v>
      </c>
      <c r="K10" s="36">
        <f>VLOOKUP($A10,[24]HISTOJUIL24!$A$6:$AU$38,45,0)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VLOOKUP($A10,[24]HISTOJUIL24!$A$6:$AU$38,7,0)</f>
        <v>0</v>
      </c>
      <c r="Q10" s="36">
        <f>VLOOKUP($A10,[24]HISTOJUIL24!$A$6:$AU$38,23,0)</f>
        <v>0</v>
      </c>
      <c r="R10" s="36">
        <f>VLOOKUP($A10,[24]HISTOJUIL24!$A$6:$AU$38,46,0)</f>
        <v>0</v>
      </c>
      <c r="S10" s="36">
        <f>VLOOKUP($A10,[24]HISTOJUIL24!$A$6:$AU$38,26,0)</f>
        <v>0</v>
      </c>
      <c r="T10" s="36">
        <f>VLOOKUP($A10,[24]HISTOJUIL24!$A$6:$BG$38,58,0)</f>
        <v>0</v>
      </c>
      <c r="U10" s="36">
        <f>VLOOKUP($A10,[24]HISTOJUIL24!$A$6:$AU$38,28,0)</f>
        <v>0</v>
      </c>
      <c r="V10" s="36">
        <f>VLOOKUP($A10,[24]HISTOJUIL24!$A$6:$AU$38,19,0)</f>
        <v>0</v>
      </c>
      <c r="W10" s="36">
        <f>VLOOKUP($A10,[24]HISTOJUIL24!$A$6:$AU$38,20,0)</f>
        <v>0</v>
      </c>
      <c r="X10" s="36">
        <f>VLOOKUP($A10,[24]HISTOJUIL24!$A$6:$AU$38,27,0)</f>
        <v>0</v>
      </c>
      <c r="Y10" s="36">
        <f>VLOOKUP($A10,[24]HISTOJUIL24!$A$6:$BM$38,33,0)</f>
        <v>0</v>
      </c>
      <c r="Z10" s="36">
        <f>VLOOKUP($A10,[24]HISTOJUIL24!$A$6:$BM$38,65,0)</f>
        <v>0</v>
      </c>
      <c r="AA10" s="36"/>
      <c r="AB10" s="36">
        <f>VLOOKUP($A10,[24]HISTOJUIL24!$A$6:$AU$38,43,0)</f>
        <v>0</v>
      </c>
      <c r="AC10" s="36">
        <f>VLOOKUP($A10,[24]HISTOJUIL24!$A$6:$AU$38,44,0)</f>
        <v>0</v>
      </c>
      <c r="AD10" s="36">
        <f>VLOOKUP($A10,[24]HISTOJUIL24!$A$6:$AU$38,47,0)</f>
        <v>0</v>
      </c>
      <c r="AE10" s="36">
        <f>VLOOKUP(A10,[24]HISTOJUIL24!$A$6:$BB$38,54,0)</f>
        <v>0</v>
      </c>
      <c r="AF10" s="36">
        <f>VLOOKUP($A10,[24]HISTOJUIL24!$A$6:$CA$38,60,0)</f>
        <v>0</v>
      </c>
      <c r="AG10" s="36">
        <f>VLOOKUP($A10,[24]HISTOJUIL24!$A$6:$CA$38,61,0)</f>
        <v>0</v>
      </c>
      <c r="AH10" s="36">
        <f>VLOOKUP($A10,[24]HISTOJUIL24!$A$6:$CA$38,62,0)</f>
        <v>0</v>
      </c>
      <c r="AI10" s="36">
        <f>VLOOKUP($A10,[24]HISTOJUIL24!$A$6:$CA$38,63,0)</f>
        <v>0</v>
      </c>
      <c r="AJ10" s="36">
        <f>VLOOKUP($A10,[24]HISTOJUIL24!$A$6:$CA$38,64,0)</f>
        <v>0</v>
      </c>
      <c r="AK10" s="36">
        <f>VLOOKUP($A10,[24]HISTOJUIL24!$A$6:$CA$38,65,0)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VLOOKUP($A11,[24]HISTOJUIL24!$A$6:$BA$38,48,0)</f>
        <v>0</v>
      </c>
      <c r="F11" s="36">
        <f>MVTJUIN24!I11-E11+L11</f>
        <v>892855.82895949238</v>
      </c>
      <c r="G11" s="5">
        <f>IF(MVTJUIN24!I11+L11&gt;700000,(MVTJUIN24!I11-E11+L11),0)</f>
        <v>892855.82895949238</v>
      </c>
      <c r="H11" s="36">
        <f t="shared" si="0"/>
        <v>0</v>
      </c>
      <c r="I11" s="6">
        <f t="shared" si="2"/>
        <v>892855.82895949238</v>
      </c>
      <c r="J11" s="36">
        <f>VLOOKUP($A11,[24]HISTOJUIL24!$A$6:$AQ$42,22,0)</f>
        <v>0</v>
      </c>
      <c r="K11" s="36">
        <f>VLOOKUP($A11,[24]HISTOJUIL24!$A$6:$AU$38,45,0)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VLOOKUP($A11,[24]HISTOJUIL24!$A$6:$AU$38,7,0)</f>
        <v>0</v>
      </c>
      <c r="Q11" s="36">
        <f>VLOOKUP($A11,[24]HISTOJUIL24!$A$6:$AU$38,23,0)</f>
        <v>0</v>
      </c>
      <c r="R11" s="36">
        <f>VLOOKUP($A11,[24]HISTOJUIL24!$A$6:$AU$38,46,0)</f>
        <v>0</v>
      </c>
      <c r="S11" s="36">
        <f>VLOOKUP($A11,[24]HISTOJUIL24!$A$6:$AU$38,26,0)</f>
        <v>0</v>
      </c>
      <c r="T11" s="36">
        <f>VLOOKUP($A11,[24]HISTOJUIL24!$A$6:$BG$38,58,0)</f>
        <v>0</v>
      </c>
      <c r="U11" s="36">
        <f>VLOOKUP($A11,[24]HISTOJUIL24!$A$6:$AU$38,28,0)</f>
        <v>0</v>
      </c>
      <c r="V11" s="36">
        <f>VLOOKUP($A11,[24]HISTOJUIL24!$A$6:$AU$38,19,0)</f>
        <v>0</v>
      </c>
      <c r="W11" s="36">
        <f>VLOOKUP($A11,[24]HISTOJUIL24!$A$6:$AU$38,20,0)</f>
        <v>0</v>
      </c>
      <c r="X11" s="36">
        <f>VLOOKUP($A11,[24]HISTOJUIL24!$A$6:$AU$38,27,0)</f>
        <v>0</v>
      </c>
      <c r="Y11" s="36">
        <f>VLOOKUP($A11,[24]HISTOJUIL24!$A$6:$BM$38,33,0)</f>
        <v>0</v>
      </c>
      <c r="Z11" s="36">
        <f>VLOOKUP($A11,[24]HISTOJUIL24!$A$6:$BM$38,65,0)</f>
        <v>0</v>
      </c>
      <c r="AA11" s="36"/>
      <c r="AB11" s="36">
        <f>VLOOKUP($A11,[24]HISTOJUIL24!$A$6:$AU$38,43,0)</f>
        <v>0</v>
      </c>
      <c r="AC11" s="36">
        <f>VLOOKUP($A11,[24]HISTOJUIL24!$A$6:$AU$38,44,0)</f>
        <v>0</v>
      </c>
      <c r="AD11" s="36">
        <f>VLOOKUP($A11,[24]HISTOJUIL24!$A$6:$AU$38,47,0)</f>
        <v>0</v>
      </c>
      <c r="AE11" s="36">
        <f>VLOOKUP(A11,[24]HISTOJUIL24!$A$6:$BB$38,54,0)</f>
        <v>0</v>
      </c>
      <c r="AF11" s="36">
        <f>VLOOKUP($A11,[24]HISTOJUIL24!$A$6:$CA$38,60,0)</f>
        <v>0</v>
      </c>
      <c r="AG11" s="36">
        <f>VLOOKUP($A11,[24]HISTOJUIL24!$A$6:$CA$38,61,0)</f>
        <v>0</v>
      </c>
      <c r="AH11" s="36">
        <f>VLOOKUP($A11,[24]HISTOJUIL24!$A$6:$CA$38,62,0)</f>
        <v>0</v>
      </c>
      <c r="AI11" s="36">
        <f>VLOOKUP($A11,[24]HISTOJUIL24!$A$6:$CA$38,63,0)</f>
        <v>0</v>
      </c>
      <c r="AJ11" s="36">
        <f>VLOOKUP($A11,[24]HISTOJUIL24!$A$6:$CA$38,64,0)</f>
        <v>0</v>
      </c>
      <c r="AK11" s="36">
        <f>VLOOKUP($A11,[24]HISTOJUIL24!$A$6:$CA$38,65,0)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VLOOKUP($A12,[24]HISTOJUIL24!$A$6:$BA$38,48,0)</f>
        <v>0</v>
      </c>
      <c r="F12" s="36">
        <f>MVTJUIN24!I12-E12+L12</f>
        <v>916100.14741339569</v>
      </c>
      <c r="G12" s="5">
        <f>IF(MVTJUIN24!I12+L12&gt;700000,(MVTJUIN24!I12-E12+L12),0)</f>
        <v>916100.14741339569</v>
      </c>
      <c r="H12" s="36">
        <f t="shared" si="0"/>
        <v>0</v>
      </c>
      <c r="I12" s="6">
        <f t="shared" si="2"/>
        <v>916100.14741339569</v>
      </c>
      <c r="J12" s="36">
        <f>VLOOKUP($A12,[24]HISTOJUIL24!$A$6:$AQ$42,22,0)</f>
        <v>0</v>
      </c>
      <c r="K12" s="36">
        <f>VLOOKUP($A12,[24]HISTOJUIL24!$A$6:$AU$38,45,0)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VLOOKUP($A12,[24]HISTOJUIL24!$A$6:$AU$38,7,0)</f>
        <v>0</v>
      </c>
      <c r="Q12" s="36">
        <f>VLOOKUP($A12,[24]HISTOJUIL24!$A$6:$AU$38,23,0)</f>
        <v>0</v>
      </c>
      <c r="R12" s="36">
        <f>VLOOKUP($A12,[24]HISTOJUIL24!$A$6:$AU$38,46,0)</f>
        <v>0</v>
      </c>
      <c r="S12" s="36">
        <f>VLOOKUP($A12,[24]HISTOJUIL24!$A$6:$AU$38,26,0)</f>
        <v>0</v>
      </c>
      <c r="T12" s="36">
        <f>VLOOKUP($A12,[24]HISTOJUIL24!$A$6:$BG$38,58,0)</f>
        <v>0</v>
      </c>
      <c r="U12" s="36">
        <f>VLOOKUP($A12,[24]HISTOJUIL24!$A$6:$AU$38,28,0)</f>
        <v>0</v>
      </c>
      <c r="V12" s="36">
        <f>VLOOKUP($A12,[24]HISTOJUIL24!$A$6:$AU$38,19,0)</f>
        <v>0</v>
      </c>
      <c r="W12" s="36">
        <f>VLOOKUP($A12,[24]HISTOJUIL24!$A$6:$AU$38,20,0)</f>
        <v>0</v>
      </c>
      <c r="X12" s="36">
        <f>VLOOKUP($A12,[24]HISTOJUIL24!$A$6:$AU$38,27,0)</f>
        <v>0</v>
      </c>
      <c r="Y12" s="36">
        <f>VLOOKUP($A12,[24]HISTOJUIL24!$A$6:$BM$38,33,0)</f>
        <v>0</v>
      </c>
      <c r="Z12" s="36">
        <f>VLOOKUP($A12,[24]HISTOJUIL24!$A$6:$BM$38,65,0)</f>
        <v>0</v>
      </c>
      <c r="AA12" s="36"/>
      <c r="AB12" s="36">
        <f>VLOOKUP($A12,[24]HISTOJUIL24!$A$6:$AU$38,43,0)</f>
        <v>0</v>
      </c>
      <c r="AC12" s="36">
        <f>VLOOKUP($A12,[24]HISTOJUIL24!$A$6:$AU$38,44,0)</f>
        <v>0</v>
      </c>
      <c r="AD12" s="36">
        <f>VLOOKUP($A12,[24]HISTOJUIL24!$A$6:$AU$38,47,0)</f>
        <v>0</v>
      </c>
      <c r="AE12" s="36">
        <f>VLOOKUP(A12,[24]HISTOJUIL24!$A$6:$BB$38,54,0)</f>
        <v>0</v>
      </c>
      <c r="AF12" s="36">
        <f>VLOOKUP($A12,[24]HISTOJUIL24!$A$6:$CA$38,60,0)</f>
        <v>0</v>
      </c>
      <c r="AG12" s="36">
        <f>VLOOKUP($A12,[24]HISTOJUIL24!$A$6:$CA$38,61,0)</f>
        <v>0</v>
      </c>
      <c r="AH12" s="36">
        <f>VLOOKUP($A12,[24]HISTOJUIL24!$A$6:$CA$38,62,0)</f>
        <v>0</v>
      </c>
      <c r="AI12" s="36">
        <f>VLOOKUP($A12,[24]HISTOJUIL24!$A$6:$CA$38,63,0)</f>
        <v>0</v>
      </c>
      <c r="AJ12" s="36">
        <f>VLOOKUP($A12,[24]HISTOJUIL24!$A$6:$CA$38,64,0)</f>
        <v>0</v>
      </c>
      <c r="AK12" s="36">
        <f>VLOOKUP($A12,[24]HISTOJUIL24!$A$6:$CA$38,65,0)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VLOOKUP($A13,[24]HISTOJUIL24!$A$6:$BA$38,48,0)</f>
        <v>0</v>
      </c>
      <c r="F13" s="36">
        <f>MVTJUIN24!I13-E13+L13</f>
        <v>880555.14612214814</v>
      </c>
      <c r="G13" s="5">
        <f>IF(MVTJUIN24!I13+L13&gt;700000,(MVTJUIN24!I13-E13+L13),0)</f>
        <v>880555.14612214814</v>
      </c>
      <c r="H13" s="36">
        <f t="shared" si="0"/>
        <v>0</v>
      </c>
      <c r="I13" s="6">
        <f t="shared" si="2"/>
        <v>880555.14612214814</v>
      </c>
      <c r="J13" s="36">
        <f>VLOOKUP($A13,[24]HISTOJUIL24!$A$6:$AQ$42,22,0)</f>
        <v>0</v>
      </c>
      <c r="K13" s="36">
        <f>VLOOKUP($A13,[24]HISTOJUIL24!$A$6:$AU$38,45,0)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VLOOKUP($A13,[24]HISTOJUIL24!$A$6:$AU$38,7,0)</f>
        <v>0</v>
      </c>
      <c r="Q13" s="36">
        <f>VLOOKUP($A13,[24]HISTOJUIL24!$A$6:$AU$38,23,0)</f>
        <v>0</v>
      </c>
      <c r="R13" s="36">
        <f>VLOOKUP($A13,[24]HISTOJUIL24!$A$6:$AU$38,46,0)</f>
        <v>0</v>
      </c>
      <c r="S13" s="36">
        <f>VLOOKUP($A13,[24]HISTOJUIL24!$A$6:$AU$38,26,0)</f>
        <v>0</v>
      </c>
      <c r="T13" s="36">
        <f>VLOOKUP($A13,[24]HISTOJUIL24!$A$6:$BG$38,58,0)</f>
        <v>0</v>
      </c>
      <c r="U13" s="36">
        <f>VLOOKUP($A13,[24]HISTOJUIL24!$A$6:$AU$38,28,0)</f>
        <v>0</v>
      </c>
      <c r="V13" s="36">
        <f>VLOOKUP($A13,[24]HISTOJUIL24!$A$6:$AU$38,19,0)</f>
        <v>0</v>
      </c>
      <c r="W13" s="36">
        <f>VLOOKUP($A13,[24]HISTOJUIL24!$A$6:$AU$38,20,0)</f>
        <v>0</v>
      </c>
      <c r="X13" s="36">
        <f>VLOOKUP($A13,[24]HISTOJUIL24!$A$6:$AU$38,27,0)</f>
        <v>0</v>
      </c>
      <c r="Y13" s="36">
        <f>VLOOKUP($A13,[24]HISTOJUIL24!$A$6:$BM$38,33,0)</f>
        <v>0</v>
      </c>
      <c r="Z13" s="36">
        <f>VLOOKUP($A13,[24]HISTOJUIL24!$A$6:$BM$38,65,0)</f>
        <v>0</v>
      </c>
      <c r="AA13" s="36"/>
      <c r="AB13" s="36">
        <f>VLOOKUP($A13,[24]HISTOJUIL24!$A$6:$AU$38,43,0)</f>
        <v>0</v>
      </c>
      <c r="AC13" s="36">
        <f>VLOOKUP($A13,[24]HISTOJUIL24!$A$6:$AU$38,44,0)</f>
        <v>0</v>
      </c>
      <c r="AD13" s="36">
        <f>VLOOKUP($A13,[24]HISTOJUIL24!$A$6:$AU$38,47,0)</f>
        <v>0</v>
      </c>
      <c r="AE13" s="36">
        <f>VLOOKUP(A13,[24]HISTOJUIL24!$A$6:$BB$38,54,0)</f>
        <v>0</v>
      </c>
      <c r="AF13" s="36">
        <f>VLOOKUP($A13,[24]HISTOJUIL24!$A$6:$CA$38,60,0)</f>
        <v>0</v>
      </c>
      <c r="AG13" s="36">
        <f>VLOOKUP($A13,[24]HISTOJUIL24!$A$6:$CA$38,61,0)</f>
        <v>0</v>
      </c>
      <c r="AH13" s="36">
        <f>VLOOKUP($A13,[24]HISTOJUIL24!$A$6:$CA$38,62,0)</f>
        <v>0</v>
      </c>
      <c r="AI13" s="36">
        <f>VLOOKUP($A13,[24]HISTOJUIL24!$A$6:$CA$38,63,0)</f>
        <v>0</v>
      </c>
      <c r="AJ13" s="36">
        <f>VLOOKUP($A13,[24]HISTOJUIL24!$A$6:$CA$38,64,0)</f>
        <v>0</v>
      </c>
      <c r="AK13" s="36">
        <f>VLOOKUP($A13,[24]HISTOJUIL24!$A$6:$CA$38,65,0)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VLOOKUP($A14,[24]HISTOJUIL24!$A$6:$BA$38,48,0)</f>
        <v>0</v>
      </c>
      <c r="F14" s="36">
        <f>MVTJUIN24!I14-E14+L14</f>
        <v>1433425.9823482623</v>
      </c>
      <c r="G14" s="5">
        <f>IF(MVTJUIN24!I14+L14&gt;700000,(MVTJUIN24!I14-E14+L14),0)</f>
        <v>1433425.9823482623</v>
      </c>
      <c r="H14" s="36">
        <f t="shared" si="0"/>
        <v>0</v>
      </c>
      <c r="I14" s="6">
        <f t="shared" si="2"/>
        <v>1433425.9823482623</v>
      </c>
      <c r="J14" s="36">
        <f>VLOOKUP($A14,[24]HISTOJUIL24!$A$6:$AQ$42,22,0)</f>
        <v>0</v>
      </c>
      <c r="K14" s="36">
        <f>VLOOKUP($A14,[24]HISTOJUIL24!$A$6:$AU$38,45,0)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VLOOKUP($A14,[24]HISTOJUIL24!$A$6:$AU$38,7,0)</f>
        <v>0</v>
      </c>
      <c r="Q14" s="36">
        <f>VLOOKUP($A14,[24]HISTOJUIL24!$A$6:$AU$38,23,0)</f>
        <v>0</v>
      </c>
      <c r="R14" s="36">
        <f>VLOOKUP($A14,[24]HISTOJUIL24!$A$6:$AU$38,46,0)</f>
        <v>0</v>
      </c>
      <c r="S14" s="36">
        <f>VLOOKUP($A14,[24]HISTOJUIL24!$A$6:$AU$38,26,0)</f>
        <v>0</v>
      </c>
      <c r="T14" s="36">
        <f>VLOOKUP($A14,[24]HISTOJUIL24!$A$6:$BG$38,58,0)</f>
        <v>0</v>
      </c>
      <c r="U14" s="36">
        <f>VLOOKUP($A14,[24]HISTOJUIL24!$A$6:$AU$38,28,0)</f>
        <v>0</v>
      </c>
      <c r="V14" s="36">
        <f>VLOOKUP($A14,[24]HISTOJUIL24!$A$6:$AU$38,19,0)</f>
        <v>0</v>
      </c>
      <c r="W14" s="36">
        <f>VLOOKUP($A14,[24]HISTOJUIL24!$A$6:$AU$38,20,0)</f>
        <v>0</v>
      </c>
      <c r="X14" s="36">
        <f>VLOOKUP($A14,[24]HISTOJUIL24!$A$6:$AU$38,27,0)</f>
        <v>0</v>
      </c>
      <c r="Y14" s="36">
        <f>VLOOKUP($A14,[24]HISTOJUIL24!$A$6:$BM$38,33,0)</f>
        <v>0</v>
      </c>
      <c r="Z14" s="36">
        <f>VLOOKUP($A14,[24]HISTOJUIL24!$A$6:$BM$38,65,0)</f>
        <v>0</v>
      </c>
      <c r="AA14" s="36"/>
      <c r="AB14" s="36">
        <f>VLOOKUP($A14,[24]HISTOJUIL24!$A$6:$AU$38,43,0)</f>
        <v>0</v>
      </c>
      <c r="AC14" s="36">
        <f>VLOOKUP($A14,[24]HISTOJUIL24!$A$6:$AU$38,44,0)</f>
        <v>0</v>
      </c>
      <c r="AD14" s="36">
        <f>VLOOKUP($A14,[24]HISTOJUIL24!$A$6:$AU$38,47,0)</f>
        <v>0</v>
      </c>
      <c r="AE14" s="36">
        <f>VLOOKUP(A14,[24]HISTOJUIL24!$A$6:$BB$38,54,0)</f>
        <v>0</v>
      </c>
      <c r="AF14" s="36">
        <f>VLOOKUP($A14,[24]HISTOJUIL24!$A$6:$CA$38,60,0)</f>
        <v>0</v>
      </c>
      <c r="AG14" s="36">
        <f>VLOOKUP($A14,[24]HISTOJUIL24!$A$6:$CA$38,61,0)</f>
        <v>0</v>
      </c>
      <c r="AH14" s="36">
        <f>VLOOKUP($A14,[24]HISTOJUIL24!$A$6:$CA$38,62,0)</f>
        <v>0</v>
      </c>
      <c r="AI14" s="36">
        <f>VLOOKUP($A14,[24]HISTOJUIL24!$A$6:$CA$38,63,0)</f>
        <v>0</v>
      </c>
      <c r="AJ14" s="36">
        <f>VLOOKUP($A14,[24]HISTOJUIL24!$A$6:$CA$38,64,0)</f>
        <v>0</v>
      </c>
      <c r="AK14" s="36">
        <f>VLOOKUP($A14,[24]HISTOJUIL24!$A$6:$CA$38,65,0)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VLOOKUP($A15,[24]HISTOJUIL24!$A$6:$BA$38,48,0)</f>
        <v>0</v>
      </c>
      <c r="F15" s="36">
        <f>MVTJUIN24!I15-E15+L15</f>
        <v>942309.62153810938</v>
      </c>
      <c r="G15" s="5">
        <f>IF(MVTJUIN24!I15+L15&gt;700000,(MVTJUIN24!I15-E15+L15),0)</f>
        <v>942309.62153810938</v>
      </c>
      <c r="H15" s="36">
        <f t="shared" si="0"/>
        <v>0</v>
      </c>
      <c r="I15" s="6">
        <f t="shared" si="2"/>
        <v>942309.62153810938</v>
      </c>
      <c r="J15" s="36">
        <f>VLOOKUP($A15,[24]HISTOJUIL24!$A$6:$AQ$42,22,0)</f>
        <v>0</v>
      </c>
      <c r="K15" s="36">
        <f>VLOOKUP($A15,[24]HISTOJUIL24!$A$6:$AU$38,45,0)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VLOOKUP($A15,[24]HISTOJUIL24!$A$6:$AU$38,7,0)</f>
        <v>0</v>
      </c>
      <c r="Q15" s="36">
        <f>VLOOKUP($A15,[24]HISTOJUIL24!$A$6:$AU$38,23,0)</f>
        <v>0</v>
      </c>
      <c r="R15" s="36">
        <f>VLOOKUP($A15,[24]HISTOJUIL24!$A$6:$AU$38,46,0)</f>
        <v>0</v>
      </c>
      <c r="S15" s="36">
        <f>VLOOKUP($A15,[24]HISTOJUIL24!$A$6:$AU$38,26,0)</f>
        <v>0</v>
      </c>
      <c r="T15" s="36">
        <f>VLOOKUP($A15,[24]HISTOJUIL24!$A$6:$BG$38,58,0)</f>
        <v>0</v>
      </c>
      <c r="U15" s="36">
        <f>VLOOKUP($A15,[24]HISTOJUIL24!$A$6:$AU$38,28,0)</f>
        <v>0</v>
      </c>
      <c r="V15" s="36">
        <f>VLOOKUP($A15,[24]HISTOJUIL24!$A$6:$AU$38,19,0)</f>
        <v>0</v>
      </c>
      <c r="W15" s="36">
        <f>VLOOKUP($A15,[24]HISTOJUIL24!$A$6:$AU$38,20,0)</f>
        <v>0</v>
      </c>
      <c r="X15" s="36">
        <f>VLOOKUP($A15,[24]HISTOJUIL24!$A$6:$AU$38,27,0)</f>
        <v>0</v>
      </c>
      <c r="Y15" s="36">
        <f>VLOOKUP($A15,[24]HISTOJUIL24!$A$6:$BM$38,33,0)</f>
        <v>0</v>
      </c>
      <c r="Z15" s="36">
        <f>VLOOKUP($A15,[24]HISTOJUIL24!$A$6:$BM$38,65,0)</f>
        <v>0</v>
      </c>
      <c r="AA15" s="36"/>
      <c r="AB15" s="36">
        <f>VLOOKUP($A15,[24]HISTOJUIL24!$A$6:$AU$38,43,0)</f>
        <v>0</v>
      </c>
      <c r="AC15" s="36">
        <f>VLOOKUP($A15,[24]HISTOJUIL24!$A$6:$AU$38,44,0)</f>
        <v>0</v>
      </c>
      <c r="AD15" s="36">
        <f>VLOOKUP($A15,[24]HISTOJUIL24!$A$6:$AU$38,47,0)</f>
        <v>0</v>
      </c>
      <c r="AE15" s="36">
        <f>VLOOKUP(A15,[24]HISTOJUIL24!$A$6:$BB$38,54,0)</f>
        <v>0</v>
      </c>
      <c r="AF15" s="36">
        <f>VLOOKUP($A15,[24]HISTOJUIL24!$A$6:$CA$38,60,0)</f>
        <v>0</v>
      </c>
      <c r="AG15" s="36">
        <f>VLOOKUP($A15,[24]HISTOJUIL24!$A$6:$CA$38,61,0)</f>
        <v>0</v>
      </c>
      <c r="AH15" s="36">
        <f>VLOOKUP($A15,[24]HISTOJUIL24!$A$6:$CA$38,62,0)</f>
        <v>0</v>
      </c>
      <c r="AI15" s="36">
        <f>VLOOKUP($A15,[24]HISTOJUIL24!$A$6:$CA$38,63,0)</f>
        <v>0</v>
      </c>
      <c r="AJ15" s="36">
        <f>VLOOKUP($A15,[24]HISTOJUIL24!$A$6:$CA$38,64,0)</f>
        <v>0</v>
      </c>
      <c r="AK15" s="36">
        <f>VLOOKUP($A15,[24]HISTOJUIL24!$A$6:$CA$38,65,0)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VLOOKUP($A16,[24]HISTOJUIL24!$A$6:$BA$38,48,0)</f>
        <v>0</v>
      </c>
      <c r="F16" s="36">
        <f>MVTJUIN24!I16-E16+L16</f>
        <v>1052858.7065070483</v>
      </c>
      <c r="G16" s="5">
        <f>IF(MVTJUIN24!I16+L16&gt;700000,(MVTJUIN24!I16-E16+L16),0)</f>
        <v>1052858.7065070483</v>
      </c>
      <c r="H16" s="36">
        <f t="shared" si="0"/>
        <v>0</v>
      </c>
      <c r="I16" s="6">
        <f t="shared" si="2"/>
        <v>1052858.7065070483</v>
      </c>
      <c r="J16" s="36">
        <f>VLOOKUP($A16,[24]HISTOJUIL24!$A$6:$AQ$42,22,0)</f>
        <v>0</v>
      </c>
      <c r="K16" s="36">
        <f>VLOOKUP($A16,[24]HISTOJUIL24!$A$6:$AU$38,45,0)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VLOOKUP($A16,[24]HISTOJUIL24!$A$6:$AU$38,7,0)</f>
        <v>0</v>
      </c>
      <c r="Q16" s="36">
        <f>VLOOKUP($A16,[24]HISTOJUIL24!$A$6:$AU$38,23,0)</f>
        <v>0</v>
      </c>
      <c r="R16" s="36">
        <f>VLOOKUP($A16,[24]HISTOJUIL24!$A$6:$AU$38,46,0)</f>
        <v>0</v>
      </c>
      <c r="S16" s="36">
        <f>VLOOKUP($A16,[24]HISTOJUIL24!$A$6:$AU$38,26,0)</f>
        <v>0</v>
      </c>
      <c r="T16" s="36">
        <f>VLOOKUP($A16,[24]HISTOJUIL24!$A$6:$BG$38,58,0)</f>
        <v>0</v>
      </c>
      <c r="U16" s="36">
        <f>VLOOKUP($A16,[24]HISTOJUIL24!$A$6:$AU$38,28,0)</f>
        <v>0</v>
      </c>
      <c r="V16" s="36">
        <f>VLOOKUP($A16,[24]HISTOJUIL24!$A$6:$AU$38,19,0)</f>
        <v>0</v>
      </c>
      <c r="W16" s="36">
        <f>VLOOKUP($A16,[24]HISTOJUIL24!$A$6:$AU$38,20,0)</f>
        <v>0</v>
      </c>
      <c r="X16" s="36">
        <f>VLOOKUP($A16,[24]HISTOJUIL24!$A$6:$AU$38,27,0)</f>
        <v>0</v>
      </c>
      <c r="Y16" s="36">
        <f>VLOOKUP($A16,[24]HISTOJUIL24!$A$6:$BM$38,33,0)</f>
        <v>0</v>
      </c>
      <c r="Z16" s="36">
        <f>VLOOKUP($A16,[24]HISTOJUIL24!$A$6:$BM$38,65,0)</f>
        <v>0</v>
      </c>
      <c r="AA16" s="36"/>
      <c r="AB16" s="36">
        <f>VLOOKUP($A16,[24]HISTOJUIL24!$A$6:$AU$38,43,0)</f>
        <v>0</v>
      </c>
      <c r="AC16" s="36">
        <f>VLOOKUP($A16,[24]HISTOJUIL24!$A$6:$AU$38,44,0)</f>
        <v>0</v>
      </c>
      <c r="AD16" s="36">
        <f>VLOOKUP($A16,[24]HISTOJUIL24!$A$6:$AU$38,47,0)</f>
        <v>0</v>
      </c>
      <c r="AE16" s="36">
        <f>VLOOKUP(A16,[24]HISTOJUIL24!$A$6:$BB$38,54,0)</f>
        <v>0</v>
      </c>
      <c r="AF16" s="36">
        <f>VLOOKUP($A16,[24]HISTOJUIL24!$A$6:$CA$38,60,0)</f>
        <v>0</v>
      </c>
      <c r="AG16" s="36">
        <f>VLOOKUP($A16,[24]HISTOJUIL24!$A$6:$CA$38,61,0)</f>
        <v>0</v>
      </c>
      <c r="AH16" s="36">
        <f>VLOOKUP($A16,[24]HISTOJUIL24!$A$6:$CA$38,62,0)</f>
        <v>0</v>
      </c>
      <c r="AI16" s="36">
        <f>VLOOKUP($A16,[24]HISTOJUIL24!$A$6:$CA$38,63,0)</f>
        <v>0</v>
      </c>
      <c r="AJ16" s="36">
        <f>VLOOKUP($A16,[24]HISTOJUIL24!$A$6:$CA$38,64,0)</f>
        <v>0</v>
      </c>
      <c r="AK16" s="36">
        <f>VLOOKUP($A16,[24]HISTOJUIL24!$A$6:$CA$38,65,0)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VLOOKUP($A17,[24]HISTOJUIL24!$A$6:$BA$38,48,0)</f>
        <v>0</v>
      </c>
      <c r="F17" s="36">
        <f>MVTJUIN24!I17-E17+L17</f>
        <v>890402.7005255461</v>
      </c>
      <c r="G17" s="5">
        <f>IF(MVTJUIN24!I17+L17&gt;700000,(MVTJUIN24!I17-E17+L17),0)</f>
        <v>890402.7005255461</v>
      </c>
      <c r="H17" s="36">
        <f t="shared" si="0"/>
        <v>0</v>
      </c>
      <c r="I17" s="6">
        <f t="shared" si="2"/>
        <v>890402.7005255461</v>
      </c>
      <c r="J17" s="36">
        <f>VLOOKUP($A17,[24]HISTOJUIL24!$A$6:$AQ$42,22,0)</f>
        <v>0</v>
      </c>
      <c r="K17" s="36">
        <f>VLOOKUP($A17,[24]HISTOJUIL24!$A$6:$AU$38,45,0)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VLOOKUP($A17,[24]HISTOJUIL24!$A$6:$AU$38,7,0)</f>
        <v>0</v>
      </c>
      <c r="Q17" s="36">
        <f>VLOOKUP($A17,[24]HISTOJUIL24!$A$6:$AU$38,23,0)</f>
        <v>0</v>
      </c>
      <c r="R17" s="36">
        <f>VLOOKUP($A17,[24]HISTOJUIL24!$A$6:$AU$38,46,0)</f>
        <v>0</v>
      </c>
      <c r="S17" s="36">
        <f>VLOOKUP($A17,[24]HISTOJUIL24!$A$6:$AU$38,26,0)</f>
        <v>0</v>
      </c>
      <c r="T17" s="36">
        <f>VLOOKUP($A17,[24]HISTOJUIL24!$A$6:$BG$38,58,0)</f>
        <v>0</v>
      </c>
      <c r="U17" s="36">
        <f>VLOOKUP($A17,[24]HISTOJUIL24!$A$6:$AU$38,28,0)</f>
        <v>0</v>
      </c>
      <c r="V17" s="36">
        <f>VLOOKUP($A17,[24]HISTOJUIL24!$A$6:$AU$38,19,0)</f>
        <v>0</v>
      </c>
      <c r="W17" s="36">
        <f>VLOOKUP($A17,[24]HISTOJUIL24!$A$6:$AU$38,20,0)</f>
        <v>0</v>
      </c>
      <c r="X17" s="36">
        <f>VLOOKUP($A17,[24]HISTOJUIL24!$A$6:$AU$38,27,0)</f>
        <v>0</v>
      </c>
      <c r="Y17" s="36">
        <f>VLOOKUP($A17,[24]HISTOJUIL24!$A$6:$BM$38,33,0)</f>
        <v>0</v>
      </c>
      <c r="Z17" s="36">
        <f>VLOOKUP($A17,[24]HISTOJUIL24!$A$6:$BM$38,65,0)</f>
        <v>0</v>
      </c>
      <c r="AA17" s="36"/>
      <c r="AB17" s="36">
        <f>VLOOKUP($A17,[24]HISTOJUIL24!$A$6:$AU$38,43,0)</f>
        <v>0</v>
      </c>
      <c r="AC17" s="36">
        <f>VLOOKUP($A17,[24]HISTOJUIL24!$A$6:$AU$38,44,0)</f>
        <v>0</v>
      </c>
      <c r="AD17" s="36">
        <f>VLOOKUP($A17,[24]HISTOJUIL24!$A$6:$AU$38,47,0)</f>
        <v>0</v>
      </c>
      <c r="AE17" s="36">
        <f>VLOOKUP(A17,[24]HISTOJUIL24!$A$6:$BB$38,54,0)</f>
        <v>0</v>
      </c>
      <c r="AF17" s="36">
        <f>VLOOKUP($A17,[24]HISTOJUIL24!$A$6:$CA$38,60,0)</f>
        <v>0</v>
      </c>
      <c r="AG17" s="36">
        <f>VLOOKUP($A17,[24]HISTOJUIL24!$A$6:$CA$38,61,0)</f>
        <v>0</v>
      </c>
      <c r="AH17" s="36">
        <f>VLOOKUP($A17,[24]HISTOJUIL24!$A$6:$CA$38,62,0)</f>
        <v>0</v>
      </c>
      <c r="AI17" s="36">
        <f>VLOOKUP($A17,[24]HISTOJUIL24!$A$6:$CA$38,63,0)</f>
        <v>0</v>
      </c>
      <c r="AJ17" s="36">
        <f>VLOOKUP($A17,[24]HISTOJUIL24!$A$6:$CA$38,64,0)</f>
        <v>0</v>
      </c>
      <c r="AK17" s="36">
        <f>VLOOKUP($A17,[24]HISTOJUIL24!$A$6:$CA$38,65,0)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VLOOKUP($A18,[24]HISTOJUIL24!$A$6:$BA$38,48,0)</f>
        <v>0</v>
      </c>
      <c r="F18" s="36">
        <f>MVTJUIN24!I18-E18+L18</f>
        <v>936662.76419736946</v>
      </c>
      <c r="G18" s="5">
        <f>IF(MVTJUIN24!I18+L18&gt;700000,(MVTJUIN24!I18-E18+L18),0)</f>
        <v>936662.76419736946</v>
      </c>
      <c r="H18" s="36">
        <f t="shared" si="0"/>
        <v>0</v>
      </c>
      <c r="I18" s="6">
        <f t="shared" si="2"/>
        <v>936662.76419736946</v>
      </c>
      <c r="J18" s="36">
        <f>VLOOKUP($A18,[24]HISTOJUIL24!$A$6:$AQ$42,22,0)</f>
        <v>0</v>
      </c>
      <c r="K18" s="36">
        <f>VLOOKUP($A18,[24]HISTOJUIL24!$A$6:$AU$38,45,0)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VLOOKUP($A18,[24]HISTOJUIL24!$A$6:$AU$38,7,0)</f>
        <v>0</v>
      </c>
      <c r="Q18" s="36">
        <f>VLOOKUP($A18,[24]HISTOJUIL24!$A$6:$AU$38,23,0)</f>
        <v>0</v>
      </c>
      <c r="R18" s="36">
        <f>VLOOKUP($A18,[24]HISTOJUIL24!$A$6:$AU$38,46,0)</f>
        <v>0</v>
      </c>
      <c r="S18" s="36">
        <f>VLOOKUP($A18,[24]HISTOJUIL24!$A$6:$AU$38,26,0)</f>
        <v>0</v>
      </c>
      <c r="T18" s="36">
        <f>VLOOKUP($A18,[24]HISTOJUIL24!$A$6:$BG$38,58,0)</f>
        <v>0</v>
      </c>
      <c r="U18" s="36">
        <f>VLOOKUP($A18,[24]HISTOJUIL24!$A$6:$AU$38,28,0)</f>
        <v>0</v>
      </c>
      <c r="V18" s="36">
        <f>VLOOKUP($A18,[24]HISTOJUIL24!$A$6:$AU$38,19,0)</f>
        <v>0</v>
      </c>
      <c r="W18" s="36">
        <f>VLOOKUP($A18,[24]HISTOJUIL24!$A$6:$AU$38,20,0)</f>
        <v>0</v>
      </c>
      <c r="X18" s="36">
        <f>VLOOKUP($A18,[24]HISTOJUIL24!$A$6:$AU$38,27,0)</f>
        <v>0</v>
      </c>
      <c r="Y18" s="36">
        <f>VLOOKUP($A18,[24]HISTOJUIL24!$A$6:$BM$38,33,0)</f>
        <v>0</v>
      </c>
      <c r="Z18" s="36">
        <f>VLOOKUP($A18,[24]HISTOJUIL24!$A$6:$BM$38,65,0)</f>
        <v>0</v>
      </c>
      <c r="AA18" s="36"/>
      <c r="AB18" s="36">
        <f>VLOOKUP($A18,[24]HISTOJUIL24!$A$6:$AU$38,43,0)</f>
        <v>0</v>
      </c>
      <c r="AC18" s="36">
        <f>VLOOKUP($A18,[24]HISTOJUIL24!$A$6:$AU$38,44,0)</f>
        <v>0</v>
      </c>
      <c r="AD18" s="36">
        <f>VLOOKUP($A18,[24]HISTOJUIL24!$A$6:$AU$38,47,0)</f>
        <v>0</v>
      </c>
      <c r="AE18" s="36">
        <f>VLOOKUP(A18,[24]HISTOJUIL24!$A$6:$BB$38,54,0)</f>
        <v>0</v>
      </c>
      <c r="AF18" s="36">
        <f>VLOOKUP($A18,[24]HISTOJUIL24!$A$6:$CA$38,60,0)</f>
        <v>0</v>
      </c>
      <c r="AG18" s="36">
        <f>VLOOKUP($A18,[24]HISTOJUIL24!$A$6:$CA$38,61,0)</f>
        <v>0</v>
      </c>
      <c r="AH18" s="36">
        <f>VLOOKUP($A18,[24]HISTOJUIL24!$A$6:$CA$38,62,0)</f>
        <v>0</v>
      </c>
      <c r="AI18" s="36">
        <f>VLOOKUP($A18,[24]HISTOJUIL24!$A$6:$CA$38,63,0)</f>
        <v>0</v>
      </c>
      <c r="AJ18" s="36">
        <f>VLOOKUP($A18,[24]HISTOJUIL24!$A$6:$CA$38,64,0)</f>
        <v>0</v>
      </c>
      <c r="AK18" s="36">
        <f>VLOOKUP($A18,[24]HISTOJUIL24!$A$6:$CA$38,65,0)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MVTJUIN24!I19-E19+L19</f>
        <v>676217.13072703336</v>
      </c>
      <c r="G19" s="5">
        <f>IF(MVTJUIN24!I19+L19&gt;700000,(MVTJUIN24!I19-E19+L19),0)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MVTJUIN24!I20-E20+L20</f>
        <v>133000</v>
      </c>
      <c r="G20" s="5">
        <f>IF(MVTJUIN24!I20+L20&gt;700000,(MVTJUIN24!I20-E20+L20),0)</f>
        <v>0</v>
      </c>
      <c r="H20" s="36">
        <f t="shared" si="0"/>
        <v>0</v>
      </c>
      <c r="I20" s="6">
        <f t="shared" si="2"/>
        <v>133000</v>
      </c>
      <c r="J20" s="36">
        <f>VLOOKUP($A20,[24]HISTOJUIL24!$A$6:$AQ$42,22,0)</f>
        <v>0</v>
      </c>
      <c r="K20" s="36">
        <f>VLOOKUP($A20,[24]HISTOJUIL24!$A$6:$AU$38,45,0)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VLOOKUP($A20,[24]HISTOJUIL24!$A$6:$AU$38,7,0)</f>
        <v>0</v>
      </c>
      <c r="Q20" s="36">
        <f>VLOOKUP($A20,[24]HISTOJUIL24!$A$6:$AU$38,23,0)</f>
        <v>0</v>
      </c>
      <c r="R20" s="36">
        <f>VLOOKUP($A20,[24]HISTOJUIL24!$A$6:$AU$38,46,0)</f>
        <v>0</v>
      </c>
      <c r="S20" s="36">
        <f>VLOOKUP($A20,[24]HISTOJUIL24!$A$6:$AU$38,26,0)</f>
        <v>0</v>
      </c>
      <c r="T20" s="36">
        <f>VLOOKUP($A20,[24]HISTOJUIL24!$A$6:$BG$38,58,0)</f>
        <v>0</v>
      </c>
      <c r="U20" s="36">
        <f>VLOOKUP($A20,[24]HISTOJUIL24!$A$6:$AU$38,28,0)</f>
        <v>0</v>
      </c>
      <c r="V20" s="36">
        <f>VLOOKUP($A20,[24]HISTOJUIL24!$A$6:$AU$38,19,0)</f>
        <v>0</v>
      </c>
      <c r="W20" s="36">
        <f>VLOOKUP($A20,[24]HISTOJUIL24!$A$6:$AU$38,20,0)</f>
        <v>0</v>
      </c>
      <c r="X20" s="36">
        <f>VLOOKUP($A20,[24]HISTOJUIL24!$A$6:$AU$38,27,0)</f>
        <v>0</v>
      </c>
      <c r="Y20" s="36">
        <f>VLOOKUP($A20,[24]HISTOJUIL24!$A$6:$BM$38,33,0)</f>
        <v>0</v>
      </c>
      <c r="Z20" s="36">
        <f>VLOOKUP($A20,[24]HISTOJUIL24!$A$6:$BM$38,65,0)</f>
        <v>0</v>
      </c>
      <c r="AA20" s="36"/>
      <c r="AB20" s="36">
        <f>VLOOKUP($A20,[24]HISTOJUIL24!$A$6:$AU$38,43,0)</f>
        <v>0</v>
      </c>
      <c r="AC20" s="36">
        <f>VLOOKUP($A20,[24]HISTOJUIL24!$A$6:$AU$38,44,0)</f>
        <v>0</v>
      </c>
      <c r="AD20" s="36">
        <f>VLOOKUP($A20,[24]HISTOJUIL24!$A$6:$AU$38,47,0)</f>
        <v>0</v>
      </c>
      <c r="AE20" s="36">
        <f>VLOOKUP(A20,[24]HISTOJUIL24!$A$6:$BB$38,54,0)</f>
        <v>0</v>
      </c>
      <c r="AF20" s="36">
        <f>VLOOKUP($A20,[24]HISTOJUIL24!$A$6:$CA$38,60,0)</f>
        <v>0</v>
      </c>
      <c r="AG20" s="36">
        <f>VLOOKUP($A20,[24]HISTOJUIL24!$A$6:$CA$38,61,0)</f>
        <v>0</v>
      </c>
      <c r="AH20" s="36">
        <f>VLOOKUP($A20,[24]HISTOJUIL24!$A$6:$CA$38,62,0)</f>
        <v>0</v>
      </c>
      <c r="AI20" s="36">
        <f>VLOOKUP($A20,[24]HISTOJUIL24!$A$6:$CA$38,63,0)</f>
        <v>0</v>
      </c>
      <c r="AJ20" s="36">
        <f>VLOOKUP($A20,[24]HISTOJUIL24!$A$6:$CA$38,64,0)</f>
        <v>0</v>
      </c>
      <c r="AK20" s="36">
        <f>VLOOKUP($A20,[24]HISTOJUIL24!$A$6:$CA$38,65,0)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MVTJUIN24!I21-E21+L21</f>
        <v>913355.80062958295</v>
      </c>
      <c r="G21" s="5">
        <f>IF(MVTJUIN24!I21+L21&gt;700000,(MVTJUIN24!I21-E21+L21),0)</f>
        <v>913355.80062958295</v>
      </c>
      <c r="H21" s="36">
        <f t="shared" si="0"/>
        <v>0</v>
      </c>
      <c r="I21" s="6">
        <f t="shared" si="2"/>
        <v>913355.80062958295</v>
      </c>
      <c r="J21" s="36">
        <f>VLOOKUP($A21,[24]HISTOJUIL24!$A$6:$AQ$42,22,0)</f>
        <v>0</v>
      </c>
      <c r="K21" s="36">
        <f>VLOOKUP($A21,[24]HISTOJUIL24!$A$6:$AU$38,45,0)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VLOOKUP($A21,[24]HISTOJUIL24!$A$6:$AU$38,7,0)</f>
        <v>0</v>
      </c>
      <c r="Q21" s="36">
        <f>VLOOKUP($A21,[24]HISTOJUIL24!$A$6:$AU$38,23,0)</f>
        <v>0</v>
      </c>
      <c r="R21" s="36">
        <f>VLOOKUP($A21,[24]HISTOJUIL24!$A$6:$AU$38,46,0)</f>
        <v>0</v>
      </c>
      <c r="S21" s="36">
        <f>VLOOKUP($A21,[24]HISTOJUIL24!$A$6:$AU$38,26,0)</f>
        <v>0</v>
      </c>
      <c r="T21" s="36">
        <f>VLOOKUP($A21,[24]HISTOJUIL24!$A$6:$BG$38,58,0)</f>
        <v>0</v>
      </c>
      <c r="U21" s="36">
        <f>VLOOKUP($A21,[24]HISTOJUIL24!$A$6:$AU$38,28,0)</f>
        <v>0</v>
      </c>
      <c r="V21" s="36">
        <f>VLOOKUP($A21,[24]HISTOJUIL24!$A$6:$AU$38,19,0)</f>
        <v>0</v>
      </c>
      <c r="W21" s="36">
        <f>VLOOKUP($A21,[24]HISTOJUIL24!$A$6:$AU$38,20,0)</f>
        <v>0</v>
      </c>
      <c r="X21" s="36">
        <f>VLOOKUP($A21,[24]HISTOJUIL24!$A$6:$AU$38,27,0)</f>
        <v>0</v>
      </c>
      <c r="Y21" s="36">
        <f>VLOOKUP($A21,[24]HISTOJUIL24!$A$6:$BM$38,33,0)</f>
        <v>0</v>
      </c>
      <c r="Z21" s="36">
        <f>VLOOKUP($A21,[24]HISTOJUIL24!$A$6:$BM$38,65,0)</f>
        <v>0</v>
      </c>
      <c r="AA21" s="36"/>
      <c r="AB21" s="36">
        <f>VLOOKUP($A21,[24]HISTOJUIL24!$A$6:$AU$38,43,0)</f>
        <v>0</v>
      </c>
      <c r="AC21" s="36">
        <f>VLOOKUP($A21,[24]HISTOJUIL24!$A$6:$AU$38,44,0)</f>
        <v>0</v>
      </c>
      <c r="AD21" s="36">
        <f>VLOOKUP($A21,[24]HISTOJUIL24!$A$6:$AU$38,47,0)</f>
        <v>0</v>
      </c>
      <c r="AE21" s="36">
        <f>VLOOKUP(A21,[24]HISTOJUIL24!$A$6:$BB$38,54,0)</f>
        <v>0</v>
      </c>
      <c r="AF21" s="36">
        <f>VLOOKUP($A21,[24]HISTOJUIL24!$A$6:$CA$38,60,0)</f>
        <v>0</v>
      </c>
      <c r="AG21" s="36">
        <f>VLOOKUP($A21,[24]HISTOJUIL24!$A$6:$CA$38,61,0)</f>
        <v>0</v>
      </c>
      <c r="AH21" s="36">
        <f>VLOOKUP($A21,[24]HISTOJUIL24!$A$6:$CA$38,62,0)</f>
        <v>0</v>
      </c>
      <c r="AI21" s="36">
        <f>VLOOKUP($A21,[24]HISTOJUIL24!$A$6:$CA$38,63,0)</f>
        <v>0</v>
      </c>
      <c r="AJ21" s="36">
        <f>VLOOKUP($A21,[24]HISTOJUIL24!$A$6:$CA$38,64,0)</f>
        <v>0</v>
      </c>
      <c r="AK21" s="36">
        <f>VLOOKUP($A21,[24]HISTOJUIL24!$A$6:$CA$38,65,0)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MVTJUIN24!I22-E22+L22</f>
        <v>881738.95952735876</v>
      </c>
      <c r="G22" s="5">
        <f>IF(MVTJUIN24!I22+L22&gt;700000,(MVTJUIN24!I22-E22+L22),0)</f>
        <v>881738.95952735876</v>
      </c>
      <c r="H22" s="36">
        <f t="shared" si="0"/>
        <v>0</v>
      </c>
      <c r="I22" s="6">
        <f t="shared" si="2"/>
        <v>881738.95952735876</v>
      </c>
      <c r="J22" s="36">
        <f>VLOOKUP($A22,[24]HISTOJUIL24!$A$6:$AQ$42,22,0)</f>
        <v>0</v>
      </c>
      <c r="K22" s="36">
        <f>VLOOKUP($A22,[24]HISTOJUIL24!$A$6:$AU$38,45,0)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VLOOKUP($A22,[24]HISTOJUIL24!$A$6:$AU$38,7,0)</f>
        <v>0</v>
      </c>
      <c r="Q22" s="36">
        <f>VLOOKUP($A22,[24]HISTOJUIL24!$A$6:$AU$38,23,0)</f>
        <v>0</v>
      </c>
      <c r="R22" s="36">
        <f>VLOOKUP($A22,[24]HISTOJUIL24!$A$6:$AU$38,46,0)</f>
        <v>0</v>
      </c>
      <c r="S22" s="36">
        <f>VLOOKUP($A22,[24]HISTOJUIL24!$A$6:$AU$38,26,0)</f>
        <v>0</v>
      </c>
      <c r="T22" s="36">
        <f>VLOOKUP($A22,[24]HISTOJUIL24!$A$6:$BG$38,58,0)</f>
        <v>0</v>
      </c>
      <c r="U22" s="36">
        <f>VLOOKUP($A22,[24]HISTOJUIL24!$A$6:$AU$38,28,0)</f>
        <v>0</v>
      </c>
      <c r="V22" s="36">
        <f>VLOOKUP($A22,[24]HISTOJUIL24!$A$6:$AU$38,19,0)</f>
        <v>0</v>
      </c>
      <c r="W22" s="36">
        <f>VLOOKUP($A22,[24]HISTOJUIL24!$A$6:$AU$38,20,0)</f>
        <v>0</v>
      </c>
      <c r="X22" s="36">
        <f>VLOOKUP($A22,[24]HISTOJUIL24!$A$6:$AU$38,27,0)</f>
        <v>0</v>
      </c>
      <c r="Y22" s="36">
        <f>VLOOKUP($A22,[24]HISTOJUIL24!$A$6:$BM$38,33,0)</f>
        <v>0</v>
      </c>
      <c r="Z22" s="36">
        <f>VLOOKUP($A22,[24]HISTOJUIL24!$A$6:$BM$38,65,0)</f>
        <v>0</v>
      </c>
      <c r="AA22" s="36"/>
      <c r="AB22" s="36">
        <f>VLOOKUP($A22,[24]HISTOJUIL24!$A$6:$AU$38,43,0)</f>
        <v>0</v>
      </c>
      <c r="AC22" s="36">
        <f>VLOOKUP($A22,[24]HISTOJUIL24!$A$6:$AU$38,44,0)</f>
        <v>0</v>
      </c>
      <c r="AD22" s="36">
        <f>VLOOKUP($A22,[24]HISTOJUIL24!$A$6:$AU$38,47,0)</f>
        <v>0</v>
      </c>
      <c r="AE22" s="36">
        <f>VLOOKUP(A22,[24]HISTOJUIL24!$A$6:$BB$38,54,0)</f>
        <v>0</v>
      </c>
      <c r="AF22" s="36">
        <f>VLOOKUP($A22,[24]HISTOJUIL24!$A$6:$CA$38,60,0)</f>
        <v>0</v>
      </c>
      <c r="AG22" s="36">
        <f>VLOOKUP($A22,[24]HISTOJUIL24!$A$6:$CA$38,61,0)</f>
        <v>0</v>
      </c>
      <c r="AH22" s="36">
        <f>VLOOKUP($A22,[24]HISTOJUIL24!$A$6:$CA$38,62,0)</f>
        <v>0</v>
      </c>
      <c r="AI22" s="36">
        <f>VLOOKUP($A22,[24]HISTOJUIL24!$A$6:$CA$38,63,0)</f>
        <v>0</v>
      </c>
      <c r="AJ22" s="36">
        <f>VLOOKUP($A22,[24]HISTOJUIL24!$A$6:$CA$38,64,0)</f>
        <v>0</v>
      </c>
      <c r="AK22" s="36">
        <f>VLOOKUP($A22,[24]HISTOJUIL24!$A$6:$CA$38,65,0)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MVTJUIN24!I23-E23+L23</f>
        <v>987674.32467319479</v>
      </c>
      <c r="G23" s="5">
        <f>IF(MVTJUIN24!I23+L23&gt;700000,(MVTJUIN24!I23-E23+L23),0)</f>
        <v>987674.32467319479</v>
      </c>
      <c r="H23" s="36">
        <f t="shared" si="0"/>
        <v>0</v>
      </c>
      <c r="I23" s="6">
        <f t="shared" si="2"/>
        <v>987674.32467319479</v>
      </c>
      <c r="J23" s="36">
        <f>VLOOKUP($A23,[24]HISTOJUIL24!$A$6:$AQ$42,22,0)</f>
        <v>0</v>
      </c>
      <c r="K23" s="36">
        <f>VLOOKUP($A23,[24]HISTOJUIL24!$A$6:$AU$38,45,0)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VLOOKUP($A23,[24]HISTOJUIL24!$A$6:$AU$38,7,0)</f>
        <v>0</v>
      </c>
      <c r="Q23" s="36">
        <f>VLOOKUP($A23,[24]HISTOJUIL24!$A$6:$AU$38,23,0)</f>
        <v>0</v>
      </c>
      <c r="R23" s="36">
        <f>VLOOKUP($A23,[24]HISTOJUIL24!$A$6:$AU$38,46,0)</f>
        <v>0</v>
      </c>
      <c r="S23" s="36">
        <f>VLOOKUP($A23,[24]HISTOJUIL24!$A$6:$AU$38,26,0)</f>
        <v>0</v>
      </c>
      <c r="T23" s="36">
        <f>VLOOKUP($A23,[24]HISTOJUIL24!$A$6:$BG$38,58,0)</f>
        <v>0</v>
      </c>
      <c r="U23" s="36">
        <f>VLOOKUP($A23,[24]HISTOJUIL24!$A$6:$AU$38,28,0)</f>
        <v>0</v>
      </c>
      <c r="V23" s="36">
        <f>VLOOKUP($A23,[24]HISTOJUIL24!$A$6:$AU$38,19,0)</f>
        <v>0</v>
      </c>
      <c r="W23" s="36">
        <f>VLOOKUP($A23,[24]HISTOJUIL24!$A$6:$AU$38,20,0)</f>
        <v>0</v>
      </c>
      <c r="X23" s="36">
        <f>VLOOKUP($A23,[24]HISTOJUIL24!$A$6:$AU$38,27,0)</f>
        <v>0</v>
      </c>
      <c r="Y23" s="36">
        <f>VLOOKUP($A23,[24]HISTOJUIL24!$A$6:$BM$38,33,0)</f>
        <v>0</v>
      </c>
      <c r="Z23" s="36">
        <f>VLOOKUP($A23,[24]HISTOJUIL24!$A$6:$BM$38,65,0)</f>
        <v>0</v>
      </c>
      <c r="AA23" s="36"/>
      <c r="AB23" s="36">
        <f>VLOOKUP($A23,[24]HISTOJUIL24!$A$6:$AU$38,43,0)</f>
        <v>0</v>
      </c>
      <c r="AC23" s="36">
        <f>VLOOKUP($A23,[24]HISTOJUIL24!$A$6:$AU$38,44,0)</f>
        <v>0</v>
      </c>
      <c r="AD23" s="36">
        <f>VLOOKUP($A23,[24]HISTOJUIL24!$A$6:$AU$38,47,0)</f>
        <v>0</v>
      </c>
      <c r="AE23" s="36">
        <f>VLOOKUP(A23,[24]HISTOJUIL24!$A$6:$BB$38,54,0)</f>
        <v>0</v>
      </c>
      <c r="AF23" s="36">
        <f>VLOOKUP($A23,[24]HISTOJUIL24!$A$6:$CA$38,60,0)</f>
        <v>0</v>
      </c>
      <c r="AG23" s="36">
        <f>VLOOKUP($A23,[24]HISTOJUIL24!$A$6:$CA$38,61,0)</f>
        <v>0</v>
      </c>
      <c r="AH23" s="36">
        <f>VLOOKUP($A23,[24]HISTOJUIL24!$A$6:$CA$38,62,0)</f>
        <v>0</v>
      </c>
      <c r="AI23" s="36">
        <f>VLOOKUP($A23,[24]HISTOJUIL24!$A$6:$CA$38,63,0)</f>
        <v>0</v>
      </c>
      <c r="AJ23" s="36">
        <f>VLOOKUP($A23,[24]HISTOJUIL24!$A$6:$CA$38,64,0)</f>
        <v>0</v>
      </c>
      <c r="AK23" s="36">
        <f>VLOOKUP($A23,[24]HISTOJUIL24!$A$6:$CA$38,65,0)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MVTJUIN24!I24-E24+L24</f>
        <v>1160827.8441992993</v>
      </c>
      <c r="G24" s="5">
        <f>IF(MVTJUIN24!I24+L24&gt;700000,(MVTJUIN24!I24-E24+L24),0)</f>
        <v>1160827.8441992993</v>
      </c>
      <c r="H24" s="36">
        <f t="shared" si="0"/>
        <v>0</v>
      </c>
      <c r="I24" s="6">
        <f t="shared" si="2"/>
        <v>1160827.8441992993</v>
      </c>
      <c r="J24" s="36">
        <f>VLOOKUP($A24,[24]HISTOJUIL24!$A$6:$AQ$42,22,0)</f>
        <v>0</v>
      </c>
      <c r="K24" s="36">
        <f>VLOOKUP($A24,[24]HISTOJUIL24!$A$6:$AU$38,45,0)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VLOOKUP($A24,[24]HISTOJUIL24!$A$6:$AU$38,7,0)</f>
        <v>0</v>
      </c>
      <c r="Q24" s="36">
        <f>VLOOKUP($A24,[24]HISTOJUIL24!$A$6:$AU$38,23,0)</f>
        <v>0</v>
      </c>
      <c r="R24" s="36">
        <f>VLOOKUP($A24,[24]HISTOJUIL24!$A$6:$AU$38,46,0)</f>
        <v>0</v>
      </c>
      <c r="S24" s="36">
        <f>VLOOKUP($A24,[24]HISTOJUIL24!$A$6:$AU$38,26,0)</f>
        <v>0</v>
      </c>
      <c r="T24" s="36">
        <f>VLOOKUP($A24,[24]HISTOJUIL24!$A$6:$BG$38,58,0)</f>
        <v>0</v>
      </c>
      <c r="U24" s="36">
        <f>VLOOKUP($A24,[24]HISTOJUIL24!$A$6:$AU$38,28,0)</f>
        <v>0</v>
      </c>
      <c r="V24" s="36">
        <f>VLOOKUP($A24,[24]HISTOJUIL24!$A$6:$AU$38,19,0)</f>
        <v>0</v>
      </c>
      <c r="W24" s="36">
        <f>VLOOKUP($A24,[24]HISTOJUIL24!$A$6:$AU$38,20,0)</f>
        <v>0</v>
      </c>
      <c r="X24" s="36">
        <f>VLOOKUP($A24,[24]HISTOJUIL24!$A$6:$AU$38,27,0)</f>
        <v>0</v>
      </c>
      <c r="Y24" s="36">
        <f>VLOOKUP($A24,[24]HISTOJUIL24!$A$6:$BM$38,33,0)</f>
        <v>0</v>
      </c>
      <c r="Z24" s="36">
        <f>VLOOKUP($A24,[24]HISTOJUIL24!$A$6:$BM$38,65,0)</f>
        <v>0</v>
      </c>
      <c r="AA24" s="36"/>
      <c r="AB24" s="36">
        <f>VLOOKUP($A24,[24]HISTOJUIL24!$A$6:$AU$38,43,0)</f>
        <v>0</v>
      </c>
      <c r="AC24" s="36">
        <f>VLOOKUP($A24,[24]HISTOJUIL24!$A$6:$AU$38,44,0)</f>
        <v>0</v>
      </c>
      <c r="AD24" s="36">
        <f>VLOOKUP($A24,[24]HISTOJUIL24!$A$6:$AU$38,47,0)</f>
        <v>0</v>
      </c>
      <c r="AE24" s="36">
        <f>VLOOKUP(A24,[24]HISTOJUIL24!$A$6:$BB$38,54,0)</f>
        <v>0</v>
      </c>
      <c r="AF24" s="36">
        <f>VLOOKUP($A24,[24]HISTOJUIL24!$A$6:$CA$38,60,0)</f>
        <v>0</v>
      </c>
      <c r="AG24" s="36">
        <f>VLOOKUP($A24,[24]HISTOJUIL24!$A$6:$CA$38,61,0)</f>
        <v>0</v>
      </c>
      <c r="AH24" s="36">
        <f>VLOOKUP($A24,[24]HISTOJUIL24!$A$6:$CA$38,62,0)</f>
        <v>0</v>
      </c>
      <c r="AI24" s="36">
        <f>VLOOKUP($A24,[24]HISTOJUIL24!$A$6:$CA$38,63,0)</f>
        <v>0</v>
      </c>
      <c r="AJ24" s="36">
        <f>VLOOKUP($A24,[24]HISTOJUIL24!$A$6:$CA$38,64,0)</f>
        <v>0</v>
      </c>
      <c r="AK24" s="36">
        <f>VLOOKUP($A24,[24]HISTOJUIL24!$A$6:$CA$38,65,0)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MVTJUIN24!I25-E25+L25</f>
        <v>972141.79504321574</v>
      </c>
      <c r="G25" s="5">
        <f>IF(MVTJUIN24!I25+L25&gt;700000,(MVTJUIN24!I25-E25+L25),0)</f>
        <v>972141.79504321574</v>
      </c>
      <c r="H25" s="36">
        <f t="shared" si="0"/>
        <v>0</v>
      </c>
      <c r="I25" s="6">
        <f t="shared" si="2"/>
        <v>972141.79504321574</v>
      </c>
      <c r="J25" s="36">
        <f>VLOOKUP($A25,[24]HISTOJUIL24!$A$6:$AQ$42,22,0)</f>
        <v>0</v>
      </c>
      <c r="K25" s="36">
        <f>VLOOKUP($A25,[24]HISTOJUIL24!$A$6:$AU$38,45,0)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VLOOKUP($A25,[24]HISTOJUIL24!$A$6:$AU$38,7,0)</f>
        <v>3000</v>
      </c>
      <c r="Q25" s="36">
        <f>VLOOKUP($A25,[24]HISTOJUIL24!$A$6:$AU$38,23,0)</f>
        <v>0</v>
      </c>
      <c r="R25" s="36">
        <f>VLOOKUP($A25,[24]HISTOJUIL24!$A$6:$AU$38,46,0)</f>
        <v>0</v>
      </c>
      <c r="S25" s="36">
        <f>VLOOKUP($A25,[24]HISTOJUIL24!$A$6:$AU$38,26,0)</f>
        <v>0</v>
      </c>
      <c r="T25" s="36">
        <f>VLOOKUP($A25,[24]HISTOJUIL24!$A$6:$BG$38,58,0)</f>
        <v>0</v>
      </c>
      <c r="U25" s="36">
        <f>VLOOKUP($A25,[24]HISTOJUIL24!$A$6:$AU$38,28,0)</f>
        <v>0</v>
      </c>
      <c r="V25" s="36">
        <f>VLOOKUP($A25,[24]HISTOJUIL24!$A$6:$AU$38,19,0)</f>
        <v>0</v>
      </c>
      <c r="W25" s="36">
        <f>VLOOKUP($A25,[24]HISTOJUIL24!$A$6:$AU$38,20,0)</f>
        <v>0</v>
      </c>
      <c r="X25" s="36">
        <f>VLOOKUP($A25,[24]HISTOJUIL24!$A$6:$AU$38,27,0)</f>
        <v>0</v>
      </c>
      <c r="Y25" s="36">
        <f>VLOOKUP($A25,[24]HISTOJUIL24!$A$6:$BM$38,33,0)</f>
        <v>0</v>
      </c>
      <c r="Z25" s="36">
        <f>VLOOKUP($A25,[24]HISTOJUIL24!$A$6:$BM$38,65,0)</f>
        <v>0</v>
      </c>
      <c r="AA25" s="36"/>
      <c r="AB25" s="36">
        <f>VLOOKUP($A25,[24]HISTOJUIL24!$A$6:$AU$38,43,0)</f>
        <v>0</v>
      </c>
      <c r="AC25" s="36">
        <f>VLOOKUP($A25,[24]HISTOJUIL24!$A$6:$AU$38,44,0)</f>
        <v>0</v>
      </c>
      <c r="AD25" s="36">
        <f>VLOOKUP($A25,[24]HISTOJUIL24!$A$6:$AU$38,47,0)</f>
        <v>0</v>
      </c>
      <c r="AE25" s="36">
        <f>VLOOKUP(A25,[24]HISTOJUIL24!$A$6:$BB$38,54,0)</f>
        <v>0</v>
      </c>
      <c r="AF25" s="36">
        <f>VLOOKUP($A25,[24]HISTOJUIL24!$A$6:$CA$38,60,0)</f>
        <v>0</v>
      </c>
      <c r="AG25" s="36">
        <f>VLOOKUP($A25,[24]HISTOJUIL24!$A$6:$CA$38,61,0)</f>
        <v>0</v>
      </c>
      <c r="AH25" s="36">
        <f>VLOOKUP($A25,[24]HISTOJUIL24!$A$6:$CA$38,62,0)</f>
        <v>0</v>
      </c>
      <c r="AI25" s="36">
        <f>VLOOKUP($A25,[24]HISTOJUIL24!$A$6:$CA$38,63,0)</f>
        <v>0</v>
      </c>
      <c r="AJ25" s="36">
        <f>VLOOKUP($A25,[24]HISTOJUIL24!$A$6:$CA$38,64,0)</f>
        <v>0</v>
      </c>
      <c r="AK25" s="36">
        <f>VLOOKUP($A25,[24]HISTOJUIL24!$A$6:$CA$38,65,0)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MVTJUIN24!I26-E26+L26</f>
        <v>900266.46813543816</v>
      </c>
      <c r="G26" s="5">
        <f>IF(MVTJUIN24!I26+L26&gt;700000,(MVTJUIN24!I26-E26+L26),0)</f>
        <v>900266.46813543816</v>
      </c>
      <c r="H26" s="36">
        <f t="shared" si="0"/>
        <v>0</v>
      </c>
      <c r="I26" s="6">
        <f t="shared" si="2"/>
        <v>900266.46813543816</v>
      </c>
      <c r="J26" s="36">
        <f>VLOOKUP($A26,[24]HISTOJUIL24!$A$6:$AQ$42,22,0)</f>
        <v>0</v>
      </c>
      <c r="K26" s="36">
        <f>VLOOKUP($A26,[24]HISTOJUIL24!$A$6:$AU$38,45,0)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VLOOKUP($A26,[24]HISTOJUIL24!$A$6:$AU$38,7,0)</f>
        <v>0</v>
      </c>
      <c r="Q26" s="36">
        <f>VLOOKUP($A26,[24]HISTOJUIL24!$A$6:$AU$38,23,0)</f>
        <v>0</v>
      </c>
      <c r="R26" s="36">
        <f>VLOOKUP($A26,[24]HISTOJUIL24!$A$6:$AU$38,46,0)</f>
        <v>0</v>
      </c>
      <c r="S26" s="36">
        <f>VLOOKUP($A26,[24]HISTOJUIL24!$A$6:$AU$38,26,0)</f>
        <v>0</v>
      </c>
      <c r="T26" s="36">
        <f>VLOOKUP($A26,[24]HISTOJUIL24!$A$6:$BG$38,58,0)</f>
        <v>0</v>
      </c>
      <c r="U26" s="36">
        <f>VLOOKUP($A26,[24]HISTOJUIL24!$A$6:$AU$38,28,0)</f>
        <v>0</v>
      </c>
      <c r="V26" s="36">
        <f>VLOOKUP($A26,[24]HISTOJUIL24!$A$6:$AU$38,19,0)</f>
        <v>0</v>
      </c>
      <c r="W26" s="36">
        <f>VLOOKUP($A26,[24]HISTOJUIL24!$A$6:$AU$38,20,0)</f>
        <v>0</v>
      </c>
      <c r="X26" s="36">
        <f>VLOOKUP($A26,[24]HISTOJUIL24!$A$6:$AU$38,27,0)</f>
        <v>0</v>
      </c>
      <c r="Y26" s="36">
        <f>VLOOKUP($A26,[24]HISTOJUIL24!$A$6:$BM$38,33,0)</f>
        <v>0</v>
      </c>
      <c r="Z26" s="36">
        <f>VLOOKUP($A26,[24]HISTOJUIL24!$A$6:$BM$38,65,0)</f>
        <v>0</v>
      </c>
      <c r="AA26" s="36"/>
      <c r="AB26" s="36">
        <f>VLOOKUP($A26,[24]HISTOJUIL24!$A$6:$AU$38,43,0)</f>
        <v>0</v>
      </c>
      <c r="AC26" s="36">
        <f>VLOOKUP($A26,[24]HISTOJUIL24!$A$6:$AU$38,44,0)</f>
        <v>0</v>
      </c>
      <c r="AD26" s="36">
        <f>VLOOKUP($A26,[24]HISTOJUIL24!$A$6:$AU$38,47,0)</f>
        <v>0</v>
      </c>
      <c r="AE26" s="36">
        <f>VLOOKUP(A26,[24]HISTOJUIL24!$A$6:$BB$38,54,0)</f>
        <v>0</v>
      </c>
      <c r="AF26" s="36">
        <f>VLOOKUP($A26,[24]HISTOJUIL24!$A$6:$CA$38,60,0)</f>
        <v>0</v>
      </c>
      <c r="AG26" s="36">
        <f>VLOOKUP($A26,[24]HISTOJUIL24!$A$6:$CA$38,61,0)</f>
        <v>0</v>
      </c>
      <c r="AH26" s="36">
        <f>VLOOKUP($A26,[24]HISTOJUIL24!$A$6:$CA$38,62,0)</f>
        <v>0</v>
      </c>
      <c r="AI26" s="36">
        <f>VLOOKUP($A26,[24]HISTOJUIL24!$A$6:$CA$38,63,0)</f>
        <v>0</v>
      </c>
      <c r="AJ26" s="36">
        <f>VLOOKUP($A26,[24]HISTOJUIL24!$A$6:$CA$38,64,0)</f>
        <v>0</v>
      </c>
      <c r="AK26" s="36">
        <f>VLOOKUP($A26,[24]HISTOJUIL24!$A$6:$CA$38,65,0)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MVTJUIN24!I27-E27+L27</f>
        <v>900824.17371512204</v>
      </c>
      <c r="G27" s="5">
        <f>IF(MVTJUIN24!I27+L27&gt;700000,(MVTJUIN24!I27-E27+L27),0)</f>
        <v>900824.17371512204</v>
      </c>
      <c r="H27" s="36">
        <f t="shared" si="0"/>
        <v>0</v>
      </c>
      <c r="I27" s="6">
        <f t="shared" si="2"/>
        <v>900824.17371512204</v>
      </c>
      <c r="J27" s="36">
        <f>VLOOKUP($A27,[24]HISTOJUIL24!$A$6:$AQ$42,22,0)</f>
        <v>0</v>
      </c>
      <c r="K27" s="36">
        <f>VLOOKUP($A27,[24]HISTOJUIL24!$A$6:$AU$38,45,0)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VLOOKUP($A27,[24]HISTOJUIL24!$A$6:$AU$38,7,0)</f>
        <v>0</v>
      </c>
      <c r="Q27" s="36">
        <f>VLOOKUP($A27,[24]HISTOJUIL24!$A$6:$AU$38,23,0)</f>
        <v>0</v>
      </c>
      <c r="R27" s="36">
        <f>VLOOKUP($A27,[24]HISTOJUIL24!$A$6:$AU$38,46,0)</f>
        <v>0</v>
      </c>
      <c r="S27" s="36">
        <f>VLOOKUP($A27,[24]HISTOJUIL24!$A$6:$AU$38,26,0)</f>
        <v>0</v>
      </c>
      <c r="T27" s="36">
        <f>VLOOKUP($A27,[24]HISTOJUIL24!$A$6:$BG$38,58,0)</f>
        <v>0</v>
      </c>
      <c r="U27" s="36">
        <f>VLOOKUP($A27,[24]HISTOJUIL24!$A$6:$AU$38,28,0)</f>
        <v>0</v>
      </c>
      <c r="V27" s="36">
        <f>VLOOKUP($A27,[24]HISTOJUIL24!$A$6:$AU$38,19,0)</f>
        <v>0</v>
      </c>
      <c r="W27" s="36">
        <f>VLOOKUP($A27,[24]HISTOJUIL24!$A$6:$AU$38,20,0)</f>
        <v>0</v>
      </c>
      <c r="X27" s="36">
        <f>VLOOKUP($A27,[24]HISTOJUIL24!$A$6:$AU$38,27,0)</f>
        <v>0</v>
      </c>
      <c r="Y27" s="36">
        <f>VLOOKUP($A27,[24]HISTOJUIL24!$A$6:$BM$38,33,0)</f>
        <v>0</v>
      </c>
      <c r="Z27" s="36">
        <f>VLOOKUP($A27,[24]HISTOJUIL24!$A$6:$BM$38,65,0)</f>
        <v>0</v>
      </c>
      <c r="AA27" s="36"/>
      <c r="AB27" s="36">
        <f>VLOOKUP($A27,[24]HISTOJUIL24!$A$6:$AU$38,43,0)</f>
        <v>0</v>
      </c>
      <c r="AC27" s="36">
        <f>VLOOKUP($A27,[24]HISTOJUIL24!$A$6:$AU$38,44,0)</f>
        <v>0</v>
      </c>
      <c r="AD27" s="36">
        <f>VLOOKUP($A27,[24]HISTOJUIL24!$A$6:$AU$38,47,0)</f>
        <v>0</v>
      </c>
      <c r="AE27" s="36">
        <f>VLOOKUP(A27,[24]HISTOJUIL24!$A$6:$BB$38,54,0)</f>
        <v>0</v>
      </c>
      <c r="AF27" s="36">
        <f>VLOOKUP($A27,[24]HISTOJUIL24!$A$6:$CA$38,60,0)</f>
        <v>0</v>
      </c>
      <c r="AG27" s="36">
        <f>VLOOKUP($A27,[24]HISTOJUIL24!$A$6:$CA$38,61,0)</f>
        <v>0</v>
      </c>
      <c r="AH27" s="36">
        <f>VLOOKUP($A27,[24]HISTOJUIL24!$A$6:$CA$38,62,0)</f>
        <v>0</v>
      </c>
      <c r="AI27" s="36">
        <f>VLOOKUP($A27,[24]HISTOJUIL24!$A$6:$CA$38,63,0)</f>
        <v>0</v>
      </c>
      <c r="AJ27" s="36">
        <f>VLOOKUP($A27,[24]HISTOJUIL24!$A$6:$CA$38,64,0)</f>
        <v>0</v>
      </c>
      <c r="AK27" s="36">
        <f>VLOOKUP($A27,[24]HISTOJUIL24!$A$6:$CA$38,65,0)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MVTJUIN24!I28-E28+L28</f>
        <v>802176.12513194664</v>
      </c>
      <c r="G28" s="5">
        <f>IF(MVTJUIN24!I28+L28&gt;700000,(MVTJUIN24!I28-E28+L28),0)</f>
        <v>802176.12513194664</v>
      </c>
      <c r="H28" s="36">
        <f t="shared" si="0"/>
        <v>0</v>
      </c>
      <c r="I28" s="6">
        <f t="shared" si="2"/>
        <v>802176.12513194664</v>
      </c>
      <c r="J28" s="36">
        <f>VLOOKUP($A28,[24]HISTOJUIL24!$A$6:$AQ$42,22,0)</f>
        <v>0</v>
      </c>
      <c r="K28" s="36">
        <f>VLOOKUP($A28,[24]HISTOJUIL24!$A$6:$AU$38,45,0)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VLOOKUP($A28,[24]HISTOJUIL24!$A$6:$AU$38,7,0)</f>
        <v>0</v>
      </c>
      <c r="Q28" s="36">
        <f>VLOOKUP($A28,[24]HISTOJUIL24!$A$6:$AU$38,23,0)</f>
        <v>0</v>
      </c>
      <c r="R28" s="36">
        <f>VLOOKUP($A28,[24]HISTOJUIL24!$A$6:$AU$38,46,0)</f>
        <v>0</v>
      </c>
      <c r="S28" s="36">
        <f>VLOOKUP($A28,[24]HISTOJUIL24!$A$6:$AU$38,26,0)</f>
        <v>0</v>
      </c>
      <c r="T28" s="36">
        <f>VLOOKUP($A28,[24]HISTOJUIL24!$A$6:$BG$38,58,0)</f>
        <v>0</v>
      </c>
      <c r="U28" s="36">
        <f>VLOOKUP($A28,[24]HISTOJUIL24!$A$6:$AU$38,28,0)</f>
        <v>0</v>
      </c>
      <c r="V28" s="36">
        <f>VLOOKUP($A28,[24]HISTOJUIL24!$A$6:$AU$38,19,0)</f>
        <v>0</v>
      </c>
      <c r="W28" s="36">
        <f>VLOOKUP($A28,[24]HISTOJUIL24!$A$6:$AU$38,20,0)</f>
        <v>0</v>
      </c>
      <c r="X28" s="36">
        <f>VLOOKUP($A28,[24]HISTOJUIL24!$A$6:$AU$38,27,0)</f>
        <v>0</v>
      </c>
      <c r="Y28" s="36">
        <f>VLOOKUP($A28,[24]HISTOJUIL24!$A$6:$BM$38,33,0)</f>
        <v>0</v>
      </c>
      <c r="Z28" s="36">
        <f>VLOOKUP($A28,[24]HISTOJUIL24!$A$6:$BM$38,65,0)</f>
        <v>0</v>
      </c>
      <c r="AA28" s="36"/>
      <c r="AB28" s="36">
        <f>VLOOKUP($A28,[24]HISTOJUIL24!$A$6:$AU$38,43,0)</f>
        <v>0</v>
      </c>
      <c r="AC28" s="36">
        <f>VLOOKUP($A28,[24]HISTOJUIL24!$A$6:$AU$38,44,0)</f>
        <v>0</v>
      </c>
      <c r="AD28" s="36">
        <f>VLOOKUP($A28,[24]HISTOJUIL24!$A$6:$AU$38,47,0)</f>
        <v>0</v>
      </c>
      <c r="AE28" s="36">
        <f>VLOOKUP(A28,[24]HISTOJUIL24!$A$6:$BB$38,54,0)</f>
        <v>0</v>
      </c>
      <c r="AF28" s="36">
        <f>VLOOKUP($A28,[24]HISTOJUIL24!$A$6:$CA$38,60,0)</f>
        <v>0</v>
      </c>
      <c r="AG28" s="36">
        <f>VLOOKUP($A28,[24]HISTOJUIL24!$A$6:$CA$38,61,0)</f>
        <v>0</v>
      </c>
      <c r="AH28" s="36">
        <f>VLOOKUP($A28,[24]HISTOJUIL24!$A$6:$CA$38,62,0)</f>
        <v>0</v>
      </c>
      <c r="AI28" s="36">
        <f>VLOOKUP($A28,[24]HISTOJUIL24!$A$6:$CA$38,63,0)</f>
        <v>0</v>
      </c>
      <c r="AJ28" s="36">
        <f>VLOOKUP($A28,[24]HISTOJUIL24!$A$6:$CA$38,64,0)</f>
        <v>0</v>
      </c>
      <c r="AK28" s="36">
        <f>VLOOKUP($A28,[24]HISTOJUIL24!$A$6:$CA$38,65,0)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MVTJUIN24!I29-E29+L29</f>
        <v>927151.34423741512</v>
      </c>
      <c r="G29" s="5">
        <f>IF(MVTJUIN24!I29+L29&gt;700000,(MVTJUIN24!I29-E29+L29),0)</f>
        <v>927151.34423741512</v>
      </c>
      <c r="H29" s="36">
        <f t="shared" si="0"/>
        <v>0</v>
      </c>
      <c r="I29" s="6">
        <f t="shared" si="2"/>
        <v>927151.34423741512</v>
      </c>
      <c r="J29" s="36">
        <f>VLOOKUP($A29,[24]HISTOJUIL24!$A$6:$AQ$42,22,0)</f>
        <v>0</v>
      </c>
      <c r="K29" s="36">
        <f>VLOOKUP($A29,[24]HISTOJUIL24!$A$6:$AU$38,45,0)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VLOOKUP($A29,[24]HISTOJUIL24!$A$6:$AU$38,7,0)</f>
        <v>0</v>
      </c>
      <c r="Q29" s="36">
        <f>VLOOKUP($A29,[24]HISTOJUIL24!$A$6:$AU$38,23,0)</f>
        <v>0</v>
      </c>
      <c r="R29" s="36">
        <f>VLOOKUP($A29,[24]HISTOJUIL24!$A$6:$AU$38,46,0)</f>
        <v>0</v>
      </c>
      <c r="S29" s="36">
        <f>VLOOKUP($A29,[24]HISTOJUIL24!$A$6:$AU$38,26,0)</f>
        <v>0</v>
      </c>
      <c r="T29" s="36">
        <f>VLOOKUP($A29,[24]HISTOJUIL24!$A$6:$BG$38,58,0)</f>
        <v>0</v>
      </c>
      <c r="U29" s="36">
        <f>VLOOKUP($A29,[24]HISTOJUIL24!$A$6:$AU$38,28,0)</f>
        <v>0</v>
      </c>
      <c r="V29" s="36">
        <f>VLOOKUP($A29,[24]HISTOJUIL24!$A$6:$AU$38,19,0)</f>
        <v>0</v>
      </c>
      <c r="W29" s="36">
        <f>VLOOKUP($A29,[24]HISTOJUIL24!$A$6:$AU$38,20,0)</f>
        <v>0</v>
      </c>
      <c r="X29" s="36">
        <f>VLOOKUP($A29,[24]HISTOJUIL24!$A$6:$AU$38,27,0)</f>
        <v>0</v>
      </c>
      <c r="Y29" s="36">
        <f>VLOOKUP($A29,[24]HISTOJUIL24!$A$6:$BM$38,33,0)</f>
        <v>0</v>
      </c>
      <c r="Z29" s="36">
        <f>VLOOKUP($A29,[24]HISTOJUIL24!$A$6:$BM$38,65,0)</f>
        <v>0</v>
      </c>
      <c r="AA29" s="36"/>
      <c r="AB29" s="36">
        <f>VLOOKUP($A29,[24]HISTOJUIL24!$A$6:$AU$38,43,0)</f>
        <v>0</v>
      </c>
      <c r="AC29" s="36">
        <f>VLOOKUP($A29,[24]HISTOJUIL24!$A$6:$AU$38,44,0)</f>
        <v>0</v>
      </c>
      <c r="AD29" s="36">
        <f>VLOOKUP($A29,[24]HISTOJUIL24!$A$6:$AU$38,47,0)</f>
        <v>0</v>
      </c>
      <c r="AE29" s="36">
        <f>VLOOKUP(A29,[24]HISTOJUIL24!$A$6:$BB$38,54,0)</f>
        <v>0</v>
      </c>
      <c r="AF29" s="36">
        <f>VLOOKUP($A29,[24]HISTOJUIL24!$A$6:$CA$38,60,0)</f>
        <v>0</v>
      </c>
      <c r="AG29" s="36">
        <f>VLOOKUP($A29,[24]HISTOJUIL24!$A$6:$CA$38,61,0)</f>
        <v>0</v>
      </c>
      <c r="AH29" s="36">
        <f>VLOOKUP($A29,[24]HISTOJUIL24!$A$6:$CA$38,62,0)</f>
        <v>0</v>
      </c>
      <c r="AI29" s="36">
        <f>VLOOKUP($A29,[24]HISTOJUIL24!$A$6:$CA$38,63,0)</f>
        <v>0</v>
      </c>
      <c r="AJ29" s="36">
        <f>VLOOKUP($A29,[24]HISTOJUIL24!$A$6:$CA$38,64,0)</f>
        <v>0</v>
      </c>
      <c r="AK29" s="36">
        <f>VLOOKUP($A29,[24]HISTOJUIL24!$A$6:$CA$38,65,0)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MVTJUIN24!I30-E30+L30</f>
        <v>831786.81046782702</v>
      </c>
      <c r="G30" s="5">
        <f>IF(MVTJUIN24!I30+L30&gt;700000,(MVTJUIN24!I30-E30+L30),0)</f>
        <v>831786.81046782702</v>
      </c>
      <c r="H30" s="36">
        <f t="shared" si="0"/>
        <v>0</v>
      </c>
      <c r="I30" s="6">
        <f t="shared" si="2"/>
        <v>831786.81046782702</v>
      </c>
      <c r="J30" s="36">
        <f>VLOOKUP($A30,[24]HISTOJUIL24!$A$6:$AQ$42,22,0)</f>
        <v>0</v>
      </c>
      <c r="K30" s="36">
        <f>VLOOKUP($A30,[24]HISTOJUIL24!$A$6:$AU$38,45,0)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VLOOKUP($A30,[24]HISTOJUIL24!$A$6:$AU$38,7,0)</f>
        <v>0</v>
      </c>
      <c r="Q30" s="36">
        <f>VLOOKUP($A30,[24]HISTOJUIL24!$A$6:$AU$38,23,0)</f>
        <v>0</v>
      </c>
      <c r="R30" s="36">
        <f>VLOOKUP($A30,[24]HISTOJUIL24!$A$6:$AU$38,46,0)</f>
        <v>0</v>
      </c>
      <c r="S30" s="36">
        <f>VLOOKUP($A30,[24]HISTOJUIL24!$A$6:$AU$38,26,0)</f>
        <v>0</v>
      </c>
      <c r="T30" s="36">
        <f>VLOOKUP($A30,[24]HISTOJUIL24!$A$6:$BG$38,58,0)</f>
        <v>0</v>
      </c>
      <c r="U30" s="36">
        <f>VLOOKUP($A30,[24]HISTOJUIL24!$A$6:$AU$38,28,0)</f>
        <v>0</v>
      </c>
      <c r="V30" s="36">
        <f>VLOOKUP($A30,[24]HISTOJUIL24!$A$6:$AU$38,19,0)</f>
        <v>0</v>
      </c>
      <c r="W30" s="36">
        <f>VLOOKUP($A30,[24]HISTOJUIL24!$A$6:$AU$38,20,0)</f>
        <v>0</v>
      </c>
      <c r="X30" s="36">
        <f>VLOOKUP($A30,[24]HISTOJUIL24!$A$6:$AU$38,27,0)</f>
        <v>0</v>
      </c>
      <c r="Y30" s="36">
        <f>VLOOKUP($A30,[24]HISTOJUIL24!$A$6:$BM$38,33,0)</f>
        <v>0</v>
      </c>
      <c r="Z30" s="36">
        <f>VLOOKUP($A30,[24]HISTOJUIL24!$A$6:$BM$38,65,0)</f>
        <v>0</v>
      </c>
      <c r="AA30" s="36"/>
      <c r="AB30" s="36">
        <f>VLOOKUP($A30,[24]HISTOJUIL24!$A$6:$AU$38,43,0)</f>
        <v>0</v>
      </c>
      <c r="AC30" s="36">
        <f>VLOOKUP($A30,[24]HISTOJUIL24!$A$6:$AU$38,44,0)</f>
        <v>0</v>
      </c>
      <c r="AD30" s="36">
        <f>VLOOKUP($A30,[24]HISTOJUIL24!$A$6:$AU$38,47,0)</f>
        <v>0</v>
      </c>
      <c r="AE30" s="36">
        <f>VLOOKUP(A30,[24]HISTOJUIL24!$A$6:$BB$38,54,0)</f>
        <v>0</v>
      </c>
      <c r="AF30" s="36">
        <f>VLOOKUP($A30,[24]HISTOJUIL24!$A$6:$CA$38,60,0)</f>
        <v>0</v>
      </c>
      <c r="AG30" s="36">
        <f>VLOOKUP($A30,[24]HISTOJUIL24!$A$6:$CA$38,61,0)</f>
        <v>0</v>
      </c>
      <c r="AH30" s="36">
        <f>VLOOKUP($A30,[24]HISTOJUIL24!$A$6:$CA$38,62,0)</f>
        <v>0</v>
      </c>
      <c r="AI30" s="36">
        <f>VLOOKUP($A30,[24]HISTOJUIL24!$A$6:$CA$38,63,0)</f>
        <v>0</v>
      </c>
      <c r="AJ30" s="36">
        <f>VLOOKUP($A30,[24]HISTOJUIL24!$A$6:$CA$38,64,0)</f>
        <v>0</v>
      </c>
      <c r="AK30" s="36">
        <f>VLOOKUP($A30,[24]HISTOJUIL24!$A$6:$CA$38,65,0)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MVTJUIN24!I31-E31+L31</f>
        <v>991903.03114813485</v>
      </c>
      <c r="G31" s="5">
        <f>IF(MVTJUIN24!I31+L31&gt;700000,(MVTJUIN24!I31-E31+L31),0)</f>
        <v>991903.03114813485</v>
      </c>
      <c r="H31" s="36">
        <f t="shared" si="0"/>
        <v>0</v>
      </c>
      <c r="I31" s="6">
        <f t="shared" si="2"/>
        <v>991903.03114813485</v>
      </c>
      <c r="J31" s="36">
        <f>VLOOKUP($A31,[24]HISTOJUIL24!$A$6:$AQ$42,22,0)</f>
        <v>0</v>
      </c>
      <c r="K31" s="36">
        <f>VLOOKUP($A31,[24]HISTOJUIL24!$A$6:$AU$38,45,0)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VLOOKUP($A31,[24]HISTOJUIL24!$A$6:$AU$38,7,0)</f>
        <v>0</v>
      </c>
      <c r="Q31" s="36">
        <f>VLOOKUP($A31,[24]HISTOJUIL24!$A$6:$AU$38,23,0)</f>
        <v>0</v>
      </c>
      <c r="R31" s="36">
        <f>VLOOKUP($A31,[24]HISTOJUIL24!$A$6:$AU$38,46,0)</f>
        <v>0</v>
      </c>
      <c r="S31" s="36">
        <f>VLOOKUP($A31,[24]HISTOJUIL24!$A$6:$AU$38,26,0)</f>
        <v>0</v>
      </c>
      <c r="T31" s="36">
        <f>VLOOKUP($A31,[24]HISTOJUIL24!$A$6:$BG$38,58,0)</f>
        <v>0</v>
      </c>
      <c r="U31" s="36">
        <f>VLOOKUP($A31,[24]HISTOJUIL24!$A$6:$AU$38,28,0)</f>
        <v>0</v>
      </c>
      <c r="V31" s="36">
        <f>VLOOKUP($A31,[24]HISTOJUIL24!$A$6:$AU$38,19,0)</f>
        <v>0</v>
      </c>
      <c r="W31" s="36">
        <f>VLOOKUP($A31,[24]HISTOJUIL24!$A$6:$AU$38,20,0)</f>
        <v>0</v>
      </c>
      <c r="X31" s="36">
        <f>VLOOKUP($A31,[24]HISTOJUIL24!$A$6:$AU$38,27,0)</f>
        <v>0</v>
      </c>
      <c r="Y31" s="36">
        <f>VLOOKUP($A31,[24]HISTOJUIL24!$A$6:$BM$38,33,0)</f>
        <v>0</v>
      </c>
      <c r="Z31" s="36">
        <f>VLOOKUP($A31,[24]HISTOJUIL24!$A$6:$BM$38,65,0)</f>
        <v>0</v>
      </c>
      <c r="AA31" s="36"/>
      <c r="AB31" s="36">
        <f>VLOOKUP($A31,[24]HISTOJUIL24!$A$6:$AU$38,43,0)</f>
        <v>0</v>
      </c>
      <c r="AC31" s="36">
        <f>VLOOKUP($A31,[24]HISTOJUIL24!$A$6:$AU$38,44,0)</f>
        <v>0</v>
      </c>
      <c r="AD31" s="36">
        <f>VLOOKUP($A31,[24]HISTOJUIL24!$A$6:$AU$38,47,0)</f>
        <v>0</v>
      </c>
      <c r="AE31" s="36">
        <f>VLOOKUP(A31,[24]HISTOJUIL24!$A$6:$BB$38,54,0)</f>
        <v>0</v>
      </c>
      <c r="AF31" s="36">
        <f>VLOOKUP($A31,[24]HISTOJUIL24!$A$6:$CA$38,60,0)</f>
        <v>0</v>
      </c>
      <c r="AG31" s="36">
        <f>VLOOKUP($A31,[24]HISTOJUIL24!$A$6:$CA$38,61,0)</f>
        <v>0</v>
      </c>
      <c r="AH31" s="36">
        <f>VLOOKUP($A31,[24]HISTOJUIL24!$A$6:$CA$38,62,0)</f>
        <v>0</v>
      </c>
      <c r="AI31" s="36">
        <f>VLOOKUP($A31,[24]HISTOJUIL24!$A$6:$CA$38,63,0)</f>
        <v>0</v>
      </c>
      <c r="AJ31" s="36">
        <f>VLOOKUP($A31,[24]HISTOJUIL24!$A$6:$CA$38,64,0)</f>
        <v>0</v>
      </c>
      <c r="AK31" s="36">
        <f>VLOOKUP($A31,[24]HISTOJUIL24!$A$6:$CA$38,65,0)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MVTJUIN24!I32-E32+L32</f>
        <v>881243.98131057119</v>
      </c>
      <c r="G32" s="5">
        <f>IF(MVTJUIN24!I32+L32&gt;700000,(MVTJUIN24!I32-E32+L32),0)</f>
        <v>881243.98131057119</v>
      </c>
      <c r="H32" s="36">
        <f t="shared" si="0"/>
        <v>0</v>
      </c>
      <c r="I32" s="6">
        <f t="shared" si="2"/>
        <v>881243.98131057119</v>
      </c>
      <c r="J32" s="36">
        <f>VLOOKUP($A32,[24]HISTOJUIL24!$A$6:$AQ$42,22,0)</f>
        <v>0</v>
      </c>
      <c r="K32" s="36">
        <f>VLOOKUP($A32,[24]HISTOJUIL24!$A$6:$AU$38,45,0)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VLOOKUP($A32,[24]HISTOJUIL24!$A$6:$AU$38,7,0)</f>
        <v>0</v>
      </c>
      <c r="Q32" s="36">
        <f>VLOOKUP($A32,[24]HISTOJUIL24!$A$6:$AU$38,23,0)</f>
        <v>0</v>
      </c>
      <c r="R32" s="36">
        <f>VLOOKUP($A32,[24]HISTOJUIL24!$A$6:$AU$38,46,0)</f>
        <v>0</v>
      </c>
      <c r="S32" s="36">
        <f>VLOOKUP($A32,[24]HISTOJUIL24!$A$6:$AU$38,26,0)</f>
        <v>0</v>
      </c>
      <c r="T32" s="36">
        <f>VLOOKUP($A32,[24]HISTOJUIL24!$A$6:$BG$38,58,0)</f>
        <v>0</v>
      </c>
      <c r="U32" s="36">
        <f>VLOOKUP($A32,[24]HISTOJUIL24!$A$6:$AU$38,28,0)</f>
        <v>0</v>
      </c>
      <c r="V32" s="36">
        <f>VLOOKUP($A32,[24]HISTOJUIL24!$A$6:$AU$38,19,0)</f>
        <v>0</v>
      </c>
      <c r="W32" s="36">
        <f>VLOOKUP($A32,[24]HISTOJUIL24!$A$6:$AU$38,20,0)</f>
        <v>0</v>
      </c>
      <c r="X32" s="36">
        <f>VLOOKUP($A32,[24]HISTOJUIL24!$A$6:$AU$38,27,0)</f>
        <v>0</v>
      </c>
      <c r="Y32" s="36">
        <f>VLOOKUP($A32,[24]HISTOJUIL24!$A$6:$BM$38,33,0)</f>
        <v>0</v>
      </c>
      <c r="Z32" s="36">
        <f>VLOOKUP($A32,[24]HISTOJUIL24!$A$6:$BM$38,65,0)</f>
        <v>0</v>
      </c>
      <c r="AA32" s="36"/>
      <c r="AB32" s="36">
        <f>VLOOKUP($A32,[24]HISTOJUIL24!$A$6:$AU$38,43,0)</f>
        <v>0</v>
      </c>
      <c r="AC32" s="36">
        <f>VLOOKUP($A32,[24]HISTOJUIL24!$A$6:$AU$38,44,0)</f>
        <v>0</v>
      </c>
      <c r="AD32" s="36">
        <f>VLOOKUP($A32,[24]HISTOJUIL24!$A$6:$AU$38,47,0)</f>
        <v>0</v>
      </c>
      <c r="AE32" s="36">
        <f>VLOOKUP(A32,[24]HISTOJUIL24!$A$6:$BB$38,54,0)</f>
        <v>0</v>
      </c>
      <c r="AF32" s="36">
        <f>VLOOKUP($A32,[24]HISTOJUIL24!$A$6:$CA$38,60,0)</f>
        <v>0</v>
      </c>
      <c r="AG32" s="36">
        <f>VLOOKUP($A32,[24]HISTOJUIL24!$A$6:$CA$38,61,0)</f>
        <v>0</v>
      </c>
      <c r="AH32" s="36">
        <f>VLOOKUP($A32,[24]HISTOJUIL24!$A$6:$CA$38,62,0)</f>
        <v>0</v>
      </c>
      <c r="AI32" s="36">
        <f>VLOOKUP($A32,[24]HISTOJUIL24!$A$6:$CA$38,63,0)</f>
        <v>0</v>
      </c>
      <c r="AJ32" s="36">
        <f>VLOOKUP($A32,[24]HISTOJUIL24!$A$6:$CA$38,64,0)</f>
        <v>0</v>
      </c>
      <c r="AK32" s="36">
        <f>VLOOKUP($A32,[24]HISTOJUIL24!$A$6:$CA$38,65,0)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MVTJUIN24!I33-E33+L33</f>
        <v>881552.64928596013</v>
      </c>
      <c r="G33" s="5">
        <f>IF(MVTJUIN24!I33+L33&gt;700000,(MVTJUIN24!I33-E33+L33),0)</f>
        <v>881552.64928596013</v>
      </c>
      <c r="H33" s="36">
        <f t="shared" si="0"/>
        <v>0</v>
      </c>
      <c r="I33" s="6">
        <f t="shared" si="2"/>
        <v>881552.64928596013</v>
      </c>
      <c r="J33" s="36">
        <f>VLOOKUP($A33,[24]HISTOJUIL24!$A$6:$AQ$42,22,0)</f>
        <v>0</v>
      </c>
      <c r="K33" s="36">
        <f>VLOOKUP($A33,[24]HISTOJUIL24!$A$6:$AU$38,45,0)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VLOOKUP($A33,[24]HISTOJUIL24!$A$6:$AU$38,7,0)</f>
        <v>0</v>
      </c>
      <c r="Q33" s="36">
        <f>VLOOKUP($A33,[24]HISTOJUIL24!$A$6:$AU$38,23,0)</f>
        <v>0</v>
      </c>
      <c r="R33" s="36">
        <f>VLOOKUP($A33,[24]HISTOJUIL24!$A$6:$AU$38,46,0)</f>
        <v>0</v>
      </c>
      <c r="S33" s="36">
        <f>VLOOKUP($A33,[24]HISTOJUIL24!$A$6:$AU$38,26,0)</f>
        <v>0</v>
      </c>
      <c r="T33" s="36">
        <f>VLOOKUP($A33,[24]HISTOJUIL24!$A$6:$BG$38,58,0)</f>
        <v>0</v>
      </c>
      <c r="U33" s="36">
        <f>VLOOKUP($A33,[24]HISTOJUIL24!$A$6:$AU$38,28,0)</f>
        <v>0</v>
      </c>
      <c r="V33" s="36">
        <f>VLOOKUP($A33,[24]HISTOJUIL24!$A$6:$AU$38,19,0)</f>
        <v>0</v>
      </c>
      <c r="W33" s="36">
        <f>VLOOKUP($A33,[24]HISTOJUIL24!$A$6:$AU$38,20,0)</f>
        <v>0</v>
      </c>
      <c r="X33" s="36">
        <f>VLOOKUP($A33,[24]HISTOJUIL24!$A$6:$AU$38,27,0)</f>
        <v>0</v>
      </c>
      <c r="Y33" s="36">
        <f>VLOOKUP($A33,[24]HISTOJUIL24!$A$6:$BM$38,33,0)</f>
        <v>0</v>
      </c>
      <c r="Z33" s="36">
        <f>VLOOKUP($A33,[24]HISTOJUIL24!$A$6:$BM$38,65,0)</f>
        <v>0</v>
      </c>
      <c r="AA33" s="36"/>
      <c r="AB33" s="36">
        <f>VLOOKUP($A33,[24]HISTOJUIL24!$A$6:$AU$38,43,0)</f>
        <v>0</v>
      </c>
      <c r="AC33" s="36">
        <f>VLOOKUP($A33,[24]HISTOJUIL24!$A$6:$AU$38,44,0)</f>
        <v>0</v>
      </c>
      <c r="AD33" s="36">
        <f>VLOOKUP($A33,[24]HISTOJUIL24!$A$6:$AU$38,47,0)</f>
        <v>0</v>
      </c>
      <c r="AE33" s="36">
        <f>VLOOKUP(A33,[24]HISTOJUIL24!$A$6:$BB$38,54,0)</f>
        <v>0</v>
      </c>
      <c r="AF33" s="36">
        <f>VLOOKUP($A33,[24]HISTOJUIL24!$A$6:$CA$38,60,0)</f>
        <v>0</v>
      </c>
      <c r="AG33" s="36">
        <f>VLOOKUP($A33,[24]HISTOJUIL24!$A$6:$CA$38,61,0)</f>
        <v>0</v>
      </c>
      <c r="AH33" s="36">
        <f>VLOOKUP($A33,[24]HISTOJUIL24!$A$6:$CA$38,62,0)</f>
        <v>0</v>
      </c>
      <c r="AI33" s="36">
        <f>VLOOKUP($A33,[24]HISTOJUIL24!$A$6:$CA$38,63,0)</f>
        <v>0</v>
      </c>
      <c r="AJ33" s="36">
        <f>VLOOKUP($A33,[24]HISTOJUIL24!$A$6:$CA$38,64,0)</f>
        <v>0</v>
      </c>
      <c r="AK33" s="36">
        <f>VLOOKUP($A33,[24]HISTOJUIL24!$A$6:$CA$38,65,0)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MVTJUIN24!I34-E34+L34</f>
        <v>538000</v>
      </c>
      <c r="G34" s="5">
        <f>IF(MVTJUIN24!I34+L34&gt;700000,(MVTJUIN24!I34-E34+L34),0)</f>
        <v>0</v>
      </c>
      <c r="H34" s="36">
        <f t="shared" si="0"/>
        <v>0</v>
      </c>
      <c r="I34" s="6">
        <f t="shared" si="2"/>
        <v>538000</v>
      </c>
      <c r="J34" s="36">
        <f>VLOOKUP($A34,[24]HISTOJUIL24!$A$6:$AQ$42,22,0)</f>
        <v>0</v>
      </c>
      <c r="K34" s="36">
        <f>VLOOKUP($A34,[24]HISTOJUIL24!$A$6:$AU$38,45,0)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VLOOKUP($A34,[24]HISTOJUIL24!$A$6:$AU$38,7,0)</f>
        <v>0</v>
      </c>
      <c r="Q34" s="36">
        <f>VLOOKUP($A34,[24]HISTOJUIL24!$A$6:$AU$38,23,0)</f>
        <v>0</v>
      </c>
      <c r="R34" s="36">
        <f>VLOOKUP($A34,[24]HISTOJUIL24!$A$6:$AU$38,46,0)</f>
        <v>0</v>
      </c>
      <c r="S34" s="36">
        <f>VLOOKUP($A34,[24]HISTOJUIL24!$A$6:$AU$38,26,0)</f>
        <v>0</v>
      </c>
      <c r="T34" s="36">
        <f>VLOOKUP($A34,[24]HISTOJUIL24!$A$6:$BG$38,58,0)</f>
        <v>0</v>
      </c>
      <c r="U34" s="36">
        <f>VLOOKUP($A34,[24]HISTOJUIL24!$A$6:$AU$38,28,0)</f>
        <v>0</v>
      </c>
      <c r="V34" s="36">
        <f>VLOOKUP($A34,[24]HISTOJUIL24!$A$6:$AU$38,19,0)</f>
        <v>0</v>
      </c>
      <c r="W34" s="36">
        <f>VLOOKUP($A34,[24]HISTOJUIL24!$A$6:$AU$38,20,0)</f>
        <v>0</v>
      </c>
      <c r="X34" s="36">
        <f>VLOOKUP($A34,[24]HISTOJUIL24!$A$6:$AU$38,27,0)</f>
        <v>0</v>
      </c>
      <c r="Y34" s="36">
        <f>VLOOKUP($A34,[24]HISTOJUIL24!$A$6:$BM$38,33,0)</f>
        <v>0</v>
      </c>
      <c r="Z34" s="36">
        <f>VLOOKUP($A34,[24]HISTOJUIL24!$A$6:$BM$38,65,0)</f>
        <v>0</v>
      </c>
      <c r="AA34" s="36"/>
      <c r="AB34" s="36">
        <f>VLOOKUP($A34,[24]HISTOJUIL24!$A$6:$AU$38,43,0)</f>
        <v>0</v>
      </c>
      <c r="AC34" s="36">
        <f>VLOOKUP($A34,[24]HISTOJUIL24!$A$6:$AU$38,44,0)</f>
        <v>0</v>
      </c>
      <c r="AD34" s="36">
        <f>VLOOKUP($A34,[24]HISTOJUIL24!$A$6:$AU$38,47,0)</f>
        <v>0</v>
      </c>
      <c r="AE34" s="36">
        <f>VLOOKUP(A34,[24]HISTOJUIL24!$A$6:$BB$38,54,0)</f>
        <v>0</v>
      </c>
      <c r="AF34" s="36">
        <f>VLOOKUP($A34,[24]HISTOJUIL24!$A$6:$CA$38,60,0)</f>
        <v>0</v>
      </c>
      <c r="AG34" s="36">
        <f>VLOOKUP($A34,[24]HISTOJUIL24!$A$6:$CA$38,61,0)</f>
        <v>0</v>
      </c>
      <c r="AH34" s="36">
        <f>VLOOKUP($A34,[24]HISTOJUIL24!$A$6:$CA$38,62,0)</f>
        <v>0</v>
      </c>
      <c r="AI34" s="36">
        <f>VLOOKUP($A34,[24]HISTOJUIL24!$A$6:$CA$38,63,0)</f>
        <v>0</v>
      </c>
      <c r="AJ34" s="36">
        <f>VLOOKUP($A34,[24]HISTOJUIL24!$A$6:$CA$38,64,0)</f>
        <v>0</v>
      </c>
      <c r="AK34" s="36">
        <f>VLOOKUP($A34,[24]HISTOJUIL24!$A$6:$CA$38,65,0)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MVTJUIN24!I35-E35+L35</f>
        <v>233000</v>
      </c>
      <c r="G35" s="5">
        <f>IF(MVTJUIN24!I35+L35&gt;700000,(MVTJUIN24!I35-E35+L35),0)</f>
        <v>0</v>
      </c>
      <c r="H35" s="36">
        <f t="shared" si="0"/>
        <v>0</v>
      </c>
      <c r="I35" s="6">
        <f t="shared" si="2"/>
        <v>233000</v>
      </c>
      <c r="J35" s="36">
        <f>VLOOKUP($A35,[24]HISTOJUIL24!$A$6:$AQ$42,22,0)</f>
        <v>0</v>
      </c>
      <c r="K35" s="36">
        <f>VLOOKUP($A35,[24]HISTOJUIL24!$A$6:$AU$38,45,0)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VLOOKUP($A35,[24]HISTOJUIL24!$A$6:$AU$38,7,0)</f>
        <v>3000</v>
      </c>
      <c r="Q35" s="36">
        <f>VLOOKUP($A35,[24]HISTOJUIL24!$A$6:$AU$38,23,0)</f>
        <v>0</v>
      </c>
      <c r="R35" s="36">
        <f>VLOOKUP($A35,[24]HISTOJUIL24!$A$6:$AU$38,46,0)</f>
        <v>0</v>
      </c>
      <c r="S35" s="36">
        <f>VLOOKUP($A35,[24]HISTOJUIL24!$A$6:$AU$38,26,0)</f>
        <v>0</v>
      </c>
      <c r="T35" s="36">
        <f>VLOOKUP($A35,[24]HISTOJUIL24!$A$6:$BG$38,58,0)</f>
        <v>0</v>
      </c>
      <c r="U35" s="36">
        <f>VLOOKUP($A35,[24]HISTOJUIL24!$A$6:$AU$38,28,0)</f>
        <v>0</v>
      </c>
      <c r="V35" s="36">
        <f>VLOOKUP($A35,[24]HISTOJUIL24!$A$6:$AU$38,19,0)</f>
        <v>0</v>
      </c>
      <c r="W35" s="36">
        <f>VLOOKUP($A35,[24]HISTOJUIL24!$A$6:$AU$38,20,0)</f>
        <v>0</v>
      </c>
      <c r="X35" s="36">
        <f>VLOOKUP($A35,[24]HISTOJUIL24!$A$6:$AU$38,27,0)</f>
        <v>0</v>
      </c>
      <c r="Y35" s="36">
        <f>VLOOKUP($A35,[24]HISTOJUIL24!$A$6:$BM$38,33,0)</f>
        <v>0</v>
      </c>
      <c r="Z35" s="36">
        <f>VLOOKUP($A35,[24]HISTOJUIL24!$A$6:$BM$38,65,0)</f>
        <v>0</v>
      </c>
      <c r="AA35" s="36"/>
      <c r="AB35" s="36">
        <f>VLOOKUP($A35,[24]HISTOJUIL24!$A$6:$AU$38,43,0)</f>
        <v>0</v>
      </c>
      <c r="AC35" s="36">
        <f>VLOOKUP($A35,[24]HISTOJUIL24!$A$6:$AU$38,44,0)</f>
        <v>0</v>
      </c>
      <c r="AD35" s="36">
        <f>VLOOKUP($A35,[24]HISTOJUIL24!$A$6:$AU$38,47,0)</f>
        <v>0</v>
      </c>
      <c r="AE35" s="36">
        <f>VLOOKUP(A35,[24]HISTOJUIL24!$A$6:$BB$38,54,0)</f>
        <v>0</v>
      </c>
      <c r="AF35" s="36">
        <f>VLOOKUP($A35,[24]HISTOJUIL24!$A$6:$CA$38,60,0)</f>
        <v>0</v>
      </c>
      <c r="AG35" s="36">
        <f>VLOOKUP($A35,[24]HISTOJUIL24!$A$6:$CA$38,61,0)</f>
        <v>0</v>
      </c>
      <c r="AH35" s="36">
        <f>VLOOKUP($A35,[24]HISTOJUIL24!$A$6:$CA$38,62,0)</f>
        <v>0</v>
      </c>
      <c r="AI35" s="36">
        <f>VLOOKUP($A35,[24]HISTOJUIL24!$A$6:$CA$38,63,0)</f>
        <v>0</v>
      </c>
      <c r="AJ35" s="36">
        <f>VLOOKUP($A35,[24]HISTOJUIL24!$A$6:$CA$38,64,0)</f>
        <v>0</v>
      </c>
      <c r="AK35" s="36">
        <f>VLOOKUP($A35,[24]HISTOJUIL24!$A$6:$CA$38,65,0)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MVTJUIN24!I36-E36+L36</f>
        <v>918599.08181867818</v>
      </c>
      <c r="G36" s="5">
        <f>IF(MVTJUIN24!I36+L36&gt;700000,(MVTJUIN24!I36-E36+L36),0)</f>
        <v>918599.08181867818</v>
      </c>
      <c r="H36" s="36">
        <f t="shared" si="0"/>
        <v>0</v>
      </c>
      <c r="I36" s="6">
        <f t="shared" si="2"/>
        <v>918599.08181867818</v>
      </c>
      <c r="J36" s="36">
        <f>VLOOKUP($A36,[24]HISTOJUIL24!$A$6:$AQ$42,22,0)</f>
        <v>0</v>
      </c>
      <c r="K36" s="36">
        <f>VLOOKUP($A36,[24]HISTOJUIL24!$A$6:$AU$38,45,0)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VLOOKUP($A36,[24]HISTOJUIL24!$A$6:$AU$38,7,0)</f>
        <v>0</v>
      </c>
      <c r="Q36" s="36">
        <f>VLOOKUP($A36,[24]HISTOJUIL24!$A$6:$AU$38,23,0)</f>
        <v>0</v>
      </c>
      <c r="R36" s="36">
        <f>VLOOKUP($A36,[24]HISTOJUIL24!$A$6:$AU$38,46,0)</f>
        <v>0</v>
      </c>
      <c r="S36" s="36">
        <f>VLOOKUP($A36,[24]HISTOJUIL24!$A$6:$AU$38,26,0)</f>
        <v>0</v>
      </c>
      <c r="T36" s="36">
        <f>VLOOKUP($A36,[24]HISTOJUIL24!$A$6:$BG$38,58,0)</f>
        <v>0</v>
      </c>
      <c r="U36" s="36">
        <f>VLOOKUP($A36,[24]HISTOJUIL24!$A$6:$AU$38,28,0)</f>
        <v>0</v>
      </c>
      <c r="V36" s="36">
        <f>VLOOKUP($A36,[24]HISTOJUIL24!$A$6:$AU$38,19,0)</f>
        <v>0</v>
      </c>
      <c r="W36" s="36">
        <f>VLOOKUP($A36,[24]HISTOJUIL24!$A$6:$AU$38,20,0)</f>
        <v>0</v>
      </c>
      <c r="X36" s="36">
        <f>VLOOKUP($A36,[24]HISTOJUIL24!$A$6:$AU$38,27,0)</f>
        <v>0</v>
      </c>
      <c r="Y36" s="36">
        <f>VLOOKUP($A36,[24]HISTOJUIL24!$A$6:$BM$38,33,0)</f>
        <v>0</v>
      </c>
      <c r="Z36" s="36">
        <f>VLOOKUP($A36,[24]HISTOJUIL24!$A$6:$BM$38,65,0)</f>
        <v>0</v>
      </c>
      <c r="AA36" s="36"/>
      <c r="AB36" s="36">
        <f>VLOOKUP($A36,[24]HISTOJUIL24!$A$6:$AU$38,43,0)</f>
        <v>0</v>
      </c>
      <c r="AC36" s="36">
        <f>VLOOKUP($A36,[24]HISTOJUIL24!$A$6:$AU$38,44,0)</f>
        <v>0</v>
      </c>
      <c r="AD36" s="36">
        <f>VLOOKUP($A36,[24]HISTOJUIL24!$A$6:$AU$38,47,0)</f>
        <v>0</v>
      </c>
      <c r="AE36" s="36">
        <f>VLOOKUP(A36,[24]HISTOJUIL24!$A$6:$BB$38,54,0)</f>
        <v>0</v>
      </c>
      <c r="AF36" s="36">
        <f>VLOOKUP($A36,[24]HISTOJUIL24!$A$6:$CA$38,60,0)</f>
        <v>0</v>
      </c>
      <c r="AG36" s="36">
        <f>VLOOKUP($A36,[24]HISTOJUIL24!$A$6:$CA$38,61,0)</f>
        <v>0</v>
      </c>
      <c r="AH36" s="36">
        <f>VLOOKUP($A36,[24]HISTOJUIL24!$A$6:$CA$38,62,0)</f>
        <v>0</v>
      </c>
      <c r="AI36" s="36">
        <f>VLOOKUP($A36,[24]HISTOJUIL24!$A$6:$CA$38,63,0)</f>
        <v>0</v>
      </c>
      <c r="AJ36" s="36">
        <f>VLOOKUP($A36,[24]HISTOJUIL24!$A$6:$CA$38,64,0)</f>
        <v>0</v>
      </c>
      <c r="AK36" s="36">
        <f>VLOOKUP($A36,[24]HISTOJUIL24!$A$6:$CA$38,65,0)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MVTJUIN24!I37-E37+L37</f>
        <v>1951400.7147676253</v>
      </c>
      <c r="G37" s="5">
        <f>IF(MVTJUIN24!I37+L37&gt;700000,(MVTJUIN24!I37-E37+L37),0)</f>
        <v>1951400.7147676253</v>
      </c>
      <c r="H37" s="36">
        <f t="shared" si="0"/>
        <v>0</v>
      </c>
      <c r="I37" s="6">
        <f t="shared" si="2"/>
        <v>1951400.7147676253</v>
      </c>
      <c r="J37" s="36">
        <f>VLOOKUP($A37,[24]HISTOJUIL24!$A$6:$AQ$42,22,0)</f>
        <v>0</v>
      </c>
      <c r="K37" s="36">
        <f>VLOOKUP($A37,[24]HISTOJUIL24!$A$6:$AU$38,45,0)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VLOOKUP($A37,[24]HISTOJUIL24!$A$6:$AU$38,7,0)</f>
        <v>3000</v>
      </c>
      <c r="Q37" s="36">
        <f>VLOOKUP($A37,[24]HISTOJUIL24!$A$6:$AU$38,23,0)</f>
        <v>0</v>
      </c>
      <c r="R37" s="36">
        <f>VLOOKUP($A37,[24]HISTOJUIL24!$A$6:$AU$38,46,0)</f>
        <v>0</v>
      </c>
      <c r="S37" s="36">
        <f>VLOOKUP($A37,[24]HISTOJUIL24!$A$6:$AU$38,26,0)</f>
        <v>0</v>
      </c>
      <c r="T37" s="36">
        <f>VLOOKUP($A37,[24]HISTOJUIL24!$A$6:$BG$38,58,0)</f>
        <v>0</v>
      </c>
      <c r="U37" s="36">
        <f>VLOOKUP($A37,[24]HISTOJUIL24!$A$6:$AU$38,28,0)</f>
        <v>0</v>
      </c>
      <c r="V37" s="36">
        <f>VLOOKUP($A37,[24]HISTOJUIL24!$A$6:$AU$38,19,0)</f>
        <v>0</v>
      </c>
      <c r="W37" s="36">
        <f>VLOOKUP($A37,[24]HISTOJUIL24!$A$6:$AU$38,20,0)</f>
        <v>0</v>
      </c>
      <c r="X37" s="36">
        <f>VLOOKUP($A37,[24]HISTOJUIL24!$A$6:$AU$38,27,0)</f>
        <v>0</v>
      </c>
      <c r="Y37" s="36">
        <f>VLOOKUP($A37,[24]HISTOJUIL24!$A$6:$BM$38,33,0)</f>
        <v>0</v>
      </c>
      <c r="Z37" s="36">
        <f>VLOOKUP($A37,[24]HISTOJUIL24!$A$6:$BM$38,65,0)</f>
        <v>0</v>
      </c>
      <c r="AA37" s="36"/>
      <c r="AB37" s="36">
        <f>VLOOKUP($A37,[24]HISTOJUIL24!$A$6:$AU$38,43,0)</f>
        <v>0</v>
      </c>
      <c r="AC37" s="36">
        <f>VLOOKUP($A37,[24]HISTOJUIL24!$A$6:$AU$38,44,0)</f>
        <v>0</v>
      </c>
      <c r="AD37" s="36">
        <f>VLOOKUP($A37,[24]HISTOJUIL24!$A$6:$AU$38,47,0)</f>
        <v>0</v>
      </c>
      <c r="AE37" s="36">
        <f>VLOOKUP(A37,[24]HISTOJUIL24!$A$6:$BB$38,54,0)</f>
        <v>0</v>
      </c>
      <c r="AF37" s="36">
        <f>VLOOKUP($A37,[24]HISTOJUIL24!$A$6:$CA$38,60,0)</f>
        <v>0</v>
      </c>
      <c r="AG37" s="36">
        <f>VLOOKUP($A37,[24]HISTOJUIL24!$A$6:$CA$38,61,0)</f>
        <v>0</v>
      </c>
      <c r="AH37" s="36">
        <f>VLOOKUP($A37,[24]HISTOJUIL24!$A$6:$CA$38,62,0)</f>
        <v>0</v>
      </c>
      <c r="AI37" s="36">
        <f>VLOOKUP($A37,[24]HISTOJUIL24!$A$6:$CA$38,63,0)</f>
        <v>0</v>
      </c>
      <c r="AJ37" s="36">
        <f>VLOOKUP($A37,[24]HISTOJUIL24!$A$6:$CA$38,64,0)</f>
        <v>0</v>
      </c>
      <c r="AK37" s="36">
        <f>VLOOKUP($A37,[24]HISTOJUIL24!$A$6:$CA$38,65,0)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MVTJUIN24!I38-E38+L38</f>
        <v>133000</v>
      </c>
      <c r="G38" s="5">
        <f>IF(MVTJUIN24!I38+L38&gt;700000,(MVTJUIN24!I38-E38+L38),0)</f>
        <v>0</v>
      </c>
      <c r="H38" s="36">
        <f t="shared" si="0"/>
        <v>0</v>
      </c>
      <c r="I38" s="6">
        <f t="shared" si="2"/>
        <v>133000</v>
      </c>
      <c r="J38" s="36">
        <f>VLOOKUP($A38,[24]HISTOJUIL24!$A$6:$AQ$42,22,0)</f>
        <v>0</v>
      </c>
      <c r="K38" s="36">
        <f>VLOOKUP($A38,[24]HISTOJUIL24!$A$6:$AU$38,45,0)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VLOOKUP($A38,[24]HISTOJUIL24!$A$6:$AU$38,7,0)</f>
        <v>0</v>
      </c>
      <c r="Q38" s="36">
        <f>VLOOKUP($A38,[24]HISTOJUIL24!$A$6:$AU$38,23,0)</f>
        <v>0</v>
      </c>
      <c r="R38" s="36">
        <f>VLOOKUP($A38,[24]HISTOJUIL24!$A$6:$AU$38,46,0)</f>
        <v>0</v>
      </c>
      <c r="S38" s="36">
        <f>VLOOKUP($A38,[24]HISTOJUIL24!$A$6:$AU$38,26,0)</f>
        <v>0</v>
      </c>
      <c r="T38" s="36">
        <f>VLOOKUP($A38,[24]HISTOJUIL24!$A$6:$BG$38,58,0)</f>
        <v>0</v>
      </c>
      <c r="U38" s="36">
        <f>VLOOKUP($A38,[24]HISTOJUIL24!$A$6:$AU$38,28,0)</f>
        <v>0</v>
      </c>
      <c r="V38" s="36">
        <f>VLOOKUP($A38,[24]HISTOJUIL24!$A$6:$AU$38,19,0)</f>
        <v>0</v>
      </c>
      <c r="W38" s="36">
        <f>VLOOKUP($A38,[24]HISTOJUIL24!$A$6:$AU$38,20,0)</f>
        <v>0</v>
      </c>
      <c r="X38" s="36">
        <f>VLOOKUP($A38,[24]HISTOJUIL24!$A$6:$AU$38,27,0)</f>
        <v>0</v>
      </c>
      <c r="Y38" s="36">
        <f>VLOOKUP($A38,[24]HISTOJUIL24!$A$6:$BM$38,33,0)</f>
        <v>0</v>
      </c>
      <c r="Z38" s="36">
        <f>VLOOKUP($A38,[24]HISTOJUIL24!$A$6:$BM$38,65,0)</f>
        <v>0</v>
      </c>
      <c r="AA38" s="36"/>
      <c r="AB38" s="36">
        <f>VLOOKUP($A38,[24]HISTOJUIL24!$A$6:$AU$38,43,0)</f>
        <v>0</v>
      </c>
      <c r="AC38" s="36">
        <f>VLOOKUP($A38,[24]HISTOJUIL24!$A$6:$AU$38,44,0)</f>
        <v>0</v>
      </c>
      <c r="AD38" s="36">
        <f>VLOOKUP($A38,[24]HISTOJUIL24!$A$6:$AU$38,47,0)</f>
        <v>0</v>
      </c>
      <c r="AE38" s="36">
        <f>VLOOKUP(A38,[24]HISTOJUIL24!$A$6:$BB$38,54,0)</f>
        <v>0</v>
      </c>
      <c r="AF38" s="36">
        <f>VLOOKUP($A38,[24]HISTOJUIL24!$A$6:$CA$38,60,0)</f>
        <v>0</v>
      </c>
      <c r="AG38" s="36">
        <f>VLOOKUP($A38,[24]HISTOJUIL24!$A$6:$CA$38,61,0)</f>
        <v>0</v>
      </c>
      <c r="AH38" s="36">
        <f>VLOOKUP($A38,[24]HISTOJUIL24!$A$6:$CA$38,62,0)</f>
        <v>0</v>
      </c>
      <c r="AI38" s="36">
        <f>VLOOKUP($A38,[24]HISTOJUIL24!$A$6:$CA$38,63,0)</f>
        <v>0</v>
      </c>
      <c r="AJ38" s="36">
        <f>VLOOKUP($A38,[24]HISTOJUIL24!$A$6:$CA$38,64,0)</f>
        <v>0</v>
      </c>
      <c r="AK38" s="36">
        <f>VLOOKUP($A38,[24]HISTOJUIL24!$A$6:$CA$38,65,0)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MVTJUIN24!I39-E39+L39</f>
        <v>2116313.2142100567</v>
      </c>
      <c r="G39" s="5">
        <f>IF(MVTJUIN24!I39+L39&gt;700000,(MVTJUIN24!I39-E39+L39),0)</f>
        <v>2116313.2142100567</v>
      </c>
      <c r="H39" s="36">
        <f t="shared" si="0"/>
        <v>0</v>
      </c>
      <c r="I39" s="6">
        <f t="shared" si="2"/>
        <v>2116313.2142100567</v>
      </c>
      <c r="J39" s="36">
        <f>VLOOKUP($A39,[24]HISTOJUIL24!$A$6:$AQ$42,22,0)</f>
        <v>0</v>
      </c>
      <c r="K39" s="36">
        <f>VLOOKUP($A39,[24]HISTOJUIL24!$A$6:$AU$38,45,0)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VLOOKUP($A39,[24]HISTOJUIL24!$A$6:$AU$38,7,0)</f>
        <v>0</v>
      </c>
      <c r="Q39" s="36">
        <f>VLOOKUP($A39,[24]HISTOJUIL24!$A$6:$AU$38,23,0)</f>
        <v>0</v>
      </c>
      <c r="R39" s="36">
        <f>VLOOKUP($A39,[24]HISTOJUIL24!$A$6:$AU$38,46,0)</f>
        <v>0</v>
      </c>
      <c r="S39" s="36">
        <f>VLOOKUP($A39,[24]HISTOJUIL24!$A$6:$AU$38,26,0)</f>
        <v>0</v>
      </c>
      <c r="T39" s="36">
        <f>VLOOKUP($A39,[24]HISTOJUIL24!$A$6:$BG$38,58,0)</f>
        <v>0</v>
      </c>
      <c r="U39" s="36">
        <f>VLOOKUP($A39,[24]HISTOJUIL24!$A$6:$AU$38,28,0)</f>
        <v>0</v>
      </c>
      <c r="V39" s="36">
        <f>VLOOKUP($A39,[24]HISTOJUIL24!$A$6:$AU$38,19,0)</f>
        <v>0</v>
      </c>
      <c r="W39" s="36">
        <f>VLOOKUP($A39,[24]HISTOJUIL24!$A$6:$AU$38,20,0)</f>
        <v>0</v>
      </c>
      <c r="X39" s="36">
        <f>VLOOKUP($A39,[24]HISTOJUIL24!$A$6:$AU$38,27,0)</f>
        <v>0</v>
      </c>
      <c r="Y39" s="36">
        <f>VLOOKUP($A39,[24]HISTOJUIL24!$A$6:$BM$38,33,0)</f>
        <v>0</v>
      </c>
      <c r="Z39" s="36">
        <f>VLOOKUP($A39,[24]HISTOJUIL24!$A$6:$BM$38,65,0)</f>
        <v>0</v>
      </c>
      <c r="AA39" s="36"/>
      <c r="AB39" s="36">
        <f>VLOOKUP($A39,[24]HISTOJUIL24!$A$6:$AU$38,43,0)</f>
        <v>0</v>
      </c>
      <c r="AC39" s="36">
        <f>VLOOKUP($A39,[24]HISTOJUIL24!$A$6:$AU$38,44,0)</f>
        <v>0</v>
      </c>
      <c r="AD39" s="36">
        <f>VLOOKUP($A39,[24]HISTOJUIL24!$A$6:$AU$38,47,0)</f>
        <v>0</v>
      </c>
      <c r="AE39" s="36">
        <f>VLOOKUP(A39,[24]HISTOJUIL24!$A$6:$BB$38,54,0)</f>
        <v>0</v>
      </c>
      <c r="AF39" s="36">
        <f>VLOOKUP($A39,[24]HISTOJUIL24!$A$6:$CA$38,60,0)</f>
        <v>0</v>
      </c>
      <c r="AG39" s="36">
        <f>VLOOKUP($A39,[24]HISTOJUIL24!$A$6:$CA$38,61,0)</f>
        <v>0</v>
      </c>
      <c r="AH39" s="36">
        <f>VLOOKUP($A39,[24]HISTOJUIL24!$A$6:$CA$38,62,0)</f>
        <v>0</v>
      </c>
      <c r="AI39" s="36">
        <f>VLOOKUP($A39,[24]HISTOJUIL24!$A$6:$CA$38,63,0)</f>
        <v>0</v>
      </c>
      <c r="AJ39" s="36">
        <f>VLOOKUP($A39,[24]HISTOJUIL24!$A$6:$CA$38,64,0)</f>
        <v>0</v>
      </c>
      <c r="AK39" s="36">
        <f>VLOOKUP($A39,[24]HISTOJUIL24!$A$6:$CA$38,65,0)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31144656.655274987</v>
      </c>
      <c r="G41" s="9">
        <f t="shared" si="10"/>
        <v>29431439.524547949</v>
      </c>
      <c r="H41" s="36">
        <f t="shared" si="10"/>
        <v>0</v>
      </c>
      <c r="I41" s="9">
        <f t="shared" si="10"/>
        <v>31144656.655274987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J6" activePane="bottomRight" state="frozen"/>
      <selection activeCell="B43" sqref="B43"/>
      <selection pane="topRight" activeCell="B43" sqref="B43"/>
      <selection pane="bottomLeft" activeCell="B43" sqref="B43"/>
      <selection pane="bottomRight" activeCell="J6" sqref="J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45521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VLOOKUP($A6,[24]HISTOAOUT24!$A$6:$BA$38,48,0)</f>
        <v>0</v>
      </c>
      <c r="F6" s="36">
        <f>MVTJUIL24!I6-E6+L6</f>
        <v>946220.58968855068</v>
      </c>
      <c r="G6" s="5">
        <f>IF(MVTJUIL24!I6+L6&gt;700000,(MVTJUIL24!I6-E6+L6),0)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VLOOKUP($A6,[24]HISTOAOUT24!$A$6:$AQ$42,22,0)</f>
        <v>0</v>
      </c>
      <c r="K6" s="36">
        <f>VLOOKUP($A6,[24]HISTOAOUT24!$A$6:$AU$38,45,0)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VLOOKUP($A6,[24]HISTOAOUT24!$A$6:$AU$38,7,0)</f>
        <v>0</v>
      </c>
      <c r="Q6" s="36">
        <f>VLOOKUP($A6,[24]HISTOAOUT24!$A$6:$AU$38,23,0)</f>
        <v>0</v>
      </c>
      <c r="R6" s="36">
        <f>VLOOKUP($A6,[24]HISTOAOUT24!$A$6:$AU$38,46,0)</f>
        <v>0</v>
      </c>
      <c r="S6" s="36">
        <f>VLOOKUP($A6,[24]HISTOAOUT24!$A$6:$AU$38,26,0)</f>
        <v>0</v>
      </c>
      <c r="T6" s="36">
        <f>VLOOKUP($A6,[24]HISTOAOUT24!$A$6:$BG$38,58,0)</f>
        <v>0</v>
      </c>
      <c r="U6" s="36">
        <f>VLOOKUP($A6,[24]HISTOAOUT24!$A$6:$AU$38,28,0)</f>
        <v>0</v>
      </c>
      <c r="V6" s="36">
        <f>VLOOKUP($A6,[24]HISTOAOUT24!$A$6:$AU$38,19,0)</f>
        <v>0</v>
      </c>
      <c r="W6" s="36">
        <f>VLOOKUP($A6,[24]HISTOAOUT24!$A$6:$AU$38,20,0)</f>
        <v>0</v>
      </c>
      <c r="X6" s="36">
        <f>VLOOKUP($A6,[24]HISTOAOUT24!$A$6:$AU$38,27,0)</f>
        <v>0</v>
      </c>
      <c r="Y6" s="36">
        <f>VLOOKUP($A6,[24]HISTOAOUT24!$A$6:$BM$38,33,0)</f>
        <v>0</v>
      </c>
      <c r="Z6" s="36">
        <f>VLOOKUP($A6,[24]HISTOAOUT24!$A$6:$BM$38,65,0)</f>
        <v>0</v>
      </c>
      <c r="AA6" s="36"/>
      <c r="AB6" s="36">
        <f>VLOOKUP($A6,[24]HISTOAOUT24!$A$6:$AU$38,43,0)</f>
        <v>0</v>
      </c>
      <c r="AC6" s="36">
        <f>VLOOKUP($A6,[24]HISTOAOUT24!$A$6:$AU$38,44,0)</f>
        <v>0</v>
      </c>
      <c r="AD6" s="36">
        <f>VLOOKUP($A6,[24]HISTOAOUT24!$A$6:$AU$38,47,0)</f>
        <v>0</v>
      </c>
      <c r="AE6" s="36">
        <f>VLOOKUP(A6,[24]HISTOAOUT24!$A$6:$BB$38,54,0)</f>
        <v>0</v>
      </c>
      <c r="AF6" s="36">
        <f>VLOOKUP($A6,[24]HISTOAOUT24!$A$6:$CA$38,60,0)</f>
        <v>0</v>
      </c>
      <c r="AG6" s="36">
        <f>VLOOKUP($A6,[24]HISTOAOUT24!$A$6:$CA$38,61,0)</f>
        <v>0</v>
      </c>
      <c r="AH6" s="36">
        <f>VLOOKUP($A6,[24]HISTOAOUT24!$A$6:$CA$38,62,0)</f>
        <v>0</v>
      </c>
      <c r="AI6" s="36">
        <f>VLOOKUP($A6,[24]HISTOAOUT24!$A$6:$CA$38,63,0)</f>
        <v>0</v>
      </c>
      <c r="AJ6" s="36">
        <f>VLOOKUP($A6,[24]HISTOAOUT24!$A$6:$CA$38,64,0)</f>
        <v>0</v>
      </c>
      <c r="AK6" s="36">
        <f>VLOOKUP($A6,[24]HISTOAOUT24!$A$6:$CA$38,65,0)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VLOOKUP($A7,[24]HISTOAOUT24!$A$6:$BA$38,48,0)</f>
        <v>0</v>
      </c>
      <c r="F7" s="36">
        <f>MVTJUIL24!I7-E7+L7</f>
        <v>852791.19348721951</v>
      </c>
      <c r="G7" s="5">
        <f>IF(MVTJUIL24!I7+L7&gt;700000,(MVTJUIL24!I7-E7+L7),0)</f>
        <v>852791.19348721951</v>
      </c>
      <c r="H7" s="36">
        <f t="shared" si="0"/>
        <v>0</v>
      </c>
      <c r="I7" s="6">
        <f t="shared" ref="I7:I39" si="2">F7+H7</f>
        <v>852791.19348721951</v>
      </c>
      <c r="J7" s="36">
        <f>VLOOKUP($A7,[24]HISTOAOUT24!$A$6:$AQ$42,22,0)</f>
        <v>0</v>
      </c>
      <c r="K7" s="36">
        <f>VLOOKUP($A7,[24]HISTOAOUT24!$A$6:$AU$38,45,0)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VLOOKUP($A7,[24]HISTOAOUT24!$A$6:$AU$38,7,0)</f>
        <v>3000</v>
      </c>
      <c r="Q7" s="36">
        <f>VLOOKUP($A7,[24]HISTOAOUT24!$A$6:$AU$38,23,0)</f>
        <v>0</v>
      </c>
      <c r="R7" s="36">
        <f>VLOOKUP($A7,[24]HISTOAOUT24!$A$6:$AU$38,46,0)</f>
        <v>0</v>
      </c>
      <c r="S7" s="36">
        <f>VLOOKUP($A7,[24]HISTOAOUT24!$A$6:$AU$38,26,0)</f>
        <v>0</v>
      </c>
      <c r="T7" s="36">
        <f>VLOOKUP($A7,[24]HISTOAOUT24!$A$6:$BG$38,58,0)</f>
        <v>0</v>
      </c>
      <c r="U7" s="36">
        <f>VLOOKUP($A7,[24]HISTOAOUT24!$A$6:$AU$38,28,0)</f>
        <v>0</v>
      </c>
      <c r="V7" s="36">
        <f>VLOOKUP($A7,[24]HISTOAOUT24!$A$6:$AU$38,19,0)</f>
        <v>0</v>
      </c>
      <c r="W7" s="36">
        <f>VLOOKUP($A7,[24]HISTOAOUT24!$A$6:$AU$38,20,0)</f>
        <v>0</v>
      </c>
      <c r="X7" s="36">
        <f>VLOOKUP($A7,[24]HISTOAOUT24!$A$6:$AU$38,27,0)</f>
        <v>0</v>
      </c>
      <c r="Y7" s="36">
        <f>VLOOKUP($A7,[24]HISTOAOUT24!$A$6:$BM$38,33,0)</f>
        <v>0</v>
      </c>
      <c r="Z7" s="36">
        <f>VLOOKUP($A7,[24]HISTOAOUT24!$A$6:$BM$38,65,0)</f>
        <v>0</v>
      </c>
      <c r="AA7" s="36"/>
      <c r="AB7" s="36">
        <f>VLOOKUP($A7,[24]HISTOAOUT24!$A$6:$AU$38,43,0)</f>
        <v>0</v>
      </c>
      <c r="AC7" s="36">
        <f>VLOOKUP($A7,[24]HISTOAOUT24!$A$6:$AU$38,44,0)</f>
        <v>0</v>
      </c>
      <c r="AD7" s="36">
        <f>VLOOKUP($A7,[24]HISTOAOUT24!$A$6:$AU$38,47,0)</f>
        <v>0</v>
      </c>
      <c r="AE7" s="36">
        <f>VLOOKUP(A7,[24]HISTOAOUT24!$A$6:$BB$38,54,0)</f>
        <v>0</v>
      </c>
      <c r="AF7" s="36">
        <f>VLOOKUP($A7,[24]HISTOAOUT24!$A$6:$CA$38,60,0)</f>
        <v>0</v>
      </c>
      <c r="AG7" s="36">
        <f>VLOOKUP($A7,[24]HISTOAOUT24!$A$6:$CA$38,61,0)</f>
        <v>0</v>
      </c>
      <c r="AH7" s="36">
        <f>VLOOKUP($A7,[24]HISTOAOUT24!$A$6:$CA$38,62,0)</f>
        <v>0</v>
      </c>
      <c r="AI7" s="36">
        <f>VLOOKUP($A7,[24]HISTOAOUT24!$A$6:$CA$38,63,0)</f>
        <v>0</v>
      </c>
      <c r="AJ7" s="36">
        <f>VLOOKUP($A7,[24]HISTOAOUT24!$A$6:$CA$38,64,0)</f>
        <v>0</v>
      </c>
      <c r="AK7" s="36">
        <f>VLOOKUP($A7,[24]HISTOAOUT24!$A$6:$CA$38,65,0)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VLOOKUP($A8,[24]HISTOAOUT24!$A$6:$BA$38,48,0)</f>
        <v>0</v>
      </c>
      <c r="F8" s="36">
        <f>MVTJUIL24!I8-E8+L8</f>
        <v>896533.31236524263</v>
      </c>
      <c r="G8" s="5">
        <f>IF(MVTJUIL24!I8+L8&gt;700000,(MVTJUIL24!I8-E8+L8),0)</f>
        <v>896533.31236524263</v>
      </c>
      <c r="H8" s="36">
        <f t="shared" si="0"/>
        <v>0</v>
      </c>
      <c r="I8" s="6">
        <f t="shared" si="2"/>
        <v>896533.31236524263</v>
      </c>
      <c r="J8" s="36">
        <f>VLOOKUP($A8,[24]HISTOAOUT24!$A$6:$AQ$42,22,0)</f>
        <v>0</v>
      </c>
      <c r="K8" s="36">
        <f>VLOOKUP($A8,[24]HISTOAOUT24!$A$6:$AU$38,45,0)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VLOOKUP($A8,[24]HISTOAOUT24!$A$6:$AU$38,7,0)</f>
        <v>0</v>
      </c>
      <c r="Q8" s="36">
        <f>VLOOKUP($A8,[24]HISTOAOUT24!$A$6:$AU$38,23,0)</f>
        <v>0</v>
      </c>
      <c r="R8" s="36">
        <f>VLOOKUP($A8,[24]HISTOAOUT24!$A$6:$AU$38,46,0)</f>
        <v>0</v>
      </c>
      <c r="S8" s="36">
        <f>VLOOKUP($A8,[24]HISTOAOUT24!$A$6:$AU$38,26,0)</f>
        <v>0</v>
      </c>
      <c r="T8" s="36">
        <f>VLOOKUP($A8,[24]HISTOAOUT24!$A$6:$BG$38,58,0)</f>
        <v>0</v>
      </c>
      <c r="U8" s="36">
        <f>VLOOKUP($A8,[24]HISTOAOUT24!$A$6:$AU$38,28,0)</f>
        <v>0</v>
      </c>
      <c r="V8" s="36">
        <f>VLOOKUP($A8,[24]HISTOAOUT24!$A$6:$AU$38,19,0)</f>
        <v>0</v>
      </c>
      <c r="W8" s="36">
        <f>VLOOKUP($A8,[24]HISTOAOUT24!$A$6:$AU$38,20,0)</f>
        <v>0</v>
      </c>
      <c r="X8" s="36">
        <f>VLOOKUP($A8,[24]HISTOAOUT24!$A$6:$AU$38,27,0)</f>
        <v>0</v>
      </c>
      <c r="Y8" s="36">
        <f>VLOOKUP($A8,[24]HISTOAOUT24!$A$6:$BM$38,33,0)</f>
        <v>0</v>
      </c>
      <c r="Z8" s="36">
        <f>VLOOKUP($A8,[24]HISTOAOUT24!$A$6:$BM$38,65,0)</f>
        <v>0</v>
      </c>
      <c r="AA8" s="36"/>
      <c r="AB8" s="36">
        <f>VLOOKUP($A8,[24]HISTOAOUT24!$A$6:$AU$38,43,0)</f>
        <v>0</v>
      </c>
      <c r="AC8" s="36">
        <f>VLOOKUP($A8,[24]HISTOAOUT24!$A$6:$AU$38,44,0)</f>
        <v>0</v>
      </c>
      <c r="AD8" s="36">
        <f>VLOOKUP($A8,[24]HISTOAOUT24!$A$6:$AU$38,47,0)</f>
        <v>0</v>
      </c>
      <c r="AE8" s="36">
        <f>VLOOKUP(A8,[24]HISTOAOUT24!$A$6:$BB$38,54,0)</f>
        <v>0</v>
      </c>
      <c r="AF8" s="36">
        <f>VLOOKUP($A8,[24]HISTOAOUT24!$A$6:$CA$38,60,0)</f>
        <v>0</v>
      </c>
      <c r="AG8" s="36">
        <f>VLOOKUP($A8,[24]HISTOAOUT24!$A$6:$CA$38,61,0)</f>
        <v>0</v>
      </c>
      <c r="AH8" s="36">
        <f>VLOOKUP($A8,[24]HISTOAOUT24!$A$6:$CA$38,62,0)</f>
        <v>0</v>
      </c>
      <c r="AI8" s="36">
        <f>VLOOKUP($A8,[24]HISTOAOUT24!$A$6:$CA$38,63,0)</f>
        <v>0</v>
      </c>
      <c r="AJ8" s="36">
        <f>VLOOKUP($A8,[24]HISTOAOUT24!$A$6:$CA$38,64,0)</f>
        <v>0</v>
      </c>
      <c r="AK8" s="36">
        <f>VLOOKUP($A8,[24]HISTOAOUT24!$A$6:$CA$38,65,0)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VLOOKUP($A9,[24]HISTOAOUT24!$A$6:$BA$38,48,0)</f>
        <v>0</v>
      </c>
      <c r="F9" s="36">
        <f>MVTJUIL24!I9-E9+L9</f>
        <v>953962.00686817756</v>
      </c>
      <c r="G9" s="5">
        <f>IF(MVTJUIL24!I9+L9&gt;700000,(MVTJUIL24!I9-E9+L9),0)</f>
        <v>953962.00686817756</v>
      </c>
      <c r="H9" s="36">
        <f t="shared" si="0"/>
        <v>0</v>
      </c>
      <c r="I9" s="6">
        <f t="shared" si="2"/>
        <v>953962.00686817756</v>
      </c>
      <c r="J9" s="36">
        <f>VLOOKUP($A9,[24]HISTOAOUT24!$A$6:$AQ$42,22,0)</f>
        <v>0</v>
      </c>
      <c r="K9" s="36">
        <f>VLOOKUP($A9,[24]HISTOAOUT24!$A$6:$AU$38,45,0)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VLOOKUP($A9,[24]HISTOAOUT24!$A$6:$AU$38,7,0)</f>
        <v>0</v>
      </c>
      <c r="Q9" s="36">
        <f>VLOOKUP($A9,[24]HISTOAOUT24!$A$6:$AU$38,23,0)</f>
        <v>0</v>
      </c>
      <c r="R9" s="36">
        <f>VLOOKUP($A9,[24]HISTOAOUT24!$A$6:$AU$38,46,0)</f>
        <v>0</v>
      </c>
      <c r="S9" s="36">
        <f>VLOOKUP($A9,[24]HISTOAOUT24!$A$6:$AU$38,26,0)</f>
        <v>0</v>
      </c>
      <c r="T9" s="36">
        <f>VLOOKUP($A9,[24]HISTOAOUT24!$A$6:$BG$38,58,0)</f>
        <v>0</v>
      </c>
      <c r="U9" s="36">
        <f>VLOOKUP($A9,[24]HISTOAOUT24!$A$6:$AU$38,28,0)</f>
        <v>0</v>
      </c>
      <c r="V9" s="36">
        <f>VLOOKUP($A9,[24]HISTOAOUT24!$A$6:$AU$38,19,0)</f>
        <v>0</v>
      </c>
      <c r="W9" s="36">
        <f>VLOOKUP($A9,[24]HISTOAOUT24!$A$6:$AU$38,20,0)</f>
        <v>0</v>
      </c>
      <c r="X9" s="36">
        <f>VLOOKUP($A9,[24]HISTOAOUT24!$A$6:$AU$38,27,0)</f>
        <v>0</v>
      </c>
      <c r="Y9" s="36">
        <f>VLOOKUP($A9,[24]HISTOAOUT24!$A$6:$BM$38,33,0)</f>
        <v>0</v>
      </c>
      <c r="Z9" s="36">
        <f>VLOOKUP($A9,[24]HISTOAOUT24!$A$6:$BM$38,65,0)</f>
        <v>0</v>
      </c>
      <c r="AA9" s="36"/>
      <c r="AB9" s="36">
        <f>VLOOKUP($A9,[24]HISTOAOUT24!$A$6:$AU$38,43,0)</f>
        <v>0</v>
      </c>
      <c r="AC9" s="36">
        <f>VLOOKUP($A9,[24]HISTOAOUT24!$A$6:$AU$38,44,0)</f>
        <v>0</v>
      </c>
      <c r="AD9" s="36">
        <f>VLOOKUP($A9,[24]HISTOAOUT24!$A$6:$AU$38,47,0)</f>
        <v>0</v>
      </c>
      <c r="AE9" s="36">
        <f>VLOOKUP(A9,[24]HISTOAOUT24!$A$6:$BB$38,54,0)</f>
        <v>0</v>
      </c>
      <c r="AF9" s="36">
        <f>VLOOKUP($A9,[24]HISTOAOUT24!$A$6:$CA$38,60,0)</f>
        <v>0</v>
      </c>
      <c r="AG9" s="36">
        <f>VLOOKUP($A9,[24]HISTOAOUT24!$A$6:$CA$38,61,0)</f>
        <v>0</v>
      </c>
      <c r="AH9" s="36">
        <f>VLOOKUP($A9,[24]HISTOAOUT24!$A$6:$CA$38,62,0)</f>
        <v>0</v>
      </c>
      <c r="AI9" s="36">
        <f>VLOOKUP($A9,[24]HISTOAOUT24!$A$6:$CA$38,63,0)</f>
        <v>0</v>
      </c>
      <c r="AJ9" s="36">
        <f>VLOOKUP($A9,[24]HISTOAOUT24!$A$6:$CA$38,64,0)</f>
        <v>0</v>
      </c>
      <c r="AK9" s="36">
        <f>VLOOKUP($A9,[24]HISTOAOUT24!$A$6:$CA$38,65,0)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VLOOKUP($A10,[24]HISTOAOUT24!$A$6:$BA$38,48,0)</f>
        <v>0</v>
      </c>
      <c r="F10" s="36">
        <f>MVTJUIL24!I10-E10+L10</f>
        <v>893805.20622596238</v>
      </c>
      <c r="G10" s="5">
        <f>IF(MVTJUIL24!I10+L10&gt;700000,(MVTJUIL24!I10-E10+L10),0)</f>
        <v>893805.20622596238</v>
      </c>
      <c r="H10" s="36">
        <f t="shared" si="0"/>
        <v>0</v>
      </c>
      <c r="I10" s="6">
        <f t="shared" si="2"/>
        <v>893805.20622596238</v>
      </c>
      <c r="J10" s="36">
        <f>VLOOKUP($A10,[24]HISTOAOUT24!$A$6:$AQ$42,22,0)</f>
        <v>0</v>
      </c>
      <c r="K10" s="36">
        <f>VLOOKUP($A10,[24]HISTOAOUT24!$A$6:$AU$38,45,0)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VLOOKUP($A10,[24]HISTOAOUT24!$A$6:$AU$38,7,0)</f>
        <v>0</v>
      </c>
      <c r="Q10" s="36">
        <f>VLOOKUP($A10,[24]HISTOAOUT24!$A$6:$AU$38,23,0)</f>
        <v>0</v>
      </c>
      <c r="R10" s="36">
        <f>VLOOKUP($A10,[24]HISTOAOUT24!$A$6:$AU$38,46,0)</f>
        <v>0</v>
      </c>
      <c r="S10" s="36">
        <f>VLOOKUP($A10,[24]HISTOAOUT24!$A$6:$AU$38,26,0)</f>
        <v>0</v>
      </c>
      <c r="T10" s="36">
        <f>VLOOKUP($A10,[24]HISTOAOUT24!$A$6:$BG$38,58,0)</f>
        <v>0</v>
      </c>
      <c r="U10" s="36">
        <f>VLOOKUP($A10,[24]HISTOAOUT24!$A$6:$AU$38,28,0)</f>
        <v>0</v>
      </c>
      <c r="V10" s="36">
        <f>VLOOKUP($A10,[24]HISTOAOUT24!$A$6:$AU$38,19,0)</f>
        <v>0</v>
      </c>
      <c r="W10" s="36">
        <f>VLOOKUP($A10,[24]HISTOAOUT24!$A$6:$AU$38,20,0)</f>
        <v>0</v>
      </c>
      <c r="X10" s="36">
        <f>VLOOKUP($A10,[24]HISTOAOUT24!$A$6:$AU$38,27,0)</f>
        <v>0</v>
      </c>
      <c r="Y10" s="36">
        <f>VLOOKUP($A10,[24]HISTOAOUT24!$A$6:$BM$38,33,0)</f>
        <v>0</v>
      </c>
      <c r="Z10" s="36">
        <f>VLOOKUP($A10,[24]HISTOAOUT24!$A$6:$BM$38,65,0)</f>
        <v>0</v>
      </c>
      <c r="AA10" s="36"/>
      <c r="AB10" s="36">
        <f>VLOOKUP($A10,[24]HISTOAOUT24!$A$6:$AU$38,43,0)</f>
        <v>0</v>
      </c>
      <c r="AC10" s="36">
        <f>VLOOKUP($A10,[24]HISTOAOUT24!$A$6:$AU$38,44,0)</f>
        <v>0</v>
      </c>
      <c r="AD10" s="36">
        <f>VLOOKUP($A10,[24]HISTOAOUT24!$A$6:$AU$38,47,0)</f>
        <v>0</v>
      </c>
      <c r="AE10" s="36">
        <f>VLOOKUP(A10,[24]HISTOAOUT24!$A$6:$BB$38,54,0)</f>
        <v>0</v>
      </c>
      <c r="AF10" s="36">
        <f>VLOOKUP($A10,[24]HISTOAOUT24!$A$6:$CA$38,60,0)</f>
        <v>0</v>
      </c>
      <c r="AG10" s="36">
        <f>VLOOKUP($A10,[24]HISTOAOUT24!$A$6:$CA$38,61,0)</f>
        <v>0</v>
      </c>
      <c r="AH10" s="36">
        <f>VLOOKUP($A10,[24]HISTOAOUT24!$A$6:$CA$38,62,0)</f>
        <v>0</v>
      </c>
      <c r="AI10" s="36">
        <f>VLOOKUP($A10,[24]HISTOAOUT24!$A$6:$CA$38,63,0)</f>
        <v>0</v>
      </c>
      <c r="AJ10" s="36">
        <f>VLOOKUP($A10,[24]HISTOAOUT24!$A$6:$CA$38,64,0)</f>
        <v>0</v>
      </c>
      <c r="AK10" s="36">
        <f>VLOOKUP($A10,[24]HISTOAOUT24!$A$6:$CA$38,65,0)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VLOOKUP($A11,[24]HISTOAOUT24!$A$6:$BA$38,48,0)</f>
        <v>0</v>
      </c>
      <c r="F11" s="36">
        <f>MVTJUIL24!I11-E11+L11</f>
        <v>911855.82895949238</v>
      </c>
      <c r="G11" s="5">
        <f>IF(MVTJUIL24!I11+L11&gt;700000,(MVTJUIL24!I11-E11+L11),0)</f>
        <v>911855.82895949238</v>
      </c>
      <c r="H11" s="36">
        <f t="shared" si="0"/>
        <v>0</v>
      </c>
      <c r="I11" s="6">
        <f t="shared" si="2"/>
        <v>911855.82895949238</v>
      </c>
      <c r="J11" s="36">
        <f>VLOOKUP($A11,[24]HISTOAOUT24!$A$6:$AQ$42,22,0)</f>
        <v>0</v>
      </c>
      <c r="K11" s="36">
        <f>VLOOKUP($A11,[24]HISTOAOUT24!$A$6:$AU$38,45,0)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VLOOKUP($A11,[24]HISTOAOUT24!$A$6:$AU$38,7,0)</f>
        <v>0</v>
      </c>
      <c r="Q11" s="36">
        <f>VLOOKUP($A11,[24]HISTOAOUT24!$A$6:$AU$38,23,0)</f>
        <v>0</v>
      </c>
      <c r="R11" s="36">
        <f>VLOOKUP($A11,[24]HISTOAOUT24!$A$6:$AU$38,46,0)</f>
        <v>0</v>
      </c>
      <c r="S11" s="36">
        <f>VLOOKUP($A11,[24]HISTOAOUT24!$A$6:$AU$38,26,0)</f>
        <v>0</v>
      </c>
      <c r="T11" s="36">
        <f>VLOOKUP($A11,[24]HISTOAOUT24!$A$6:$BG$38,58,0)</f>
        <v>0</v>
      </c>
      <c r="U11" s="36">
        <f>VLOOKUP($A11,[24]HISTOAOUT24!$A$6:$AU$38,28,0)</f>
        <v>0</v>
      </c>
      <c r="V11" s="36">
        <f>VLOOKUP($A11,[24]HISTOAOUT24!$A$6:$AU$38,19,0)</f>
        <v>0</v>
      </c>
      <c r="W11" s="36">
        <f>VLOOKUP($A11,[24]HISTOAOUT24!$A$6:$AU$38,20,0)</f>
        <v>0</v>
      </c>
      <c r="X11" s="36">
        <f>VLOOKUP($A11,[24]HISTOAOUT24!$A$6:$AU$38,27,0)</f>
        <v>0</v>
      </c>
      <c r="Y11" s="36">
        <f>VLOOKUP($A11,[24]HISTOAOUT24!$A$6:$BM$38,33,0)</f>
        <v>0</v>
      </c>
      <c r="Z11" s="36">
        <f>VLOOKUP($A11,[24]HISTOAOUT24!$A$6:$BM$38,65,0)</f>
        <v>0</v>
      </c>
      <c r="AA11" s="36"/>
      <c r="AB11" s="36">
        <f>VLOOKUP($A11,[24]HISTOAOUT24!$A$6:$AU$38,43,0)</f>
        <v>0</v>
      </c>
      <c r="AC11" s="36">
        <f>VLOOKUP($A11,[24]HISTOAOUT24!$A$6:$AU$38,44,0)</f>
        <v>0</v>
      </c>
      <c r="AD11" s="36">
        <f>VLOOKUP($A11,[24]HISTOAOUT24!$A$6:$AU$38,47,0)</f>
        <v>0</v>
      </c>
      <c r="AE11" s="36">
        <f>VLOOKUP(A11,[24]HISTOAOUT24!$A$6:$BB$38,54,0)</f>
        <v>0</v>
      </c>
      <c r="AF11" s="36">
        <f>VLOOKUP($A11,[24]HISTOAOUT24!$A$6:$CA$38,60,0)</f>
        <v>0</v>
      </c>
      <c r="AG11" s="36">
        <f>VLOOKUP($A11,[24]HISTOAOUT24!$A$6:$CA$38,61,0)</f>
        <v>0</v>
      </c>
      <c r="AH11" s="36">
        <f>VLOOKUP($A11,[24]HISTOAOUT24!$A$6:$CA$38,62,0)</f>
        <v>0</v>
      </c>
      <c r="AI11" s="36">
        <f>VLOOKUP($A11,[24]HISTOAOUT24!$A$6:$CA$38,63,0)</f>
        <v>0</v>
      </c>
      <c r="AJ11" s="36">
        <f>VLOOKUP($A11,[24]HISTOAOUT24!$A$6:$CA$38,64,0)</f>
        <v>0</v>
      </c>
      <c r="AK11" s="36">
        <f>VLOOKUP($A11,[24]HISTOAOUT24!$A$6:$CA$38,65,0)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VLOOKUP($A12,[24]HISTOAOUT24!$A$6:$BA$38,48,0)</f>
        <v>0</v>
      </c>
      <c r="F12" s="36">
        <f>MVTJUIL24!I12-E12+L12</f>
        <v>935100.14741339569</v>
      </c>
      <c r="G12" s="5">
        <f>IF(MVTJUIL24!I12+L12&gt;700000,(MVTJUIL24!I12-E12+L12),0)</f>
        <v>935100.14741339569</v>
      </c>
      <c r="H12" s="36">
        <f t="shared" si="0"/>
        <v>0</v>
      </c>
      <c r="I12" s="6">
        <f t="shared" si="2"/>
        <v>935100.14741339569</v>
      </c>
      <c r="J12" s="36">
        <f>VLOOKUP($A12,[24]HISTOAOUT24!$A$6:$AQ$42,22,0)</f>
        <v>0</v>
      </c>
      <c r="K12" s="36">
        <f>VLOOKUP($A12,[24]HISTOAOUT24!$A$6:$AU$38,45,0)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VLOOKUP($A12,[24]HISTOAOUT24!$A$6:$AU$38,7,0)</f>
        <v>0</v>
      </c>
      <c r="Q12" s="36">
        <f>VLOOKUP($A12,[24]HISTOAOUT24!$A$6:$AU$38,23,0)</f>
        <v>0</v>
      </c>
      <c r="R12" s="36">
        <f>VLOOKUP($A12,[24]HISTOAOUT24!$A$6:$AU$38,46,0)</f>
        <v>0</v>
      </c>
      <c r="S12" s="36">
        <f>VLOOKUP($A12,[24]HISTOAOUT24!$A$6:$AU$38,26,0)</f>
        <v>0</v>
      </c>
      <c r="T12" s="36">
        <f>VLOOKUP($A12,[24]HISTOAOUT24!$A$6:$BG$38,58,0)</f>
        <v>0</v>
      </c>
      <c r="U12" s="36">
        <f>VLOOKUP($A12,[24]HISTOAOUT24!$A$6:$AU$38,28,0)</f>
        <v>0</v>
      </c>
      <c r="V12" s="36">
        <f>VLOOKUP($A12,[24]HISTOAOUT24!$A$6:$AU$38,19,0)</f>
        <v>0</v>
      </c>
      <c r="W12" s="36">
        <f>VLOOKUP($A12,[24]HISTOAOUT24!$A$6:$AU$38,20,0)</f>
        <v>0</v>
      </c>
      <c r="X12" s="36">
        <f>VLOOKUP($A12,[24]HISTOAOUT24!$A$6:$AU$38,27,0)</f>
        <v>0</v>
      </c>
      <c r="Y12" s="36">
        <f>VLOOKUP($A12,[24]HISTOAOUT24!$A$6:$BM$38,33,0)</f>
        <v>0</v>
      </c>
      <c r="Z12" s="36">
        <f>VLOOKUP($A12,[24]HISTOAOUT24!$A$6:$BM$38,65,0)</f>
        <v>0</v>
      </c>
      <c r="AA12" s="36"/>
      <c r="AB12" s="36">
        <f>VLOOKUP($A12,[24]HISTOAOUT24!$A$6:$AU$38,43,0)</f>
        <v>0</v>
      </c>
      <c r="AC12" s="36">
        <f>VLOOKUP($A12,[24]HISTOAOUT24!$A$6:$AU$38,44,0)</f>
        <v>0</v>
      </c>
      <c r="AD12" s="36">
        <f>VLOOKUP($A12,[24]HISTOAOUT24!$A$6:$AU$38,47,0)</f>
        <v>0</v>
      </c>
      <c r="AE12" s="36">
        <f>VLOOKUP(A12,[24]HISTOAOUT24!$A$6:$BB$38,54,0)</f>
        <v>0</v>
      </c>
      <c r="AF12" s="36">
        <f>VLOOKUP($A12,[24]HISTOAOUT24!$A$6:$CA$38,60,0)</f>
        <v>0</v>
      </c>
      <c r="AG12" s="36">
        <f>VLOOKUP($A12,[24]HISTOAOUT24!$A$6:$CA$38,61,0)</f>
        <v>0</v>
      </c>
      <c r="AH12" s="36">
        <f>VLOOKUP($A12,[24]HISTOAOUT24!$A$6:$CA$38,62,0)</f>
        <v>0</v>
      </c>
      <c r="AI12" s="36">
        <f>VLOOKUP($A12,[24]HISTOAOUT24!$A$6:$CA$38,63,0)</f>
        <v>0</v>
      </c>
      <c r="AJ12" s="36">
        <f>VLOOKUP($A12,[24]HISTOAOUT24!$A$6:$CA$38,64,0)</f>
        <v>0</v>
      </c>
      <c r="AK12" s="36">
        <f>VLOOKUP($A12,[24]HISTOAOUT24!$A$6:$CA$38,65,0)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VLOOKUP($A13,[24]HISTOAOUT24!$A$6:$BA$38,48,0)</f>
        <v>0</v>
      </c>
      <c r="F13" s="36">
        <f>MVTJUIL24!I13-E13+L13</f>
        <v>899555.14612214814</v>
      </c>
      <c r="G13" s="5">
        <f>IF(MVTJUIL24!I13+L13&gt;700000,(MVTJUIL24!I13-E13+L13),0)</f>
        <v>899555.14612214814</v>
      </c>
      <c r="H13" s="36">
        <f t="shared" si="0"/>
        <v>0</v>
      </c>
      <c r="I13" s="6">
        <f t="shared" si="2"/>
        <v>899555.14612214814</v>
      </c>
      <c r="J13" s="36">
        <f>VLOOKUP($A13,[24]HISTOAOUT24!$A$6:$AQ$42,22,0)</f>
        <v>0</v>
      </c>
      <c r="K13" s="36">
        <f>VLOOKUP($A13,[24]HISTOAOUT24!$A$6:$AU$38,45,0)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VLOOKUP($A13,[24]HISTOAOUT24!$A$6:$AU$38,7,0)</f>
        <v>0</v>
      </c>
      <c r="Q13" s="36">
        <f>VLOOKUP($A13,[24]HISTOAOUT24!$A$6:$AU$38,23,0)</f>
        <v>0</v>
      </c>
      <c r="R13" s="36">
        <f>VLOOKUP($A13,[24]HISTOAOUT24!$A$6:$AU$38,46,0)</f>
        <v>0</v>
      </c>
      <c r="S13" s="36">
        <f>VLOOKUP($A13,[24]HISTOAOUT24!$A$6:$AU$38,26,0)</f>
        <v>0</v>
      </c>
      <c r="T13" s="36">
        <f>VLOOKUP($A13,[24]HISTOAOUT24!$A$6:$BG$38,58,0)</f>
        <v>0</v>
      </c>
      <c r="U13" s="36">
        <f>VLOOKUP($A13,[24]HISTOAOUT24!$A$6:$AU$38,28,0)</f>
        <v>0</v>
      </c>
      <c r="V13" s="36">
        <f>VLOOKUP($A13,[24]HISTOAOUT24!$A$6:$AU$38,19,0)</f>
        <v>0</v>
      </c>
      <c r="W13" s="36">
        <f>VLOOKUP($A13,[24]HISTOAOUT24!$A$6:$AU$38,20,0)</f>
        <v>0</v>
      </c>
      <c r="X13" s="36">
        <f>VLOOKUP($A13,[24]HISTOAOUT24!$A$6:$AU$38,27,0)</f>
        <v>0</v>
      </c>
      <c r="Y13" s="36">
        <f>VLOOKUP($A13,[24]HISTOAOUT24!$A$6:$BM$38,33,0)</f>
        <v>0</v>
      </c>
      <c r="Z13" s="36">
        <f>VLOOKUP($A13,[24]HISTOAOUT24!$A$6:$BM$38,65,0)</f>
        <v>0</v>
      </c>
      <c r="AA13" s="36"/>
      <c r="AB13" s="36">
        <f>VLOOKUP($A13,[24]HISTOAOUT24!$A$6:$AU$38,43,0)</f>
        <v>0</v>
      </c>
      <c r="AC13" s="36">
        <f>VLOOKUP($A13,[24]HISTOAOUT24!$A$6:$AU$38,44,0)</f>
        <v>0</v>
      </c>
      <c r="AD13" s="36">
        <f>VLOOKUP($A13,[24]HISTOAOUT24!$A$6:$AU$38,47,0)</f>
        <v>0</v>
      </c>
      <c r="AE13" s="36">
        <f>VLOOKUP(A13,[24]HISTOAOUT24!$A$6:$BB$38,54,0)</f>
        <v>0</v>
      </c>
      <c r="AF13" s="36">
        <f>VLOOKUP($A13,[24]HISTOAOUT24!$A$6:$CA$38,60,0)</f>
        <v>0</v>
      </c>
      <c r="AG13" s="36">
        <f>VLOOKUP($A13,[24]HISTOAOUT24!$A$6:$CA$38,61,0)</f>
        <v>0</v>
      </c>
      <c r="AH13" s="36">
        <f>VLOOKUP($A13,[24]HISTOAOUT24!$A$6:$CA$38,62,0)</f>
        <v>0</v>
      </c>
      <c r="AI13" s="36">
        <f>VLOOKUP($A13,[24]HISTOAOUT24!$A$6:$CA$38,63,0)</f>
        <v>0</v>
      </c>
      <c r="AJ13" s="36">
        <f>VLOOKUP($A13,[24]HISTOAOUT24!$A$6:$CA$38,64,0)</f>
        <v>0</v>
      </c>
      <c r="AK13" s="36">
        <f>VLOOKUP($A13,[24]HISTOAOUT24!$A$6:$CA$38,65,0)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VLOOKUP($A14,[24]HISTOAOUT24!$A$6:$BA$38,48,0)</f>
        <v>0</v>
      </c>
      <c r="F14" s="36">
        <f>MVTJUIL24!I14-E14+L14</f>
        <v>1452425.9823482623</v>
      </c>
      <c r="G14" s="5">
        <f>IF(MVTJUIL24!I14+L14&gt;700000,(MVTJUIL24!I14-E14+L14),0)</f>
        <v>1452425.9823482623</v>
      </c>
      <c r="H14" s="36">
        <f t="shared" si="0"/>
        <v>0</v>
      </c>
      <c r="I14" s="6">
        <f t="shared" si="2"/>
        <v>1452425.9823482623</v>
      </c>
      <c r="J14" s="36">
        <f>VLOOKUP($A14,[24]HISTOAOUT24!$A$6:$AQ$42,22,0)</f>
        <v>0</v>
      </c>
      <c r="K14" s="36">
        <f>VLOOKUP($A14,[24]HISTOAOUT24!$A$6:$AU$38,45,0)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VLOOKUP($A14,[24]HISTOAOUT24!$A$6:$AU$38,7,0)</f>
        <v>0</v>
      </c>
      <c r="Q14" s="36">
        <f>VLOOKUP($A14,[24]HISTOAOUT24!$A$6:$AU$38,23,0)</f>
        <v>0</v>
      </c>
      <c r="R14" s="36">
        <f>VLOOKUP($A14,[24]HISTOAOUT24!$A$6:$AU$38,46,0)</f>
        <v>0</v>
      </c>
      <c r="S14" s="36">
        <f>VLOOKUP($A14,[24]HISTOAOUT24!$A$6:$AU$38,26,0)</f>
        <v>0</v>
      </c>
      <c r="T14" s="36">
        <f>VLOOKUP($A14,[24]HISTOAOUT24!$A$6:$BG$38,58,0)</f>
        <v>0</v>
      </c>
      <c r="U14" s="36">
        <f>VLOOKUP($A14,[24]HISTOAOUT24!$A$6:$AU$38,28,0)</f>
        <v>0</v>
      </c>
      <c r="V14" s="36">
        <f>VLOOKUP($A14,[24]HISTOAOUT24!$A$6:$AU$38,19,0)</f>
        <v>0</v>
      </c>
      <c r="W14" s="36">
        <f>VLOOKUP($A14,[24]HISTOAOUT24!$A$6:$AU$38,20,0)</f>
        <v>0</v>
      </c>
      <c r="X14" s="36">
        <f>VLOOKUP($A14,[24]HISTOAOUT24!$A$6:$AU$38,27,0)</f>
        <v>0</v>
      </c>
      <c r="Y14" s="36">
        <f>VLOOKUP($A14,[24]HISTOAOUT24!$A$6:$BM$38,33,0)</f>
        <v>0</v>
      </c>
      <c r="Z14" s="36">
        <f>VLOOKUP($A14,[24]HISTOAOUT24!$A$6:$BM$38,65,0)</f>
        <v>0</v>
      </c>
      <c r="AA14" s="36"/>
      <c r="AB14" s="36">
        <f>VLOOKUP($A14,[24]HISTOAOUT24!$A$6:$AU$38,43,0)</f>
        <v>0</v>
      </c>
      <c r="AC14" s="36">
        <f>VLOOKUP($A14,[24]HISTOAOUT24!$A$6:$AU$38,44,0)</f>
        <v>0</v>
      </c>
      <c r="AD14" s="36">
        <f>VLOOKUP($A14,[24]HISTOAOUT24!$A$6:$AU$38,47,0)</f>
        <v>0</v>
      </c>
      <c r="AE14" s="36">
        <f>VLOOKUP(A14,[24]HISTOAOUT24!$A$6:$BB$38,54,0)</f>
        <v>0</v>
      </c>
      <c r="AF14" s="36">
        <f>VLOOKUP($A14,[24]HISTOAOUT24!$A$6:$CA$38,60,0)</f>
        <v>0</v>
      </c>
      <c r="AG14" s="36">
        <f>VLOOKUP($A14,[24]HISTOAOUT24!$A$6:$CA$38,61,0)</f>
        <v>0</v>
      </c>
      <c r="AH14" s="36">
        <f>VLOOKUP($A14,[24]HISTOAOUT24!$A$6:$CA$38,62,0)</f>
        <v>0</v>
      </c>
      <c r="AI14" s="36">
        <f>VLOOKUP($A14,[24]HISTOAOUT24!$A$6:$CA$38,63,0)</f>
        <v>0</v>
      </c>
      <c r="AJ14" s="36">
        <f>VLOOKUP($A14,[24]HISTOAOUT24!$A$6:$CA$38,64,0)</f>
        <v>0</v>
      </c>
      <c r="AK14" s="36">
        <f>VLOOKUP($A14,[24]HISTOAOUT24!$A$6:$CA$38,65,0)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VLOOKUP($A15,[24]HISTOAOUT24!$A$6:$BA$38,48,0)</f>
        <v>0</v>
      </c>
      <c r="F15" s="36">
        <f>MVTJUIL24!I15-E15+L15</f>
        <v>961309.62153810938</v>
      </c>
      <c r="G15" s="5">
        <f>IF(MVTJUIL24!I15+L15&gt;700000,(MVTJUIL24!I15-E15+L15),0)</f>
        <v>961309.62153810938</v>
      </c>
      <c r="H15" s="36">
        <f t="shared" si="0"/>
        <v>0</v>
      </c>
      <c r="I15" s="6">
        <f t="shared" si="2"/>
        <v>961309.62153810938</v>
      </c>
      <c r="J15" s="36">
        <f>VLOOKUP($A15,[24]HISTOAOUT24!$A$6:$AQ$42,22,0)</f>
        <v>0</v>
      </c>
      <c r="K15" s="36">
        <f>VLOOKUP($A15,[24]HISTOAOUT24!$A$6:$AU$38,45,0)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VLOOKUP($A15,[24]HISTOAOUT24!$A$6:$AU$38,7,0)</f>
        <v>0</v>
      </c>
      <c r="Q15" s="36">
        <f>VLOOKUP($A15,[24]HISTOAOUT24!$A$6:$AU$38,23,0)</f>
        <v>0</v>
      </c>
      <c r="R15" s="36">
        <f>VLOOKUP($A15,[24]HISTOAOUT24!$A$6:$AU$38,46,0)</f>
        <v>0</v>
      </c>
      <c r="S15" s="36">
        <f>VLOOKUP($A15,[24]HISTOAOUT24!$A$6:$AU$38,26,0)</f>
        <v>0</v>
      </c>
      <c r="T15" s="36">
        <f>VLOOKUP($A15,[24]HISTOAOUT24!$A$6:$BG$38,58,0)</f>
        <v>0</v>
      </c>
      <c r="U15" s="36">
        <f>VLOOKUP($A15,[24]HISTOAOUT24!$A$6:$AU$38,28,0)</f>
        <v>0</v>
      </c>
      <c r="V15" s="36">
        <f>VLOOKUP($A15,[24]HISTOAOUT24!$A$6:$AU$38,19,0)</f>
        <v>0</v>
      </c>
      <c r="W15" s="36">
        <f>VLOOKUP($A15,[24]HISTOAOUT24!$A$6:$AU$38,20,0)</f>
        <v>0</v>
      </c>
      <c r="X15" s="36">
        <f>VLOOKUP($A15,[24]HISTOAOUT24!$A$6:$AU$38,27,0)</f>
        <v>0</v>
      </c>
      <c r="Y15" s="36">
        <f>VLOOKUP($A15,[24]HISTOAOUT24!$A$6:$BM$38,33,0)</f>
        <v>0</v>
      </c>
      <c r="Z15" s="36">
        <f>VLOOKUP($A15,[24]HISTOAOUT24!$A$6:$BM$38,65,0)</f>
        <v>0</v>
      </c>
      <c r="AA15" s="36"/>
      <c r="AB15" s="36">
        <f>VLOOKUP($A15,[24]HISTOAOUT24!$A$6:$AU$38,43,0)</f>
        <v>0</v>
      </c>
      <c r="AC15" s="36">
        <f>VLOOKUP($A15,[24]HISTOAOUT24!$A$6:$AU$38,44,0)</f>
        <v>0</v>
      </c>
      <c r="AD15" s="36">
        <f>VLOOKUP($A15,[24]HISTOAOUT24!$A$6:$AU$38,47,0)</f>
        <v>0</v>
      </c>
      <c r="AE15" s="36">
        <f>VLOOKUP(A15,[24]HISTOAOUT24!$A$6:$BB$38,54,0)</f>
        <v>0</v>
      </c>
      <c r="AF15" s="36">
        <f>VLOOKUP($A15,[24]HISTOAOUT24!$A$6:$CA$38,60,0)</f>
        <v>0</v>
      </c>
      <c r="AG15" s="36">
        <f>VLOOKUP($A15,[24]HISTOAOUT24!$A$6:$CA$38,61,0)</f>
        <v>0</v>
      </c>
      <c r="AH15" s="36">
        <f>VLOOKUP($A15,[24]HISTOAOUT24!$A$6:$CA$38,62,0)</f>
        <v>0</v>
      </c>
      <c r="AI15" s="36">
        <f>VLOOKUP($A15,[24]HISTOAOUT24!$A$6:$CA$38,63,0)</f>
        <v>0</v>
      </c>
      <c r="AJ15" s="36">
        <f>VLOOKUP($A15,[24]HISTOAOUT24!$A$6:$CA$38,64,0)</f>
        <v>0</v>
      </c>
      <c r="AK15" s="36">
        <f>VLOOKUP($A15,[24]HISTOAOUT24!$A$6:$CA$38,65,0)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VLOOKUP($A16,[24]HISTOAOUT24!$A$6:$BA$38,48,0)</f>
        <v>0</v>
      </c>
      <c r="F16" s="36">
        <f>MVTJUIL24!I16-E16+L16</f>
        <v>1071858.7065070483</v>
      </c>
      <c r="G16" s="5">
        <f>IF(MVTJUIL24!I16+L16&gt;700000,(MVTJUIL24!I16-E16+L16),0)</f>
        <v>1071858.7065070483</v>
      </c>
      <c r="H16" s="36">
        <f t="shared" si="0"/>
        <v>0</v>
      </c>
      <c r="I16" s="6">
        <f t="shared" si="2"/>
        <v>1071858.7065070483</v>
      </c>
      <c r="J16" s="36">
        <f>VLOOKUP($A16,[24]HISTOAOUT24!$A$6:$AQ$42,22,0)</f>
        <v>0</v>
      </c>
      <c r="K16" s="36">
        <f>VLOOKUP($A16,[24]HISTOAOUT24!$A$6:$AU$38,45,0)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VLOOKUP($A16,[24]HISTOAOUT24!$A$6:$AU$38,7,0)</f>
        <v>0</v>
      </c>
      <c r="Q16" s="36">
        <f>VLOOKUP($A16,[24]HISTOAOUT24!$A$6:$AU$38,23,0)</f>
        <v>0</v>
      </c>
      <c r="R16" s="36">
        <f>VLOOKUP($A16,[24]HISTOAOUT24!$A$6:$AU$38,46,0)</f>
        <v>0</v>
      </c>
      <c r="S16" s="36">
        <f>VLOOKUP($A16,[24]HISTOAOUT24!$A$6:$AU$38,26,0)</f>
        <v>0</v>
      </c>
      <c r="T16" s="36">
        <f>VLOOKUP($A16,[24]HISTOAOUT24!$A$6:$BG$38,58,0)</f>
        <v>0</v>
      </c>
      <c r="U16" s="36">
        <f>VLOOKUP($A16,[24]HISTOAOUT24!$A$6:$AU$38,28,0)</f>
        <v>0</v>
      </c>
      <c r="V16" s="36">
        <f>VLOOKUP($A16,[24]HISTOAOUT24!$A$6:$AU$38,19,0)</f>
        <v>0</v>
      </c>
      <c r="W16" s="36">
        <f>VLOOKUP($A16,[24]HISTOAOUT24!$A$6:$AU$38,20,0)</f>
        <v>0</v>
      </c>
      <c r="X16" s="36">
        <f>VLOOKUP($A16,[24]HISTOAOUT24!$A$6:$AU$38,27,0)</f>
        <v>0</v>
      </c>
      <c r="Y16" s="36">
        <f>VLOOKUP($A16,[24]HISTOAOUT24!$A$6:$BM$38,33,0)</f>
        <v>0</v>
      </c>
      <c r="Z16" s="36">
        <f>VLOOKUP($A16,[24]HISTOAOUT24!$A$6:$BM$38,65,0)</f>
        <v>0</v>
      </c>
      <c r="AA16" s="36"/>
      <c r="AB16" s="36">
        <f>VLOOKUP($A16,[24]HISTOAOUT24!$A$6:$AU$38,43,0)</f>
        <v>0</v>
      </c>
      <c r="AC16" s="36">
        <f>VLOOKUP($A16,[24]HISTOAOUT24!$A$6:$AU$38,44,0)</f>
        <v>0</v>
      </c>
      <c r="AD16" s="36">
        <f>VLOOKUP($A16,[24]HISTOAOUT24!$A$6:$AU$38,47,0)</f>
        <v>0</v>
      </c>
      <c r="AE16" s="36">
        <f>VLOOKUP(A16,[24]HISTOAOUT24!$A$6:$BB$38,54,0)</f>
        <v>0</v>
      </c>
      <c r="AF16" s="36">
        <f>VLOOKUP($A16,[24]HISTOAOUT24!$A$6:$CA$38,60,0)</f>
        <v>0</v>
      </c>
      <c r="AG16" s="36">
        <f>VLOOKUP($A16,[24]HISTOAOUT24!$A$6:$CA$38,61,0)</f>
        <v>0</v>
      </c>
      <c r="AH16" s="36">
        <f>VLOOKUP($A16,[24]HISTOAOUT24!$A$6:$CA$38,62,0)</f>
        <v>0</v>
      </c>
      <c r="AI16" s="36">
        <f>VLOOKUP($A16,[24]HISTOAOUT24!$A$6:$CA$38,63,0)</f>
        <v>0</v>
      </c>
      <c r="AJ16" s="36">
        <f>VLOOKUP($A16,[24]HISTOAOUT24!$A$6:$CA$38,64,0)</f>
        <v>0</v>
      </c>
      <c r="AK16" s="36">
        <f>VLOOKUP($A16,[24]HISTOAOUT24!$A$6:$CA$38,65,0)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VLOOKUP($A17,[24]HISTOAOUT24!$A$6:$BA$38,48,0)</f>
        <v>0</v>
      </c>
      <c r="F17" s="36">
        <f>MVTJUIL24!I17-E17+L17</f>
        <v>909402.7005255461</v>
      </c>
      <c r="G17" s="5">
        <f>IF(MVTJUIL24!I17+L17&gt;700000,(MVTJUIL24!I17-E17+L17),0)</f>
        <v>909402.7005255461</v>
      </c>
      <c r="H17" s="36">
        <f t="shared" si="0"/>
        <v>0</v>
      </c>
      <c r="I17" s="6">
        <f t="shared" si="2"/>
        <v>909402.7005255461</v>
      </c>
      <c r="J17" s="36">
        <f>VLOOKUP($A17,[24]HISTOAOUT24!$A$6:$AQ$42,22,0)</f>
        <v>0</v>
      </c>
      <c r="K17" s="36">
        <f>VLOOKUP($A17,[24]HISTOAOUT24!$A$6:$AU$38,45,0)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VLOOKUP($A17,[24]HISTOAOUT24!$A$6:$AU$38,7,0)</f>
        <v>0</v>
      </c>
      <c r="Q17" s="36">
        <f>VLOOKUP($A17,[24]HISTOAOUT24!$A$6:$AU$38,23,0)</f>
        <v>0</v>
      </c>
      <c r="R17" s="36">
        <f>VLOOKUP($A17,[24]HISTOAOUT24!$A$6:$AU$38,46,0)</f>
        <v>0</v>
      </c>
      <c r="S17" s="36">
        <f>VLOOKUP($A17,[24]HISTOAOUT24!$A$6:$AU$38,26,0)</f>
        <v>0</v>
      </c>
      <c r="T17" s="36">
        <f>VLOOKUP($A17,[24]HISTOAOUT24!$A$6:$BG$38,58,0)</f>
        <v>0</v>
      </c>
      <c r="U17" s="36">
        <f>VLOOKUP($A17,[24]HISTOAOUT24!$A$6:$AU$38,28,0)</f>
        <v>0</v>
      </c>
      <c r="V17" s="36">
        <f>VLOOKUP($A17,[24]HISTOAOUT24!$A$6:$AU$38,19,0)</f>
        <v>0</v>
      </c>
      <c r="W17" s="36">
        <f>VLOOKUP($A17,[24]HISTOAOUT24!$A$6:$AU$38,20,0)</f>
        <v>0</v>
      </c>
      <c r="X17" s="36">
        <f>VLOOKUP($A17,[24]HISTOAOUT24!$A$6:$AU$38,27,0)</f>
        <v>0</v>
      </c>
      <c r="Y17" s="36">
        <f>VLOOKUP($A17,[24]HISTOAOUT24!$A$6:$BM$38,33,0)</f>
        <v>0</v>
      </c>
      <c r="Z17" s="36">
        <f>VLOOKUP($A17,[24]HISTOAOUT24!$A$6:$BM$38,65,0)</f>
        <v>0</v>
      </c>
      <c r="AA17" s="36"/>
      <c r="AB17" s="36">
        <f>VLOOKUP($A17,[24]HISTOAOUT24!$A$6:$AU$38,43,0)</f>
        <v>0</v>
      </c>
      <c r="AC17" s="36">
        <f>VLOOKUP($A17,[24]HISTOAOUT24!$A$6:$AU$38,44,0)</f>
        <v>0</v>
      </c>
      <c r="AD17" s="36">
        <f>VLOOKUP($A17,[24]HISTOAOUT24!$A$6:$AU$38,47,0)</f>
        <v>0</v>
      </c>
      <c r="AE17" s="36">
        <f>VLOOKUP(A17,[24]HISTOAOUT24!$A$6:$BB$38,54,0)</f>
        <v>0</v>
      </c>
      <c r="AF17" s="36">
        <f>VLOOKUP($A17,[24]HISTOAOUT24!$A$6:$CA$38,60,0)</f>
        <v>0</v>
      </c>
      <c r="AG17" s="36">
        <f>VLOOKUP($A17,[24]HISTOAOUT24!$A$6:$CA$38,61,0)</f>
        <v>0</v>
      </c>
      <c r="AH17" s="36">
        <f>VLOOKUP($A17,[24]HISTOAOUT24!$A$6:$CA$38,62,0)</f>
        <v>0</v>
      </c>
      <c r="AI17" s="36">
        <f>VLOOKUP($A17,[24]HISTOAOUT24!$A$6:$CA$38,63,0)</f>
        <v>0</v>
      </c>
      <c r="AJ17" s="36">
        <f>VLOOKUP($A17,[24]HISTOAOUT24!$A$6:$CA$38,64,0)</f>
        <v>0</v>
      </c>
      <c r="AK17" s="36">
        <f>VLOOKUP($A17,[24]HISTOAOUT24!$A$6:$CA$38,65,0)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VLOOKUP($A18,[24]HISTOAOUT24!$A$6:$BA$38,48,0)</f>
        <v>0</v>
      </c>
      <c r="F18" s="36">
        <f>MVTJUIL24!I18-E18+L18</f>
        <v>955662.76419736946</v>
      </c>
      <c r="G18" s="5">
        <f>IF(MVTJUIL24!I18+L18&gt;700000,(MVTJUIL24!I18-E18+L18),0)</f>
        <v>955662.76419736946</v>
      </c>
      <c r="H18" s="36">
        <f t="shared" si="0"/>
        <v>0</v>
      </c>
      <c r="I18" s="6">
        <f t="shared" si="2"/>
        <v>955662.76419736946</v>
      </c>
      <c r="J18" s="36">
        <f>VLOOKUP($A18,[24]HISTOAOUT24!$A$6:$AQ$42,22,0)</f>
        <v>0</v>
      </c>
      <c r="K18" s="36">
        <f>VLOOKUP($A18,[24]HISTOAOUT24!$A$6:$AU$38,45,0)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VLOOKUP($A18,[24]HISTOAOUT24!$A$6:$AU$38,7,0)</f>
        <v>0</v>
      </c>
      <c r="Q18" s="36">
        <f>VLOOKUP($A18,[24]HISTOAOUT24!$A$6:$AU$38,23,0)</f>
        <v>0</v>
      </c>
      <c r="R18" s="36">
        <f>VLOOKUP($A18,[24]HISTOAOUT24!$A$6:$AU$38,46,0)</f>
        <v>0</v>
      </c>
      <c r="S18" s="36">
        <f>VLOOKUP($A18,[24]HISTOAOUT24!$A$6:$AU$38,26,0)</f>
        <v>0</v>
      </c>
      <c r="T18" s="36">
        <f>VLOOKUP($A18,[24]HISTOAOUT24!$A$6:$BG$38,58,0)</f>
        <v>0</v>
      </c>
      <c r="U18" s="36">
        <f>VLOOKUP($A18,[24]HISTOAOUT24!$A$6:$AU$38,28,0)</f>
        <v>0</v>
      </c>
      <c r="V18" s="36">
        <f>VLOOKUP($A18,[24]HISTOAOUT24!$A$6:$AU$38,19,0)</f>
        <v>0</v>
      </c>
      <c r="W18" s="36">
        <f>VLOOKUP($A18,[24]HISTOAOUT24!$A$6:$AU$38,20,0)</f>
        <v>0</v>
      </c>
      <c r="X18" s="36">
        <f>VLOOKUP($A18,[24]HISTOAOUT24!$A$6:$AU$38,27,0)</f>
        <v>0</v>
      </c>
      <c r="Y18" s="36">
        <f>VLOOKUP($A18,[24]HISTOAOUT24!$A$6:$BM$38,33,0)</f>
        <v>0</v>
      </c>
      <c r="Z18" s="36">
        <f>VLOOKUP($A18,[24]HISTOAOUT24!$A$6:$BM$38,65,0)</f>
        <v>0</v>
      </c>
      <c r="AA18" s="36"/>
      <c r="AB18" s="36">
        <f>VLOOKUP($A18,[24]HISTOAOUT24!$A$6:$AU$38,43,0)</f>
        <v>0</v>
      </c>
      <c r="AC18" s="36">
        <f>VLOOKUP($A18,[24]HISTOAOUT24!$A$6:$AU$38,44,0)</f>
        <v>0</v>
      </c>
      <c r="AD18" s="36">
        <f>VLOOKUP($A18,[24]HISTOAOUT24!$A$6:$AU$38,47,0)</f>
        <v>0</v>
      </c>
      <c r="AE18" s="36">
        <f>VLOOKUP(A18,[24]HISTOAOUT24!$A$6:$BB$38,54,0)</f>
        <v>0</v>
      </c>
      <c r="AF18" s="36">
        <f>VLOOKUP($A18,[24]HISTOAOUT24!$A$6:$CA$38,60,0)</f>
        <v>0</v>
      </c>
      <c r="AG18" s="36">
        <f>VLOOKUP($A18,[24]HISTOAOUT24!$A$6:$CA$38,61,0)</f>
        <v>0</v>
      </c>
      <c r="AH18" s="36">
        <f>VLOOKUP($A18,[24]HISTOAOUT24!$A$6:$CA$38,62,0)</f>
        <v>0</v>
      </c>
      <c r="AI18" s="36">
        <f>VLOOKUP($A18,[24]HISTOAOUT24!$A$6:$CA$38,63,0)</f>
        <v>0</v>
      </c>
      <c r="AJ18" s="36">
        <f>VLOOKUP($A18,[24]HISTOAOUT24!$A$6:$CA$38,64,0)</f>
        <v>0</v>
      </c>
      <c r="AK18" s="36">
        <f>VLOOKUP($A18,[24]HISTOAOUT24!$A$6:$CA$38,65,0)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MVTJUIL24!I19-E19+L19</f>
        <v>676217.13072703336</v>
      </c>
      <c r="G19" s="5">
        <f>IF(MVTJUIL24!I19+L19&gt;700000,(MVTJUIL24!I19-E19+L19),0)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MVTJUIL24!I20-E20+L20</f>
        <v>152000</v>
      </c>
      <c r="G20" s="5">
        <f>IF(MVTJUIL24!I20+L20&gt;700000,(MVTJUIL24!I20-E20+L20),0)</f>
        <v>0</v>
      </c>
      <c r="H20" s="36">
        <f t="shared" si="0"/>
        <v>0</v>
      </c>
      <c r="I20" s="6">
        <f t="shared" si="2"/>
        <v>152000</v>
      </c>
      <c r="J20" s="36">
        <f>VLOOKUP($A20,[24]HISTOAOUT24!$A$6:$AQ$42,22,0)</f>
        <v>0</v>
      </c>
      <c r="K20" s="36">
        <f>VLOOKUP($A20,[24]HISTOAOUT24!$A$6:$AU$38,45,0)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VLOOKUP($A20,[24]HISTOAOUT24!$A$6:$AU$38,7,0)</f>
        <v>0</v>
      </c>
      <c r="Q20" s="36">
        <f>VLOOKUP($A20,[24]HISTOAOUT24!$A$6:$AU$38,23,0)</f>
        <v>0</v>
      </c>
      <c r="R20" s="36">
        <f>VLOOKUP($A20,[24]HISTOAOUT24!$A$6:$AU$38,46,0)</f>
        <v>0</v>
      </c>
      <c r="S20" s="36">
        <f>VLOOKUP($A20,[24]HISTOAOUT24!$A$6:$AU$38,26,0)</f>
        <v>0</v>
      </c>
      <c r="T20" s="36">
        <f>VLOOKUP($A20,[24]HISTOAOUT24!$A$6:$BG$38,58,0)</f>
        <v>0</v>
      </c>
      <c r="U20" s="36">
        <f>VLOOKUP($A20,[24]HISTOAOUT24!$A$6:$AU$38,28,0)</f>
        <v>0</v>
      </c>
      <c r="V20" s="36">
        <f>VLOOKUP($A20,[24]HISTOAOUT24!$A$6:$AU$38,19,0)</f>
        <v>0</v>
      </c>
      <c r="W20" s="36">
        <f>VLOOKUP($A20,[24]HISTOAOUT24!$A$6:$AU$38,20,0)</f>
        <v>0</v>
      </c>
      <c r="X20" s="36">
        <f>VLOOKUP($A20,[24]HISTOAOUT24!$A$6:$AU$38,27,0)</f>
        <v>0</v>
      </c>
      <c r="Y20" s="36">
        <f>VLOOKUP($A20,[24]HISTOAOUT24!$A$6:$BM$38,33,0)</f>
        <v>0</v>
      </c>
      <c r="Z20" s="36">
        <f>VLOOKUP($A20,[24]HISTOAOUT24!$A$6:$BM$38,65,0)</f>
        <v>0</v>
      </c>
      <c r="AA20" s="36"/>
      <c r="AB20" s="36">
        <f>VLOOKUP($A20,[24]HISTOAOUT24!$A$6:$AU$38,43,0)</f>
        <v>0</v>
      </c>
      <c r="AC20" s="36">
        <f>VLOOKUP($A20,[24]HISTOAOUT24!$A$6:$AU$38,44,0)</f>
        <v>0</v>
      </c>
      <c r="AD20" s="36">
        <f>VLOOKUP($A20,[24]HISTOAOUT24!$A$6:$AU$38,47,0)</f>
        <v>0</v>
      </c>
      <c r="AE20" s="36">
        <f>VLOOKUP(A20,[24]HISTOAOUT24!$A$6:$BB$38,54,0)</f>
        <v>0</v>
      </c>
      <c r="AF20" s="36">
        <f>VLOOKUP($A20,[24]HISTOAOUT24!$A$6:$CA$38,60,0)</f>
        <v>0</v>
      </c>
      <c r="AG20" s="36">
        <f>VLOOKUP($A20,[24]HISTOAOUT24!$A$6:$CA$38,61,0)</f>
        <v>0</v>
      </c>
      <c r="AH20" s="36">
        <f>VLOOKUP($A20,[24]HISTOAOUT24!$A$6:$CA$38,62,0)</f>
        <v>0</v>
      </c>
      <c r="AI20" s="36">
        <f>VLOOKUP($A20,[24]HISTOAOUT24!$A$6:$CA$38,63,0)</f>
        <v>0</v>
      </c>
      <c r="AJ20" s="36">
        <f>VLOOKUP($A20,[24]HISTOAOUT24!$A$6:$CA$38,64,0)</f>
        <v>0</v>
      </c>
      <c r="AK20" s="36">
        <f>VLOOKUP($A20,[24]HISTOAOUT24!$A$6:$CA$38,65,0)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MVTJUIL24!I21-E21+L21</f>
        <v>932355.80062958295</v>
      </c>
      <c r="G21" s="5">
        <f>IF(MVTJUIL24!I21+L21&gt;700000,(MVTJUIL24!I21-E21+L21),0)</f>
        <v>932355.80062958295</v>
      </c>
      <c r="H21" s="36">
        <f t="shared" si="0"/>
        <v>0</v>
      </c>
      <c r="I21" s="6">
        <f t="shared" si="2"/>
        <v>932355.80062958295</v>
      </c>
      <c r="J21" s="36">
        <f>VLOOKUP($A21,[24]HISTOAOUT24!$A$6:$AQ$42,22,0)</f>
        <v>0</v>
      </c>
      <c r="K21" s="36">
        <f>VLOOKUP($A21,[24]HISTOAOUT24!$A$6:$AU$38,45,0)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VLOOKUP($A21,[24]HISTOAOUT24!$A$6:$AU$38,7,0)</f>
        <v>0</v>
      </c>
      <c r="Q21" s="36">
        <f>VLOOKUP($A21,[24]HISTOAOUT24!$A$6:$AU$38,23,0)</f>
        <v>0</v>
      </c>
      <c r="R21" s="36">
        <f>VLOOKUP($A21,[24]HISTOAOUT24!$A$6:$AU$38,46,0)</f>
        <v>0</v>
      </c>
      <c r="S21" s="36">
        <f>VLOOKUP($A21,[24]HISTOAOUT24!$A$6:$AU$38,26,0)</f>
        <v>0</v>
      </c>
      <c r="T21" s="36">
        <f>VLOOKUP($A21,[24]HISTOAOUT24!$A$6:$BG$38,58,0)</f>
        <v>0</v>
      </c>
      <c r="U21" s="36">
        <f>VLOOKUP($A21,[24]HISTOAOUT24!$A$6:$AU$38,28,0)</f>
        <v>0</v>
      </c>
      <c r="V21" s="36">
        <f>VLOOKUP($A21,[24]HISTOAOUT24!$A$6:$AU$38,19,0)</f>
        <v>0</v>
      </c>
      <c r="W21" s="36">
        <f>VLOOKUP($A21,[24]HISTOAOUT24!$A$6:$AU$38,20,0)</f>
        <v>0</v>
      </c>
      <c r="X21" s="36">
        <f>VLOOKUP($A21,[24]HISTOAOUT24!$A$6:$AU$38,27,0)</f>
        <v>0</v>
      </c>
      <c r="Y21" s="36">
        <f>VLOOKUP($A21,[24]HISTOAOUT24!$A$6:$BM$38,33,0)</f>
        <v>0</v>
      </c>
      <c r="Z21" s="36">
        <f>VLOOKUP($A21,[24]HISTOAOUT24!$A$6:$BM$38,65,0)</f>
        <v>0</v>
      </c>
      <c r="AA21" s="36"/>
      <c r="AB21" s="36">
        <f>VLOOKUP($A21,[24]HISTOAOUT24!$A$6:$AU$38,43,0)</f>
        <v>0</v>
      </c>
      <c r="AC21" s="36">
        <f>VLOOKUP($A21,[24]HISTOAOUT24!$A$6:$AU$38,44,0)</f>
        <v>0</v>
      </c>
      <c r="AD21" s="36">
        <f>VLOOKUP($A21,[24]HISTOAOUT24!$A$6:$AU$38,47,0)</f>
        <v>0</v>
      </c>
      <c r="AE21" s="36">
        <f>VLOOKUP(A21,[24]HISTOAOUT24!$A$6:$BB$38,54,0)</f>
        <v>0</v>
      </c>
      <c r="AF21" s="36">
        <f>VLOOKUP($A21,[24]HISTOAOUT24!$A$6:$CA$38,60,0)</f>
        <v>0</v>
      </c>
      <c r="AG21" s="36">
        <f>VLOOKUP($A21,[24]HISTOAOUT24!$A$6:$CA$38,61,0)</f>
        <v>0</v>
      </c>
      <c r="AH21" s="36">
        <f>VLOOKUP($A21,[24]HISTOAOUT24!$A$6:$CA$38,62,0)</f>
        <v>0</v>
      </c>
      <c r="AI21" s="36">
        <f>VLOOKUP($A21,[24]HISTOAOUT24!$A$6:$CA$38,63,0)</f>
        <v>0</v>
      </c>
      <c r="AJ21" s="36">
        <f>VLOOKUP($A21,[24]HISTOAOUT24!$A$6:$CA$38,64,0)</f>
        <v>0</v>
      </c>
      <c r="AK21" s="36">
        <f>VLOOKUP($A21,[24]HISTOAOUT24!$A$6:$CA$38,65,0)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MVTJUIL24!I22-E22+L22</f>
        <v>900738.95952735876</v>
      </c>
      <c r="G22" s="5">
        <f>IF(MVTJUIL24!I22+L22&gt;700000,(MVTJUIL24!I22-E22+L22),0)</f>
        <v>900738.95952735876</v>
      </c>
      <c r="H22" s="36">
        <f t="shared" si="0"/>
        <v>0</v>
      </c>
      <c r="I22" s="6">
        <f t="shared" si="2"/>
        <v>900738.95952735876</v>
      </c>
      <c r="J22" s="36">
        <f>VLOOKUP($A22,[24]HISTOAOUT24!$A$6:$AQ$42,22,0)</f>
        <v>0</v>
      </c>
      <c r="K22" s="36">
        <f>VLOOKUP($A22,[24]HISTOAOUT24!$A$6:$AU$38,45,0)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VLOOKUP($A22,[24]HISTOAOUT24!$A$6:$AU$38,7,0)</f>
        <v>0</v>
      </c>
      <c r="Q22" s="36">
        <f>VLOOKUP($A22,[24]HISTOAOUT24!$A$6:$AU$38,23,0)</f>
        <v>0</v>
      </c>
      <c r="R22" s="36">
        <f>VLOOKUP($A22,[24]HISTOAOUT24!$A$6:$AU$38,46,0)</f>
        <v>0</v>
      </c>
      <c r="S22" s="36">
        <f>VLOOKUP($A22,[24]HISTOAOUT24!$A$6:$AU$38,26,0)</f>
        <v>0</v>
      </c>
      <c r="T22" s="36">
        <f>VLOOKUP($A22,[24]HISTOAOUT24!$A$6:$BG$38,58,0)</f>
        <v>0</v>
      </c>
      <c r="U22" s="36">
        <f>VLOOKUP($A22,[24]HISTOAOUT24!$A$6:$AU$38,28,0)</f>
        <v>0</v>
      </c>
      <c r="V22" s="36">
        <f>VLOOKUP($A22,[24]HISTOAOUT24!$A$6:$AU$38,19,0)</f>
        <v>0</v>
      </c>
      <c r="W22" s="36">
        <f>VLOOKUP($A22,[24]HISTOAOUT24!$A$6:$AU$38,20,0)</f>
        <v>0</v>
      </c>
      <c r="X22" s="36">
        <f>VLOOKUP($A22,[24]HISTOAOUT24!$A$6:$AU$38,27,0)</f>
        <v>0</v>
      </c>
      <c r="Y22" s="36">
        <f>VLOOKUP($A22,[24]HISTOAOUT24!$A$6:$BM$38,33,0)</f>
        <v>0</v>
      </c>
      <c r="Z22" s="36">
        <f>VLOOKUP($A22,[24]HISTOAOUT24!$A$6:$BM$38,65,0)</f>
        <v>0</v>
      </c>
      <c r="AA22" s="36"/>
      <c r="AB22" s="36">
        <f>VLOOKUP($A22,[24]HISTOAOUT24!$A$6:$AU$38,43,0)</f>
        <v>0</v>
      </c>
      <c r="AC22" s="36">
        <f>VLOOKUP($A22,[24]HISTOAOUT24!$A$6:$AU$38,44,0)</f>
        <v>0</v>
      </c>
      <c r="AD22" s="36">
        <f>VLOOKUP($A22,[24]HISTOAOUT24!$A$6:$AU$38,47,0)</f>
        <v>0</v>
      </c>
      <c r="AE22" s="36">
        <f>VLOOKUP(A22,[24]HISTOAOUT24!$A$6:$BB$38,54,0)</f>
        <v>0</v>
      </c>
      <c r="AF22" s="36">
        <f>VLOOKUP($A22,[24]HISTOAOUT24!$A$6:$CA$38,60,0)</f>
        <v>0</v>
      </c>
      <c r="AG22" s="36">
        <f>VLOOKUP($A22,[24]HISTOAOUT24!$A$6:$CA$38,61,0)</f>
        <v>0</v>
      </c>
      <c r="AH22" s="36">
        <f>VLOOKUP($A22,[24]HISTOAOUT24!$A$6:$CA$38,62,0)</f>
        <v>0</v>
      </c>
      <c r="AI22" s="36">
        <f>VLOOKUP($A22,[24]HISTOAOUT24!$A$6:$CA$38,63,0)</f>
        <v>0</v>
      </c>
      <c r="AJ22" s="36">
        <f>VLOOKUP($A22,[24]HISTOAOUT24!$A$6:$CA$38,64,0)</f>
        <v>0</v>
      </c>
      <c r="AK22" s="36">
        <f>VLOOKUP($A22,[24]HISTOAOUT24!$A$6:$CA$38,65,0)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MVTJUIL24!I23-E23+L23</f>
        <v>1006674.3246731948</v>
      </c>
      <c r="G23" s="5">
        <f>IF(MVTJUIL24!I23+L23&gt;700000,(MVTJUIL24!I23-E23+L23),0)</f>
        <v>1006674.3246731948</v>
      </c>
      <c r="H23" s="36">
        <f t="shared" si="0"/>
        <v>0</v>
      </c>
      <c r="I23" s="6">
        <f t="shared" si="2"/>
        <v>1006674.3246731948</v>
      </c>
      <c r="J23" s="36">
        <f>VLOOKUP($A23,[24]HISTOAOUT24!$A$6:$AQ$42,22,0)</f>
        <v>0</v>
      </c>
      <c r="K23" s="36">
        <f>VLOOKUP($A23,[24]HISTOAOUT24!$A$6:$AU$38,45,0)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VLOOKUP($A23,[24]HISTOAOUT24!$A$6:$AU$38,7,0)</f>
        <v>0</v>
      </c>
      <c r="Q23" s="36">
        <f>VLOOKUP($A23,[24]HISTOAOUT24!$A$6:$AU$38,23,0)</f>
        <v>0</v>
      </c>
      <c r="R23" s="36">
        <f>VLOOKUP($A23,[24]HISTOAOUT24!$A$6:$AU$38,46,0)</f>
        <v>0</v>
      </c>
      <c r="S23" s="36">
        <f>VLOOKUP($A23,[24]HISTOAOUT24!$A$6:$AU$38,26,0)</f>
        <v>0</v>
      </c>
      <c r="T23" s="36">
        <f>VLOOKUP($A23,[24]HISTOAOUT24!$A$6:$BG$38,58,0)</f>
        <v>0</v>
      </c>
      <c r="U23" s="36">
        <f>VLOOKUP($A23,[24]HISTOAOUT24!$A$6:$AU$38,28,0)</f>
        <v>0</v>
      </c>
      <c r="V23" s="36">
        <f>VLOOKUP($A23,[24]HISTOAOUT24!$A$6:$AU$38,19,0)</f>
        <v>0</v>
      </c>
      <c r="W23" s="36">
        <f>VLOOKUP($A23,[24]HISTOAOUT24!$A$6:$AU$38,20,0)</f>
        <v>0</v>
      </c>
      <c r="X23" s="36">
        <f>VLOOKUP($A23,[24]HISTOAOUT24!$A$6:$AU$38,27,0)</f>
        <v>0</v>
      </c>
      <c r="Y23" s="36">
        <f>VLOOKUP($A23,[24]HISTOAOUT24!$A$6:$BM$38,33,0)</f>
        <v>0</v>
      </c>
      <c r="Z23" s="36">
        <f>VLOOKUP($A23,[24]HISTOAOUT24!$A$6:$BM$38,65,0)</f>
        <v>0</v>
      </c>
      <c r="AA23" s="36"/>
      <c r="AB23" s="36">
        <f>VLOOKUP($A23,[24]HISTOAOUT24!$A$6:$AU$38,43,0)</f>
        <v>0</v>
      </c>
      <c r="AC23" s="36">
        <f>VLOOKUP($A23,[24]HISTOAOUT24!$A$6:$AU$38,44,0)</f>
        <v>0</v>
      </c>
      <c r="AD23" s="36">
        <f>VLOOKUP($A23,[24]HISTOAOUT24!$A$6:$AU$38,47,0)</f>
        <v>0</v>
      </c>
      <c r="AE23" s="36">
        <f>VLOOKUP(A23,[24]HISTOAOUT24!$A$6:$BB$38,54,0)</f>
        <v>0</v>
      </c>
      <c r="AF23" s="36">
        <f>VLOOKUP($A23,[24]HISTOAOUT24!$A$6:$CA$38,60,0)</f>
        <v>0</v>
      </c>
      <c r="AG23" s="36">
        <f>VLOOKUP($A23,[24]HISTOAOUT24!$A$6:$CA$38,61,0)</f>
        <v>0</v>
      </c>
      <c r="AH23" s="36">
        <f>VLOOKUP($A23,[24]HISTOAOUT24!$A$6:$CA$38,62,0)</f>
        <v>0</v>
      </c>
      <c r="AI23" s="36">
        <f>VLOOKUP($A23,[24]HISTOAOUT24!$A$6:$CA$38,63,0)</f>
        <v>0</v>
      </c>
      <c r="AJ23" s="36">
        <f>VLOOKUP($A23,[24]HISTOAOUT24!$A$6:$CA$38,64,0)</f>
        <v>0</v>
      </c>
      <c r="AK23" s="36">
        <f>VLOOKUP($A23,[24]HISTOAOUT24!$A$6:$CA$38,65,0)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MVTJUIL24!I24-E24+L24</f>
        <v>1179827.8441992993</v>
      </c>
      <c r="G24" s="5">
        <f>IF(MVTJUIL24!I24+L24&gt;700000,(MVTJUIL24!I24-E24+L24),0)</f>
        <v>1179827.8441992993</v>
      </c>
      <c r="H24" s="36">
        <f t="shared" si="0"/>
        <v>0</v>
      </c>
      <c r="I24" s="6">
        <f t="shared" si="2"/>
        <v>1179827.8441992993</v>
      </c>
      <c r="J24" s="36">
        <f>VLOOKUP($A24,[24]HISTOAOUT24!$A$6:$AQ$42,22,0)</f>
        <v>0</v>
      </c>
      <c r="K24" s="36">
        <f>VLOOKUP($A24,[24]HISTOAOUT24!$A$6:$AU$38,45,0)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VLOOKUP($A24,[24]HISTOAOUT24!$A$6:$AU$38,7,0)</f>
        <v>0</v>
      </c>
      <c r="Q24" s="36">
        <f>VLOOKUP($A24,[24]HISTOAOUT24!$A$6:$AU$38,23,0)</f>
        <v>0</v>
      </c>
      <c r="R24" s="36">
        <f>VLOOKUP($A24,[24]HISTOAOUT24!$A$6:$AU$38,46,0)</f>
        <v>0</v>
      </c>
      <c r="S24" s="36">
        <f>VLOOKUP($A24,[24]HISTOAOUT24!$A$6:$AU$38,26,0)</f>
        <v>0</v>
      </c>
      <c r="T24" s="36">
        <f>VLOOKUP($A24,[24]HISTOAOUT24!$A$6:$BG$38,58,0)</f>
        <v>0</v>
      </c>
      <c r="U24" s="36">
        <f>VLOOKUP($A24,[24]HISTOAOUT24!$A$6:$AU$38,28,0)</f>
        <v>0</v>
      </c>
      <c r="V24" s="36">
        <f>VLOOKUP($A24,[24]HISTOAOUT24!$A$6:$AU$38,19,0)</f>
        <v>0</v>
      </c>
      <c r="W24" s="36">
        <f>VLOOKUP($A24,[24]HISTOAOUT24!$A$6:$AU$38,20,0)</f>
        <v>0</v>
      </c>
      <c r="X24" s="36">
        <f>VLOOKUP($A24,[24]HISTOAOUT24!$A$6:$AU$38,27,0)</f>
        <v>0</v>
      </c>
      <c r="Y24" s="36">
        <f>VLOOKUP($A24,[24]HISTOAOUT24!$A$6:$BM$38,33,0)</f>
        <v>0</v>
      </c>
      <c r="Z24" s="36">
        <f>VLOOKUP($A24,[24]HISTOAOUT24!$A$6:$BM$38,65,0)</f>
        <v>0</v>
      </c>
      <c r="AA24" s="36"/>
      <c r="AB24" s="36">
        <f>VLOOKUP($A24,[24]HISTOAOUT24!$A$6:$AU$38,43,0)</f>
        <v>0</v>
      </c>
      <c r="AC24" s="36">
        <f>VLOOKUP($A24,[24]HISTOAOUT24!$A$6:$AU$38,44,0)</f>
        <v>0</v>
      </c>
      <c r="AD24" s="36">
        <f>VLOOKUP($A24,[24]HISTOAOUT24!$A$6:$AU$38,47,0)</f>
        <v>0</v>
      </c>
      <c r="AE24" s="36">
        <f>VLOOKUP(A24,[24]HISTOAOUT24!$A$6:$BB$38,54,0)</f>
        <v>0</v>
      </c>
      <c r="AF24" s="36">
        <f>VLOOKUP($A24,[24]HISTOAOUT24!$A$6:$CA$38,60,0)</f>
        <v>0</v>
      </c>
      <c r="AG24" s="36">
        <f>VLOOKUP($A24,[24]HISTOAOUT24!$A$6:$CA$38,61,0)</f>
        <v>0</v>
      </c>
      <c r="AH24" s="36">
        <f>VLOOKUP($A24,[24]HISTOAOUT24!$A$6:$CA$38,62,0)</f>
        <v>0</v>
      </c>
      <c r="AI24" s="36">
        <f>VLOOKUP($A24,[24]HISTOAOUT24!$A$6:$CA$38,63,0)</f>
        <v>0</v>
      </c>
      <c r="AJ24" s="36">
        <f>VLOOKUP($A24,[24]HISTOAOUT24!$A$6:$CA$38,64,0)</f>
        <v>0</v>
      </c>
      <c r="AK24" s="36">
        <f>VLOOKUP($A24,[24]HISTOAOUT24!$A$6:$CA$38,65,0)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MVTJUIL24!I25-E25+L25</f>
        <v>991141.79504321574</v>
      </c>
      <c r="G25" s="5">
        <f>IF(MVTJUIL24!I25+L25&gt;700000,(MVTJUIL24!I25-E25+L25),0)</f>
        <v>991141.79504321574</v>
      </c>
      <c r="H25" s="36">
        <f t="shared" si="0"/>
        <v>0</v>
      </c>
      <c r="I25" s="6">
        <f t="shared" si="2"/>
        <v>991141.79504321574</v>
      </c>
      <c r="J25" s="36">
        <f>VLOOKUP($A25,[24]HISTOAOUT24!$A$6:$AQ$42,22,0)</f>
        <v>0</v>
      </c>
      <c r="K25" s="36">
        <f>VLOOKUP($A25,[24]HISTOAOUT24!$A$6:$AU$38,45,0)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VLOOKUP($A25,[24]HISTOAOUT24!$A$6:$AU$38,7,0)</f>
        <v>3000</v>
      </c>
      <c r="Q25" s="36">
        <f>VLOOKUP($A25,[24]HISTOAOUT24!$A$6:$AU$38,23,0)</f>
        <v>0</v>
      </c>
      <c r="R25" s="36">
        <f>VLOOKUP($A25,[24]HISTOAOUT24!$A$6:$AU$38,46,0)</f>
        <v>0</v>
      </c>
      <c r="S25" s="36">
        <f>VLOOKUP($A25,[24]HISTOAOUT24!$A$6:$AU$38,26,0)</f>
        <v>0</v>
      </c>
      <c r="T25" s="36">
        <f>VLOOKUP($A25,[24]HISTOAOUT24!$A$6:$BG$38,58,0)</f>
        <v>0</v>
      </c>
      <c r="U25" s="36">
        <f>VLOOKUP($A25,[24]HISTOAOUT24!$A$6:$AU$38,28,0)</f>
        <v>0</v>
      </c>
      <c r="V25" s="36">
        <f>VLOOKUP($A25,[24]HISTOAOUT24!$A$6:$AU$38,19,0)</f>
        <v>0</v>
      </c>
      <c r="W25" s="36">
        <f>VLOOKUP($A25,[24]HISTOAOUT24!$A$6:$AU$38,20,0)</f>
        <v>0</v>
      </c>
      <c r="X25" s="36">
        <f>VLOOKUP($A25,[24]HISTOAOUT24!$A$6:$AU$38,27,0)</f>
        <v>0</v>
      </c>
      <c r="Y25" s="36">
        <f>VLOOKUP($A25,[24]HISTOAOUT24!$A$6:$BM$38,33,0)</f>
        <v>0</v>
      </c>
      <c r="Z25" s="36">
        <f>VLOOKUP($A25,[24]HISTOAOUT24!$A$6:$BM$38,65,0)</f>
        <v>0</v>
      </c>
      <c r="AA25" s="36"/>
      <c r="AB25" s="36">
        <f>VLOOKUP($A25,[24]HISTOAOUT24!$A$6:$AU$38,43,0)</f>
        <v>0</v>
      </c>
      <c r="AC25" s="36">
        <f>VLOOKUP($A25,[24]HISTOAOUT24!$A$6:$AU$38,44,0)</f>
        <v>0</v>
      </c>
      <c r="AD25" s="36">
        <f>VLOOKUP($A25,[24]HISTOAOUT24!$A$6:$AU$38,47,0)</f>
        <v>0</v>
      </c>
      <c r="AE25" s="36">
        <f>VLOOKUP(A25,[24]HISTOAOUT24!$A$6:$BB$38,54,0)</f>
        <v>0</v>
      </c>
      <c r="AF25" s="36">
        <f>VLOOKUP($A25,[24]HISTOAOUT24!$A$6:$CA$38,60,0)</f>
        <v>0</v>
      </c>
      <c r="AG25" s="36">
        <f>VLOOKUP($A25,[24]HISTOAOUT24!$A$6:$CA$38,61,0)</f>
        <v>0</v>
      </c>
      <c r="AH25" s="36">
        <f>VLOOKUP($A25,[24]HISTOAOUT24!$A$6:$CA$38,62,0)</f>
        <v>0</v>
      </c>
      <c r="AI25" s="36">
        <f>VLOOKUP($A25,[24]HISTOAOUT24!$A$6:$CA$38,63,0)</f>
        <v>0</v>
      </c>
      <c r="AJ25" s="36">
        <f>VLOOKUP($A25,[24]HISTOAOUT24!$A$6:$CA$38,64,0)</f>
        <v>0</v>
      </c>
      <c r="AK25" s="36">
        <f>VLOOKUP($A25,[24]HISTOAOUT24!$A$6:$CA$38,65,0)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MVTJUIL24!I26-E26+L26</f>
        <v>919266.46813543816</v>
      </c>
      <c r="G26" s="5">
        <f>IF(MVTJUIL24!I26+L26&gt;700000,(MVTJUIL24!I26-E26+L26),0)</f>
        <v>919266.46813543816</v>
      </c>
      <c r="H26" s="36">
        <f t="shared" si="0"/>
        <v>0</v>
      </c>
      <c r="I26" s="6">
        <f t="shared" si="2"/>
        <v>919266.46813543816</v>
      </c>
      <c r="J26" s="36">
        <f>VLOOKUP($A26,[24]HISTOAOUT24!$A$6:$AQ$42,22,0)</f>
        <v>0</v>
      </c>
      <c r="K26" s="36">
        <f>VLOOKUP($A26,[24]HISTOAOUT24!$A$6:$AU$38,45,0)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VLOOKUP($A26,[24]HISTOAOUT24!$A$6:$AU$38,7,0)</f>
        <v>0</v>
      </c>
      <c r="Q26" s="36">
        <f>VLOOKUP($A26,[24]HISTOAOUT24!$A$6:$AU$38,23,0)</f>
        <v>0</v>
      </c>
      <c r="R26" s="36">
        <f>VLOOKUP($A26,[24]HISTOAOUT24!$A$6:$AU$38,46,0)</f>
        <v>0</v>
      </c>
      <c r="S26" s="36">
        <f>VLOOKUP($A26,[24]HISTOAOUT24!$A$6:$AU$38,26,0)</f>
        <v>0</v>
      </c>
      <c r="T26" s="36">
        <f>VLOOKUP($A26,[24]HISTOAOUT24!$A$6:$BG$38,58,0)</f>
        <v>0</v>
      </c>
      <c r="U26" s="36">
        <f>VLOOKUP($A26,[24]HISTOAOUT24!$A$6:$AU$38,28,0)</f>
        <v>0</v>
      </c>
      <c r="V26" s="36">
        <f>VLOOKUP($A26,[24]HISTOAOUT24!$A$6:$AU$38,19,0)</f>
        <v>0</v>
      </c>
      <c r="W26" s="36">
        <f>VLOOKUP($A26,[24]HISTOAOUT24!$A$6:$AU$38,20,0)</f>
        <v>0</v>
      </c>
      <c r="X26" s="36">
        <f>VLOOKUP($A26,[24]HISTOAOUT24!$A$6:$AU$38,27,0)</f>
        <v>0</v>
      </c>
      <c r="Y26" s="36">
        <f>VLOOKUP($A26,[24]HISTOAOUT24!$A$6:$BM$38,33,0)</f>
        <v>0</v>
      </c>
      <c r="Z26" s="36">
        <f>VLOOKUP($A26,[24]HISTOAOUT24!$A$6:$BM$38,65,0)</f>
        <v>0</v>
      </c>
      <c r="AA26" s="36"/>
      <c r="AB26" s="36">
        <f>VLOOKUP($A26,[24]HISTOAOUT24!$A$6:$AU$38,43,0)</f>
        <v>0</v>
      </c>
      <c r="AC26" s="36">
        <f>VLOOKUP($A26,[24]HISTOAOUT24!$A$6:$AU$38,44,0)</f>
        <v>0</v>
      </c>
      <c r="AD26" s="36">
        <f>VLOOKUP($A26,[24]HISTOAOUT24!$A$6:$AU$38,47,0)</f>
        <v>0</v>
      </c>
      <c r="AE26" s="36">
        <f>VLOOKUP(A26,[24]HISTOAOUT24!$A$6:$BB$38,54,0)</f>
        <v>0</v>
      </c>
      <c r="AF26" s="36">
        <f>VLOOKUP($A26,[24]HISTOAOUT24!$A$6:$CA$38,60,0)</f>
        <v>0</v>
      </c>
      <c r="AG26" s="36">
        <f>VLOOKUP($A26,[24]HISTOAOUT24!$A$6:$CA$38,61,0)</f>
        <v>0</v>
      </c>
      <c r="AH26" s="36">
        <f>VLOOKUP($A26,[24]HISTOAOUT24!$A$6:$CA$38,62,0)</f>
        <v>0</v>
      </c>
      <c r="AI26" s="36">
        <f>VLOOKUP($A26,[24]HISTOAOUT24!$A$6:$CA$38,63,0)</f>
        <v>0</v>
      </c>
      <c r="AJ26" s="36">
        <f>VLOOKUP($A26,[24]HISTOAOUT24!$A$6:$CA$38,64,0)</f>
        <v>0</v>
      </c>
      <c r="AK26" s="36">
        <f>VLOOKUP($A26,[24]HISTOAOUT24!$A$6:$CA$38,65,0)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MVTJUIL24!I27-E27+L27</f>
        <v>919824.17371512204</v>
      </c>
      <c r="G27" s="5">
        <f>IF(MVTJUIL24!I27+L27&gt;700000,(MVTJUIL24!I27-E27+L27),0)</f>
        <v>919824.17371512204</v>
      </c>
      <c r="H27" s="36">
        <f t="shared" si="0"/>
        <v>0</v>
      </c>
      <c r="I27" s="6">
        <f t="shared" si="2"/>
        <v>919824.17371512204</v>
      </c>
      <c r="J27" s="36">
        <f>VLOOKUP($A27,[24]HISTOAOUT24!$A$6:$AQ$42,22,0)</f>
        <v>0</v>
      </c>
      <c r="K27" s="36">
        <f>VLOOKUP($A27,[24]HISTOAOUT24!$A$6:$AU$38,45,0)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VLOOKUP($A27,[24]HISTOAOUT24!$A$6:$AU$38,7,0)</f>
        <v>0</v>
      </c>
      <c r="Q27" s="36">
        <f>VLOOKUP($A27,[24]HISTOAOUT24!$A$6:$AU$38,23,0)</f>
        <v>0</v>
      </c>
      <c r="R27" s="36">
        <f>VLOOKUP($A27,[24]HISTOAOUT24!$A$6:$AU$38,46,0)</f>
        <v>0</v>
      </c>
      <c r="S27" s="36">
        <f>VLOOKUP($A27,[24]HISTOAOUT24!$A$6:$AU$38,26,0)</f>
        <v>0</v>
      </c>
      <c r="T27" s="36">
        <f>VLOOKUP($A27,[24]HISTOAOUT24!$A$6:$BG$38,58,0)</f>
        <v>0</v>
      </c>
      <c r="U27" s="36">
        <f>VLOOKUP($A27,[24]HISTOAOUT24!$A$6:$AU$38,28,0)</f>
        <v>0</v>
      </c>
      <c r="V27" s="36">
        <f>VLOOKUP($A27,[24]HISTOAOUT24!$A$6:$AU$38,19,0)</f>
        <v>0</v>
      </c>
      <c r="W27" s="36">
        <f>VLOOKUP($A27,[24]HISTOAOUT24!$A$6:$AU$38,20,0)</f>
        <v>0</v>
      </c>
      <c r="X27" s="36">
        <f>VLOOKUP($A27,[24]HISTOAOUT24!$A$6:$AU$38,27,0)</f>
        <v>0</v>
      </c>
      <c r="Y27" s="36">
        <f>VLOOKUP($A27,[24]HISTOAOUT24!$A$6:$BM$38,33,0)</f>
        <v>0</v>
      </c>
      <c r="Z27" s="36">
        <f>VLOOKUP($A27,[24]HISTOAOUT24!$A$6:$BM$38,65,0)</f>
        <v>0</v>
      </c>
      <c r="AA27" s="36"/>
      <c r="AB27" s="36">
        <f>VLOOKUP($A27,[24]HISTOAOUT24!$A$6:$AU$38,43,0)</f>
        <v>0</v>
      </c>
      <c r="AC27" s="36">
        <f>VLOOKUP($A27,[24]HISTOAOUT24!$A$6:$AU$38,44,0)</f>
        <v>0</v>
      </c>
      <c r="AD27" s="36">
        <f>VLOOKUP($A27,[24]HISTOAOUT24!$A$6:$AU$38,47,0)</f>
        <v>0</v>
      </c>
      <c r="AE27" s="36">
        <f>VLOOKUP(A27,[24]HISTOAOUT24!$A$6:$BB$38,54,0)</f>
        <v>0</v>
      </c>
      <c r="AF27" s="36">
        <f>VLOOKUP($A27,[24]HISTOAOUT24!$A$6:$CA$38,60,0)</f>
        <v>0</v>
      </c>
      <c r="AG27" s="36">
        <f>VLOOKUP($A27,[24]HISTOAOUT24!$A$6:$CA$38,61,0)</f>
        <v>0</v>
      </c>
      <c r="AH27" s="36">
        <f>VLOOKUP($A27,[24]HISTOAOUT24!$A$6:$CA$38,62,0)</f>
        <v>0</v>
      </c>
      <c r="AI27" s="36">
        <f>VLOOKUP($A27,[24]HISTOAOUT24!$A$6:$CA$38,63,0)</f>
        <v>0</v>
      </c>
      <c r="AJ27" s="36">
        <f>VLOOKUP($A27,[24]HISTOAOUT24!$A$6:$CA$38,64,0)</f>
        <v>0</v>
      </c>
      <c r="AK27" s="36">
        <f>VLOOKUP($A27,[24]HISTOAOUT24!$A$6:$CA$38,65,0)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MVTJUIL24!I28-E28+L28</f>
        <v>821176.12513194664</v>
      </c>
      <c r="G28" s="5">
        <f>IF(MVTJUIL24!I28+L28&gt;700000,(MVTJUIL24!I28-E28+L28),0)</f>
        <v>821176.12513194664</v>
      </c>
      <c r="H28" s="36">
        <f t="shared" si="0"/>
        <v>0</v>
      </c>
      <c r="I28" s="6">
        <f t="shared" si="2"/>
        <v>821176.12513194664</v>
      </c>
      <c r="J28" s="36">
        <f>VLOOKUP($A28,[24]HISTOAOUT24!$A$6:$AQ$42,22,0)</f>
        <v>0</v>
      </c>
      <c r="K28" s="36">
        <f>VLOOKUP($A28,[24]HISTOAOUT24!$A$6:$AU$38,45,0)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VLOOKUP($A28,[24]HISTOAOUT24!$A$6:$AU$38,7,0)</f>
        <v>0</v>
      </c>
      <c r="Q28" s="36">
        <f>VLOOKUP($A28,[24]HISTOAOUT24!$A$6:$AU$38,23,0)</f>
        <v>0</v>
      </c>
      <c r="R28" s="36">
        <f>VLOOKUP($A28,[24]HISTOAOUT24!$A$6:$AU$38,46,0)</f>
        <v>0</v>
      </c>
      <c r="S28" s="36">
        <f>VLOOKUP($A28,[24]HISTOAOUT24!$A$6:$AU$38,26,0)</f>
        <v>0</v>
      </c>
      <c r="T28" s="36">
        <f>VLOOKUP($A28,[24]HISTOAOUT24!$A$6:$BG$38,58,0)</f>
        <v>0</v>
      </c>
      <c r="U28" s="36">
        <f>VLOOKUP($A28,[24]HISTOAOUT24!$A$6:$AU$38,28,0)</f>
        <v>0</v>
      </c>
      <c r="V28" s="36">
        <f>VLOOKUP($A28,[24]HISTOAOUT24!$A$6:$AU$38,19,0)</f>
        <v>0</v>
      </c>
      <c r="W28" s="36">
        <f>VLOOKUP($A28,[24]HISTOAOUT24!$A$6:$AU$38,20,0)</f>
        <v>0</v>
      </c>
      <c r="X28" s="36">
        <f>VLOOKUP($A28,[24]HISTOAOUT24!$A$6:$AU$38,27,0)</f>
        <v>0</v>
      </c>
      <c r="Y28" s="36">
        <f>VLOOKUP($A28,[24]HISTOAOUT24!$A$6:$BM$38,33,0)</f>
        <v>0</v>
      </c>
      <c r="Z28" s="36">
        <f>VLOOKUP($A28,[24]HISTOAOUT24!$A$6:$BM$38,65,0)</f>
        <v>0</v>
      </c>
      <c r="AA28" s="36"/>
      <c r="AB28" s="36">
        <f>VLOOKUP($A28,[24]HISTOAOUT24!$A$6:$AU$38,43,0)</f>
        <v>0</v>
      </c>
      <c r="AC28" s="36">
        <f>VLOOKUP($A28,[24]HISTOAOUT24!$A$6:$AU$38,44,0)</f>
        <v>0</v>
      </c>
      <c r="AD28" s="36">
        <f>VLOOKUP($A28,[24]HISTOAOUT24!$A$6:$AU$38,47,0)</f>
        <v>0</v>
      </c>
      <c r="AE28" s="36">
        <f>VLOOKUP(A28,[24]HISTOAOUT24!$A$6:$BB$38,54,0)</f>
        <v>0</v>
      </c>
      <c r="AF28" s="36">
        <f>VLOOKUP($A28,[24]HISTOAOUT24!$A$6:$CA$38,60,0)</f>
        <v>0</v>
      </c>
      <c r="AG28" s="36">
        <f>VLOOKUP($A28,[24]HISTOAOUT24!$A$6:$CA$38,61,0)</f>
        <v>0</v>
      </c>
      <c r="AH28" s="36">
        <f>VLOOKUP($A28,[24]HISTOAOUT24!$A$6:$CA$38,62,0)</f>
        <v>0</v>
      </c>
      <c r="AI28" s="36">
        <f>VLOOKUP($A28,[24]HISTOAOUT24!$A$6:$CA$38,63,0)</f>
        <v>0</v>
      </c>
      <c r="AJ28" s="36">
        <f>VLOOKUP($A28,[24]HISTOAOUT24!$A$6:$CA$38,64,0)</f>
        <v>0</v>
      </c>
      <c r="AK28" s="36">
        <f>VLOOKUP($A28,[24]HISTOAOUT24!$A$6:$CA$38,65,0)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MVTJUIL24!I29-E29+L29</f>
        <v>946151.34423741512</v>
      </c>
      <c r="G29" s="5">
        <f>IF(MVTJUIL24!I29+L29&gt;700000,(MVTJUIL24!I29-E29+L29),0)</f>
        <v>946151.34423741512</v>
      </c>
      <c r="H29" s="36">
        <f t="shared" si="0"/>
        <v>0</v>
      </c>
      <c r="I29" s="6">
        <f t="shared" si="2"/>
        <v>946151.34423741512</v>
      </c>
      <c r="J29" s="36">
        <f>VLOOKUP($A29,[24]HISTOAOUT24!$A$6:$AQ$42,22,0)</f>
        <v>0</v>
      </c>
      <c r="K29" s="36">
        <f>VLOOKUP($A29,[24]HISTOAOUT24!$A$6:$AU$38,45,0)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VLOOKUP($A29,[24]HISTOAOUT24!$A$6:$AU$38,7,0)</f>
        <v>0</v>
      </c>
      <c r="Q29" s="36">
        <f>VLOOKUP($A29,[24]HISTOAOUT24!$A$6:$AU$38,23,0)</f>
        <v>0</v>
      </c>
      <c r="R29" s="36">
        <f>VLOOKUP($A29,[24]HISTOAOUT24!$A$6:$AU$38,46,0)</f>
        <v>0</v>
      </c>
      <c r="S29" s="36">
        <f>VLOOKUP($A29,[24]HISTOAOUT24!$A$6:$AU$38,26,0)</f>
        <v>0</v>
      </c>
      <c r="T29" s="36">
        <f>VLOOKUP($A29,[24]HISTOAOUT24!$A$6:$BG$38,58,0)</f>
        <v>0</v>
      </c>
      <c r="U29" s="36">
        <f>VLOOKUP($A29,[24]HISTOAOUT24!$A$6:$AU$38,28,0)</f>
        <v>0</v>
      </c>
      <c r="V29" s="36">
        <f>VLOOKUP($A29,[24]HISTOAOUT24!$A$6:$AU$38,19,0)</f>
        <v>0</v>
      </c>
      <c r="W29" s="36">
        <f>VLOOKUP($A29,[24]HISTOAOUT24!$A$6:$AU$38,20,0)</f>
        <v>0</v>
      </c>
      <c r="X29" s="36">
        <f>VLOOKUP($A29,[24]HISTOAOUT24!$A$6:$AU$38,27,0)</f>
        <v>0</v>
      </c>
      <c r="Y29" s="36">
        <f>VLOOKUP($A29,[24]HISTOAOUT24!$A$6:$BM$38,33,0)</f>
        <v>0</v>
      </c>
      <c r="Z29" s="36">
        <f>VLOOKUP($A29,[24]HISTOAOUT24!$A$6:$BM$38,65,0)</f>
        <v>0</v>
      </c>
      <c r="AA29" s="36"/>
      <c r="AB29" s="36">
        <f>VLOOKUP($A29,[24]HISTOAOUT24!$A$6:$AU$38,43,0)</f>
        <v>0</v>
      </c>
      <c r="AC29" s="36">
        <f>VLOOKUP($A29,[24]HISTOAOUT24!$A$6:$AU$38,44,0)</f>
        <v>0</v>
      </c>
      <c r="AD29" s="36">
        <f>VLOOKUP($A29,[24]HISTOAOUT24!$A$6:$AU$38,47,0)</f>
        <v>0</v>
      </c>
      <c r="AE29" s="36">
        <f>VLOOKUP(A29,[24]HISTOAOUT24!$A$6:$BB$38,54,0)</f>
        <v>0</v>
      </c>
      <c r="AF29" s="36">
        <f>VLOOKUP($A29,[24]HISTOAOUT24!$A$6:$CA$38,60,0)</f>
        <v>0</v>
      </c>
      <c r="AG29" s="36">
        <f>VLOOKUP($A29,[24]HISTOAOUT24!$A$6:$CA$38,61,0)</f>
        <v>0</v>
      </c>
      <c r="AH29" s="36">
        <f>VLOOKUP($A29,[24]HISTOAOUT24!$A$6:$CA$38,62,0)</f>
        <v>0</v>
      </c>
      <c r="AI29" s="36">
        <f>VLOOKUP($A29,[24]HISTOAOUT24!$A$6:$CA$38,63,0)</f>
        <v>0</v>
      </c>
      <c r="AJ29" s="36">
        <f>VLOOKUP($A29,[24]HISTOAOUT24!$A$6:$CA$38,64,0)</f>
        <v>0</v>
      </c>
      <c r="AK29" s="36">
        <f>VLOOKUP($A29,[24]HISTOAOUT24!$A$6:$CA$38,65,0)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MVTJUIL24!I30-E30+L30</f>
        <v>850786.81046782702</v>
      </c>
      <c r="G30" s="5">
        <f>IF(MVTJUIL24!I30+L30&gt;700000,(MVTJUIL24!I30-E30+L30),0)</f>
        <v>850786.81046782702</v>
      </c>
      <c r="H30" s="36">
        <f t="shared" si="0"/>
        <v>0</v>
      </c>
      <c r="I30" s="6">
        <f t="shared" si="2"/>
        <v>850786.81046782702</v>
      </c>
      <c r="J30" s="36">
        <f>VLOOKUP($A30,[24]HISTOAOUT24!$A$6:$AQ$42,22,0)</f>
        <v>0</v>
      </c>
      <c r="K30" s="36">
        <f>VLOOKUP($A30,[24]HISTOAOUT24!$A$6:$AU$38,45,0)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VLOOKUP($A30,[24]HISTOAOUT24!$A$6:$AU$38,7,0)</f>
        <v>0</v>
      </c>
      <c r="Q30" s="36">
        <f>VLOOKUP($A30,[24]HISTOAOUT24!$A$6:$AU$38,23,0)</f>
        <v>0</v>
      </c>
      <c r="R30" s="36">
        <f>VLOOKUP($A30,[24]HISTOAOUT24!$A$6:$AU$38,46,0)</f>
        <v>0</v>
      </c>
      <c r="S30" s="36">
        <f>VLOOKUP($A30,[24]HISTOAOUT24!$A$6:$AU$38,26,0)</f>
        <v>0</v>
      </c>
      <c r="T30" s="36">
        <f>VLOOKUP($A30,[24]HISTOAOUT24!$A$6:$BG$38,58,0)</f>
        <v>0</v>
      </c>
      <c r="U30" s="36">
        <f>VLOOKUP($A30,[24]HISTOAOUT24!$A$6:$AU$38,28,0)</f>
        <v>0</v>
      </c>
      <c r="V30" s="36">
        <f>VLOOKUP($A30,[24]HISTOAOUT24!$A$6:$AU$38,19,0)</f>
        <v>0</v>
      </c>
      <c r="W30" s="36">
        <f>VLOOKUP($A30,[24]HISTOAOUT24!$A$6:$AU$38,20,0)</f>
        <v>0</v>
      </c>
      <c r="X30" s="36">
        <f>VLOOKUP($A30,[24]HISTOAOUT24!$A$6:$AU$38,27,0)</f>
        <v>0</v>
      </c>
      <c r="Y30" s="36">
        <f>VLOOKUP($A30,[24]HISTOAOUT24!$A$6:$BM$38,33,0)</f>
        <v>0</v>
      </c>
      <c r="Z30" s="36">
        <f>VLOOKUP($A30,[24]HISTOAOUT24!$A$6:$BM$38,65,0)</f>
        <v>0</v>
      </c>
      <c r="AA30" s="36"/>
      <c r="AB30" s="36">
        <f>VLOOKUP($A30,[24]HISTOAOUT24!$A$6:$AU$38,43,0)</f>
        <v>0</v>
      </c>
      <c r="AC30" s="36">
        <f>VLOOKUP($A30,[24]HISTOAOUT24!$A$6:$AU$38,44,0)</f>
        <v>0</v>
      </c>
      <c r="AD30" s="36">
        <f>VLOOKUP($A30,[24]HISTOAOUT24!$A$6:$AU$38,47,0)</f>
        <v>0</v>
      </c>
      <c r="AE30" s="36">
        <f>VLOOKUP(A30,[24]HISTOAOUT24!$A$6:$BB$38,54,0)</f>
        <v>0</v>
      </c>
      <c r="AF30" s="36">
        <f>VLOOKUP($A30,[24]HISTOAOUT24!$A$6:$CA$38,60,0)</f>
        <v>0</v>
      </c>
      <c r="AG30" s="36">
        <f>VLOOKUP($A30,[24]HISTOAOUT24!$A$6:$CA$38,61,0)</f>
        <v>0</v>
      </c>
      <c r="AH30" s="36">
        <f>VLOOKUP($A30,[24]HISTOAOUT24!$A$6:$CA$38,62,0)</f>
        <v>0</v>
      </c>
      <c r="AI30" s="36">
        <f>VLOOKUP($A30,[24]HISTOAOUT24!$A$6:$CA$38,63,0)</f>
        <v>0</v>
      </c>
      <c r="AJ30" s="36">
        <f>VLOOKUP($A30,[24]HISTOAOUT24!$A$6:$CA$38,64,0)</f>
        <v>0</v>
      </c>
      <c r="AK30" s="36">
        <f>VLOOKUP($A30,[24]HISTOAOUT24!$A$6:$CA$38,65,0)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MVTJUIL24!I31-E31+L31</f>
        <v>1010903.0311481348</v>
      </c>
      <c r="G31" s="5">
        <f>IF(MVTJUIL24!I31+L31&gt;700000,(MVTJUIL24!I31-E31+L31),0)</f>
        <v>1010903.0311481348</v>
      </c>
      <c r="H31" s="36">
        <f t="shared" si="0"/>
        <v>0</v>
      </c>
      <c r="I31" s="6">
        <f t="shared" si="2"/>
        <v>1010903.0311481348</v>
      </c>
      <c r="J31" s="36">
        <f>VLOOKUP($A31,[24]HISTOAOUT24!$A$6:$AQ$42,22,0)</f>
        <v>0</v>
      </c>
      <c r="K31" s="36">
        <f>VLOOKUP($A31,[24]HISTOAOUT24!$A$6:$AU$38,45,0)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VLOOKUP($A31,[24]HISTOAOUT24!$A$6:$AU$38,7,0)</f>
        <v>0</v>
      </c>
      <c r="Q31" s="36">
        <f>VLOOKUP($A31,[24]HISTOAOUT24!$A$6:$AU$38,23,0)</f>
        <v>0</v>
      </c>
      <c r="R31" s="36">
        <f>VLOOKUP($A31,[24]HISTOAOUT24!$A$6:$AU$38,46,0)</f>
        <v>0</v>
      </c>
      <c r="S31" s="36">
        <f>VLOOKUP($A31,[24]HISTOAOUT24!$A$6:$AU$38,26,0)</f>
        <v>0</v>
      </c>
      <c r="T31" s="36">
        <f>VLOOKUP($A31,[24]HISTOAOUT24!$A$6:$BG$38,58,0)</f>
        <v>0</v>
      </c>
      <c r="U31" s="36">
        <f>VLOOKUP($A31,[24]HISTOAOUT24!$A$6:$AU$38,28,0)</f>
        <v>0</v>
      </c>
      <c r="V31" s="36">
        <f>VLOOKUP($A31,[24]HISTOAOUT24!$A$6:$AU$38,19,0)</f>
        <v>0</v>
      </c>
      <c r="W31" s="36">
        <f>VLOOKUP($A31,[24]HISTOAOUT24!$A$6:$AU$38,20,0)</f>
        <v>0</v>
      </c>
      <c r="X31" s="36">
        <f>VLOOKUP($A31,[24]HISTOAOUT24!$A$6:$AU$38,27,0)</f>
        <v>0</v>
      </c>
      <c r="Y31" s="36">
        <f>VLOOKUP($A31,[24]HISTOAOUT24!$A$6:$BM$38,33,0)</f>
        <v>0</v>
      </c>
      <c r="Z31" s="36">
        <f>VLOOKUP($A31,[24]HISTOAOUT24!$A$6:$BM$38,65,0)</f>
        <v>0</v>
      </c>
      <c r="AA31" s="36"/>
      <c r="AB31" s="36">
        <f>VLOOKUP($A31,[24]HISTOAOUT24!$A$6:$AU$38,43,0)</f>
        <v>0</v>
      </c>
      <c r="AC31" s="36">
        <f>VLOOKUP($A31,[24]HISTOAOUT24!$A$6:$AU$38,44,0)</f>
        <v>0</v>
      </c>
      <c r="AD31" s="36">
        <f>VLOOKUP($A31,[24]HISTOAOUT24!$A$6:$AU$38,47,0)</f>
        <v>0</v>
      </c>
      <c r="AE31" s="36">
        <f>VLOOKUP(A31,[24]HISTOAOUT24!$A$6:$BB$38,54,0)</f>
        <v>0</v>
      </c>
      <c r="AF31" s="36">
        <f>VLOOKUP($A31,[24]HISTOAOUT24!$A$6:$CA$38,60,0)</f>
        <v>0</v>
      </c>
      <c r="AG31" s="36">
        <f>VLOOKUP($A31,[24]HISTOAOUT24!$A$6:$CA$38,61,0)</f>
        <v>0</v>
      </c>
      <c r="AH31" s="36">
        <f>VLOOKUP($A31,[24]HISTOAOUT24!$A$6:$CA$38,62,0)</f>
        <v>0</v>
      </c>
      <c r="AI31" s="36">
        <f>VLOOKUP($A31,[24]HISTOAOUT24!$A$6:$CA$38,63,0)</f>
        <v>0</v>
      </c>
      <c r="AJ31" s="36">
        <f>VLOOKUP($A31,[24]HISTOAOUT24!$A$6:$CA$38,64,0)</f>
        <v>0</v>
      </c>
      <c r="AK31" s="36">
        <f>VLOOKUP($A31,[24]HISTOAOUT24!$A$6:$CA$38,65,0)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MVTJUIL24!I32-E32+L32</f>
        <v>900243.98131057119</v>
      </c>
      <c r="G32" s="5">
        <f>IF(MVTJUIL24!I32+L32&gt;700000,(MVTJUIL24!I32-E32+L32),0)</f>
        <v>900243.98131057119</v>
      </c>
      <c r="H32" s="36">
        <f t="shared" si="0"/>
        <v>0</v>
      </c>
      <c r="I32" s="6">
        <f t="shared" si="2"/>
        <v>900243.98131057119</v>
      </c>
      <c r="J32" s="36">
        <f>VLOOKUP($A32,[24]HISTOAOUT24!$A$6:$AQ$42,22,0)</f>
        <v>0</v>
      </c>
      <c r="K32" s="36">
        <f>VLOOKUP($A32,[24]HISTOAOUT24!$A$6:$AU$38,45,0)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VLOOKUP($A32,[24]HISTOAOUT24!$A$6:$AU$38,7,0)</f>
        <v>0</v>
      </c>
      <c r="Q32" s="36">
        <f>VLOOKUP($A32,[24]HISTOAOUT24!$A$6:$AU$38,23,0)</f>
        <v>0</v>
      </c>
      <c r="R32" s="36">
        <f>VLOOKUP($A32,[24]HISTOAOUT24!$A$6:$AU$38,46,0)</f>
        <v>0</v>
      </c>
      <c r="S32" s="36">
        <f>VLOOKUP($A32,[24]HISTOAOUT24!$A$6:$AU$38,26,0)</f>
        <v>0</v>
      </c>
      <c r="T32" s="36">
        <f>VLOOKUP($A32,[24]HISTOAOUT24!$A$6:$BG$38,58,0)</f>
        <v>0</v>
      </c>
      <c r="U32" s="36">
        <f>VLOOKUP($A32,[24]HISTOAOUT24!$A$6:$AU$38,28,0)</f>
        <v>0</v>
      </c>
      <c r="V32" s="36">
        <f>VLOOKUP($A32,[24]HISTOAOUT24!$A$6:$AU$38,19,0)</f>
        <v>0</v>
      </c>
      <c r="W32" s="36">
        <f>VLOOKUP($A32,[24]HISTOAOUT24!$A$6:$AU$38,20,0)</f>
        <v>0</v>
      </c>
      <c r="X32" s="36">
        <f>VLOOKUP($A32,[24]HISTOAOUT24!$A$6:$AU$38,27,0)</f>
        <v>0</v>
      </c>
      <c r="Y32" s="36">
        <f>VLOOKUP($A32,[24]HISTOAOUT24!$A$6:$BM$38,33,0)</f>
        <v>0</v>
      </c>
      <c r="Z32" s="36">
        <f>VLOOKUP($A32,[24]HISTOAOUT24!$A$6:$BM$38,65,0)</f>
        <v>0</v>
      </c>
      <c r="AA32" s="36"/>
      <c r="AB32" s="36">
        <f>VLOOKUP($A32,[24]HISTOAOUT24!$A$6:$AU$38,43,0)</f>
        <v>0</v>
      </c>
      <c r="AC32" s="36">
        <f>VLOOKUP($A32,[24]HISTOAOUT24!$A$6:$AU$38,44,0)</f>
        <v>0</v>
      </c>
      <c r="AD32" s="36">
        <f>VLOOKUP($A32,[24]HISTOAOUT24!$A$6:$AU$38,47,0)</f>
        <v>0</v>
      </c>
      <c r="AE32" s="36">
        <f>VLOOKUP(A32,[24]HISTOAOUT24!$A$6:$BB$38,54,0)</f>
        <v>0</v>
      </c>
      <c r="AF32" s="36">
        <f>VLOOKUP($A32,[24]HISTOAOUT24!$A$6:$CA$38,60,0)</f>
        <v>0</v>
      </c>
      <c r="AG32" s="36">
        <f>VLOOKUP($A32,[24]HISTOAOUT24!$A$6:$CA$38,61,0)</f>
        <v>0</v>
      </c>
      <c r="AH32" s="36">
        <f>VLOOKUP($A32,[24]HISTOAOUT24!$A$6:$CA$38,62,0)</f>
        <v>0</v>
      </c>
      <c r="AI32" s="36">
        <f>VLOOKUP($A32,[24]HISTOAOUT24!$A$6:$CA$38,63,0)</f>
        <v>0</v>
      </c>
      <c r="AJ32" s="36">
        <f>VLOOKUP($A32,[24]HISTOAOUT24!$A$6:$CA$38,64,0)</f>
        <v>0</v>
      </c>
      <c r="AK32" s="36">
        <f>VLOOKUP($A32,[24]HISTOAOUT24!$A$6:$CA$38,65,0)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MVTJUIL24!I33-E33+L33</f>
        <v>900552.64928596013</v>
      </c>
      <c r="G33" s="5">
        <f>IF(MVTJUIL24!I33+L33&gt;700000,(MVTJUIL24!I33-E33+L33),0)</f>
        <v>900552.64928596013</v>
      </c>
      <c r="H33" s="36">
        <f t="shared" si="0"/>
        <v>0</v>
      </c>
      <c r="I33" s="6">
        <f t="shared" si="2"/>
        <v>900552.64928596013</v>
      </c>
      <c r="J33" s="36">
        <f>VLOOKUP($A33,[24]HISTOAOUT24!$A$6:$AQ$42,22,0)</f>
        <v>0</v>
      </c>
      <c r="K33" s="36">
        <f>VLOOKUP($A33,[24]HISTOAOUT24!$A$6:$AU$38,45,0)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VLOOKUP($A33,[24]HISTOAOUT24!$A$6:$AU$38,7,0)</f>
        <v>0</v>
      </c>
      <c r="Q33" s="36">
        <f>VLOOKUP($A33,[24]HISTOAOUT24!$A$6:$AU$38,23,0)</f>
        <v>0</v>
      </c>
      <c r="R33" s="36">
        <f>VLOOKUP($A33,[24]HISTOAOUT24!$A$6:$AU$38,46,0)</f>
        <v>0</v>
      </c>
      <c r="S33" s="36">
        <f>VLOOKUP($A33,[24]HISTOAOUT24!$A$6:$AU$38,26,0)</f>
        <v>0</v>
      </c>
      <c r="T33" s="36">
        <f>VLOOKUP($A33,[24]HISTOAOUT24!$A$6:$BG$38,58,0)</f>
        <v>0</v>
      </c>
      <c r="U33" s="36">
        <f>VLOOKUP($A33,[24]HISTOAOUT24!$A$6:$AU$38,28,0)</f>
        <v>0</v>
      </c>
      <c r="V33" s="36">
        <f>VLOOKUP($A33,[24]HISTOAOUT24!$A$6:$AU$38,19,0)</f>
        <v>0</v>
      </c>
      <c r="W33" s="36">
        <f>VLOOKUP($A33,[24]HISTOAOUT24!$A$6:$AU$38,20,0)</f>
        <v>0</v>
      </c>
      <c r="X33" s="36">
        <f>VLOOKUP($A33,[24]HISTOAOUT24!$A$6:$AU$38,27,0)</f>
        <v>0</v>
      </c>
      <c r="Y33" s="36">
        <f>VLOOKUP($A33,[24]HISTOAOUT24!$A$6:$BM$38,33,0)</f>
        <v>0</v>
      </c>
      <c r="Z33" s="36">
        <f>VLOOKUP($A33,[24]HISTOAOUT24!$A$6:$BM$38,65,0)</f>
        <v>0</v>
      </c>
      <c r="AA33" s="36"/>
      <c r="AB33" s="36">
        <f>VLOOKUP($A33,[24]HISTOAOUT24!$A$6:$AU$38,43,0)</f>
        <v>0</v>
      </c>
      <c r="AC33" s="36">
        <f>VLOOKUP($A33,[24]HISTOAOUT24!$A$6:$AU$38,44,0)</f>
        <v>0</v>
      </c>
      <c r="AD33" s="36">
        <f>VLOOKUP($A33,[24]HISTOAOUT24!$A$6:$AU$38,47,0)</f>
        <v>0</v>
      </c>
      <c r="AE33" s="36">
        <f>VLOOKUP(A33,[24]HISTOAOUT24!$A$6:$BB$38,54,0)</f>
        <v>0</v>
      </c>
      <c r="AF33" s="36">
        <f>VLOOKUP($A33,[24]HISTOAOUT24!$A$6:$CA$38,60,0)</f>
        <v>0</v>
      </c>
      <c r="AG33" s="36">
        <f>VLOOKUP($A33,[24]HISTOAOUT24!$A$6:$CA$38,61,0)</f>
        <v>0</v>
      </c>
      <c r="AH33" s="36">
        <f>VLOOKUP($A33,[24]HISTOAOUT24!$A$6:$CA$38,62,0)</f>
        <v>0</v>
      </c>
      <c r="AI33" s="36">
        <f>VLOOKUP($A33,[24]HISTOAOUT24!$A$6:$CA$38,63,0)</f>
        <v>0</v>
      </c>
      <c r="AJ33" s="36">
        <f>VLOOKUP($A33,[24]HISTOAOUT24!$A$6:$CA$38,64,0)</f>
        <v>0</v>
      </c>
      <c r="AK33" s="36">
        <f>VLOOKUP($A33,[24]HISTOAOUT24!$A$6:$CA$38,65,0)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MVTJUIL24!I34-E34+L34</f>
        <v>557000</v>
      </c>
      <c r="G34" s="5">
        <f>IF(MVTJUIL24!I34+L34&gt;700000,(MVTJUIL24!I34-E34+L34),0)</f>
        <v>0</v>
      </c>
      <c r="H34" s="36">
        <f t="shared" si="0"/>
        <v>0</v>
      </c>
      <c r="I34" s="6">
        <f t="shared" si="2"/>
        <v>557000</v>
      </c>
      <c r="J34" s="36">
        <f>VLOOKUP($A34,[24]HISTOAOUT24!$A$6:$AQ$42,22,0)</f>
        <v>0</v>
      </c>
      <c r="K34" s="36">
        <f>VLOOKUP($A34,[24]HISTOAOUT24!$A$6:$AU$38,45,0)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VLOOKUP($A34,[24]HISTOAOUT24!$A$6:$AU$38,7,0)</f>
        <v>0</v>
      </c>
      <c r="Q34" s="36">
        <f>VLOOKUP($A34,[24]HISTOAOUT24!$A$6:$AU$38,23,0)</f>
        <v>0</v>
      </c>
      <c r="R34" s="36">
        <f>VLOOKUP($A34,[24]HISTOAOUT24!$A$6:$AU$38,46,0)</f>
        <v>0</v>
      </c>
      <c r="S34" s="36">
        <f>VLOOKUP($A34,[24]HISTOAOUT24!$A$6:$AU$38,26,0)</f>
        <v>0</v>
      </c>
      <c r="T34" s="36">
        <f>VLOOKUP($A34,[24]HISTOAOUT24!$A$6:$BG$38,58,0)</f>
        <v>0</v>
      </c>
      <c r="U34" s="36">
        <f>VLOOKUP($A34,[24]HISTOAOUT24!$A$6:$AU$38,28,0)</f>
        <v>0</v>
      </c>
      <c r="V34" s="36">
        <f>VLOOKUP($A34,[24]HISTOAOUT24!$A$6:$AU$38,19,0)</f>
        <v>0</v>
      </c>
      <c r="W34" s="36">
        <f>VLOOKUP($A34,[24]HISTOAOUT24!$A$6:$AU$38,20,0)</f>
        <v>0</v>
      </c>
      <c r="X34" s="36">
        <f>VLOOKUP($A34,[24]HISTOAOUT24!$A$6:$AU$38,27,0)</f>
        <v>0</v>
      </c>
      <c r="Y34" s="36">
        <f>VLOOKUP($A34,[24]HISTOAOUT24!$A$6:$BM$38,33,0)</f>
        <v>0</v>
      </c>
      <c r="Z34" s="36">
        <f>VLOOKUP($A34,[24]HISTOAOUT24!$A$6:$BM$38,65,0)</f>
        <v>0</v>
      </c>
      <c r="AA34" s="36"/>
      <c r="AB34" s="36">
        <f>VLOOKUP($A34,[24]HISTOAOUT24!$A$6:$AU$38,43,0)</f>
        <v>0</v>
      </c>
      <c r="AC34" s="36">
        <f>VLOOKUP($A34,[24]HISTOAOUT24!$A$6:$AU$38,44,0)</f>
        <v>0</v>
      </c>
      <c r="AD34" s="36">
        <f>VLOOKUP($A34,[24]HISTOAOUT24!$A$6:$AU$38,47,0)</f>
        <v>0</v>
      </c>
      <c r="AE34" s="36">
        <f>VLOOKUP(A34,[24]HISTOAOUT24!$A$6:$BB$38,54,0)</f>
        <v>0</v>
      </c>
      <c r="AF34" s="36">
        <f>VLOOKUP($A34,[24]HISTOAOUT24!$A$6:$CA$38,60,0)</f>
        <v>0</v>
      </c>
      <c r="AG34" s="36">
        <f>VLOOKUP($A34,[24]HISTOAOUT24!$A$6:$CA$38,61,0)</f>
        <v>0</v>
      </c>
      <c r="AH34" s="36">
        <f>VLOOKUP($A34,[24]HISTOAOUT24!$A$6:$CA$38,62,0)</f>
        <v>0</v>
      </c>
      <c r="AI34" s="36">
        <f>VLOOKUP($A34,[24]HISTOAOUT24!$A$6:$CA$38,63,0)</f>
        <v>0</v>
      </c>
      <c r="AJ34" s="36">
        <f>VLOOKUP($A34,[24]HISTOAOUT24!$A$6:$CA$38,64,0)</f>
        <v>0</v>
      </c>
      <c r="AK34" s="36">
        <f>VLOOKUP($A34,[24]HISTOAOUT24!$A$6:$CA$38,65,0)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MVTJUIL24!I35-E35+L35</f>
        <v>252000</v>
      </c>
      <c r="G35" s="5">
        <f>IF(MVTJUIL24!I35+L35&gt;700000,(MVTJUIL24!I35-E35+L35),0)</f>
        <v>0</v>
      </c>
      <c r="H35" s="36">
        <f t="shared" si="0"/>
        <v>0</v>
      </c>
      <c r="I35" s="6">
        <f t="shared" si="2"/>
        <v>252000</v>
      </c>
      <c r="J35" s="36">
        <f>VLOOKUP($A35,[24]HISTOAOUT24!$A$6:$AQ$42,22,0)</f>
        <v>0</v>
      </c>
      <c r="K35" s="36">
        <f>VLOOKUP($A35,[24]HISTOAOUT24!$A$6:$AU$38,45,0)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VLOOKUP($A35,[24]HISTOAOUT24!$A$6:$AU$38,7,0)</f>
        <v>3000</v>
      </c>
      <c r="Q35" s="36">
        <f>VLOOKUP($A35,[24]HISTOAOUT24!$A$6:$AU$38,23,0)</f>
        <v>0</v>
      </c>
      <c r="R35" s="36">
        <f>VLOOKUP($A35,[24]HISTOAOUT24!$A$6:$AU$38,46,0)</f>
        <v>0</v>
      </c>
      <c r="S35" s="36">
        <f>VLOOKUP($A35,[24]HISTOAOUT24!$A$6:$AU$38,26,0)</f>
        <v>0</v>
      </c>
      <c r="T35" s="36">
        <f>VLOOKUP($A35,[24]HISTOAOUT24!$A$6:$BG$38,58,0)</f>
        <v>0</v>
      </c>
      <c r="U35" s="36">
        <f>VLOOKUP($A35,[24]HISTOAOUT24!$A$6:$AU$38,28,0)</f>
        <v>0</v>
      </c>
      <c r="V35" s="36">
        <f>VLOOKUP($A35,[24]HISTOAOUT24!$A$6:$AU$38,19,0)</f>
        <v>0</v>
      </c>
      <c r="W35" s="36">
        <f>VLOOKUP($A35,[24]HISTOAOUT24!$A$6:$AU$38,20,0)</f>
        <v>0</v>
      </c>
      <c r="X35" s="36">
        <f>VLOOKUP($A35,[24]HISTOAOUT24!$A$6:$AU$38,27,0)</f>
        <v>0</v>
      </c>
      <c r="Y35" s="36">
        <f>VLOOKUP($A35,[24]HISTOAOUT24!$A$6:$BM$38,33,0)</f>
        <v>0</v>
      </c>
      <c r="Z35" s="36">
        <f>VLOOKUP($A35,[24]HISTOAOUT24!$A$6:$BM$38,65,0)</f>
        <v>0</v>
      </c>
      <c r="AA35" s="36"/>
      <c r="AB35" s="36">
        <f>VLOOKUP($A35,[24]HISTOAOUT24!$A$6:$AU$38,43,0)</f>
        <v>0</v>
      </c>
      <c r="AC35" s="36">
        <f>VLOOKUP($A35,[24]HISTOAOUT24!$A$6:$AU$38,44,0)</f>
        <v>0</v>
      </c>
      <c r="AD35" s="36">
        <f>VLOOKUP($A35,[24]HISTOAOUT24!$A$6:$AU$38,47,0)</f>
        <v>0</v>
      </c>
      <c r="AE35" s="36">
        <f>VLOOKUP(A35,[24]HISTOAOUT24!$A$6:$BB$38,54,0)</f>
        <v>0</v>
      </c>
      <c r="AF35" s="36">
        <f>VLOOKUP($A35,[24]HISTOAOUT24!$A$6:$CA$38,60,0)</f>
        <v>0</v>
      </c>
      <c r="AG35" s="36">
        <f>VLOOKUP($A35,[24]HISTOAOUT24!$A$6:$CA$38,61,0)</f>
        <v>0</v>
      </c>
      <c r="AH35" s="36">
        <f>VLOOKUP($A35,[24]HISTOAOUT24!$A$6:$CA$38,62,0)</f>
        <v>0</v>
      </c>
      <c r="AI35" s="36">
        <f>VLOOKUP($A35,[24]HISTOAOUT24!$A$6:$CA$38,63,0)</f>
        <v>0</v>
      </c>
      <c r="AJ35" s="36">
        <f>VLOOKUP($A35,[24]HISTOAOUT24!$A$6:$CA$38,64,0)</f>
        <v>0</v>
      </c>
      <c r="AK35" s="36">
        <f>VLOOKUP($A35,[24]HISTOAOUT24!$A$6:$CA$38,65,0)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MVTJUIL24!I36-E36+L36</f>
        <v>937599.08181867818</v>
      </c>
      <c r="G36" s="5">
        <f>IF(MVTJUIL24!I36+L36&gt;700000,(MVTJUIL24!I36-E36+L36),0)</f>
        <v>937599.08181867818</v>
      </c>
      <c r="H36" s="36">
        <f t="shared" si="0"/>
        <v>0</v>
      </c>
      <c r="I36" s="6">
        <f t="shared" si="2"/>
        <v>937599.08181867818</v>
      </c>
      <c r="J36" s="36">
        <f>VLOOKUP($A36,[24]HISTOAOUT24!$A$6:$AQ$42,22,0)</f>
        <v>0</v>
      </c>
      <c r="K36" s="36">
        <f>VLOOKUP($A36,[24]HISTOAOUT24!$A$6:$AU$38,45,0)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VLOOKUP($A36,[24]HISTOAOUT24!$A$6:$AU$38,7,0)</f>
        <v>0</v>
      </c>
      <c r="Q36" s="36">
        <f>VLOOKUP($A36,[24]HISTOAOUT24!$A$6:$AU$38,23,0)</f>
        <v>0</v>
      </c>
      <c r="R36" s="36">
        <f>VLOOKUP($A36,[24]HISTOAOUT24!$A$6:$AU$38,46,0)</f>
        <v>0</v>
      </c>
      <c r="S36" s="36">
        <f>VLOOKUP($A36,[24]HISTOAOUT24!$A$6:$AU$38,26,0)</f>
        <v>0</v>
      </c>
      <c r="T36" s="36">
        <f>VLOOKUP($A36,[24]HISTOAOUT24!$A$6:$BG$38,58,0)</f>
        <v>0</v>
      </c>
      <c r="U36" s="36">
        <f>VLOOKUP($A36,[24]HISTOAOUT24!$A$6:$AU$38,28,0)</f>
        <v>0</v>
      </c>
      <c r="V36" s="36">
        <f>VLOOKUP($A36,[24]HISTOAOUT24!$A$6:$AU$38,19,0)</f>
        <v>0</v>
      </c>
      <c r="W36" s="36">
        <f>VLOOKUP($A36,[24]HISTOAOUT24!$A$6:$AU$38,20,0)</f>
        <v>0</v>
      </c>
      <c r="X36" s="36">
        <f>VLOOKUP($A36,[24]HISTOAOUT24!$A$6:$AU$38,27,0)</f>
        <v>0</v>
      </c>
      <c r="Y36" s="36">
        <f>VLOOKUP($A36,[24]HISTOAOUT24!$A$6:$BM$38,33,0)</f>
        <v>0</v>
      </c>
      <c r="Z36" s="36">
        <f>VLOOKUP($A36,[24]HISTOAOUT24!$A$6:$BM$38,65,0)</f>
        <v>0</v>
      </c>
      <c r="AA36" s="36"/>
      <c r="AB36" s="36">
        <f>VLOOKUP($A36,[24]HISTOAOUT24!$A$6:$AU$38,43,0)</f>
        <v>0</v>
      </c>
      <c r="AC36" s="36">
        <f>VLOOKUP($A36,[24]HISTOAOUT24!$A$6:$AU$38,44,0)</f>
        <v>0</v>
      </c>
      <c r="AD36" s="36">
        <f>VLOOKUP($A36,[24]HISTOAOUT24!$A$6:$AU$38,47,0)</f>
        <v>0</v>
      </c>
      <c r="AE36" s="36">
        <f>VLOOKUP(A36,[24]HISTOAOUT24!$A$6:$BB$38,54,0)</f>
        <v>0</v>
      </c>
      <c r="AF36" s="36">
        <f>VLOOKUP($A36,[24]HISTOAOUT24!$A$6:$CA$38,60,0)</f>
        <v>0</v>
      </c>
      <c r="AG36" s="36">
        <f>VLOOKUP($A36,[24]HISTOAOUT24!$A$6:$CA$38,61,0)</f>
        <v>0</v>
      </c>
      <c r="AH36" s="36">
        <f>VLOOKUP($A36,[24]HISTOAOUT24!$A$6:$CA$38,62,0)</f>
        <v>0</v>
      </c>
      <c r="AI36" s="36">
        <f>VLOOKUP($A36,[24]HISTOAOUT24!$A$6:$CA$38,63,0)</f>
        <v>0</v>
      </c>
      <c r="AJ36" s="36">
        <f>VLOOKUP($A36,[24]HISTOAOUT24!$A$6:$CA$38,64,0)</f>
        <v>0</v>
      </c>
      <c r="AK36" s="36">
        <f>VLOOKUP($A36,[24]HISTOAOUT24!$A$6:$CA$38,65,0)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MVTJUIL24!I37-E37+L37</f>
        <v>1970400.7147676253</v>
      </c>
      <c r="G37" s="5">
        <f>IF(MVTJUIL24!I37+L37&gt;700000,(MVTJUIL24!I37-E37+L37),0)</f>
        <v>1970400.7147676253</v>
      </c>
      <c r="H37" s="36">
        <f t="shared" si="0"/>
        <v>0</v>
      </c>
      <c r="I37" s="6">
        <f t="shared" si="2"/>
        <v>1970400.7147676253</v>
      </c>
      <c r="J37" s="36">
        <f>VLOOKUP($A37,[24]HISTOAOUT24!$A$6:$AQ$42,22,0)</f>
        <v>0</v>
      </c>
      <c r="K37" s="36">
        <f>VLOOKUP($A37,[24]HISTOAOUT24!$A$6:$AU$38,45,0)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VLOOKUP($A37,[24]HISTOAOUT24!$A$6:$AU$38,7,0)</f>
        <v>3000</v>
      </c>
      <c r="Q37" s="36">
        <f>VLOOKUP($A37,[24]HISTOAOUT24!$A$6:$AU$38,23,0)</f>
        <v>0</v>
      </c>
      <c r="R37" s="36">
        <f>VLOOKUP($A37,[24]HISTOAOUT24!$A$6:$AU$38,46,0)</f>
        <v>0</v>
      </c>
      <c r="S37" s="36">
        <f>VLOOKUP($A37,[24]HISTOAOUT24!$A$6:$AU$38,26,0)</f>
        <v>0</v>
      </c>
      <c r="T37" s="36">
        <f>VLOOKUP($A37,[24]HISTOAOUT24!$A$6:$BG$38,58,0)</f>
        <v>0</v>
      </c>
      <c r="U37" s="36">
        <f>VLOOKUP($A37,[24]HISTOAOUT24!$A$6:$AU$38,28,0)</f>
        <v>0</v>
      </c>
      <c r="V37" s="36">
        <f>VLOOKUP($A37,[24]HISTOAOUT24!$A$6:$AU$38,19,0)</f>
        <v>0</v>
      </c>
      <c r="W37" s="36">
        <f>VLOOKUP($A37,[24]HISTOAOUT24!$A$6:$AU$38,20,0)</f>
        <v>0</v>
      </c>
      <c r="X37" s="36">
        <f>VLOOKUP($A37,[24]HISTOAOUT24!$A$6:$AU$38,27,0)</f>
        <v>0</v>
      </c>
      <c r="Y37" s="36">
        <f>VLOOKUP($A37,[24]HISTOAOUT24!$A$6:$BM$38,33,0)</f>
        <v>0</v>
      </c>
      <c r="Z37" s="36">
        <f>VLOOKUP($A37,[24]HISTOAOUT24!$A$6:$BM$38,65,0)</f>
        <v>0</v>
      </c>
      <c r="AA37" s="36"/>
      <c r="AB37" s="36">
        <f>VLOOKUP($A37,[24]HISTOAOUT24!$A$6:$AU$38,43,0)</f>
        <v>0</v>
      </c>
      <c r="AC37" s="36">
        <f>VLOOKUP($A37,[24]HISTOAOUT24!$A$6:$AU$38,44,0)</f>
        <v>0</v>
      </c>
      <c r="AD37" s="36">
        <f>VLOOKUP($A37,[24]HISTOAOUT24!$A$6:$AU$38,47,0)</f>
        <v>0</v>
      </c>
      <c r="AE37" s="36">
        <f>VLOOKUP(A37,[24]HISTOAOUT24!$A$6:$BB$38,54,0)</f>
        <v>0</v>
      </c>
      <c r="AF37" s="36">
        <f>VLOOKUP($A37,[24]HISTOAOUT24!$A$6:$CA$38,60,0)</f>
        <v>0</v>
      </c>
      <c r="AG37" s="36">
        <f>VLOOKUP($A37,[24]HISTOAOUT24!$A$6:$CA$38,61,0)</f>
        <v>0</v>
      </c>
      <c r="AH37" s="36">
        <f>VLOOKUP($A37,[24]HISTOAOUT24!$A$6:$CA$38,62,0)</f>
        <v>0</v>
      </c>
      <c r="AI37" s="36">
        <f>VLOOKUP($A37,[24]HISTOAOUT24!$A$6:$CA$38,63,0)</f>
        <v>0</v>
      </c>
      <c r="AJ37" s="36">
        <f>VLOOKUP($A37,[24]HISTOAOUT24!$A$6:$CA$38,64,0)</f>
        <v>0</v>
      </c>
      <c r="AK37" s="36">
        <f>VLOOKUP($A37,[24]HISTOAOUT24!$A$6:$CA$38,65,0)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MVTJUIL24!I38-E38+L38</f>
        <v>152000</v>
      </c>
      <c r="G38" s="5">
        <f>IF(MVTJUIL24!I38+L38&gt;700000,(MVTJUIL24!I38-E38+L38),0)</f>
        <v>0</v>
      </c>
      <c r="H38" s="36">
        <f t="shared" si="0"/>
        <v>0</v>
      </c>
      <c r="I38" s="6">
        <f t="shared" si="2"/>
        <v>152000</v>
      </c>
      <c r="J38" s="36">
        <f>VLOOKUP($A38,[24]HISTOAOUT24!$A$6:$AQ$42,22,0)</f>
        <v>0</v>
      </c>
      <c r="K38" s="36">
        <f>VLOOKUP($A38,[24]HISTOAOUT24!$A$6:$AU$38,45,0)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VLOOKUP($A38,[24]HISTOAOUT24!$A$6:$AU$38,7,0)</f>
        <v>0</v>
      </c>
      <c r="Q38" s="36">
        <f>VLOOKUP($A38,[24]HISTOAOUT24!$A$6:$AU$38,23,0)</f>
        <v>0</v>
      </c>
      <c r="R38" s="36">
        <f>VLOOKUP($A38,[24]HISTOAOUT24!$A$6:$AU$38,46,0)</f>
        <v>0</v>
      </c>
      <c r="S38" s="36">
        <f>VLOOKUP($A38,[24]HISTOAOUT24!$A$6:$AU$38,26,0)</f>
        <v>0</v>
      </c>
      <c r="T38" s="36">
        <f>VLOOKUP($A38,[24]HISTOAOUT24!$A$6:$BG$38,58,0)</f>
        <v>0</v>
      </c>
      <c r="U38" s="36">
        <f>VLOOKUP($A38,[24]HISTOAOUT24!$A$6:$AU$38,28,0)</f>
        <v>0</v>
      </c>
      <c r="V38" s="36">
        <f>VLOOKUP($A38,[24]HISTOAOUT24!$A$6:$AU$38,19,0)</f>
        <v>0</v>
      </c>
      <c r="W38" s="36">
        <f>VLOOKUP($A38,[24]HISTOAOUT24!$A$6:$AU$38,20,0)</f>
        <v>0</v>
      </c>
      <c r="X38" s="36">
        <f>VLOOKUP($A38,[24]HISTOAOUT24!$A$6:$AU$38,27,0)</f>
        <v>0</v>
      </c>
      <c r="Y38" s="36">
        <f>VLOOKUP($A38,[24]HISTOAOUT24!$A$6:$BM$38,33,0)</f>
        <v>0</v>
      </c>
      <c r="Z38" s="36">
        <f>VLOOKUP($A38,[24]HISTOAOUT24!$A$6:$BM$38,65,0)</f>
        <v>0</v>
      </c>
      <c r="AA38" s="36"/>
      <c r="AB38" s="36">
        <f>VLOOKUP($A38,[24]HISTOAOUT24!$A$6:$AU$38,43,0)</f>
        <v>0</v>
      </c>
      <c r="AC38" s="36">
        <f>VLOOKUP($A38,[24]HISTOAOUT24!$A$6:$AU$38,44,0)</f>
        <v>0</v>
      </c>
      <c r="AD38" s="36">
        <f>VLOOKUP($A38,[24]HISTOAOUT24!$A$6:$AU$38,47,0)</f>
        <v>0</v>
      </c>
      <c r="AE38" s="36">
        <f>VLOOKUP(A38,[24]HISTOAOUT24!$A$6:$BB$38,54,0)</f>
        <v>0</v>
      </c>
      <c r="AF38" s="36">
        <f>VLOOKUP($A38,[24]HISTOAOUT24!$A$6:$CA$38,60,0)</f>
        <v>0</v>
      </c>
      <c r="AG38" s="36">
        <f>VLOOKUP($A38,[24]HISTOAOUT24!$A$6:$CA$38,61,0)</f>
        <v>0</v>
      </c>
      <c r="AH38" s="36">
        <f>VLOOKUP($A38,[24]HISTOAOUT24!$A$6:$CA$38,62,0)</f>
        <v>0</v>
      </c>
      <c r="AI38" s="36">
        <f>VLOOKUP($A38,[24]HISTOAOUT24!$A$6:$CA$38,63,0)</f>
        <v>0</v>
      </c>
      <c r="AJ38" s="36">
        <f>VLOOKUP($A38,[24]HISTOAOUT24!$A$6:$CA$38,64,0)</f>
        <v>0</v>
      </c>
      <c r="AK38" s="36">
        <f>VLOOKUP($A38,[24]HISTOAOUT24!$A$6:$CA$38,65,0)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MVTJUIL24!I39-E39+L39</f>
        <v>2135313.2142100567</v>
      </c>
      <c r="G39" s="5">
        <f>IF(MVTJUIL24!I39+L39&gt;700000,(MVTJUIL24!I39-E39+L39),0)</f>
        <v>2135313.2142100567</v>
      </c>
      <c r="H39" s="36">
        <f t="shared" si="0"/>
        <v>0</v>
      </c>
      <c r="I39" s="6">
        <f t="shared" si="2"/>
        <v>2135313.2142100567</v>
      </c>
      <c r="J39" s="36">
        <f>VLOOKUP($A39,[24]HISTOAOUT24!$A$6:$AQ$42,22,0)</f>
        <v>0</v>
      </c>
      <c r="K39" s="36">
        <f>VLOOKUP($A39,[24]HISTOAOUT24!$A$6:$AU$38,45,0)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VLOOKUP($A39,[24]HISTOAOUT24!$A$6:$AU$38,7,0)</f>
        <v>0</v>
      </c>
      <c r="Q39" s="36">
        <f>VLOOKUP($A39,[24]HISTOAOUT24!$A$6:$AU$38,23,0)</f>
        <v>0</v>
      </c>
      <c r="R39" s="36">
        <f>VLOOKUP($A39,[24]HISTOAOUT24!$A$6:$AU$38,46,0)</f>
        <v>0</v>
      </c>
      <c r="S39" s="36">
        <f>VLOOKUP($A39,[24]HISTOAOUT24!$A$6:$AU$38,26,0)</f>
        <v>0</v>
      </c>
      <c r="T39" s="36">
        <f>VLOOKUP($A39,[24]HISTOAOUT24!$A$6:$BG$38,58,0)</f>
        <v>0</v>
      </c>
      <c r="U39" s="36">
        <f>VLOOKUP($A39,[24]HISTOAOUT24!$A$6:$AU$38,28,0)</f>
        <v>0</v>
      </c>
      <c r="V39" s="36">
        <f>VLOOKUP($A39,[24]HISTOAOUT24!$A$6:$AU$38,19,0)</f>
        <v>0</v>
      </c>
      <c r="W39" s="36">
        <f>VLOOKUP($A39,[24]HISTOAOUT24!$A$6:$AU$38,20,0)</f>
        <v>0</v>
      </c>
      <c r="X39" s="36">
        <f>VLOOKUP($A39,[24]HISTOAOUT24!$A$6:$AU$38,27,0)</f>
        <v>0</v>
      </c>
      <c r="Y39" s="36">
        <f>VLOOKUP($A39,[24]HISTOAOUT24!$A$6:$BM$38,33,0)</f>
        <v>0</v>
      </c>
      <c r="Z39" s="36">
        <f>VLOOKUP($A39,[24]HISTOAOUT24!$A$6:$BM$38,65,0)</f>
        <v>0</v>
      </c>
      <c r="AA39" s="36"/>
      <c r="AB39" s="36">
        <f>VLOOKUP($A39,[24]HISTOAOUT24!$A$6:$AU$38,43,0)</f>
        <v>0</v>
      </c>
      <c r="AC39" s="36">
        <f>VLOOKUP($A39,[24]HISTOAOUT24!$A$6:$AU$38,44,0)</f>
        <v>0</v>
      </c>
      <c r="AD39" s="36">
        <f>VLOOKUP($A39,[24]HISTOAOUT24!$A$6:$AU$38,47,0)</f>
        <v>0</v>
      </c>
      <c r="AE39" s="36">
        <f>VLOOKUP(A39,[24]HISTOAOUT24!$A$6:$BB$38,54,0)</f>
        <v>0</v>
      </c>
      <c r="AF39" s="36">
        <f>VLOOKUP($A39,[24]HISTOAOUT24!$A$6:$CA$38,60,0)</f>
        <v>0</v>
      </c>
      <c r="AG39" s="36">
        <f>VLOOKUP($A39,[24]HISTOAOUT24!$A$6:$CA$38,61,0)</f>
        <v>0</v>
      </c>
      <c r="AH39" s="36">
        <f>VLOOKUP($A39,[24]HISTOAOUT24!$A$6:$CA$38,62,0)</f>
        <v>0</v>
      </c>
      <c r="AI39" s="36">
        <f>VLOOKUP($A39,[24]HISTOAOUT24!$A$6:$CA$38,63,0)</f>
        <v>0</v>
      </c>
      <c r="AJ39" s="36">
        <f>VLOOKUP($A39,[24]HISTOAOUT24!$A$6:$CA$38,64,0)</f>
        <v>0</v>
      </c>
      <c r="AK39" s="36">
        <f>VLOOKUP($A39,[24]HISTOAOUT24!$A$6:$CA$38,65,0)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31752656.655274987</v>
      </c>
      <c r="G41" s="9">
        <f t="shared" si="10"/>
        <v>29963439.524547949</v>
      </c>
      <c r="H41" s="36">
        <f t="shared" si="10"/>
        <v>0</v>
      </c>
      <c r="I41" s="9">
        <f t="shared" si="10"/>
        <v>31752656.655274987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J6" activePane="bottomRight" state="frozen"/>
      <selection activeCell="B43" sqref="B43"/>
      <selection pane="topRight" activeCell="B43" sqref="B43"/>
      <selection pane="bottomLeft" activeCell="B43" sqref="B43"/>
      <selection pane="bottomRight" activeCell="J6" sqref="J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45521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VLOOKUP($A6,[24]HISTOAOUT24!$A$6:$BA$38,48,0)</f>
        <v>0</v>
      </c>
      <c r="F6" s="36">
        <f>MVTJUIL24!I6-E6+L6</f>
        <v>946220.58968855068</v>
      </c>
      <c r="G6" s="5">
        <f>IF(MVTJUIL24!I6+L6&gt;700000,(MVTJUIL24!I6-E6+L6),0)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VLOOKUP($A6,[24]HISTOAOUT24!$A$6:$AQ$42,22,0)</f>
        <v>0</v>
      </c>
      <c r="K6" s="36">
        <f>VLOOKUP($A6,[24]HISTOAOUT24!$A$6:$AU$38,45,0)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VLOOKUP($A6,[24]HISTOAOUT24!$A$6:$AU$38,7,0)</f>
        <v>0</v>
      </c>
      <c r="Q6" s="36">
        <f>VLOOKUP($A6,[24]HISTOAOUT24!$A$6:$AU$38,23,0)</f>
        <v>0</v>
      </c>
      <c r="R6" s="36">
        <f>VLOOKUP($A6,[24]HISTOAOUT24!$A$6:$AU$38,46,0)</f>
        <v>0</v>
      </c>
      <c r="S6" s="36">
        <f>VLOOKUP($A6,[24]HISTOAOUT24!$A$6:$AU$38,26,0)</f>
        <v>0</v>
      </c>
      <c r="T6" s="36">
        <f>VLOOKUP($A6,[24]HISTOAOUT24!$A$6:$BG$38,58,0)</f>
        <v>0</v>
      </c>
      <c r="U6" s="36">
        <f>VLOOKUP($A6,[24]HISTOAOUT24!$A$6:$AU$38,28,0)</f>
        <v>0</v>
      </c>
      <c r="V6" s="36">
        <f>VLOOKUP($A6,[24]HISTOAOUT24!$A$6:$AU$38,19,0)</f>
        <v>0</v>
      </c>
      <c r="W6" s="36">
        <f>VLOOKUP($A6,[24]HISTOAOUT24!$A$6:$AU$38,20,0)</f>
        <v>0</v>
      </c>
      <c r="X6" s="36">
        <f>VLOOKUP($A6,[24]HISTOAOUT24!$A$6:$AU$38,27,0)</f>
        <v>0</v>
      </c>
      <c r="Y6" s="36">
        <f>VLOOKUP($A6,[24]HISTOAOUT24!$A$6:$BM$38,33,0)</f>
        <v>0</v>
      </c>
      <c r="Z6" s="36">
        <f>VLOOKUP($A6,[24]HISTOAOUT24!$A$6:$BM$38,65,0)</f>
        <v>0</v>
      </c>
      <c r="AA6" s="36"/>
      <c r="AB6" s="36">
        <f>VLOOKUP($A6,[24]HISTOAOUT24!$A$6:$AU$38,43,0)</f>
        <v>0</v>
      </c>
      <c r="AC6" s="36">
        <f>VLOOKUP($A6,[24]HISTOAOUT24!$A$6:$AU$38,44,0)</f>
        <v>0</v>
      </c>
      <c r="AD6" s="36">
        <f>VLOOKUP($A6,[24]HISTOAOUT24!$A$6:$AU$38,47,0)</f>
        <v>0</v>
      </c>
      <c r="AE6" s="36">
        <f>VLOOKUP(A6,[24]HISTOAOUT24!$A$6:$BB$38,54,0)</f>
        <v>0</v>
      </c>
      <c r="AF6" s="36">
        <f>VLOOKUP($A6,[24]HISTOAOUT24!$A$6:$CA$38,60,0)</f>
        <v>0</v>
      </c>
      <c r="AG6" s="36">
        <f>VLOOKUP($A6,[24]HISTOAOUT24!$A$6:$CA$38,61,0)</f>
        <v>0</v>
      </c>
      <c r="AH6" s="36">
        <f>VLOOKUP($A6,[24]HISTOAOUT24!$A$6:$CA$38,62,0)</f>
        <v>0</v>
      </c>
      <c r="AI6" s="36">
        <f>VLOOKUP($A6,[24]HISTOAOUT24!$A$6:$CA$38,63,0)</f>
        <v>0</v>
      </c>
      <c r="AJ6" s="36">
        <f>VLOOKUP($A6,[24]HISTOAOUT24!$A$6:$CA$38,64,0)</f>
        <v>0</v>
      </c>
      <c r="AK6" s="36">
        <f>VLOOKUP($A6,[24]HISTOAOUT24!$A$6:$CA$38,65,0)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VLOOKUP($A7,[24]HISTOAOUT24!$A$6:$BA$38,48,0)</f>
        <v>0</v>
      </c>
      <c r="F7" s="36">
        <f>MVTJUIL24!I7-E7+L7</f>
        <v>852791.19348721951</v>
      </c>
      <c r="G7" s="5">
        <f>IF(MVTJUIL24!I7+L7&gt;700000,(MVTJUIL24!I7-E7+L7),0)</f>
        <v>852791.19348721951</v>
      </c>
      <c r="H7" s="36">
        <f t="shared" si="0"/>
        <v>0</v>
      </c>
      <c r="I7" s="6">
        <f t="shared" ref="I7:I39" si="2">F7+H7</f>
        <v>852791.19348721951</v>
      </c>
      <c r="J7" s="36">
        <f>VLOOKUP($A7,[24]HISTOAOUT24!$A$6:$AQ$42,22,0)</f>
        <v>0</v>
      </c>
      <c r="K7" s="36">
        <f>VLOOKUP($A7,[24]HISTOAOUT24!$A$6:$AU$38,45,0)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VLOOKUP($A7,[24]HISTOAOUT24!$A$6:$AU$38,7,0)</f>
        <v>3000</v>
      </c>
      <c r="Q7" s="36">
        <f>VLOOKUP($A7,[24]HISTOAOUT24!$A$6:$AU$38,23,0)</f>
        <v>0</v>
      </c>
      <c r="R7" s="36">
        <f>VLOOKUP($A7,[24]HISTOAOUT24!$A$6:$AU$38,46,0)</f>
        <v>0</v>
      </c>
      <c r="S7" s="36">
        <f>VLOOKUP($A7,[24]HISTOAOUT24!$A$6:$AU$38,26,0)</f>
        <v>0</v>
      </c>
      <c r="T7" s="36">
        <f>VLOOKUP($A7,[24]HISTOAOUT24!$A$6:$BG$38,58,0)</f>
        <v>0</v>
      </c>
      <c r="U7" s="36">
        <f>VLOOKUP($A7,[24]HISTOAOUT24!$A$6:$AU$38,28,0)</f>
        <v>0</v>
      </c>
      <c r="V7" s="36">
        <f>VLOOKUP($A7,[24]HISTOAOUT24!$A$6:$AU$38,19,0)</f>
        <v>0</v>
      </c>
      <c r="W7" s="36">
        <f>VLOOKUP($A7,[24]HISTOAOUT24!$A$6:$AU$38,20,0)</f>
        <v>0</v>
      </c>
      <c r="X7" s="36">
        <f>VLOOKUP($A7,[24]HISTOAOUT24!$A$6:$AU$38,27,0)</f>
        <v>0</v>
      </c>
      <c r="Y7" s="36">
        <f>VLOOKUP($A7,[24]HISTOAOUT24!$A$6:$BM$38,33,0)</f>
        <v>0</v>
      </c>
      <c r="Z7" s="36">
        <f>VLOOKUP($A7,[24]HISTOAOUT24!$A$6:$BM$38,65,0)</f>
        <v>0</v>
      </c>
      <c r="AA7" s="36"/>
      <c r="AB7" s="36">
        <f>VLOOKUP($A7,[24]HISTOAOUT24!$A$6:$AU$38,43,0)</f>
        <v>0</v>
      </c>
      <c r="AC7" s="36">
        <f>VLOOKUP($A7,[24]HISTOAOUT24!$A$6:$AU$38,44,0)</f>
        <v>0</v>
      </c>
      <c r="AD7" s="36">
        <f>VLOOKUP($A7,[24]HISTOAOUT24!$A$6:$AU$38,47,0)</f>
        <v>0</v>
      </c>
      <c r="AE7" s="36">
        <f>VLOOKUP(A7,[24]HISTOAOUT24!$A$6:$BB$38,54,0)</f>
        <v>0</v>
      </c>
      <c r="AF7" s="36">
        <f>VLOOKUP($A7,[24]HISTOAOUT24!$A$6:$CA$38,60,0)</f>
        <v>0</v>
      </c>
      <c r="AG7" s="36">
        <f>VLOOKUP($A7,[24]HISTOAOUT24!$A$6:$CA$38,61,0)</f>
        <v>0</v>
      </c>
      <c r="AH7" s="36">
        <f>VLOOKUP($A7,[24]HISTOAOUT24!$A$6:$CA$38,62,0)</f>
        <v>0</v>
      </c>
      <c r="AI7" s="36">
        <f>VLOOKUP($A7,[24]HISTOAOUT24!$A$6:$CA$38,63,0)</f>
        <v>0</v>
      </c>
      <c r="AJ7" s="36">
        <f>VLOOKUP($A7,[24]HISTOAOUT24!$A$6:$CA$38,64,0)</f>
        <v>0</v>
      </c>
      <c r="AK7" s="36">
        <f>VLOOKUP($A7,[24]HISTOAOUT24!$A$6:$CA$38,65,0)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VLOOKUP($A8,[24]HISTOAOUT24!$A$6:$BA$38,48,0)</f>
        <v>0</v>
      </c>
      <c r="F8" s="36">
        <f>MVTJUIL24!I8-E8+L8</f>
        <v>896533.31236524263</v>
      </c>
      <c r="G8" s="5">
        <f>IF(MVTJUIL24!I8+L8&gt;700000,(MVTJUIL24!I8-E8+L8),0)</f>
        <v>896533.31236524263</v>
      </c>
      <c r="H8" s="36">
        <f t="shared" si="0"/>
        <v>0</v>
      </c>
      <c r="I8" s="6">
        <f t="shared" si="2"/>
        <v>896533.31236524263</v>
      </c>
      <c r="J8" s="36">
        <f>VLOOKUP($A8,[24]HISTOAOUT24!$A$6:$AQ$42,22,0)</f>
        <v>0</v>
      </c>
      <c r="K8" s="36">
        <f>VLOOKUP($A8,[24]HISTOAOUT24!$A$6:$AU$38,45,0)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VLOOKUP($A8,[24]HISTOAOUT24!$A$6:$AU$38,7,0)</f>
        <v>0</v>
      </c>
      <c r="Q8" s="36">
        <f>VLOOKUP($A8,[24]HISTOAOUT24!$A$6:$AU$38,23,0)</f>
        <v>0</v>
      </c>
      <c r="R8" s="36">
        <f>VLOOKUP($A8,[24]HISTOAOUT24!$A$6:$AU$38,46,0)</f>
        <v>0</v>
      </c>
      <c r="S8" s="36">
        <f>VLOOKUP($A8,[24]HISTOAOUT24!$A$6:$AU$38,26,0)</f>
        <v>0</v>
      </c>
      <c r="T8" s="36">
        <f>VLOOKUP($A8,[24]HISTOAOUT24!$A$6:$BG$38,58,0)</f>
        <v>0</v>
      </c>
      <c r="U8" s="36">
        <f>VLOOKUP($A8,[24]HISTOAOUT24!$A$6:$AU$38,28,0)</f>
        <v>0</v>
      </c>
      <c r="V8" s="36">
        <f>VLOOKUP($A8,[24]HISTOAOUT24!$A$6:$AU$38,19,0)</f>
        <v>0</v>
      </c>
      <c r="W8" s="36">
        <f>VLOOKUP($A8,[24]HISTOAOUT24!$A$6:$AU$38,20,0)</f>
        <v>0</v>
      </c>
      <c r="X8" s="36">
        <f>VLOOKUP($A8,[24]HISTOAOUT24!$A$6:$AU$38,27,0)</f>
        <v>0</v>
      </c>
      <c r="Y8" s="36">
        <f>VLOOKUP($A8,[24]HISTOAOUT24!$A$6:$BM$38,33,0)</f>
        <v>0</v>
      </c>
      <c r="Z8" s="36">
        <f>VLOOKUP($A8,[24]HISTOAOUT24!$A$6:$BM$38,65,0)</f>
        <v>0</v>
      </c>
      <c r="AA8" s="36"/>
      <c r="AB8" s="36">
        <f>VLOOKUP($A8,[24]HISTOAOUT24!$A$6:$AU$38,43,0)</f>
        <v>0</v>
      </c>
      <c r="AC8" s="36">
        <f>VLOOKUP($A8,[24]HISTOAOUT24!$A$6:$AU$38,44,0)</f>
        <v>0</v>
      </c>
      <c r="AD8" s="36">
        <f>VLOOKUP($A8,[24]HISTOAOUT24!$A$6:$AU$38,47,0)</f>
        <v>0</v>
      </c>
      <c r="AE8" s="36">
        <f>VLOOKUP(A8,[24]HISTOAOUT24!$A$6:$BB$38,54,0)</f>
        <v>0</v>
      </c>
      <c r="AF8" s="36">
        <f>VLOOKUP($A8,[24]HISTOAOUT24!$A$6:$CA$38,60,0)</f>
        <v>0</v>
      </c>
      <c r="AG8" s="36">
        <f>VLOOKUP($A8,[24]HISTOAOUT24!$A$6:$CA$38,61,0)</f>
        <v>0</v>
      </c>
      <c r="AH8" s="36">
        <f>VLOOKUP($A8,[24]HISTOAOUT24!$A$6:$CA$38,62,0)</f>
        <v>0</v>
      </c>
      <c r="AI8" s="36">
        <f>VLOOKUP($A8,[24]HISTOAOUT24!$A$6:$CA$38,63,0)</f>
        <v>0</v>
      </c>
      <c r="AJ8" s="36">
        <f>VLOOKUP($A8,[24]HISTOAOUT24!$A$6:$CA$38,64,0)</f>
        <v>0</v>
      </c>
      <c r="AK8" s="36">
        <f>VLOOKUP($A8,[24]HISTOAOUT24!$A$6:$CA$38,65,0)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VLOOKUP($A9,[24]HISTOAOUT24!$A$6:$BA$38,48,0)</f>
        <v>0</v>
      </c>
      <c r="F9" s="36">
        <f>MVTJUIL24!I9-E9+L9</f>
        <v>953962.00686817756</v>
      </c>
      <c r="G9" s="5">
        <f>IF(MVTJUIL24!I9+L9&gt;700000,(MVTJUIL24!I9-E9+L9),0)</f>
        <v>953962.00686817756</v>
      </c>
      <c r="H9" s="36">
        <f t="shared" si="0"/>
        <v>0</v>
      </c>
      <c r="I9" s="6">
        <f t="shared" si="2"/>
        <v>953962.00686817756</v>
      </c>
      <c r="J9" s="36">
        <f>VLOOKUP($A9,[24]HISTOAOUT24!$A$6:$AQ$42,22,0)</f>
        <v>0</v>
      </c>
      <c r="K9" s="36">
        <f>VLOOKUP($A9,[24]HISTOAOUT24!$A$6:$AU$38,45,0)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VLOOKUP($A9,[24]HISTOAOUT24!$A$6:$AU$38,7,0)</f>
        <v>0</v>
      </c>
      <c r="Q9" s="36">
        <f>VLOOKUP($A9,[24]HISTOAOUT24!$A$6:$AU$38,23,0)</f>
        <v>0</v>
      </c>
      <c r="R9" s="36">
        <f>VLOOKUP($A9,[24]HISTOAOUT24!$A$6:$AU$38,46,0)</f>
        <v>0</v>
      </c>
      <c r="S9" s="36">
        <f>VLOOKUP($A9,[24]HISTOAOUT24!$A$6:$AU$38,26,0)</f>
        <v>0</v>
      </c>
      <c r="T9" s="36">
        <f>VLOOKUP($A9,[24]HISTOAOUT24!$A$6:$BG$38,58,0)</f>
        <v>0</v>
      </c>
      <c r="U9" s="36">
        <f>VLOOKUP($A9,[24]HISTOAOUT24!$A$6:$AU$38,28,0)</f>
        <v>0</v>
      </c>
      <c r="V9" s="36">
        <f>VLOOKUP($A9,[24]HISTOAOUT24!$A$6:$AU$38,19,0)</f>
        <v>0</v>
      </c>
      <c r="W9" s="36">
        <f>VLOOKUP($A9,[24]HISTOAOUT24!$A$6:$AU$38,20,0)</f>
        <v>0</v>
      </c>
      <c r="X9" s="36">
        <f>VLOOKUP($A9,[24]HISTOAOUT24!$A$6:$AU$38,27,0)</f>
        <v>0</v>
      </c>
      <c r="Y9" s="36">
        <f>VLOOKUP($A9,[24]HISTOAOUT24!$A$6:$BM$38,33,0)</f>
        <v>0</v>
      </c>
      <c r="Z9" s="36">
        <f>VLOOKUP($A9,[24]HISTOAOUT24!$A$6:$BM$38,65,0)</f>
        <v>0</v>
      </c>
      <c r="AA9" s="36"/>
      <c r="AB9" s="36">
        <f>VLOOKUP($A9,[24]HISTOAOUT24!$A$6:$AU$38,43,0)</f>
        <v>0</v>
      </c>
      <c r="AC9" s="36">
        <f>VLOOKUP($A9,[24]HISTOAOUT24!$A$6:$AU$38,44,0)</f>
        <v>0</v>
      </c>
      <c r="AD9" s="36">
        <f>VLOOKUP($A9,[24]HISTOAOUT24!$A$6:$AU$38,47,0)</f>
        <v>0</v>
      </c>
      <c r="AE9" s="36">
        <f>VLOOKUP(A9,[24]HISTOAOUT24!$A$6:$BB$38,54,0)</f>
        <v>0</v>
      </c>
      <c r="AF9" s="36">
        <f>VLOOKUP($A9,[24]HISTOAOUT24!$A$6:$CA$38,60,0)</f>
        <v>0</v>
      </c>
      <c r="AG9" s="36">
        <f>VLOOKUP($A9,[24]HISTOAOUT24!$A$6:$CA$38,61,0)</f>
        <v>0</v>
      </c>
      <c r="AH9" s="36">
        <f>VLOOKUP($A9,[24]HISTOAOUT24!$A$6:$CA$38,62,0)</f>
        <v>0</v>
      </c>
      <c r="AI9" s="36">
        <f>VLOOKUP($A9,[24]HISTOAOUT24!$A$6:$CA$38,63,0)</f>
        <v>0</v>
      </c>
      <c r="AJ9" s="36">
        <f>VLOOKUP($A9,[24]HISTOAOUT24!$A$6:$CA$38,64,0)</f>
        <v>0</v>
      </c>
      <c r="AK9" s="36">
        <f>VLOOKUP($A9,[24]HISTOAOUT24!$A$6:$CA$38,65,0)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VLOOKUP($A10,[24]HISTOAOUT24!$A$6:$BA$38,48,0)</f>
        <v>0</v>
      </c>
      <c r="F10" s="36">
        <f>MVTJUIL24!I10-E10+L10</f>
        <v>893805.20622596238</v>
      </c>
      <c r="G10" s="5">
        <f>IF(MVTJUIL24!I10+L10&gt;700000,(MVTJUIL24!I10-E10+L10),0)</f>
        <v>893805.20622596238</v>
      </c>
      <c r="H10" s="36">
        <f t="shared" si="0"/>
        <v>0</v>
      </c>
      <c r="I10" s="6">
        <f t="shared" si="2"/>
        <v>893805.20622596238</v>
      </c>
      <c r="J10" s="36">
        <f>VLOOKUP($A10,[24]HISTOAOUT24!$A$6:$AQ$42,22,0)</f>
        <v>0</v>
      </c>
      <c r="K10" s="36">
        <f>VLOOKUP($A10,[24]HISTOAOUT24!$A$6:$AU$38,45,0)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VLOOKUP($A10,[24]HISTOAOUT24!$A$6:$AU$38,7,0)</f>
        <v>0</v>
      </c>
      <c r="Q10" s="36">
        <f>VLOOKUP($A10,[24]HISTOAOUT24!$A$6:$AU$38,23,0)</f>
        <v>0</v>
      </c>
      <c r="R10" s="36">
        <f>VLOOKUP($A10,[24]HISTOAOUT24!$A$6:$AU$38,46,0)</f>
        <v>0</v>
      </c>
      <c r="S10" s="36">
        <f>VLOOKUP($A10,[24]HISTOAOUT24!$A$6:$AU$38,26,0)</f>
        <v>0</v>
      </c>
      <c r="T10" s="36">
        <f>VLOOKUP($A10,[24]HISTOAOUT24!$A$6:$BG$38,58,0)</f>
        <v>0</v>
      </c>
      <c r="U10" s="36">
        <f>VLOOKUP($A10,[24]HISTOAOUT24!$A$6:$AU$38,28,0)</f>
        <v>0</v>
      </c>
      <c r="V10" s="36">
        <f>VLOOKUP($A10,[24]HISTOAOUT24!$A$6:$AU$38,19,0)</f>
        <v>0</v>
      </c>
      <c r="W10" s="36">
        <f>VLOOKUP($A10,[24]HISTOAOUT24!$A$6:$AU$38,20,0)</f>
        <v>0</v>
      </c>
      <c r="X10" s="36">
        <f>VLOOKUP($A10,[24]HISTOAOUT24!$A$6:$AU$38,27,0)</f>
        <v>0</v>
      </c>
      <c r="Y10" s="36">
        <f>VLOOKUP($A10,[24]HISTOAOUT24!$A$6:$BM$38,33,0)</f>
        <v>0</v>
      </c>
      <c r="Z10" s="36">
        <f>VLOOKUP($A10,[24]HISTOAOUT24!$A$6:$BM$38,65,0)</f>
        <v>0</v>
      </c>
      <c r="AA10" s="36"/>
      <c r="AB10" s="36">
        <f>VLOOKUP($A10,[24]HISTOAOUT24!$A$6:$AU$38,43,0)</f>
        <v>0</v>
      </c>
      <c r="AC10" s="36">
        <f>VLOOKUP($A10,[24]HISTOAOUT24!$A$6:$AU$38,44,0)</f>
        <v>0</v>
      </c>
      <c r="AD10" s="36">
        <f>VLOOKUP($A10,[24]HISTOAOUT24!$A$6:$AU$38,47,0)</f>
        <v>0</v>
      </c>
      <c r="AE10" s="36">
        <f>VLOOKUP(A10,[24]HISTOAOUT24!$A$6:$BB$38,54,0)</f>
        <v>0</v>
      </c>
      <c r="AF10" s="36">
        <f>VLOOKUP($A10,[24]HISTOAOUT24!$A$6:$CA$38,60,0)</f>
        <v>0</v>
      </c>
      <c r="AG10" s="36">
        <f>VLOOKUP($A10,[24]HISTOAOUT24!$A$6:$CA$38,61,0)</f>
        <v>0</v>
      </c>
      <c r="AH10" s="36">
        <f>VLOOKUP($A10,[24]HISTOAOUT24!$A$6:$CA$38,62,0)</f>
        <v>0</v>
      </c>
      <c r="AI10" s="36">
        <f>VLOOKUP($A10,[24]HISTOAOUT24!$A$6:$CA$38,63,0)</f>
        <v>0</v>
      </c>
      <c r="AJ10" s="36">
        <f>VLOOKUP($A10,[24]HISTOAOUT24!$A$6:$CA$38,64,0)</f>
        <v>0</v>
      </c>
      <c r="AK10" s="36">
        <f>VLOOKUP($A10,[24]HISTOAOUT24!$A$6:$CA$38,65,0)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VLOOKUP($A11,[24]HISTOAOUT24!$A$6:$BA$38,48,0)</f>
        <v>0</v>
      </c>
      <c r="F11" s="36">
        <f>MVTJUIL24!I11-E11+L11</f>
        <v>911855.82895949238</v>
      </c>
      <c r="G11" s="5">
        <f>IF(MVTJUIL24!I11+L11&gt;700000,(MVTJUIL24!I11-E11+L11),0)</f>
        <v>911855.82895949238</v>
      </c>
      <c r="H11" s="36">
        <f t="shared" si="0"/>
        <v>0</v>
      </c>
      <c r="I11" s="6">
        <f t="shared" si="2"/>
        <v>911855.82895949238</v>
      </c>
      <c r="J11" s="36">
        <f>VLOOKUP($A11,[24]HISTOAOUT24!$A$6:$AQ$42,22,0)</f>
        <v>0</v>
      </c>
      <c r="K11" s="36">
        <f>VLOOKUP($A11,[24]HISTOAOUT24!$A$6:$AU$38,45,0)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VLOOKUP($A11,[24]HISTOAOUT24!$A$6:$AU$38,7,0)</f>
        <v>0</v>
      </c>
      <c r="Q11" s="36">
        <f>VLOOKUP($A11,[24]HISTOAOUT24!$A$6:$AU$38,23,0)</f>
        <v>0</v>
      </c>
      <c r="R11" s="36">
        <f>VLOOKUP($A11,[24]HISTOAOUT24!$A$6:$AU$38,46,0)</f>
        <v>0</v>
      </c>
      <c r="S11" s="36">
        <f>VLOOKUP($A11,[24]HISTOAOUT24!$A$6:$AU$38,26,0)</f>
        <v>0</v>
      </c>
      <c r="T11" s="36">
        <f>VLOOKUP($A11,[24]HISTOAOUT24!$A$6:$BG$38,58,0)</f>
        <v>0</v>
      </c>
      <c r="U11" s="36">
        <f>VLOOKUP($A11,[24]HISTOAOUT24!$A$6:$AU$38,28,0)</f>
        <v>0</v>
      </c>
      <c r="V11" s="36">
        <f>VLOOKUP($A11,[24]HISTOAOUT24!$A$6:$AU$38,19,0)</f>
        <v>0</v>
      </c>
      <c r="W11" s="36">
        <f>VLOOKUP($A11,[24]HISTOAOUT24!$A$6:$AU$38,20,0)</f>
        <v>0</v>
      </c>
      <c r="X11" s="36">
        <f>VLOOKUP($A11,[24]HISTOAOUT24!$A$6:$AU$38,27,0)</f>
        <v>0</v>
      </c>
      <c r="Y11" s="36">
        <f>VLOOKUP($A11,[24]HISTOAOUT24!$A$6:$BM$38,33,0)</f>
        <v>0</v>
      </c>
      <c r="Z11" s="36">
        <f>VLOOKUP($A11,[24]HISTOAOUT24!$A$6:$BM$38,65,0)</f>
        <v>0</v>
      </c>
      <c r="AA11" s="36"/>
      <c r="AB11" s="36">
        <f>VLOOKUP($A11,[24]HISTOAOUT24!$A$6:$AU$38,43,0)</f>
        <v>0</v>
      </c>
      <c r="AC11" s="36">
        <f>VLOOKUP($A11,[24]HISTOAOUT24!$A$6:$AU$38,44,0)</f>
        <v>0</v>
      </c>
      <c r="AD11" s="36">
        <f>VLOOKUP($A11,[24]HISTOAOUT24!$A$6:$AU$38,47,0)</f>
        <v>0</v>
      </c>
      <c r="AE11" s="36">
        <f>VLOOKUP(A11,[24]HISTOAOUT24!$A$6:$BB$38,54,0)</f>
        <v>0</v>
      </c>
      <c r="AF11" s="36">
        <f>VLOOKUP($A11,[24]HISTOAOUT24!$A$6:$CA$38,60,0)</f>
        <v>0</v>
      </c>
      <c r="AG11" s="36">
        <f>VLOOKUP($A11,[24]HISTOAOUT24!$A$6:$CA$38,61,0)</f>
        <v>0</v>
      </c>
      <c r="AH11" s="36">
        <f>VLOOKUP($A11,[24]HISTOAOUT24!$A$6:$CA$38,62,0)</f>
        <v>0</v>
      </c>
      <c r="AI11" s="36">
        <f>VLOOKUP($A11,[24]HISTOAOUT24!$A$6:$CA$38,63,0)</f>
        <v>0</v>
      </c>
      <c r="AJ11" s="36">
        <f>VLOOKUP($A11,[24]HISTOAOUT24!$A$6:$CA$38,64,0)</f>
        <v>0</v>
      </c>
      <c r="AK11" s="36">
        <f>VLOOKUP($A11,[24]HISTOAOUT24!$A$6:$CA$38,65,0)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VLOOKUP($A12,[24]HISTOAOUT24!$A$6:$BA$38,48,0)</f>
        <v>0</v>
      </c>
      <c r="F12" s="36">
        <f>MVTJUIL24!I12-E12+L12</f>
        <v>935100.14741339569</v>
      </c>
      <c r="G12" s="5">
        <f>IF(MVTJUIL24!I12+L12&gt;700000,(MVTJUIL24!I12-E12+L12),0)</f>
        <v>935100.14741339569</v>
      </c>
      <c r="H12" s="36">
        <f t="shared" si="0"/>
        <v>0</v>
      </c>
      <c r="I12" s="6">
        <f t="shared" si="2"/>
        <v>935100.14741339569</v>
      </c>
      <c r="J12" s="36">
        <f>VLOOKUP($A12,[24]HISTOAOUT24!$A$6:$AQ$42,22,0)</f>
        <v>0</v>
      </c>
      <c r="K12" s="36">
        <f>VLOOKUP($A12,[24]HISTOAOUT24!$A$6:$AU$38,45,0)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VLOOKUP($A12,[24]HISTOAOUT24!$A$6:$AU$38,7,0)</f>
        <v>0</v>
      </c>
      <c r="Q12" s="36">
        <f>VLOOKUP($A12,[24]HISTOAOUT24!$A$6:$AU$38,23,0)</f>
        <v>0</v>
      </c>
      <c r="R12" s="36">
        <f>VLOOKUP($A12,[24]HISTOAOUT24!$A$6:$AU$38,46,0)</f>
        <v>0</v>
      </c>
      <c r="S12" s="36">
        <f>VLOOKUP($A12,[24]HISTOAOUT24!$A$6:$AU$38,26,0)</f>
        <v>0</v>
      </c>
      <c r="T12" s="36">
        <f>VLOOKUP($A12,[24]HISTOAOUT24!$A$6:$BG$38,58,0)</f>
        <v>0</v>
      </c>
      <c r="U12" s="36">
        <f>VLOOKUP($A12,[24]HISTOAOUT24!$A$6:$AU$38,28,0)</f>
        <v>0</v>
      </c>
      <c r="V12" s="36">
        <f>VLOOKUP($A12,[24]HISTOAOUT24!$A$6:$AU$38,19,0)</f>
        <v>0</v>
      </c>
      <c r="W12" s="36">
        <f>VLOOKUP($A12,[24]HISTOAOUT24!$A$6:$AU$38,20,0)</f>
        <v>0</v>
      </c>
      <c r="X12" s="36">
        <f>VLOOKUP($A12,[24]HISTOAOUT24!$A$6:$AU$38,27,0)</f>
        <v>0</v>
      </c>
      <c r="Y12" s="36">
        <f>VLOOKUP($A12,[24]HISTOAOUT24!$A$6:$BM$38,33,0)</f>
        <v>0</v>
      </c>
      <c r="Z12" s="36">
        <f>VLOOKUP($A12,[24]HISTOAOUT24!$A$6:$BM$38,65,0)</f>
        <v>0</v>
      </c>
      <c r="AA12" s="36"/>
      <c r="AB12" s="36">
        <f>VLOOKUP($A12,[24]HISTOAOUT24!$A$6:$AU$38,43,0)</f>
        <v>0</v>
      </c>
      <c r="AC12" s="36">
        <f>VLOOKUP($A12,[24]HISTOAOUT24!$A$6:$AU$38,44,0)</f>
        <v>0</v>
      </c>
      <c r="AD12" s="36">
        <f>VLOOKUP($A12,[24]HISTOAOUT24!$A$6:$AU$38,47,0)</f>
        <v>0</v>
      </c>
      <c r="AE12" s="36">
        <f>VLOOKUP(A12,[24]HISTOAOUT24!$A$6:$BB$38,54,0)</f>
        <v>0</v>
      </c>
      <c r="AF12" s="36">
        <f>VLOOKUP($A12,[24]HISTOAOUT24!$A$6:$CA$38,60,0)</f>
        <v>0</v>
      </c>
      <c r="AG12" s="36">
        <f>VLOOKUP($A12,[24]HISTOAOUT24!$A$6:$CA$38,61,0)</f>
        <v>0</v>
      </c>
      <c r="AH12" s="36">
        <f>VLOOKUP($A12,[24]HISTOAOUT24!$A$6:$CA$38,62,0)</f>
        <v>0</v>
      </c>
      <c r="AI12" s="36">
        <f>VLOOKUP($A12,[24]HISTOAOUT24!$A$6:$CA$38,63,0)</f>
        <v>0</v>
      </c>
      <c r="AJ12" s="36">
        <f>VLOOKUP($A12,[24]HISTOAOUT24!$A$6:$CA$38,64,0)</f>
        <v>0</v>
      </c>
      <c r="AK12" s="36">
        <f>VLOOKUP($A12,[24]HISTOAOUT24!$A$6:$CA$38,65,0)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VLOOKUP($A13,[24]HISTOAOUT24!$A$6:$BA$38,48,0)</f>
        <v>0</v>
      </c>
      <c r="F13" s="36">
        <f>MVTJUIL24!I13-E13+L13</f>
        <v>899555.14612214814</v>
      </c>
      <c r="G13" s="5">
        <f>IF(MVTJUIL24!I13+L13&gt;700000,(MVTJUIL24!I13-E13+L13),0)</f>
        <v>899555.14612214814</v>
      </c>
      <c r="H13" s="36">
        <f t="shared" si="0"/>
        <v>0</v>
      </c>
      <c r="I13" s="6">
        <f t="shared" si="2"/>
        <v>899555.14612214814</v>
      </c>
      <c r="J13" s="36">
        <f>VLOOKUP($A13,[24]HISTOAOUT24!$A$6:$AQ$42,22,0)</f>
        <v>0</v>
      </c>
      <c r="K13" s="36">
        <f>VLOOKUP($A13,[24]HISTOAOUT24!$A$6:$AU$38,45,0)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VLOOKUP($A13,[24]HISTOAOUT24!$A$6:$AU$38,7,0)</f>
        <v>0</v>
      </c>
      <c r="Q13" s="36">
        <f>VLOOKUP($A13,[24]HISTOAOUT24!$A$6:$AU$38,23,0)</f>
        <v>0</v>
      </c>
      <c r="R13" s="36">
        <f>VLOOKUP($A13,[24]HISTOAOUT24!$A$6:$AU$38,46,0)</f>
        <v>0</v>
      </c>
      <c r="S13" s="36">
        <f>VLOOKUP($A13,[24]HISTOAOUT24!$A$6:$AU$38,26,0)</f>
        <v>0</v>
      </c>
      <c r="T13" s="36">
        <f>VLOOKUP($A13,[24]HISTOAOUT24!$A$6:$BG$38,58,0)</f>
        <v>0</v>
      </c>
      <c r="U13" s="36">
        <f>VLOOKUP($A13,[24]HISTOAOUT24!$A$6:$AU$38,28,0)</f>
        <v>0</v>
      </c>
      <c r="V13" s="36">
        <f>VLOOKUP($A13,[24]HISTOAOUT24!$A$6:$AU$38,19,0)</f>
        <v>0</v>
      </c>
      <c r="W13" s="36">
        <f>VLOOKUP($A13,[24]HISTOAOUT24!$A$6:$AU$38,20,0)</f>
        <v>0</v>
      </c>
      <c r="X13" s="36">
        <f>VLOOKUP($A13,[24]HISTOAOUT24!$A$6:$AU$38,27,0)</f>
        <v>0</v>
      </c>
      <c r="Y13" s="36">
        <f>VLOOKUP($A13,[24]HISTOAOUT24!$A$6:$BM$38,33,0)</f>
        <v>0</v>
      </c>
      <c r="Z13" s="36">
        <f>VLOOKUP($A13,[24]HISTOAOUT24!$A$6:$BM$38,65,0)</f>
        <v>0</v>
      </c>
      <c r="AA13" s="36"/>
      <c r="AB13" s="36">
        <f>VLOOKUP($A13,[24]HISTOAOUT24!$A$6:$AU$38,43,0)</f>
        <v>0</v>
      </c>
      <c r="AC13" s="36">
        <f>VLOOKUP($A13,[24]HISTOAOUT24!$A$6:$AU$38,44,0)</f>
        <v>0</v>
      </c>
      <c r="AD13" s="36">
        <f>VLOOKUP($A13,[24]HISTOAOUT24!$A$6:$AU$38,47,0)</f>
        <v>0</v>
      </c>
      <c r="AE13" s="36">
        <f>VLOOKUP(A13,[24]HISTOAOUT24!$A$6:$BB$38,54,0)</f>
        <v>0</v>
      </c>
      <c r="AF13" s="36">
        <f>VLOOKUP($A13,[24]HISTOAOUT24!$A$6:$CA$38,60,0)</f>
        <v>0</v>
      </c>
      <c r="AG13" s="36">
        <f>VLOOKUP($A13,[24]HISTOAOUT24!$A$6:$CA$38,61,0)</f>
        <v>0</v>
      </c>
      <c r="AH13" s="36">
        <f>VLOOKUP($A13,[24]HISTOAOUT24!$A$6:$CA$38,62,0)</f>
        <v>0</v>
      </c>
      <c r="AI13" s="36">
        <f>VLOOKUP($A13,[24]HISTOAOUT24!$A$6:$CA$38,63,0)</f>
        <v>0</v>
      </c>
      <c r="AJ13" s="36">
        <f>VLOOKUP($A13,[24]HISTOAOUT24!$A$6:$CA$38,64,0)</f>
        <v>0</v>
      </c>
      <c r="AK13" s="36">
        <f>VLOOKUP($A13,[24]HISTOAOUT24!$A$6:$CA$38,65,0)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VLOOKUP($A14,[24]HISTOAOUT24!$A$6:$BA$38,48,0)</f>
        <v>0</v>
      </c>
      <c r="F14" s="36">
        <f>MVTJUIL24!I14-E14+L14</f>
        <v>1452425.9823482623</v>
      </c>
      <c r="G14" s="5">
        <f>IF(MVTJUIL24!I14+L14&gt;700000,(MVTJUIL24!I14-E14+L14),0)</f>
        <v>1452425.9823482623</v>
      </c>
      <c r="H14" s="36">
        <f t="shared" si="0"/>
        <v>0</v>
      </c>
      <c r="I14" s="6">
        <f t="shared" si="2"/>
        <v>1452425.9823482623</v>
      </c>
      <c r="J14" s="36">
        <f>VLOOKUP($A14,[24]HISTOAOUT24!$A$6:$AQ$42,22,0)</f>
        <v>0</v>
      </c>
      <c r="K14" s="36">
        <f>VLOOKUP($A14,[24]HISTOAOUT24!$A$6:$AU$38,45,0)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VLOOKUP($A14,[24]HISTOAOUT24!$A$6:$AU$38,7,0)</f>
        <v>0</v>
      </c>
      <c r="Q14" s="36">
        <f>VLOOKUP($A14,[24]HISTOAOUT24!$A$6:$AU$38,23,0)</f>
        <v>0</v>
      </c>
      <c r="R14" s="36">
        <f>VLOOKUP($A14,[24]HISTOAOUT24!$A$6:$AU$38,46,0)</f>
        <v>0</v>
      </c>
      <c r="S14" s="36">
        <f>VLOOKUP($A14,[24]HISTOAOUT24!$A$6:$AU$38,26,0)</f>
        <v>0</v>
      </c>
      <c r="T14" s="36">
        <f>VLOOKUP($A14,[24]HISTOAOUT24!$A$6:$BG$38,58,0)</f>
        <v>0</v>
      </c>
      <c r="U14" s="36">
        <f>VLOOKUP($A14,[24]HISTOAOUT24!$A$6:$AU$38,28,0)</f>
        <v>0</v>
      </c>
      <c r="V14" s="36">
        <f>VLOOKUP($A14,[24]HISTOAOUT24!$A$6:$AU$38,19,0)</f>
        <v>0</v>
      </c>
      <c r="W14" s="36">
        <f>VLOOKUP($A14,[24]HISTOAOUT24!$A$6:$AU$38,20,0)</f>
        <v>0</v>
      </c>
      <c r="X14" s="36">
        <f>VLOOKUP($A14,[24]HISTOAOUT24!$A$6:$AU$38,27,0)</f>
        <v>0</v>
      </c>
      <c r="Y14" s="36">
        <f>VLOOKUP($A14,[24]HISTOAOUT24!$A$6:$BM$38,33,0)</f>
        <v>0</v>
      </c>
      <c r="Z14" s="36">
        <f>VLOOKUP($A14,[24]HISTOAOUT24!$A$6:$BM$38,65,0)</f>
        <v>0</v>
      </c>
      <c r="AA14" s="36"/>
      <c r="AB14" s="36">
        <f>VLOOKUP($A14,[24]HISTOAOUT24!$A$6:$AU$38,43,0)</f>
        <v>0</v>
      </c>
      <c r="AC14" s="36">
        <f>VLOOKUP($A14,[24]HISTOAOUT24!$A$6:$AU$38,44,0)</f>
        <v>0</v>
      </c>
      <c r="AD14" s="36">
        <f>VLOOKUP($A14,[24]HISTOAOUT24!$A$6:$AU$38,47,0)</f>
        <v>0</v>
      </c>
      <c r="AE14" s="36">
        <f>VLOOKUP(A14,[24]HISTOAOUT24!$A$6:$BB$38,54,0)</f>
        <v>0</v>
      </c>
      <c r="AF14" s="36">
        <f>VLOOKUP($A14,[24]HISTOAOUT24!$A$6:$CA$38,60,0)</f>
        <v>0</v>
      </c>
      <c r="AG14" s="36">
        <f>VLOOKUP($A14,[24]HISTOAOUT24!$A$6:$CA$38,61,0)</f>
        <v>0</v>
      </c>
      <c r="AH14" s="36">
        <f>VLOOKUP($A14,[24]HISTOAOUT24!$A$6:$CA$38,62,0)</f>
        <v>0</v>
      </c>
      <c r="AI14" s="36">
        <f>VLOOKUP($A14,[24]HISTOAOUT24!$A$6:$CA$38,63,0)</f>
        <v>0</v>
      </c>
      <c r="AJ14" s="36">
        <f>VLOOKUP($A14,[24]HISTOAOUT24!$A$6:$CA$38,64,0)</f>
        <v>0</v>
      </c>
      <c r="AK14" s="36">
        <f>VLOOKUP($A14,[24]HISTOAOUT24!$A$6:$CA$38,65,0)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VLOOKUP($A15,[24]HISTOAOUT24!$A$6:$BA$38,48,0)</f>
        <v>0</v>
      </c>
      <c r="F15" s="36">
        <f>MVTJUIL24!I15-E15+L15</f>
        <v>961309.62153810938</v>
      </c>
      <c r="G15" s="5">
        <f>IF(MVTJUIL24!I15+L15&gt;700000,(MVTJUIL24!I15-E15+L15),0)</f>
        <v>961309.62153810938</v>
      </c>
      <c r="H15" s="36">
        <f t="shared" si="0"/>
        <v>0</v>
      </c>
      <c r="I15" s="6">
        <f t="shared" si="2"/>
        <v>961309.62153810938</v>
      </c>
      <c r="J15" s="36">
        <f>VLOOKUP($A15,[24]HISTOAOUT24!$A$6:$AQ$42,22,0)</f>
        <v>0</v>
      </c>
      <c r="K15" s="36">
        <f>VLOOKUP($A15,[24]HISTOAOUT24!$A$6:$AU$38,45,0)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VLOOKUP($A15,[24]HISTOAOUT24!$A$6:$AU$38,7,0)</f>
        <v>0</v>
      </c>
      <c r="Q15" s="36">
        <f>VLOOKUP($A15,[24]HISTOAOUT24!$A$6:$AU$38,23,0)</f>
        <v>0</v>
      </c>
      <c r="R15" s="36">
        <f>VLOOKUP($A15,[24]HISTOAOUT24!$A$6:$AU$38,46,0)</f>
        <v>0</v>
      </c>
      <c r="S15" s="36">
        <f>VLOOKUP($A15,[24]HISTOAOUT24!$A$6:$AU$38,26,0)</f>
        <v>0</v>
      </c>
      <c r="T15" s="36">
        <f>VLOOKUP($A15,[24]HISTOAOUT24!$A$6:$BG$38,58,0)</f>
        <v>0</v>
      </c>
      <c r="U15" s="36">
        <f>VLOOKUP($A15,[24]HISTOAOUT24!$A$6:$AU$38,28,0)</f>
        <v>0</v>
      </c>
      <c r="V15" s="36">
        <f>VLOOKUP($A15,[24]HISTOAOUT24!$A$6:$AU$38,19,0)</f>
        <v>0</v>
      </c>
      <c r="W15" s="36">
        <f>VLOOKUP($A15,[24]HISTOAOUT24!$A$6:$AU$38,20,0)</f>
        <v>0</v>
      </c>
      <c r="X15" s="36">
        <f>VLOOKUP($A15,[24]HISTOAOUT24!$A$6:$AU$38,27,0)</f>
        <v>0</v>
      </c>
      <c r="Y15" s="36">
        <f>VLOOKUP($A15,[24]HISTOAOUT24!$A$6:$BM$38,33,0)</f>
        <v>0</v>
      </c>
      <c r="Z15" s="36">
        <f>VLOOKUP($A15,[24]HISTOAOUT24!$A$6:$BM$38,65,0)</f>
        <v>0</v>
      </c>
      <c r="AA15" s="36"/>
      <c r="AB15" s="36">
        <f>VLOOKUP($A15,[24]HISTOAOUT24!$A$6:$AU$38,43,0)</f>
        <v>0</v>
      </c>
      <c r="AC15" s="36">
        <f>VLOOKUP($A15,[24]HISTOAOUT24!$A$6:$AU$38,44,0)</f>
        <v>0</v>
      </c>
      <c r="AD15" s="36">
        <f>VLOOKUP($A15,[24]HISTOAOUT24!$A$6:$AU$38,47,0)</f>
        <v>0</v>
      </c>
      <c r="AE15" s="36">
        <f>VLOOKUP(A15,[24]HISTOAOUT24!$A$6:$BB$38,54,0)</f>
        <v>0</v>
      </c>
      <c r="AF15" s="36">
        <f>VLOOKUP($A15,[24]HISTOAOUT24!$A$6:$CA$38,60,0)</f>
        <v>0</v>
      </c>
      <c r="AG15" s="36">
        <f>VLOOKUP($A15,[24]HISTOAOUT24!$A$6:$CA$38,61,0)</f>
        <v>0</v>
      </c>
      <c r="AH15" s="36">
        <f>VLOOKUP($A15,[24]HISTOAOUT24!$A$6:$CA$38,62,0)</f>
        <v>0</v>
      </c>
      <c r="AI15" s="36">
        <f>VLOOKUP($A15,[24]HISTOAOUT24!$A$6:$CA$38,63,0)</f>
        <v>0</v>
      </c>
      <c r="AJ15" s="36">
        <f>VLOOKUP($A15,[24]HISTOAOUT24!$A$6:$CA$38,64,0)</f>
        <v>0</v>
      </c>
      <c r="AK15" s="36">
        <f>VLOOKUP($A15,[24]HISTOAOUT24!$A$6:$CA$38,65,0)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VLOOKUP($A16,[24]HISTOAOUT24!$A$6:$BA$38,48,0)</f>
        <v>0</v>
      </c>
      <c r="F16" s="36">
        <f>MVTJUIL24!I16-E16+L16</f>
        <v>1071858.7065070483</v>
      </c>
      <c r="G16" s="5">
        <f>IF(MVTJUIL24!I16+L16&gt;700000,(MVTJUIL24!I16-E16+L16),0)</f>
        <v>1071858.7065070483</v>
      </c>
      <c r="H16" s="36">
        <f t="shared" si="0"/>
        <v>0</v>
      </c>
      <c r="I16" s="6">
        <f t="shared" si="2"/>
        <v>1071858.7065070483</v>
      </c>
      <c r="J16" s="36">
        <f>VLOOKUP($A16,[24]HISTOAOUT24!$A$6:$AQ$42,22,0)</f>
        <v>0</v>
      </c>
      <c r="K16" s="36">
        <f>VLOOKUP($A16,[24]HISTOAOUT24!$A$6:$AU$38,45,0)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VLOOKUP($A16,[24]HISTOAOUT24!$A$6:$AU$38,7,0)</f>
        <v>0</v>
      </c>
      <c r="Q16" s="36">
        <f>VLOOKUP($A16,[24]HISTOAOUT24!$A$6:$AU$38,23,0)</f>
        <v>0</v>
      </c>
      <c r="R16" s="36">
        <f>VLOOKUP($A16,[24]HISTOAOUT24!$A$6:$AU$38,46,0)</f>
        <v>0</v>
      </c>
      <c r="S16" s="36">
        <f>VLOOKUP($A16,[24]HISTOAOUT24!$A$6:$AU$38,26,0)</f>
        <v>0</v>
      </c>
      <c r="T16" s="36">
        <f>VLOOKUP($A16,[24]HISTOAOUT24!$A$6:$BG$38,58,0)</f>
        <v>0</v>
      </c>
      <c r="U16" s="36">
        <f>VLOOKUP($A16,[24]HISTOAOUT24!$A$6:$AU$38,28,0)</f>
        <v>0</v>
      </c>
      <c r="V16" s="36">
        <f>VLOOKUP($A16,[24]HISTOAOUT24!$A$6:$AU$38,19,0)</f>
        <v>0</v>
      </c>
      <c r="W16" s="36">
        <f>VLOOKUP($A16,[24]HISTOAOUT24!$A$6:$AU$38,20,0)</f>
        <v>0</v>
      </c>
      <c r="X16" s="36">
        <f>VLOOKUP($A16,[24]HISTOAOUT24!$A$6:$AU$38,27,0)</f>
        <v>0</v>
      </c>
      <c r="Y16" s="36">
        <f>VLOOKUP($A16,[24]HISTOAOUT24!$A$6:$BM$38,33,0)</f>
        <v>0</v>
      </c>
      <c r="Z16" s="36">
        <f>VLOOKUP($A16,[24]HISTOAOUT24!$A$6:$BM$38,65,0)</f>
        <v>0</v>
      </c>
      <c r="AA16" s="36"/>
      <c r="AB16" s="36">
        <f>VLOOKUP($A16,[24]HISTOAOUT24!$A$6:$AU$38,43,0)</f>
        <v>0</v>
      </c>
      <c r="AC16" s="36">
        <f>VLOOKUP($A16,[24]HISTOAOUT24!$A$6:$AU$38,44,0)</f>
        <v>0</v>
      </c>
      <c r="AD16" s="36">
        <f>VLOOKUP($A16,[24]HISTOAOUT24!$A$6:$AU$38,47,0)</f>
        <v>0</v>
      </c>
      <c r="AE16" s="36">
        <f>VLOOKUP(A16,[24]HISTOAOUT24!$A$6:$BB$38,54,0)</f>
        <v>0</v>
      </c>
      <c r="AF16" s="36">
        <f>VLOOKUP($A16,[24]HISTOAOUT24!$A$6:$CA$38,60,0)</f>
        <v>0</v>
      </c>
      <c r="AG16" s="36">
        <f>VLOOKUP($A16,[24]HISTOAOUT24!$A$6:$CA$38,61,0)</f>
        <v>0</v>
      </c>
      <c r="AH16" s="36">
        <f>VLOOKUP($A16,[24]HISTOAOUT24!$A$6:$CA$38,62,0)</f>
        <v>0</v>
      </c>
      <c r="AI16" s="36">
        <f>VLOOKUP($A16,[24]HISTOAOUT24!$A$6:$CA$38,63,0)</f>
        <v>0</v>
      </c>
      <c r="AJ16" s="36">
        <f>VLOOKUP($A16,[24]HISTOAOUT24!$A$6:$CA$38,64,0)</f>
        <v>0</v>
      </c>
      <c r="AK16" s="36">
        <f>VLOOKUP($A16,[24]HISTOAOUT24!$A$6:$CA$38,65,0)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VLOOKUP($A17,[24]HISTOAOUT24!$A$6:$BA$38,48,0)</f>
        <v>0</v>
      </c>
      <c r="F17" s="36">
        <f>MVTJUIL24!I17-E17+L17</f>
        <v>909402.7005255461</v>
      </c>
      <c r="G17" s="5">
        <f>IF(MVTJUIL24!I17+L17&gt;700000,(MVTJUIL24!I17-E17+L17),0)</f>
        <v>909402.7005255461</v>
      </c>
      <c r="H17" s="36">
        <f t="shared" si="0"/>
        <v>0</v>
      </c>
      <c r="I17" s="6">
        <f t="shared" si="2"/>
        <v>909402.7005255461</v>
      </c>
      <c r="J17" s="36">
        <f>VLOOKUP($A17,[24]HISTOAOUT24!$A$6:$AQ$42,22,0)</f>
        <v>0</v>
      </c>
      <c r="K17" s="36">
        <f>VLOOKUP($A17,[24]HISTOAOUT24!$A$6:$AU$38,45,0)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VLOOKUP($A17,[24]HISTOAOUT24!$A$6:$AU$38,7,0)</f>
        <v>0</v>
      </c>
      <c r="Q17" s="36">
        <f>VLOOKUP($A17,[24]HISTOAOUT24!$A$6:$AU$38,23,0)</f>
        <v>0</v>
      </c>
      <c r="R17" s="36">
        <f>VLOOKUP($A17,[24]HISTOAOUT24!$A$6:$AU$38,46,0)</f>
        <v>0</v>
      </c>
      <c r="S17" s="36">
        <f>VLOOKUP($A17,[24]HISTOAOUT24!$A$6:$AU$38,26,0)</f>
        <v>0</v>
      </c>
      <c r="T17" s="36">
        <f>VLOOKUP($A17,[24]HISTOAOUT24!$A$6:$BG$38,58,0)</f>
        <v>0</v>
      </c>
      <c r="U17" s="36">
        <f>VLOOKUP($A17,[24]HISTOAOUT24!$A$6:$AU$38,28,0)</f>
        <v>0</v>
      </c>
      <c r="V17" s="36">
        <f>VLOOKUP($A17,[24]HISTOAOUT24!$A$6:$AU$38,19,0)</f>
        <v>0</v>
      </c>
      <c r="W17" s="36">
        <f>VLOOKUP($A17,[24]HISTOAOUT24!$A$6:$AU$38,20,0)</f>
        <v>0</v>
      </c>
      <c r="X17" s="36">
        <f>VLOOKUP($A17,[24]HISTOAOUT24!$A$6:$AU$38,27,0)</f>
        <v>0</v>
      </c>
      <c r="Y17" s="36">
        <f>VLOOKUP($A17,[24]HISTOAOUT24!$A$6:$BM$38,33,0)</f>
        <v>0</v>
      </c>
      <c r="Z17" s="36">
        <f>VLOOKUP($A17,[24]HISTOAOUT24!$A$6:$BM$38,65,0)</f>
        <v>0</v>
      </c>
      <c r="AA17" s="36"/>
      <c r="AB17" s="36">
        <f>VLOOKUP($A17,[24]HISTOAOUT24!$A$6:$AU$38,43,0)</f>
        <v>0</v>
      </c>
      <c r="AC17" s="36">
        <f>VLOOKUP($A17,[24]HISTOAOUT24!$A$6:$AU$38,44,0)</f>
        <v>0</v>
      </c>
      <c r="AD17" s="36">
        <f>VLOOKUP($A17,[24]HISTOAOUT24!$A$6:$AU$38,47,0)</f>
        <v>0</v>
      </c>
      <c r="AE17" s="36">
        <f>VLOOKUP(A17,[24]HISTOAOUT24!$A$6:$BB$38,54,0)</f>
        <v>0</v>
      </c>
      <c r="AF17" s="36">
        <f>VLOOKUP($A17,[24]HISTOAOUT24!$A$6:$CA$38,60,0)</f>
        <v>0</v>
      </c>
      <c r="AG17" s="36">
        <f>VLOOKUP($A17,[24]HISTOAOUT24!$A$6:$CA$38,61,0)</f>
        <v>0</v>
      </c>
      <c r="AH17" s="36">
        <f>VLOOKUP($A17,[24]HISTOAOUT24!$A$6:$CA$38,62,0)</f>
        <v>0</v>
      </c>
      <c r="AI17" s="36">
        <f>VLOOKUP($A17,[24]HISTOAOUT24!$A$6:$CA$38,63,0)</f>
        <v>0</v>
      </c>
      <c r="AJ17" s="36">
        <f>VLOOKUP($A17,[24]HISTOAOUT24!$A$6:$CA$38,64,0)</f>
        <v>0</v>
      </c>
      <c r="AK17" s="36">
        <f>VLOOKUP($A17,[24]HISTOAOUT24!$A$6:$CA$38,65,0)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VLOOKUP($A18,[24]HISTOAOUT24!$A$6:$BA$38,48,0)</f>
        <v>0</v>
      </c>
      <c r="F18" s="36">
        <f>MVTJUIL24!I18-E18+L18</f>
        <v>955662.76419736946</v>
      </c>
      <c r="G18" s="5">
        <f>IF(MVTJUIL24!I18+L18&gt;700000,(MVTJUIL24!I18-E18+L18),0)</f>
        <v>955662.76419736946</v>
      </c>
      <c r="H18" s="36">
        <f t="shared" si="0"/>
        <v>0</v>
      </c>
      <c r="I18" s="6">
        <f t="shared" si="2"/>
        <v>955662.76419736946</v>
      </c>
      <c r="J18" s="36">
        <f>VLOOKUP($A18,[24]HISTOAOUT24!$A$6:$AQ$42,22,0)</f>
        <v>0</v>
      </c>
      <c r="K18" s="36">
        <f>VLOOKUP($A18,[24]HISTOAOUT24!$A$6:$AU$38,45,0)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VLOOKUP($A18,[24]HISTOAOUT24!$A$6:$AU$38,7,0)</f>
        <v>0</v>
      </c>
      <c r="Q18" s="36">
        <f>VLOOKUP($A18,[24]HISTOAOUT24!$A$6:$AU$38,23,0)</f>
        <v>0</v>
      </c>
      <c r="R18" s="36">
        <f>VLOOKUP($A18,[24]HISTOAOUT24!$A$6:$AU$38,46,0)</f>
        <v>0</v>
      </c>
      <c r="S18" s="36">
        <f>VLOOKUP($A18,[24]HISTOAOUT24!$A$6:$AU$38,26,0)</f>
        <v>0</v>
      </c>
      <c r="T18" s="36">
        <f>VLOOKUP($A18,[24]HISTOAOUT24!$A$6:$BG$38,58,0)</f>
        <v>0</v>
      </c>
      <c r="U18" s="36">
        <f>VLOOKUP($A18,[24]HISTOAOUT24!$A$6:$AU$38,28,0)</f>
        <v>0</v>
      </c>
      <c r="V18" s="36">
        <f>VLOOKUP($A18,[24]HISTOAOUT24!$A$6:$AU$38,19,0)</f>
        <v>0</v>
      </c>
      <c r="W18" s="36">
        <f>VLOOKUP($A18,[24]HISTOAOUT24!$A$6:$AU$38,20,0)</f>
        <v>0</v>
      </c>
      <c r="X18" s="36">
        <f>VLOOKUP($A18,[24]HISTOAOUT24!$A$6:$AU$38,27,0)</f>
        <v>0</v>
      </c>
      <c r="Y18" s="36">
        <f>VLOOKUP($A18,[24]HISTOAOUT24!$A$6:$BM$38,33,0)</f>
        <v>0</v>
      </c>
      <c r="Z18" s="36">
        <f>VLOOKUP($A18,[24]HISTOAOUT24!$A$6:$BM$38,65,0)</f>
        <v>0</v>
      </c>
      <c r="AA18" s="36"/>
      <c r="AB18" s="36">
        <f>VLOOKUP($A18,[24]HISTOAOUT24!$A$6:$AU$38,43,0)</f>
        <v>0</v>
      </c>
      <c r="AC18" s="36">
        <f>VLOOKUP($A18,[24]HISTOAOUT24!$A$6:$AU$38,44,0)</f>
        <v>0</v>
      </c>
      <c r="AD18" s="36">
        <f>VLOOKUP($A18,[24]HISTOAOUT24!$A$6:$AU$38,47,0)</f>
        <v>0</v>
      </c>
      <c r="AE18" s="36">
        <f>VLOOKUP(A18,[24]HISTOAOUT24!$A$6:$BB$38,54,0)</f>
        <v>0</v>
      </c>
      <c r="AF18" s="36">
        <f>VLOOKUP($A18,[24]HISTOAOUT24!$A$6:$CA$38,60,0)</f>
        <v>0</v>
      </c>
      <c r="AG18" s="36">
        <f>VLOOKUP($A18,[24]HISTOAOUT24!$A$6:$CA$38,61,0)</f>
        <v>0</v>
      </c>
      <c r="AH18" s="36">
        <f>VLOOKUP($A18,[24]HISTOAOUT24!$A$6:$CA$38,62,0)</f>
        <v>0</v>
      </c>
      <c r="AI18" s="36">
        <f>VLOOKUP($A18,[24]HISTOAOUT24!$A$6:$CA$38,63,0)</f>
        <v>0</v>
      </c>
      <c r="AJ18" s="36">
        <f>VLOOKUP($A18,[24]HISTOAOUT24!$A$6:$CA$38,64,0)</f>
        <v>0</v>
      </c>
      <c r="AK18" s="36">
        <f>VLOOKUP($A18,[24]HISTOAOUT24!$A$6:$CA$38,65,0)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MVTJUIL24!I19-E19+L19</f>
        <v>676217.13072703336</v>
      </c>
      <c r="G19" s="5">
        <f>IF(MVTJUIL24!I19+L19&gt;700000,(MVTJUIL24!I19-E19+L19),0)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MVTJUIL24!I20-E20+L20</f>
        <v>152000</v>
      </c>
      <c r="G20" s="5">
        <f>IF(MVTJUIL24!I20+L20&gt;700000,(MVTJUIL24!I20-E20+L20),0)</f>
        <v>0</v>
      </c>
      <c r="H20" s="36">
        <f t="shared" si="0"/>
        <v>0</v>
      </c>
      <c r="I20" s="6">
        <f t="shared" si="2"/>
        <v>152000</v>
      </c>
      <c r="J20" s="36">
        <f>VLOOKUP($A20,[24]HISTOAOUT24!$A$6:$AQ$42,22,0)</f>
        <v>0</v>
      </c>
      <c r="K20" s="36">
        <f>VLOOKUP($A20,[24]HISTOAOUT24!$A$6:$AU$38,45,0)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VLOOKUP($A20,[24]HISTOAOUT24!$A$6:$AU$38,7,0)</f>
        <v>0</v>
      </c>
      <c r="Q20" s="36">
        <f>VLOOKUP($A20,[24]HISTOAOUT24!$A$6:$AU$38,23,0)</f>
        <v>0</v>
      </c>
      <c r="R20" s="36">
        <f>VLOOKUP($A20,[24]HISTOAOUT24!$A$6:$AU$38,46,0)</f>
        <v>0</v>
      </c>
      <c r="S20" s="36">
        <f>VLOOKUP($A20,[24]HISTOAOUT24!$A$6:$AU$38,26,0)</f>
        <v>0</v>
      </c>
      <c r="T20" s="36">
        <f>VLOOKUP($A20,[24]HISTOAOUT24!$A$6:$BG$38,58,0)</f>
        <v>0</v>
      </c>
      <c r="U20" s="36">
        <f>VLOOKUP($A20,[24]HISTOAOUT24!$A$6:$AU$38,28,0)</f>
        <v>0</v>
      </c>
      <c r="V20" s="36">
        <f>VLOOKUP($A20,[24]HISTOAOUT24!$A$6:$AU$38,19,0)</f>
        <v>0</v>
      </c>
      <c r="W20" s="36">
        <f>VLOOKUP($A20,[24]HISTOAOUT24!$A$6:$AU$38,20,0)</f>
        <v>0</v>
      </c>
      <c r="X20" s="36">
        <f>VLOOKUP($A20,[24]HISTOAOUT24!$A$6:$AU$38,27,0)</f>
        <v>0</v>
      </c>
      <c r="Y20" s="36">
        <f>VLOOKUP($A20,[24]HISTOAOUT24!$A$6:$BM$38,33,0)</f>
        <v>0</v>
      </c>
      <c r="Z20" s="36">
        <f>VLOOKUP($A20,[24]HISTOAOUT24!$A$6:$BM$38,65,0)</f>
        <v>0</v>
      </c>
      <c r="AA20" s="36"/>
      <c r="AB20" s="36">
        <f>VLOOKUP($A20,[24]HISTOAOUT24!$A$6:$AU$38,43,0)</f>
        <v>0</v>
      </c>
      <c r="AC20" s="36">
        <f>VLOOKUP($A20,[24]HISTOAOUT24!$A$6:$AU$38,44,0)</f>
        <v>0</v>
      </c>
      <c r="AD20" s="36">
        <f>VLOOKUP($A20,[24]HISTOAOUT24!$A$6:$AU$38,47,0)</f>
        <v>0</v>
      </c>
      <c r="AE20" s="36">
        <f>VLOOKUP(A20,[24]HISTOAOUT24!$A$6:$BB$38,54,0)</f>
        <v>0</v>
      </c>
      <c r="AF20" s="36">
        <f>VLOOKUP($A20,[24]HISTOAOUT24!$A$6:$CA$38,60,0)</f>
        <v>0</v>
      </c>
      <c r="AG20" s="36">
        <f>VLOOKUP($A20,[24]HISTOAOUT24!$A$6:$CA$38,61,0)</f>
        <v>0</v>
      </c>
      <c r="AH20" s="36">
        <f>VLOOKUP($A20,[24]HISTOAOUT24!$A$6:$CA$38,62,0)</f>
        <v>0</v>
      </c>
      <c r="AI20" s="36">
        <f>VLOOKUP($A20,[24]HISTOAOUT24!$A$6:$CA$38,63,0)</f>
        <v>0</v>
      </c>
      <c r="AJ20" s="36">
        <f>VLOOKUP($A20,[24]HISTOAOUT24!$A$6:$CA$38,64,0)</f>
        <v>0</v>
      </c>
      <c r="AK20" s="36">
        <f>VLOOKUP($A20,[24]HISTOAOUT24!$A$6:$CA$38,65,0)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MVTJUIL24!I21-E21+L21</f>
        <v>932355.80062958295</v>
      </c>
      <c r="G21" s="5">
        <f>IF(MVTJUIL24!I21+L21&gt;700000,(MVTJUIL24!I21-E21+L21),0)</f>
        <v>932355.80062958295</v>
      </c>
      <c r="H21" s="36">
        <f t="shared" si="0"/>
        <v>0</v>
      </c>
      <c r="I21" s="6">
        <f t="shared" si="2"/>
        <v>932355.80062958295</v>
      </c>
      <c r="J21" s="36">
        <f>VLOOKUP($A21,[24]HISTOAOUT24!$A$6:$AQ$42,22,0)</f>
        <v>0</v>
      </c>
      <c r="K21" s="36">
        <f>VLOOKUP($A21,[24]HISTOAOUT24!$A$6:$AU$38,45,0)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VLOOKUP($A21,[24]HISTOAOUT24!$A$6:$AU$38,7,0)</f>
        <v>0</v>
      </c>
      <c r="Q21" s="36">
        <f>VLOOKUP($A21,[24]HISTOAOUT24!$A$6:$AU$38,23,0)</f>
        <v>0</v>
      </c>
      <c r="R21" s="36">
        <f>VLOOKUP($A21,[24]HISTOAOUT24!$A$6:$AU$38,46,0)</f>
        <v>0</v>
      </c>
      <c r="S21" s="36">
        <f>VLOOKUP($A21,[24]HISTOAOUT24!$A$6:$AU$38,26,0)</f>
        <v>0</v>
      </c>
      <c r="T21" s="36">
        <f>VLOOKUP($A21,[24]HISTOAOUT24!$A$6:$BG$38,58,0)</f>
        <v>0</v>
      </c>
      <c r="U21" s="36">
        <f>VLOOKUP($A21,[24]HISTOAOUT24!$A$6:$AU$38,28,0)</f>
        <v>0</v>
      </c>
      <c r="V21" s="36">
        <f>VLOOKUP($A21,[24]HISTOAOUT24!$A$6:$AU$38,19,0)</f>
        <v>0</v>
      </c>
      <c r="W21" s="36">
        <f>VLOOKUP($A21,[24]HISTOAOUT24!$A$6:$AU$38,20,0)</f>
        <v>0</v>
      </c>
      <c r="X21" s="36">
        <f>VLOOKUP($A21,[24]HISTOAOUT24!$A$6:$AU$38,27,0)</f>
        <v>0</v>
      </c>
      <c r="Y21" s="36">
        <f>VLOOKUP($A21,[24]HISTOAOUT24!$A$6:$BM$38,33,0)</f>
        <v>0</v>
      </c>
      <c r="Z21" s="36">
        <f>VLOOKUP($A21,[24]HISTOAOUT24!$A$6:$BM$38,65,0)</f>
        <v>0</v>
      </c>
      <c r="AA21" s="36"/>
      <c r="AB21" s="36">
        <f>VLOOKUP($A21,[24]HISTOAOUT24!$A$6:$AU$38,43,0)</f>
        <v>0</v>
      </c>
      <c r="AC21" s="36">
        <f>VLOOKUP($A21,[24]HISTOAOUT24!$A$6:$AU$38,44,0)</f>
        <v>0</v>
      </c>
      <c r="AD21" s="36">
        <f>VLOOKUP($A21,[24]HISTOAOUT24!$A$6:$AU$38,47,0)</f>
        <v>0</v>
      </c>
      <c r="AE21" s="36">
        <f>VLOOKUP(A21,[24]HISTOAOUT24!$A$6:$BB$38,54,0)</f>
        <v>0</v>
      </c>
      <c r="AF21" s="36">
        <f>VLOOKUP($A21,[24]HISTOAOUT24!$A$6:$CA$38,60,0)</f>
        <v>0</v>
      </c>
      <c r="AG21" s="36">
        <f>VLOOKUP($A21,[24]HISTOAOUT24!$A$6:$CA$38,61,0)</f>
        <v>0</v>
      </c>
      <c r="AH21" s="36">
        <f>VLOOKUP($A21,[24]HISTOAOUT24!$A$6:$CA$38,62,0)</f>
        <v>0</v>
      </c>
      <c r="AI21" s="36">
        <f>VLOOKUP($A21,[24]HISTOAOUT24!$A$6:$CA$38,63,0)</f>
        <v>0</v>
      </c>
      <c r="AJ21" s="36">
        <f>VLOOKUP($A21,[24]HISTOAOUT24!$A$6:$CA$38,64,0)</f>
        <v>0</v>
      </c>
      <c r="AK21" s="36">
        <f>VLOOKUP($A21,[24]HISTOAOUT24!$A$6:$CA$38,65,0)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MVTJUIL24!I22-E22+L22</f>
        <v>900738.95952735876</v>
      </c>
      <c r="G22" s="5">
        <f>IF(MVTJUIL24!I22+L22&gt;700000,(MVTJUIL24!I22-E22+L22),0)</f>
        <v>900738.95952735876</v>
      </c>
      <c r="H22" s="36">
        <f t="shared" si="0"/>
        <v>0</v>
      </c>
      <c r="I22" s="6">
        <f t="shared" si="2"/>
        <v>900738.95952735876</v>
      </c>
      <c r="J22" s="36">
        <f>VLOOKUP($A22,[24]HISTOAOUT24!$A$6:$AQ$42,22,0)</f>
        <v>0</v>
      </c>
      <c r="K22" s="36">
        <f>VLOOKUP($A22,[24]HISTOAOUT24!$A$6:$AU$38,45,0)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VLOOKUP($A22,[24]HISTOAOUT24!$A$6:$AU$38,7,0)</f>
        <v>0</v>
      </c>
      <c r="Q22" s="36">
        <f>VLOOKUP($A22,[24]HISTOAOUT24!$A$6:$AU$38,23,0)</f>
        <v>0</v>
      </c>
      <c r="R22" s="36">
        <f>VLOOKUP($A22,[24]HISTOAOUT24!$A$6:$AU$38,46,0)</f>
        <v>0</v>
      </c>
      <c r="S22" s="36">
        <f>VLOOKUP($A22,[24]HISTOAOUT24!$A$6:$AU$38,26,0)</f>
        <v>0</v>
      </c>
      <c r="T22" s="36">
        <f>VLOOKUP($A22,[24]HISTOAOUT24!$A$6:$BG$38,58,0)</f>
        <v>0</v>
      </c>
      <c r="U22" s="36">
        <f>VLOOKUP($A22,[24]HISTOAOUT24!$A$6:$AU$38,28,0)</f>
        <v>0</v>
      </c>
      <c r="V22" s="36">
        <f>VLOOKUP($A22,[24]HISTOAOUT24!$A$6:$AU$38,19,0)</f>
        <v>0</v>
      </c>
      <c r="W22" s="36">
        <f>VLOOKUP($A22,[24]HISTOAOUT24!$A$6:$AU$38,20,0)</f>
        <v>0</v>
      </c>
      <c r="X22" s="36">
        <f>VLOOKUP($A22,[24]HISTOAOUT24!$A$6:$AU$38,27,0)</f>
        <v>0</v>
      </c>
      <c r="Y22" s="36">
        <f>VLOOKUP($A22,[24]HISTOAOUT24!$A$6:$BM$38,33,0)</f>
        <v>0</v>
      </c>
      <c r="Z22" s="36">
        <f>VLOOKUP($A22,[24]HISTOAOUT24!$A$6:$BM$38,65,0)</f>
        <v>0</v>
      </c>
      <c r="AA22" s="36"/>
      <c r="AB22" s="36">
        <f>VLOOKUP($A22,[24]HISTOAOUT24!$A$6:$AU$38,43,0)</f>
        <v>0</v>
      </c>
      <c r="AC22" s="36">
        <f>VLOOKUP($A22,[24]HISTOAOUT24!$A$6:$AU$38,44,0)</f>
        <v>0</v>
      </c>
      <c r="AD22" s="36">
        <f>VLOOKUP($A22,[24]HISTOAOUT24!$A$6:$AU$38,47,0)</f>
        <v>0</v>
      </c>
      <c r="AE22" s="36">
        <f>VLOOKUP(A22,[24]HISTOAOUT24!$A$6:$BB$38,54,0)</f>
        <v>0</v>
      </c>
      <c r="AF22" s="36">
        <f>VLOOKUP($A22,[24]HISTOAOUT24!$A$6:$CA$38,60,0)</f>
        <v>0</v>
      </c>
      <c r="AG22" s="36">
        <f>VLOOKUP($A22,[24]HISTOAOUT24!$A$6:$CA$38,61,0)</f>
        <v>0</v>
      </c>
      <c r="AH22" s="36">
        <f>VLOOKUP($A22,[24]HISTOAOUT24!$A$6:$CA$38,62,0)</f>
        <v>0</v>
      </c>
      <c r="AI22" s="36">
        <f>VLOOKUP($A22,[24]HISTOAOUT24!$A$6:$CA$38,63,0)</f>
        <v>0</v>
      </c>
      <c r="AJ22" s="36">
        <f>VLOOKUP($A22,[24]HISTOAOUT24!$A$6:$CA$38,64,0)</f>
        <v>0</v>
      </c>
      <c r="AK22" s="36">
        <f>VLOOKUP($A22,[24]HISTOAOUT24!$A$6:$CA$38,65,0)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MVTJUIL24!I23-E23+L23</f>
        <v>1006674.3246731948</v>
      </c>
      <c r="G23" s="5">
        <f>IF(MVTJUIL24!I23+L23&gt;700000,(MVTJUIL24!I23-E23+L23),0)</f>
        <v>1006674.3246731948</v>
      </c>
      <c r="H23" s="36">
        <f t="shared" si="0"/>
        <v>0</v>
      </c>
      <c r="I23" s="6">
        <f t="shared" si="2"/>
        <v>1006674.3246731948</v>
      </c>
      <c r="J23" s="36">
        <f>VLOOKUP($A23,[24]HISTOAOUT24!$A$6:$AQ$42,22,0)</f>
        <v>0</v>
      </c>
      <c r="K23" s="36">
        <f>VLOOKUP($A23,[24]HISTOAOUT24!$A$6:$AU$38,45,0)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VLOOKUP($A23,[24]HISTOAOUT24!$A$6:$AU$38,7,0)</f>
        <v>0</v>
      </c>
      <c r="Q23" s="36">
        <f>VLOOKUP($A23,[24]HISTOAOUT24!$A$6:$AU$38,23,0)</f>
        <v>0</v>
      </c>
      <c r="R23" s="36">
        <f>VLOOKUP($A23,[24]HISTOAOUT24!$A$6:$AU$38,46,0)</f>
        <v>0</v>
      </c>
      <c r="S23" s="36">
        <f>VLOOKUP($A23,[24]HISTOAOUT24!$A$6:$AU$38,26,0)</f>
        <v>0</v>
      </c>
      <c r="T23" s="36">
        <f>VLOOKUP($A23,[24]HISTOAOUT24!$A$6:$BG$38,58,0)</f>
        <v>0</v>
      </c>
      <c r="U23" s="36">
        <f>VLOOKUP($A23,[24]HISTOAOUT24!$A$6:$AU$38,28,0)</f>
        <v>0</v>
      </c>
      <c r="V23" s="36">
        <f>VLOOKUP($A23,[24]HISTOAOUT24!$A$6:$AU$38,19,0)</f>
        <v>0</v>
      </c>
      <c r="W23" s="36">
        <f>VLOOKUP($A23,[24]HISTOAOUT24!$A$6:$AU$38,20,0)</f>
        <v>0</v>
      </c>
      <c r="X23" s="36">
        <f>VLOOKUP($A23,[24]HISTOAOUT24!$A$6:$AU$38,27,0)</f>
        <v>0</v>
      </c>
      <c r="Y23" s="36">
        <f>VLOOKUP($A23,[24]HISTOAOUT24!$A$6:$BM$38,33,0)</f>
        <v>0</v>
      </c>
      <c r="Z23" s="36">
        <f>VLOOKUP($A23,[24]HISTOAOUT24!$A$6:$BM$38,65,0)</f>
        <v>0</v>
      </c>
      <c r="AA23" s="36"/>
      <c r="AB23" s="36">
        <f>VLOOKUP($A23,[24]HISTOAOUT24!$A$6:$AU$38,43,0)</f>
        <v>0</v>
      </c>
      <c r="AC23" s="36">
        <f>VLOOKUP($A23,[24]HISTOAOUT24!$A$6:$AU$38,44,0)</f>
        <v>0</v>
      </c>
      <c r="AD23" s="36">
        <f>VLOOKUP($A23,[24]HISTOAOUT24!$A$6:$AU$38,47,0)</f>
        <v>0</v>
      </c>
      <c r="AE23" s="36">
        <f>VLOOKUP(A23,[24]HISTOAOUT24!$A$6:$BB$38,54,0)</f>
        <v>0</v>
      </c>
      <c r="AF23" s="36">
        <f>VLOOKUP($A23,[24]HISTOAOUT24!$A$6:$CA$38,60,0)</f>
        <v>0</v>
      </c>
      <c r="AG23" s="36">
        <f>VLOOKUP($A23,[24]HISTOAOUT24!$A$6:$CA$38,61,0)</f>
        <v>0</v>
      </c>
      <c r="AH23" s="36">
        <f>VLOOKUP($A23,[24]HISTOAOUT24!$A$6:$CA$38,62,0)</f>
        <v>0</v>
      </c>
      <c r="AI23" s="36">
        <f>VLOOKUP($A23,[24]HISTOAOUT24!$A$6:$CA$38,63,0)</f>
        <v>0</v>
      </c>
      <c r="AJ23" s="36">
        <f>VLOOKUP($A23,[24]HISTOAOUT24!$A$6:$CA$38,64,0)</f>
        <v>0</v>
      </c>
      <c r="AK23" s="36">
        <f>VLOOKUP($A23,[24]HISTOAOUT24!$A$6:$CA$38,65,0)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MVTJUIL24!I24-E24+L24</f>
        <v>1179827.8441992993</v>
      </c>
      <c r="G24" s="5">
        <f>IF(MVTJUIL24!I24+L24&gt;700000,(MVTJUIL24!I24-E24+L24),0)</f>
        <v>1179827.8441992993</v>
      </c>
      <c r="H24" s="36">
        <f t="shared" si="0"/>
        <v>0</v>
      </c>
      <c r="I24" s="6">
        <f t="shared" si="2"/>
        <v>1179827.8441992993</v>
      </c>
      <c r="J24" s="36">
        <f>VLOOKUP($A24,[24]HISTOAOUT24!$A$6:$AQ$42,22,0)</f>
        <v>0</v>
      </c>
      <c r="K24" s="36">
        <f>VLOOKUP($A24,[24]HISTOAOUT24!$A$6:$AU$38,45,0)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VLOOKUP($A24,[24]HISTOAOUT24!$A$6:$AU$38,7,0)</f>
        <v>0</v>
      </c>
      <c r="Q24" s="36">
        <f>VLOOKUP($A24,[24]HISTOAOUT24!$A$6:$AU$38,23,0)</f>
        <v>0</v>
      </c>
      <c r="R24" s="36">
        <f>VLOOKUP($A24,[24]HISTOAOUT24!$A$6:$AU$38,46,0)</f>
        <v>0</v>
      </c>
      <c r="S24" s="36">
        <f>VLOOKUP($A24,[24]HISTOAOUT24!$A$6:$AU$38,26,0)</f>
        <v>0</v>
      </c>
      <c r="T24" s="36">
        <f>VLOOKUP($A24,[24]HISTOAOUT24!$A$6:$BG$38,58,0)</f>
        <v>0</v>
      </c>
      <c r="U24" s="36">
        <f>VLOOKUP($A24,[24]HISTOAOUT24!$A$6:$AU$38,28,0)</f>
        <v>0</v>
      </c>
      <c r="V24" s="36">
        <f>VLOOKUP($A24,[24]HISTOAOUT24!$A$6:$AU$38,19,0)</f>
        <v>0</v>
      </c>
      <c r="W24" s="36">
        <f>VLOOKUP($A24,[24]HISTOAOUT24!$A$6:$AU$38,20,0)</f>
        <v>0</v>
      </c>
      <c r="X24" s="36">
        <f>VLOOKUP($A24,[24]HISTOAOUT24!$A$6:$AU$38,27,0)</f>
        <v>0</v>
      </c>
      <c r="Y24" s="36">
        <f>VLOOKUP($A24,[24]HISTOAOUT24!$A$6:$BM$38,33,0)</f>
        <v>0</v>
      </c>
      <c r="Z24" s="36">
        <f>VLOOKUP($A24,[24]HISTOAOUT24!$A$6:$BM$38,65,0)</f>
        <v>0</v>
      </c>
      <c r="AA24" s="36"/>
      <c r="AB24" s="36">
        <f>VLOOKUP($A24,[24]HISTOAOUT24!$A$6:$AU$38,43,0)</f>
        <v>0</v>
      </c>
      <c r="AC24" s="36">
        <f>VLOOKUP($A24,[24]HISTOAOUT24!$A$6:$AU$38,44,0)</f>
        <v>0</v>
      </c>
      <c r="AD24" s="36">
        <f>VLOOKUP($A24,[24]HISTOAOUT24!$A$6:$AU$38,47,0)</f>
        <v>0</v>
      </c>
      <c r="AE24" s="36">
        <f>VLOOKUP(A24,[24]HISTOAOUT24!$A$6:$BB$38,54,0)</f>
        <v>0</v>
      </c>
      <c r="AF24" s="36">
        <f>VLOOKUP($A24,[24]HISTOAOUT24!$A$6:$CA$38,60,0)</f>
        <v>0</v>
      </c>
      <c r="AG24" s="36">
        <f>VLOOKUP($A24,[24]HISTOAOUT24!$A$6:$CA$38,61,0)</f>
        <v>0</v>
      </c>
      <c r="AH24" s="36">
        <f>VLOOKUP($A24,[24]HISTOAOUT24!$A$6:$CA$38,62,0)</f>
        <v>0</v>
      </c>
      <c r="AI24" s="36">
        <f>VLOOKUP($A24,[24]HISTOAOUT24!$A$6:$CA$38,63,0)</f>
        <v>0</v>
      </c>
      <c r="AJ24" s="36">
        <f>VLOOKUP($A24,[24]HISTOAOUT24!$A$6:$CA$38,64,0)</f>
        <v>0</v>
      </c>
      <c r="AK24" s="36">
        <f>VLOOKUP($A24,[24]HISTOAOUT24!$A$6:$CA$38,65,0)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MVTJUIL24!I25-E25+L25</f>
        <v>991141.79504321574</v>
      </c>
      <c r="G25" s="5">
        <f>IF(MVTJUIL24!I25+L25&gt;700000,(MVTJUIL24!I25-E25+L25),0)</f>
        <v>991141.79504321574</v>
      </c>
      <c r="H25" s="36">
        <f t="shared" si="0"/>
        <v>0</v>
      </c>
      <c r="I25" s="6">
        <f t="shared" si="2"/>
        <v>991141.79504321574</v>
      </c>
      <c r="J25" s="36">
        <f>VLOOKUP($A25,[24]HISTOAOUT24!$A$6:$AQ$42,22,0)</f>
        <v>0</v>
      </c>
      <c r="K25" s="36">
        <f>VLOOKUP($A25,[24]HISTOAOUT24!$A$6:$AU$38,45,0)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VLOOKUP($A25,[24]HISTOAOUT24!$A$6:$AU$38,7,0)</f>
        <v>3000</v>
      </c>
      <c r="Q25" s="36">
        <f>VLOOKUP($A25,[24]HISTOAOUT24!$A$6:$AU$38,23,0)</f>
        <v>0</v>
      </c>
      <c r="R25" s="36">
        <f>VLOOKUP($A25,[24]HISTOAOUT24!$A$6:$AU$38,46,0)</f>
        <v>0</v>
      </c>
      <c r="S25" s="36">
        <f>VLOOKUP($A25,[24]HISTOAOUT24!$A$6:$AU$38,26,0)</f>
        <v>0</v>
      </c>
      <c r="T25" s="36">
        <f>VLOOKUP($A25,[24]HISTOAOUT24!$A$6:$BG$38,58,0)</f>
        <v>0</v>
      </c>
      <c r="U25" s="36">
        <f>VLOOKUP($A25,[24]HISTOAOUT24!$A$6:$AU$38,28,0)</f>
        <v>0</v>
      </c>
      <c r="V25" s="36">
        <f>VLOOKUP($A25,[24]HISTOAOUT24!$A$6:$AU$38,19,0)</f>
        <v>0</v>
      </c>
      <c r="W25" s="36">
        <f>VLOOKUP($A25,[24]HISTOAOUT24!$A$6:$AU$38,20,0)</f>
        <v>0</v>
      </c>
      <c r="X25" s="36">
        <f>VLOOKUP($A25,[24]HISTOAOUT24!$A$6:$AU$38,27,0)</f>
        <v>0</v>
      </c>
      <c r="Y25" s="36">
        <f>VLOOKUP($A25,[24]HISTOAOUT24!$A$6:$BM$38,33,0)</f>
        <v>0</v>
      </c>
      <c r="Z25" s="36">
        <f>VLOOKUP($A25,[24]HISTOAOUT24!$A$6:$BM$38,65,0)</f>
        <v>0</v>
      </c>
      <c r="AA25" s="36"/>
      <c r="AB25" s="36">
        <f>VLOOKUP($A25,[24]HISTOAOUT24!$A$6:$AU$38,43,0)</f>
        <v>0</v>
      </c>
      <c r="AC25" s="36">
        <f>VLOOKUP($A25,[24]HISTOAOUT24!$A$6:$AU$38,44,0)</f>
        <v>0</v>
      </c>
      <c r="AD25" s="36">
        <f>VLOOKUP($A25,[24]HISTOAOUT24!$A$6:$AU$38,47,0)</f>
        <v>0</v>
      </c>
      <c r="AE25" s="36">
        <f>VLOOKUP(A25,[24]HISTOAOUT24!$A$6:$BB$38,54,0)</f>
        <v>0</v>
      </c>
      <c r="AF25" s="36">
        <f>VLOOKUP($A25,[24]HISTOAOUT24!$A$6:$CA$38,60,0)</f>
        <v>0</v>
      </c>
      <c r="AG25" s="36">
        <f>VLOOKUP($A25,[24]HISTOAOUT24!$A$6:$CA$38,61,0)</f>
        <v>0</v>
      </c>
      <c r="AH25" s="36">
        <f>VLOOKUP($A25,[24]HISTOAOUT24!$A$6:$CA$38,62,0)</f>
        <v>0</v>
      </c>
      <c r="AI25" s="36">
        <f>VLOOKUP($A25,[24]HISTOAOUT24!$A$6:$CA$38,63,0)</f>
        <v>0</v>
      </c>
      <c r="AJ25" s="36">
        <f>VLOOKUP($A25,[24]HISTOAOUT24!$A$6:$CA$38,64,0)</f>
        <v>0</v>
      </c>
      <c r="AK25" s="36">
        <f>VLOOKUP($A25,[24]HISTOAOUT24!$A$6:$CA$38,65,0)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MVTJUIL24!I26-E26+L26</f>
        <v>919266.46813543816</v>
      </c>
      <c r="G26" s="5">
        <f>IF(MVTJUIL24!I26+L26&gt;700000,(MVTJUIL24!I26-E26+L26),0)</f>
        <v>919266.46813543816</v>
      </c>
      <c r="H26" s="36">
        <f t="shared" si="0"/>
        <v>0</v>
      </c>
      <c r="I26" s="6">
        <f t="shared" si="2"/>
        <v>919266.46813543816</v>
      </c>
      <c r="J26" s="36">
        <f>VLOOKUP($A26,[24]HISTOAOUT24!$A$6:$AQ$42,22,0)</f>
        <v>0</v>
      </c>
      <c r="K26" s="36">
        <f>VLOOKUP($A26,[24]HISTOAOUT24!$A$6:$AU$38,45,0)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VLOOKUP($A26,[24]HISTOAOUT24!$A$6:$AU$38,7,0)</f>
        <v>0</v>
      </c>
      <c r="Q26" s="36">
        <f>VLOOKUP($A26,[24]HISTOAOUT24!$A$6:$AU$38,23,0)</f>
        <v>0</v>
      </c>
      <c r="R26" s="36">
        <f>VLOOKUP($A26,[24]HISTOAOUT24!$A$6:$AU$38,46,0)</f>
        <v>0</v>
      </c>
      <c r="S26" s="36">
        <f>VLOOKUP($A26,[24]HISTOAOUT24!$A$6:$AU$38,26,0)</f>
        <v>0</v>
      </c>
      <c r="T26" s="36">
        <f>VLOOKUP($A26,[24]HISTOAOUT24!$A$6:$BG$38,58,0)</f>
        <v>0</v>
      </c>
      <c r="U26" s="36">
        <f>VLOOKUP($A26,[24]HISTOAOUT24!$A$6:$AU$38,28,0)</f>
        <v>0</v>
      </c>
      <c r="V26" s="36">
        <f>VLOOKUP($A26,[24]HISTOAOUT24!$A$6:$AU$38,19,0)</f>
        <v>0</v>
      </c>
      <c r="W26" s="36">
        <f>VLOOKUP($A26,[24]HISTOAOUT24!$A$6:$AU$38,20,0)</f>
        <v>0</v>
      </c>
      <c r="X26" s="36">
        <f>VLOOKUP($A26,[24]HISTOAOUT24!$A$6:$AU$38,27,0)</f>
        <v>0</v>
      </c>
      <c r="Y26" s="36">
        <f>VLOOKUP($A26,[24]HISTOAOUT24!$A$6:$BM$38,33,0)</f>
        <v>0</v>
      </c>
      <c r="Z26" s="36">
        <f>VLOOKUP($A26,[24]HISTOAOUT24!$A$6:$BM$38,65,0)</f>
        <v>0</v>
      </c>
      <c r="AA26" s="36"/>
      <c r="AB26" s="36">
        <f>VLOOKUP($A26,[24]HISTOAOUT24!$A$6:$AU$38,43,0)</f>
        <v>0</v>
      </c>
      <c r="AC26" s="36">
        <f>VLOOKUP($A26,[24]HISTOAOUT24!$A$6:$AU$38,44,0)</f>
        <v>0</v>
      </c>
      <c r="AD26" s="36">
        <f>VLOOKUP($A26,[24]HISTOAOUT24!$A$6:$AU$38,47,0)</f>
        <v>0</v>
      </c>
      <c r="AE26" s="36">
        <f>VLOOKUP(A26,[24]HISTOAOUT24!$A$6:$BB$38,54,0)</f>
        <v>0</v>
      </c>
      <c r="AF26" s="36">
        <f>VLOOKUP($A26,[24]HISTOAOUT24!$A$6:$CA$38,60,0)</f>
        <v>0</v>
      </c>
      <c r="AG26" s="36">
        <f>VLOOKUP($A26,[24]HISTOAOUT24!$A$6:$CA$38,61,0)</f>
        <v>0</v>
      </c>
      <c r="AH26" s="36">
        <f>VLOOKUP($A26,[24]HISTOAOUT24!$A$6:$CA$38,62,0)</f>
        <v>0</v>
      </c>
      <c r="AI26" s="36">
        <f>VLOOKUP($A26,[24]HISTOAOUT24!$A$6:$CA$38,63,0)</f>
        <v>0</v>
      </c>
      <c r="AJ26" s="36">
        <f>VLOOKUP($A26,[24]HISTOAOUT24!$A$6:$CA$38,64,0)</f>
        <v>0</v>
      </c>
      <c r="AK26" s="36">
        <f>VLOOKUP($A26,[24]HISTOAOUT24!$A$6:$CA$38,65,0)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MVTJUIL24!I27-E27+L27</f>
        <v>919824.17371512204</v>
      </c>
      <c r="G27" s="5">
        <f>IF(MVTJUIL24!I27+L27&gt;700000,(MVTJUIL24!I27-E27+L27),0)</f>
        <v>919824.17371512204</v>
      </c>
      <c r="H27" s="36">
        <f t="shared" si="0"/>
        <v>0</v>
      </c>
      <c r="I27" s="6">
        <f t="shared" si="2"/>
        <v>919824.17371512204</v>
      </c>
      <c r="J27" s="36">
        <f>VLOOKUP($A27,[24]HISTOAOUT24!$A$6:$AQ$42,22,0)</f>
        <v>0</v>
      </c>
      <c r="K27" s="36">
        <f>VLOOKUP($A27,[24]HISTOAOUT24!$A$6:$AU$38,45,0)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VLOOKUP($A27,[24]HISTOAOUT24!$A$6:$AU$38,7,0)</f>
        <v>0</v>
      </c>
      <c r="Q27" s="36">
        <f>VLOOKUP($A27,[24]HISTOAOUT24!$A$6:$AU$38,23,0)</f>
        <v>0</v>
      </c>
      <c r="R27" s="36">
        <f>VLOOKUP($A27,[24]HISTOAOUT24!$A$6:$AU$38,46,0)</f>
        <v>0</v>
      </c>
      <c r="S27" s="36">
        <f>VLOOKUP($A27,[24]HISTOAOUT24!$A$6:$AU$38,26,0)</f>
        <v>0</v>
      </c>
      <c r="T27" s="36">
        <f>VLOOKUP($A27,[24]HISTOAOUT24!$A$6:$BG$38,58,0)</f>
        <v>0</v>
      </c>
      <c r="U27" s="36">
        <f>VLOOKUP($A27,[24]HISTOAOUT24!$A$6:$AU$38,28,0)</f>
        <v>0</v>
      </c>
      <c r="V27" s="36">
        <f>VLOOKUP($A27,[24]HISTOAOUT24!$A$6:$AU$38,19,0)</f>
        <v>0</v>
      </c>
      <c r="W27" s="36">
        <f>VLOOKUP($A27,[24]HISTOAOUT24!$A$6:$AU$38,20,0)</f>
        <v>0</v>
      </c>
      <c r="X27" s="36">
        <f>VLOOKUP($A27,[24]HISTOAOUT24!$A$6:$AU$38,27,0)</f>
        <v>0</v>
      </c>
      <c r="Y27" s="36">
        <f>VLOOKUP($A27,[24]HISTOAOUT24!$A$6:$BM$38,33,0)</f>
        <v>0</v>
      </c>
      <c r="Z27" s="36">
        <f>VLOOKUP($A27,[24]HISTOAOUT24!$A$6:$BM$38,65,0)</f>
        <v>0</v>
      </c>
      <c r="AA27" s="36"/>
      <c r="AB27" s="36">
        <f>VLOOKUP($A27,[24]HISTOAOUT24!$A$6:$AU$38,43,0)</f>
        <v>0</v>
      </c>
      <c r="AC27" s="36">
        <f>VLOOKUP($A27,[24]HISTOAOUT24!$A$6:$AU$38,44,0)</f>
        <v>0</v>
      </c>
      <c r="AD27" s="36">
        <f>VLOOKUP($A27,[24]HISTOAOUT24!$A$6:$AU$38,47,0)</f>
        <v>0</v>
      </c>
      <c r="AE27" s="36">
        <f>VLOOKUP(A27,[24]HISTOAOUT24!$A$6:$BB$38,54,0)</f>
        <v>0</v>
      </c>
      <c r="AF27" s="36">
        <f>VLOOKUP($A27,[24]HISTOAOUT24!$A$6:$CA$38,60,0)</f>
        <v>0</v>
      </c>
      <c r="AG27" s="36">
        <f>VLOOKUP($A27,[24]HISTOAOUT24!$A$6:$CA$38,61,0)</f>
        <v>0</v>
      </c>
      <c r="AH27" s="36">
        <f>VLOOKUP($A27,[24]HISTOAOUT24!$A$6:$CA$38,62,0)</f>
        <v>0</v>
      </c>
      <c r="AI27" s="36">
        <f>VLOOKUP($A27,[24]HISTOAOUT24!$A$6:$CA$38,63,0)</f>
        <v>0</v>
      </c>
      <c r="AJ27" s="36">
        <f>VLOOKUP($A27,[24]HISTOAOUT24!$A$6:$CA$38,64,0)</f>
        <v>0</v>
      </c>
      <c r="AK27" s="36">
        <f>VLOOKUP($A27,[24]HISTOAOUT24!$A$6:$CA$38,65,0)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MVTJUIL24!I28-E28+L28</f>
        <v>821176.12513194664</v>
      </c>
      <c r="G28" s="5">
        <f>IF(MVTJUIL24!I28+L28&gt;700000,(MVTJUIL24!I28-E28+L28),0)</f>
        <v>821176.12513194664</v>
      </c>
      <c r="H28" s="36">
        <f t="shared" si="0"/>
        <v>0</v>
      </c>
      <c r="I28" s="6">
        <f t="shared" si="2"/>
        <v>821176.12513194664</v>
      </c>
      <c r="J28" s="36">
        <f>VLOOKUP($A28,[24]HISTOAOUT24!$A$6:$AQ$42,22,0)</f>
        <v>0</v>
      </c>
      <c r="K28" s="36">
        <f>VLOOKUP($A28,[24]HISTOAOUT24!$A$6:$AU$38,45,0)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VLOOKUP($A28,[24]HISTOAOUT24!$A$6:$AU$38,7,0)</f>
        <v>0</v>
      </c>
      <c r="Q28" s="36">
        <f>VLOOKUP($A28,[24]HISTOAOUT24!$A$6:$AU$38,23,0)</f>
        <v>0</v>
      </c>
      <c r="R28" s="36">
        <f>VLOOKUP($A28,[24]HISTOAOUT24!$A$6:$AU$38,46,0)</f>
        <v>0</v>
      </c>
      <c r="S28" s="36">
        <f>VLOOKUP($A28,[24]HISTOAOUT24!$A$6:$AU$38,26,0)</f>
        <v>0</v>
      </c>
      <c r="T28" s="36">
        <f>VLOOKUP($A28,[24]HISTOAOUT24!$A$6:$BG$38,58,0)</f>
        <v>0</v>
      </c>
      <c r="U28" s="36">
        <f>VLOOKUP($A28,[24]HISTOAOUT24!$A$6:$AU$38,28,0)</f>
        <v>0</v>
      </c>
      <c r="V28" s="36">
        <f>VLOOKUP($A28,[24]HISTOAOUT24!$A$6:$AU$38,19,0)</f>
        <v>0</v>
      </c>
      <c r="W28" s="36">
        <f>VLOOKUP($A28,[24]HISTOAOUT24!$A$6:$AU$38,20,0)</f>
        <v>0</v>
      </c>
      <c r="X28" s="36">
        <f>VLOOKUP($A28,[24]HISTOAOUT24!$A$6:$AU$38,27,0)</f>
        <v>0</v>
      </c>
      <c r="Y28" s="36">
        <f>VLOOKUP($A28,[24]HISTOAOUT24!$A$6:$BM$38,33,0)</f>
        <v>0</v>
      </c>
      <c r="Z28" s="36">
        <f>VLOOKUP($A28,[24]HISTOAOUT24!$A$6:$BM$38,65,0)</f>
        <v>0</v>
      </c>
      <c r="AA28" s="36"/>
      <c r="AB28" s="36">
        <f>VLOOKUP($A28,[24]HISTOAOUT24!$A$6:$AU$38,43,0)</f>
        <v>0</v>
      </c>
      <c r="AC28" s="36">
        <f>VLOOKUP($A28,[24]HISTOAOUT24!$A$6:$AU$38,44,0)</f>
        <v>0</v>
      </c>
      <c r="AD28" s="36">
        <f>VLOOKUP($A28,[24]HISTOAOUT24!$A$6:$AU$38,47,0)</f>
        <v>0</v>
      </c>
      <c r="AE28" s="36">
        <f>VLOOKUP(A28,[24]HISTOAOUT24!$A$6:$BB$38,54,0)</f>
        <v>0</v>
      </c>
      <c r="AF28" s="36">
        <f>VLOOKUP($A28,[24]HISTOAOUT24!$A$6:$CA$38,60,0)</f>
        <v>0</v>
      </c>
      <c r="AG28" s="36">
        <f>VLOOKUP($A28,[24]HISTOAOUT24!$A$6:$CA$38,61,0)</f>
        <v>0</v>
      </c>
      <c r="AH28" s="36">
        <f>VLOOKUP($A28,[24]HISTOAOUT24!$A$6:$CA$38,62,0)</f>
        <v>0</v>
      </c>
      <c r="AI28" s="36">
        <f>VLOOKUP($A28,[24]HISTOAOUT24!$A$6:$CA$38,63,0)</f>
        <v>0</v>
      </c>
      <c r="AJ28" s="36">
        <f>VLOOKUP($A28,[24]HISTOAOUT24!$A$6:$CA$38,64,0)</f>
        <v>0</v>
      </c>
      <c r="AK28" s="36">
        <f>VLOOKUP($A28,[24]HISTOAOUT24!$A$6:$CA$38,65,0)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MVTJUIL24!I29-E29+L29</f>
        <v>946151.34423741512</v>
      </c>
      <c r="G29" s="5">
        <f>IF(MVTJUIL24!I29+L29&gt;700000,(MVTJUIL24!I29-E29+L29),0)</f>
        <v>946151.34423741512</v>
      </c>
      <c r="H29" s="36">
        <f t="shared" si="0"/>
        <v>0</v>
      </c>
      <c r="I29" s="6">
        <f t="shared" si="2"/>
        <v>946151.34423741512</v>
      </c>
      <c r="J29" s="36">
        <f>VLOOKUP($A29,[24]HISTOAOUT24!$A$6:$AQ$42,22,0)</f>
        <v>0</v>
      </c>
      <c r="K29" s="36">
        <f>VLOOKUP($A29,[24]HISTOAOUT24!$A$6:$AU$38,45,0)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VLOOKUP($A29,[24]HISTOAOUT24!$A$6:$AU$38,7,0)</f>
        <v>0</v>
      </c>
      <c r="Q29" s="36">
        <f>VLOOKUP($A29,[24]HISTOAOUT24!$A$6:$AU$38,23,0)</f>
        <v>0</v>
      </c>
      <c r="R29" s="36">
        <f>VLOOKUP($A29,[24]HISTOAOUT24!$A$6:$AU$38,46,0)</f>
        <v>0</v>
      </c>
      <c r="S29" s="36">
        <f>VLOOKUP($A29,[24]HISTOAOUT24!$A$6:$AU$38,26,0)</f>
        <v>0</v>
      </c>
      <c r="T29" s="36">
        <f>VLOOKUP($A29,[24]HISTOAOUT24!$A$6:$BG$38,58,0)</f>
        <v>0</v>
      </c>
      <c r="U29" s="36">
        <f>VLOOKUP($A29,[24]HISTOAOUT24!$A$6:$AU$38,28,0)</f>
        <v>0</v>
      </c>
      <c r="V29" s="36">
        <f>VLOOKUP($A29,[24]HISTOAOUT24!$A$6:$AU$38,19,0)</f>
        <v>0</v>
      </c>
      <c r="W29" s="36">
        <f>VLOOKUP($A29,[24]HISTOAOUT24!$A$6:$AU$38,20,0)</f>
        <v>0</v>
      </c>
      <c r="X29" s="36">
        <f>VLOOKUP($A29,[24]HISTOAOUT24!$A$6:$AU$38,27,0)</f>
        <v>0</v>
      </c>
      <c r="Y29" s="36">
        <f>VLOOKUP($A29,[24]HISTOAOUT24!$A$6:$BM$38,33,0)</f>
        <v>0</v>
      </c>
      <c r="Z29" s="36">
        <f>VLOOKUP($A29,[24]HISTOAOUT24!$A$6:$BM$38,65,0)</f>
        <v>0</v>
      </c>
      <c r="AA29" s="36"/>
      <c r="AB29" s="36">
        <f>VLOOKUP($A29,[24]HISTOAOUT24!$A$6:$AU$38,43,0)</f>
        <v>0</v>
      </c>
      <c r="AC29" s="36">
        <f>VLOOKUP($A29,[24]HISTOAOUT24!$A$6:$AU$38,44,0)</f>
        <v>0</v>
      </c>
      <c r="AD29" s="36">
        <f>VLOOKUP($A29,[24]HISTOAOUT24!$A$6:$AU$38,47,0)</f>
        <v>0</v>
      </c>
      <c r="AE29" s="36">
        <f>VLOOKUP(A29,[24]HISTOAOUT24!$A$6:$BB$38,54,0)</f>
        <v>0</v>
      </c>
      <c r="AF29" s="36">
        <f>VLOOKUP($A29,[24]HISTOAOUT24!$A$6:$CA$38,60,0)</f>
        <v>0</v>
      </c>
      <c r="AG29" s="36">
        <f>VLOOKUP($A29,[24]HISTOAOUT24!$A$6:$CA$38,61,0)</f>
        <v>0</v>
      </c>
      <c r="AH29" s="36">
        <f>VLOOKUP($A29,[24]HISTOAOUT24!$A$6:$CA$38,62,0)</f>
        <v>0</v>
      </c>
      <c r="AI29" s="36">
        <f>VLOOKUP($A29,[24]HISTOAOUT24!$A$6:$CA$38,63,0)</f>
        <v>0</v>
      </c>
      <c r="AJ29" s="36">
        <f>VLOOKUP($A29,[24]HISTOAOUT24!$A$6:$CA$38,64,0)</f>
        <v>0</v>
      </c>
      <c r="AK29" s="36">
        <f>VLOOKUP($A29,[24]HISTOAOUT24!$A$6:$CA$38,65,0)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MVTJUIL24!I30-E30+L30</f>
        <v>850786.81046782702</v>
      </c>
      <c r="G30" s="5">
        <f>IF(MVTJUIL24!I30+L30&gt;700000,(MVTJUIL24!I30-E30+L30),0)</f>
        <v>850786.81046782702</v>
      </c>
      <c r="H30" s="36">
        <f t="shared" si="0"/>
        <v>0</v>
      </c>
      <c r="I30" s="6">
        <f t="shared" si="2"/>
        <v>850786.81046782702</v>
      </c>
      <c r="J30" s="36">
        <f>VLOOKUP($A30,[24]HISTOAOUT24!$A$6:$AQ$42,22,0)</f>
        <v>0</v>
      </c>
      <c r="K30" s="36">
        <f>VLOOKUP($A30,[24]HISTOAOUT24!$A$6:$AU$38,45,0)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VLOOKUP($A30,[24]HISTOAOUT24!$A$6:$AU$38,7,0)</f>
        <v>0</v>
      </c>
      <c r="Q30" s="36">
        <f>VLOOKUP($A30,[24]HISTOAOUT24!$A$6:$AU$38,23,0)</f>
        <v>0</v>
      </c>
      <c r="R30" s="36">
        <f>VLOOKUP($A30,[24]HISTOAOUT24!$A$6:$AU$38,46,0)</f>
        <v>0</v>
      </c>
      <c r="S30" s="36">
        <f>VLOOKUP($A30,[24]HISTOAOUT24!$A$6:$AU$38,26,0)</f>
        <v>0</v>
      </c>
      <c r="T30" s="36">
        <f>VLOOKUP($A30,[24]HISTOAOUT24!$A$6:$BG$38,58,0)</f>
        <v>0</v>
      </c>
      <c r="U30" s="36">
        <f>VLOOKUP($A30,[24]HISTOAOUT24!$A$6:$AU$38,28,0)</f>
        <v>0</v>
      </c>
      <c r="V30" s="36">
        <f>VLOOKUP($A30,[24]HISTOAOUT24!$A$6:$AU$38,19,0)</f>
        <v>0</v>
      </c>
      <c r="W30" s="36">
        <f>VLOOKUP($A30,[24]HISTOAOUT24!$A$6:$AU$38,20,0)</f>
        <v>0</v>
      </c>
      <c r="X30" s="36">
        <f>VLOOKUP($A30,[24]HISTOAOUT24!$A$6:$AU$38,27,0)</f>
        <v>0</v>
      </c>
      <c r="Y30" s="36">
        <f>VLOOKUP($A30,[24]HISTOAOUT24!$A$6:$BM$38,33,0)</f>
        <v>0</v>
      </c>
      <c r="Z30" s="36">
        <f>VLOOKUP($A30,[24]HISTOAOUT24!$A$6:$BM$38,65,0)</f>
        <v>0</v>
      </c>
      <c r="AA30" s="36"/>
      <c r="AB30" s="36">
        <f>VLOOKUP($A30,[24]HISTOAOUT24!$A$6:$AU$38,43,0)</f>
        <v>0</v>
      </c>
      <c r="AC30" s="36">
        <f>VLOOKUP($A30,[24]HISTOAOUT24!$A$6:$AU$38,44,0)</f>
        <v>0</v>
      </c>
      <c r="AD30" s="36">
        <f>VLOOKUP($A30,[24]HISTOAOUT24!$A$6:$AU$38,47,0)</f>
        <v>0</v>
      </c>
      <c r="AE30" s="36">
        <f>VLOOKUP(A30,[24]HISTOAOUT24!$A$6:$BB$38,54,0)</f>
        <v>0</v>
      </c>
      <c r="AF30" s="36">
        <f>VLOOKUP($A30,[24]HISTOAOUT24!$A$6:$CA$38,60,0)</f>
        <v>0</v>
      </c>
      <c r="AG30" s="36">
        <f>VLOOKUP($A30,[24]HISTOAOUT24!$A$6:$CA$38,61,0)</f>
        <v>0</v>
      </c>
      <c r="AH30" s="36">
        <f>VLOOKUP($A30,[24]HISTOAOUT24!$A$6:$CA$38,62,0)</f>
        <v>0</v>
      </c>
      <c r="AI30" s="36">
        <f>VLOOKUP($A30,[24]HISTOAOUT24!$A$6:$CA$38,63,0)</f>
        <v>0</v>
      </c>
      <c r="AJ30" s="36">
        <f>VLOOKUP($A30,[24]HISTOAOUT24!$A$6:$CA$38,64,0)</f>
        <v>0</v>
      </c>
      <c r="AK30" s="36">
        <f>VLOOKUP($A30,[24]HISTOAOUT24!$A$6:$CA$38,65,0)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MVTJUIL24!I31-E31+L31</f>
        <v>1010903.0311481348</v>
      </c>
      <c r="G31" s="5">
        <f>IF(MVTJUIL24!I31+L31&gt;700000,(MVTJUIL24!I31-E31+L31),0)</f>
        <v>1010903.0311481348</v>
      </c>
      <c r="H31" s="36">
        <f t="shared" si="0"/>
        <v>0</v>
      </c>
      <c r="I31" s="6">
        <f t="shared" si="2"/>
        <v>1010903.0311481348</v>
      </c>
      <c r="J31" s="36">
        <f>VLOOKUP($A31,[24]HISTOAOUT24!$A$6:$AQ$42,22,0)</f>
        <v>0</v>
      </c>
      <c r="K31" s="36">
        <f>VLOOKUP($A31,[24]HISTOAOUT24!$A$6:$AU$38,45,0)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VLOOKUP($A31,[24]HISTOAOUT24!$A$6:$AU$38,7,0)</f>
        <v>0</v>
      </c>
      <c r="Q31" s="36">
        <f>VLOOKUP($A31,[24]HISTOAOUT24!$A$6:$AU$38,23,0)</f>
        <v>0</v>
      </c>
      <c r="R31" s="36">
        <f>VLOOKUP($A31,[24]HISTOAOUT24!$A$6:$AU$38,46,0)</f>
        <v>0</v>
      </c>
      <c r="S31" s="36">
        <f>VLOOKUP($A31,[24]HISTOAOUT24!$A$6:$AU$38,26,0)</f>
        <v>0</v>
      </c>
      <c r="T31" s="36">
        <f>VLOOKUP($A31,[24]HISTOAOUT24!$A$6:$BG$38,58,0)</f>
        <v>0</v>
      </c>
      <c r="U31" s="36">
        <f>VLOOKUP($A31,[24]HISTOAOUT24!$A$6:$AU$38,28,0)</f>
        <v>0</v>
      </c>
      <c r="V31" s="36">
        <f>VLOOKUP($A31,[24]HISTOAOUT24!$A$6:$AU$38,19,0)</f>
        <v>0</v>
      </c>
      <c r="W31" s="36">
        <f>VLOOKUP($A31,[24]HISTOAOUT24!$A$6:$AU$38,20,0)</f>
        <v>0</v>
      </c>
      <c r="X31" s="36">
        <f>VLOOKUP($A31,[24]HISTOAOUT24!$A$6:$AU$38,27,0)</f>
        <v>0</v>
      </c>
      <c r="Y31" s="36">
        <f>VLOOKUP($A31,[24]HISTOAOUT24!$A$6:$BM$38,33,0)</f>
        <v>0</v>
      </c>
      <c r="Z31" s="36">
        <f>VLOOKUP($A31,[24]HISTOAOUT24!$A$6:$BM$38,65,0)</f>
        <v>0</v>
      </c>
      <c r="AA31" s="36"/>
      <c r="AB31" s="36">
        <f>VLOOKUP($A31,[24]HISTOAOUT24!$A$6:$AU$38,43,0)</f>
        <v>0</v>
      </c>
      <c r="AC31" s="36">
        <f>VLOOKUP($A31,[24]HISTOAOUT24!$A$6:$AU$38,44,0)</f>
        <v>0</v>
      </c>
      <c r="AD31" s="36">
        <f>VLOOKUP($A31,[24]HISTOAOUT24!$A$6:$AU$38,47,0)</f>
        <v>0</v>
      </c>
      <c r="AE31" s="36">
        <f>VLOOKUP(A31,[24]HISTOAOUT24!$A$6:$BB$38,54,0)</f>
        <v>0</v>
      </c>
      <c r="AF31" s="36">
        <f>VLOOKUP($A31,[24]HISTOAOUT24!$A$6:$CA$38,60,0)</f>
        <v>0</v>
      </c>
      <c r="AG31" s="36">
        <f>VLOOKUP($A31,[24]HISTOAOUT24!$A$6:$CA$38,61,0)</f>
        <v>0</v>
      </c>
      <c r="AH31" s="36">
        <f>VLOOKUP($A31,[24]HISTOAOUT24!$A$6:$CA$38,62,0)</f>
        <v>0</v>
      </c>
      <c r="AI31" s="36">
        <f>VLOOKUP($A31,[24]HISTOAOUT24!$A$6:$CA$38,63,0)</f>
        <v>0</v>
      </c>
      <c r="AJ31" s="36">
        <f>VLOOKUP($A31,[24]HISTOAOUT24!$A$6:$CA$38,64,0)</f>
        <v>0</v>
      </c>
      <c r="AK31" s="36">
        <f>VLOOKUP($A31,[24]HISTOAOUT24!$A$6:$CA$38,65,0)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MVTJUIL24!I32-E32+L32</f>
        <v>900243.98131057119</v>
      </c>
      <c r="G32" s="5">
        <f>IF(MVTJUIL24!I32+L32&gt;700000,(MVTJUIL24!I32-E32+L32),0)</f>
        <v>900243.98131057119</v>
      </c>
      <c r="H32" s="36">
        <f t="shared" si="0"/>
        <v>0</v>
      </c>
      <c r="I32" s="6">
        <f t="shared" si="2"/>
        <v>900243.98131057119</v>
      </c>
      <c r="J32" s="36">
        <f>VLOOKUP($A32,[24]HISTOAOUT24!$A$6:$AQ$42,22,0)</f>
        <v>0</v>
      </c>
      <c r="K32" s="36">
        <f>VLOOKUP($A32,[24]HISTOAOUT24!$A$6:$AU$38,45,0)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VLOOKUP($A32,[24]HISTOAOUT24!$A$6:$AU$38,7,0)</f>
        <v>0</v>
      </c>
      <c r="Q32" s="36">
        <f>VLOOKUP($A32,[24]HISTOAOUT24!$A$6:$AU$38,23,0)</f>
        <v>0</v>
      </c>
      <c r="R32" s="36">
        <f>VLOOKUP($A32,[24]HISTOAOUT24!$A$6:$AU$38,46,0)</f>
        <v>0</v>
      </c>
      <c r="S32" s="36">
        <f>VLOOKUP($A32,[24]HISTOAOUT24!$A$6:$AU$38,26,0)</f>
        <v>0</v>
      </c>
      <c r="T32" s="36">
        <f>VLOOKUP($A32,[24]HISTOAOUT24!$A$6:$BG$38,58,0)</f>
        <v>0</v>
      </c>
      <c r="U32" s="36">
        <f>VLOOKUP($A32,[24]HISTOAOUT24!$A$6:$AU$38,28,0)</f>
        <v>0</v>
      </c>
      <c r="V32" s="36">
        <f>VLOOKUP($A32,[24]HISTOAOUT24!$A$6:$AU$38,19,0)</f>
        <v>0</v>
      </c>
      <c r="W32" s="36">
        <f>VLOOKUP($A32,[24]HISTOAOUT24!$A$6:$AU$38,20,0)</f>
        <v>0</v>
      </c>
      <c r="X32" s="36">
        <f>VLOOKUP($A32,[24]HISTOAOUT24!$A$6:$AU$38,27,0)</f>
        <v>0</v>
      </c>
      <c r="Y32" s="36">
        <f>VLOOKUP($A32,[24]HISTOAOUT24!$A$6:$BM$38,33,0)</f>
        <v>0</v>
      </c>
      <c r="Z32" s="36">
        <f>VLOOKUP($A32,[24]HISTOAOUT24!$A$6:$BM$38,65,0)</f>
        <v>0</v>
      </c>
      <c r="AA32" s="36"/>
      <c r="AB32" s="36">
        <f>VLOOKUP($A32,[24]HISTOAOUT24!$A$6:$AU$38,43,0)</f>
        <v>0</v>
      </c>
      <c r="AC32" s="36">
        <f>VLOOKUP($A32,[24]HISTOAOUT24!$A$6:$AU$38,44,0)</f>
        <v>0</v>
      </c>
      <c r="AD32" s="36">
        <f>VLOOKUP($A32,[24]HISTOAOUT24!$A$6:$AU$38,47,0)</f>
        <v>0</v>
      </c>
      <c r="AE32" s="36">
        <f>VLOOKUP(A32,[24]HISTOAOUT24!$A$6:$BB$38,54,0)</f>
        <v>0</v>
      </c>
      <c r="AF32" s="36">
        <f>VLOOKUP($A32,[24]HISTOAOUT24!$A$6:$CA$38,60,0)</f>
        <v>0</v>
      </c>
      <c r="AG32" s="36">
        <f>VLOOKUP($A32,[24]HISTOAOUT24!$A$6:$CA$38,61,0)</f>
        <v>0</v>
      </c>
      <c r="AH32" s="36">
        <f>VLOOKUP($A32,[24]HISTOAOUT24!$A$6:$CA$38,62,0)</f>
        <v>0</v>
      </c>
      <c r="AI32" s="36">
        <f>VLOOKUP($A32,[24]HISTOAOUT24!$A$6:$CA$38,63,0)</f>
        <v>0</v>
      </c>
      <c r="AJ32" s="36">
        <f>VLOOKUP($A32,[24]HISTOAOUT24!$A$6:$CA$38,64,0)</f>
        <v>0</v>
      </c>
      <c r="AK32" s="36">
        <f>VLOOKUP($A32,[24]HISTOAOUT24!$A$6:$CA$38,65,0)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MVTJUIL24!I33-E33+L33</f>
        <v>900552.64928596013</v>
      </c>
      <c r="G33" s="5">
        <f>IF(MVTJUIL24!I33+L33&gt;700000,(MVTJUIL24!I33-E33+L33),0)</f>
        <v>900552.64928596013</v>
      </c>
      <c r="H33" s="36">
        <f t="shared" si="0"/>
        <v>0</v>
      </c>
      <c r="I33" s="6">
        <f t="shared" si="2"/>
        <v>900552.64928596013</v>
      </c>
      <c r="J33" s="36">
        <f>VLOOKUP($A33,[24]HISTOAOUT24!$A$6:$AQ$42,22,0)</f>
        <v>0</v>
      </c>
      <c r="K33" s="36">
        <f>VLOOKUP($A33,[24]HISTOAOUT24!$A$6:$AU$38,45,0)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VLOOKUP($A33,[24]HISTOAOUT24!$A$6:$AU$38,7,0)</f>
        <v>0</v>
      </c>
      <c r="Q33" s="36">
        <f>VLOOKUP($A33,[24]HISTOAOUT24!$A$6:$AU$38,23,0)</f>
        <v>0</v>
      </c>
      <c r="R33" s="36">
        <f>VLOOKUP($A33,[24]HISTOAOUT24!$A$6:$AU$38,46,0)</f>
        <v>0</v>
      </c>
      <c r="S33" s="36">
        <f>VLOOKUP($A33,[24]HISTOAOUT24!$A$6:$AU$38,26,0)</f>
        <v>0</v>
      </c>
      <c r="T33" s="36">
        <f>VLOOKUP($A33,[24]HISTOAOUT24!$A$6:$BG$38,58,0)</f>
        <v>0</v>
      </c>
      <c r="U33" s="36">
        <f>VLOOKUP($A33,[24]HISTOAOUT24!$A$6:$AU$38,28,0)</f>
        <v>0</v>
      </c>
      <c r="V33" s="36">
        <f>VLOOKUP($A33,[24]HISTOAOUT24!$A$6:$AU$38,19,0)</f>
        <v>0</v>
      </c>
      <c r="W33" s="36">
        <f>VLOOKUP($A33,[24]HISTOAOUT24!$A$6:$AU$38,20,0)</f>
        <v>0</v>
      </c>
      <c r="X33" s="36">
        <f>VLOOKUP($A33,[24]HISTOAOUT24!$A$6:$AU$38,27,0)</f>
        <v>0</v>
      </c>
      <c r="Y33" s="36">
        <f>VLOOKUP($A33,[24]HISTOAOUT24!$A$6:$BM$38,33,0)</f>
        <v>0</v>
      </c>
      <c r="Z33" s="36">
        <f>VLOOKUP($A33,[24]HISTOAOUT24!$A$6:$BM$38,65,0)</f>
        <v>0</v>
      </c>
      <c r="AA33" s="36"/>
      <c r="AB33" s="36">
        <f>VLOOKUP($A33,[24]HISTOAOUT24!$A$6:$AU$38,43,0)</f>
        <v>0</v>
      </c>
      <c r="AC33" s="36">
        <f>VLOOKUP($A33,[24]HISTOAOUT24!$A$6:$AU$38,44,0)</f>
        <v>0</v>
      </c>
      <c r="AD33" s="36">
        <f>VLOOKUP($A33,[24]HISTOAOUT24!$A$6:$AU$38,47,0)</f>
        <v>0</v>
      </c>
      <c r="AE33" s="36">
        <f>VLOOKUP(A33,[24]HISTOAOUT24!$A$6:$BB$38,54,0)</f>
        <v>0</v>
      </c>
      <c r="AF33" s="36">
        <f>VLOOKUP($A33,[24]HISTOAOUT24!$A$6:$CA$38,60,0)</f>
        <v>0</v>
      </c>
      <c r="AG33" s="36">
        <f>VLOOKUP($A33,[24]HISTOAOUT24!$A$6:$CA$38,61,0)</f>
        <v>0</v>
      </c>
      <c r="AH33" s="36">
        <f>VLOOKUP($A33,[24]HISTOAOUT24!$A$6:$CA$38,62,0)</f>
        <v>0</v>
      </c>
      <c r="AI33" s="36">
        <f>VLOOKUP($A33,[24]HISTOAOUT24!$A$6:$CA$38,63,0)</f>
        <v>0</v>
      </c>
      <c r="AJ33" s="36">
        <f>VLOOKUP($A33,[24]HISTOAOUT24!$A$6:$CA$38,64,0)</f>
        <v>0</v>
      </c>
      <c r="AK33" s="36">
        <f>VLOOKUP($A33,[24]HISTOAOUT24!$A$6:$CA$38,65,0)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MVTJUIL24!I34-E34+L34</f>
        <v>557000</v>
      </c>
      <c r="G34" s="5">
        <f>IF(MVTJUIL24!I34+L34&gt;700000,(MVTJUIL24!I34-E34+L34),0)</f>
        <v>0</v>
      </c>
      <c r="H34" s="36">
        <f t="shared" si="0"/>
        <v>0</v>
      </c>
      <c r="I34" s="6">
        <f t="shared" si="2"/>
        <v>557000</v>
      </c>
      <c r="J34" s="36">
        <f>VLOOKUP($A34,[24]HISTOAOUT24!$A$6:$AQ$42,22,0)</f>
        <v>0</v>
      </c>
      <c r="K34" s="36">
        <f>VLOOKUP($A34,[24]HISTOAOUT24!$A$6:$AU$38,45,0)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VLOOKUP($A34,[24]HISTOAOUT24!$A$6:$AU$38,7,0)</f>
        <v>0</v>
      </c>
      <c r="Q34" s="36">
        <f>VLOOKUP($A34,[24]HISTOAOUT24!$A$6:$AU$38,23,0)</f>
        <v>0</v>
      </c>
      <c r="R34" s="36">
        <f>VLOOKUP($A34,[24]HISTOAOUT24!$A$6:$AU$38,46,0)</f>
        <v>0</v>
      </c>
      <c r="S34" s="36">
        <f>VLOOKUP($A34,[24]HISTOAOUT24!$A$6:$AU$38,26,0)</f>
        <v>0</v>
      </c>
      <c r="T34" s="36">
        <f>VLOOKUP($A34,[24]HISTOAOUT24!$A$6:$BG$38,58,0)</f>
        <v>0</v>
      </c>
      <c r="U34" s="36">
        <f>VLOOKUP($A34,[24]HISTOAOUT24!$A$6:$AU$38,28,0)</f>
        <v>0</v>
      </c>
      <c r="V34" s="36">
        <f>VLOOKUP($A34,[24]HISTOAOUT24!$A$6:$AU$38,19,0)</f>
        <v>0</v>
      </c>
      <c r="W34" s="36">
        <f>VLOOKUP($A34,[24]HISTOAOUT24!$A$6:$AU$38,20,0)</f>
        <v>0</v>
      </c>
      <c r="X34" s="36">
        <f>VLOOKUP($A34,[24]HISTOAOUT24!$A$6:$AU$38,27,0)</f>
        <v>0</v>
      </c>
      <c r="Y34" s="36">
        <f>VLOOKUP($A34,[24]HISTOAOUT24!$A$6:$BM$38,33,0)</f>
        <v>0</v>
      </c>
      <c r="Z34" s="36">
        <f>VLOOKUP($A34,[24]HISTOAOUT24!$A$6:$BM$38,65,0)</f>
        <v>0</v>
      </c>
      <c r="AA34" s="36"/>
      <c r="AB34" s="36">
        <f>VLOOKUP($A34,[24]HISTOAOUT24!$A$6:$AU$38,43,0)</f>
        <v>0</v>
      </c>
      <c r="AC34" s="36">
        <f>VLOOKUP($A34,[24]HISTOAOUT24!$A$6:$AU$38,44,0)</f>
        <v>0</v>
      </c>
      <c r="AD34" s="36">
        <f>VLOOKUP($A34,[24]HISTOAOUT24!$A$6:$AU$38,47,0)</f>
        <v>0</v>
      </c>
      <c r="AE34" s="36">
        <f>VLOOKUP(A34,[24]HISTOAOUT24!$A$6:$BB$38,54,0)</f>
        <v>0</v>
      </c>
      <c r="AF34" s="36">
        <f>VLOOKUP($A34,[24]HISTOAOUT24!$A$6:$CA$38,60,0)</f>
        <v>0</v>
      </c>
      <c r="AG34" s="36">
        <f>VLOOKUP($A34,[24]HISTOAOUT24!$A$6:$CA$38,61,0)</f>
        <v>0</v>
      </c>
      <c r="AH34" s="36">
        <f>VLOOKUP($A34,[24]HISTOAOUT24!$A$6:$CA$38,62,0)</f>
        <v>0</v>
      </c>
      <c r="AI34" s="36">
        <f>VLOOKUP($A34,[24]HISTOAOUT24!$A$6:$CA$38,63,0)</f>
        <v>0</v>
      </c>
      <c r="AJ34" s="36">
        <f>VLOOKUP($A34,[24]HISTOAOUT24!$A$6:$CA$38,64,0)</f>
        <v>0</v>
      </c>
      <c r="AK34" s="36">
        <f>VLOOKUP($A34,[24]HISTOAOUT24!$A$6:$CA$38,65,0)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MVTJUIL24!I35-E35+L35</f>
        <v>252000</v>
      </c>
      <c r="G35" s="5">
        <f>IF(MVTJUIL24!I35+L35&gt;700000,(MVTJUIL24!I35-E35+L35),0)</f>
        <v>0</v>
      </c>
      <c r="H35" s="36">
        <f t="shared" si="0"/>
        <v>0</v>
      </c>
      <c r="I35" s="6">
        <f t="shared" si="2"/>
        <v>252000</v>
      </c>
      <c r="J35" s="36">
        <f>VLOOKUP($A35,[24]HISTOAOUT24!$A$6:$AQ$42,22,0)</f>
        <v>0</v>
      </c>
      <c r="K35" s="36">
        <f>VLOOKUP($A35,[24]HISTOAOUT24!$A$6:$AU$38,45,0)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VLOOKUP($A35,[24]HISTOAOUT24!$A$6:$AU$38,7,0)</f>
        <v>3000</v>
      </c>
      <c r="Q35" s="36">
        <f>VLOOKUP($A35,[24]HISTOAOUT24!$A$6:$AU$38,23,0)</f>
        <v>0</v>
      </c>
      <c r="R35" s="36">
        <f>VLOOKUP($A35,[24]HISTOAOUT24!$A$6:$AU$38,46,0)</f>
        <v>0</v>
      </c>
      <c r="S35" s="36">
        <f>VLOOKUP($A35,[24]HISTOAOUT24!$A$6:$AU$38,26,0)</f>
        <v>0</v>
      </c>
      <c r="T35" s="36">
        <f>VLOOKUP($A35,[24]HISTOAOUT24!$A$6:$BG$38,58,0)</f>
        <v>0</v>
      </c>
      <c r="U35" s="36">
        <f>VLOOKUP($A35,[24]HISTOAOUT24!$A$6:$AU$38,28,0)</f>
        <v>0</v>
      </c>
      <c r="V35" s="36">
        <f>VLOOKUP($A35,[24]HISTOAOUT24!$A$6:$AU$38,19,0)</f>
        <v>0</v>
      </c>
      <c r="W35" s="36">
        <f>VLOOKUP($A35,[24]HISTOAOUT24!$A$6:$AU$38,20,0)</f>
        <v>0</v>
      </c>
      <c r="X35" s="36">
        <f>VLOOKUP($A35,[24]HISTOAOUT24!$A$6:$AU$38,27,0)</f>
        <v>0</v>
      </c>
      <c r="Y35" s="36">
        <f>VLOOKUP($A35,[24]HISTOAOUT24!$A$6:$BM$38,33,0)</f>
        <v>0</v>
      </c>
      <c r="Z35" s="36">
        <f>VLOOKUP($A35,[24]HISTOAOUT24!$A$6:$BM$38,65,0)</f>
        <v>0</v>
      </c>
      <c r="AA35" s="36"/>
      <c r="AB35" s="36">
        <f>VLOOKUP($A35,[24]HISTOAOUT24!$A$6:$AU$38,43,0)</f>
        <v>0</v>
      </c>
      <c r="AC35" s="36">
        <f>VLOOKUP($A35,[24]HISTOAOUT24!$A$6:$AU$38,44,0)</f>
        <v>0</v>
      </c>
      <c r="AD35" s="36">
        <f>VLOOKUP($A35,[24]HISTOAOUT24!$A$6:$AU$38,47,0)</f>
        <v>0</v>
      </c>
      <c r="AE35" s="36">
        <f>VLOOKUP(A35,[24]HISTOAOUT24!$A$6:$BB$38,54,0)</f>
        <v>0</v>
      </c>
      <c r="AF35" s="36">
        <f>VLOOKUP($A35,[24]HISTOAOUT24!$A$6:$CA$38,60,0)</f>
        <v>0</v>
      </c>
      <c r="AG35" s="36">
        <f>VLOOKUP($A35,[24]HISTOAOUT24!$A$6:$CA$38,61,0)</f>
        <v>0</v>
      </c>
      <c r="AH35" s="36">
        <f>VLOOKUP($A35,[24]HISTOAOUT24!$A$6:$CA$38,62,0)</f>
        <v>0</v>
      </c>
      <c r="AI35" s="36">
        <f>VLOOKUP($A35,[24]HISTOAOUT24!$A$6:$CA$38,63,0)</f>
        <v>0</v>
      </c>
      <c r="AJ35" s="36">
        <f>VLOOKUP($A35,[24]HISTOAOUT24!$A$6:$CA$38,64,0)</f>
        <v>0</v>
      </c>
      <c r="AK35" s="36">
        <f>VLOOKUP($A35,[24]HISTOAOUT24!$A$6:$CA$38,65,0)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MVTJUIL24!I36-E36+L36</f>
        <v>937599.08181867818</v>
      </c>
      <c r="G36" s="5">
        <f>IF(MVTJUIL24!I36+L36&gt;700000,(MVTJUIL24!I36-E36+L36),0)</f>
        <v>937599.08181867818</v>
      </c>
      <c r="H36" s="36">
        <f t="shared" si="0"/>
        <v>0</v>
      </c>
      <c r="I36" s="6">
        <f t="shared" si="2"/>
        <v>937599.08181867818</v>
      </c>
      <c r="J36" s="36">
        <f>VLOOKUP($A36,[24]HISTOAOUT24!$A$6:$AQ$42,22,0)</f>
        <v>0</v>
      </c>
      <c r="K36" s="36">
        <f>VLOOKUP($A36,[24]HISTOAOUT24!$A$6:$AU$38,45,0)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VLOOKUP($A36,[24]HISTOAOUT24!$A$6:$AU$38,7,0)</f>
        <v>0</v>
      </c>
      <c r="Q36" s="36">
        <f>VLOOKUP($A36,[24]HISTOAOUT24!$A$6:$AU$38,23,0)</f>
        <v>0</v>
      </c>
      <c r="R36" s="36">
        <f>VLOOKUP($A36,[24]HISTOAOUT24!$A$6:$AU$38,46,0)</f>
        <v>0</v>
      </c>
      <c r="S36" s="36">
        <f>VLOOKUP($A36,[24]HISTOAOUT24!$A$6:$AU$38,26,0)</f>
        <v>0</v>
      </c>
      <c r="T36" s="36">
        <f>VLOOKUP($A36,[24]HISTOAOUT24!$A$6:$BG$38,58,0)</f>
        <v>0</v>
      </c>
      <c r="U36" s="36">
        <f>VLOOKUP($A36,[24]HISTOAOUT24!$A$6:$AU$38,28,0)</f>
        <v>0</v>
      </c>
      <c r="V36" s="36">
        <f>VLOOKUP($A36,[24]HISTOAOUT24!$A$6:$AU$38,19,0)</f>
        <v>0</v>
      </c>
      <c r="W36" s="36">
        <f>VLOOKUP($A36,[24]HISTOAOUT24!$A$6:$AU$38,20,0)</f>
        <v>0</v>
      </c>
      <c r="X36" s="36">
        <f>VLOOKUP($A36,[24]HISTOAOUT24!$A$6:$AU$38,27,0)</f>
        <v>0</v>
      </c>
      <c r="Y36" s="36">
        <f>VLOOKUP($A36,[24]HISTOAOUT24!$A$6:$BM$38,33,0)</f>
        <v>0</v>
      </c>
      <c r="Z36" s="36">
        <f>VLOOKUP($A36,[24]HISTOAOUT24!$A$6:$BM$38,65,0)</f>
        <v>0</v>
      </c>
      <c r="AA36" s="36"/>
      <c r="AB36" s="36">
        <f>VLOOKUP($A36,[24]HISTOAOUT24!$A$6:$AU$38,43,0)</f>
        <v>0</v>
      </c>
      <c r="AC36" s="36">
        <f>VLOOKUP($A36,[24]HISTOAOUT24!$A$6:$AU$38,44,0)</f>
        <v>0</v>
      </c>
      <c r="AD36" s="36">
        <f>VLOOKUP($A36,[24]HISTOAOUT24!$A$6:$AU$38,47,0)</f>
        <v>0</v>
      </c>
      <c r="AE36" s="36">
        <f>VLOOKUP(A36,[24]HISTOAOUT24!$A$6:$BB$38,54,0)</f>
        <v>0</v>
      </c>
      <c r="AF36" s="36">
        <f>VLOOKUP($A36,[24]HISTOAOUT24!$A$6:$CA$38,60,0)</f>
        <v>0</v>
      </c>
      <c r="AG36" s="36">
        <f>VLOOKUP($A36,[24]HISTOAOUT24!$A$6:$CA$38,61,0)</f>
        <v>0</v>
      </c>
      <c r="AH36" s="36">
        <f>VLOOKUP($A36,[24]HISTOAOUT24!$A$6:$CA$38,62,0)</f>
        <v>0</v>
      </c>
      <c r="AI36" s="36">
        <f>VLOOKUP($A36,[24]HISTOAOUT24!$A$6:$CA$38,63,0)</f>
        <v>0</v>
      </c>
      <c r="AJ36" s="36">
        <f>VLOOKUP($A36,[24]HISTOAOUT24!$A$6:$CA$38,64,0)</f>
        <v>0</v>
      </c>
      <c r="AK36" s="36">
        <f>VLOOKUP($A36,[24]HISTOAOUT24!$A$6:$CA$38,65,0)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MVTJUIL24!I37-E37+L37</f>
        <v>1970400.7147676253</v>
      </c>
      <c r="G37" s="5">
        <f>IF(MVTJUIL24!I37+L37&gt;700000,(MVTJUIL24!I37-E37+L37),0)</f>
        <v>1970400.7147676253</v>
      </c>
      <c r="H37" s="36">
        <f t="shared" si="0"/>
        <v>0</v>
      </c>
      <c r="I37" s="6">
        <f t="shared" si="2"/>
        <v>1970400.7147676253</v>
      </c>
      <c r="J37" s="36">
        <f>VLOOKUP($A37,[24]HISTOAOUT24!$A$6:$AQ$42,22,0)</f>
        <v>0</v>
      </c>
      <c r="K37" s="36">
        <f>VLOOKUP($A37,[24]HISTOAOUT24!$A$6:$AU$38,45,0)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VLOOKUP($A37,[24]HISTOAOUT24!$A$6:$AU$38,7,0)</f>
        <v>3000</v>
      </c>
      <c r="Q37" s="36">
        <f>VLOOKUP($A37,[24]HISTOAOUT24!$A$6:$AU$38,23,0)</f>
        <v>0</v>
      </c>
      <c r="R37" s="36">
        <f>VLOOKUP($A37,[24]HISTOAOUT24!$A$6:$AU$38,46,0)</f>
        <v>0</v>
      </c>
      <c r="S37" s="36">
        <f>VLOOKUP($A37,[24]HISTOAOUT24!$A$6:$AU$38,26,0)</f>
        <v>0</v>
      </c>
      <c r="T37" s="36">
        <f>VLOOKUP($A37,[24]HISTOAOUT24!$A$6:$BG$38,58,0)</f>
        <v>0</v>
      </c>
      <c r="U37" s="36">
        <f>VLOOKUP($A37,[24]HISTOAOUT24!$A$6:$AU$38,28,0)</f>
        <v>0</v>
      </c>
      <c r="V37" s="36">
        <f>VLOOKUP($A37,[24]HISTOAOUT24!$A$6:$AU$38,19,0)</f>
        <v>0</v>
      </c>
      <c r="W37" s="36">
        <f>VLOOKUP($A37,[24]HISTOAOUT24!$A$6:$AU$38,20,0)</f>
        <v>0</v>
      </c>
      <c r="X37" s="36">
        <f>VLOOKUP($A37,[24]HISTOAOUT24!$A$6:$AU$38,27,0)</f>
        <v>0</v>
      </c>
      <c r="Y37" s="36">
        <f>VLOOKUP($A37,[24]HISTOAOUT24!$A$6:$BM$38,33,0)</f>
        <v>0</v>
      </c>
      <c r="Z37" s="36">
        <f>VLOOKUP($A37,[24]HISTOAOUT24!$A$6:$BM$38,65,0)</f>
        <v>0</v>
      </c>
      <c r="AA37" s="36"/>
      <c r="AB37" s="36">
        <f>VLOOKUP($A37,[24]HISTOAOUT24!$A$6:$AU$38,43,0)</f>
        <v>0</v>
      </c>
      <c r="AC37" s="36">
        <f>VLOOKUP($A37,[24]HISTOAOUT24!$A$6:$AU$38,44,0)</f>
        <v>0</v>
      </c>
      <c r="AD37" s="36">
        <f>VLOOKUP($A37,[24]HISTOAOUT24!$A$6:$AU$38,47,0)</f>
        <v>0</v>
      </c>
      <c r="AE37" s="36">
        <f>VLOOKUP(A37,[24]HISTOAOUT24!$A$6:$BB$38,54,0)</f>
        <v>0</v>
      </c>
      <c r="AF37" s="36">
        <f>VLOOKUP($A37,[24]HISTOAOUT24!$A$6:$CA$38,60,0)</f>
        <v>0</v>
      </c>
      <c r="AG37" s="36">
        <f>VLOOKUP($A37,[24]HISTOAOUT24!$A$6:$CA$38,61,0)</f>
        <v>0</v>
      </c>
      <c r="AH37" s="36">
        <f>VLOOKUP($A37,[24]HISTOAOUT24!$A$6:$CA$38,62,0)</f>
        <v>0</v>
      </c>
      <c r="AI37" s="36">
        <f>VLOOKUP($A37,[24]HISTOAOUT24!$A$6:$CA$38,63,0)</f>
        <v>0</v>
      </c>
      <c r="AJ37" s="36">
        <f>VLOOKUP($A37,[24]HISTOAOUT24!$A$6:$CA$38,64,0)</f>
        <v>0</v>
      </c>
      <c r="AK37" s="36">
        <f>VLOOKUP($A37,[24]HISTOAOUT24!$A$6:$CA$38,65,0)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MVTJUIL24!I38-E38+L38</f>
        <v>152000</v>
      </c>
      <c r="G38" s="5">
        <f>IF(MVTJUIL24!I38+L38&gt;700000,(MVTJUIL24!I38-E38+L38),0)</f>
        <v>0</v>
      </c>
      <c r="H38" s="36">
        <f t="shared" si="0"/>
        <v>0</v>
      </c>
      <c r="I38" s="6">
        <f t="shared" si="2"/>
        <v>152000</v>
      </c>
      <c r="J38" s="36">
        <f>VLOOKUP($A38,[24]HISTOAOUT24!$A$6:$AQ$42,22,0)</f>
        <v>0</v>
      </c>
      <c r="K38" s="36">
        <f>VLOOKUP($A38,[24]HISTOAOUT24!$A$6:$AU$38,45,0)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VLOOKUP($A38,[24]HISTOAOUT24!$A$6:$AU$38,7,0)</f>
        <v>0</v>
      </c>
      <c r="Q38" s="36">
        <f>VLOOKUP($A38,[24]HISTOAOUT24!$A$6:$AU$38,23,0)</f>
        <v>0</v>
      </c>
      <c r="R38" s="36">
        <f>VLOOKUP($A38,[24]HISTOAOUT24!$A$6:$AU$38,46,0)</f>
        <v>0</v>
      </c>
      <c r="S38" s="36">
        <f>VLOOKUP($A38,[24]HISTOAOUT24!$A$6:$AU$38,26,0)</f>
        <v>0</v>
      </c>
      <c r="T38" s="36">
        <f>VLOOKUP($A38,[24]HISTOAOUT24!$A$6:$BG$38,58,0)</f>
        <v>0</v>
      </c>
      <c r="U38" s="36">
        <f>VLOOKUP($A38,[24]HISTOAOUT24!$A$6:$AU$38,28,0)</f>
        <v>0</v>
      </c>
      <c r="V38" s="36">
        <f>VLOOKUP($A38,[24]HISTOAOUT24!$A$6:$AU$38,19,0)</f>
        <v>0</v>
      </c>
      <c r="W38" s="36">
        <f>VLOOKUP($A38,[24]HISTOAOUT24!$A$6:$AU$38,20,0)</f>
        <v>0</v>
      </c>
      <c r="X38" s="36">
        <f>VLOOKUP($A38,[24]HISTOAOUT24!$A$6:$AU$38,27,0)</f>
        <v>0</v>
      </c>
      <c r="Y38" s="36">
        <f>VLOOKUP($A38,[24]HISTOAOUT24!$A$6:$BM$38,33,0)</f>
        <v>0</v>
      </c>
      <c r="Z38" s="36">
        <f>VLOOKUP($A38,[24]HISTOAOUT24!$A$6:$BM$38,65,0)</f>
        <v>0</v>
      </c>
      <c r="AA38" s="36"/>
      <c r="AB38" s="36">
        <f>VLOOKUP($A38,[24]HISTOAOUT24!$A$6:$AU$38,43,0)</f>
        <v>0</v>
      </c>
      <c r="AC38" s="36">
        <f>VLOOKUP($A38,[24]HISTOAOUT24!$A$6:$AU$38,44,0)</f>
        <v>0</v>
      </c>
      <c r="AD38" s="36">
        <f>VLOOKUP($A38,[24]HISTOAOUT24!$A$6:$AU$38,47,0)</f>
        <v>0</v>
      </c>
      <c r="AE38" s="36">
        <f>VLOOKUP(A38,[24]HISTOAOUT24!$A$6:$BB$38,54,0)</f>
        <v>0</v>
      </c>
      <c r="AF38" s="36">
        <f>VLOOKUP($A38,[24]HISTOAOUT24!$A$6:$CA$38,60,0)</f>
        <v>0</v>
      </c>
      <c r="AG38" s="36">
        <f>VLOOKUP($A38,[24]HISTOAOUT24!$A$6:$CA$38,61,0)</f>
        <v>0</v>
      </c>
      <c r="AH38" s="36">
        <f>VLOOKUP($A38,[24]HISTOAOUT24!$A$6:$CA$38,62,0)</f>
        <v>0</v>
      </c>
      <c r="AI38" s="36">
        <f>VLOOKUP($A38,[24]HISTOAOUT24!$A$6:$CA$38,63,0)</f>
        <v>0</v>
      </c>
      <c r="AJ38" s="36">
        <f>VLOOKUP($A38,[24]HISTOAOUT24!$A$6:$CA$38,64,0)</f>
        <v>0</v>
      </c>
      <c r="AK38" s="36">
        <f>VLOOKUP($A38,[24]HISTOAOUT24!$A$6:$CA$38,65,0)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MVTJUIL24!I39-E39+L39</f>
        <v>2135313.2142100567</v>
      </c>
      <c r="G39" s="5">
        <f>IF(MVTJUIL24!I39+L39&gt;700000,(MVTJUIL24!I39-E39+L39),0)</f>
        <v>2135313.2142100567</v>
      </c>
      <c r="H39" s="36">
        <f t="shared" si="0"/>
        <v>0</v>
      </c>
      <c r="I39" s="6">
        <f t="shared" si="2"/>
        <v>2135313.2142100567</v>
      </c>
      <c r="J39" s="36">
        <f>VLOOKUP($A39,[24]HISTOAOUT24!$A$6:$AQ$42,22,0)</f>
        <v>0</v>
      </c>
      <c r="K39" s="36">
        <f>VLOOKUP($A39,[24]HISTOAOUT24!$A$6:$AU$38,45,0)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VLOOKUP($A39,[24]HISTOAOUT24!$A$6:$AU$38,7,0)</f>
        <v>0</v>
      </c>
      <c r="Q39" s="36">
        <f>VLOOKUP($A39,[24]HISTOAOUT24!$A$6:$AU$38,23,0)</f>
        <v>0</v>
      </c>
      <c r="R39" s="36">
        <f>VLOOKUP($A39,[24]HISTOAOUT24!$A$6:$AU$38,46,0)</f>
        <v>0</v>
      </c>
      <c r="S39" s="36">
        <f>VLOOKUP($A39,[24]HISTOAOUT24!$A$6:$AU$38,26,0)</f>
        <v>0</v>
      </c>
      <c r="T39" s="36">
        <f>VLOOKUP($A39,[24]HISTOAOUT24!$A$6:$BG$38,58,0)</f>
        <v>0</v>
      </c>
      <c r="U39" s="36">
        <f>VLOOKUP($A39,[24]HISTOAOUT24!$A$6:$AU$38,28,0)</f>
        <v>0</v>
      </c>
      <c r="V39" s="36">
        <f>VLOOKUP($A39,[24]HISTOAOUT24!$A$6:$AU$38,19,0)</f>
        <v>0</v>
      </c>
      <c r="W39" s="36">
        <f>VLOOKUP($A39,[24]HISTOAOUT24!$A$6:$AU$38,20,0)</f>
        <v>0</v>
      </c>
      <c r="X39" s="36">
        <f>VLOOKUP($A39,[24]HISTOAOUT24!$A$6:$AU$38,27,0)</f>
        <v>0</v>
      </c>
      <c r="Y39" s="36">
        <f>VLOOKUP($A39,[24]HISTOAOUT24!$A$6:$BM$38,33,0)</f>
        <v>0</v>
      </c>
      <c r="Z39" s="36">
        <f>VLOOKUP($A39,[24]HISTOAOUT24!$A$6:$BM$38,65,0)</f>
        <v>0</v>
      </c>
      <c r="AA39" s="36"/>
      <c r="AB39" s="36">
        <f>VLOOKUP($A39,[24]HISTOAOUT24!$A$6:$AU$38,43,0)</f>
        <v>0</v>
      </c>
      <c r="AC39" s="36">
        <f>VLOOKUP($A39,[24]HISTOAOUT24!$A$6:$AU$38,44,0)</f>
        <v>0</v>
      </c>
      <c r="AD39" s="36">
        <f>VLOOKUP($A39,[24]HISTOAOUT24!$A$6:$AU$38,47,0)</f>
        <v>0</v>
      </c>
      <c r="AE39" s="36">
        <f>VLOOKUP(A39,[24]HISTOAOUT24!$A$6:$BB$38,54,0)</f>
        <v>0</v>
      </c>
      <c r="AF39" s="36">
        <f>VLOOKUP($A39,[24]HISTOAOUT24!$A$6:$CA$38,60,0)</f>
        <v>0</v>
      </c>
      <c r="AG39" s="36">
        <f>VLOOKUP($A39,[24]HISTOAOUT24!$A$6:$CA$38,61,0)</f>
        <v>0</v>
      </c>
      <c r="AH39" s="36">
        <f>VLOOKUP($A39,[24]HISTOAOUT24!$A$6:$CA$38,62,0)</f>
        <v>0</v>
      </c>
      <c r="AI39" s="36">
        <f>VLOOKUP($A39,[24]HISTOAOUT24!$A$6:$CA$38,63,0)</f>
        <v>0</v>
      </c>
      <c r="AJ39" s="36">
        <f>VLOOKUP($A39,[24]HISTOAOUT24!$A$6:$CA$38,64,0)</f>
        <v>0</v>
      </c>
      <c r="AK39" s="36">
        <f>VLOOKUP($A39,[24]HISTOAOUT24!$A$6:$CA$38,65,0)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31752656.655274987</v>
      </c>
      <c r="G41" s="9">
        <f t="shared" si="10"/>
        <v>29963439.524547949</v>
      </c>
      <c r="H41" s="36">
        <f t="shared" si="10"/>
        <v>0</v>
      </c>
      <c r="I41" s="9">
        <f t="shared" si="10"/>
        <v>31752656.655274987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G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45582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VLOOKUP($A6,[24]HISTOOCT24!$A$6:$BA$38,48,0)</f>
        <v>0</v>
      </c>
      <c r="F6" s="36">
        <f>MVTSEPT24!I6-E6+L6</f>
        <v>946220.58968855068</v>
      </c>
      <c r="G6" s="5">
        <f>IF(MVTSEPT24!I6+L6&gt;700000,(MVTSEPT24!I6-E6+L6),0)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VLOOKUP($A6,[24]HISTOOCT24!$A$6:$AQ$42,22,0)</f>
        <v>0</v>
      </c>
      <c r="K6" s="36">
        <f>VLOOKUP($A6,[24]HISTOOCT24!$A$6:$AU$38,45,0)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VLOOKUP($A6,[24]HISTOOCT24!$A$6:$AU$38,7,0)</f>
        <v>0</v>
      </c>
      <c r="Q6" s="36">
        <f>VLOOKUP($A6,[24]HISTOOCT24!$A$6:$AU$38,23,0)</f>
        <v>0</v>
      </c>
      <c r="R6" s="36">
        <f>VLOOKUP($A6,[24]HISTOOCT24!$A$6:$AU$38,46,0)</f>
        <v>0</v>
      </c>
      <c r="S6" s="36">
        <f>VLOOKUP($A6,[24]HISTOOCT24!$A$6:$AU$38,26,0)</f>
        <v>0</v>
      </c>
      <c r="T6" s="36">
        <f>VLOOKUP($A6,[24]HISTOOCT24!$A$6:$BG$38,58,0)</f>
        <v>0</v>
      </c>
      <c r="U6" s="36">
        <f>VLOOKUP($A6,[24]HISTOOCT24!$A$6:$AU$38,28,0)</f>
        <v>0</v>
      </c>
      <c r="V6" s="36">
        <f>VLOOKUP($A6,[24]HISTOOCT24!$A$6:$AU$38,19,0)</f>
        <v>0</v>
      </c>
      <c r="W6" s="36">
        <f>VLOOKUP($A6,[24]HISTOOCT24!$A$6:$AU$38,20,0)</f>
        <v>0</v>
      </c>
      <c r="X6" s="36">
        <f>VLOOKUP($A6,[24]HISTOOCT24!$A$6:$AU$38,27,0)</f>
        <v>0</v>
      </c>
      <c r="Y6" s="36">
        <f>VLOOKUP($A6,[24]HISTOOCT24!$A$6:$BM$38,33,0)</f>
        <v>0</v>
      </c>
      <c r="Z6" s="36">
        <f>VLOOKUP($A6,[24]HISTOOCT24!$A$6:$BM$38,65,0)</f>
        <v>0</v>
      </c>
      <c r="AA6" s="36"/>
      <c r="AB6" s="36">
        <f>VLOOKUP($A6,[24]HISTOOCT24!$A$6:$AU$38,43,0)</f>
        <v>0</v>
      </c>
      <c r="AC6" s="36">
        <f>VLOOKUP($A6,[24]HISTOOCT24!$A$6:$AU$38,44,0)</f>
        <v>0</v>
      </c>
      <c r="AD6" s="36">
        <f>VLOOKUP($A6,[24]HISTOOCT24!$A$6:$AU$38,47,0)</f>
        <v>0</v>
      </c>
      <c r="AE6" s="36">
        <f>VLOOKUP(A6,[24]HISTOOCT24!$A$6:$BB$38,54,0)</f>
        <v>0</v>
      </c>
      <c r="AF6" s="36">
        <f>VLOOKUP($A6,[24]HISTOOCT24!$A$6:$CA$38,60,0)</f>
        <v>0</v>
      </c>
      <c r="AG6" s="36">
        <f>VLOOKUP($A6,[24]HISTOOCT24!$A$6:$CA$38,61,0)</f>
        <v>0</v>
      </c>
      <c r="AH6" s="36">
        <f>VLOOKUP($A6,[24]HISTOOCT24!$A$6:$CA$38,62,0)</f>
        <v>0</v>
      </c>
      <c r="AI6" s="36">
        <f>VLOOKUP($A6,[24]HISTOOCT24!$A$6:$CA$38,63,0)</f>
        <v>0</v>
      </c>
      <c r="AJ6" s="36">
        <f>VLOOKUP($A6,[24]HISTOOCT24!$A$6:$CA$38,64,0)</f>
        <v>0</v>
      </c>
      <c r="AK6" s="36">
        <f>VLOOKUP($A6,[24]HISTOOCT24!$A$6:$CA$38,65,0)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VLOOKUP($A7,[24]HISTOOCT24!$A$6:$BA$38,48,0)</f>
        <v>0</v>
      </c>
      <c r="F7" s="36">
        <f>MVTSEPT24!I7-E7+L7</f>
        <v>890791.19348721951</v>
      </c>
      <c r="G7" s="5">
        <f>IF(MVTSEPT24!I7+L7&gt;700000,(MVTSEPT24!I7-E7+L7),0)</f>
        <v>890791.19348721951</v>
      </c>
      <c r="H7" s="36">
        <f t="shared" si="0"/>
        <v>0</v>
      </c>
      <c r="I7" s="6">
        <f t="shared" ref="I7:I39" si="2">F7+H7</f>
        <v>890791.19348721951</v>
      </c>
      <c r="J7" s="36">
        <f>VLOOKUP($A7,[24]HISTOOCT24!$A$6:$AQ$42,22,0)</f>
        <v>0</v>
      </c>
      <c r="K7" s="36">
        <f>VLOOKUP($A7,[24]HISTOOCT24!$A$6:$AU$38,45,0)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VLOOKUP($A7,[24]HISTOOCT24!$A$6:$AU$38,7,0)</f>
        <v>3000</v>
      </c>
      <c r="Q7" s="36">
        <f>VLOOKUP($A7,[24]HISTOOCT24!$A$6:$AU$38,23,0)</f>
        <v>0</v>
      </c>
      <c r="R7" s="36">
        <f>VLOOKUP($A7,[24]HISTOOCT24!$A$6:$AU$38,46,0)</f>
        <v>0</v>
      </c>
      <c r="S7" s="36">
        <f>VLOOKUP($A7,[24]HISTOOCT24!$A$6:$AU$38,26,0)</f>
        <v>0</v>
      </c>
      <c r="T7" s="36">
        <f>VLOOKUP($A7,[24]HISTOOCT24!$A$6:$BG$38,58,0)</f>
        <v>0</v>
      </c>
      <c r="U7" s="36">
        <f>VLOOKUP($A7,[24]HISTOOCT24!$A$6:$AU$38,28,0)</f>
        <v>0</v>
      </c>
      <c r="V7" s="36">
        <f>VLOOKUP($A7,[24]HISTOOCT24!$A$6:$AU$38,19,0)</f>
        <v>0</v>
      </c>
      <c r="W7" s="36">
        <f>VLOOKUP($A7,[24]HISTOOCT24!$A$6:$AU$38,20,0)</f>
        <v>0</v>
      </c>
      <c r="X7" s="36">
        <f>VLOOKUP($A7,[24]HISTOOCT24!$A$6:$AU$38,27,0)</f>
        <v>0</v>
      </c>
      <c r="Y7" s="36">
        <f>VLOOKUP($A7,[24]HISTOOCT24!$A$6:$BM$38,33,0)</f>
        <v>0</v>
      </c>
      <c r="Z7" s="36">
        <f>VLOOKUP($A7,[24]HISTOOCT24!$A$6:$BM$38,65,0)</f>
        <v>0</v>
      </c>
      <c r="AA7" s="36"/>
      <c r="AB7" s="36">
        <f>VLOOKUP($A7,[24]HISTOOCT24!$A$6:$AU$38,43,0)</f>
        <v>0</v>
      </c>
      <c r="AC7" s="36">
        <f>VLOOKUP($A7,[24]HISTOOCT24!$A$6:$AU$38,44,0)</f>
        <v>0</v>
      </c>
      <c r="AD7" s="36">
        <f>VLOOKUP($A7,[24]HISTOOCT24!$A$6:$AU$38,47,0)</f>
        <v>0</v>
      </c>
      <c r="AE7" s="36">
        <f>VLOOKUP(A7,[24]HISTOOCT24!$A$6:$BB$38,54,0)</f>
        <v>0</v>
      </c>
      <c r="AF7" s="36">
        <f>VLOOKUP($A7,[24]HISTOOCT24!$A$6:$CA$38,60,0)</f>
        <v>0</v>
      </c>
      <c r="AG7" s="36">
        <f>VLOOKUP($A7,[24]HISTOOCT24!$A$6:$CA$38,61,0)</f>
        <v>0</v>
      </c>
      <c r="AH7" s="36">
        <f>VLOOKUP($A7,[24]HISTOOCT24!$A$6:$CA$38,62,0)</f>
        <v>0</v>
      </c>
      <c r="AI7" s="36">
        <f>VLOOKUP($A7,[24]HISTOOCT24!$A$6:$CA$38,63,0)</f>
        <v>0</v>
      </c>
      <c r="AJ7" s="36">
        <f>VLOOKUP($A7,[24]HISTOOCT24!$A$6:$CA$38,64,0)</f>
        <v>0</v>
      </c>
      <c r="AK7" s="36">
        <f>VLOOKUP($A7,[24]HISTOOCT24!$A$6:$CA$38,65,0)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VLOOKUP($A8,[24]HISTOOCT24!$A$6:$BA$38,48,0)</f>
        <v>0</v>
      </c>
      <c r="F8" s="36">
        <f>MVTSEPT24!I8-E8+L8</f>
        <v>934533.31236524263</v>
      </c>
      <c r="G8" s="5">
        <f>IF(MVTSEPT24!I8+L8&gt;700000,(MVTSEPT24!I8-E8+L8),0)</f>
        <v>934533.31236524263</v>
      </c>
      <c r="H8" s="36">
        <f t="shared" si="0"/>
        <v>0</v>
      </c>
      <c r="I8" s="6">
        <f t="shared" si="2"/>
        <v>934533.31236524263</v>
      </c>
      <c r="J8" s="36">
        <f>VLOOKUP($A8,[24]HISTOOCT24!$A$6:$AQ$42,22,0)</f>
        <v>0</v>
      </c>
      <c r="K8" s="36">
        <f>VLOOKUP($A8,[24]HISTOOCT24!$A$6:$AU$38,45,0)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VLOOKUP($A8,[24]HISTOOCT24!$A$6:$AU$38,7,0)</f>
        <v>0</v>
      </c>
      <c r="Q8" s="36">
        <f>VLOOKUP($A8,[24]HISTOOCT24!$A$6:$AU$38,23,0)</f>
        <v>0</v>
      </c>
      <c r="R8" s="36">
        <f>VLOOKUP($A8,[24]HISTOOCT24!$A$6:$AU$38,46,0)</f>
        <v>0</v>
      </c>
      <c r="S8" s="36">
        <f>VLOOKUP($A8,[24]HISTOOCT24!$A$6:$AU$38,26,0)</f>
        <v>0</v>
      </c>
      <c r="T8" s="36">
        <f>VLOOKUP($A8,[24]HISTOOCT24!$A$6:$BG$38,58,0)</f>
        <v>0</v>
      </c>
      <c r="U8" s="36">
        <f>VLOOKUP($A8,[24]HISTOOCT24!$A$6:$AU$38,28,0)</f>
        <v>0</v>
      </c>
      <c r="V8" s="36">
        <f>VLOOKUP($A8,[24]HISTOOCT24!$A$6:$AU$38,19,0)</f>
        <v>0</v>
      </c>
      <c r="W8" s="36">
        <f>VLOOKUP($A8,[24]HISTOOCT24!$A$6:$AU$38,20,0)</f>
        <v>0</v>
      </c>
      <c r="X8" s="36">
        <f>VLOOKUP($A8,[24]HISTOOCT24!$A$6:$AU$38,27,0)</f>
        <v>0</v>
      </c>
      <c r="Y8" s="36">
        <f>VLOOKUP($A8,[24]HISTOOCT24!$A$6:$BM$38,33,0)</f>
        <v>0</v>
      </c>
      <c r="Z8" s="36">
        <f>VLOOKUP($A8,[24]HISTOOCT24!$A$6:$BM$38,65,0)</f>
        <v>0</v>
      </c>
      <c r="AA8" s="36"/>
      <c r="AB8" s="36">
        <f>VLOOKUP($A8,[24]HISTOOCT24!$A$6:$AU$38,43,0)</f>
        <v>0</v>
      </c>
      <c r="AC8" s="36">
        <f>VLOOKUP($A8,[24]HISTOOCT24!$A$6:$AU$38,44,0)</f>
        <v>0</v>
      </c>
      <c r="AD8" s="36">
        <f>VLOOKUP($A8,[24]HISTOOCT24!$A$6:$AU$38,47,0)</f>
        <v>0</v>
      </c>
      <c r="AE8" s="36">
        <f>VLOOKUP(A8,[24]HISTOOCT24!$A$6:$BB$38,54,0)</f>
        <v>0</v>
      </c>
      <c r="AF8" s="36">
        <f>VLOOKUP($A8,[24]HISTOOCT24!$A$6:$CA$38,60,0)</f>
        <v>0</v>
      </c>
      <c r="AG8" s="36">
        <f>VLOOKUP($A8,[24]HISTOOCT24!$A$6:$CA$38,61,0)</f>
        <v>0</v>
      </c>
      <c r="AH8" s="36">
        <f>VLOOKUP($A8,[24]HISTOOCT24!$A$6:$CA$38,62,0)</f>
        <v>0</v>
      </c>
      <c r="AI8" s="36">
        <f>VLOOKUP($A8,[24]HISTOOCT24!$A$6:$CA$38,63,0)</f>
        <v>0</v>
      </c>
      <c r="AJ8" s="36">
        <f>VLOOKUP($A8,[24]HISTOOCT24!$A$6:$CA$38,64,0)</f>
        <v>0</v>
      </c>
      <c r="AK8" s="36">
        <f>VLOOKUP($A8,[24]HISTOOCT24!$A$6:$CA$38,65,0)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VLOOKUP($A9,[24]HISTOOCT24!$A$6:$BA$38,48,0)</f>
        <v>0</v>
      </c>
      <c r="F9" s="36">
        <f>MVTSEPT24!I9-E9+L9</f>
        <v>991962.00686817756</v>
      </c>
      <c r="G9" s="5">
        <f>IF(MVTSEPT24!I9+L9&gt;700000,(MVTSEPT24!I9-E9+L9),0)</f>
        <v>991962.00686817756</v>
      </c>
      <c r="H9" s="36">
        <f t="shared" si="0"/>
        <v>0</v>
      </c>
      <c r="I9" s="6">
        <f t="shared" si="2"/>
        <v>991962.00686817756</v>
      </c>
      <c r="J9" s="36">
        <f>VLOOKUP($A9,[24]HISTOOCT24!$A$6:$AQ$42,22,0)</f>
        <v>0</v>
      </c>
      <c r="K9" s="36">
        <f>VLOOKUP($A9,[24]HISTOOCT24!$A$6:$AU$38,45,0)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VLOOKUP($A9,[24]HISTOOCT24!$A$6:$AU$38,7,0)</f>
        <v>0</v>
      </c>
      <c r="Q9" s="36">
        <f>VLOOKUP($A9,[24]HISTOOCT24!$A$6:$AU$38,23,0)</f>
        <v>0</v>
      </c>
      <c r="R9" s="36">
        <f>VLOOKUP($A9,[24]HISTOOCT24!$A$6:$AU$38,46,0)</f>
        <v>0</v>
      </c>
      <c r="S9" s="36">
        <f>VLOOKUP($A9,[24]HISTOOCT24!$A$6:$AU$38,26,0)</f>
        <v>0</v>
      </c>
      <c r="T9" s="36">
        <f>VLOOKUP($A9,[24]HISTOOCT24!$A$6:$BG$38,58,0)</f>
        <v>0</v>
      </c>
      <c r="U9" s="36">
        <f>VLOOKUP($A9,[24]HISTOOCT24!$A$6:$AU$38,28,0)</f>
        <v>0</v>
      </c>
      <c r="V9" s="36">
        <f>VLOOKUP($A9,[24]HISTOOCT24!$A$6:$AU$38,19,0)</f>
        <v>0</v>
      </c>
      <c r="W9" s="36">
        <f>VLOOKUP($A9,[24]HISTOOCT24!$A$6:$AU$38,20,0)</f>
        <v>0</v>
      </c>
      <c r="X9" s="36">
        <f>VLOOKUP($A9,[24]HISTOOCT24!$A$6:$AU$38,27,0)</f>
        <v>0</v>
      </c>
      <c r="Y9" s="36">
        <f>VLOOKUP($A9,[24]HISTOOCT24!$A$6:$BM$38,33,0)</f>
        <v>0</v>
      </c>
      <c r="Z9" s="36">
        <f>VLOOKUP($A9,[24]HISTOOCT24!$A$6:$BM$38,65,0)</f>
        <v>0</v>
      </c>
      <c r="AA9" s="36"/>
      <c r="AB9" s="36">
        <f>VLOOKUP($A9,[24]HISTOOCT24!$A$6:$AU$38,43,0)</f>
        <v>0</v>
      </c>
      <c r="AC9" s="36">
        <f>VLOOKUP($A9,[24]HISTOOCT24!$A$6:$AU$38,44,0)</f>
        <v>0</v>
      </c>
      <c r="AD9" s="36">
        <f>VLOOKUP($A9,[24]HISTOOCT24!$A$6:$AU$38,47,0)</f>
        <v>0</v>
      </c>
      <c r="AE9" s="36">
        <f>VLOOKUP(A9,[24]HISTOOCT24!$A$6:$BB$38,54,0)</f>
        <v>0</v>
      </c>
      <c r="AF9" s="36">
        <f>VLOOKUP($A9,[24]HISTOOCT24!$A$6:$CA$38,60,0)</f>
        <v>0</v>
      </c>
      <c r="AG9" s="36">
        <f>VLOOKUP($A9,[24]HISTOOCT24!$A$6:$CA$38,61,0)</f>
        <v>0</v>
      </c>
      <c r="AH9" s="36">
        <f>VLOOKUP($A9,[24]HISTOOCT24!$A$6:$CA$38,62,0)</f>
        <v>0</v>
      </c>
      <c r="AI9" s="36">
        <f>VLOOKUP($A9,[24]HISTOOCT24!$A$6:$CA$38,63,0)</f>
        <v>0</v>
      </c>
      <c r="AJ9" s="36">
        <f>VLOOKUP($A9,[24]HISTOOCT24!$A$6:$CA$38,64,0)</f>
        <v>0</v>
      </c>
      <c r="AK9" s="36">
        <f>VLOOKUP($A9,[24]HISTOOCT24!$A$6:$CA$38,65,0)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VLOOKUP($A10,[24]HISTOOCT24!$A$6:$BA$38,48,0)</f>
        <v>0</v>
      </c>
      <c r="F10" s="36">
        <f>MVTSEPT24!I10-E10+L10</f>
        <v>931805.20622596238</v>
      </c>
      <c r="G10" s="5">
        <f>IF(MVTSEPT24!I10+L10&gt;700000,(MVTSEPT24!I10-E10+L10),0)</f>
        <v>931805.20622596238</v>
      </c>
      <c r="H10" s="36">
        <f t="shared" si="0"/>
        <v>0</v>
      </c>
      <c r="I10" s="6">
        <f t="shared" si="2"/>
        <v>931805.20622596238</v>
      </c>
      <c r="J10" s="36">
        <f>VLOOKUP($A10,[24]HISTOOCT24!$A$6:$AQ$42,22,0)</f>
        <v>0</v>
      </c>
      <c r="K10" s="36">
        <f>VLOOKUP($A10,[24]HISTOOCT24!$A$6:$AU$38,45,0)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VLOOKUP($A10,[24]HISTOOCT24!$A$6:$AU$38,7,0)</f>
        <v>0</v>
      </c>
      <c r="Q10" s="36">
        <f>VLOOKUP($A10,[24]HISTOOCT24!$A$6:$AU$38,23,0)</f>
        <v>0</v>
      </c>
      <c r="R10" s="36">
        <f>VLOOKUP($A10,[24]HISTOOCT24!$A$6:$AU$38,46,0)</f>
        <v>0</v>
      </c>
      <c r="S10" s="36">
        <f>VLOOKUP($A10,[24]HISTOOCT24!$A$6:$AU$38,26,0)</f>
        <v>0</v>
      </c>
      <c r="T10" s="36">
        <f>VLOOKUP($A10,[24]HISTOOCT24!$A$6:$BG$38,58,0)</f>
        <v>0</v>
      </c>
      <c r="U10" s="36">
        <f>VLOOKUP($A10,[24]HISTOOCT24!$A$6:$AU$38,28,0)</f>
        <v>0</v>
      </c>
      <c r="V10" s="36">
        <f>VLOOKUP($A10,[24]HISTOOCT24!$A$6:$AU$38,19,0)</f>
        <v>0</v>
      </c>
      <c r="W10" s="36">
        <f>VLOOKUP($A10,[24]HISTOOCT24!$A$6:$AU$38,20,0)</f>
        <v>0</v>
      </c>
      <c r="X10" s="36">
        <f>VLOOKUP($A10,[24]HISTOOCT24!$A$6:$AU$38,27,0)</f>
        <v>0</v>
      </c>
      <c r="Y10" s="36">
        <f>VLOOKUP($A10,[24]HISTOOCT24!$A$6:$BM$38,33,0)</f>
        <v>0</v>
      </c>
      <c r="Z10" s="36">
        <f>VLOOKUP($A10,[24]HISTOOCT24!$A$6:$BM$38,65,0)</f>
        <v>0</v>
      </c>
      <c r="AA10" s="36"/>
      <c r="AB10" s="36">
        <f>VLOOKUP($A10,[24]HISTOOCT24!$A$6:$AU$38,43,0)</f>
        <v>0</v>
      </c>
      <c r="AC10" s="36">
        <f>VLOOKUP($A10,[24]HISTOOCT24!$A$6:$AU$38,44,0)</f>
        <v>0</v>
      </c>
      <c r="AD10" s="36">
        <f>VLOOKUP($A10,[24]HISTOOCT24!$A$6:$AU$38,47,0)</f>
        <v>0</v>
      </c>
      <c r="AE10" s="36">
        <f>VLOOKUP(A10,[24]HISTOOCT24!$A$6:$BB$38,54,0)</f>
        <v>0</v>
      </c>
      <c r="AF10" s="36">
        <f>VLOOKUP($A10,[24]HISTOOCT24!$A$6:$CA$38,60,0)</f>
        <v>0</v>
      </c>
      <c r="AG10" s="36">
        <f>VLOOKUP($A10,[24]HISTOOCT24!$A$6:$CA$38,61,0)</f>
        <v>0</v>
      </c>
      <c r="AH10" s="36">
        <f>VLOOKUP($A10,[24]HISTOOCT24!$A$6:$CA$38,62,0)</f>
        <v>0</v>
      </c>
      <c r="AI10" s="36">
        <f>VLOOKUP($A10,[24]HISTOOCT24!$A$6:$CA$38,63,0)</f>
        <v>0</v>
      </c>
      <c r="AJ10" s="36">
        <f>VLOOKUP($A10,[24]HISTOOCT24!$A$6:$CA$38,64,0)</f>
        <v>0</v>
      </c>
      <c r="AK10" s="36">
        <f>VLOOKUP($A10,[24]HISTOOCT24!$A$6:$CA$38,65,0)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VLOOKUP($A11,[24]HISTOOCT24!$A$6:$BA$38,48,0)</f>
        <v>0</v>
      </c>
      <c r="F11" s="36">
        <f>MVTSEPT24!I11-E11+L11</f>
        <v>949855.82895949238</v>
      </c>
      <c r="G11" s="5">
        <f>IF(MVTSEPT24!I11+L11&gt;700000,(MVTSEPT24!I11-E11+L11),0)</f>
        <v>949855.82895949238</v>
      </c>
      <c r="H11" s="36">
        <f t="shared" si="0"/>
        <v>0</v>
      </c>
      <c r="I11" s="6">
        <f t="shared" si="2"/>
        <v>949855.82895949238</v>
      </c>
      <c r="J11" s="36">
        <f>VLOOKUP($A11,[24]HISTOOCT24!$A$6:$AQ$42,22,0)</f>
        <v>0</v>
      </c>
      <c r="K11" s="36">
        <f>VLOOKUP($A11,[24]HISTOOCT24!$A$6:$AU$38,45,0)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VLOOKUP($A11,[24]HISTOOCT24!$A$6:$AU$38,7,0)</f>
        <v>0</v>
      </c>
      <c r="Q11" s="36">
        <f>VLOOKUP($A11,[24]HISTOOCT24!$A$6:$AU$38,23,0)</f>
        <v>0</v>
      </c>
      <c r="R11" s="36">
        <f>VLOOKUP($A11,[24]HISTOOCT24!$A$6:$AU$38,46,0)</f>
        <v>0</v>
      </c>
      <c r="S11" s="36">
        <f>VLOOKUP($A11,[24]HISTOOCT24!$A$6:$AU$38,26,0)</f>
        <v>0</v>
      </c>
      <c r="T11" s="36">
        <f>VLOOKUP($A11,[24]HISTOOCT24!$A$6:$BG$38,58,0)</f>
        <v>0</v>
      </c>
      <c r="U11" s="36">
        <f>VLOOKUP($A11,[24]HISTOOCT24!$A$6:$AU$38,28,0)</f>
        <v>0</v>
      </c>
      <c r="V11" s="36">
        <f>VLOOKUP($A11,[24]HISTOOCT24!$A$6:$AU$38,19,0)</f>
        <v>0</v>
      </c>
      <c r="W11" s="36">
        <f>VLOOKUP($A11,[24]HISTOOCT24!$A$6:$AU$38,20,0)</f>
        <v>0</v>
      </c>
      <c r="X11" s="36">
        <f>VLOOKUP($A11,[24]HISTOOCT24!$A$6:$AU$38,27,0)</f>
        <v>0</v>
      </c>
      <c r="Y11" s="36">
        <f>VLOOKUP($A11,[24]HISTOOCT24!$A$6:$BM$38,33,0)</f>
        <v>0</v>
      </c>
      <c r="Z11" s="36">
        <f>VLOOKUP($A11,[24]HISTOOCT24!$A$6:$BM$38,65,0)</f>
        <v>0</v>
      </c>
      <c r="AA11" s="36"/>
      <c r="AB11" s="36">
        <f>VLOOKUP($A11,[24]HISTOOCT24!$A$6:$AU$38,43,0)</f>
        <v>0</v>
      </c>
      <c r="AC11" s="36">
        <f>VLOOKUP($A11,[24]HISTOOCT24!$A$6:$AU$38,44,0)</f>
        <v>0</v>
      </c>
      <c r="AD11" s="36">
        <f>VLOOKUP($A11,[24]HISTOOCT24!$A$6:$AU$38,47,0)</f>
        <v>0</v>
      </c>
      <c r="AE11" s="36">
        <f>VLOOKUP(A11,[24]HISTOOCT24!$A$6:$BB$38,54,0)</f>
        <v>0</v>
      </c>
      <c r="AF11" s="36">
        <f>VLOOKUP($A11,[24]HISTOOCT24!$A$6:$CA$38,60,0)</f>
        <v>0</v>
      </c>
      <c r="AG11" s="36">
        <f>VLOOKUP($A11,[24]HISTOOCT24!$A$6:$CA$38,61,0)</f>
        <v>0</v>
      </c>
      <c r="AH11" s="36">
        <f>VLOOKUP($A11,[24]HISTOOCT24!$A$6:$CA$38,62,0)</f>
        <v>0</v>
      </c>
      <c r="AI11" s="36">
        <f>VLOOKUP($A11,[24]HISTOOCT24!$A$6:$CA$38,63,0)</f>
        <v>0</v>
      </c>
      <c r="AJ11" s="36">
        <f>VLOOKUP($A11,[24]HISTOOCT24!$A$6:$CA$38,64,0)</f>
        <v>0</v>
      </c>
      <c r="AK11" s="36">
        <f>VLOOKUP($A11,[24]HISTOOCT24!$A$6:$CA$38,65,0)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VLOOKUP($A12,[24]HISTOOCT24!$A$6:$BA$38,48,0)</f>
        <v>0</v>
      </c>
      <c r="F12" s="36">
        <f>MVTSEPT24!I12-E12+L12</f>
        <v>973100.14741339569</v>
      </c>
      <c r="G12" s="5">
        <f>IF(MVTSEPT24!I12+L12&gt;700000,(MVTSEPT24!I12-E12+L12),0)</f>
        <v>973100.14741339569</v>
      </c>
      <c r="H12" s="36">
        <f t="shared" si="0"/>
        <v>0</v>
      </c>
      <c r="I12" s="6">
        <f t="shared" si="2"/>
        <v>973100.14741339569</v>
      </c>
      <c r="J12" s="36">
        <f>VLOOKUP($A12,[24]HISTOOCT24!$A$6:$AQ$42,22,0)</f>
        <v>0</v>
      </c>
      <c r="K12" s="36">
        <f>VLOOKUP($A12,[24]HISTOOCT24!$A$6:$AU$38,45,0)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VLOOKUP($A12,[24]HISTOOCT24!$A$6:$AU$38,7,0)</f>
        <v>0</v>
      </c>
      <c r="Q12" s="36">
        <f>VLOOKUP($A12,[24]HISTOOCT24!$A$6:$AU$38,23,0)</f>
        <v>0</v>
      </c>
      <c r="R12" s="36">
        <f>VLOOKUP($A12,[24]HISTOOCT24!$A$6:$AU$38,46,0)</f>
        <v>0</v>
      </c>
      <c r="S12" s="36">
        <f>VLOOKUP($A12,[24]HISTOOCT24!$A$6:$AU$38,26,0)</f>
        <v>0</v>
      </c>
      <c r="T12" s="36">
        <f>VLOOKUP($A12,[24]HISTOOCT24!$A$6:$BG$38,58,0)</f>
        <v>0</v>
      </c>
      <c r="U12" s="36">
        <f>VLOOKUP($A12,[24]HISTOOCT24!$A$6:$AU$38,28,0)</f>
        <v>0</v>
      </c>
      <c r="V12" s="36">
        <f>VLOOKUP($A12,[24]HISTOOCT24!$A$6:$AU$38,19,0)</f>
        <v>0</v>
      </c>
      <c r="W12" s="36">
        <f>VLOOKUP($A12,[24]HISTOOCT24!$A$6:$AU$38,20,0)</f>
        <v>0</v>
      </c>
      <c r="X12" s="36">
        <f>VLOOKUP($A12,[24]HISTOOCT24!$A$6:$AU$38,27,0)</f>
        <v>0</v>
      </c>
      <c r="Y12" s="36">
        <f>VLOOKUP($A12,[24]HISTOOCT24!$A$6:$BM$38,33,0)</f>
        <v>0</v>
      </c>
      <c r="Z12" s="36">
        <f>VLOOKUP($A12,[24]HISTOOCT24!$A$6:$BM$38,65,0)</f>
        <v>0</v>
      </c>
      <c r="AA12" s="36"/>
      <c r="AB12" s="36">
        <f>VLOOKUP($A12,[24]HISTOOCT24!$A$6:$AU$38,43,0)</f>
        <v>0</v>
      </c>
      <c r="AC12" s="36">
        <f>VLOOKUP($A12,[24]HISTOOCT24!$A$6:$AU$38,44,0)</f>
        <v>0</v>
      </c>
      <c r="AD12" s="36">
        <f>VLOOKUP($A12,[24]HISTOOCT24!$A$6:$AU$38,47,0)</f>
        <v>0</v>
      </c>
      <c r="AE12" s="36">
        <f>VLOOKUP(A12,[24]HISTOOCT24!$A$6:$BB$38,54,0)</f>
        <v>0</v>
      </c>
      <c r="AF12" s="36">
        <f>VLOOKUP($A12,[24]HISTOOCT24!$A$6:$CA$38,60,0)</f>
        <v>0</v>
      </c>
      <c r="AG12" s="36">
        <f>VLOOKUP($A12,[24]HISTOOCT24!$A$6:$CA$38,61,0)</f>
        <v>0</v>
      </c>
      <c r="AH12" s="36">
        <f>VLOOKUP($A12,[24]HISTOOCT24!$A$6:$CA$38,62,0)</f>
        <v>0</v>
      </c>
      <c r="AI12" s="36">
        <f>VLOOKUP($A12,[24]HISTOOCT24!$A$6:$CA$38,63,0)</f>
        <v>0</v>
      </c>
      <c r="AJ12" s="36">
        <f>VLOOKUP($A12,[24]HISTOOCT24!$A$6:$CA$38,64,0)</f>
        <v>0</v>
      </c>
      <c r="AK12" s="36">
        <f>VLOOKUP($A12,[24]HISTOOCT24!$A$6:$CA$38,65,0)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VLOOKUP($A13,[24]HISTOOCT24!$A$6:$BA$38,48,0)</f>
        <v>0</v>
      </c>
      <c r="F13" s="36">
        <f>MVTSEPT24!I13-E13+L13</f>
        <v>937555.14612214814</v>
      </c>
      <c r="G13" s="5">
        <f>IF(MVTSEPT24!I13+L13&gt;700000,(MVTSEPT24!I13-E13+L13),0)</f>
        <v>937555.14612214814</v>
      </c>
      <c r="H13" s="36">
        <f t="shared" si="0"/>
        <v>0</v>
      </c>
      <c r="I13" s="6">
        <f t="shared" si="2"/>
        <v>937555.14612214814</v>
      </c>
      <c r="J13" s="36">
        <f>VLOOKUP($A13,[24]HISTOOCT24!$A$6:$AQ$42,22,0)</f>
        <v>0</v>
      </c>
      <c r="K13" s="36">
        <f>VLOOKUP($A13,[24]HISTOOCT24!$A$6:$AU$38,45,0)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VLOOKUP($A13,[24]HISTOOCT24!$A$6:$AU$38,7,0)</f>
        <v>0</v>
      </c>
      <c r="Q13" s="36">
        <f>VLOOKUP($A13,[24]HISTOOCT24!$A$6:$AU$38,23,0)</f>
        <v>0</v>
      </c>
      <c r="R13" s="36">
        <f>VLOOKUP($A13,[24]HISTOOCT24!$A$6:$AU$38,46,0)</f>
        <v>0</v>
      </c>
      <c r="S13" s="36">
        <f>VLOOKUP($A13,[24]HISTOOCT24!$A$6:$AU$38,26,0)</f>
        <v>0</v>
      </c>
      <c r="T13" s="36">
        <f>VLOOKUP($A13,[24]HISTOOCT24!$A$6:$BG$38,58,0)</f>
        <v>0</v>
      </c>
      <c r="U13" s="36">
        <f>VLOOKUP($A13,[24]HISTOOCT24!$A$6:$AU$38,28,0)</f>
        <v>0</v>
      </c>
      <c r="V13" s="36">
        <f>VLOOKUP($A13,[24]HISTOOCT24!$A$6:$AU$38,19,0)</f>
        <v>0</v>
      </c>
      <c r="W13" s="36">
        <f>VLOOKUP($A13,[24]HISTOOCT24!$A$6:$AU$38,20,0)</f>
        <v>0</v>
      </c>
      <c r="X13" s="36">
        <f>VLOOKUP($A13,[24]HISTOOCT24!$A$6:$AU$38,27,0)</f>
        <v>0</v>
      </c>
      <c r="Y13" s="36">
        <f>VLOOKUP($A13,[24]HISTOOCT24!$A$6:$BM$38,33,0)</f>
        <v>0</v>
      </c>
      <c r="Z13" s="36">
        <f>VLOOKUP($A13,[24]HISTOOCT24!$A$6:$BM$38,65,0)</f>
        <v>0</v>
      </c>
      <c r="AA13" s="36"/>
      <c r="AB13" s="36">
        <f>VLOOKUP($A13,[24]HISTOOCT24!$A$6:$AU$38,43,0)</f>
        <v>0</v>
      </c>
      <c r="AC13" s="36">
        <f>VLOOKUP($A13,[24]HISTOOCT24!$A$6:$AU$38,44,0)</f>
        <v>0</v>
      </c>
      <c r="AD13" s="36">
        <f>VLOOKUP($A13,[24]HISTOOCT24!$A$6:$AU$38,47,0)</f>
        <v>0</v>
      </c>
      <c r="AE13" s="36">
        <f>VLOOKUP(A13,[24]HISTOOCT24!$A$6:$BB$38,54,0)</f>
        <v>0</v>
      </c>
      <c r="AF13" s="36">
        <f>VLOOKUP($A13,[24]HISTOOCT24!$A$6:$CA$38,60,0)</f>
        <v>0</v>
      </c>
      <c r="AG13" s="36">
        <f>VLOOKUP($A13,[24]HISTOOCT24!$A$6:$CA$38,61,0)</f>
        <v>0</v>
      </c>
      <c r="AH13" s="36">
        <f>VLOOKUP($A13,[24]HISTOOCT24!$A$6:$CA$38,62,0)</f>
        <v>0</v>
      </c>
      <c r="AI13" s="36">
        <f>VLOOKUP($A13,[24]HISTOOCT24!$A$6:$CA$38,63,0)</f>
        <v>0</v>
      </c>
      <c r="AJ13" s="36">
        <f>VLOOKUP($A13,[24]HISTOOCT24!$A$6:$CA$38,64,0)</f>
        <v>0</v>
      </c>
      <c r="AK13" s="36">
        <f>VLOOKUP($A13,[24]HISTOOCT24!$A$6:$CA$38,65,0)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VLOOKUP($A14,[24]HISTOOCT24!$A$6:$BA$38,48,0)</f>
        <v>0</v>
      </c>
      <c r="F14" s="36">
        <f>MVTSEPT24!I14-E14+L14</f>
        <v>1490425.9823482623</v>
      </c>
      <c r="G14" s="5">
        <f>IF(MVTSEPT24!I14+L14&gt;700000,(MVTSEPT24!I14-E14+L14),0)</f>
        <v>1490425.9823482623</v>
      </c>
      <c r="H14" s="36">
        <f t="shared" si="0"/>
        <v>0</v>
      </c>
      <c r="I14" s="6">
        <f t="shared" si="2"/>
        <v>1490425.9823482623</v>
      </c>
      <c r="J14" s="36">
        <f>VLOOKUP($A14,[24]HISTOOCT24!$A$6:$AQ$42,22,0)</f>
        <v>0</v>
      </c>
      <c r="K14" s="36">
        <f>VLOOKUP($A14,[24]HISTOOCT24!$A$6:$AU$38,45,0)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VLOOKUP($A14,[24]HISTOOCT24!$A$6:$AU$38,7,0)</f>
        <v>0</v>
      </c>
      <c r="Q14" s="36">
        <f>VLOOKUP($A14,[24]HISTOOCT24!$A$6:$AU$38,23,0)</f>
        <v>0</v>
      </c>
      <c r="R14" s="36">
        <f>VLOOKUP($A14,[24]HISTOOCT24!$A$6:$AU$38,46,0)</f>
        <v>0</v>
      </c>
      <c r="S14" s="36">
        <f>VLOOKUP($A14,[24]HISTOOCT24!$A$6:$AU$38,26,0)</f>
        <v>0</v>
      </c>
      <c r="T14" s="36">
        <f>VLOOKUP($A14,[24]HISTOOCT24!$A$6:$BG$38,58,0)</f>
        <v>0</v>
      </c>
      <c r="U14" s="36">
        <f>VLOOKUP($A14,[24]HISTOOCT24!$A$6:$AU$38,28,0)</f>
        <v>0</v>
      </c>
      <c r="V14" s="36">
        <f>VLOOKUP($A14,[24]HISTOOCT24!$A$6:$AU$38,19,0)</f>
        <v>0</v>
      </c>
      <c r="W14" s="36">
        <f>VLOOKUP($A14,[24]HISTOOCT24!$A$6:$AU$38,20,0)</f>
        <v>0</v>
      </c>
      <c r="X14" s="36">
        <f>VLOOKUP($A14,[24]HISTOOCT24!$A$6:$AU$38,27,0)</f>
        <v>0</v>
      </c>
      <c r="Y14" s="36">
        <f>VLOOKUP($A14,[24]HISTOOCT24!$A$6:$BM$38,33,0)</f>
        <v>0</v>
      </c>
      <c r="Z14" s="36">
        <f>VLOOKUP($A14,[24]HISTOOCT24!$A$6:$BM$38,65,0)</f>
        <v>0</v>
      </c>
      <c r="AA14" s="36"/>
      <c r="AB14" s="36">
        <f>VLOOKUP($A14,[24]HISTOOCT24!$A$6:$AU$38,43,0)</f>
        <v>0</v>
      </c>
      <c r="AC14" s="36">
        <f>VLOOKUP($A14,[24]HISTOOCT24!$A$6:$AU$38,44,0)</f>
        <v>0</v>
      </c>
      <c r="AD14" s="36">
        <f>VLOOKUP($A14,[24]HISTOOCT24!$A$6:$AU$38,47,0)</f>
        <v>0</v>
      </c>
      <c r="AE14" s="36">
        <f>VLOOKUP(A14,[24]HISTOOCT24!$A$6:$BB$38,54,0)</f>
        <v>0</v>
      </c>
      <c r="AF14" s="36">
        <f>VLOOKUP($A14,[24]HISTOOCT24!$A$6:$CA$38,60,0)</f>
        <v>0</v>
      </c>
      <c r="AG14" s="36">
        <f>VLOOKUP($A14,[24]HISTOOCT24!$A$6:$CA$38,61,0)</f>
        <v>0</v>
      </c>
      <c r="AH14" s="36">
        <f>VLOOKUP($A14,[24]HISTOOCT24!$A$6:$CA$38,62,0)</f>
        <v>0</v>
      </c>
      <c r="AI14" s="36">
        <f>VLOOKUP($A14,[24]HISTOOCT24!$A$6:$CA$38,63,0)</f>
        <v>0</v>
      </c>
      <c r="AJ14" s="36">
        <f>VLOOKUP($A14,[24]HISTOOCT24!$A$6:$CA$38,64,0)</f>
        <v>0</v>
      </c>
      <c r="AK14" s="36">
        <f>VLOOKUP($A14,[24]HISTOOCT24!$A$6:$CA$38,65,0)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VLOOKUP($A15,[24]HISTOOCT24!$A$6:$BA$38,48,0)</f>
        <v>0</v>
      </c>
      <c r="F15" s="36">
        <f>MVTSEPT24!I15-E15+L15</f>
        <v>999309.62153810938</v>
      </c>
      <c r="G15" s="5">
        <f>IF(MVTSEPT24!I15+L15&gt;700000,(MVTSEPT24!I15-E15+L15),0)</f>
        <v>999309.62153810938</v>
      </c>
      <c r="H15" s="36">
        <f t="shared" si="0"/>
        <v>0</v>
      </c>
      <c r="I15" s="6">
        <f t="shared" si="2"/>
        <v>999309.62153810938</v>
      </c>
      <c r="J15" s="36">
        <f>VLOOKUP($A15,[24]HISTOOCT24!$A$6:$AQ$42,22,0)</f>
        <v>0</v>
      </c>
      <c r="K15" s="36">
        <f>VLOOKUP($A15,[24]HISTOOCT24!$A$6:$AU$38,45,0)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VLOOKUP($A15,[24]HISTOOCT24!$A$6:$AU$38,7,0)</f>
        <v>0</v>
      </c>
      <c r="Q15" s="36">
        <f>VLOOKUP($A15,[24]HISTOOCT24!$A$6:$AU$38,23,0)</f>
        <v>0</v>
      </c>
      <c r="R15" s="36">
        <f>VLOOKUP($A15,[24]HISTOOCT24!$A$6:$AU$38,46,0)</f>
        <v>0</v>
      </c>
      <c r="S15" s="36">
        <f>VLOOKUP($A15,[24]HISTOOCT24!$A$6:$AU$38,26,0)</f>
        <v>0</v>
      </c>
      <c r="T15" s="36">
        <f>VLOOKUP($A15,[24]HISTOOCT24!$A$6:$BG$38,58,0)</f>
        <v>0</v>
      </c>
      <c r="U15" s="36">
        <f>VLOOKUP($A15,[24]HISTOOCT24!$A$6:$AU$38,28,0)</f>
        <v>0</v>
      </c>
      <c r="V15" s="36">
        <f>VLOOKUP($A15,[24]HISTOOCT24!$A$6:$AU$38,19,0)</f>
        <v>0</v>
      </c>
      <c r="W15" s="36">
        <f>VLOOKUP($A15,[24]HISTOOCT24!$A$6:$AU$38,20,0)</f>
        <v>0</v>
      </c>
      <c r="X15" s="36">
        <f>VLOOKUP($A15,[24]HISTOOCT24!$A$6:$AU$38,27,0)</f>
        <v>0</v>
      </c>
      <c r="Y15" s="36">
        <f>VLOOKUP($A15,[24]HISTOOCT24!$A$6:$BM$38,33,0)</f>
        <v>0</v>
      </c>
      <c r="Z15" s="36">
        <f>VLOOKUP($A15,[24]HISTOOCT24!$A$6:$BM$38,65,0)</f>
        <v>0</v>
      </c>
      <c r="AA15" s="36"/>
      <c r="AB15" s="36">
        <f>VLOOKUP($A15,[24]HISTOOCT24!$A$6:$AU$38,43,0)</f>
        <v>0</v>
      </c>
      <c r="AC15" s="36">
        <f>VLOOKUP($A15,[24]HISTOOCT24!$A$6:$AU$38,44,0)</f>
        <v>0</v>
      </c>
      <c r="AD15" s="36">
        <f>VLOOKUP($A15,[24]HISTOOCT24!$A$6:$AU$38,47,0)</f>
        <v>0</v>
      </c>
      <c r="AE15" s="36">
        <f>VLOOKUP(A15,[24]HISTOOCT24!$A$6:$BB$38,54,0)</f>
        <v>0</v>
      </c>
      <c r="AF15" s="36">
        <f>VLOOKUP($A15,[24]HISTOOCT24!$A$6:$CA$38,60,0)</f>
        <v>0</v>
      </c>
      <c r="AG15" s="36">
        <f>VLOOKUP($A15,[24]HISTOOCT24!$A$6:$CA$38,61,0)</f>
        <v>0</v>
      </c>
      <c r="AH15" s="36">
        <f>VLOOKUP($A15,[24]HISTOOCT24!$A$6:$CA$38,62,0)</f>
        <v>0</v>
      </c>
      <c r="AI15" s="36">
        <f>VLOOKUP($A15,[24]HISTOOCT24!$A$6:$CA$38,63,0)</f>
        <v>0</v>
      </c>
      <c r="AJ15" s="36">
        <f>VLOOKUP($A15,[24]HISTOOCT24!$A$6:$CA$38,64,0)</f>
        <v>0</v>
      </c>
      <c r="AK15" s="36">
        <f>VLOOKUP($A15,[24]HISTOOCT24!$A$6:$CA$38,65,0)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VLOOKUP($A16,[24]HISTOOCT24!$A$6:$BA$38,48,0)</f>
        <v>0</v>
      </c>
      <c r="F16" s="36">
        <f>MVTSEPT24!I16-E16+L16</f>
        <v>1109858.7065070483</v>
      </c>
      <c r="G16" s="5">
        <f>IF(MVTSEPT24!I16+L16&gt;700000,(MVTSEPT24!I16-E16+L16),0)</f>
        <v>1109858.7065070483</v>
      </c>
      <c r="H16" s="36">
        <f t="shared" si="0"/>
        <v>0</v>
      </c>
      <c r="I16" s="6">
        <f t="shared" si="2"/>
        <v>1109858.7065070483</v>
      </c>
      <c r="J16" s="36">
        <f>VLOOKUP($A16,[24]HISTOOCT24!$A$6:$AQ$42,22,0)</f>
        <v>0</v>
      </c>
      <c r="K16" s="36">
        <f>VLOOKUP($A16,[24]HISTOOCT24!$A$6:$AU$38,45,0)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VLOOKUP($A16,[24]HISTOOCT24!$A$6:$AU$38,7,0)</f>
        <v>0</v>
      </c>
      <c r="Q16" s="36">
        <f>VLOOKUP($A16,[24]HISTOOCT24!$A$6:$AU$38,23,0)</f>
        <v>0</v>
      </c>
      <c r="R16" s="36">
        <f>VLOOKUP($A16,[24]HISTOOCT24!$A$6:$AU$38,46,0)</f>
        <v>0</v>
      </c>
      <c r="S16" s="36">
        <f>VLOOKUP($A16,[24]HISTOOCT24!$A$6:$AU$38,26,0)</f>
        <v>0</v>
      </c>
      <c r="T16" s="36">
        <f>VLOOKUP($A16,[24]HISTOOCT24!$A$6:$BG$38,58,0)</f>
        <v>0</v>
      </c>
      <c r="U16" s="36">
        <f>VLOOKUP($A16,[24]HISTOOCT24!$A$6:$AU$38,28,0)</f>
        <v>0</v>
      </c>
      <c r="V16" s="36">
        <f>VLOOKUP($A16,[24]HISTOOCT24!$A$6:$AU$38,19,0)</f>
        <v>0</v>
      </c>
      <c r="W16" s="36">
        <f>VLOOKUP($A16,[24]HISTOOCT24!$A$6:$AU$38,20,0)</f>
        <v>0</v>
      </c>
      <c r="X16" s="36">
        <f>VLOOKUP($A16,[24]HISTOOCT24!$A$6:$AU$38,27,0)</f>
        <v>0</v>
      </c>
      <c r="Y16" s="36">
        <f>VLOOKUP($A16,[24]HISTOOCT24!$A$6:$BM$38,33,0)</f>
        <v>0</v>
      </c>
      <c r="Z16" s="36">
        <f>VLOOKUP($A16,[24]HISTOOCT24!$A$6:$BM$38,65,0)</f>
        <v>0</v>
      </c>
      <c r="AA16" s="36"/>
      <c r="AB16" s="36">
        <f>VLOOKUP($A16,[24]HISTOOCT24!$A$6:$AU$38,43,0)</f>
        <v>0</v>
      </c>
      <c r="AC16" s="36">
        <f>VLOOKUP($A16,[24]HISTOOCT24!$A$6:$AU$38,44,0)</f>
        <v>0</v>
      </c>
      <c r="AD16" s="36">
        <f>VLOOKUP($A16,[24]HISTOOCT24!$A$6:$AU$38,47,0)</f>
        <v>0</v>
      </c>
      <c r="AE16" s="36">
        <f>VLOOKUP(A16,[24]HISTOOCT24!$A$6:$BB$38,54,0)</f>
        <v>0</v>
      </c>
      <c r="AF16" s="36">
        <f>VLOOKUP($A16,[24]HISTOOCT24!$A$6:$CA$38,60,0)</f>
        <v>0</v>
      </c>
      <c r="AG16" s="36">
        <f>VLOOKUP($A16,[24]HISTOOCT24!$A$6:$CA$38,61,0)</f>
        <v>0</v>
      </c>
      <c r="AH16" s="36">
        <f>VLOOKUP($A16,[24]HISTOOCT24!$A$6:$CA$38,62,0)</f>
        <v>0</v>
      </c>
      <c r="AI16" s="36">
        <f>VLOOKUP($A16,[24]HISTOOCT24!$A$6:$CA$38,63,0)</f>
        <v>0</v>
      </c>
      <c r="AJ16" s="36">
        <f>VLOOKUP($A16,[24]HISTOOCT24!$A$6:$CA$38,64,0)</f>
        <v>0</v>
      </c>
      <c r="AK16" s="36">
        <f>VLOOKUP($A16,[24]HISTOOCT24!$A$6:$CA$38,65,0)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VLOOKUP($A17,[24]HISTOOCT24!$A$6:$BA$38,48,0)</f>
        <v>0</v>
      </c>
      <c r="F17" s="36">
        <f>MVTSEPT24!I17-E17+L17</f>
        <v>947402.7005255461</v>
      </c>
      <c r="G17" s="5">
        <f>IF(MVTSEPT24!I17+L17&gt;700000,(MVTSEPT24!I17-E17+L17),0)</f>
        <v>947402.7005255461</v>
      </c>
      <c r="H17" s="36">
        <f t="shared" si="0"/>
        <v>0</v>
      </c>
      <c r="I17" s="6">
        <f t="shared" si="2"/>
        <v>947402.7005255461</v>
      </c>
      <c r="J17" s="36">
        <f>VLOOKUP($A17,[24]HISTOOCT24!$A$6:$AQ$42,22,0)</f>
        <v>0</v>
      </c>
      <c r="K17" s="36">
        <f>VLOOKUP($A17,[24]HISTOOCT24!$A$6:$AU$38,45,0)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VLOOKUP($A17,[24]HISTOOCT24!$A$6:$AU$38,7,0)</f>
        <v>0</v>
      </c>
      <c r="Q17" s="36">
        <f>VLOOKUP($A17,[24]HISTOOCT24!$A$6:$AU$38,23,0)</f>
        <v>0</v>
      </c>
      <c r="R17" s="36">
        <f>VLOOKUP($A17,[24]HISTOOCT24!$A$6:$AU$38,46,0)</f>
        <v>0</v>
      </c>
      <c r="S17" s="36">
        <f>VLOOKUP($A17,[24]HISTOOCT24!$A$6:$AU$38,26,0)</f>
        <v>0</v>
      </c>
      <c r="T17" s="36">
        <f>VLOOKUP($A17,[24]HISTOOCT24!$A$6:$BG$38,58,0)</f>
        <v>0</v>
      </c>
      <c r="U17" s="36">
        <f>VLOOKUP($A17,[24]HISTOOCT24!$A$6:$AU$38,28,0)</f>
        <v>0</v>
      </c>
      <c r="V17" s="36">
        <f>VLOOKUP($A17,[24]HISTOOCT24!$A$6:$AU$38,19,0)</f>
        <v>0</v>
      </c>
      <c r="W17" s="36">
        <f>VLOOKUP($A17,[24]HISTOOCT24!$A$6:$AU$38,20,0)</f>
        <v>0</v>
      </c>
      <c r="X17" s="36">
        <f>VLOOKUP($A17,[24]HISTOOCT24!$A$6:$AU$38,27,0)</f>
        <v>0</v>
      </c>
      <c r="Y17" s="36">
        <f>VLOOKUP($A17,[24]HISTOOCT24!$A$6:$BM$38,33,0)</f>
        <v>0</v>
      </c>
      <c r="Z17" s="36">
        <f>VLOOKUP($A17,[24]HISTOOCT24!$A$6:$BM$38,65,0)</f>
        <v>0</v>
      </c>
      <c r="AA17" s="36"/>
      <c r="AB17" s="36">
        <f>VLOOKUP($A17,[24]HISTOOCT24!$A$6:$AU$38,43,0)</f>
        <v>0</v>
      </c>
      <c r="AC17" s="36">
        <f>VLOOKUP($A17,[24]HISTOOCT24!$A$6:$AU$38,44,0)</f>
        <v>0</v>
      </c>
      <c r="AD17" s="36">
        <f>VLOOKUP($A17,[24]HISTOOCT24!$A$6:$AU$38,47,0)</f>
        <v>0</v>
      </c>
      <c r="AE17" s="36">
        <f>VLOOKUP(A17,[24]HISTOOCT24!$A$6:$BB$38,54,0)</f>
        <v>0</v>
      </c>
      <c r="AF17" s="36">
        <f>VLOOKUP($A17,[24]HISTOOCT24!$A$6:$CA$38,60,0)</f>
        <v>0</v>
      </c>
      <c r="AG17" s="36">
        <f>VLOOKUP($A17,[24]HISTOOCT24!$A$6:$CA$38,61,0)</f>
        <v>0</v>
      </c>
      <c r="AH17" s="36">
        <f>VLOOKUP($A17,[24]HISTOOCT24!$A$6:$CA$38,62,0)</f>
        <v>0</v>
      </c>
      <c r="AI17" s="36">
        <f>VLOOKUP($A17,[24]HISTOOCT24!$A$6:$CA$38,63,0)</f>
        <v>0</v>
      </c>
      <c r="AJ17" s="36">
        <f>VLOOKUP($A17,[24]HISTOOCT24!$A$6:$CA$38,64,0)</f>
        <v>0</v>
      </c>
      <c r="AK17" s="36">
        <f>VLOOKUP($A17,[24]HISTOOCT24!$A$6:$CA$38,65,0)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VLOOKUP($A18,[24]HISTOOCT24!$A$6:$BA$38,48,0)</f>
        <v>0</v>
      </c>
      <c r="F18" s="36">
        <f>MVTSEPT24!I18-E18+L18</f>
        <v>993662.76419736946</v>
      </c>
      <c r="G18" s="5">
        <f>IF(MVTSEPT24!I18+L18&gt;700000,(MVTSEPT24!I18-E18+L18),0)</f>
        <v>993662.76419736946</v>
      </c>
      <c r="H18" s="36">
        <f t="shared" si="0"/>
        <v>0</v>
      </c>
      <c r="I18" s="6">
        <f t="shared" si="2"/>
        <v>993662.76419736946</v>
      </c>
      <c r="J18" s="36">
        <f>VLOOKUP($A18,[24]HISTOOCT24!$A$6:$AQ$42,22,0)</f>
        <v>0</v>
      </c>
      <c r="K18" s="36">
        <f>VLOOKUP($A18,[24]HISTOOCT24!$A$6:$AU$38,45,0)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VLOOKUP($A18,[24]HISTOOCT24!$A$6:$AU$38,7,0)</f>
        <v>0</v>
      </c>
      <c r="Q18" s="36">
        <f>VLOOKUP($A18,[24]HISTOOCT24!$A$6:$AU$38,23,0)</f>
        <v>0</v>
      </c>
      <c r="R18" s="36">
        <f>VLOOKUP($A18,[24]HISTOOCT24!$A$6:$AU$38,46,0)</f>
        <v>0</v>
      </c>
      <c r="S18" s="36">
        <f>VLOOKUP($A18,[24]HISTOOCT24!$A$6:$AU$38,26,0)</f>
        <v>0</v>
      </c>
      <c r="T18" s="36">
        <f>VLOOKUP($A18,[24]HISTOOCT24!$A$6:$BG$38,58,0)</f>
        <v>0</v>
      </c>
      <c r="U18" s="36">
        <f>VLOOKUP($A18,[24]HISTOOCT24!$A$6:$AU$38,28,0)</f>
        <v>0</v>
      </c>
      <c r="V18" s="36">
        <f>VLOOKUP($A18,[24]HISTOOCT24!$A$6:$AU$38,19,0)</f>
        <v>0</v>
      </c>
      <c r="W18" s="36">
        <f>VLOOKUP($A18,[24]HISTOOCT24!$A$6:$AU$38,20,0)</f>
        <v>0</v>
      </c>
      <c r="X18" s="36">
        <f>VLOOKUP($A18,[24]HISTOOCT24!$A$6:$AU$38,27,0)</f>
        <v>0</v>
      </c>
      <c r="Y18" s="36">
        <f>VLOOKUP($A18,[24]HISTOOCT24!$A$6:$BM$38,33,0)</f>
        <v>0</v>
      </c>
      <c r="Z18" s="36">
        <f>VLOOKUP($A18,[24]HISTOOCT24!$A$6:$BM$38,65,0)</f>
        <v>0</v>
      </c>
      <c r="AA18" s="36"/>
      <c r="AB18" s="36">
        <f>VLOOKUP($A18,[24]HISTOOCT24!$A$6:$AU$38,43,0)</f>
        <v>0</v>
      </c>
      <c r="AC18" s="36">
        <f>VLOOKUP($A18,[24]HISTOOCT24!$A$6:$AU$38,44,0)</f>
        <v>0</v>
      </c>
      <c r="AD18" s="36">
        <f>VLOOKUP($A18,[24]HISTOOCT24!$A$6:$AU$38,47,0)</f>
        <v>0</v>
      </c>
      <c r="AE18" s="36">
        <f>VLOOKUP(A18,[24]HISTOOCT24!$A$6:$BB$38,54,0)</f>
        <v>0</v>
      </c>
      <c r="AF18" s="36">
        <f>VLOOKUP($A18,[24]HISTOOCT24!$A$6:$CA$38,60,0)</f>
        <v>0</v>
      </c>
      <c r="AG18" s="36">
        <f>VLOOKUP($A18,[24]HISTOOCT24!$A$6:$CA$38,61,0)</f>
        <v>0</v>
      </c>
      <c r="AH18" s="36">
        <f>VLOOKUP($A18,[24]HISTOOCT24!$A$6:$CA$38,62,0)</f>
        <v>0</v>
      </c>
      <c r="AI18" s="36">
        <f>VLOOKUP($A18,[24]HISTOOCT24!$A$6:$CA$38,63,0)</f>
        <v>0</v>
      </c>
      <c r="AJ18" s="36">
        <f>VLOOKUP($A18,[24]HISTOOCT24!$A$6:$CA$38,64,0)</f>
        <v>0</v>
      </c>
      <c r="AK18" s="36">
        <f>VLOOKUP($A18,[24]HISTOOCT24!$A$6:$CA$38,65,0)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MVTSEPT24!I19-E19+L19</f>
        <v>676217.13072703336</v>
      </c>
      <c r="G19" s="5">
        <f>IF(MVTSEPT24!I19+L19&gt;700000,(MVTSEPT24!I19-E19+L19),0)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MVTSEPT24!I20-E20+L20</f>
        <v>190000</v>
      </c>
      <c r="G20" s="5">
        <f>IF(MVTSEPT24!I20+L20&gt;700000,(MVTSEPT24!I20-E20+L20),0)</f>
        <v>0</v>
      </c>
      <c r="H20" s="36">
        <f t="shared" si="0"/>
        <v>0</v>
      </c>
      <c r="I20" s="6">
        <f t="shared" si="2"/>
        <v>190000</v>
      </c>
      <c r="J20" s="36">
        <f>VLOOKUP($A20,[24]HISTOOCT24!$A$6:$AQ$42,22,0)</f>
        <v>0</v>
      </c>
      <c r="K20" s="36">
        <f>VLOOKUP($A20,[24]HISTOOCT24!$A$6:$AU$38,45,0)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VLOOKUP($A20,[24]HISTOOCT24!$A$6:$AU$38,7,0)</f>
        <v>0</v>
      </c>
      <c r="Q20" s="36">
        <f>VLOOKUP($A20,[24]HISTOOCT24!$A$6:$AU$38,23,0)</f>
        <v>0</v>
      </c>
      <c r="R20" s="36">
        <f>VLOOKUP($A20,[24]HISTOOCT24!$A$6:$AU$38,46,0)</f>
        <v>0</v>
      </c>
      <c r="S20" s="36">
        <f>VLOOKUP($A20,[24]HISTOOCT24!$A$6:$AU$38,26,0)</f>
        <v>0</v>
      </c>
      <c r="T20" s="36">
        <f>VLOOKUP($A20,[24]HISTOOCT24!$A$6:$BG$38,58,0)</f>
        <v>0</v>
      </c>
      <c r="U20" s="36">
        <f>VLOOKUP($A20,[24]HISTOOCT24!$A$6:$AU$38,28,0)</f>
        <v>0</v>
      </c>
      <c r="V20" s="36">
        <f>VLOOKUP($A20,[24]HISTOOCT24!$A$6:$AU$38,19,0)</f>
        <v>0</v>
      </c>
      <c r="W20" s="36">
        <f>VLOOKUP($A20,[24]HISTOOCT24!$A$6:$AU$38,20,0)</f>
        <v>0</v>
      </c>
      <c r="X20" s="36">
        <f>VLOOKUP($A20,[24]HISTOOCT24!$A$6:$AU$38,27,0)</f>
        <v>0</v>
      </c>
      <c r="Y20" s="36">
        <f>VLOOKUP($A20,[24]HISTOOCT24!$A$6:$BM$38,33,0)</f>
        <v>0</v>
      </c>
      <c r="Z20" s="36">
        <f>VLOOKUP($A20,[24]HISTOOCT24!$A$6:$BM$38,65,0)</f>
        <v>0</v>
      </c>
      <c r="AA20" s="36"/>
      <c r="AB20" s="36">
        <f>VLOOKUP($A20,[24]HISTOOCT24!$A$6:$AU$38,43,0)</f>
        <v>0</v>
      </c>
      <c r="AC20" s="36">
        <f>VLOOKUP($A20,[24]HISTOOCT24!$A$6:$AU$38,44,0)</f>
        <v>0</v>
      </c>
      <c r="AD20" s="36">
        <f>VLOOKUP($A20,[24]HISTOOCT24!$A$6:$AU$38,47,0)</f>
        <v>0</v>
      </c>
      <c r="AE20" s="36">
        <f>VLOOKUP(A20,[24]HISTOOCT24!$A$6:$BB$38,54,0)</f>
        <v>0</v>
      </c>
      <c r="AF20" s="36">
        <f>VLOOKUP($A20,[24]HISTOOCT24!$A$6:$CA$38,60,0)</f>
        <v>0</v>
      </c>
      <c r="AG20" s="36">
        <f>VLOOKUP($A20,[24]HISTOOCT24!$A$6:$CA$38,61,0)</f>
        <v>0</v>
      </c>
      <c r="AH20" s="36">
        <f>VLOOKUP($A20,[24]HISTOOCT24!$A$6:$CA$38,62,0)</f>
        <v>0</v>
      </c>
      <c r="AI20" s="36">
        <f>VLOOKUP($A20,[24]HISTOOCT24!$A$6:$CA$38,63,0)</f>
        <v>0</v>
      </c>
      <c r="AJ20" s="36">
        <f>VLOOKUP($A20,[24]HISTOOCT24!$A$6:$CA$38,64,0)</f>
        <v>0</v>
      </c>
      <c r="AK20" s="36">
        <f>VLOOKUP($A20,[24]HISTOOCT24!$A$6:$CA$38,65,0)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MVTSEPT24!I21-E21+L21</f>
        <v>970355.80062958295</v>
      </c>
      <c r="G21" s="5">
        <f>IF(MVTSEPT24!I21+L21&gt;700000,(MVTSEPT24!I21-E21+L21),0)</f>
        <v>970355.80062958295</v>
      </c>
      <c r="H21" s="36">
        <f t="shared" si="0"/>
        <v>0</v>
      </c>
      <c r="I21" s="6">
        <f t="shared" si="2"/>
        <v>970355.80062958295</v>
      </c>
      <c r="J21" s="36">
        <f>VLOOKUP($A21,[24]HISTOOCT24!$A$6:$AQ$42,22,0)</f>
        <v>0</v>
      </c>
      <c r="K21" s="36">
        <f>VLOOKUP($A21,[24]HISTOOCT24!$A$6:$AU$38,45,0)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VLOOKUP($A21,[24]HISTOOCT24!$A$6:$AU$38,7,0)</f>
        <v>0</v>
      </c>
      <c r="Q21" s="36">
        <f>VLOOKUP($A21,[24]HISTOOCT24!$A$6:$AU$38,23,0)</f>
        <v>0</v>
      </c>
      <c r="R21" s="36">
        <f>VLOOKUP($A21,[24]HISTOOCT24!$A$6:$AU$38,46,0)</f>
        <v>0</v>
      </c>
      <c r="S21" s="36">
        <f>VLOOKUP($A21,[24]HISTOOCT24!$A$6:$AU$38,26,0)</f>
        <v>0</v>
      </c>
      <c r="T21" s="36">
        <f>VLOOKUP($A21,[24]HISTOOCT24!$A$6:$BG$38,58,0)</f>
        <v>0</v>
      </c>
      <c r="U21" s="36">
        <f>VLOOKUP($A21,[24]HISTOOCT24!$A$6:$AU$38,28,0)</f>
        <v>0</v>
      </c>
      <c r="V21" s="36">
        <f>VLOOKUP($A21,[24]HISTOOCT24!$A$6:$AU$38,19,0)</f>
        <v>0</v>
      </c>
      <c r="W21" s="36">
        <f>VLOOKUP($A21,[24]HISTOOCT24!$A$6:$AU$38,20,0)</f>
        <v>0</v>
      </c>
      <c r="X21" s="36">
        <f>VLOOKUP($A21,[24]HISTOOCT24!$A$6:$AU$38,27,0)</f>
        <v>0</v>
      </c>
      <c r="Y21" s="36">
        <f>VLOOKUP($A21,[24]HISTOOCT24!$A$6:$BM$38,33,0)</f>
        <v>0</v>
      </c>
      <c r="Z21" s="36">
        <f>VLOOKUP($A21,[24]HISTOOCT24!$A$6:$BM$38,65,0)</f>
        <v>0</v>
      </c>
      <c r="AA21" s="36"/>
      <c r="AB21" s="36">
        <f>VLOOKUP($A21,[24]HISTOOCT24!$A$6:$AU$38,43,0)</f>
        <v>0</v>
      </c>
      <c r="AC21" s="36">
        <f>VLOOKUP($A21,[24]HISTOOCT24!$A$6:$AU$38,44,0)</f>
        <v>0</v>
      </c>
      <c r="AD21" s="36">
        <f>VLOOKUP($A21,[24]HISTOOCT24!$A$6:$AU$38,47,0)</f>
        <v>0</v>
      </c>
      <c r="AE21" s="36">
        <f>VLOOKUP(A21,[24]HISTOOCT24!$A$6:$BB$38,54,0)</f>
        <v>0</v>
      </c>
      <c r="AF21" s="36">
        <f>VLOOKUP($A21,[24]HISTOOCT24!$A$6:$CA$38,60,0)</f>
        <v>0</v>
      </c>
      <c r="AG21" s="36">
        <f>VLOOKUP($A21,[24]HISTOOCT24!$A$6:$CA$38,61,0)</f>
        <v>0</v>
      </c>
      <c r="AH21" s="36">
        <f>VLOOKUP($A21,[24]HISTOOCT24!$A$6:$CA$38,62,0)</f>
        <v>0</v>
      </c>
      <c r="AI21" s="36">
        <f>VLOOKUP($A21,[24]HISTOOCT24!$A$6:$CA$38,63,0)</f>
        <v>0</v>
      </c>
      <c r="AJ21" s="36">
        <f>VLOOKUP($A21,[24]HISTOOCT24!$A$6:$CA$38,64,0)</f>
        <v>0</v>
      </c>
      <c r="AK21" s="36">
        <f>VLOOKUP($A21,[24]HISTOOCT24!$A$6:$CA$38,65,0)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MVTSEPT24!I22-E22+L22</f>
        <v>938738.95952735876</v>
      </c>
      <c r="G22" s="5">
        <f>IF(MVTSEPT24!I22+L22&gt;700000,(MVTSEPT24!I22-E22+L22),0)</f>
        <v>938738.95952735876</v>
      </c>
      <c r="H22" s="36">
        <f t="shared" si="0"/>
        <v>0</v>
      </c>
      <c r="I22" s="6">
        <f t="shared" si="2"/>
        <v>938738.95952735876</v>
      </c>
      <c r="J22" s="36">
        <f>VLOOKUP($A22,[24]HISTOOCT24!$A$6:$AQ$42,22,0)</f>
        <v>0</v>
      </c>
      <c r="K22" s="36">
        <f>VLOOKUP($A22,[24]HISTOOCT24!$A$6:$AU$38,45,0)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VLOOKUP($A22,[24]HISTOOCT24!$A$6:$AU$38,7,0)</f>
        <v>0</v>
      </c>
      <c r="Q22" s="36">
        <f>VLOOKUP($A22,[24]HISTOOCT24!$A$6:$AU$38,23,0)</f>
        <v>0</v>
      </c>
      <c r="R22" s="36">
        <f>VLOOKUP($A22,[24]HISTOOCT24!$A$6:$AU$38,46,0)</f>
        <v>0</v>
      </c>
      <c r="S22" s="36">
        <f>VLOOKUP($A22,[24]HISTOOCT24!$A$6:$AU$38,26,0)</f>
        <v>0</v>
      </c>
      <c r="T22" s="36">
        <f>VLOOKUP($A22,[24]HISTOOCT24!$A$6:$BG$38,58,0)</f>
        <v>0</v>
      </c>
      <c r="U22" s="36">
        <f>VLOOKUP($A22,[24]HISTOOCT24!$A$6:$AU$38,28,0)</f>
        <v>0</v>
      </c>
      <c r="V22" s="36">
        <f>VLOOKUP($A22,[24]HISTOOCT24!$A$6:$AU$38,19,0)</f>
        <v>0</v>
      </c>
      <c r="W22" s="36">
        <f>VLOOKUP($A22,[24]HISTOOCT24!$A$6:$AU$38,20,0)</f>
        <v>0</v>
      </c>
      <c r="X22" s="36">
        <f>VLOOKUP($A22,[24]HISTOOCT24!$A$6:$AU$38,27,0)</f>
        <v>0</v>
      </c>
      <c r="Y22" s="36">
        <f>VLOOKUP($A22,[24]HISTOOCT24!$A$6:$BM$38,33,0)</f>
        <v>0</v>
      </c>
      <c r="Z22" s="36">
        <f>VLOOKUP($A22,[24]HISTOOCT24!$A$6:$BM$38,65,0)</f>
        <v>0</v>
      </c>
      <c r="AA22" s="36"/>
      <c r="AB22" s="36">
        <f>VLOOKUP($A22,[24]HISTOOCT24!$A$6:$AU$38,43,0)</f>
        <v>0</v>
      </c>
      <c r="AC22" s="36">
        <f>VLOOKUP($A22,[24]HISTOOCT24!$A$6:$AU$38,44,0)</f>
        <v>0</v>
      </c>
      <c r="AD22" s="36">
        <f>VLOOKUP($A22,[24]HISTOOCT24!$A$6:$AU$38,47,0)</f>
        <v>0</v>
      </c>
      <c r="AE22" s="36">
        <f>VLOOKUP(A22,[24]HISTOOCT24!$A$6:$BB$38,54,0)</f>
        <v>0</v>
      </c>
      <c r="AF22" s="36">
        <f>VLOOKUP($A22,[24]HISTOOCT24!$A$6:$CA$38,60,0)</f>
        <v>0</v>
      </c>
      <c r="AG22" s="36">
        <f>VLOOKUP($A22,[24]HISTOOCT24!$A$6:$CA$38,61,0)</f>
        <v>0</v>
      </c>
      <c r="AH22" s="36">
        <f>VLOOKUP($A22,[24]HISTOOCT24!$A$6:$CA$38,62,0)</f>
        <v>0</v>
      </c>
      <c r="AI22" s="36">
        <f>VLOOKUP($A22,[24]HISTOOCT24!$A$6:$CA$38,63,0)</f>
        <v>0</v>
      </c>
      <c r="AJ22" s="36">
        <f>VLOOKUP($A22,[24]HISTOOCT24!$A$6:$CA$38,64,0)</f>
        <v>0</v>
      </c>
      <c r="AK22" s="36">
        <f>VLOOKUP($A22,[24]HISTOOCT24!$A$6:$CA$38,65,0)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MVTSEPT24!I23-E23+L23</f>
        <v>1044674.3246731948</v>
      </c>
      <c r="G23" s="5">
        <f>IF(MVTSEPT24!I23+L23&gt;700000,(MVTSEPT24!I23-E23+L23),0)</f>
        <v>1044674.3246731948</v>
      </c>
      <c r="H23" s="36">
        <f t="shared" si="0"/>
        <v>0</v>
      </c>
      <c r="I23" s="6">
        <f t="shared" si="2"/>
        <v>1044674.3246731948</v>
      </c>
      <c r="J23" s="36">
        <f>VLOOKUP($A23,[24]HISTOOCT24!$A$6:$AQ$42,22,0)</f>
        <v>0</v>
      </c>
      <c r="K23" s="36">
        <f>VLOOKUP($A23,[24]HISTOOCT24!$A$6:$AU$38,45,0)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VLOOKUP($A23,[24]HISTOOCT24!$A$6:$AU$38,7,0)</f>
        <v>0</v>
      </c>
      <c r="Q23" s="36">
        <f>VLOOKUP($A23,[24]HISTOOCT24!$A$6:$AU$38,23,0)</f>
        <v>0</v>
      </c>
      <c r="R23" s="36">
        <f>VLOOKUP($A23,[24]HISTOOCT24!$A$6:$AU$38,46,0)</f>
        <v>0</v>
      </c>
      <c r="S23" s="36">
        <f>VLOOKUP($A23,[24]HISTOOCT24!$A$6:$AU$38,26,0)</f>
        <v>0</v>
      </c>
      <c r="T23" s="36">
        <f>VLOOKUP($A23,[24]HISTOOCT24!$A$6:$BG$38,58,0)</f>
        <v>0</v>
      </c>
      <c r="U23" s="36">
        <f>VLOOKUP($A23,[24]HISTOOCT24!$A$6:$AU$38,28,0)</f>
        <v>0</v>
      </c>
      <c r="V23" s="36">
        <f>VLOOKUP($A23,[24]HISTOOCT24!$A$6:$AU$38,19,0)</f>
        <v>0</v>
      </c>
      <c r="W23" s="36">
        <f>VLOOKUP($A23,[24]HISTOOCT24!$A$6:$AU$38,20,0)</f>
        <v>0</v>
      </c>
      <c r="X23" s="36">
        <f>VLOOKUP($A23,[24]HISTOOCT24!$A$6:$AU$38,27,0)</f>
        <v>0</v>
      </c>
      <c r="Y23" s="36">
        <f>VLOOKUP($A23,[24]HISTOOCT24!$A$6:$BM$38,33,0)</f>
        <v>0</v>
      </c>
      <c r="Z23" s="36">
        <f>VLOOKUP($A23,[24]HISTOOCT24!$A$6:$BM$38,65,0)</f>
        <v>0</v>
      </c>
      <c r="AA23" s="36"/>
      <c r="AB23" s="36">
        <f>VLOOKUP($A23,[24]HISTOOCT24!$A$6:$AU$38,43,0)</f>
        <v>0</v>
      </c>
      <c r="AC23" s="36">
        <f>VLOOKUP($A23,[24]HISTOOCT24!$A$6:$AU$38,44,0)</f>
        <v>0</v>
      </c>
      <c r="AD23" s="36">
        <f>VLOOKUP($A23,[24]HISTOOCT24!$A$6:$AU$38,47,0)</f>
        <v>0</v>
      </c>
      <c r="AE23" s="36">
        <f>VLOOKUP(A23,[24]HISTOOCT24!$A$6:$BB$38,54,0)</f>
        <v>0</v>
      </c>
      <c r="AF23" s="36">
        <f>VLOOKUP($A23,[24]HISTOOCT24!$A$6:$CA$38,60,0)</f>
        <v>0</v>
      </c>
      <c r="AG23" s="36">
        <f>VLOOKUP($A23,[24]HISTOOCT24!$A$6:$CA$38,61,0)</f>
        <v>0</v>
      </c>
      <c r="AH23" s="36">
        <f>VLOOKUP($A23,[24]HISTOOCT24!$A$6:$CA$38,62,0)</f>
        <v>0</v>
      </c>
      <c r="AI23" s="36">
        <f>VLOOKUP($A23,[24]HISTOOCT24!$A$6:$CA$38,63,0)</f>
        <v>0</v>
      </c>
      <c r="AJ23" s="36">
        <f>VLOOKUP($A23,[24]HISTOOCT24!$A$6:$CA$38,64,0)</f>
        <v>0</v>
      </c>
      <c r="AK23" s="36">
        <f>VLOOKUP($A23,[24]HISTOOCT24!$A$6:$CA$38,65,0)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MVTSEPT24!I24-E24+L24</f>
        <v>1217827.8441992993</v>
      </c>
      <c r="G24" s="5">
        <f>IF(MVTSEPT24!I24+L24&gt;700000,(MVTSEPT24!I24-E24+L24),0)</f>
        <v>1217827.8441992993</v>
      </c>
      <c r="H24" s="36">
        <f t="shared" si="0"/>
        <v>0</v>
      </c>
      <c r="I24" s="6">
        <f t="shared" si="2"/>
        <v>1217827.8441992993</v>
      </c>
      <c r="J24" s="36">
        <f>VLOOKUP($A24,[24]HISTOOCT24!$A$6:$AQ$42,22,0)</f>
        <v>0</v>
      </c>
      <c r="K24" s="36">
        <f>VLOOKUP($A24,[24]HISTOOCT24!$A$6:$AU$38,45,0)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VLOOKUP($A24,[24]HISTOOCT24!$A$6:$AU$38,7,0)</f>
        <v>0</v>
      </c>
      <c r="Q24" s="36">
        <f>VLOOKUP($A24,[24]HISTOOCT24!$A$6:$AU$38,23,0)</f>
        <v>0</v>
      </c>
      <c r="R24" s="36">
        <f>VLOOKUP($A24,[24]HISTOOCT24!$A$6:$AU$38,46,0)</f>
        <v>0</v>
      </c>
      <c r="S24" s="36">
        <f>VLOOKUP($A24,[24]HISTOOCT24!$A$6:$AU$38,26,0)</f>
        <v>0</v>
      </c>
      <c r="T24" s="36">
        <f>VLOOKUP($A24,[24]HISTOOCT24!$A$6:$BG$38,58,0)</f>
        <v>0</v>
      </c>
      <c r="U24" s="36">
        <f>VLOOKUP($A24,[24]HISTOOCT24!$A$6:$AU$38,28,0)</f>
        <v>0</v>
      </c>
      <c r="V24" s="36">
        <f>VLOOKUP($A24,[24]HISTOOCT24!$A$6:$AU$38,19,0)</f>
        <v>0</v>
      </c>
      <c r="W24" s="36">
        <f>VLOOKUP($A24,[24]HISTOOCT24!$A$6:$AU$38,20,0)</f>
        <v>0</v>
      </c>
      <c r="X24" s="36">
        <f>VLOOKUP($A24,[24]HISTOOCT24!$A$6:$AU$38,27,0)</f>
        <v>0</v>
      </c>
      <c r="Y24" s="36">
        <f>VLOOKUP($A24,[24]HISTOOCT24!$A$6:$BM$38,33,0)</f>
        <v>0</v>
      </c>
      <c r="Z24" s="36">
        <f>VLOOKUP($A24,[24]HISTOOCT24!$A$6:$BM$38,65,0)</f>
        <v>0</v>
      </c>
      <c r="AA24" s="36"/>
      <c r="AB24" s="36">
        <f>VLOOKUP($A24,[24]HISTOOCT24!$A$6:$AU$38,43,0)</f>
        <v>0</v>
      </c>
      <c r="AC24" s="36">
        <f>VLOOKUP($A24,[24]HISTOOCT24!$A$6:$AU$38,44,0)</f>
        <v>0</v>
      </c>
      <c r="AD24" s="36">
        <f>VLOOKUP($A24,[24]HISTOOCT24!$A$6:$AU$38,47,0)</f>
        <v>0</v>
      </c>
      <c r="AE24" s="36">
        <f>VLOOKUP(A24,[24]HISTOOCT24!$A$6:$BB$38,54,0)</f>
        <v>0</v>
      </c>
      <c r="AF24" s="36">
        <f>VLOOKUP($A24,[24]HISTOOCT24!$A$6:$CA$38,60,0)</f>
        <v>0</v>
      </c>
      <c r="AG24" s="36">
        <f>VLOOKUP($A24,[24]HISTOOCT24!$A$6:$CA$38,61,0)</f>
        <v>0</v>
      </c>
      <c r="AH24" s="36">
        <f>VLOOKUP($A24,[24]HISTOOCT24!$A$6:$CA$38,62,0)</f>
        <v>0</v>
      </c>
      <c r="AI24" s="36">
        <f>VLOOKUP($A24,[24]HISTOOCT24!$A$6:$CA$38,63,0)</f>
        <v>0</v>
      </c>
      <c r="AJ24" s="36">
        <f>VLOOKUP($A24,[24]HISTOOCT24!$A$6:$CA$38,64,0)</f>
        <v>0</v>
      </c>
      <c r="AK24" s="36">
        <f>VLOOKUP($A24,[24]HISTOOCT24!$A$6:$CA$38,65,0)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MVTSEPT24!I25-E25+L25</f>
        <v>1029141.7950432157</v>
      </c>
      <c r="G25" s="5">
        <f>IF(MVTSEPT24!I25+L25&gt;700000,(MVTSEPT24!I25-E25+L25),0)</f>
        <v>1029141.7950432157</v>
      </c>
      <c r="H25" s="36">
        <f t="shared" si="0"/>
        <v>0</v>
      </c>
      <c r="I25" s="6">
        <f t="shared" si="2"/>
        <v>1029141.7950432157</v>
      </c>
      <c r="J25" s="36">
        <f>VLOOKUP($A25,[24]HISTOOCT24!$A$6:$AQ$42,22,0)</f>
        <v>0</v>
      </c>
      <c r="K25" s="36">
        <f>VLOOKUP($A25,[24]HISTOOCT24!$A$6:$AU$38,45,0)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VLOOKUP($A25,[24]HISTOOCT24!$A$6:$AU$38,7,0)</f>
        <v>3000</v>
      </c>
      <c r="Q25" s="36">
        <f>VLOOKUP($A25,[24]HISTOOCT24!$A$6:$AU$38,23,0)</f>
        <v>0</v>
      </c>
      <c r="R25" s="36">
        <f>VLOOKUP($A25,[24]HISTOOCT24!$A$6:$AU$38,46,0)</f>
        <v>0</v>
      </c>
      <c r="S25" s="36">
        <f>VLOOKUP($A25,[24]HISTOOCT24!$A$6:$AU$38,26,0)</f>
        <v>0</v>
      </c>
      <c r="T25" s="36">
        <f>VLOOKUP($A25,[24]HISTOOCT24!$A$6:$BG$38,58,0)</f>
        <v>0</v>
      </c>
      <c r="U25" s="36">
        <f>VLOOKUP($A25,[24]HISTOOCT24!$A$6:$AU$38,28,0)</f>
        <v>0</v>
      </c>
      <c r="V25" s="36">
        <f>VLOOKUP($A25,[24]HISTOOCT24!$A$6:$AU$38,19,0)</f>
        <v>0</v>
      </c>
      <c r="W25" s="36">
        <f>VLOOKUP($A25,[24]HISTOOCT24!$A$6:$AU$38,20,0)</f>
        <v>0</v>
      </c>
      <c r="X25" s="36">
        <f>VLOOKUP($A25,[24]HISTOOCT24!$A$6:$AU$38,27,0)</f>
        <v>0</v>
      </c>
      <c r="Y25" s="36">
        <f>VLOOKUP($A25,[24]HISTOOCT24!$A$6:$BM$38,33,0)</f>
        <v>0</v>
      </c>
      <c r="Z25" s="36">
        <f>VLOOKUP($A25,[24]HISTOOCT24!$A$6:$BM$38,65,0)</f>
        <v>0</v>
      </c>
      <c r="AA25" s="36"/>
      <c r="AB25" s="36">
        <f>VLOOKUP($A25,[24]HISTOOCT24!$A$6:$AU$38,43,0)</f>
        <v>0</v>
      </c>
      <c r="AC25" s="36">
        <f>VLOOKUP($A25,[24]HISTOOCT24!$A$6:$AU$38,44,0)</f>
        <v>0</v>
      </c>
      <c r="AD25" s="36">
        <f>VLOOKUP($A25,[24]HISTOOCT24!$A$6:$AU$38,47,0)</f>
        <v>0</v>
      </c>
      <c r="AE25" s="36">
        <f>VLOOKUP(A25,[24]HISTOOCT24!$A$6:$BB$38,54,0)</f>
        <v>0</v>
      </c>
      <c r="AF25" s="36">
        <f>VLOOKUP($A25,[24]HISTOOCT24!$A$6:$CA$38,60,0)</f>
        <v>0</v>
      </c>
      <c r="AG25" s="36">
        <f>VLOOKUP($A25,[24]HISTOOCT24!$A$6:$CA$38,61,0)</f>
        <v>0</v>
      </c>
      <c r="AH25" s="36">
        <f>VLOOKUP($A25,[24]HISTOOCT24!$A$6:$CA$38,62,0)</f>
        <v>0</v>
      </c>
      <c r="AI25" s="36">
        <f>VLOOKUP($A25,[24]HISTOOCT24!$A$6:$CA$38,63,0)</f>
        <v>0</v>
      </c>
      <c r="AJ25" s="36">
        <f>VLOOKUP($A25,[24]HISTOOCT24!$A$6:$CA$38,64,0)</f>
        <v>0</v>
      </c>
      <c r="AK25" s="36">
        <f>VLOOKUP($A25,[24]HISTOOCT24!$A$6:$CA$38,65,0)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MVTSEPT24!I26-E26+L26</f>
        <v>957266.46813543816</v>
      </c>
      <c r="G26" s="5">
        <f>IF(MVTSEPT24!I26+L26&gt;700000,(MVTSEPT24!I26-E26+L26),0)</f>
        <v>957266.46813543816</v>
      </c>
      <c r="H26" s="36">
        <f t="shared" si="0"/>
        <v>0</v>
      </c>
      <c r="I26" s="6">
        <f t="shared" si="2"/>
        <v>957266.46813543816</v>
      </c>
      <c r="J26" s="36">
        <f>VLOOKUP($A26,[24]HISTOOCT24!$A$6:$AQ$42,22,0)</f>
        <v>0</v>
      </c>
      <c r="K26" s="36">
        <f>VLOOKUP($A26,[24]HISTOOCT24!$A$6:$AU$38,45,0)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VLOOKUP($A26,[24]HISTOOCT24!$A$6:$AU$38,7,0)</f>
        <v>0</v>
      </c>
      <c r="Q26" s="36">
        <f>VLOOKUP($A26,[24]HISTOOCT24!$A$6:$AU$38,23,0)</f>
        <v>0</v>
      </c>
      <c r="R26" s="36">
        <f>VLOOKUP($A26,[24]HISTOOCT24!$A$6:$AU$38,46,0)</f>
        <v>0</v>
      </c>
      <c r="S26" s="36">
        <f>VLOOKUP($A26,[24]HISTOOCT24!$A$6:$AU$38,26,0)</f>
        <v>0</v>
      </c>
      <c r="T26" s="36">
        <f>VLOOKUP($A26,[24]HISTOOCT24!$A$6:$BG$38,58,0)</f>
        <v>0</v>
      </c>
      <c r="U26" s="36">
        <f>VLOOKUP($A26,[24]HISTOOCT24!$A$6:$AU$38,28,0)</f>
        <v>0</v>
      </c>
      <c r="V26" s="36">
        <f>VLOOKUP($A26,[24]HISTOOCT24!$A$6:$AU$38,19,0)</f>
        <v>0</v>
      </c>
      <c r="W26" s="36">
        <f>VLOOKUP($A26,[24]HISTOOCT24!$A$6:$AU$38,20,0)</f>
        <v>0</v>
      </c>
      <c r="X26" s="36">
        <f>VLOOKUP($A26,[24]HISTOOCT24!$A$6:$AU$38,27,0)</f>
        <v>0</v>
      </c>
      <c r="Y26" s="36">
        <f>VLOOKUP($A26,[24]HISTOOCT24!$A$6:$BM$38,33,0)</f>
        <v>0</v>
      </c>
      <c r="Z26" s="36">
        <f>VLOOKUP($A26,[24]HISTOOCT24!$A$6:$BM$38,65,0)</f>
        <v>0</v>
      </c>
      <c r="AA26" s="36"/>
      <c r="AB26" s="36">
        <f>VLOOKUP($A26,[24]HISTOOCT24!$A$6:$AU$38,43,0)</f>
        <v>0</v>
      </c>
      <c r="AC26" s="36">
        <f>VLOOKUP($A26,[24]HISTOOCT24!$A$6:$AU$38,44,0)</f>
        <v>0</v>
      </c>
      <c r="AD26" s="36">
        <f>VLOOKUP($A26,[24]HISTOOCT24!$A$6:$AU$38,47,0)</f>
        <v>0</v>
      </c>
      <c r="AE26" s="36">
        <f>VLOOKUP(A26,[24]HISTOOCT24!$A$6:$BB$38,54,0)</f>
        <v>0</v>
      </c>
      <c r="AF26" s="36">
        <f>VLOOKUP($A26,[24]HISTOOCT24!$A$6:$CA$38,60,0)</f>
        <v>0</v>
      </c>
      <c r="AG26" s="36">
        <f>VLOOKUP($A26,[24]HISTOOCT24!$A$6:$CA$38,61,0)</f>
        <v>0</v>
      </c>
      <c r="AH26" s="36">
        <f>VLOOKUP($A26,[24]HISTOOCT24!$A$6:$CA$38,62,0)</f>
        <v>0</v>
      </c>
      <c r="AI26" s="36">
        <f>VLOOKUP($A26,[24]HISTOOCT24!$A$6:$CA$38,63,0)</f>
        <v>0</v>
      </c>
      <c r="AJ26" s="36">
        <f>VLOOKUP($A26,[24]HISTOOCT24!$A$6:$CA$38,64,0)</f>
        <v>0</v>
      </c>
      <c r="AK26" s="36">
        <f>VLOOKUP($A26,[24]HISTOOCT24!$A$6:$CA$38,65,0)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MVTSEPT24!I27-E27+L27</f>
        <v>957824.17371512204</v>
      </c>
      <c r="G27" s="5">
        <f>IF(MVTSEPT24!I27+L27&gt;700000,(MVTSEPT24!I27-E27+L27),0)</f>
        <v>957824.17371512204</v>
      </c>
      <c r="H27" s="36">
        <f t="shared" si="0"/>
        <v>0</v>
      </c>
      <c r="I27" s="6">
        <f t="shared" si="2"/>
        <v>957824.17371512204</v>
      </c>
      <c r="J27" s="36">
        <f>VLOOKUP($A27,[24]HISTOOCT24!$A$6:$AQ$42,22,0)</f>
        <v>0</v>
      </c>
      <c r="K27" s="36">
        <f>VLOOKUP($A27,[24]HISTOOCT24!$A$6:$AU$38,45,0)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VLOOKUP($A27,[24]HISTOOCT24!$A$6:$AU$38,7,0)</f>
        <v>0</v>
      </c>
      <c r="Q27" s="36">
        <f>VLOOKUP($A27,[24]HISTOOCT24!$A$6:$AU$38,23,0)</f>
        <v>0</v>
      </c>
      <c r="R27" s="36">
        <f>VLOOKUP($A27,[24]HISTOOCT24!$A$6:$AU$38,46,0)</f>
        <v>0</v>
      </c>
      <c r="S27" s="36">
        <f>VLOOKUP($A27,[24]HISTOOCT24!$A$6:$AU$38,26,0)</f>
        <v>0</v>
      </c>
      <c r="T27" s="36">
        <f>VLOOKUP($A27,[24]HISTOOCT24!$A$6:$BG$38,58,0)</f>
        <v>0</v>
      </c>
      <c r="U27" s="36">
        <f>VLOOKUP($A27,[24]HISTOOCT24!$A$6:$AU$38,28,0)</f>
        <v>0</v>
      </c>
      <c r="V27" s="36">
        <f>VLOOKUP($A27,[24]HISTOOCT24!$A$6:$AU$38,19,0)</f>
        <v>0</v>
      </c>
      <c r="W27" s="36">
        <f>VLOOKUP($A27,[24]HISTOOCT24!$A$6:$AU$38,20,0)</f>
        <v>0</v>
      </c>
      <c r="X27" s="36">
        <f>VLOOKUP($A27,[24]HISTOOCT24!$A$6:$AU$38,27,0)</f>
        <v>0</v>
      </c>
      <c r="Y27" s="36">
        <f>VLOOKUP($A27,[24]HISTOOCT24!$A$6:$BM$38,33,0)</f>
        <v>0</v>
      </c>
      <c r="Z27" s="36">
        <f>VLOOKUP($A27,[24]HISTOOCT24!$A$6:$BM$38,65,0)</f>
        <v>0</v>
      </c>
      <c r="AA27" s="36"/>
      <c r="AB27" s="36">
        <f>VLOOKUP($A27,[24]HISTOOCT24!$A$6:$AU$38,43,0)</f>
        <v>0</v>
      </c>
      <c r="AC27" s="36">
        <f>VLOOKUP($A27,[24]HISTOOCT24!$A$6:$AU$38,44,0)</f>
        <v>0</v>
      </c>
      <c r="AD27" s="36">
        <f>VLOOKUP($A27,[24]HISTOOCT24!$A$6:$AU$38,47,0)</f>
        <v>0</v>
      </c>
      <c r="AE27" s="36">
        <f>VLOOKUP(A27,[24]HISTOOCT24!$A$6:$BB$38,54,0)</f>
        <v>0</v>
      </c>
      <c r="AF27" s="36">
        <f>VLOOKUP($A27,[24]HISTOOCT24!$A$6:$CA$38,60,0)</f>
        <v>0</v>
      </c>
      <c r="AG27" s="36">
        <f>VLOOKUP($A27,[24]HISTOOCT24!$A$6:$CA$38,61,0)</f>
        <v>0</v>
      </c>
      <c r="AH27" s="36">
        <f>VLOOKUP($A27,[24]HISTOOCT24!$A$6:$CA$38,62,0)</f>
        <v>0</v>
      </c>
      <c r="AI27" s="36">
        <f>VLOOKUP($A27,[24]HISTOOCT24!$A$6:$CA$38,63,0)</f>
        <v>0</v>
      </c>
      <c r="AJ27" s="36">
        <f>VLOOKUP($A27,[24]HISTOOCT24!$A$6:$CA$38,64,0)</f>
        <v>0</v>
      </c>
      <c r="AK27" s="36">
        <f>VLOOKUP($A27,[24]HISTOOCT24!$A$6:$CA$38,65,0)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MVTSEPT24!I28-E28+L28</f>
        <v>859176.12513194664</v>
      </c>
      <c r="G28" s="5">
        <f>IF(MVTSEPT24!I28+L28&gt;700000,(MVTSEPT24!I28-E28+L28),0)</f>
        <v>859176.12513194664</v>
      </c>
      <c r="H28" s="36">
        <f t="shared" si="0"/>
        <v>0</v>
      </c>
      <c r="I28" s="6">
        <f t="shared" si="2"/>
        <v>859176.12513194664</v>
      </c>
      <c r="J28" s="36">
        <f>VLOOKUP($A28,[24]HISTOOCT24!$A$6:$AQ$42,22,0)</f>
        <v>0</v>
      </c>
      <c r="K28" s="36">
        <f>VLOOKUP($A28,[24]HISTOOCT24!$A$6:$AU$38,45,0)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VLOOKUP($A28,[24]HISTOOCT24!$A$6:$AU$38,7,0)</f>
        <v>0</v>
      </c>
      <c r="Q28" s="36">
        <f>VLOOKUP($A28,[24]HISTOOCT24!$A$6:$AU$38,23,0)</f>
        <v>0</v>
      </c>
      <c r="R28" s="36">
        <f>VLOOKUP($A28,[24]HISTOOCT24!$A$6:$AU$38,46,0)</f>
        <v>0</v>
      </c>
      <c r="S28" s="36">
        <f>VLOOKUP($A28,[24]HISTOOCT24!$A$6:$AU$38,26,0)</f>
        <v>0</v>
      </c>
      <c r="T28" s="36">
        <f>VLOOKUP($A28,[24]HISTOOCT24!$A$6:$BG$38,58,0)</f>
        <v>0</v>
      </c>
      <c r="U28" s="36">
        <f>VLOOKUP($A28,[24]HISTOOCT24!$A$6:$AU$38,28,0)</f>
        <v>0</v>
      </c>
      <c r="V28" s="36">
        <f>VLOOKUP($A28,[24]HISTOOCT24!$A$6:$AU$38,19,0)</f>
        <v>0</v>
      </c>
      <c r="W28" s="36">
        <f>VLOOKUP($A28,[24]HISTOOCT24!$A$6:$AU$38,20,0)</f>
        <v>0</v>
      </c>
      <c r="X28" s="36">
        <f>VLOOKUP($A28,[24]HISTOOCT24!$A$6:$AU$38,27,0)</f>
        <v>0</v>
      </c>
      <c r="Y28" s="36">
        <f>VLOOKUP($A28,[24]HISTOOCT24!$A$6:$BM$38,33,0)</f>
        <v>0</v>
      </c>
      <c r="Z28" s="36">
        <f>VLOOKUP($A28,[24]HISTOOCT24!$A$6:$BM$38,65,0)</f>
        <v>0</v>
      </c>
      <c r="AA28" s="36"/>
      <c r="AB28" s="36">
        <f>VLOOKUP($A28,[24]HISTOOCT24!$A$6:$AU$38,43,0)</f>
        <v>0</v>
      </c>
      <c r="AC28" s="36">
        <f>VLOOKUP($A28,[24]HISTOOCT24!$A$6:$AU$38,44,0)</f>
        <v>0</v>
      </c>
      <c r="AD28" s="36">
        <f>VLOOKUP($A28,[24]HISTOOCT24!$A$6:$AU$38,47,0)</f>
        <v>0</v>
      </c>
      <c r="AE28" s="36">
        <f>VLOOKUP(A28,[24]HISTOOCT24!$A$6:$BB$38,54,0)</f>
        <v>0</v>
      </c>
      <c r="AF28" s="36">
        <f>VLOOKUP($A28,[24]HISTOOCT24!$A$6:$CA$38,60,0)</f>
        <v>0</v>
      </c>
      <c r="AG28" s="36">
        <f>VLOOKUP($A28,[24]HISTOOCT24!$A$6:$CA$38,61,0)</f>
        <v>0</v>
      </c>
      <c r="AH28" s="36">
        <f>VLOOKUP($A28,[24]HISTOOCT24!$A$6:$CA$38,62,0)</f>
        <v>0</v>
      </c>
      <c r="AI28" s="36">
        <f>VLOOKUP($A28,[24]HISTOOCT24!$A$6:$CA$38,63,0)</f>
        <v>0</v>
      </c>
      <c r="AJ28" s="36">
        <f>VLOOKUP($A28,[24]HISTOOCT24!$A$6:$CA$38,64,0)</f>
        <v>0</v>
      </c>
      <c r="AK28" s="36">
        <f>VLOOKUP($A28,[24]HISTOOCT24!$A$6:$CA$38,65,0)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MVTSEPT24!I29-E29+L29</f>
        <v>984151.34423741512</v>
      </c>
      <c r="G29" s="5">
        <f>IF(MVTSEPT24!I29+L29&gt;700000,(MVTSEPT24!I29-E29+L29),0)</f>
        <v>984151.34423741512</v>
      </c>
      <c r="H29" s="36">
        <f t="shared" si="0"/>
        <v>0</v>
      </c>
      <c r="I29" s="6">
        <f t="shared" si="2"/>
        <v>984151.34423741512</v>
      </c>
      <c r="J29" s="36">
        <f>VLOOKUP($A29,[24]HISTOOCT24!$A$6:$AQ$42,22,0)</f>
        <v>0</v>
      </c>
      <c r="K29" s="36">
        <f>VLOOKUP($A29,[24]HISTOOCT24!$A$6:$AU$38,45,0)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VLOOKUP($A29,[24]HISTOOCT24!$A$6:$AU$38,7,0)</f>
        <v>0</v>
      </c>
      <c r="Q29" s="36">
        <f>VLOOKUP($A29,[24]HISTOOCT24!$A$6:$AU$38,23,0)</f>
        <v>0</v>
      </c>
      <c r="R29" s="36">
        <f>VLOOKUP($A29,[24]HISTOOCT24!$A$6:$AU$38,46,0)</f>
        <v>0</v>
      </c>
      <c r="S29" s="36">
        <f>VLOOKUP($A29,[24]HISTOOCT24!$A$6:$AU$38,26,0)</f>
        <v>0</v>
      </c>
      <c r="T29" s="36">
        <f>VLOOKUP($A29,[24]HISTOOCT24!$A$6:$BG$38,58,0)</f>
        <v>0</v>
      </c>
      <c r="U29" s="36">
        <f>VLOOKUP($A29,[24]HISTOOCT24!$A$6:$AU$38,28,0)</f>
        <v>0</v>
      </c>
      <c r="V29" s="36">
        <f>VLOOKUP($A29,[24]HISTOOCT24!$A$6:$AU$38,19,0)</f>
        <v>0</v>
      </c>
      <c r="W29" s="36">
        <f>VLOOKUP($A29,[24]HISTOOCT24!$A$6:$AU$38,20,0)</f>
        <v>0</v>
      </c>
      <c r="X29" s="36">
        <f>VLOOKUP($A29,[24]HISTOOCT24!$A$6:$AU$38,27,0)</f>
        <v>0</v>
      </c>
      <c r="Y29" s="36">
        <f>VLOOKUP($A29,[24]HISTOOCT24!$A$6:$BM$38,33,0)</f>
        <v>0</v>
      </c>
      <c r="Z29" s="36">
        <f>VLOOKUP($A29,[24]HISTOOCT24!$A$6:$BM$38,65,0)</f>
        <v>0</v>
      </c>
      <c r="AA29" s="36"/>
      <c r="AB29" s="36">
        <f>VLOOKUP($A29,[24]HISTOOCT24!$A$6:$AU$38,43,0)</f>
        <v>0</v>
      </c>
      <c r="AC29" s="36">
        <f>VLOOKUP($A29,[24]HISTOOCT24!$A$6:$AU$38,44,0)</f>
        <v>0</v>
      </c>
      <c r="AD29" s="36">
        <f>VLOOKUP($A29,[24]HISTOOCT24!$A$6:$AU$38,47,0)</f>
        <v>0</v>
      </c>
      <c r="AE29" s="36">
        <f>VLOOKUP(A29,[24]HISTOOCT24!$A$6:$BB$38,54,0)</f>
        <v>0</v>
      </c>
      <c r="AF29" s="36">
        <f>VLOOKUP($A29,[24]HISTOOCT24!$A$6:$CA$38,60,0)</f>
        <v>0</v>
      </c>
      <c r="AG29" s="36">
        <f>VLOOKUP($A29,[24]HISTOOCT24!$A$6:$CA$38,61,0)</f>
        <v>0</v>
      </c>
      <c r="AH29" s="36">
        <f>VLOOKUP($A29,[24]HISTOOCT24!$A$6:$CA$38,62,0)</f>
        <v>0</v>
      </c>
      <c r="AI29" s="36">
        <f>VLOOKUP($A29,[24]HISTOOCT24!$A$6:$CA$38,63,0)</f>
        <v>0</v>
      </c>
      <c r="AJ29" s="36">
        <f>VLOOKUP($A29,[24]HISTOOCT24!$A$6:$CA$38,64,0)</f>
        <v>0</v>
      </c>
      <c r="AK29" s="36">
        <f>VLOOKUP($A29,[24]HISTOOCT24!$A$6:$CA$38,65,0)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MVTSEPT24!I30-E30+L30</f>
        <v>888786.81046782702</v>
      </c>
      <c r="G30" s="5">
        <f>IF(MVTSEPT24!I30+L30&gt;700000,(MVTSEPT24!I30-E30+L30),0)</f>
        <v>888786.81046782702</v>
      </c>
      <c r="H30" s="36">
        <f t="shared" si="0"/>
        <v>0</v>
      </c>
      <c r="I30" s="6">
        <f t="shared" si="2"/>
        <v>888786.81046782702</v>
      </c>
      <c r="J30" s="36">
        <f>VLOOKUP($A30,[24]HISTOOCT24!$A$6:$AQ$42,22,0)</f>
        <v>0</v>
      </c>
      <c r="K30" s="36">
        <f>VLOOKUP($A30,[24]HISTOOCT24!$A$6:$AU$38,45,0)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VLOOKUP($A30,[24]HISTOOCT24!$A$6:$AU$38,7,0)</f>
        <v>0</v>
      </c>
      <c r="Q30" s="36">
        <f>VLOOKUP($A30,[24]HISTOOCT24!$A$6:$AU$38,23,0)</f>
        <v>0</v>
      </c>
      <c r="R30" s="36">
        <f>VLOOKUP($A30,[24]HISTOOCT24!$A$6:$AU$38,46,0)</f>
        <v>0</v>
      </c>
      <c r="S30" s="36">
        <f>VLOOKUP($A30,[24]HISTOOCT24!$A$6:$AU$38,26,0)</f>
        <v>0</v>
      </c>
      <c r="T30" s="36">
        <f>VLOOKUP($A30,[24]HISTOOCT24!$A$6:$BG$38,58,0)</f>
        <v>0</v>
      </c>
      <c r="U30" s="36">
        <f>VLOOKUP($A30,[24]HISTOOCT24!$A$6:$AU$38,28,0)</f>
        <v>0</v>
      </c>
      <c r="V30" s="36">
        <f>VLOOKUP($A30,[24]HISTOOCT24!$A$6:$AU$38,19,0)</f>
        <v>0</v>
      </c>
      <c r="W30" s="36">
        <f>VLOOKUP($A30,[24]HISTOOCT24!$A$6:$AU$38,20,0)</f>
        <v>0</v>
      </c>
      <c r="X30" s="36">
        <f>VLOOKUP($A30,[24]HISTOOCT24!$A$6:$AU$38,27,0)</f>
        <v>0</v>
      </c>
      <c r="Y30" s="36">
        <f>VLOOKUP($A30,[24]HISTOOCT24!$A$6:$BM$38,33,0)</f>
        <v>0</v>
      </c>
      <c r="Z30" s="36">
        <f>VLOOKUP($A30,[24]HISTOOCT24!$A$6:$BM$38,65,0)</f>
        <v>0</v>
      </c>
      <c r="AA30" s="36"/>
      <c r="AB30" s="36">
        <f>VLOOKUP($A30,[24]HISTOOCT24!$A$6:$AU$38,43,0)</f>
        <v>0</v>
      </c>
      <c r="AC30" s="36">
        <f>VLOOKUP($A30,[24]HISTOOCT24!$A$6:$AU$38,44,0)</f>
        <v>0</v>
      </c>
      <c r="AD30" s="36">
        <f>VLOOKUP($A30,[24]HISTOOCT24!$A$6:$AU$38,47,0)</f>
        <v>0</v>
      </c>
      <c r="AE30" s="36">
        <f>VLOOKUP(A30,[24]HISTOOCT24!$A$6:$BB$38,54,0)</f>
        <v>0</v>
      </c>
      <c r="AF30" s="36">
        <f>VLOOKUP($A30,[24]HISTOOCT24!$A$6:$CA$38,60,0)</f>
        <v>0</v>
      </c>
      <c r="AG30" s="36">
        <f>VLOOKUP($A30,[24]HISTOOCT24!$A$6:$CA$38,61,0)</f>
        <v>0</v>
      </c>
      <c r="AH30" s="36">
        <f>VLOOKUP($A30,[24]HISTOOCT24!$A$6:$CA$38,62,0)</f>
        <v>0</v>
      </c>
      <c r="AI30" s="36">
        <f>VLOOKUP($A30,[24]HISTOOCT24!$A$6:$CA$38,63,0)</f>
        <v>0</v>
      </c>
      <c r="AJ30" s="36">
        <f>VLOOKUP($A30,[24]HISTOOCT24!$A$6:$CA$38,64,0)</f>
        <v>0</v>
      </c>
      <c r="AK30" s="36">
        <f>VLOOKUP($A30,[24]HISTOOCT24!$A$6:$CA$38,65,0)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MVTSEPT24!I31-E31+L31</f>
        <v>1048903.0311481347</v>
      </c>
      <c r="G31" s="5">
        <f>IF(MVTSEPT24!I31+L31&gt;700000,(MVTSEPT24!I31-E31+L31),0)</f>
        <v>1048903.0311481347</v>
      </c>
      <c r="H31" s="36">
        <f t="shared" si="0"/>
        <v>0</v>
      </c>
      <c r="I31" s="6">
        <f t="shared" si="2"/>
        <v>1048903.0311481347</v>
      </c>
      <c r="J31" s="36">
        <f>VLOOKUP($A31,[24]HISTOOCT24!$A$6:$AQ$42,22,0)</f>
        <v>0</v>
      </c>
      <c r="K31" s="36">
        <f>VLOOKUP($A31,[24]HISTOOCT24!$A$6:$AU$38,45,0)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VLOOKUP($A31,[24]HISTOOCT24!$A$6:$AU$38,7,0)</f>
        <v>0</v>
      </c>
      <c r="Q31" s="36">
        <f>VLOOKUP($A31,[24]HISTOOCT24!$A$6:$AU$38,23,0)</f>
        <v>0</v>
      </c>
      <c r="R31" s="36">
        <f>VLOOKUP($A31,[24]HISTOOCT24!$A$6:$AU$38,46,0)</f>
        <v>0</v>
      </c>
      <c r="S31" s="36">
        <f>VLOOKUP($A31,[24]HISTOOCT24!$A$6:$AU$38,26,0)</f>
        <v>0</v>
      </c>
      <c r="T31" s="36">
        <f>VLOOKUP($A31,[24]HISTOOCT24!$A$6:$BG$38,58,0)</f>
        <v>0</v>
      </c>
      <c r="U31" s="36">
        <f>VLOOKUP($A31,[24]HISTOOCT24!$A$6:$AU$38,28,0)</f>
        <v>0</v>
      </c>
      <c r="V31" s="36">
        <f>VLOOKUP($A31,[24]HISTOOCT24!$A$6:$AU$38,19,0)</f>
        <v>0</v>
      </c>
      <c r="W31" s="36">
        <f>VLOOKUP($A31,[24]HISTOOCT24!$A$6:$AU$38,20,0)</f>
        <v>0</v>
      </c>
      <c r="X31" s="36">
        <f>VLOOKUP($A31,[24]HISTOOCT24!$A$6:$AU$38,27,0)</f>
        <v>0</v>
      </c>
      <c r="Y31" s="36">
        <f>VLOOKUP($A31,[24]HISTOOCT24!$A$6:$BM$38,33,0)</f>
        <v>0</v>
      </c>
      <c r="Z31" s="36">
        <f>VLOOKUP($A31,[24]HISTOOCT24!$A$6:$BM$38,65,0)</f>
        <v>0</v>
      </c>
      <c r="AA31" s="36"/>
      <c r="AB31" s="36">
        <f>VLOOKUP($A31,[24]HISTOOCT24!$A$6:$AU$38,43,0)</f>
        <v>0</v>
      </c>
      <c r="AC31" s="36">
        <f>VLOOKUP($A31,[24]HISTOOCT24!$A$6:$AU$38,44,0)</f>
        <v>0</v>
      </c>
      <c r="AD31" s="36">
        <f>VLOOKUP($A31,[24]HISTOOCT24!$A$6:$AU$38,47,0)</f>
        <v>0</v>
      </c>
      <c r="AE31" s="36">
        <f>VLOOKUP(A31,[24]HISTOOCT24!$A$6:$BB$38,54,0)</f>
        <v>0</v>
      </c>
      <c r="AF31" s="36">
        <f>VLOOKUP($A31,[24]HISTOOCT24!$A$6:$CA$38,60,0)</f>
        <v>0</v>
      </c>
      <c r="AG31" s="36">
        <f>VLOOKUP($A31,[24]HISTOOCT24!$A$6:$CA$38,61,0)</f>
        <v>0</v>
      </c>
      <c r="AH31" s="36">
        <f>VLOOKUP($A31,[24]HISTOOCT24!$A$6:$CA$38,62,0)</f>
        <v>0</v>
      </c>
      <c r="AI31" s="36">
        <f>VLOOKUP($A31,[24]HISTOOCT24!$A$6:$CA$38,63,0)</f>
        <v>0</v>
      </c>
      <c r="AJ31" s="36">
        <f>VLOOKUP($A31,[24]HISTOOCT24!$A$6:$CA$38,64,0)</f>
        <v>0</v>
      </c>
      <c r="AK31" s="36">
        <f>VLOOKUP($A31,[24]HISTOOCT24!$A$6:$CA$38,65,0)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MVTSEPT24!I32-E32+L32</f>
        <v>938243.98131057119</v>
      </c>
      <c r="G32" s="5">
        <f>IF(MVTSEPT24!I32+L32&gt;700000,(MVTSEPT24!I32-E32+L32),0)</f>
        <v>938243.98131057119</v>
      </c>
      <c r="H32" s="36">
        <f t="shared" si="0"/>
        <v>0</v>
      </c>
      <c r="I32" s="6">
        <f t="shared" si="2"/>
        <v>938243.98131057119</v>
      </c>
      <c r="J32" s="36">
        <f>VLOOKUP($A32,[24]HISTOOCT24!$A$6:$AQ$42,22,0)</f>
        <v>0</v>
      </c>
      <c r="K32" s="36">
        <f>VLOOKUP($A32,[24]HISTOOCT24!$A$6:$AU$38,45,0)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VLOOKUP($A32,[24]HISTOOCT24!$A$6:$AU$38,7,0)</f>
        <v>0</v>
      </c>
      <c r="Q32" s="36">
        <f>VLOOKUP($A32,[24]HISTOOCT24!$A$6:$AU$38,23,0)</f>
        <v>0</v>
      </c>
      <c r="R32" s="36">
        <f>VLOOKUP($A32,[24]HISTOOCT24!$A$6:$AU$38,46,0)</f>
        <v>0</v>
      </c>
      <c r="S32" s="36">
        <f>VLOOKUP($A32,[24]HISTOOCT24!$A$6:$AU$38,26,0)</f>
        <v>0</v>
      </c>
      <c r="T32" s="36">
        <f>VLOOKUP($A32,[24]HISTOOCT24!$A$6:$BG$38,58,0)</f>
        <v>0</v>
      </c>
      <c r="U32" s="36">
        <f>VLOOKUP($A32,[24]HISTOOCT24!$A$6:$AU$38,28,0)</f>
        <v>0</v>
      </c>
      <c r="V32" s="36">
        <f>VLOOKUP($A32,[24]HISTOOCT24!$A$6:$AU$38,19,0)</f>
        <v>0</v>
      </c>
      <c r="W32" s="36">
        <f>VLOOKUP($A32,[24]HISTOOCT24!$A$6:$AU$38,20,0)</f>
        <v>0</v>
      </c>
      <c r="X32" s="36">
        <f>VLOOKUP($A32,[24]HISTOOCT24!$A$6:$AU$38,27,0)</f>
        <v>0</v>
      </c>
      <c r="Y32" s="36">
        <f>VLOOKUP($A32,[24]HISTOOCT24!$A$6:$BM$38,33,0)</f>
        <v>0</v>
      </c>
      <c r="Z32" s="36">
        <f>VLOOKUP($A32,[24]HISTOOCT24!$A$6:$BM$38,65,0)</f>
        <v>0</v>
      </c>
      <c r="AA32" s="36"/>
      <c r="AB32" s="36">
        <f>VLOOKUP($A32,[24]HISTOOCT24!$A$6:$AU$38,43,0)</f>
        <v>0</v>
      </c>
      <c r="AC32" s="36">
        <f>VLOOKUP($A32,[24]HISTOOCT24!$A$6:$AU$38,44,0)</f>
        <v>0</v>
      </c>
      <c r="AD32" s="36">
        <f>VLOOKUP($A32,[24]HISTOOCT24!$A$6:$AU$38,47,0)</f>
        <v>0</v>
      </c>
      <c r="AE32" s="36">
        <f>VLOOKUP(A32,[24]HISTOOCT24!$A$6:$BB$38,54,0)</f>
        <v>0</v>
      </c>
      <c r="AF32" s="36">
        <f>VLOOKUP($A32,[24]HISTOOCT24!$A$6:$CA$38,60,0)</f>
        <v>0</v>
      </c>
      <c r="AG32" s="36">
        <f>VLOOKUP($A32,[24]HISTOOCT24!$A$6:$CA$38,61,0)</f>
        <v>0</v>
      </c>
      <c r="AH32" s="36">
        <f>VLOOKUP($A32,[24]HISTOOCT24!$A$6:$CA$38,62,0)</f>
        <v>0</v>
      </c>
      <c r="AI32" s="36">
        <f>VLOOKUP($A32,[24]HISTOOCT24!$A$6:$CA$38,63,0)</f>
        <v>0</v>
      </c>
      <c r="AJ32" s="36">
        <f>VLOOKUP($A32,[24]HISTOOCT24!$A$6:$CA$38,64,0)</f>
        <v>0</v>
      </c>
      <c r="AK32" s="36">
        <f>VLOOKUP($A32,[24]HISTOOCT24!$A$6:$CA$38,65,0)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MVTSEPT24!I33-E33+L33</f>
        <v>938552.64928596013</v>
      </c>
      <c r="G33" s="5">
        <f>IF(MVTSEPT24!I33+L33&gt;700000,(MVTSEPT24!I33-E33+L33),0)</f>
        <v>938552.64928596013</v>
      </c>
      <c r="H33" s="36">
        <f t="shared" si="0"/>
        <v>0</v>
      </c>
      <c r="I33" s="6">
        <f t="shared" si="2"/>
        <v>938552.64928596013</v>
      </c>
      <c r="J33" s="36">
        <f>VLOOKUP($A33,[24]HISTOOCT24!$A$6:$AQ$42,22,0)</f>
        <v>0</v>
      </c>
      <c r="K33" s="36">
        <f>VLOOKUP($A33,[24]HISTOOCT24!$A$6:$AU$38,45,0)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VLOOKUP($A33,[24]HISTOOCT24!$A$6:$AU$38,7,0)</f>
        <v>0</v>
      </c>
      <c r="Q33" s="36">
        <f>VLOOKUP($A33,[24]HISTOOCT24!$A$6:$AU$38,23,0)</f>
        <v>0</v>
      </c>
      <c r="R33" s="36">
        <f>VLOOKUP($A33,[24]HISTOOCT24!$A$6:$AU$38,46,0)</f>
        <v>0</v>
      </c>
      <c r="S33" s="36">
        <f>VLOOKUP($A33,[24]HISTOOCT24!$A$6:$AU$38,26,0)</f>
        <v>0</v>
      </c>
      <c r="T33" s="36">
        <f>VLOOKUP($A33,[24]HISTOOCT24!$A$6:$BG$38,58,0)</f>
        <v>0</v>
      </c>
      <c r="U33" s="36">
        <f>VLOOKUP($A33,[24]HISTOOCT24!$A$6:$AU$38,28,0)</f>
        <v>0</v>
      </c>
      <c r="V33" s="36">
        <f>VLOOKUP($A33,[24]HISTOOCT24!$A$6:$AU$38,19,0)</f>
        <v>0</v>
      </c>
      <c r="W33" s="36">
        <f>VLOOKUP($A33,[24]HISTOOCT24!$A$6:$AU$38,20,0)</f>
        <v>0</v>
      </c>
      <c r="X33" s="36">
        <f>VLOOKUP($A33,[24]HISTOOCT24!$A$6:$AU$38,27,0)</f>
        <v>0</v>
      </c>
      <c r="Y33" s="36">
        <f>VLOOKUP($A33,[24]HISTOOCT24!$A$6:$BM$38,33,0)</f>
        <v>0</v>
      </c>
      <c r="Z33" s="36">
        <f>VLOOKUP($A33,[24]HISTOOCT24!$A$6:$BM$38,65,0)</f>
        <v>0</v>
      </c>
      <c r="AA33" s="36"/>
      <c r="AB33" s="36">
        <f>VLOOKUP($A33,[24]HISTOOCT24!$A$6:$AU$38,43,0)</f>
        <v>0</v>
      </c>
      <c r="AC33" s="36">
        <f>VLOOKUP($A33,[24]HISTOOCT24!$A$6:$AU$38,44,0)</f>
        <v>0</v>
      </c>
      <c r="AD33" s="36">
        <f>VLOOKUP($A33,[24]HISTOOCT24!$A$6:$AU$38,47,0)</f>
        <v>0</v>
      </c>
      <c r="AE33" s="36">
        <f>VLOOKUP(A33,[24]HISTOOCT24!$A$6:$BB$38,54,0)</f>
        <v>0</v>
      </c>
      <c r="AF33" s="36">
        <f>VLOOKUP($A33,[24]HISTOOCT24!$A$6:$CA$38,60,0)</f>
        <v>0</v>
      </c>
      <c r="AG33" s="36">
        <f>VLOOKUP($A33,[24]HISTOOCT24!$A$6:$CA$38,61,0)</f>
        <v>0</v>
      </c>
      <c r="AH33" s="36">
        <f>VLOOKUP($A33,[24]HISTOOCT24!$A$6:$CA$38,62,0)</f>
        <v>0</v>
      </c>
      <c r="AI33" s="36">
        <f>VLOOKUP($A33,[24]HISTOOCT24!$A$6:$CA$38,63,0)</f>
        <v>0</v>
      </c>
      <c r="AJ33" s="36">
        <f>VLOOKUP($A33,[24]HISTOOCT24!$A$6:$CA$38,64,0)</f>
        <v>0</v>
      </c>
      <c r="AK33" s="36">
        <f>VLOOKUP($A33,[24]HISTOOCT24!$A$6:$CA$38,65,0)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MVTSEPT24!I34-E34+L34</f>
        <v>595000</v>
      </c>
      <c r="G34" s="5">
        <f>IF(MVTSEPT24!I34+L34&gt;700000,(MVTSEPT24!I34-E34+L34),0)</f>
        <v>0</v>
      </c>
      <c r="H34" s="36">
        <f t="shared" si="0"/>
        <v>0</v>
      </c>
      <c r="I34" s="6">
        <f t="shared" si="2"/>
        <v>595000</v>
      </c>
      <c r="J34" s="36">
        <f>VLOOKUP($A34,[24]HISTOOCT24!$A$6:$AQ$42,22,0)</f>
        <v>0</v>
      </c>
      <c r="K34" s="36">
        <f>VLOOKUP($A34,[24]HISTOOCT24!$A$6:$AU$38,45,0)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VLOOKUP($A34,[24]HISTOOCT24!$A$6:$AU$38,7,0)</f>
        <v>0</v>
      </c>
      <c r="Q34" s="36">
        <f>VLOOKUP($A34,[24]HISTOOCT24!$A$6:$AU$38,23,0)</f>
        <v>0</v>
      </c>
      <c r="R34" s="36">
        <f>VLOOKUP($A34,[24]HISTOOCT24!$A$6:$AU$38,46,0)</f>
        <v>0</v>
      </c>
      <c r="S34" s="36">
        <f>VLOOKUP($A34,[24]HISTOOCT24!$A$6:$AU$38,26,0)</f>
        <v>0</v>
      </c>
      <c r="T34" s="36">
        <f>VLOOKUP($A34,[24]HISTOOCT24!$A$6:$BG$38,58,0)</f>
        <v>0</v>
      </c>
      <c r="U34" s="36">
        <f>VLOOKUP($A34,[24]HISTOOCT24!$A$6:$AU$38,28,0)</f>
        <v>0</v>
      </c>
      <c r="V34" s="36">
        <f>VLOOKUP($A34,[24]HISTOOCT24!$A$6:$AU$38,19,0)</f>
        <v>0</v>
      </c>
      <c r="W34" s="36">
        <f>VLOOKUP($A34,[24]HISTOOCT24!$A$6:$AU$38,20,0)</f>
        <v>0</v>
      </c>
      <c r="X34" s="36">
        <f>VLOOKUP($A34,[24]HISTOOCT24!$A$6:$AU$38,27,0)</f>
        <v>0</v>
      </c>
      <c r="Y34" s="36">
        <f>VLOOKUP($A34,[24]HISTOOCT24!$A$6:$BM$38,33,0)</f>
        <v>0</v>
      </c>
      <c r="Z34" s="36">
        <f>VLOOKUP($A34,[24]HISTOOCT24!$A$6:$BM$38,65,0)</f>
        <v>0</v>
      </c>
      <c r="AA34" s="36"/>
      <c r="AB34" s="36">
        <f>VLOOKUP($A34,[24]HISTOOCT24!$A$6:$AU$38,43,0)</f>
        <v>0</v>
      </c>
      <c r="AC34" s="36">
        <f>VLOOKUP($A34,[24]HISTOOCT24!$A$6:$AU$38,44,0)</f>
        <v>0</v>
      </c>
      <c r="AD34" s="36">
        <f>VLOOKUP($A34,[24]HISTOOCT24!$A$6:$AU$38,47,0)</f>
        <v>0</v>
      </c>
      <c r="AE34" s="36">
        <f>VLOOKUP(A34,[24]HISTOOCT24!$A$6:$BB$38,54,0)</f>
        <v>0</v>
      </c>
      <c r="AF34" s="36">
        <f>VLOOKUP($A34,[24]HISTOOCT24!$A$6:$CA$38,60,0)</f>
        <v>0</v>
      </c>
      <c r="AG34" s="36">
        <f>VLOOKUP($A34,[24]HISTOOCT24!$A$6:$CA$38,61,0)</f>
        <v>0</v>
      </c>
      <c r="AH34" s="36">
        <f>VLOOKUP($A34,[24]HISTOOCT24!$A$6:$CA$38,62,0)</f>
        <v>0</v>
      </c>
      <c r="AI34" s="36">
        <f>VLOOKUP($A34,[24]HISTOOCT24!$A$6:$CA$38,63,0)</f>
        <v>0</v>
      </c>
      <c r="AJ34" s="36">
        <f>VLOOKUP($A34,[24]HISTOOCT24!$A$6:$CA$38,64,0)</f>
        <v>0</v>
      </c>
      <c r="AK34" s="36">
        <f>VLOOKUP($A34,[24]HISTOOCT24!$A$6:$CA$38,65,0)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MVTSEPT24!I35-E35+L35</f>
        <v>290000</v>
      </c>
      <c r="G35" s="5">
        <f>IF(MVTSEPT24!I35+L35&gt;700000,(MVTSEPT24!I35-E35+L35),0)</f>
        <v>0</v>
      </c>
      <c r="H35" s="36">
        <f t="shared" si="0"/>
        <v>0</v>
      </c>
      <c r="I35" s="6">
        <f t="shared" si="2"/>
        <v>290000</v>
      </c>
      <c r="J35" s="36">
        <f>VLOOKUP($A35,[24]HISTOOCT24!$A$6:$AQ$42,22,0)</f>
        <v>0</v>
      </c>
      <c r="K35" s="36">
        <f>VLOOKUP($A35,[24]HISTOOCT24!$A$6:$AU$38,45,0)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VLOOKUP($A35,[24]HISTOOCT24!$A$6:$AU$38,7,0)</f>
        <v>3000</v>
      </c>
      <c r="Q35" s="36">
        <f>VLOOKUP($A35,[24]HISTOOCT24!$A$6:$AU$38,23,0)</f>
        <v>0</v>
      </c>
      <c r="R35" s="36">
        <f>VLOOKUP($A35,[24]HISTOOCT24!$A$6:$AU$38,46,0)</f>
        <v>0</v>
      </c>
      <c r="S35" s="36">
        <f>VLOOKUP($A35,[24]HISTOOCT24!$A$6:$AU$38,26,0)</f>
        <v>0</v>
      </c>
      <c r="T35" s="36">
        <f>VLOOKUP($A35,[24]HISTOOCT24!$A$6:$BG$38,58,0)</f>
        <v>0</v>
      </c>
      <c r="U35" s="36">
        <f>VLOOKUP($A35,[24]HISTOOCT24!$A$6:$AU$38,28,0)</f>
        <v>0</v>
      </c>
      <c r="V35" s="36">
        <f>VLOOKUP($A35,[24]HISTOOCT24!$A$6:$AU$38,19,0)</f>
        <v>0</v>
      </c>
      <c r="W35" s="36">
        <f>VLOOKUP($A35,[24]HISTOOCT24!$A$6:$AU$38,20,0)</f>
        <v>0</v>
      </c>
      <c r="X35" s="36">
        <f>VLOOKUP($A35,[24]HISTOOCT24!$A$6:$AU$38,27,0)</f>
        <v>0</v>
      </c>
      <c r="Y35" s="36">
        <f>VLOOKUP($A35,[24]HISTOOCT24!$A$6:$BM$38,33,0)</f>
        <v>0</v>
      </c>
      <c r="Z35" s="36">
        <f>VLOOKUP($A35,[24]HISTOOCT24!$A$6:$BM$38,65,0)</f>
        <v>0</v>
      </c>
      <c r="AA35" s="36"/>
      <c r="AB35" s="36">
        <f>VLOOKUP($A35,[24]HISTOOCT24!$A$6:$AU$38,43,0)</f>
        <v>0</v>
      </c>
      <c r="AC35" s="36">
        <f>VLOOKUP($A35,[24]HISTOOCT24!$A$6:$AU$38,44,0)</f>
        <v>0</v>
      </c>
      <c r="AD35" s="36">
        <f>VLOOKUP($A35,[24]HISTOOCT24!$A$6:$AU$38,47,0)</f>
        <v>0</v>
      </c>
      <c r="AE35" s="36">
        <f>VLOOKUP(A35,[24]HISTOOCT24!$A$6:$BB$38,54,0)</f>
        <v>0</v>
      </c>
      <c r="AF35" s="36">
        <f>VLOOKUP($A35,[24]HISTOOCT24!$A$6:$CA$38,60,0)</f>
        <v>0</v>
      </c>
      <c r="AG35" s="36">
        <f>VLOOKUP($A35,[24]HISTOOCT24!$A$6:$CA$38,61,0)</f>
        <v>0</v>
      </c>
      <c r="AH35" s="36">
        <f>VLOOKUP($A35,[24]HISTOOCT24!$A$6:$CA$38,62,0)</f>
        <v>0</v>
      </c>
      <c r="AI35" s="36">
        <f>VLOOKUP($A35,[24]HISTOOCT24!$A$6:$CA$38,63,0)</f>
        <v>0</v>
      </c>
      <c r="AJ35" s="36">
        <f>VLOOKUP($A35,[24]HISTOOCT24!$A$6:$CA$38,64,0)</f>
        <v>0</v>
      </c>
      <c r="AK35" s="36">
        <f>VLOOKUP($A35,[24]HISTOOCT24!$A$6:$CA$38,65,0)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MVTSEPT24!I36-E36+L36</f>
        <v>975599.08181867818</v>
      </c>
      <c r="G36" s="5">
        <f>IF(MVTSEPT24!I36+L36&gt;700000,(MVTSEPT24!I36-E36+L36),0)</f>
        <v>975599.08181867818</v>
      </c>
      <c r="H36" s="36">
        <f t="shared" si="0"/>
        <v>0</v>
      </c>
      <c r="I36" s="6">
        <f t="shared" si="2"/>
        <v>975599.08181867818</v>
      </c>
      <c r="J36" s="36">
        <f>VLOOKUP($A36,[24]HISTOOCT24!$A$6:$AQ$42,22,0)</f>
        <v>0</v>
      </c>
      <c r="K36" s="36">
        <f>VLOOKUP($A36,[24]HISTOOCT24!$A$6:$AU$38,45,0)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VLOOKUP($A36,[24]HISTOOCT24!$A$6:$AU$38,7,0)</f>
        <v>0</v>
      </c>
      <c r="Q36" s="36">
        <f>VLOOKUP($A36,[24]HISTOOCT24!$A$6:$AU$38,23,0)</f>
        <v>0</v>
      </c>
      <c r="R36" s="36">
        <f>VLOOKUP($A36,[24]HISTOOCT24!$A$6:$AU$38,46,0)</f>
        <v>0</v>
      </c>
      <c r="S36" s="36">
        <f>VLOOKUP($A36,[24]HISTOOCT24!$A$6:$AU$38,26,0)</f>
        <v>0</v>
      </c>
      <c r="T36" s="36">
        <f>VLOOKUP($A36,[24]HISTOOCT24!$A$6:$BG$38,58,0)</f>
        <v>0</v>
      </c>
      <c r="U36" s="36">
        <f>VLOOKUP($A36,[24]HISTOOCT24!$A$6:$AU$38,28,0)</f>
        <v>0</v>
      </c>
      <c r="V36" s="36">
        <f>VLOOKUP($A36,[24]HISTOOCT24!$A$6:$AU$38,19,0)</f>
        <v>0</v>
      </c>
      <c r="W36" s="36">
        <f>VLOOKUP($A36,[24]HISTOOCT24!$A$6:$AU$38,20,0)</f>
        <v>0</v>
      </c>
      <c r="X36" s="36">
        <f>VLOOKUP($A36,[24]HISTOOCT24!$A$6:$AU$38,27,0)</f>
        <v>0</v>
      </c>
      <c r="Y36" s="36">
        <f>VLOOKUP($A36,[24]HISTOOCT24!$A$6:$BM$38,33,0)</f>
        <v>0</v>
      </c>
      <c r="Z36" s="36">
        <f>VLOOKUP($A36,[24]HISTOOCT24!$A$6:$BM$38,65,0)</f>
        <v>0</v>
      </c>
      <c r="AA36" s="36"/>
      <c r="AB36" s="36">
        <f>VLOOKUP($A36,[24]HISTOOCT24!$A$6:$AU$38,43,0)</f>
        <v>0</v>
      </c>
      <c r="AC36" s="36">
        <f>VLOOKUP($A36,[24]HISTOOCT24!$A$6:$AU$38,44,0)</f>
        <v>0</v>
      </c>
      <c r="AD36" s="36">
        <f>VLOOKUP($A36,[24]HISTOOCT24!$A$6:$AU$38,47,0)</f>
        <v>0</v>
      </c>
      <c r="AE36" s="36">
        <f>VLOOKUP(A36,[24]HISTOOCT24!$A$6:$BB$38,54,0)</f>
        <v>0</v>
      </c>
      <c r="AF36" s="36">
        <f>VLOOKUP($A36,[24]HISTOOCT24!$A$6:$CA$38,60,0)</f>
        <v>0</v>
      </c>
      <c r="AG36" s="36">
        <f>VLOOKUP($A36,[24]HISTOOCT24!$A$6:$CA$38,61,0)</f>
        <v>0</v>
      </c>
      <c r="AH36" s="36">
        <f>VLOOKUP($A36,[24]HISTOOCT24!$A$6:$CA$38,62,0)</f>
        <v>0</v>
      </c>
      <c r="AI36" s="36">
        <f>VLOOKUP($A36,[24]HISTOOCT24!$A$6:$CA$38,63,0)</f>
        <v>0</v>
      </c>
      <c r="AJ36" s="36">
        <f>VLOOKUP($A36,[24]HISTOOCT24!$A$6:$CA$38,64,0)</f>
        <v>0</v>
      </c>
      <c r="AK36" s="36">
        <f>VLOOKUP($A36,[24]HISTOOCT24!$A$6:$CA$38,65,0)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MVTSEPT24!I37-E37+L37</f>
        <v>2008400.7147676253</v>
      </c>
      <c r="G37" s="5">
        <f>IF(MVTSEPT24!I37+L37&gt;700000,(MVTSEPT24!I37-E37+L37),0)</f>
        <v>2008400.7147676253</v>
      </c>
      <c r="H37" s="36">
        <f t="shared" si="0"/>
        <v>0</v>
      </c>
      <c r="I37" s="6">
        <f t="shared" si="2"/>
        <v>2008400.7147676253</v>
      </c>
      <c r="J37" s="36">
        <f>VLOOKUP($A37,[24]HISTOOCT24!$A$6:$AQ$42,22,0)</f>
        <v>0</v>
      </c>
      <c r="K37" s="36">
        <f>VLOOKUP($A37,[24]HISTOOCT24!$A$6:$AU$38,45,0)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VLOOKUP($A37,[24]HISTOOCT24!$A$6:$AU$38,7,0)</f>
        <v>3000</v>
      </c>
      <c r="Q37" s="36">
        <f>VLOOKUP($A37,[24]HISTOOCT24!$A$6:$AU$38,23,0)</f>
        <v>0</v>
      </c>
      <c r="R37" s="36">
        <f>VLOOKUP($A37,[24]HISTOOCT24!$A$6:$AU$38,46,0)</f>
        <v>0</v>
      </c>
      <c r="S37" s="36">
        <f>VLOOKUP($A37,[24]HISTOOCT24!$A$6:$AU$38,26,0)</f>
        <v>0</v>
      </c>
      <c r="T37" s="36">
        <f>VLOOKUP($A37,[24]HISTOOCT24!$A$6:$BG$38,58,0)</f>
        <v>0</v>
      </c>
      <c r="U37" s="36">
        <f>VLOOKUP($A37,[24]HISTOOCT24!$A$6:$AU$38,28,0)</f>
        <v>0</v>
      </c>
      <c r="V37" s="36">
        <f>VLOOKUP($A37,[24]HISTOOCT24!$A$6:$AU$38,19,0)</f>
        <v>0</v>
      </c>
      <c r="W37" s="36">
        <f>VLOOKUP($A37,[24]HISTOOCT24!$A$6:$AU$38,20,0)</f>
        <v>0</v>
      </c>
      <c r="X37" s="36">
        <f>VLOOKUP($A37,[24]HISTOOCT24!$A$6:$AU$38,27,0)</f>
        <v>0</v>
      </c>
      <c r="Y37" s="36">
        <f>VLOOKUP($A37,[24]HISTOOCT24!$A$6:$BM$38,33,0)</f>
        <v>0</v>
      </c>
      <c r="Z37" s="36">
        <f>VLOOKUP($A37,[24]HISTOOCT24!$A$6:$BM$38,65,0)</f>
        <v>0</v>
      </c>
      <c r="AA37" s="36"/>
      <c r="AB37" s="36">
        <f>VLOOKUP($A37,[24]HISTOOCT24!$A$6:$AU$38,43,0)</f>
        <v>0</v>
      </c>
      <c r="AC37" s="36">
        <f>VLOOKUP($A37,[24]HISTOOCT24!$A$6:$AU$38,44,0)</f>
        <v>0</v>
      </c>
      <c r="AD37" s="36">
        <f>VLOOKUP($A37,[24]HISTOOCT24!$A$6:$AU$38,47,0)</f>
        <v>0</v>
      </c>
      <c r="AE37" s="36">
        <f>VLOOKUP(A37,[24]HISTOOCT24!$A$6:$BB$38,54,0)</f>
        <v>0</v>
      </c>
      <c r="AF37" s="36">
        <f>VLOOKUP($A37,[24]HISTOOCT24!$A$6:$CA$38,60,0)</f>
        <v>0</v>
      </c>
      <c r="AG37" s="36">
        <f>VLOOKUP($A37,[24]HISTOOCT24!$A$6:$CA$38,61,0)</f>
        <v>0</v>
      </c>
      <c r="AH37" s="36">
        <f>VLOOKUP($A37,[24]HISTOOCT24!$A$6:$CA$38,62,0)</f>
        <v>0</v>
      </c>
      <c r="AI37" s="36">
        <f>VLOOKUP($A37,[24]HISTOOCT24!$A$6:$CA$38,63,0)</f>
        <v>0</v>
      </c>
      <c r="AJ37" s="36">
        <f>VLOOKUP($A37,[24]HISTOOCT24!$A$6:$CA$38,64,0)</f>
        <v>0</v>
      </c>
      <c r="AK37" s="36">
        <f>VLOOKUP($A37,[24]HISTOOCT24!$A$6:$CA$38,65,0)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MVTSEPT24!I38-E38+L38</f>
        <v>190000</v>
      </c>
      <c r="G38" s="5">
        <f>IF(MVTSEPT24!I38+L38&gt;700000,(MVTSEPT24!I38-E38+L38),0)</f>
        <v>0</v>
      </c>
      <c r="H38" s="36">
        <f t="shared" si="0"/>
        <v>0</v>
      </c>
      <c r="I38" s="6">
        <f t="shared" si="2"/>
        <v>190000</v>
      </c>
      <c r="J38" s="36">
        <f>VLOOKUP($A38,[24]HISTOOCT24!$A$6:$AQ$42,22,0)</f>
        <v>0</v>
      </c>
      <c r="K38" s="36">
        <f>VLOOKUP($A38,[24]HISTOOCT24!$A$6:$AU$38,45,0)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VLOOKUP($A38,[24]HISTOOCT24!$A$6:$AU$38,7,0)</f>
        <v>0</v>
      </c>
      <c r="Q38" s="36">
        <f>VLOOKUP($A38,[24]HISTOOCT24!$A$6:$AU$38,23,0)</f>
        <v>0</v>
      </c>
      <c r="R38" s="36">
        <f>VLOOKUP($A38,[24]HISTOOCT24!$A$6:$AU$38,46,0)</f>
        <v>0</v>
      </c>
      <c r="S38" s="36">
        <f>VLOOKUP($A38,[24]HISTOOCT24!$A$6:$AU$38,26,0)</f>
        <v>0</v>
      </c>
      <c r="T38" s="36">
        <f>VLOOKUP($A38,[24]HISTOOCT24!$A$6:$BG$38,58,0)</f>
        <v>0</v>
      </c>
      <c r="U38" s="36">
        <f>VLOOKUP($A38,[24]HISTOOCT24!$A$6:$AU$38,28,0)</f>
        <v>0</v>
      </c>
      <c r="V38" s="36">
        <f>VLOOKUP($A38,[24]HISTOOCT24!$A$6:$AU$38,19,0)</f>
        <v>0</v>
      </c>
      <c r="W38" s="36">
        <f>VLOOKUP($A38,[24]HISTOOCT24!$A$6:$AU$38,20,0)</f>
        <v>0</v>
      </c>
      <c r="X38" s="36">
        <f>VLOOKUP($A38,[24]HISTOOCT24!$A$6:$AU$38,27,0)</f>
        <v>0</v>
      </c>
      <c r="Y38" s="36">
        <f>VLOOKUP($A38,[24]HISTOOCT24!$A$6:$BM$38,33,0)</f>
        <v>0</v>
      </c>
      <c r="Z38" s="36">
        <f>VLOOKUP($A38,[24]HISTOOCT24!$A$6:$BM$38,65,0)</f>
        <v>0</v>
      </c>
      <c r="AA38" s="36"/>
      <c r="AB38" s="36">
        <f>VLOOKUP($A38,[24]HISTOOCT24!$A$6:$AU$38,43,0)</f>
        <v>0</v>
      </c>
      <c r="AC38" s="36">
        <f>VLOOKUP($A38,[24]HISTOOCT24!$A$6:$AU$38,44,0)</f>
        <v>0</v>
      </c>
      <c r="AD38" s="36">
        <f>VLOOKUP($A38,[24]HISTOOCT24!$A$6:$AU$38,47,0)</f>
        <v>0</v>
      </c>
      <c r="AE38" s="36">
        <f>VLOOKUP(A38,[24]HISTOOCT24!$A$6:$BB$38,54,0)</f>
        <v>0</v>
      </c>
      <c r="AF38" s="36">
        <f>VLOOKUP($A38,[24]HISTOOCT24!$A$6:$CA$38,60,0)</f>
        <v>0</v>
      </c>
      <c r="AG38" s="36">
        <f>VLOOKUP($A38,[24]HISTOOCT24!$A$6:$CA$38,61,0)</f>
        <v>0</v>
      </c>
      <c r="AH38" s="36">
        <f>VLOOKUP($A38,[24]HISTOOCT24!$A$6:$CA$38,62,0)</f>
        <v>0</v>
      </c>
      <c r="AI38" s="36">
        <f>VLOOKUP($A38,[24]HISTOOCT24!$A$6:$CA$38,63,0)</f>
        <v>0</v>
      </c>
      <c r="AJ38" s="36">
        <f>VLOOKUP($A38,[24]HISTOOCT24!$A$6:$CA$38,64,0)</f>
        <v>0</v>
      </c>
      <c r="AK38" s="36">
        <f>VLOOKUP($A38,[24]HISTOOCT24!$A$6:$CA$38,65,0)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MVTSEPT24!I39-E39+L39</f>
        <v>2173313.2142100567</v>
      </c>
      <c r="G39" s="5">
        <f>IF(MVTSEPT24!I39+L39&gt;700000,(MVTSEPT24!I39-E39+L39),0)</f>
        <v>2173313.2142100567</v>
      </c>
      <c r="H39" s="36">
        <f t="shared" si="0"/>
        <v>0</v>
      </c>
      <c r="I39" s="6">
        <f t="shared" si="2"/>
        <v>2173313.2142100567</v>
      </c>
      <c r="J39" s="36">
        <f>VLOOKUP($A39,[24]HISTOOCT24!$A$6:$AQ$42,22,0)</f>
        <v>0</v>
      </c>
      <c r="K39" s="36">
        <f>VLOOKUP($A39,[24]HISTOOCT24!$A$6:$AU$38,45,0)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VLOOKUP($A39,[24]HISTOOCT24!$A$6:$AU$38,7,0)</f>
        <v>0</v>
      </c>
      <c r="Q39" s="36">
        <f>VLOOKUP($A39,[24]HISTOOCT24!$A$6:$AU$38,23,0)</f>
        <v>0</v>
      </c>
      <c r="R39" s="36">
        <f>VLOOKUP($A39,[24]HISTOOCT24!$A$6:$AU$38,46,0)</f>
        <v>0</v>
      </c>
      <c r="S39" s="36">
        <f>VLOOKUP($A39,[24]HISTOOCT24!$A$6:$AU$38,26,0)</f>
        <v>0</v>
      </c>
      <c r="T39" s="36">
        <f>VLOOKUP($A39,[24]HISTOOCT24!$A$6:$BG$38,58,0)</f>
        <v>0</v>
      </c>
      <c r="U39" s="36">
        <f>VLOOKUP($A39,[24]HISTOOCT24!$A$6:$AU$38,28,0)</f>
        <v>0</v>
      </c>
      <c r="V39" s="36">
        <f>VLOOKUP($A39,[24]HISTOOCT24!$A$6:$AU$38,19,0)</f>
        <v>0</v>
      </c>
      <c r="W39" s="36">
        <f>VLOOKUP($A39,[24]HISTOOCT24!$A$6:$AU$38,20,0)</f>
        <v>0</v>
      </c>
      <c r="X39" s="36">
        <f>VLOOKUP($A39,[24]HISTOOCT24!$A$6:$AU$38,27,0)</f>
        <v>0</v>
      </c>
      <c r="Y39" s="36">
        <f>VLOOKUP($A39,[24]HISTOOCT24!$A$6:$BM$38,33,0)</f>
        <v>0</v>
      </c>
      <c r="Z39" s="36">
        <f>VLOOKUP($A39,[24]HISTOOCT24!$A$6:$BM$38,65,0)</f>
        <v>0</v>
      </c>
      <c r="AA39" s="36"/>
      <c r="AB39" s="36">
        <f>VLOOKUP($A39,[24]HISTOOCT24!$A$6:$AU$38,43,0)</f>
        <v>0</v>
      </c>
      <c r="AC39" s="36">
        <f>VLOOKUP($A39,[24]HISTOOCT24!$A$6:$AU$38,44,0)</f>
        <v>0</v>
      </c>
      <c r="AD39" s="36">
        <f>VLOOKUP($A39,[24]HISTOOCT24!$A$6:$AU$38,47,0)</f>
        <v>0</v>
      </c>
      <c r="AE39" s="36">
        <f>VLOOKUP(A39,[24]HISTOOCT24!$A$6:$BB$38,54,0)</f>
        <v>0</v>
      </c>
      <c r="AF39" s="36">
        <f>VLOOKUP($A39,[24]HISTOOCT24!$A$6:$CA$38,60,0)</f>
        <v>0</v>
      </c>
      <c r="AG39" s="36">
        <f>VLOOKUP($A39,[24]HISTOOCT24!$A$6:$CA$38,61,0)</f>
        <v>0</v>
      </c>
      <c r="AH39" s="36">
        <f>VLOOKUP($A39,[24]HISTOOCT24!$A$6:$CA$38,62,0)</f>
        <v>0</v>
      </c>
      <c r="AI39" s="36">
        <f>VLOOKUP($A39,[24]HISTOOCT24!$A$6:$CA$38,63,0)</f>
        <v>0</v>
      </c>
      <c r="AJ39" s="36">
        <f>VLOOKUP($A39,[24]HISTOOCT24!$A$6:$CA$38,64,0)</f>
        <v>0</v>
      </c>
      <c r="AK39" s="36">
        <f>VLOOKUP($A39,[24]HISTOOCT24!$A$6:$CA$38,65,0)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32968656.655274987</v>
      </c>
      <c r="G41" s="9">
        <f t="shared" si="10"/>
        <v>31027439.524547949</v>
      </c>
      <c r="H41" s="36">
        <f t="shared" si="10"/>
        <v>0</v>
      </c>
      <c r="I41" s="9">
        <f t="shared" si="10"/>
        <v>32968656.655274987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G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45582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VLOOKUP($A6,[24]HISTOOCT24!$A$6:$BA$38,48,0)</f>
        <v>0</v>
      </c>
      <c r="F6" s="36">
        <f>MVTSEPT24!I6-E6+L6</f>
        <v>946220.58968855068</v>
      </c>
      <c r="G6" s="5">
        <f>IF(MVTSEPT24!I6+L6&gt;700000,(MVTSEPT24!I6-E6+L6),0)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VLOOKUP($A6,[24]HISTOOCT24!$A$6:$AQ$42,22,0)</f>
        <v>0</v>
      </c>
      <c r="K6" s="36">
        <f>VLOOKUP($A6,[24]HISTOOCT24!$A$6:$AU$38,45,0)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VLOOKUP($A6,[24]HISTOOCT24!$A$6:$AU$38,7,0)</f>
        <v>0</v>
      </c>
      <c r="Q6" s="36">
        <f>VLOOKUP($A6,[24]HISTOOCT24!$A$6:$AU$38,23,0)</f>
        <v>0</v>
      </c>
      <c r="R6" s="36">
        <f>VLOOKUP($A6,[24]HISTOOCT24!$A$6:$AU$38,46,0)</f>
        <v>0</v>
      </c>
      <c r="S6" s="36">
        <f>VLOOKUP($A6,[24]HISTOOCT24!$A$6:$AU$38,26,0)</f>
        <v>0</v>
      </c>
      <c r="T6" s="36">
        <f>VLOOKUP($A6,[24]HISTOOCT24!$A$6:$BG$38,58,0)</f>
        <v>0</v>
      </c>
      <c r="U6" s="36">
        <f>VLOOKUP($A6,[24]HISTOOCT24!$A$6:$AU$38,28,0)</f>
        <v>0</v>
      </c>
      <c r="V6" s="36">
        <f>VLOOKUP($A6,[24]HISTOOCT24!$A$6:$AU$38,19,0)</f>
        <v>0</v>
      </c>
      <c r="W6" s="36">
        <f>VLOOKUP($A6,[24]HISTOOCT24!$A$6:$AU$38,20,0)</f>
        <v>0</v>
      </c>
      <c r="X6" s="36">
        <f>VLOOKUP($A6,[24]HISTOOCT24!$A$6:$AU$38,27,0)</f>
        <v>0</v>
      </c>
      <c r="Y6" s="36">
        <f>VLOOKUP($A6,[24]HISTOOCT24!$A$6:$BM$38,33,0)</f>
        <v>0</v>
      </c>
      <c r="Z6" s="36">
        <f>VLOOKUP($A6,[24]HISTOOCT24!$A$6:$BM$38,65,0)</f>
        <v>0</v>
      </c>
      <c r="AA6" s="36"/>
      <c r="AB6" s="36">
        <f>VLOOKUP($A6,[24]HISTOOCT24!$A$6:$AU$38,43,0)</f>
        <v>0</v>
      </c>
      <c r="AC6" s="36">
        <f>VLOOKUP($A6,[24]HISTOOCT24!$A$6:$AU$38,44,0)</f>
        <v>0</v>
      </c>
      <c r="AD6" s="36">
        <f>VLOOKUP($A6,[24]HISTOOCT24!$A$6:$AU$38,47,0)</f>
        <v>0</v>
      </c>
      <c r="AE6" s="36">
        <f>VLOOKUP(A6,[24]HISTOOCT24!$A$6:$BB$38,54,0)</f>
        <v>0</v>
      </c>
      <c r="AF6" s="36">
        <f>VLOOKUP($A6,[24]HISTOOCT24!$A$6:$CA$38,60,0)</f>
        <v>0</v>
      </c>
      <c r="AG6" s="36">
        <f>VLOOKUP($A6,[24]HISTOOCT24!$A$6:$CA$38,61,0)</f>
        <v>0</v>
      </c>
      <c r="AH6" s="36">
        <f>VLOOKUP($A6,[24]HISTOOCT24!$A$6:$CA$38,62,0)</f>
        <v>0</v>
      </c>
      <c r="AI6" s="36">
        <f>VLOOKUP($A6,[24]HISTOOCT24!$A$6:$CA$38,63,0)</f>
        <v>0</v>
      </c>
      <c r="AJ6" s="36">
        <f>VLOOKUP($A6,[24]HISTOOCT24!$A$6:$CA$38,64,0)</f>
        <v>0</v>
      </c>
      <c r="AK6" s="36">
        <f>VLOOKUP($A6,[24]HISTOOCT24!$A$6:$CA$38,65,0)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VLOOKUP($A7,[24]HISTOOCT24!$A$6:$BA$38,48,0)</f>
        <v>0</v>
      </c>
      <c r="F7" s="36">
        <f>MVTSEPT24!I7-E7+L7</f>
        <v>890791.19348721951</v>
      </c>
      <c r="G7" s="5">
        <f>IF(MVTSEPT24!I7+L7&gt;700000,(MVTSEPT24!I7-E7+L7),0)</f>
        <v>890791.19348721951</v>
      </c>
      <c r="H7" s="36">
        <f t="shared" si="0"/>
        <v>0</v>
      </c>
      <c r="I7" s="6">
        <f t="shared" ref="I7:I39" si="2">F7+H7</f>
        <v>890791.19348721951</v>
      </c>
      <c r="J7" s="36">
        <f>VLOOKUP($A7,[24]HISTOOCT24!$A$6:$AQ$42,22,0)</f>
        <v>0</v>
      </c>
      <c r="K7" s="36">
        <f>VLOOKUP($A7,[24]HISTOOCT24!$A$6:$AU$38,45,0)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VLOOKUP($A7,[24]HISTOOCT24!$A$6:$AU$38,7,0)</f>
        <v>3000</v>
      </c>
      <c r="Q7" s="36">
        <f>VLOOKUP($A7,[24]HISTOOCT24!$A$6:$AU$38,23,0)</f>
        <v>0</v>
      </c>
      <c r="R7" s="36">
        <f>VLOOKUP($A7,[24]HISTOOCT24!$A$6:$AU$38,46,0)</f>
        <v>0</v>
      </c>
      <c r="S7" s="36">
        <f>VLOOKUP($A7,[24]HISTOOCT24!$A$6:$AU$38,26,0)</f>
        <v>0</v>
      </c>
      <c r="T7" s="36">
        <f>VLOOKUP($A7,[24]HISTOOCT24!$A$6:$BG$38,58,0)</f>
        <v>0</v>
      </c>
      <c r="U7" s="36">
        <f>VLOOKUP($A7,[24]HISTOOCT24!$A$6:$AU$38,28,0)</f>
        <v>0</v>
      </c>
      <c r="V7" s="36">
        <f>VLOOKUP($A7,[24]HISTOOCT24!$A$6:$AU$38,19,0)</f>
        <v>0</v>
      </c>
      <c r="W7" s="36">
        <f>VLOOKUP($A7,[24]HISTOOCT24!$A$6:$AU$38,20,0)</f>
        <v>0</v>
      </c>
      <c r="X7" s="36">
        <f>VLOOKUP($A7,[24]HISTOOCT24!$A$6:$AU$38,27,0)</f>
        <v>0</v>
      </c>
      <c r="Y7" s="36">
        <f>VLOOKUP($A7,[24]HISTOOCT24!$A$6:$BM$38,33,0)</f>
        <v>0</v>
      </c>
      <c r="Z7" s="36">
        <f>VLOOKUP($A7,[24]HISTOOCT24!$A$6:$BM$38,65,0)</f>
        <v>0</v>
      </c>
      <c r="AA7" s="36"/>
      <c r="AB7" s="36">
        <f>VLOOKUP($A7,[24]HISTOOCT24!$A$6:$AU$38,43,0)</f>
        <v>0</v>
      </c>
      <c r="AC7" s="36">
        <f>VLOOKUP($A7,[24]HISTOOCT24!$A$6:$AU$38,44,0)</f>
        <v>0</v>
      </c>
      <c r="AD7" s="36">
        <f>VLOOKUP($A7,[24]HISTOOCT24!$A$6:$AU$38,47,0)</f>
        <v>0</v>
      </c>
      <c r="AE7" s="36">
        <f>VLOOKUP(A7,[24]HISTOOCT24!$A$6:$BB$38,54,0)</f>
        <v>0</v>
      </c>
      <c r="AF7" s="36">
        <f>VLOOKUP($A7,[24]HISTOOCT24!$A$6:$CA$38,60,0)</f>
        <v>0</v>
      </c>
      <c r="AG7" s="36">
        <f>VLOOKUP($A7,[24]HISTOOCT24!$A$6:$CA$38,61,0)</f>
        <v>0</v>
      </c>
      <c r="AH7" s="36">
        <f>VLOOKUP($A7,[24]HISTOOCT24!$A$6:$CA$38,62,0)</f>
        <v>0</v>
      </c>
      <c r="AI7" s="36">
        <f>VLOOKUP($A7,[24]HISTOOCT24!$A$6:$CA$38,63,0)</f>
        <v>0</v>
      </c>
      <c r="AJ7" s="36">
        <f>VLOOKUP($A7,[24]HISTOOCT24!$A$6:$CA$38,64,0)</f>
        <v>0</v>
      </c>
      <c r="AK7" s="36">
        <f>VLOOKUP($A7,[24]HISTOOCT24!$A$6:$CA$38,65,0)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VLOOKUP($A8,[24]HISTOOCT24!$A$6:$BA$38,48,0)</f>
        <v>0</v>
      </c>
      <c r="F8" s="36">
        <f>MVTSEPT24!I8-E8+L8</f>
        <v>934533.31236524263</v>
      </c>
      <c r="G8" s="5">
        <f>IF(MVTSEPT24!I8+L8&gt;700000,(MVTSEPT24!I8-E8+L8),0)</f>
        <v>934533.31236524263</v>
      </c>
      <c r="H8" s="36">
        <f t="shared" si="0"/>
        <v>0</v>
      </c>
      <c r="I8" s="6">
        <f t="shared" si="2"/>
        <v>934533.31236524263</v>
      </c>
      <c r="J8" s="36">
        <f>VLOOKUP($A8,[24]HISTOOCT24!$A$6:$AQ$42,22,0)</f>
        <v>0</v>
      </c>
      <c r="K8" s="36">
        <f>VLOOKUP($A8,[24]HISTOOCT24!$A$6:$AU$38,45,0)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VLOOKUP($A8,[24]HISTOOCT24!$A$6:$AU$38,7,0)</f>
        <v>0</v>
      </c>
      <c r="Q8" s="36">
        <f>VLOOKUP($A8,[24]HISTOOCT24!$A$6:$AU$38,23,0)</f>
        <v>0</v>
      </c>
      <c r="R8" s="36">
        <f>VLOOKUP($A8,[24]HISTOOCT24!$A$6:$AU$38,46,0)</f>
        <v>0</v>
      </c>
      <c r="S8" s="36">
        <f>VLOOKUP($A8,[24]HISTOOCT24!$A$6:$AU$38,26,0)</f>
        <v>0</v>
      </c>
      <c r="T8" s="36">
        <f>VLOOKUP($A8,[24]HISTOOCT24!$A$6:$BG$38,58,0)</f>
        <v>0</v>
      </c>
      <c r="U8" s="36">
        <f>VLOOKUP($A8,[24]HISTOOCT24!$A$6:$AU$38,28,0)</f>
        <v>0</v>
      </c>
      <c r="V8" s="36">
        <f>VLOOKUP($A8,[24]HISTOOCT24!$A$6:$AU$38,19,0)</f>
        <v>0</v>
      </c>
      <c r="W8" s="36">
        <f>VLOOKUP($A8,[24]HISTOOCT24!$A$6:$AU$38,20,0)</f>
        <v>0</v>
      </c>
      <c r="X8" s="36">
        <f>VLOOKUP($A8,[24]HISTOOCT24!$A$6:$AU$38,27,0)</f>
        <v>0</v>
      </c>
      <c r="Y8" s="36">
        <f>VLOOKUP($A8,[24]HISTOOCT24!$A$6:$BM$38,33,0)</f>
        <v>0</v>
      </c>
      <c r="Z8" s="36">
        <f>VLOOKUP($A8,[24]HISTOOCT24!$A$6:$BM$38,65,0)</f>
        <v>0</v>
      </c>
      <c r="AA8" s="36"/>
      <c r="AB8" s="36">
        <f>VLOOKUP($A8,[24]HISTOOCT24!$A$6:$AU$38,43,0)</f>
        <v>0</v>
      </c>
      <c r="AC8" s="36">
        <f>VLOOKUP($A8,[24]HISTOOCT24!$A$6:$AU$38,44,0)</f>
        <v>0</v>
      </c>
      <c r="AD8" s="36">
        <f>VLOOKUP($A8,[24]HISTOOCT24!$A$6:$AU$38,47,0)</f>
        <v>0</v>
      </c>
      <c r="AE8" s="36">
        <f>VLOOKUP(A8,[24]HISTOOCT24!$A$6:$BB$38,54,0)</f>
        <v>0</v>
      </c>
      <c r="AF8" s="36">
        <f>VLOOKUP($A8,[24]HISTOOCT24!$A$6:$CA$38,60,0)</f>
        <v>0</v>
      </c>
      <c r="AG8" s="36">
        <f>VLOOKUP($A8,[24]HISTOOCT24!$A$6:$CA$38,61,0)</f>
        <v>0</v>
      </c>
      <c r="AH8" s="36">
        <f>VLOOKUP($A8,[24]HISTOOCT24!$A$6:$CA$38,62,0)</f>
        <v>0</v>
      </c>
      <c r="AI8" s="36">
        <f>VLOOKUP($A8,[24]HISTOOCT24!$A$6:$CA$38,63,0)</f>
        <v>0</v>
      </c>
      <c r="AJ8" s="36">
        <f>VLOOKUP($A8,[24]HISTOOCT24!$A$6:$CA$38,64,0)</f>
        <v>0</v>
      </c>
      <c r="AK8" s="36">
        <f>VLOOKUP($A8,[24]HISTOOCT24!$A$6:$CA$38,65,0)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VLOOKUP($A9,[24]HISTOOCT24!$A$6:$BA$38,48,0)</f>
        <v>0</v>
      </c>
      <c r="F9" s="36">
        <f>MVTSEPT24!I9-E9+L9</f>
        <v>991962.00686817756</v>
      </c>
      <c r="G9" s="5">
        <f>IF(MVTSEPT24!I9+L9&gt;700000,(MVTSEPT24!I9-E9+L9),0)</f>
        <v>991962.00686817756</v>
      </c>
      <c r="H9" s="36">
        <f t="shared" si="0"/>
        <v>0</v>
      </c>
      <c r="I9" s="6">
        <f t="shared" si="2"/>
        <v>991962.00686817756</v>
      </c>
      <c r="J9" s="36">
        <f>VLOOKUP($A9,[24]HISTOOCT24!$A$6:$AQ$42,22,0)</f>
        <v>0</v>
      </c>
      <c r="K9" s="36">
        <f>VLOOKUP($A9,[24]HISTOOCT24!$A$6:$AU$38,45,0)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VLOOKUP($A9,[24]HISTOOCT24!$A$6:$AU$38,7,0)</f>
        <v>0</v>
      </c>
      <c r="Q9" s="36">
        <f>VLOOKUP($A9,[24]HISTOOCT24!$A$6:$AU$38,23,0)</f>
        <v>0</v>
      </c>
      <c r="R9" s="36">
        <f>VLOOKUP($A9,[24]HISTOOCT24!$A$6:$AU$38,46,0)</f>
        <v>0</v>
      </c>
      <c r="S9" s="36">
        <f>VLOOKUP($A9,[24]HISTOOCT24!$A$6:$AU$38,26,0)</f>
        <v>0</v>
      </c>
      <c r="T9" s="36">
        <f>VLOOKUP($A9,[24]HISTOOCT24!$A$6:$BG$38,58,0)</f>
        <v>0</v>
      </c>
      <c r="U9" s="36">
        <f>VLOOKUP($A9,[24]HISTOOCT24!$A$6:$AU$38,28,0)</f>
        <v>0</v>
      </c>
      <c r="V9" s="36">
        <f>VLOOKUP($A9,[24]HISTOOCT24!$A$6:$AU$38,19,0)</f>
        <v>0</v>
      </c>
      <c r="W9" s="36">
        <f>VLOOKUP($A9,[24]HISTOOCT24!$A$6:$AU$38,20,0)</f>
        <v>0</v>
      </c>
      <c r="X9" s="36">
        <f>VLOOKUP($A9,[24]HISTOOCT24!$A$6:$AU$38,27,0)</f>
        <v>0</v>
      </c>
      <c r="Y9" s="36">
        <f>VLOOKUP($A9,[24]HISTOOCT24!$A$6:$BM$38,33,0)</f>
        <v>0</v>
      </c>
      <c r="Z9" s="36">
        <f>VLOOKUP($A9,[24]HISTOOCT24!$A$6:$BM$38,65,0)</f>
        <v>0</v>
      </c>
      <c r="AA9" s="36"/>
      <c r="AB9" s="36">
        <f>VLOOKUP($A9,[24]HISTOOCT24!$A$6:$AU$38,43,0)</f>
        <v>0</v>
      </c>
      <c r="AC9" s="36">
        <f>VLOOKUP($A9,[24]HISTOOCT24!$A$6:$AU$38,44,0)</f>
        <v>0</v>
      </c>
      <c r="AD9" s="36">
        <f>VLOOKUP($A9,[24]HISTOOCT24!$A$6:$AU$38,47,0)</f>
        <v>0</v>
      </c>
      <c r="AE9" s="36">
        <f>VLOOKUP(A9,[24]HISTOOCT24!$A$6:$BB$38,54,0)</f>
        <v>0</v>
      </c>
      <c r="AF9" s="36">
        <f>VLOOKUP($A9,[24]HISTOOCT24!$A$6:$CA$38,60,0)</f>
        <v>0</v>
      </c>
      <c r="AG9" s="36">
        <f>VLOOKUP($A9,[24]HISTOOCT24!$A$6:$CA$38,61,0)</f>
        <v>0</v>
      </c>
      <c r="AH9" s="36">
        <f>VLOOKUP($A9,[24]HISTOOCT24!$A$6:$CA$38,62,0)</f>
        <v>0</v>
      </c>
      <c r="AI9" s="36">
        <f>VLOOKUP($A9,[24]HISTOOCT24!$A$6:$CA$38,63,0)</f>
        <v>0</v>
      </c>
      <c r="AJ9" s="36">
        <f>VLOOKUP($A9,[24]HISTOOCT24!$A$6:$CA$38,64,0)</f>
        <v>0</v>
      </c>
      <c r="AK9" s="36">
        <f>VLOOKUP($A9,[24]HISTOOCT24!$A$6:$CA$38,65,0)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VLOOKUP($A10,[24]HISTOOCT24!$A$6:$BA$38,48,0)</f>
        <v>0</v>
      </c>
      <c r="F10" s="36">
        <f>MVTSEPT24!I10-E10+L10</f>
        <v>931805.20622596238</v>
      </c>
      <c r="G10" s="5">
        <f>IF(MVTSEPT24!I10+L10&gt;700000,(MVTSEPT24!I10-E10+L10),0)</f>
        <v>931805.20622596238</v>
      </c>
      <c r="H10" s="36">
        <f t="shared" si="0"/>
        <v>0</v>
      </c>
      <c r="I10" s="6">
        <f t="shared" si="2"/>
        <v>931805.20622596238</v>
      </c>
      <c r="J10" s="36">
        <f>VLOOKUP($A10,[24]HISTOOCT24!$A$6:$AQ$42,22,0)</f>
        <v>0</v>
      </c>
      <c r="K10" s="36">
        <f>VLOOKUP($A10,[24]HISTOOCT24!$A$6:$AU$38,45,0)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VLOOKUP($A10,[24]HISTOOCT24!$A$6:$AU$38,7,0)</f>
        <v>0</v>
      </c>
      <c r="Q10" s="36">
        <f>VLOOKUP($A10,[24]HISTOOCT24!$A$6:$AU$38,23,0)</f>
        <v>0</v>
      </c>
      <c r="R10" s="36">
        <f>VLOOKUP($A10,[24]HISTOOCT24!$A$6:$AU$38,46,0)</f>
        <v>0</v>
      </c>
      <c r="S10" s="36">
        <f>VLOOKUP($A10,[24]HISTOOCT24!$A$6:$AU$38,26,0)</f>
        <v>0</v>
      </c>
      <c r="T10" s="36">
        <f>VLOOKUP($A10,[24]HISTOOCT24!$A$6:$BG$38,58,0)</f>
        <v>0</v>
      </c>
      <c r="U10" s="36">
        <f>VLOOKUP($A10,[24]HISTOOCT24!$A$6:$AU$38,28,0)</f>
        <v>0</v>
      </c>
      <c r="V10" s="36">
        <f>VLOOKUP($A10,[24]HISTOOCT24!$A$6:$AU$38,19,0)</f>
        <v>0</v>
      </c>
      <c r="W10" s="36">
        <f>VLOOKUP($A10,[24]HISTOOCT24!$A$6:$AU$38,20,0)</f>
        <v>0</v>
      </c>
      <c r="X10" s="36">
        <f>VLOOKUP($A10,[24]HISTOOCT24!$A$6:$AU$38,27,0)</f>
        <v>0</v>
      </c>
      <c r="Y10" s="36">
        <f>VLOOKUP($A10,[24]HISTOOCT24!$A$6:$BM$38,33,0)</f>
        <v>0</v>
      </c>
      <c r="Z10" s="36">
        <f>VLOOKUP($A10,[24]HISTOOCT24!$A$6:$BM$38,65,0)</f>
        <v>0</v>
      </c>
      <c r="AA10" s="36"/>
      <c r="AB10" s="36">
        <f>VLOOKUP($A10,[24]HISTOOCT24!$A$6:$AU$38,43,0)</f>
        <v>0</v>
      </c>
      <c r="AC10" s="36">
        <f>VLOOKUP($A10,[24]HISTOOCT24!$A$6:$AU$38,44,0)</f>
        <v>0</v>
      </c>
      <c r="AD10" s="36">
        <f>VLOOKUP($A10,[24]HISTOOCT24!$A$6:$AU$38,47,0)</f>
        <v>0</v>
      </c>
      <c r="AE10" s="36">
        <f>VLOOKUP(A10,[24]HISTOOCT24!$A$6:$BB$38,54,0)</f>
        <v>0</v>
      </c>
      <c r="AF10" s="36">
        <f>VLOOKUP($A10,[24]HISTOOCT24!$A$6:$CA$38,60,0)</f>
        <v>0</v>
      </c>
      <c r="AG10" s="36">
        <f>VLOOKUP($A10,[24]HISTOOCT24!$A$6:$CA$38,61,0)</f>
        <v>0</v>
      </c>
      <c r="AH10" s="36">
        <f>VLOOKUP($A10,[24]HISTOOCT24!$A$6:$CA$38,62,0)</f>
        <v>0</v>
      </c>
      <c r="AI10" s="36">
        <f>VLOOKUP($A10,[24]HISTOOCT24!$A$6:$CA$38,63,0)</f>
        <v>0</v>
      </c>
      <c r="AJ10" s="36">
        <f>VLOOKUP($A10,[24]HISTOOCT24!$A$6:$CA$38,64,0)</f>
        <v>0</v>
      </c>
      <c r="AK10" s="36">
        <f>VLOOKUP($A10,[24]HISTOOCT24!$A$6:$CA$38,65,0)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VLOOKUP($A11,[24]HISTOOCT24!$A$6:$BA$38,48,0)</f>
        <v>0</v>
      </c>
      <c r="F11" s="36">
        <f>MVTSEPT24!I11-E11+L11</f>
        <v>949855.82895949238</v>
      </c>
      <c r="G11" s="5">
        <f>IF(MVTSEPT24!I11+L11&gt;700000,(MVTSEPT24!I11-E11+L11),0)</f>
        <v>949855.82895949238</v>
      </c>
      <c r="H11" s="36">
        <f t="shared" si="0"/>
        <v>0</v>
      </c>
      <c r="I11" s="6">
        <f t="shared" si="2"/>
        <v>949855.82895949238</v>
      </c>
      <c r="J11" s="36">
        <f>VLOOKUP($A11,[24]HISTOOCT24!$A$6:$AQ$42,22,0)</f>
        <v>0</v>
      </c>
      <c r="K11" s="36">
        <f>VLOOKUP($A11,[24]HISTOOCT24!$A$6:$AU$38,45,0)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VLOOKUP($A11,[24]HISTOOCT24!$A$6:$AU$38,7,0)</f>
        <v>0</v>
      </c>
      <c r="Q11" s="36">
        <f>VLOOKUP($A11,[24]HISTOOCT24!$A$6:$AU$38,23,0)</f>
        <v>0</v>
      </c>
      <c r="R11" s="36">
        <f>VLOOKUP($A11,[24]HISTOOCT24!$A$6:$AU$38,46,0)</f>
        <v>0</v>
      </c>
      <c r="S11" s="36">
        <f>VLOOKUP($A11,[24]HISTOOCT24!$A$6:$AU$38,26,0)</f>
        <v>0</v>
      </c>
      <c r="T11" s="36">
        <f>VLOOKUP($A11,[24]HISTOOCT24!$A$6:$BG$38,58,0)</f>
        <v>0</v>
      </c>
      <c r="U11" s="36">
        <f>VLOOKUP($A11,[24]HISTOOCT24!$A$6:$AU$38,28,0)</f>
        <v>0</v>
      </c>
      <c r="V11" s="36">
        <f>VLOOKUP($A11,[24]HISTOOCT24!$A$6:$AU$38,19,0)</f>
        <v>0</v>
      </c>
      <c r="W11" s="36">
        <f>VLOOKUP($A11,[24]HISTOOCT24!$A$6:$AU$38,20,0)</f>
        <v>0</v>
      </c>
      <c r="X11" s="36">
        <f>VLOOKUP($A11,[24]HISTOOCT24!$A$6:$AU$38,27,0)</f>
        <v>0</v>
      </c>
      <c r="Y11" s="36">
        <f>VLOOKUP($A11,[24]HISTOOCT24!$A$6:$BM$38,33,0)</f>
        <v>0</v>
      </c>
      <c r="Z11" s="36">
        <f>VLOOKUP($A11,[24]HISTOOCT24!$A$6:$BM$38,65,0)</f>
        <v>0</v>
      </c>
      <c r="AA11" s="36"/>
      <c r="AB11" s="36">
        <f>VLOOKUP($A11,[24]HISTOOCT24!$A$6:$AU$38,43,0)</f>
        <v>0</v>
      </c>
      <c r="AC11" s="36">
        <f>VLOOKUP($A11,[24]HISTOOCT24!$A$6:$AU$38,44,0)</f>
        <v>0</v>
      </c>
      <c r="AD11" s="36">
        <f>VLOOKUP($A11,[24]HISTOOCT24!$A$6:$AU$38,47,0)</f>
        <v>0</v>
      </c>
      <c r="AE11" s="36">
        <f>VLOOKUP(A11,[24]HISTOOCT24!$A$6:$BB$38,54,0)</f>
        <v>0</v>
      </c>
      <c r="AF11" s="36">
        <f>VLOOKUP($A11,[24]HISTOOCT24!$A$6:$CA$38,60,0)</f>
        <v>0</v>
      </c>
      <c r="AG11" s="36">
        <f>VLOOKUP($A11,[24]HISTOOCT24!$A$6:$CA$38,61,0)</f>
        <v>0</v>
      </c>
      <c r="AH11" s="36">
        <f>VLOOKUP($A11,[24]HISTOOCT24!$A$6:$CA$38,62,0)</f>
        <v>0</v>
      </c>
      <c r="AI11" s="36">
        <f>VLOOKUP($A11,[24]HISTOOCT24!$A$6:$CA$38,63,0)</f>
        <v>0</v>
      </c>
      <c r="AJ11" s="36">
        <f>VLOOKUP($A11,[24]HISTOOCT24!$A$6:$CA$38,64,0)</f>
        <v>0</v>
      </c>
      <c r="AK11" s="36">
        <f>VLOOKUP($A11,[24]HISTOOCT24!$A$6:$CA$38,65,0)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VLOOKUP($A12,[24]HISTOOCT24!$A$6:$BA$38,48,0)</f>
        <v>0</v>
      </c>
      <c r="F12" s="36">
        <f>MVTSEPT24!I12-E12+L12</f>
        <v>973100.14741339569</v>
      </c>
      <c r="G12" s="5">
        <f>IF(MVTSEPT24!I12+L12&gt;700000,(MVTSEPT24!I12-E12+L12),0)</f>
        <v>973100.14741339569</v>
      </c>
      <c r="H12" s="36">
        <f t="shared" si="0"/>
        <v>0</v>
      </c>
      <c r="I12" s="6">
        <f t="shared" si="2"/>
        <v>973100.14741339569</v>
      </c>
      <c r="J12" s="36">
        <f>VLOOKUP($A12,[24]HISTOOCT24!$A$6:$AQ$42,22,0)</f>
        <v>0</v>
      </c>
      <c r="K12" s="36">
        <f>VLOOKUP($A12,[24]HISTOOCT24!$A$6:$AU$38,45,0)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VLOOKUP($A12,[24]HISTOOCT24!$A$6:$AU$38,7,0)</f>
        <v>0</v>
      </c>
      <c r="Q12" s="36">
        <f>VLOOKUP($A12,[24]HISTOOCT24!$A$6:$AU$38,23,0)</f>
        <v>0</v>
      </c>
      <c r="R12" s="36">
        <f>VLOOKUP($A12,[24]HISTOOCT24!$A$6:$AU$38,46,0)</f>
        <v>0</v>
      </c>
      <c r="S12" s="36">
        <f>VLOOKUP($A12,[24]HISTOOCT24!$A$6:$AU$38,26,0)</f>
        <v>0</v>
      </c>
      <c r="T12" s="36">
        <f>VLOOKUP($A12,[24]HISTOOCT24!$A$6:$BG$38,58,0)</f>
        <v>0</v>
      </c>
      <c r="U12" s="36">
        <f>VLOOKUP($A12,[24]HISTOOCT24!$A$6:$AU$38,28,0)</f>
        <v>0</v>
      </c>
      <c r="V12" s="36">
        <f>VLOOKUP($A12,[24]HISTOOCT24!$A$6:$AU$38,19,0)</f>
        <v>0</v>
      </c>
      <c r="W12" s="36">
        <f>VLOOKUP($A12,[24]HISTOOCT24!$A$6:$AU$38,20,0)</f>
        <v>0</v>
      </c>
      <c r="X12" s="36">
        <f>VLOOKUP($A12,[24]HISTOOCT24!$A$6:$AU$38,27,0)</f>
        <v>0</v>
      </c>
      <c r="Y12" s="36">
        <f>VLOOKUP($A12,[24]HISTOOCT24!$A$6:$BM$38,33,0)</f>
        <v>0</v>
      </c>
      <c r="Z12" s="36">
        <f>VLOOKUP($A12,[24]HISTOOCT24!$A$6:$BM$38,65,0)</f>
        <v>0</v>
      </c>
      <c r="AA12" s="36"/>
      <c r="AB12" s="36">
        <f>VLOOKUP($A12,[24]HISTOOCT24!$A$6:$AU$38,43,0)</f>
        <v>0</v>
      </c>
      <c r="AC12" s="36">
        <f>VLOOKUP($A12,[24]HISTOOCT24!$A$6:$AU$38,44,0)</f>
        <v>0</v>
      </c>
      <c r="AD12" s="36">
        <f>VLOOKUP($A12,[24]HISTOOCT24!$A$6:$AU$38,47,0)</f>
        <v>0</v>
      </c>
      <c r="AE12" s="36">
        <f>VLOOKUP(A12,[24]HISTOOCT24!$A$6:$BB$38,54,0)</f>
        <v>0</v>
      </c>
      <c r="AF12" s="36">
        <f>VLOOKUP($A12,[24]HISTOOCT24!$A$6:$CA$38,60,0)</f>
        <v>0</v>
      </c>
      <c r="AG12" s="36">
        <f>VLOOKUP($A12,[24]HISTOOCT24!$A$6:$CA$38,61,0)</f>
        <v>0</v>
      </c>
      <c r="AH12" s="36">
        <f>VLOOKUP($A12,[24]HISTOOCT24!$A$6:$CA$38,62,0)</f>
        <v>0</v>
      </c>
      <c r="AI12" s="36">
        <f>VLOOKUP($A12,[24]HISTOOCT24!$A$6:$CA$38,63,0)</f>
        <v>0</v>
      </c>
      <c r="AJ12" s="36">
        <f>VLOOKUP($A12,[24]HISTOOCT24!$A$6:$CA$38,64,0)</f>
        <v>0</v>
      </c>
      <c r="AK12" s="36">
        <f>VLOOKUP($A12,[24]HISTOOCT24!$A$6:$CA$38,65,0)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VLOOKUP($A13,[24]HISTOOCT24!$A$6:$BA$38,48,0)</f>
        <v>0</v>
      </c>
      <c r="F13" s="36">
        <f>MVTSEPT24!I13-E13+L13</f>
        <v>937555.14612214814</v>
      </c>
      <c r="G13" s="5">
        <f>IF(MVTSEPT24!I13+L13&gt;700000,(MVTSEPT24!I13-E13+L13),0)</f>
        <v>937555.14612214814</v>
      </c>
      <c r="H13" s="36">
        <f t="shared" si="0"/>
        <v>0</v>
      </c>
      <c r="I13" s="6">
        <f t="shared" si="2"/>
        <v>937555.14612214814</v>
      </c>
      <c r="J13" s="36">
        <f>VLOOKUP($A13,[24]HISTOOCT24!$A$6:$AQ$42,22,0)</f>
        <v>0</v>
      </c>
      <c r="K13" s="36">
        <f>VLOOKUP($A13,[24]HISTOOCT24!$A$6:$AU$38,45,0)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VLOOKUP($A13,[24]HISTOOCT24!$A$6:$AU$38,7,0)</f>
        <v>0</v>
      </c>
      <c r="Q13" s="36">
        <f>VLOOKUP($A13,[24]HISTOOCT24!$A$6:$AU$38,23,0)</f>
        <v>0</v>
      </c>
      <c r="R13" s="36">
        <f>VLOOKUP($A13,[24]HISTOOCT24!$A$6:$AU$38,46,0)</f>
        <v>0</v>
      </c>
      <c r="S13" s="36">
        <f>VLOOKUP($A13,[24]HISTOOCT24!$A$6:$AU$38,26,0)</f>
        <v>0</v>
      </c>
      <c r="T13" s="36">
        <f>VLOOKUP($A13,[24]HISTOOCT24!$A$6:$BG$38,58,0)</f>
        <v>0</v>
      </c>
      <c r="U13" s="36">
        <f>VLOOKUP($A13,[24]HISTOOCT24!$A$6:$AU$38,28,0)</f>
        <v>0</v>
      </c>
      <c r="V13" s="36">
        <f>VLOOKUP($A13,[24]HISTOOCT24!$A$6:$AU$38,19,0)</f>
        <v>0</v>
      </c>
      <c r="W13" s="36">
        <f>VLOOKUP($A13,[24]HISTOOCT24!$A$6:$AU$38,20,0)</f>
        <v>0</v>
      </c>
      <c r="X13" s="36">
        <f>VLOOKUP($A13,[24]HISTOOCT24!$A$6:$AU$38,27,0)</f>
        <v>0</v>
      </c>
      <c r="Y13" s="36">
        <f>VLOOKUP($A13,[24]HISTOOCT24!$A$6:$BM$38,33,0)</f>
        <v>0</v>
      </c>
      <c r="Z13" s="36">
        <f>VLOOKUP($A13,[24]HISTOOCT24!$A$6:$BM$38,65,0)</f>
        <v>0</v>
      </c>
      <c r="AA13" s="36"/>
      <c r="AB13" s="36">
        <f>VLOOKUP($A13,[24]HISTOOCT24!$A$6:$AU$38,43,0)</f>
        <v>0</v>
      </c>
      <c r="AC13" s="36">
        <f>VLOOKUP($A13,[24]HISTOOCT24!$A$6:$AU$38,44,0)</f>
        <v>0</v>
      </c>
      <c r="AD13" s="36">
        <f>VLOOKUP($A13,[24]HISTOOCT24!$A$6:$AU$38,47,0)</f>
        <v>0</v>
      </c>
      <c r="AE13" s="36">
        <f>VLOOKUP(A13,[24]HISTOOCT24!$A$6:$BB$38,54,0)</f>
        <v>0</v>
      </c>
      <c r="AF13" s="36">
        <f>VLOOKUP($A13,[24]HISTOOCT24!$A$6:$CA$38,60,0)</f>
        <v>0</v>
      </c>
      <c r="AG13" s="36">
        <f>VLOOKUP($A13,[24]HISTOOCT24!$A$6:$CA$38,61,0)</f>
        <v>0</v>
      </c>
      <c r="AH13" s="36">
        <f>VLOOKUP($A13,[24]HISTOOCT24!$A$6:$CA$38,62,0)</f>
        <v>0</v>
      </c>
      <c r="AI13" s="36">
        <f>VLOOKUP($A13,[24]HISTOOCT24!$A$6:$CA$38,63,0)</f>
        <v>0</v>
      </c>
      <c r="AJ13" s="36">
        <f>VLOOKUP($A13,[24]HISTOOCT24!$A$6:$CA$38,64,0)</f>
        <v>0</v>
      </c>
      <c r="AK13" s="36">
        <f>VLOOKUP($A13,[24]HISTOOCT24!$A$6:$CA$38,65,0)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VLOOKUP($A14,[24]HISTOOCT24!$A$6:$BA$38,48,0)</f>
        <v>0</v>
      </c>
      <c r="F14" s="36">
        <f>MVTSEPT24!I14-E14+L14</f>
        <v>1490425.9823482623</v>
      </c>
      <c r="G14" s="5">
        <f>IF(MVTSEPT24!I14+L14&gt;700000,(MVTSEPT24!I14-E14+L14),0)</f>
        <v>1490425.9823482623</v>
      </c>
      <c r="H14" s="36">
        <f t="shared" si="0"/>
        <v>0</v>
      </c>
      <c r="I14" s="6">
        <f t="shared" si="2"/>
        <v>1490425.9823482623</v>
      </c>
      <c r="J14" s="36">
        <f>VLOOKUP($A14,[24]HISTOOCT24!$A$6:$AQ$42,22,0)</f>
        <v>0</v>
      </c>
      <c r="K14" s="36">
        <f>VLOOKUP($A14,[24]HISTOOCT24!$A$6:$AU$38,45,0)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VLOOKUP($A14,[24]HISTOOCT24!$A$6:$AU$38,7,0)</f>
        <v>0</v>
      </c>
      <c r="Q14" s="36">
        <f>VLOOKUP($A14,[24]HISTOOCT24!$A$6:$AU$38,23,0)</f>
        <v>0</v>
      </c>
      <c r="R14" s="36">
        <f>VLOOKUP($A14,[24]HISTOOCT24!$A$6:$AU$38,46,0)</f>
        <v>0</v>
      </c>
      <c r="S14" s="36">
        <f>VLOOKUP($A14,[24]HISTOOCT24!$A$6:$AU$38,26,0)</f>
        <v>0</v>
      </c>
      <c r="T14" s="36">
        <f>VLOOKUP($A14,[24]HISTOOCT24!$A$6:$BG$38,58,0)</f>
        <v>0</v>
      </c>
      <c r="U14" s="36">
        <f>VLOOKUP($A14,[24]HISTOOCT24!$A$6:$AU$38,28,0)</f>
        <v>0</v>
      </c>
      <c r="V14" s="36">
        <f>VLOOKUP($A14,[24]HISTOOCT24!$A$6:$AU$38,19,0)</f>
        <v>0</v>
      </c>
      <c r="W14" s="36">
        <f>VLOOKUP($A14,[24]HISTOOCT24!$A$6:$AU$38,20,0)</f>
        <v>0</v>
      </c>
      <c r="X14" s="36">
        <f>VLOOKUP($A14,[24]HISTOOCT24!$A$6:$AU$38,27,0)</f>
        <v>0</v>
      </c>
      <c r="Y14" s="36">
        <f>VLOOKUP($A14,[24]HISTOOCT24!$A$6:$BM$38,33,0)</f>
        <v>0</v>
      </c>
      <c r="Z14" s="36">
        <f>VLOOKUP($A14,[24]HISTOOCT24!$A$6:$BM$38,65,0)</f>
        <v>0</v>
      </c>
      <c r="AA14" s="36"/>
      <c r="AB14" s="36">
        <f>VLOOKUP($A14,[24]HISTOOCT24!$A$6:$AU$38,43,0)</f>
        <v>0</v>
      </c>
      <c r="AC14" s="36">
        <f>VLOOKUP($A14,[24]HISTOOCT24!$A$6:$AU$38,44,0)</f>
        <v>0</v>
      </c>
      <c r="AD14" s="36">
        <f>VLOOKUP($A14,[24]HISTOOCT24!$A$6:$AU$38,47,0)</f>
        <v>0</v>
      </c>
      <c r="AE14" s="36">
        <f>VLOOKUP(A14,[24]HISTOOCT24!$A$6:$BB$38,54,0)</f>
        <v>0</v>
      </c>
      <c r="AF14" s="36">
        <f>VLOOKUP($A14,[24]HISTOOCT24!$A$6:$CA$38,60,0)</f>
        <v>0</v>
      </c>
      <c r="AG14" s="36">
        <f>VLOOKUP($A14,[24]HISTOOCT24!$A$6:$CA$38,61,0)</f>
        <v>0</v>
      </c>
      <c r="AH14" s="36">
        <f>VLOOKUP($A14,[24]HISTOOCT24!$A$6:$CA$38,62,0)</f>
        <v>0</v>
      </c>
      <c r="AI14" s="36">
        <f>VLOOKUP($A14,[24]HISTOOCT24!$A$6:$CA$38,63,0)</f>
        <v>0</v>
      </c>
      <c r="AJ14" s="36">
        <f>VLOOKUP($A14,[24]HISTOOCT24!$A$6:$CA$38,64,0)</f>
        <v>0</v>
      </c>
      <c r="AK14" s="36">
        <f>VLOOKUP($A14,[24]HISTOOCT24!$A$6:$CA$38,65,0)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VLOOKUP($A15,[24]HISTOOCT24!$A$6:$BA$38,48,0)</f>
        <v>0</v>
      </c>
      <c r="F15" s="36">
        <f>MVTSEPT24!I15-E15+L15</f>
        <v>999309.62153810938</v>
      </c>
      <c r="G15" s="5">
        <f>IF(MVTSEPT24!I15+L15&gt;700000,(MVTSEPT24!I15-E15+L15),0)</f>
        <v>999309.62153810938</v>
      </c>
      <c r="H15" s="36">
        <f t="shared" si="0"/>
        <v>0</v>
      </c>
      <c r="I15" s="6">
        <f t="shared" si="2"/>
        <v>999309.62153810938</v>
      </c>
      <c r="J15" s="36">
        <f>VLOOKUP($A15,[24]HISTOOCT24!$A$6:$AQ$42,22,0)</f>
        <v>0</v>
      </c>
      <c r="K15" s="36">
        <f>VLOOKUP($A15,[24]HISTOOCT24!$A$6:$AU$38,45,0)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VLOOKUP($A15,[24]HISTOOCT24!$A$6:$AU$38,7,0)</f>
        <v>0</v>
      </c>
      <c r="Q15" s="36">
        <f>VLOOKUP($A15,[24]HISTOOCT24!$A$6:$AU$38,23,0)</f>
        <v>0</v>
      </c>
      <c r="R15" s="36">
        <f>VLOOKUP($A15,[24]HISTOOCT24!$A$6:$AU$38,46,0)</f>
        <v>0</v>
      </c>
      <c r="S15" s="36">
        <f>VLOOKUP($A15,[24]HISTOOCT24!$A$6:$AU$38,26,0)</f>
        <v>0</v>
      </c>
      <c r="T15" s="36">
        <f>VLOOKUP($A15,[24]HISTOOCT24!$A$6:$BG$38,58,0)</f>
        <v>0</v>
      </c>
      <c r="U15" s="36">
        <f>VLOOKUP($A15,[24]HISTOOCT24!$A$6:$AU$38,28,0)</f>
        <v>0</v>
      </c>
      <c r="V15" s="36">
        <f>VLOOKUP($A15,[24]HISTOOCT24!$A$6:$AU$38,19,0)</f>
        <v>0</v>
      </c>
      <c r="W15" s="36">
        <f>VLOOKUP($A15,[24]HISTOOCT24!$A$6:$AU$38,20,0)</f>
        <v>0</v>
      </c>
      <c r="X15" s="36">
        <f>VLOOKUP($A15,[24]HISTOOCT24!$A$6:$AU$38,27,0)</f>
        <v>0</v>
      </c>
      <c r="Y15" s="36">
        <f>VLOOKUP($A15,[24]HISTOOCT24!$A$6:$BM$38,33,0)</f>
        <v>0</v>
      </c>
      <c r="Z15" s="36">
        <f>VLOOKUP($A15,[24]HISTOOCT24!$A$6:$BM$38,65,0)</f>
        <v>0</v>
      </c>
      <c r="AA15" s="36"/>
      <c r="AB15" s="36">
        <f>VLOOKUP($A15,[24]HISTOOCT24!$A$6:$AU$38,43,0)</f>
        <v>0</v>
      </c>
      <c r="AC15" s="36">
        <f>VLOOKUP($A15,[24]HISTOOCT24!$A$6:$AU$38,44,0)</f>
        <v>0</v>
      </c>
      <c r="AD15" s="36">
        <f>VLOOKUP($A15,[24]HISTOOCT24!$A$6:$AU$38,47,0)</f>
        <v>0</v>
      </c>
      <c r="AE15" s="36">
        <f>VLOOKUP(A15,[24]HISTOOCT24!$A$6:$BB$38,54,0)</f>
        <v>0</v>
      </c>
      <c r="AF15" s="36">
        <f>VLOOKUP($A15,[24]HISTOOCT24!$A$6:$CA$38,60,0)</f>
        <v>0</v>
      </c>
      <c r="AG15" s="36">
        <f>VLOOKUP($A15,[24]HISTOOCT24!$A$6:$CA$38,61,0)</f>
        <v>0</v>
      </c>
      <c r="AH15" s="36">
        <f>VLOOKUP($A15,[24]HISTOOCT24!$A$6:$CA$38,62,0)</f>
        <v>0</v>
      </c>
      <c r="AI15" s="36">
        <f>VLOOKUP($A15,[24]HISTOOCT24!$A$6:$CA$38,63,0)</f>
        <v>0</v>
      </c>
      <c r="AJ15" s="36">
        <f>VLOOKUP($A15,[24]HISTOOCT24!$A$6:$CA$38,64,0)</f>
        <v>0</v>
      </c>
      <c r="AK15" s="36">
        <f>VLOOKUP($A15,[24]HISTOOCT24!$A$6:$CA$38,65,0)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VLOOKUP($A16,[24]HISTOOCT24!$A$6:$BA$38,48,0)</f>
        <v>0</v>
      </c>
      <c r="F16" s="36">
        <f>MVTSEPT24!I16-E16+L16</f>
        <v>1109858.7065070483</v>
      </c>
      <c r="G16" s="5">
        <f>IF(MVTSEPT24!I16+L16&gt;700000,(MVTSEPT24!I16-E16+L16),0)</f>
        <v>1109858.7065070483</v>
      </c>
      <c r="H16" s="36">
        <f t="shared" si="0"/>
        <v>0</v>
      </c>
      <c r="I16" s="6">
        <f t="shared" si="2"/>
        <v>1109858.7065070483</v>
      </c>
      <c r="J16" s="36">
        <f>VLOOKUP($A16,[24]HISTOOCT24!$A$6:$AQ$42,22,0)</f>
        <v>0</v>
      </c>
      <c r="K16" s="36">
        <f>VLOOKUP($A16,[24]HISTOOCT24!$A$6:$AU$38,45,0)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VLOOKUP($A16,[24]HISTOOCT24!$A$6:$AU$38,7,0)</f>
        <v>0</v>
      </c>
      <c r="Q16" s="36">
        <f>VLOOKUP($A16,[24]HISTOOCT24!$A$6:$AU$38,23,0)</f>
        <v>0</v>
      </c>
      <c r="R16" s="36">
        <f>VLOOKUP($A16,[24]HISTOOCT24!$A$6:$AU$38,46,0)</f>
        <v>0</v>
      </c>
      <c r="S16" s="36">
        <f>VLOOKUP($A16,[24]HISTOOCT24!$A$6:$AU$38,26,0)</f>
        <v>0</v>
      </c>
      <c r="T16" s="36">
        <f>VLOOKUP($A16,[24]HISTOOCT24!$A$6:$BG$38,58,0)</f>
        <v>0</v>
      </c>
      <c r="U16" s="36">
        <f>VLOOKUP($A16,[24]HISTOOCT24!$A$6:$AU$38,28,0)</f>
        <v>0</v>
      </c>
      <c r="V16" s="36">
        <f>VLOOKUP($A16,[24]HISTOOCT24!$A$6:$AU$38,19,0)</f>
        <v>0</v>
      </c>
      <c r="W16" s="36">
        <f>VLOOKUP($A16,[24]HISTOOCT24!$A$6:$AU$38,20,0)</f>
        <v>0</v>
      </c>
      <c r="X16" s="36">
        <f>VLOOKUP($A16,[24]HISTOOCT24!$A$6:$AU$38,27,0)</f>
        <v>0</v>
      </c>
      <c r="Y16" s="36">
        <f>VLOOKUP($A16,[24]HISTOOCT24!$A$6:$BM$38,33,0)</f>
        <v>0</v>
      </c>
      <c r="Z16" s="36">
        <f>VLOOKUP($A16,[24]HISTOOCT24!$A$6:$BM$38,65,0)</f>
        <v>0</v>
      </c>
      <c r="AA16" s="36"/>
      <c r="AB16" s="36">
        <f>VLOOKUP($A16,[24]HISTOOCT24!$A$6:$AU$38,43,0)</f>
        <v>0</v>
      </c>
      <c r="AC16" s="36">
        <f>VLOOKUP($A16,[24]HISTOOCT24!$A$6:$AU$38,44,0)</f>
        <v>0</v>
      </c>
      <c r="AD16" s="36">
        <f>VLOOKUP($A16,[24]HISTOOCT24!$A$6:$AU$38,47,0)</f>
        <v>0</v>
      </c>
      <c r="AE16" s="36">
        <f>VLOOKUP(A16,[24]HISTOOCT24!$A$6:$BB$38,54,0)</f>
        <v>0</v>
      </c>
      <c r="AF16" s="36">
        <f>VLOOKUP($A16,[24]HISTOOCT24!$A$6:$CA$38,60,0)</f>
        <v>0</v>
      </c>
      <c r="AG16" s="36">
        <f>VLOOKUP($A16,[24]HISTOOCT24!$A$6:$CA$38,61,0)</f>
        <v>0</v>
      </c>
      <c r="AH16" s="36">
        <f>VLOOKUP($A16,[24]HISTOOCT24!$A$6:$CA$38,62,0)</f>
        <v>0</v>
      </c>
      <c r="AI16" s="36">
        <f>VLOOKUP($A16,[24]HISTOOCT24!$A$6:$CA$38,63,0)</f>
        <v>0</v>
      </c>
      <c r="AJ16" s="36">
        <f>VLOOKUP($A16,[24]HISTOOCT24!$A$6:$CA$38,64,0)</f>
        <v>0</v>
      </c>
      <c r="AK16" s="36">
        <f>VLOOKUP($A16,[24]HISTOOCT24!$A$6:$CA$38,65,0)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VLOOKUP($A17,[24]HISTOOCT24!$A$6:$BA$38,48,0)</f>
        <v>0</v>
      </c>
      <c r="F17" s="36">
        <f>MVTSEPT24!I17-E17+L17</f>
        <v>947402.7005255461</v>
      </c>
      <c r="G17" s="5">
        <f>IF(MVTSEPT24!I17+L17&gt;700000,(MVTSEPT24!I17-E17+L17),0)</f>
        <v>947402.7005255461</v>
      </c>
      <c r="H17" s="36">
        <f t="shared" si="0"/>
        <v>0</v>
      </c>
      <c r="I17" s="6">
        <f t="shared" si="2"/>
        <v>947402.7005255461</v>
      </c>
      <c r="J17" s="36">
        <f>VLOOKUP($A17,[24]HISTOOCT24!$A$6:$AQ$42,22,0)</f>
        <v>0</v>
      </c>
      <c r="K17" s="36">
        <f>VLOOKUP($A17,[24]HISTOOCT24!$A$6:$AU$38,45,0)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VLOOKUP($A17,[24]HISTOOCT24!$A$6:$AU$38,7,0)</f>
        <v>0</v>
      </c>
      <c r="Q17" s="36">
        <f>VLOOKUP($A17,[24]HISTOOCT24!$A$6:$AU$38,23,0)</f>
        <v>0</v>
      </c>
      <c r="R17" s="36">
        <f>VLOOKUP($A17,[24]HISTOOCT24!$A$6:$AU$38,46,0)</f>
        <v>0</v>
      </c>
      <c r="S17" s="36">
        <f>VLOOKUP($A17,[24]HISTOOCT24!$A$6:$AU$38,26,0)</f>
        <v>0</v>
      </c>
      <c r="T17" s="36">
        <f>VLOOKUP($A17,[24]HISTOOCT24!$A$6:$BG$38,58,0)</f>
        <v>0</v>
      </c>
      <c r="U17" s="36">
        <f>VLOOKUP($A17,[24]HISTOOCT24!$A$6:$AU$38,28,0)</f>
        <v>0</v>
      </c>
      <c r="V17" s="36">
        <f>VLOOKUP($A17,[24]HISTOOCT24!$A$6:$AU$38,19,0)</f>
        <v>0</v>
      </c>
      <c r="W17" s="36">
        <f>VLOOKUP($A17,[24]HISTOOCT24!$A$6:$AU$38,20,0)</f>
        <v>0</v>
      </c>
      <c r="X17" s="36">
        <f>VLOOKUP($A17,[24]HISTOOCT24!$A$6:$AU$38,27,0)</f>
        <v>0</v>
      </c>
      <c r="Y17" s="36">
        <f>VLOOKUP($A17,[24]HISTOOCT24!$A$6:$BM$38,33,0)</f>
        <v>0</v>
      </c>
      <c r="Z17" s="36">
        <f>VLOOKUP($A17,[24]HISTOOCT24!$A$6:$BM$38,65,0)</f>
        <v>0</v>
      </c>
      <c r="AA17" s="36"/>
      <c r="AB17" s="36">
        <f>VLOOKUP($A17,[24]HISTOOCT24!$A$6:$AU$38,43,0)</f>
        <v>0</v>
      </c>
      <c r="AC17" s="36">
        <f>VLOOKUP($A17,[24]HISTOOCT24!$A$6:$AU$38,44,0)</f>
        <v>0</v>
      </c>
      <c r="AD17" s="36">
        <f>VLOOKUP($A17,[24]HISTOOCT24!$A$6:$AU$38,47,0)</f>
        <v>0</v>
      </c>
      <c r="AE17" s="36">
        <f>VLOOKUP(A17,[24]HISTOOCT24!$A$6:$BB$38,54,0)</f>
        <v>0</v>
      </c>
      <c r="AF17" s="36">
        <f>VLOOKUP($A17,[24]HISTOOCT24!$A$6:$CA$38,60,0)</f>
        <v>0</v>
      </c>
      <c r="AG17" s="36">
        <f>VLOOKUP($A17,[24]HISTOOCT24!$A$6:$CA$38,61,0)</f>
        <v>0</v>
      </c>
      <c r="AH17" s="36">
        <f>VLOOKUP($A17,[24]HISTOOCT24!$A$6:$CA$38,62,0)</f>
        <v>0</v>
      </c>
      <c r="AI17" s="36">
        <f>VLOOKUP($A17,[24]HISTOOCT24!$A$6:$CA$38,63,0)</f>
        <v>0</v>
      </c>
      <c r="AJ17" s="36">
        <f>VLOOKUP($A17,[24]HISTOOCT24!$A$6:$CA$38,64,0)</f>
        <v>0</v>
      </c>
      <c r="AK17" s="36">
        <f>VLOOKUP($A17,[24]HISTOOCT24!$A$6:$CA$38,65,0)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VLOOKUP($A18,[24]HISTOOCT24!$A$6:$BA$38,48,0)</f>
        <v>0</v>
      </c>
      <c r="F18" s="36">
        <f>MVTSEPT24!I18-E18+L18</f>
        <v>993662.76419736946</v>
      </c>
      <c r="G18" s="5">
        <f>IF(MVTSEPT24!I18+L18&gt;700000,(MVTSEPT24!I18-E18+L18),0)</f>
        <v>993662.76419736946</v>
      </c>
      <c r="H18" s="36">
        <f t="shared" si="0"/>
        <v>0</v>
      </c>
      <c r="I18" s="6">
        <f t="shared" si="2"/>
        <v>993662.76419736946</v>
      </c>
      <c r="J18" s="36">
        <f>VLOOKUP($A18,[24]HISTOOCT24!$A$6:$AQ$42,22,0)</f>
        <v>0</v>
      </c>
      <c r="K18" s="36">
        <f>VLOOKUP($A18,[24]HISTOOCT24!$A$6:$AU$38,45,0)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VLOOKUP($A18,[24]HISTOOCT24!$A$6:$AU$38,7,0)</f>
        <v>0</v>
      </c>
      <c r="Q18" s="36">
        <f>VLOOKUP($A18,[24]HISTOOCT24!$A$6:$AU$38,23,0)</f>
        <v>0</v>
      </c>
      <c r="R18" s="36">
        <f>VLOOKUP($A18,[24]HISTOOCT24!$A$6:$AU$38,46,0)</f>
        <v>0</v>
      </c>
      <c r="S18" s="36">
        <f>VLOOKUP($A18,[24]HISTOOCT24!$A$6:$AU$38,26,0)</f>
        <v>0</v>
      </c>
      <c r="T18" s="36">
        <f>VLOOKUP($A18,[24]HISTOOCT24!$A$6:$BG$38,58,0)</f>
        <v>0</v>
      </c>
      <c r="U18" s="36">
        <f>VLOOKUP($A18,[24]HISTOOCT24!$A$6:$AU$38,28,0)</f>
        <v>0</v>
      </c>
      <c r="V18" s="36">
        <f>VLOOKUP($A18,[24]HISTOOCT24!$A$6:$AU$38,19,0)</f>
        <v>0</v>
      </c>
      <c r="W18" s="36">
        <f>VLOOKUP($A18,[24]HISTOOCT24!$A$6:$AU$38,20,0)</f>
        <v>0</v>
      </c>
      <c r="X18" s="36">
        <f>VLOOKUP($A18,[24]HISTOOCT24!$A$6:$AU$38,27,0)</f>
        <v>0</v>
      </c>
      <c r="Y18" s="36">
        <f>VLOOKUP($A18,[24]HISTOOCT24!$A$6:$BM$38,33,0)</f>
        <v>0</v>
      </c>
      <c r="Z18" s="36">
        <f>VLOOKUP($A18,[24]HISTOOCT24!$A$6:$BM$38,65,0)</f>
        <v>0</v>
      </c>
      <c r="AA18" s="36"/>
      <c r="AB18" s="36">
        <f>VLOOKUP($A18,[24]HISTOOCT24!$A$6:$AU$38,43,0)</f>
        <v>0</v>
      </c>
      <c r="AC18" s="36">
        <f>VLOOKUP($A18,[24]HISTOOCT24!$A$6:$AU$38,44,0)</f>
        <v>0</v>
      </c>
      <c r="AD18" s="36">
        <f>VLOOKUP($A18,[24]HISTOOCT24!$A$6:$AU$38,47,0)</f>
        <v>0</v>
      </c>
      <c r="AE18" s="36">
        <f>VLOOKUP(A18,[24]HISTOOCT24!$A$6:$BB$38,54,0)</f>
        <v>0</v>
      </c>
      <c r="AF18" s="36">
        <f>VLOOKUP($A18,[24]HISTOOCT24!$A$6:$CA$38,60,0)</f>
        <v>0</v>
      </c>
      <c r="AG18" s="36">
        <f>VLOOKUP($A18,[24]HISTOOCT24!$A$6:$CA$38,61,0)</f>
        <v>0</v>
      </c>
      <c r="AH18" s="36">
        <f>VLOOKUP($A18,[24]HISTOOCT24!$A$6:$CA$38,62,0)</f>
        <v>0</v>
      </c>
      <c r="AI18" s="36">
        <f>VLOOKUP($A18,[24]HISTOOCT24!$A$6:$CA$38,63,0)</f>
        <v>0</v>
      </c>
      <c r="AJ18" s="36">
        <f>VLOOKUP($A18,[24]HISTOOCT24!$A$6:$CA$38,64,0)</f>
        <v>0</v>
      </c>
      <c r="AK18" s="36">
        <f>VLOOKUP($A18,[24]HISTOOCT24!$A$6:$CA$38,65,0)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MVTSEPT24!I19-E19+L19</f>
        <v>676217.13072703336</v>
      </c>
      <c r="G19" s="5">
        <f>IF(MVTSEPT24!I19+L19&gt;700000,(MVTSEPT24!I19-E19+L19),0)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MVTSEPT24!I20-E20+L20</f>
        <v>190000</v>
      </c>
      <c r="G20" s="5">
        <f>IF(MVTSEPT24!I20+L20&gt;700000,(MVTSEPT24!I20-E20+L20),0)</f>
        <v>0</v>
      </c>
      <c r="H20" s="36">
        <f t="shared" si="0"/>
        <v>0</v>
      </c>
      <c r="I20" s="6">
        <f t="shared" si="2"/>
        <v>190000</v>
      </c>
      <c r="J20" s="36">
        <f>VLOOKUP($A20,[24]HISTOOCT24!$A$6:$AQ$42,22,0)</f>
        <v>0</v>
      </c>
      <c r="K20" s="36">
        <f>VLOOKUP($A20,[24]HISTOOCT24!$A$6:$AU$38,45,0)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VLOOKUP($A20,[24]HISTOOCT24!$A$6:$AU$38,7,0)</f>
        <v>0</v>
      </c>
      <c r="Q20" s="36">
        <f>VLOOKUP($A20,[24]HISTOOCT24!$A$6:$AU$38,23,0)</f>
        <v>0</v>
      </c>
      <c r="R20" s="36">
        <f>VLOOKUP($A20,[24]HISTOOCT24!$A$6:$AU$38,46,0)</f>
        <v>0</v>
      </c>
      <c r="S20" s="36">
        <f>VLOOKUP($A20,[24]HISTOOCT24!$A$6:$AU$38,26,0)</f>
        <v>0</v>
      </c>
      <c r="T20" s="36">
        <f>VLOOKUP($A20,[24]HISTOOCT24!$A$6:$BG$38,58,0)</f>
        <v>0</v>
      </c>
      <c r="U20" s="36">
        <f>VLOOKUP($A20,[24]HISTOOCT24!$A$6:$AU$38,28,0)</f>
        <v>0</v>
      </c>
      <c r="V20" s="36">
        <f>VLOOKUP($A20,[24]HISTOOCT24!$A$6:$AU$38,19,0)</f>
        <v>0</v>
      </c>
      <c r="W20" s="36">
        <f>VLOOKUP($A20,[24]HISTOOCT24!$A$6:$AU$38,20,0)</f>
        <v>0</v>
      </c>
      <c r="X20" s="36">
        <f>VLOOKUP($A20,[24]HISTOOCT24!$A$6:$AU$38,27,0)</f>
        <v>0</v>
      </c>
      <c r="Y20" s="36">
        <f>VLOOKUP($A20,[24]HISTOOCT24!$A$6:$BM$38,33,0)</f>
        <v>0</v>
      </c>
      <c r="Z20" s="36">
        <f>VLOOKUP($A20,[24]HISTOOCT24!$A$6:$BM$38,65,0)</f>
        <v>0</v>
      </c>
      <c r="AA20" s="36"/>
      <c r="AB20" s="36">
        <f>VLOOKUP($A20,[24]HISTOOCT24!$A$6:$AU$38,43,0)</f>
        <v>0</v>
      </c>
      <c r="AC20" s="36">
        <f>VLOOKUP($A20,[24]HISTOOCT24!$A$6:$AU$38,44,0)</f>
        <v>0</v>
      </c>
      <c r="AD20" s="36">
        <f>VLOOKUP($A20,[24]HISTOOCT24!$A$6:$AU$38,47,0)</f>
        <v>0</v>
      </c>
      <c r="AE20" s="36">
        <f>VLOOKUP(A20,[24]HISTOOCT24!$A$6:$BB$38,54,0)</f>
        <v>0</v>
      </c>
      <c r="AF20" s="36">
        <f>VLOOKUP($A20,[24]HISTOOCT24!$A$6:$CA$38,60,0)</f>
        <v>0</v>
      </c>
      <c r="AG20" s="36">
        <f>VLOOKUP($A20,[24]HISTOOCT24!$A$6:$CA$38,61,0)</f>
        <v>0</v>
      </c>
      <c r="AH20" s="36">
        <f>VLOOKUP($A20,[24]HISTOOCT24!$A$6:$CA$38,62,0)</f>
        <v>0</v>
      </c>
      <c r="AI20" s="36">
        <f>VLOOKUP($A20,[24]HISTOOCT24!$A$6:$CA$38,63,0)</f>
        <v>0</v>
      </c>
      <c r="AJ20" s="36">
        <f>VLOOKUP($A20,[24]HISTOOCT24!$A$6:$CA$38,64,0)</f>
        <v>0</v>
      </c>
      <c r="AK20" s="36">
        <f>VLOOKUP($A20,[24]HISTOOCT24!$A$6:$CA$38,65,0)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MVTSEPT24!I21-E21+L21</f>
        <v>970355.80062958295</v>
      </c>
      <c r="G21" s="5">
        <f>IF(MVTSEPT24!I21+L21&gt;700000,(MVTSEPT24!I21-E21+L21),0)</f>
        <v>970355.80062958295</v>
      </c>
      <c r="H21" s="36">
        <f t="shared" si="0"/>
        <v>0</v>
      </c>
      <c r="I21" s="6">
        <f t="shared" si="2"/>
        <v>970355.80062958295</v>
      </c>
      <c r="J21" s="36">
        <f>VLOOKUP($A21,[24]HISTOOCT24!$A$6:$AQ$42,22,0)</f>
        <v>0</v>
      </c>
      <c r="K21" s="36">
        <f>VLOOKUP($A21,[24]HISTOOCT24!$A$6:$AU$38,45,0)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VLOOKUP($A21,[24]HISTOOCT24!$A$6:$AU$38,7,0)</f>
        <v>0</v>
      </c>
      <c r="Q21" s="36">
        <f>VLOOKUP($A21,[24]HISTOOCT24!$A$6:$AU$38,23,0)</f>
        <v>0</v>
      </c>
      <c r="R21" s="36">
        <f>VLOOKUP($A21,[24]HISTOOCT24!$A$6:$AU$38,46,0)</f>
        <v>0</v>
      </c>
      <c r="S21" s="36">
        <f>VLOOKUP($A21,[24]HISTOOCT24!$A$6:$AU$38,26,0)</f>
        <v>0</v>
      </c>
      <c r="T21" s="36">
        <f>VLOOKUP($A21,[24]HISTOOCT24!$A$6:$BG$38,58,0)</f>
        <v>0</v>
      </c>
      <c r="U21" s="36">
        <f>VLOOKUP($A21,[24]HISTOOCT24!$A$6:$AU$38,28,0)</f>
        <v>0</v>
      </c>
      <c r="V21" s="36">
        <f>VLOOKUP($A21,[24]HISTOOCT24!$A$6:$AU$38,19,0)</f>
        <v>0</v>
      </c>
      <c r="W21" s="36">
        <f>VLOOKUP($A21,[24]HISTOOCT24!$A$6:$AU$38,20,0)</f>
        <v>0</v>
      </c>
      <c r="X21" s="36">
        <f>VLOOKUP($A21,[24]HISTOOCT24!$A$6:$AU$38,27,0)</f>
        <v>0</v>
      </c>
      <c r="Y21" s="36">
        <f>VLOOKUP($A21,[24]HISTOOCT24!$A$6:$BM$38,33,0)</f>
        <v>0</v>
      </c>
      <c r="Z21" s="36">
        <f>VLOOKUP($A21,[24]HISTOOCT24!$A$6:$BM$38,65,0)</f>
        <v>0</v>
      </c>
      <c r="AA21" s="36"/>
      <c r="AB21" s="36">
        <f>VLOOKUP($A21,[24]HISTOOCT24!$A$6:$AU$38,43,0)</f>
        <v>0</v>
      </c>
      <c r="AC21" s="36">
        <f>VLOOKUP($A21,[24]HISTOOCT24!$A$6:$AU$38,44,0)</f>
        <v>0</v>
      </c>
      <c r="AD21" s="36">
        <f>VLOOKUP($A21,[24]HISTOOCT24!$A$6:$AU$38,47,0)</f>
        <v>0</v>
      </c>
      <c r="AE21" s="36">
        <f>VLOOKUP(A21,[24]HISTOOCT24!$A$6:$BB$38,54,0)</f>
        <v>0</v>
      </c>
      <c r="AF21" s="36">
        <f>VLOOKUP($A21,[24]HISTOOCT24!$A$6:$CA$38,60,0)</f>
        <v>0</v>
      </c>
      <c r="AG21" s="36">
        <f>VLOOKUP($A21,[24]HISTOOCT24!$A$6:$CA$38,61,0)</f>
        <v>0</v>
      </c>
      <c r="AH21" s="36">
        <f>VLOOKUP($A21,[24]HISTOOCT24!$A$6:$CA$38,62,0)</f>
        <v>0</v>
      </c>
      <c r="AI21" s="36">
        <f>VLOOKUP($A21,[24]HISTOOCT24!$A$6:$CA$38,63,0)</f>
        <v>0</v>
      </c>
      <c r="AJ21" s="36">
        <f>VLOOKUP($A21,[24]HISTOOCT24!$A$6:$CA$38,64,0)</f>
        <v>0</v>
      </c>
      <c r="AK21" s="36">
        <f>VLOOKUP($A21,[24]HISTOOCT24!$A$6:$CA$38,65,0)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MVTSEPT24!I22-E22+L22</f>
        <v>938738.95952735876</v>
      </c>
      <c r="G22" s="5">
        <f>IF(MVTSEPT24!I22+L22&gt;700000,(MVTSEPT24!I22-E22+L22),0)</f>
        <v>938738.95952735876</v>
      </c>
      <c r="H22" s="36">
        <f t="shared" si="0"/>
        <v>0</v>
      </c>
      <c r="I22" s="6">
        <f t="shared" si="2"/>
        <v>938738.95952735876</v>
      </c>
      <c r="J22" s="36">
        <f>VLOOKUP($A22,[24]HISTOOCT24!$A$6:$AQ$42,22,0)</f>
        <v>0</v>
      </c>
      <c r="K22" s="36">
        <f>VLOOKUP($A22,[24]HISTOOCT24!$A$6:$AU$38,45,0)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VLOOKUP($A22,[24]HISTOOCT24!$A$6:$AU$38,7,0)</f>
        <v>0</v>
      </c>
      <c r="Q22" s="36">
        <f>VLOOKUP($A22,[24]HISTOOCT24!$A$6:$AU$38,23,0)</f>
        <v>0</v>
      </c>
      <c r="R22" s="36">
        <f>VLOOKUP($A22,[24]HISTOOCT24!$A$6:$AU$38,46,0)</f>
        <v>0</v>
      </c>
      <c r="S22" s="36">
        <f>VLOOKUP($A22,[24]HISTOOCT24!$A$6:$AU$38,26,0)</f>
        <v>0</v>
      </c>
      <c r="T22" s="36">
        <f>VLOOKUP($A22,[24]HISTOOCT24!$A$6:$BG$38,58,0)</f>
        <v>0</v>
      </c>
      <c r="U22" s="36">
        <f>VLOOKUP($A22,[24]HISTOOCT24!$A$6:$AU$38,28,0)</f>
        <v>0</v>
      </c>
      <c r="V22" s="36">
        <f>VLOOKUP($A22,[24]HISTOOCT24!$A$6:$AU$38,19,0)</f>
        <v>0</v>
      </c>
      <c r="W22" s="36">
        <f>VLOOKUP($A22,[24]HISTOOCT24!$A$6:$AU$38,20,0)</f>
        <v>0</v>
      </c>
      <c r="X22" s="36">
        <f>VLOOKUP($A22,[24]HISTOOCT24!$A$6:$AU$38,27,0)</f>
        <v>0</v>
      </c>
      <c r="Y22" s="36">
        <f>VLOOKUP($A22,[24]HISTOOCT24!$A$6:$BM$38,33,0)</f>
        <v>0</v>
      </c>
      <c r="Z22" s="36">
        <f>VLOOKUP($A22,[24]HISTOOCT24!$A$6:$BM$38,65,0)</f>
        <v>0</v>
      </c>
      <c r="AA22" s="36"/>
      <c r="AB22" s="36">
        <f>VLOOKUP($A22,[24]HISTOOCT24!$A$6:$AU$38,43,0)</f>
        <v>0</v>
      </c>
      <c r="AC22" s="36">
        <f>VLOOKUP($A22,[24]HISTOOCT24!$A$6:$AU$38,44,0)</f>
        <v>0</v>
      </c>
      <c r="AD22" s="36">
        <f>VLOOKUP($A22,[24]HISTOOCT24!$A$6:$AU$38,47,0)</f>
        <v>0</v>
      </c>
      <c r="AE22" s="36">
        <f>VLOOKUP(A22,[24]HISTOOCT24!$A$6:$BB$38,54,0)</f>
        <v>0</v>
      </c>
      <c r="AF22" s="36">
        <f>VLOOKUP($A22,[24]HISTOOCT24!$A$6:$CA$38,60,0)</f>
        <v>0</v>
      </c>
      <c r="AG22" s="36">
        <f>VLOOKUP($A22,[24]HISTOOCT24!$A$6:$CA$38,61,0)</f>
        <v>0</v>
      </c>
      <c r="AH22" s="36">
        <f>VLOOKUP($A22,[24]HISTOOCT24!$A$6:$CA$38,62,0)</f>
        <v>0</v>
      </c>
      <c r="AI22" s="36">
        <f>VLOOKUP($A22,[24]HISTOOCT24!$A$6:$CA$38,63,0)</f>
        <v>0</v>
      </c>
      <c r="AJ22" s="36">
        <f>VLOOKUP($A22,[24]HISTOOCT24!$A$6:$CA$38,64,0)</f>
        <v>0</v>
      </c>
      <c r="AK22" s="36">
        <f>VLOOKUP($A22,[24]HISTOOCT24!$A$6:$CA$38,65,0)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MVTSEPT24!I23-E23+L23</f>
        <v>1044674.3246731948</v>
      </c>
      <c r="G23" s="5">
        <f>IF(MVTSEPT24!I23+L23&gt;700000,(MVTSEPT24!I23-E23+L23),0)</f>
        <v>1044674.3246731948</v>
      </c>
      <c r="H23" s="36">
        <f t="shared" si="0"/>
        <v>0</v>
      </c>
      <c r="I23" s="6">
        <f t="shared" si="2"/>
        <v>1044674.3246731948</v>
      </c>
      <c r="J23" s="36">
        <f>VLOOKUP($A23,[24]HISTOOCT24!$A$6:$AQ$42,22,0)</f>
        <v>0</v>
      </c>
      <c r="K23" s="36">
        <f>VLOOKUP($A23,[24]HISTOOCT24!$A$6:$AU$38,45,0)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VLOOKUP($A23,[24]HISTOOCT24!$A$6:$AU$38,7,0)</f>
        <v>0</v>
      </c>
      <c r="Q23" s="36">
        <f>VLOOKUP($A23,[24]HISTOOCT24!$A$6:$AU$38,23,0)</f>
        <v>0</v>
      </c>
      <c r="R23" s="36">
        <f>VLOOKUP($A23,[24]HISTOOCT24!$A$6:$AU$38,46,0)</f>
        <v>0</v>
      </c>
      <c r="S23" s="36">
        <f>VLOOKUP($A23,[24]HISTOOCT24!$A$6:$AU$38,26,0)</f>
        <v>0</v>
      </c>
      <c r="T23" s="36">
        <f>VLOOKUP($A23,[24]HISTOOCT24!$A$6:$BG$38,58,0)</f>
        <v>0</v>
      </c>
      <c r="U23" s="36">
        <f>VLOOKUP($A23,[24]HISTOOCT24!$A$6:$AU$38,28,0)</f>
        <v>0</v>
      </c>
      <c r="V23" s="36">
        <f>VLOOKUP($A23,[24]HISTOOCT24!$A$6:$AU$38,19,0)</f>
        <v>0</v>
      </c>
      <c r="W23" s="36">
        <f>VLOOKUP($A23,[24]HISTOOCT24!$A$6:$AU$38,20,0)</f>
        <v>0</v>
      </c>
      <c r="X23" s="36">
        <f>VLOOKUP($A23,[24]HISTOOCT24!$A$6:$AU$38,27,0)</f>
        <v>0</v>
      </c>
      <c r="Y23" s="36">
        <f>VLOOKUP($A23,[24]HISTOOCT24!$A$6:$BM$38,33,0)</f>
        <v>0</v>
      </c>
      <c r="Z23" s="36">
        <f>VLOOKUP($A23,[24]HISTOOCT24!$A$6:$BM$38,65,0)</f>
        <v>0</v>
      </c>
      <c r="AA23" s="36"/>
      <c r="AB23" s="36">
        <f>VLOOKUP($A23,[24]HISTOOCT24!$A$6:$AU$38,43,0)</f>
        <v>0</v>
      </c>
      <c r="AC23" s="36">
        <f>VLOOKUP($A23,[24]HISTOOCT24!$A$6:$AU$38,44,0)</f>
        <v>0</v>
      </c>
      <c r="AD23" s="36">
        <f>VLOOKUP($A23,[24]HISTOOCT24!$A$6:$AU$38,47,0)</f>
        <v>0</v>
      </c>
      <c r="AE23" s="36">
        <f>VLOOKUP(A23,[24]HISTOOCT24!$A$6:$BB$38,54,0)</f>
        <v>0</v>
      </c>
      <c r="AF23" s="36">
        <f>VLOOKUP($A23,[24]HISTOOCT24!$A$6:$CA$38,60,0)</f>
        <v>0</v>
      </c>
      <c r="AG23" s="36">
        <f>VLOOKUP($A23,[24]HISTOOCT24!$A$6:$CA$38,61,0)</f>
        <v>0</v>
      </c>
      <c r="AH23" s="36">
        <f>VLOOKUP($A23,[24]HISTOOCT24!$A$6:$CA$38,62,0)</f>
        <v>0</v>
      </c>
      <c r="AI23" s="36">
        <f>VLOOKUP($A23,[24]HISTOOCT24!$A$6:$CA$38,63,0)</f>
        <v>0</v>
      </c>
      <c r="AJ23" s="36">
        <f>VLOOKUP($A23,[24]HISTOOCT24!$A$6:$CA$38,64,0)</f>
        <v>0</v>
      </c>
      <c r="AK23" s="36">
        <f>VLOOKUP($A23,[24]HISTOOCT24!$A$6:$CA$38,65,0)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MVTSEPT24!I24-E24+L24</f>
        <v>1217827.8441992993</v>
      </c>
      <c r="G24" s="5">
        <f>IF(MVTSEPT24!I24+L24&gt;700000,(MVTSEPT24!I24-E24+L24),0)</f>
        <v>1217827.8441992993</v>
      </c>
      <c r="H24" s="36">
        <f t="shared" si="0"/>
        <v>0</v>
      </c>
      <c r="I24" s="6">
        <f t="shared" si="2"/>
        <v>1217827.8441992993</v>
      </c>
      <c r="J24" s="36">
        <f>VLOOKUP($A24,[24]HISTOOCT24!$A$6:$AQ$42,22,0)</f>
        <v>0</v>
      </c>
      <c r="K24" s="36">
        <f>VLOOKUP($A24,[24]HISTOOCT24!$A$6:$AU$38,45,0)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VLOOKUP($A24,[24]HISTOOCT24!$A$6:$AU$38,7,0)</f>
        <v>0</v>
      </c>
      <c r="Q24" s="36">
        <f>VLOOKUP($A24,[24]HISTOOCT24!$A$6:$AU$38,23,0)</f>
        <v>0</v>
      </c>
      <c r="R24" s="36">
        <f>VLOOKUP($A24,[24]HISTOOCT24!$A$6:$AU$38,46,0)</f>
        <v>0</v>
      </c>
      <c r="S24" s="36">
        <f>VLOOKUP($A24,[24]HISTOOCT24!$A$6:$AU$38,26,0)</f>
        <v>0</v>
      </c>
      <c r="T24" s="36">
        <f>VLOOKUP($A24,[24]HISTOOCT24!$A$6:$BG$38,58,0)</f>
        <v>0</v>
      </c>
      <c r="U24" s="36">
        <f>VLOOKUP($A24,[24]HISTOOCT24!$A$6:$AU$38,28,0)</f>
        <v>0</v>
      </c>
      <c r="V24" s="36">
        <f>VLOOKUP($A24,[24]HISTOOCT24!$A$6:$AU$38,19,0)</f>
        <v>0</v>
      </c>
      <c r="W24" s="36">
        <f>VLOOKUP($A24,[24]HISTOOCT24!$A$6:$AU$38,20,0)</f>
        <v>0</v>
      </c>
      <c r="X24" s="36">
        <f>VLOOKUP($A24,[24]HISTOOCT24!$A$6:$AU$38,27,0)</f>
        <v>0</v>
      </c>
      <c r="Y24" s="36">
        <f>VLOOKUP($A24,[24]HISTOOCT24!$A$6:$BM$38,33,0)</f>
        <v>0</v>
      </c>
      <c r="Z24" s="36">
        <f>VLOOKUP($A24,[24]HISTOOCT24!$A$6:$BM$38,65,0)</f>
        <v>0</v>
      </c>
      <c r="AA24" s="36"/>
      <c r="AB24" s="36">
        <f>VLOOKUP($A24,[24]HISTOOCT24!$A$6:$AU$38,43,0)</f>
        <v>0</v>
      </c>
      <c r="AC24" s="36">
        <f>VLOOKUP($A24,[24]HISTOOCT24!$A$6:$AU$38,44,0)</f>
        <v>0</v>
      </c>
      <c r="AD24" s="36">
        <f>VLOOKUP($A24,[24]HISTOOCT24!$A$6:$AU$38,47,0)</f>
        <v>0</v>
      </c>
      <c r="AE24" s="36">
        <f>VLOOKUP(A24,[24]HISTOOCT24!$A$6:$BB$38,54,0)</f>
        <v>0</v>
      </c>
      <c r="AF24" s="36">
        <f>VLOOKUP($A24,[24]HISTOOCT24!$A$6:$CA$38,60,0)</f>
        <v>0</v>
      </c>
      <c r="AG24" s="36">
        <f>VLOOKUP($A24,[24]HISTOOCT24!$A$6:$CA$38,61,0)</f>
        <v>0</v>
      </c>
      <c r="AH24" s="36">
        <f>VLOOKUP($A24,[24]HISTOOCT24!$A$6:$CA$38,62,0)</f>
        <v>0</v>
      </c>
      <c r="AI24" s="36">
        <f>VLOOKUP($A24,[24]HISTOOCT24!$A$6:$CA$38,63,0)</f>
        <v>0</v>
      </c>
      <c r="AJ24" s="36">
        <f>VLOOKUP($A24,[24]HISTOOCT24!$A$6:$CA$38,64,0)</f>
        <v>0</v>
      </c>
      <c r="AK24" s="36">
        <f>VLOOKUP($A24,[24]HISTOOCT24!$A$6:$CA$38,65,0)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MVTSEPT24!I25-E25+L25</f>
        <v>1029141.7950432157</v>
      </c>
      <c r="G25" s="5">
        <f>IF(MVTSEPT24!I25+L25&gt;700000,(MVTSEPT24!I25-E25+L25),0)</f>
        <v>1029141.7950432157</v>
      </c>
      <c r="H25" s="36">
        <f t="shared" si="0"/>
        <v>0</v>
      </c>
      <c r="I25" s="6">
        <f t="shared" si="2"/>
        <v>1029141.7950432157</v>
      </c>
      <c r="J25" s="36">
        <f>VLOOKUP($A25,[24]HISTOOCT24!$A$6:$AQ$42,22,0)</f>
        <v>0</v>
      </c>
      <c r="K25" s="36">
        <f>VLOOKUP($A25,[24]HISTOOCT24!$A$6:$AU$38,45,0)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VLOOKUP($A25,[24]HISTOOCT24!$A$6:$AU$38,7,0)</f>
        <v>3000</v>
      </c>
      <c r="Q25" s="36">
        <f>VLOOKUP($A25,[24]HISTOOCT24!$A$6:$AU$38,23,0)</f>
        <v>0</v>
      </c>
      <c r="R25" s="36">
        <f>VLOOKUP($A25,[24]HISTOOCT24!$A$6:$AU$38,46,0)</f>
        <v>0</v>
      </c>
      <c r="S25" s="36">
        <f>VLOOKUP($A25,[24]HISTOOCT24!$A$6:$AU$38,26,0)</f>
        <v>0</v>
      </c>
      <c r="T25" s="36">
        <f>VLOOKUP($A25,[24]HISTOOCT24!$A$6:$BG$38,58,0)</f>
        <v>0</v>
      </c>
      <c r="U25" s="36">
        <f>VLOOKUP($A25,[24]HISTOOCT24!$A$6:$AU$38,28,0)</f>
        <v>0</v>
      </c>
      <c r="V25" s="36">
        <f>VLOOKUP($A25,[24]HISTOOCT24!$A$6:$AU$38,19,0)</f>
        <v>0</v>
      </c>
      <c r="W25" s="36">
        <f>VLOOKUP($A25,[24]HISTOOCT24!$A$6:$AU$38,20,0)</f>
        <v>0</v>
      </c>
      <c r="X25" s="36">
        <f>VLOOKUP($A25,[24]HISTOOCT24!$A$6:$AU$38,27,0)</f>
        <v>0</v>
      </c>
      <c r="Y25" s="36">
        <f>VLOOKUP($A25,[24]HISTOOCT24!$A$6:$BM$38,33,0)</f>
        <v>0</v>
      </c>
      <c r="Z25" s="36">
        <f>VLOOKUP($A25,[24]HISTOOCT24!$A$6:$BM$38,65,0)</f>
        <v>0</v>
      </c>
      <c r="AA25" s="36"/>
      <c r="AB25" s="36">
        <f>VLOOKUP($A25,[24]HISTOOCT24!$A$6:$AU$38,43,0)</f>
        <v>0</v>
      </c>
      <c r="AC25" s="36">
        <f>VLOOKUP($A25,[24]HISTOOCT24!$A$6:$AU$38,44,0)</f>
        <v>0</v>
      </c>
      <c r="AD25" s="36">
        <f>VLOOKUP($A25,[24]HISTOOCT24!$A$6:$AU$38,47,0)</f>
        <v>0</v>
      </c>
      <c r="AE25" s="36">
        <f>VLOOKUP(A25,[24]HISTOOCT24!$A$6:$BB$38,54,0)</f>
        <v>0</v>
      </c>
      <c r="AF25" s="36">
        <f>VLOOKUP($A25,[24]HISTOOCT24!$A$6:$CA$38,60,0)</f>
        <v>0</v>
      </c>
      <c r="AG25" s="36">
        <f>VLOOKUP($A25,[24]HISTOOCT24!$A$6:$CA$38,61,0)</f>
        <v>0</v>
      </c>
      <c r="AH25" s="36">
        <f>VLOOKUP($A25,[24]HISTOOCT24!$A$6:$CA$38,62,0)</f>
        <v>0</v>
      </c>
      <c r="AI25" s="36">
        <f>VLOOKUP($A25,[24]HISTOOCT24!$A$6:$CA$38,63,0)</f>
        <v>0</v>
      </c>
      <c r="AJ25" s="36">
        <f>VLOOKUP($A25,[24]HISTOOCT24!$A$6:$CA$38,64,0)</f>
        <v>0</v>
      </c>
      <c r="AK25" s="36">
        <f>VLOOKUP($A25,[24]HISTOOCT24!$A$6:$CA$38,65,0)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MVTSEPT24!I26-E26+L26</f>
        <v>957266.46813543816</v>
      </c>
      <c r="G26" s="5">
        <f>IF(MVTSEPT24!I26+L26&gt;700000,(MVTSEPT24!I26-E26+L26),0)</f>
        <v>957266.46813543816</v>
      </c>
      <c r="H26" s="36">
        <f t="shared" si="0"/>
        <v>0</v>
      </c>
      <c r="I26" s="6">
        <f t="shared" si="2"/>
        <v>957266.46813543816</v>
      </c>
      <c r="J26" s="36">
        <f>VLOOKUP($A26,[24]HISTOOCT24!$A$6:$AQ$42,22,0)</f>
        <v>0</v>
      </c>
      <c r="K26" s="36">
        <f>VLOOKUP($A26,[24]HISTOOCT24!$A$6:$AU$38,45,0)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VLOOKUP($A26,[24]HISTOOCT24!$A$6:$AU$38,7,0)</f>
        <v>0</v>
      </c>
      <c r="Q26" s="36">
        <f>VLOOKUP($A26,[24]HISTOOCT24!$A$6:$AU$38,23,0)</f>
        <v>0</v>
      </c>
      <c r="R26" s="36">
        <f>VLOOKUP($A26,[24]HISTOOCT24!$A$6:$AU$38,46,0)</f>
        <v>0</v>
      </c>
      <c r="S26" s="36">
        <f>VLOOKUP($A26,[24]HISTOOCT24!$A$6:$AU$38,26,0)</f>
        <v>0</v>
      </c>
      <c r="T26" s="36">
        <f>VLOOKUP($A26,[24]HISTOOCT24!$A$6:$BG$38,58,0)</f>
        <v>0</v>
      </c>
      <c r="U26" s="36">
        <f>VLOOKUP($A26,[24]HISTOOCT24!$A$6:$AU$38,28,0)</f>
        <v>0</v>
      </c>
      <c r="V26" s="36">
        <f>VLOOKUP($A26,[24]HISTOOCT24!$A$6:$AU$38,19,0)</f>
        <v>0</v>
      </c>
      <c r="W26" s="36">
        <f>VLOOKUP($A26,[24]HISTOOCT24!$A$6:$AU$38,20,0)</f>
        <v>0</v>
      </c>
      <c r="X26" s="36">
        <f>VLOOKUP($A26,[24]HISTOOCT24!$A$6:$AU$38,27,0)</f>
        <v>0</v>
      </c>
      <c r="Y26" s="36">
        <f>VLOOKUP($A26,[24]HISTOOCT24!$A$6:$BM$38,33,0)</f>
        <v>0</v>
      </c>
      <c r="Z26" s="36">
        <f>VLOOKUP($A26,[24]HISTOOCT24!$A$6:$BM$38,65,0)</f>
        <v>0</v>
      </c>
      <c r="AA26" s="36"/>
      <c r="AB26" s="36">
        <f>VLOOKUP($A26,[24]HISTOOCT24!$A$6:$AU$38,43,0)</f>
        <v>0</v>
      </c>
      <c r="AC26" s="36">
        <f>VLOOKUP($A26,[24]HISTOOCT24!$A$6:$AU$38,44,0)</f>
        <v>0</v>
      </c>
      <c r="AD26" s="36">
        <f>VLOOKUP($A26,[24]HISTOOCT24!$A$6:$AU$38,47,0)</f>
        <v>0</v>
      </c>
      <c r="AE26" s="36">
        <f>VLOOKUP(A26,[24]HISTOOCT24!$A$6:$BB$38,54,0)</f>
        <v>0</v>
      </c>
      <c r="AF26" s="36">
        <f>VLOOKUP($A26,[24]HISTOOCT24!$A$6:$CA$38,60,0)</f>
        <v>0</v>
      </c>
      <c r="AG26" s="36">
        <f>VLOOKUP($A26,[24]HISTOOCT24!$A$6:$CA$38,61,0)</f>
        <v>0</v>
      </c>
      <c r="AH26" s="36">
        <f>VLOOKUP($A26,[24]HISTOOCT24!$A$6:$CA$38,62,0)</f>
        <v>0</v>
      </c>
      <c r="AI26" s="36">
        <f>VLOOKUP($A26,[24]HISTOOCT24!$A$6:$CA$38,63,0)</f>
        <v>0</v>
      </c>
      <c r="AJ26" s="36">
        <f>VLOOKUP($A26,[24]HISTOOCT24!$A$6:$CA$38,64,0)</f>
        <v>0</v>
      </c>
      <c r="AK26" s="36">
        <f>VLOOKUP($A26,[24]HISTOOCT24!$A$6:$CA$38,65,0)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MVTSEPT24!I27-E27+L27</f>
        <v>957824.17371512204</v>
      </c>
      <c r="G27" s="5">
        <f>IF(MVTSEPT24!I27+L27&gt;700000,(MVTSEPT24!I27-E27+L27),0)</f>
        <v>957824.17371512204</v>
      </c>
      <c r="H27" s="36">
        <f t="shared" si="0"/>
        <v>0</v>
      </c>
      <c r="I27" s="6">
        <f t="shared" si="2"/>
        <v>957824.17371512204</v>
      </c>
      <c r="J27" s="36">
        <f>VLOOKUP($A27,[24]HISTOOCT24!$A$6:$AQ$42,22,0)</f>
        <v>0</v>
      </c>
      <c r="K27" s="36">
        <f>VLOOKUP($A27,[24]HISTOOCT24!$A$6:$AU$38,45,0)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VLOOKUP($A27,[24]HISTOOCT24!$A$6:$AU$38,7,0)</f>
        <v>0</v>
      </c>
      <c r="Q27" s="36">
        <f>VLOOKUP($A27,[24]HISTOOCT24!$A$6:$AU$38,23,0)</f>
        <v>0</v>
      </c>
      <c r="R27" s="36">
        <f>VLOOKUP($A27,[24]HISTOOCT24!$A$6:$AU$38,46,0)</f>
        <v>0</v>
      </c>
      <c r="S27" s="36">
        <f>VLOOKUP($A27,[24]HISTOOCT24!$A$6:$AU$38,26,0)</f>
        <v>0</v>
      </c>
      <c r="T27" s="36">
        <f>VLOOKUP($A27,[24]HISTOOCT24!$A$6:$BG$38,58,0)</f>
        <v>0</v>
      </c>
      <c r="U27" s="36">
        <f>VLOOKUP($A27,[24]HISTOOCT24!$A$6:$AU$38,28,0)</f>
        <v>0</v>
      </c>
      <c r="V27" s="36">
        <f>VLOOKUP($A27,[24]HISTOOCT24!$A$6:$AU$38,19,0)</f>
        <v>0</v>
      </c>
      <c r="W27" s="36">
        <f>VLOOKUP($A27,[24]HISTOOCT24!$A$6:$AU$38,20,0)</f>
        <v>0</v>
      </c>
      <c r="X27" s="36">
        <f>VLOOKUP($A27,[24]HISTOOCT24!$A$6:$AU$38,27,0)</f>
        <v>0</v>
      </c>
      <c r="Y27" s="36">
        <f>VLOOKUP($A27,[24]HISTOOCT24!$A$6:$BM$38,33,0)</f>
        <v>0</v>
      </c>
      <c r="Z27" s="36">
        <f>VLOOKUP($A27,[24]HISTOOCT24!$A$6:$BM$38,65,0)</f>
        <v>0</v>
      </c>
      <c r="AA27" s="36"/>
      <c r="AB27" s="36">
        <f>VLOOKUP($A27,[24]HISTOOCT24!$A$6:$AU$38,43,0)</f>
        <v>0</v>
      </c>
      <c r="AC27" s="36">
        <f>VLOOKUP($A27,[24]HISTOOCT24!$A$6:$AU$38,44,0)</f>
        <v>0</v>
      </c>
      <c r="AD27" s="36">
        <f>VLOOKUP($A27,[24]HISTOOCT24!$A$6:$AU$38,47,0)</f>
        <v>0</v>
      </c>
      <c r="AE27" s="36">
        <f>VLOOKUP(A27,[24]HISTOOCT24!$A$6:$BB$38,54,0)</f>
        <v>0</v>
      </c>
      <c r="AF27" s="36">
        <f>VLOOKUP($A27,[24]HISTOOCT24!$A$6:$CA$38,60,0)</f>
        <v>0</v>
      </c>
      <c r="AG27" s="36">
        <f>VLOOKUP($A27,[24]HISTOOCT24!$A$6:$CA$38,61,0)</f>
        <v>0</v>
      </c>
      <c r="AH27" s="36">
        <f>VLOOKUP($A27,[24]HISTOOCT24!$A$6:$CA$38,62,0)</f>
        <v>0</v>
      </c>
      <c r="AI27" s="36">
        <f>VLOOKUP($A27,[24]HISTOOCT24!$A$6:$CA$38,63,0)</f>
        <v>0</v>
      </c>
      <c r="AJ27" s="36">
        <f>VLOOKUP($A27,[24]HISTOOCT24!$A$6:$CA$38,64,0)</f>
        <v>0</v>
      </c>
      <c r="AK27" s="36">
        <f>VLOOKUP($A27,[24]HISTOOCT24!$A$6:$CA$38,65,0)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MVTSEPT24!I28-E28+L28</f>
        <v>859176.12513194664</v>
      </c>
      <c r="G28" s="5">
        <f>IF(MVTSEPT24!I28+L28&gt;700000,(MVTSEPT24!I28-E28+L28),0)</f>
        <v>859176.12513194664</v>
      </c>
      <c r="H28" s="36">
        <f t="shared" si="0"/>
        <v>0</v>
      </c>
      <c r="I28" s="6">
        <f t="shared" si="2"/>
        <v>859176.12513194664</v>
      </c>
      <c r="J28" s="36">
        <f>VLOOKUP($A28,[24]HISTOOCT24!$A$6:$AQ$42,22,0)</f>
        <v>0</v>
      </c>
      <c r="K28" s="36">
        <f>VLOOKUP($A28,[24]HISTOOCT24!$A$6:$AU$38,45,0)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VLOOKUP($A28,[24]HISTOOCT24!$A$6:$AU$38,7,0)</f>
        <v>0</v>
      </c>
      <c r="Q28" s="36">
        <f>VLOOKUP($A28,[24]HISTOOCT24!$A$6:$AU$38,23,0)</f>
        <v>0</v>
      </c>
      <c r="R28" s="36">
        <f>VLOOKUP($A28,[24]HISTOOCT24!$A$6:$AU$38,46,0)</f>
        <v>0</v>
      </c>
      <c r="S28" s="36">
        <f>VLOOKUP($A28,[24]HISTOOCT24!$A$6:$AU$38,26,0)</f>
        <v>0</v>
      </c>
      <c r="T28" s="36">
        <f>VLOOKUP($A28,[24]HISTOOCT24!$A$6:$BG$38,58,0)</f>
        <v>0</v>
      </c>
      <c r="U28" s="36">
        <f>VLOOKUP($A28,[24]HISTOOCT24!$A$6:$AU$38,28,0)</f>
        <v>0</v>
      </c>
      <c r="V28" s="36">
        <f>VLOOKUP($A28,[24]HISTOOCT24!$A$6:$AU$38,19,0)</f>
        <v>0</v>
      </c>
      <c r="W28" s="36">
        <f>VLOOKUP($A28,[24]HISTOOCT24!$A$6:$AU$38,20,0)</f>
        <v>0</v>
      </c>
      <c r="X28" s="36">
        <f>VLOOKUP($A28,[24]HISTOOCT24!$A$6:$AU$38,27,0)</f>
        <v>0</v>
      </c>
      <c r="Y28" s="36">
        <f>VLOOKUP($A28,[24]HISTOOCT24!$A$6:$BM$38,33,0)</f>
        <v>0</v>
      </c>
      <c r="Z28" s="36">
        <f>VLOOKUP($A28,[24]HISTOOCT24!$A$6:$BM$38,65,0)</f>
        <v>0</v>
      </c>
      <c r="AA28" s="36"/>
      <c r="AB28" s="36">
        <f>VLOOKUP($A28,[24]HISTOOCT24!$A$6:$AU$38,43,0)</f>
        <v>0</v>
      </c>
      <c r="AC28" s="36">
        <f>VLOOKUP($A28,[24]HISTOOCT24!$A$6:$AU$38,44,0)</f>
        <v>0</v>
      </c>
      <c r="AD28" s="36">
        <f>VLOOKUP($A28,[24]HISTOOCT24!$A$6:$AU$38,47,0)</f>
        <v>0</v>
      </c>
      <c r="AE28" s="36">
        <f>VLOOKUP(A28,[24]HISTOOCT24!$A$6:$BB$38,54,0)</f>
        <v>0</v>
      </c>
      <c r="AF28" s="36">
        <f>VLOOKUP($A28,[24]HISTOOCT24!$A$6:$CA$38,60,0)</f>
        <v>0</v>
      </c>
      <c r="AG28" s="36">
        <f>VLOOKUP($A28,[24]HISTOOCT24!$A$6:$CA$38,61,0)</f>
        <v>0</v>
      </c>
      <c r="AH28" s="36">
        <f>VLOOKUP($A28,[24]HISTOOCT24!$A$6:$CA$38,62,0)</f>
        <v>0</v>
      </c>
      <c r="AI28" s="36">
        <f>VLOOKUP($A28,[24]HISTOOCT24!$A$6:$CA$38,63,0)</f>
        <v>0</v>
      </c>
      <c r="AJ28" s="36">
        <f>VLOOKUP($A28,[24]HISTOOCT24!$A$6:$CA$38,64,0)</f>
        <v>0</v>
      </c>
      <c r="AK28" s="36">
        <f>VLOOKUP($A28,[24]HISTOOCT24!$A$6:$CA$38,65,0)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MVTSEPT24!I29-E29+L29</f>
        <v>984151.34423741512</v>
      </c>
      <c r="G29" s="5">
        <f>IF(MVTSEPT24!I29+L29&gt;700000,(MVTSEPT24!I29-E29+L29),0)</f>
        <v>984151.34423741512</v>
      </c>
      <c r="H29" s="36">
        <f t="shared" si="0"/>
        <v>0</v>
      </c>
      <c r="I29" s="6">
        <f t="shared" si="2"/>
        <v>984151.34423741512</v>
      </c>
      <c r="J29" s="36">
        <f>VLOOKUP($A29,[24]HISTOOCT24!$A$6:$AQ$42,22,0)</f>
        <v>0</v>
      </c>
      <c r="K29" s="36">
        <f>VLOOKUP($A29,[24]HISTOOCT24!$A$6:$AU$38,45,0)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VLOOKUP($A29,[24]HISTOOCT24!$A$6:$AU$38,7,0)</f>
        <v>0</v>
      </c>
      <c r="Q29" s="36">
        <f>VLOOKUP($A29,[24]HISTOOCT24!$A$6:$AU$38,23,0)</f>
        <v>0</v>
      </c>
      <c r="R29" s="36">
        <f>VLOOKUP($A29,[24]HISTOOCT24!$A$6:$AU$38,46,0)</f>
        <v>0</v>
      </c>
      <c r="S29" s="36">
        <f>VLOOKUP($A29,[24]HISTOOCT24!$A$6:$AU$38,26,0)</f>
        <v>0</v>
      </c>
      <c r="T29" s="36">
        <f>VLOOKUP($A29,[24]HISTOOCT24!$A$6:$BG$38,58,0)</f>
        <v>0</v>
      </c>
      <c r="U29" s="36">
        <f>VLOOKUP($A29,[24]HISTOOCT24!$A$6:$AU$38,28,0)</f>
        <v>0</v>
      </c>
      <c r="V29" s="36">
        <f>VLOOKUP($A29,[24]HISTOOCT24!$A$6:$AU$38,19,0)</f>
        <v>0</v>
      </c>
      <c r="W29" s="36">
        <f>VLOOKUP($A29,[24]HISTOOCT24!$A$6:$AU$38,20,0)</f>
        <v>0</v>
      </c>
      <c r="X29" s="36">
        <f>VLOOKUP($A29,[24]HISTOOCT24!$A$6:$AU$38,27,0)</f>
        <v>0</v>
      </c>
      <c r="Y29" s="36">
        <f>VLOOKUP($A29,[24]HISTOOCT24!$A$6:$BM$38,33,0)</f>
        <v>0</v>
      </c>
      <c r="Z29" s="36">
        <f>VLOOKUP($A29,[24]HISTOOCT24!$A$6:$BM$38,65,0)</f>
        <v>0</v>
      </c>
      <c r="AA29" s="36"/>
      <c r="AB29" s="36">
        <f>VLOOKUP($A29,[24]HISTOOCT24!$A$6:$AU$38,43,0)</f>
        <v>0</v>
      </c>
      <c r="AC29" s="36">
        <f>VLOOKUP($A29,[24]HISTOOCT24!$A$6:$AU$38,44,0)</f>
        <v>0</v>
      </c>
      <c r="AD29" s="36">
        <f>VLOOKUP($A29,[24]HISTOOCT24!$A$6:$AU$38,47,0)</f>
        <v>0</v>
      </c>
      <c r="AE29" s="36">
        <f>VLOOKUP(A29,[24]HISTOOCT24!$A$6:$BB$38,54,0)</f>
        <v>0</v>
      </c>
      <c r="AF29" s="36">
        <f>VLOOKUP($A29,[24]HISTOOCT24!$A$6:$CA$38,60,0)</f>
        <v>0</v>
      </c>
      <c r="AG29" s="36">
        <f>VLOOKUP($A29,[24]HISTOOCT24!$A$6:$CA$38,61,0)</f>
        <v>0</v>
      </c>
      <c r="AH29" s="36">
        <f>VLOOKUP($A29,[24]HISTOOCT24!$A$6:$CA$38,62,0)</f>
        <v>0</v>
      </c>
      <c r="AI29" s="36">
        <f>VLOOKUP($A29,[24]HISTOOCT24!$A$6:$CA$38,63,0)</f>
        <v>0</v>
      </c>
      <c r="AJ29" s="36">
        <f>VLOOKUP($A29,[24]HISTOOCT24!$A$6:$CA$38,64,0)</f>
        <v>0</v>
      </c>
      <c r="AK29" s="36">
        <f>VLOOKUP($A29,[24]HISTOOCT24!$A$6:$CA$38,65,0)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MVTSEPT24!I30-E30+L30</f>
        <v>888786.81046782702</v>
      </c>
      <c r="G30" s="5">
        <f>IF(MVTSEPT24!I30+L30&gt;700000,(MVTSEPT24!I30-E30+L30),0)</f>
        <v>888786.81046782702</v>
      </c>
      <c r="H30" s="36">
        <f t="shared" si="0"/>
        <v>0</v>
      </c>
      <c r="I30" s="6">
        <f t="shared" si="2"/>
        <v>888786.81046782702</v>
      </c>
      <c r="J30" s="36">
        <f>VLOOKUP($A30,[24]HISTOOCT24!$A$6:$AQ$42,22,0)</f>
        <v>0</v>
      </c>
      <c r="K30" s="36">
        <f>VLOOKUP($A30,[24]HISTOOCT24!$A$6:$AU$38,45,0)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VLOOKUP($A30,[24]HISTOOCT24!$A$6:$AU$38,7,0)</f>
        <v>0</v>
      </c>
      <c r="Q30" s="36">
        <f>VLOOKUP($A30,[24]HISTOOCT24!$A$6:$AU$38,23,0)</f>
        <v>0</v>
      </c>
      <c r="R30" s="36">
        <f>VLOOKUP($A30,[24]HISTOOCT24!$A$6:$AU$38,46,0)</f>
        <v>0</v>
      </c>
      <c r="S30" s="36">
        <f>VLOOKUP($A30,[24]HISTOOCT24!$A$6:$AU$38,26,0)</f>
        <v>0</v>
      </c>
      <c r="T30" s="36">
        <f>VLOOKUP($A30,[24]HISTOOCT24!$A$6:$BG$38,58,0)</f>
        <v>0</v>
      </c>
      <c r="U30" s="36">
        <f>VLOOKUP($A30,[24]HISTOOCT24!$A$6:$AU$38,28,0)</f>
        <v>0</v>
      </c>
      <c r="V30" s="36">
        <f>VLOOKUP($A30,[24]HISTOOCT24!$A$6:$AU$38,19,0)</f>
        <v>0</v>
      </c>
      <c r="W30" s="36">
        <f>VLOOKUP($A30,[24]HISTOOCT24!$A$6:$AU$38,20,0)</f>
        <v>0</v>
      </c>
      <c r="X30" s="36">
        <f>VLOOKUP($A30,[24]HISTOOCT24!$A$6:$AU$38,27,0)</f>
        <v>0</v>
      </c>
      <c r="Y30" s="36">
        <f>VLOOKUP($A30,[24]HISTOOCT24!$A$6:$BM$38,33,0)</f>
        <v>0</v>
      </c>
      <c r="Z30" s="36">
        <f>VLOOKUP($A30,[24]HISTOOCT24!$A$6:$BM$38,65,0)</f>
        <v>0</v>
      </c>
      <c r="AA30" s="36"/>
      <c r="AB30" s="36">
        <f>VLOOKUP($A30,[24]HISTOOCT24!$A$6:$AU$38,43,0)</f>
        <v>0</v>
      </c>
      <c r="AC30" s="36">
        <f>VLOOKUP($A30,[24]HISTOOCT24!$A$6:$AU$38,44,0)</f>
        <v>0</v>
      </c>
      <c r="AD30" s="36">
        <f>VLOOKUP($A30,[24]HISTOOCT24!$A$6:$AU$38,47,0)</f>
        <v>0</v>
      </c>
      <c r="AE30" s="36">
        <f>VLOOKUP(A30,[24]HISTOOCT24!$A$6:$BB$38,54,0)</f>
        <v>0</v>
      </c>
      <c r="AF30" s="36">
        <f>VLOOKUP($A30,[24]HISTOOCT24!$A$6:$CA$38,60,0)</f>
        <v>0</v>
      </c>
      <c r="AG30" s="36">
        <f>VLOOKUP($A30,[24]HISTOOCT24!$A$6:$CA$38,61,0)</f>
        <v>0</v>
      </c>
      <c r="AH30" s="36">
        <f>VLOOKUP($A30,[24]HISTOOCT24!$A$6:$CA$38,62,0)</f>
        <v>0</v>
      </c>
      <c r="AI30" s="36">
        <f>VLOOKUP($A30,[24]HISTOOCT24!$A$6:$CA$38,63,0)</f>
        <v>0</v>
      </c>
      <c r="AJ30" s="36">
        <f>VLOOKUP($A30,[24]HISTOOCT24!$A$6:$CA$38,64,0)</f>
        <v>0</v>
      </c>
      <c r="AK30" s="36">
        <f>VLOOKUP($A30,[24]HISTOOCT24!$A$6:$CA$38,65,0)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MVTSEPT24!I31-E31+L31</f>
        <v>1048903.0311481347</v>
      </c>
      <c r="G31" s="5">
        <f>IF(MVTSEPT24!I31+L31&gt;700000,(MVTSEPT24!I31-E31+L31),0)</f>
        <v>1048903.0311481347</v>
      </c>
      <c r="H31" s="36">
        <f t="shared" si="0"/>
        <v>0</v>
      </c>
      <c r="I31" s="6">
        <f t="shared" si="2"/>
        <v>1048903.0311481347</v>
      </c>
      <c r="J31" s="36">
        <f>VLOOKUP($A31,[24]HISTOOCT24!$A$6:$AQ$42,22,0)</f>
        <v>0</v>
      </c>
      <c r="K31" s="36">
        <f>VLOOKUP($A31,[24]HISTOOCT24!$A$6:$AU$38,45,0)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VLOOKUP($A31,[24]HISTOOCT24!$A$6:$AU$38,7,0)</f>
        <v>0</v>
      </c>
      <c r="Q31" s="36">
        <f>VLOOKUP($A31,[24]HISTOOCT24!$A$6:$AU$38,23,0)</f>
        <v>0</v>
      </c>
      <c r="R31" s="36">
        <f>VLOOKUP($A31,[24]HISTOOCT24!$A$6:$AU$38,46,0)</f>
        <v>0</v>
      </c>
      <c r="S31" s="36">
        <f>VLOOKUP($A31,[24]HISTOOCT24!$A$6:$AU$38,26,0)</f>
        <v>0</v>
      </c>
      <c r="T31" s="36">
        <f>VLOOKUP($A31,[24]HISTOOCT24!$A$6:$BG$38,58,0)</f>
        <v>0</v>
      </c>
      <c r="U31" s="36">
        <f>VLOOKUP($A31,[24]HISTOOCT24!$A$6:$AU$38,28,0)</f>
        <v>0</v>
      </c>
      <c r="V31" s="36">
        <f>VLOOKUP($A31,[24]HISTOOCT24!$A$6:$AU$38,19,0)</f>
        <v>0</v>
      </c>
      <c r="W31" s="36">
        <f>VLOOKUP($A31,[24]HISTOOCT24!$A$6:$AU$38,20,0)</f>
        <v>0</v>
      </c>
      <c r="X31" s="36">
        <f>VLOOKUP($A31,[24]HISTOOCT24!$A$6:$AU$38,27,0)</f>
        <v>0</v>
      </c>
      <c r="Y31" s="36">
        <f>VLOOKUP($A31,[24]HISTOOCT24!$A$6:$BM$38,33,0)</f>
        <v>0</v>
      </c>
      <c r="Z31" s="36">
        <f>VLOOKUP($A31,[24]HISTOOCT24!$A$6:$BM$38,65,0)</f>
        <v>0</v>
      </c>
      <c r="AA31" s="36"/>
      <c r="AB31" s="36">
        <f>VLOOKUP($A31,[24]HISTOOCT24!$A$6:$AU$38,43,0)</f>
        <v>0</v>
      </c>
      <c r="AC31" s="36">
        <f>VLOOKUP($A31,[24]HISTOOCT24!$A$6:$AU$38,44,0)</f>
        <v>0</v>
      </c>
      <c r="AD31" s="36">
        <f>VLOOKUP($A31,[24]HISTOOCT24!$A$6:$AU$38,47,0)</f>
        <v>0</v>
      </c>
      <c r="AE31" s="36">
        <f>VLOOKUP(A31,[24]HISTOOCT24!$A$6:$BB$38,54,0)</f>
        <v>0</v>
      </c>
      <c r="AF31" s="36">
        <f>VLOOKUP($A31,[24]HISTOOCT24!$A$6:$CA$38,60,0)</f>
        <v>0</v>
      </c>
      <c r="AG31" s="36">
        <f>VLOOKUP($A31,[24]HISTOOCT24!$A$6:$CA$38,61,0)</f>
        <v>0</v>
      </c>
      <c r="AH31" s="36">
        <f>VLOOKUP($A31,[24]HISTOOCT24!$A$6:$CA$38,62,0)</f>
        <v>0</v>
      </c>
      <c r="AI31" s="36">
        <f>VLOOKUP($A31,[24]HISTOOCT24!$A$6:$CA$38,63,0)</f>
        <v>0</v>
      </c>
      <c r="AJ31" s="36">
        <f>VLOOKUP($A31,[24]HISTOOCT24!$A$6:$CA$38,64,0)</f>
        <v>0</v>
      </c>
      <c r="AK31" s="36">
        <f>VLOOKUP($A31,[24]HISTOOCT24!$A$6:$CA$38,65,0)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MVTSEPT24!I32-E32+L32</f>
        <v>938243.98131057119</v>
      </c>
      <c r="G32" s="5">
        <f>IF(MVTSEPT24!I32+L32&gt;700000,(MVTSEPT24!I32-E32+L32),0)</f>
        <v>938243.98131057119</v>
      </c>
      <c r="H32" s="36">
        <f t="shared" si="0"/>
        <v>0</v>
      </c>
      <c r="I32" s="6">
        <f t="shared" si="2"/>
        <v>938243.98131057119</v>
      </c>
      <c r="J32" s="36">
        <f>VLOOKUP($A32,[24]HISTOOCT24!$A$6:$AQ$42,22,0)</f>
        <v>0</v>
      </c>
      <c r="K32" s="36">
        <f>VLOOKUP($A32,[24]HISTOOCT24!$A$6:$AU$38,45,0)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VLOOKUP($A32,[24]HISTOOCT24!$A$6:$AU$38,7,0)</f>
        <v>0</v>
      </c>
      <c r="Q32" s="36">
        <f>VLOOKUP($A32,[24]HISTOOCT24!$A$6:$AU$38,23,0)</f>
        <v>0</v>
      </c>
      <c r="R32" s="36">
        <f>VLOOKUP($A32,[24]HISTOOCT24!$A$6:$AU$38,46,0)</f>
        <v>0</v>
      </c>
      <c r="S32" s="36">
        <f>VLOOKUP($A32,[24]HISTOOCT24!$A$6:$AU$38,26,0)</f>
        <v>0</v>
      </c>
      <c r="T32" s="36">
        <f>VLOOKUP($A32,[24]HISTOOCT24!$A$6:$BG$38,58,0)</f>
        <v>0</v>
      </c>
      <c r="U32" s="36">
        <f>VLOOKUP($A32,[24]HISTOOCT24!$A$6:$AU$38,28,0)</f>
        <v>0</v>
      </c>
      <c r="V32" s="36">
        <f>VLOOKUP($A32,[24]HISTOOCT24!$A$6:$AU$38,19,0)</f>
        <v>0</v>
      </c>
      <c r="W32" s="36">
        <f>VLOOKUP($A32,[24]HISTOOCT24!$A$6:$AU$38,20,0)</f>
        <v>0</v>
      </c>
      <c r="X32" s="36">
        <f>VLOOKUP($A32,[24]HISTOOCT24!$A$6:$AU$38,27,0)</f>
        <v>0</v>
      </c>
      <c r="Y32" s="36">
        <f>VLOOKUP($A32,[24]HISTOOCT24!$A$6:$BM$38,33,0)</f>
        <v>0</v>
      </c>
      <c r="Z32" s="36">
        <f>VLOOKUP($A32,[24]HISTOOCT24!$A$6:$BM$38,65,0)</f>
        <v>0</v>
      </c>
      <c r="AA32" s="36"/>
      <c r="AB32" s="36">
        <f>VLOOKUP($A32,[24]HISTOOCT24!$A$6:$AU$38,43,0)</f>
        <v>0</v>
      </c>
      <c r="AC32" s="36">
        <f>VLOOKUP($A32,[24]HISTOOCT24!$A$6:$AU$38,44,0)</f>
        <v>0</v>
      </c>
      <c r="AD32" s="36">
        <f>VLOOKUP($A32,[24]HISTOOCT24!$A$6:$AU$38,47,0)</f>
        <v>0</v>
      </c>
      <c r="AE32" s="36">
        <f>VLOOKUP(A32,[24]HISTOOCT24!$A$6:$BB$38,54,0)</f>
        <v>0</v>
      </c>
      <c r="AF32" s="36">
        <f>VLOOKUP($A32,[24]HISTOOCT24!$A$6:$CA$38,60,0)</f>
        <v>0</v>
      </c>
      <c r="AG32" s="36">
        <f>VLOOKUP($A32,[24]HISTOOCT24!$A$6:$CA$38,61,0)</f>
        <v>0</v>
      </c>
      <c r="AH32" s="36">
        <f>VLOOKUP($A32,[24]HISTOOCT24!$A$6:$CA$38,62,0)</f>
        <v>0</v>
      </c>
      <c r="AI32" s="36">
        <f>VLOOKUP($A32,[24]HISTOOCT24!$A$6:$CA$38,63,0)</f>
        <v>0</v>
      </c>
      <c r="AJ32" s="36">
        <f>VLOOKUP($A32,[24]HISTOOCT24!$A$6:$CA$38,64,0)</f>
        <v>0</v>
      </c>
      <c r="AK32" s="36">
        <f>VLOOKUP($A32,[24]HISTOOCT24!$A$6:$CA$38,65,0)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MVTSEPT24!I33-E33+L33</f>
        <v>938552.64928596013</v>
      </c>
      <c r="G33" s="5">
        <f>IF(MVTSEPT24!I33+L33&gt;700000,(MVTSEPT24!I33-E33+L33),0)</f>
        <v>938552.64928596013</v>
      </c>
      <c r="H33" s="36">
        <f t="shared" si="0"/>
        <v>0</v>
      </c>
      <c r="I33" s="6">
        <f t="shared" si="2"/>
        <v>938552.64928596013</v>
      </c>
      <c r="J33" s="36">
        <f>VLOOKUP($A33,[24]HISTOOCT24!$A$6:$AQ$42,22,0)</f>
        <v>0</v>
      </c>
      <c r="K33" s="36">
        <f>VLOOKUP($A33,[24]HISTOOCT24!$A$6:$AU$38,45,0)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VLOOKUP($A33,[24]HISTOOCT24!$A$6:$AU$38,7,0)</f>
        <v>0</v>
      </c>
      <c r="Q33" s="36">
        <f>VLOOKUP($A33,[24]HISTOOCT24!$A$6:$AU$38,23,0)</f>
        <v>0</v>
      </c>
      <c r="R33" s="36">
        <f>VLOOKUP($A33,[24]HISTOOCT24!$A$6:$AU$38,46,0)</f>
        <v>0</v>
      </c>
      <c r="S33" s="36">
        <f>VLOOKUP($A33,[24]HISTOOCT24!$A$6:$AU$38,26,0)</f>
        <v>0</v>
      </c>
      <c r="T33" s="36">
        <f>VLOOKUP($A33,[24]HISTOOCT24!$A$6:$BG$38,58,0)</f>
        <v>0</v>
      </c>
      <c r="U33" s="36">
        <f>VLOOKUP($A33,[24]HISTOOCT24!$A$6:$AU$38,28,0)</f>
        <v>0</v>
      </c>
      <c r="V33" s="36">
        <f>VLOOKUP($A33,[24]HISTOOCT24!$A$6:$AU$38,19,0)</f>
        <v>0</v>
      </c>
      <c r="W33" s="36">
        <f>VLOOKUP($A33,[24]HISTOOCT24!$A$6:$AU$38,20,0)</f>
        <v>0</v>
      </c>
      <c r="X33" s="36">
        <f>VLOOKUP($A33,[24]HISTOOCT24!$A$6:$AU$38,27,0)</f>
        <v>0</v>
      </c>
      <c r="Y33" s="36">
        <f>VLOOKUP($A33,[24]HISTOOCT24!$A$6:$BM$38,33,0)</f>
        <v>0</v>
      </c>
      <c r="Z33" s="36">
        <f>VLOOKUP($A33,[24]HISTOOCT24!$A$6:$BM$38,65,0)</f>
        <v>0</v>
      </c>
      <c r="AA33" s="36"/>
      <c r="AB33" s="36">
        <f>VLOOKUP($A33,[24]HISTOOCT24!$A$6:$AU$38,43,0)</f>
        <v>0</v>
      </c>
      <c r="AC33" s="36">
        <f>VLOOKUP($A33,[24]HISTOOCT24!$A$6:$AU$38,44,0)</f>
        <v>0</v>
      </c>
      <c r="AD33" s="36">
        <f>VLOOKUP($A33,[24]HISTOOCT24!$A$6:$AU$38,47,0)</f>
        <v>0</v>
      </c>
      <c r="AE33" s="36">
        <f>VLOOKUP(A33,[24]HISTOOCT24!$A$6:$BB$38,54,0)</f>
        <v>0</v>
      </c>
      <c r="AF33" s="36">
        <f>VLOOKUP($A33,[24]HISTOOCT24!$A$6:$CA$38,60,0)</f>
        <v>0</v>
      </c>
      <c r="AG33" s="36">
        <f>VLOOKUP($A33,[24]HISTOOCT24!$A$6:$CA$38,61,0)</f>
        <v>0</v>
      </c>
      <c r="AH33" s="36">
        <f>VLOOKUP($A33,[24]HISTOOCT24!$A$6:$CA$38,62,0)</f>
        <v>0</v>
      </c>
      <c r="AI33" s="36">
        <f>VLOOKUP($A33,[24]HISTOOCT24!$A$6:$CA$38,63,0)</f>
        <v>0</v>
      </c>
      <c r="AJ33" s="36">
        <f>VLOOKUP($A33,[24]HISTOOCT24!$A$6:$CA$38,64,0)</f>
        <v>0</v>
      </c>
      <c r="AK33" s="36">
        <f>VLOOKUP($A33,[24]HISTOOCT24!$A$6:$CA$38,65,0)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MVTSEPT24!I34-E34+L34</f>
        <v>595000</v>
      </c>
      <c r="G34" s="5">
        <f>IF(MVTSEPT24!I34+L34&gt;700000,(MVTSEPT24!I34-E34+L34),0)</f>
        <v>0</v>
      </c>
      <c r="H34" s="36">
        <f t="shared" si="0"/>
        <v>0</v>
      </c>
      <c r="I34" s="6">
        <f t="shared" si="2"/>
        <v>595000</v>
      </c>
      <c r="J34" s="36">
        <f>VLOOKUP($A34,[24]HISTOOCT24!$A$6:$AQ$42,22,0)</f>
        <v>0</v>
      </c>
      <c r="K34" s="36">
        <f>VLOOKUP($A34,[24]HISTOOCT24!$A$6:$AU$38,45,0)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VLOOKUP($A34,[24]HISTOOCT24!$A$6:$AU$38,7,0)</f>
        <v>0</v>
      </c>
      <c r="Q34" s="36">
        <f>VLOOKUP($A34,[24]HISTOOCT24!$A$6:$AU$38,23,0)</f>
        <v>0</v>
      </c>
      <c r="R34" s="36">
        <f>VLOOKUP($A34,[24]HISTOOCT24!$A$6:$AU$38,46,0)</f>
        <v>0</v>
      </c>
      <c r="S34" s="36">
        <f>VLOOKUP($A34,[24]HISTOOCT24!$A$6:$AU$38,26,0)</f>
        <v>0</v>
      </c>
      <c r="T34" s="36">
        <f>VLOOKUP($A34,[24]HISTOOCT24!$A$6:$BG$38,58,0)</f>
        <v>0</v>
      </c>
      <c r="U34" s="36">
        <f>VLOOKUP($A34,[24]HISTOOCT24!$A$6:$AU$38,28,0)</f>
        <v>0</v>
      </c>
      <c r="V34" s="36">
        <f>VLOOKUP($A34,[24]HISTOOCT24!$A$6:$AU$38,19,0)</f>
        <v>0</v>
      </c>
      <c r="W34" s="36">
        <f>VLOOKUP($A34,[24]HISTOOCT24!$A$6:$AU$38,20,0)</f>
        <v>0</v>
      </c>
      <c r="X34" s="36">
        <f>VLOOKUP($A34,[24]HISTOOCT24!$A$6:$AU$38,27,0)</f>
        <v>0</v>
      </c>
      <c r="Y34" s="36">
        <f>VLOOKUP($A34,[24]HISTOOCT24!$A$6:$BM$38,33,0)</f>
        <v>0</v>
      </c>
      <c r="Z34" s="36">
        <f>VLOOKUP($A34,[24]HISTOOCT24!$A$6:$BM$38,65,0)</f>
        <v>0</v>
      </c>
      <c r="AA34" s="36"/>
      <c r="AB34" s="36">
        <f>VLOOKUP($A34,[24]HISTOOCT24!$A$6:$AU$38,43,0)</f>
        <v>0</v>
      </c>
      <c r="AC34" s="36">
        <f>VLOOKUP($A34,[24]HISTOOCT24!$A$6:$AU$38,44,0)</f>
        <v>0</v>
      </c>
      <c r="AD34" s="36">
        <f>VLOOKUP($A34,[24]HISTOOCT24!$A$6:$AU$38,47,0)</f>
        <v>0</v>
      </c>
      <c r="AE34" s="36">
        <f>VLOOKUP(A34,[24]HISTOOCT24!$A$6:$BB$38,54,0)</f>
        <v>0</v>
      </c>
      <c r="AF34" s="36">
        <f>VLOOKUP($A34,[24]HISTOOCT24!$A$6:$CA$38,60,0)</f>
        <v>0</v>
      </c>
      <c r="AG34" s="36">
        <f>VLOOKUP($A34,[24]HISTOOCT24!$A$6:$CA$38,61,0)</f>
        <v>0</v>
      </c>
      <c r="AH34" s="36">
        <f>VLOOKUP($A34,[24]HISTOOCT24!$A$6:$CA$38,62,0)</f>
        <v>0</v>
      </c>
      <c r="AI34" s="36">
        <f>VLOOKUP($A34,[24]HISTOOCT24!$A$6:$CA$38,63,0)</f>
        <v>0</v>
      </c>
      <c r="AJ34" s="36">
        <f>VLOOKUP($A34,[24]HISTOOCT24!$A$6:$CA$38,64,0)</f>
        <v>0</v>
      </c>
      <c r="AK34" s="36">
        <f>VLOOKUP($A34,[24]HISTOOCT24!$A$6:$CA$38,65,0)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MVTSEPT24!I35-E35+L35</f>
        <v>290000</v>
      </c>
      <c r="G35" s="5">
        <f>IF(MVTSEPT24!I35+L35&gt;700000,(MVTSEPT24!I35-E35+L35),0)</f>
        <v>0</v>
      </c>
      <c r="H35" s="36">
        <f t="shared" si="0"/>
        <v>0</v>
      </c>
      <c r="I35" s="6">
        <f t="shared" si="2"/>
        <v>290000</v>
      </c>
      <c r="J35" s="36">
        <f>VLOOKUP($A35,[24]HISTOOCT24!$A$6:$AQ$42,22,0)</f>
        <v>0</v>
      </c>
      <c r="K35" s="36">
        <f>VLOOKUP($A35,[24]HISTOOCT24!$A$6:$AU$38,45,0)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VLOOKUP($A35,[24]HISTOOCT24!$A$6:$AU$38,7,0)</f>
        <v>3000</v>
      </c>
      <c r="Q35" s="36">
        <f>VLOOKUP($A35,[24]HISTOOCT24!$A$6:$AU$38,23,0)</f>
        <v>0</v>
      </c>
      <c r="R35" s="36">
        <f>VLOOKUP($A35,[24]HISTOOCT24!$A$6:$AU$38,46,0)</f>
        <v>0</v>
      </c>
      <c r="S35" s="36">
        <f>VLOOKUP($A35,[24]HISTOOCT24!$A$6:$AU$38,26,0)</f>
        <v>0</v>
      </c>
      <c r="T35" s="36">
        <f>VLOOKUP($A35,[24]HISTOOCT24!$A$6:$BG$38,58,0)</f>
        <v>0</v>
      </c>
      <c r="U35" s="36">
        <f>VLOOKUP($A35,[24]HISTOOCT24!$A$6:$AU$38,28,0)</f>
        <v>0</v>
      </c>
      <c r="V35" s="36">
        <f>VLOOKUP($A35,[24]HISTOOCT24!$A$6:$AU$38,19,0)</f>
        <v>0</v>
      </c>
      <c r="W35" s="36">
        <f>VLOOKUP($A35,[24]HISTOOCT24!$A$6:$AU$38,20,0)</f>
        <v>0</v>
      </c>
      <c r="X35" s="36">
        <f>VLOOKUP($A35,[24]HISTOOCT24!$A$6:$AU$38,27,0)</f>
        <v>0</v>
      </c>
      <c r="Y35" s="36">
        <f>VLOOKUP($A35,[24]HISTOOCT24!$A$6:$BM$38,33,0)</f>
        <v>0</v>
      </c>
      <c r="Z35" s="36">
        <f>VLOOKUP($A35,[24]HISTOOCT24!$A$6:$BM$38,65,0)</f>
        <v>0</v>
      </c>
      <c r="AA35" s="36"/>
      <c r="AB35" s="36">
        <f>VLOOKUP($A35,[24]HISTOOCT24!$A$6:$AU$38,43,0)</f>
        <v>0</v>
      </c>
      <c r="AC35" s="36">
        <f>VLOOKUP($A35,[24]HISTOOCT24!$A$6:$AU$38,44,0)</f>
        <v>0</v>
      </c>
      <c r="AD35" s="36">
        <f>VLOOKUP($A35,[24]HISTOOCT24!$A$6:$AU$38,47,0)</f>
        <v>0</v>
      </c>
      <c r="AE35" s="36">
        <f>VLOOKUP(A35,[24]HISTOOCT24!$A$6:$BB$38,54,0)</f>
        <v>0</v>
      </c>
      <c r="AF35" s="36">
        <f>VLOOKUP($A35,[24]HISTOOCT24!$A$6:$CA$38,60,0)</f>
        <v>0</v>
      </c>
      <c r="AG35" s="36">
        <f>VLOOKUP($A35,[24]HISTOOCT24!$A$6:$CA$38,61,0)</f>
        <v>0</v>
      </c>
      <c r="AH35" s="36">
        <f>VLOOKUP($A35,[24]HISTOOCT24!$A$6:$CA$38,62,0)</f>
        <v>0</v>
      </c>
      <c r="AI35" s="36">
        <f>VLOOKUP($A35,[24]HISTOOCT24!$A$6:$CA$38,63,0)</f>
        <v>0</v>
      </c>
      <c r="AJ35" s="36">
        <f>VLOOKUP($A35,[24]HISTOOCT24!$A$6:$CA$38,64,0)</f>
        <v>0</v>
      </c>
      <c r="AK35" s="36">
        <f>VLOOKUP($A35,[24]HISTOOCT24!$A$6:$CA$38,65,0)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MVTSEPT24!I36-E36+L36</f>
        <v>975599.08181867818</v>
      </c>
      <c r="G36" s="5">
        <f>IF(MVTSEPT24!I36+L36&gt;700000,(MVTSEPT24!I36-E36+L36),0)</f>
        <v>975599.08181867818</v>
      </c>
      <c r="H36" s="36">
        <f t="shared" si="0"/>
        <v>0</v>
      </c>
      <c r="I36" s="6">
        <f t="shared" si="2"/>
        <v>975599.08181867818</v>
      </c>
      <c r="J36" s="36">
        <f>VLOOKUP($A36,[24]HISTOOCT24!$A$6:$AQ$42,22,0)</f>
        <v>0</v>
      </c>
      <c r="K36" s="36">
        <f>VLOOKUP($A36,[24]HISTOOCT24!$A$6:$AU$38,45,0)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VLOOKUP($A36,[24]HISTOOCT24!$A$6:$AU$38,7,0)</f>
        <v>0</v>
      </c>
      <c r="Q36" s="36">
        <f>VLOOKUP($A36,[24]HISTOOCT24!$A$6:$AU$38,23,0)</f>
        <v>0</v>
      </c>
      <c r="R36" s="36">
        <f>VLOOKUP($A36,[24]HISTOOCT24!$A$6:$AU$38,46,0)</f>
        <v>0</v>
      </c>
      <c r="S36" s="36">
        <f>VLOOKUP($A36,[24]HISTOOCT24!$A$6:$AU$38,26,0)</f>
        <v>0</v>
      </c>
      <c r="T36" s="36">
        <f>VLOOKUP($A36,[24]HISTOOCT24!$A$6:$BG$38,58,0)</f>
        <v>0</v>
      </c>
      <c r="U36" s="36">
        <f>VLOOKUP($A36,[24]HISTOOCT24!$A$6:$AU$38,28,0)</f>
        <v>0</v>
      </c>
      <c r="V36" s="36">
        <f>VLOOKUP($A36,[24]HISTOOCT24!$A$6:$AU$38,19,0)</f>
        <v>0</v>
      </c>
      <c r="W36" s="36">
        <f>VLOOKUP($A36,[24]HISTOOCT24!$A$6:$AU$38,20,0)</f>
        <v>0</v>
      </c>
      <c r="X36" s="36">
        <f>VLOOKUP($A36,[24]HISTOOCT24!$A$6:$AU$38,27,0)</f>
        <v>0</v>
      </c>
      <c r="Y36" s="36">
        <f>VLOOKUP($A36,[24]HISTOOCT24!$A$6:$BM$38,33,0)</f>
        <v>0</v>
      </c>
      <c r="Z36" s="36">
        <f>VLOOKUP($A36,[24]HISTOOCT24!$A$6:$BM$38,65,0)</f>
        <v>0</v>
      </c>
      <c r="AA36" s="36"/>
      <c r="AB36" s="36">
        <f>VLOOKUP($A36,[24]HISTOOCT24!$A$6:$AU$38,43,0)</f>
        <v>0</v>
      </c>
      <c r="AC36" s="36">
        <f>VLOOKUP($A36,[24]HISTOOCT24!$A$6:$AU$38,44,0)</f>
        <v>0</v>
      </c>
      <c r="AD36" s="36">
        <f>VLOOKUP($A36,[24]HISTOOCT24!$A$6:$AU$38,47,0)</f>
        <v>0</v>
      </c>
      <c r="AE36" s="36">
        <f>VLOOKUP(A36,[24]HISTOOCT24!$A$6:$BB$38,54,0)</f>
        <v>0</v>
      </c>
      <c r="AF36" s="36">
        <f>VLOOKUP($A36,[24]HISTOOCT24!$A$6:$CA$38,60,0)</f>
        <v>0</v>
      </c>
      <c r="AG36" s="36">
        <f>VLOOKUP($A36,[24]HISTOOCT24!$A$6:$CA$38,61,0)</f>
        <v>0</v>
      </c>
      <c r="AH36" s="36">
        <f>VLOOKUP($A36,[24]HISTOOCT24!$A$6:$CA$38,62,0)</f>
        <v>0</v>
      </c>
      <c r="AI36" s="36">
        <f>VLOOKUP($A36,[24]HISTOOCT24!$A$6:$CA$38,63,0)</f>
        <v>0</v>
      </c>
      <c r="AJ36" s="36">
        <f>VLOOKUP($A36,[24]HISTOOCT24!$A$6:$CA$38,64,0)</f>
        <v>0</v>
      </c>
      <c r="AK36" s="36">
        <f>VLOOKUP($A36,[24]HISTOOCT24!$A$6:$CA$38,65,0)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MVTSEPT24!I37-E37+L37</f>
        <v>2008400.7147676253</v>
      </c>
      <c r="G37" s="5">
        <f>IF(MVTSEPT24!I37+L37&gt;700000,(MVTSEPT24!I37-E37+L37),0)</f>
        <v>2008400.7147676253</v>
      </c>
      <c r="H37" s="36">
        <f t="shared" si="0"/>
        <v>0</v>
      </c>
      <c r="I37" s="6">
        <f t="shared" si="2"/>
        <v>2008400.7147676253</v>
      </c>
      <c r="J37" s="36">
        <f>VLOOKUP($A37,[24]HISTOOCT24!$A$6:$AQ$42,22,0)</f>
        <v>0</v>
      </c>
      <c r="K37" s="36">
        <f>VLOOKUP($A37,[24]HISTOOCT24!$A$6:$AU$38,45,0)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VLOOKUP($A37,[24]HISTOOCT24!$A$6:$AU$38,7,0)</f>
        <v>3000</v>
      </c>
      <c r="Q37" s="36">
        <f>VLOOKUP($A37,[24]HISTOOCT24!$A$6:$AU$38,23,0)</f>
        <v>0</v>
      </c>
      <c r="R37" s="36">
        <f>VLOOKUP($A37,[24]HISTOOCT24!$A$6:$AU$38,46,0)</f>
        <v>0</v>
      </c>
      <c r="S37" s="36">
        <f>VLOOKUP($A37,[24]HISTOOCT24!$A$6:$AU$38,26,0)</f>
        <v>0</v>
      </c>
      <c r="T37" s="36">
        <f>VLOOKUP($A37,[24]HISTOOCT24!$A$6:$BG$38,58,0)</f>
        <v>0</v>
      </c>
      <c r="U37" s="36">
        <f>VLOOKUP($A37,[24]HISTOOCT24!$A$6:$AU$38,28,0)</f>
        <v>0</v>
      </c>
      <c r="V37" s="36">
        <f>VLOOKUP($A37,[24]HISTOOCT24!$A$6:$AU$38,19,0)</f>
        <v>0</v>
      </c>
      <c r="W37" s="36">
        <f>VLOOKUP($A37,[24]HISTOOCT24!$A$6:$AU$38,20,0)</f>
        <v>0</v>
      </c>
      <c r="X37" s="36">
        <f>VLOOKUP($A37,[24]HISTOOCT24!$A$6:$AU$38,27,0)</f>
        <v>0</v>
      </c>
      <c r="Y37" s="36">
        <f>VLOOKUP($A37,[24]HISTOOCT24!$A$6:$BM$38,33,0)</f>
        <v>0</v>
      </c>
      <c r="Z37" s="36">
        <f>VLOOKUP($A37,[24]HISTOOCT24!$A$6:$BM$38,65,0)</f>
        <v>0</v>
      </c>
      <c r="AA37" s="36"/>
      <c r="AB37" s="36">
        <f>VLOOKUP($A37,[24]HISTOOCT24!$A$6:$AU$38,43,0)</f>
        <v>0</v>
      </c>
      <c r="AC37" s="36">
        <f>VLOOKUP($A37,[24]HISTOOCT24!$A$6:$AU$38,44,0)</f>
        <v>0</v>
      </c>
      <c r="AD37" s="36">
        <f>VLOOKUP($A37,[24]HISTOOCT24!$A$6:$AU$38,47,0)</f>
        <v>0</v>
      </c>
      <c r="AE37" s="36">
        <f>VLOOKUP(A37,[24]HISTOOCT24!$A$6:$BB$38,54,0)</f>
        <v>0</v>
      </c>
      <c r="AF37" s="36">
        <f>VLOOKUP($A37,[24]HISTOOCT24!$A$6:$CA$38,60,0)</f>
        <v>0</v>
      </c>
      <c r="AG37" s="36">
        <f>VLOOKUP($A37,[24]HISTOOCT24!$A$6:$CA$38,61,0)</f>
        <v>0</v>
      </c>
      <c r="AH37" s="36">
        <f>VLOOKUP($A37,[24]HISTOOCT24!$A$6:$CA$38,62,0)</f>
        <v>0</v>
      </c>
      <c r="AI37" s="36">
        <f>VLOOKUP($A37,[24]HISTOOCT24!$A$6:$CA$38,63,0)</f>
        <v>0</v>
      </c>
      <c r="AJ37" s="36">
        <f>VLOOKUP($A37,[24]HISTOOCT24!$A$6:$CA$38,64,0)</f>
        <v>0</v>
      </c>
      <c r="AK37" s="36">
        <f>VLOOKUP($A37,[24]HISTOOCT24!$A$6:$CA$38,65,0)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MVTSEPT24!I38-E38+L38</f>
        <v>190000</v>
      </c>
      <c r="G38" s="5">
        <f>IF(MVTSEPT24!I38+L38&gt;700000,(MVTSEPT24!I38-E38+L38),0)</f>
        <v>0</v>
      </c>
      <c r="H38" s="36">
        <f t="shared" si="0"/>
        <v>0</v>
      </c>
      <c r="I38" s="6">
        <f t="shared" si="2"/>
        <v>190000</v>
      </c>
      <c r="J38" s="36">
        <f>VLOOKUP($A38,[24]HISTOOCT24!$A$6:$AQ$42,22,0)</f>
        <v>0</v>
      </c>
      <c r="K38" s="36">
        <f>VLOOKUP($A38,[24]HISTOOCT24!$A$6:$AU$38,45,0)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VLOOKUP($A38,[24]HISTOOCT24!$A$6:$AU$38,7,0)</f>
        <v>0</v>
      </c>
      <c r="Q38" s="36">
        <f>VLOOKUP($A38,[24]HISTOOCT24!$A$6:$AU$38,23,0)</f>
        <v>0</v>
      </c>
      <c r="R38" s="36">
        <f>VLOOKUP($A38,[24]HISTOOCT24!$A$6:$AU$38,46,0)</f>
        <v>0</v>
      </c>
      <c r="S38" s="36">
        <f>VLOOKUP($A38,[24]HISTOOCT24!$A$6:$AU$38,26,0)</f>
        <v>0</v>
      </c>
      <c r="T38" s="36">
        <f>VLOOKUP($A38,[24]HISTOOCT24!$A$6:$BG$38,58,0)</f>
        <v>0</v>
      </c>
      <c r="U38" s="36">
        <f>VLOOKUP($A38,[24]HISTOOCT24!$A$6:$AU$38,28,0)</f>
        <v>0</v>
      </c>
      <c r="V38" s="36">
        <f>VLOOKUP($A38,[24]HISTOOCT24!$A$6:$AU$38,19,0)</f>
        <v>0</v>
      </c>
      <c r="W38" s="36">
        <f>VLOOKUP($A38,[24]HISTOOCT24!$A$6:$AU$38,20,0)</f>
        <v>0</v>
      </c>
      <c r="X38" s="36">
        <f>VLOOKUP($A38,[24]HISTOOCT24!$A$6:$AU$38,27,0)</f>
        <v>0</v>
      </c>
      <c r="Y38" s="36">
        <f>VLOOKUP($A38,[24]HISTOOCT24!$A$6:$BM$38,33,0)</f>
        <v>0</v>
      </c>
      <c r="Z38" s="36">
        <f>VLOOKUP($A38,[24]HISTOOCT24!$A$6:$BM$38,65,0)</f>
        <v>0</v>
      </c>
      <c r="AA38" s="36"/>
      <c r="AB38" s="36">
        <f>VLOOKUP($A38,[24]HISTOOCT24!$A$6:$AU$38,43,0)</f>
        <v>0</v>
      </c>
      <c r="AC38" s="36">
        <f>VLOOKUP($A38,[24]HISTOOCT24!$A$6:$AU$38,44,0)</f>
        <v>0</v>
      </c>
      <c r="AD38" s="36">
        <f>VLOOKUP($A38,[24]HISTOOCT24!$A$6:$AU$38,47,0)</f>
        <v>0</v>
      </c>
      <c r="AE38" s="36">
        <f>VLOOKUP(A38,[24]HISTOOCT24!$A$6:$BB$38,54,0)</f>
        <v>0</v>
      </c>
      <c r="AF38" s="36">
        <f>VLOOKUP($A38,[24]HISTOOCT24!$A$6:$CA$38,60,0)</f>
        <v>0</v>
      </c>
      <c r="AG38" s="36">
        <f>VLOOKUP($A38,[24]HISTOOCT24!$A$6:$CA$38,61,0)</f>
        <v>0</v>
      </c>
      <c r="AH38" s="36">
        <f>VLOOKUP($A38,[24]HISTOOCT24!$A$6:$CA$38,62,0)</f>
        <v>0</v>
      </c>
      <c r="AI38" s="36">
        <f>VLOOKUP($A38,[24]HISTOOCT24!$A$6:$CA$38,63,0)</f>
        <v>0</v>
      </c>
      <c r="AJ38" s="36">
        <f>VLOOKUP($A38,[24]HISTOOCT24!$A$6:$CA$38,64,0)</f>
        <v>0</v>
      </c>
      <c r="AK38" s="36">
        <f>VLOOKUP($A38,[24]HISTOOCT24!$A$6:$CA$38,65,0)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MVTSEPT24!I39-E39+L39</f>
        <v>2173313.2142100567</v>
      </c>
      <c r="G39" s="5">
        <f>IF(MVTSEPT24!I39+L39&gt;700000,(MVTSEPT24!I39-E39+L39),0)</f>
        <v>2173313.2142100567</v>
      </c>
      <c r="H39" s="36">
        <f t="shared" si="0"/>
        <v>0</v>
      </c>
      <c r="I39" s="6">
        <f t="shared" si="2"/>
        <v>2173313.2142100567</v>
      </c>
      <c r="J39" s="36">
        <f>VLOOKUP($A39,[24]HISTOOCT24!$A$6:$AQ$42,22,0)</f>
        <v>0</v>
      </c>
      <c r="K39" s="36">
        <f>VLOOKUP($A39,[24]HISTOOCT24!$A$6:$AU$38,45,0)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VLOOKUP($A39,[24]HISTOOCT24!$A$6:$AU$38,7,0)</f>
        <v>0</v>
      </c>
      <c r="Q39" s="36">
        <f>VLOOKUP($A39,[24]HISTOOCT24!$A$6:$AU$38,23,0)</f>
        <v>0</v>
      </c>
      <c r="R39" s="36">
        <f>VLOOKUP($A39,[24]HISTOOCT24!$A$6:$AU$38,46,0)</f>
        <v>0</v>
      </c>
      <c r="S39" s="36">
        <f>VLOOKUP($A39,[24]HISTOOCT24!$A$6:$AU$38,26,0)</f>
        <v>0</v>
      </c>
      <c r="T39" s="36">
        <f>VLOOKUP($A39,[24]HISTOOCT24!$A$6:$BG$38,58,0)</f>
        <v>0</v>
      </c>
      <c r="U39" s="36">
        <f>VLOOKUP($A39,[24]HISTOOCT24!$A$6:$AU$38,28,0)</f>
        <v>0</v>
      </c>
      <c r="V39" s="36">
        <f>VLOOKUP($A39,[24]HISTOOCT24!$A$6:$AU$38,19,0)</f>
        <v>0</v>
      </c>
      <c r="W39" s="36">
        <f>VLOOKUP($A39,[24]HISTOOCT24!$A$6:$AU$38,20,0)</f>
        <v>0</v>
      </c>
      <c r="X39" s="36">
        <f>VLOOKUP($A39,[24]HISTOOCT24!$A$6:$AU$38,27,0)</f>
        <v>0</v>
      </c>
      <c r="Y39" s="36">
        <f>VLOOKUP($A39,[24]HISTOOCT24!$A$6:$BM$38,33,0)</f>
        <v>0</v>
      </c>
      <c r="Z39" s="36">
        <f>VLOOKUP($A39,[24]HISTOOCT24!$A$6:$BM$38,65,0)</f>
        <v>0</v>
      </c>
      <c r="AA39" s="36"/>
      <c r="AB39" s="36">
        <f>VLOOKUP($A39,[24]HISTOOCT24!$A$6:$AU$38,43,0)</f>
        <v>0</v>
      </c>
      <c r="AC39" s="36">
        <f>VLOOKUP($A39,[24]HISTOOCT24!$A$6:$AU$38,44,0)</f>
        <v>0</v>
      </c>
      <c r="AD39" s="36">
        <f>VLOOKUP($A39,[24]HISTOOCT24!$A$6:$AU$38,47,0)</f>
        <v>0</v>
      </c>
      <c r="AE39" s="36">
        <f>VLOOKUP(A39,[24]HISTOOCT24!$A$6:$BB$38,54,0)</f>
        <v>0</v>
      </c>
      <c r="AF39" s="36">
        <f>VLOOKUP($A39,[24]HISTOOCT24!$A$6:$CA$38,60,0)</f>
        <v>0</v>
      </c>
      <c r="AG39" s="36">
        <f>VLOOKUP($A39,[24]HISTOOCT24!$A$6:$CA$38,61,0)</f>
        <v>0</v>
      </c>
      <c r="AH39" s="36">
        <f>VLOOKUP($A39,[24]HISTOOCT24!$A$6:$CA$38,62,0)</f>
        <v>0</v>
      </c>
      <c r="AI39" s="36">
        <f>VLOOKUP($A39,[24]HISTOOCT24!$A$6:$CA$38,63,0)</f>
        <v>0</v>
      </c>
      <c r="AJ39" s="36">
        <f>VLOOKUP($A39,[24]HISTOOCT24!$A$6:$CA$38,64,0)</f>
        <v>0</v>
      </c>
      <c r="AK39" s="36">
        <f>VLOOKUP($A39,[24]HISTOOCT24!$A$6:$CA$38,65,0)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32968656.655274987</v>
      </c>
      <c r="G41" s="9">
        <f t="shared" si="10"/>
        <v>31027439.524547949</v>
      </c>
      <c r="H41" s="36">
        <f t="shared" si="10"/>
        <v>0</v>
      </c>
      <c r="I41" s="9">
        <f t="shared" si="10"/>
        <v>32968656.655274987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45613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VLOOKUP($A6,[24]HISTONOV24!$A$6:$BA$38,48,0)</f>
        <v>0</v>
      </c>
      <c r="F6" s="36">
        <f>MVTOCT24!I6-E6+L6</f>
        <v>946220.58968855068</v>
      </c>
      <c r="G6" s="5">
        <f>IF(MVTOCT24!I6+L6&gt;700000,(MVTOCT24!I6-E6+L6),0)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VLOOKUP($A6,[24]HISTONOV24!$A$6:$AQ$42,22,0)</f>
        <v>0</v>
      </c>
      <c r="K6" s="36">
        <f>VLOOKUP($A6,[24]HISTONOV24!$A$6:$AU$38,45,0)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VLOOKUP($A6,[24]HISTONOV24!$A$6:$AU$38,7,0)</f>
        <v>0</v>
      </c>
      <c r="Q6" s="36">
        <f>VLOOKUP($A6,[24]HISTONOV24!$A$6:$AU$38,23,0)</f>
        <v>0</v>
      </c>
      <c r="R6" s="36">
        <f>VLOOKUP($A6,[24]HISTONOV24!$A$6:$AU$38,46,0)</f>
        <v>0</v>
      </c>
      <c r="S6" s="36">
        <f>VLOOKUP($A6,[24]HISTONOV24!$A$6:$AU$38,26,0)</f>
        <v>0</v>
      </c>
      <c r="T6" s="36">
        <f>VLOOKUP($A6,[24]HISTONOV24!$A$6:$BG$38,58,0)</f>
        <v>0</v>
      </c>
      <c r="U6" s="36">
        <f>VLOOKUP($A6,[24]HISTONOV24!$A$6:$AU$38,28,0)</f>
        <v>0</v>
      </c>
      <c r="V6" s="36">
        <f>VLOOKUP($A6,[24]HISTONOV24!$A$6:$AU$38,19,0)</f>
        <v>0</v>
      </c>
      <c r="W6" s="36">
        <f>VLOOKUP($A6,[24]HISTONOV24!$A$6:$AU$38,20,0)</f>
        <v>0</v>
      </c>
      <c r="X6" s="36">
        <f>VLOOKUP($A6,[24]HISTONOV24!$A$6:$AU$38,27,0)</f>
        <v>0</v>
      </c>
      <c r="Y6" s="36">
        <f>VLOOKUP($A6,[24]HISTONOV24!$A$6:$BM$38,33,0)</f>
        <v>0</v>
      </c>
      <c r="Z6" s="36">
        <f>VLOOKUP($A6,[24]HISTONOV24!$A$6:$BM$38,65,0)</f>
        <v>0</v>
      </c>
      <c r="AA6" s="36"/>
      <c r="AB6" s="36">
        <f>VLOOKUP($A6,[24]HISTONOV24!$A$6:$AU$38,43,0)</f>
        <v>0</v>
      </c>
      <c r="AC6" s="36">
        <f>VLOOKUP($A6,[24]HISTONOV24!$A$6:$AU$38,44,0)</f>
        <v>0</v>
      </c>
      <c r="AD6" s="36">
        <f>VLOOKUP($A6,[24]HISTONOV24!$A$6:$AU$38,47,0)</f>
        <v>0</v>
      </c>
      <c r="AE6" s="36">
        <f>VLOOKUP(A6,[24]HISTONOV24!$A$6:$BB$38,54,0)</f>
        <v>0</v>
      </c>
      <c r="AF6" s="36">
        <f>VLOOKUP($A6,[24]HISTONOV24!$A$6:$CA$38,60,0)</f>
        <v>0</v>
      </c>
      <c r="AG6" s="36">
        <f>VLOOKUP($A6,[24]HISTONOV24!$A$6:$CA$38,61,0)</f>
        <v>0</v>
      </c>
      <c r="AH6" s="36">
        <f>VLOOKUP($A6,[24]HISTONOV24!$A$6:$CA$38,62,0)</f>
        <v>0</v>
      </c>
      <c r="AI6" s="36">
        <f>VLOOKUP($A6,[24]HISTONOV24!$A$6:$CA$38,63,0)</f>
        <v>0</v>
      </c>
      <c r="AJ6" s="36">
        <f>VLOOKUP($A6,[24]HISTONOV24!$A$6:$CA$38,64,0)</f>
        <v>0</v>
      </c>
      <c r="AK6" s="36">
        <f>VLOOKUP($A6,[24]HISTONOV24!$A$6:$CA$38,65,0)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VLOOKUP($A7,[24]HISTONOV24!$A$6:$BA$38,48,0)</f>
        <v>0</v>
      </c>
      <c r="F7" s="36">
        <f>MVTOCT24!I7-E7+L7</f>
        <v>909791.19348721951</v>
      </c>
      <c r="G7" s="5">
        <f>IF(MVTOCT24!I7+L7&gt;700000,(MVTOCT24!I7-E7+L7),0)</f>
        <v>909791.19348721951</v>
      </c>
      <c r="H7" s="36">
        <f t="shared" si="0"/>
        <v>0</v>
      </c>
      <c r="I7" s="6">
        <f t="shared" ref="I7:I39" si="2">F7+H7</f>
        <v>909791.19348721951</v>
      </c>
      <c r="J7" s="36">
        <f>VLOOKUP($A7,[24]HISTONOV24!$A$6:$AQ$42,22,0)</f>
        <v>0</v>
      </c>
      <c r="K7" s="36">
        <f>VLOOKUP($A7,[24]HISTONOV24!$A$6:$AU$38,45,0)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VLOOKUP($A7,[24]HISTONOV24!$A$6:$AU$38,7,0)</f>
        <v>3000</v>
      </c>
      <c r="Q7" s="36">
        <f>VLOOKUP($A7,[24]HISTONOV24!$A$6:$AU$38,23,0)</f>
        <v>0</v>
      </c>
      <c r="R7" s="36">
        <f>VLOOKUP($A7,[24]HISTONOV24!$A$6:$AU$38,46,0)</f>
        <v>0</v>
      </c>
      <c r="S7" s="36">
        <f>VLOOKUP($A7,[24]HISTONOV24!$A$6:$AU$38,26,0)</f>
        <v>0</v>
      </c>
      <c r="T7" s="36">
        <f>VLOOKUP($A7,[24]HISTONOV24!$A$6:$BG$38,58,0)</f>
        <v>0</v>
      </c>
      <c r="U7" s="36">
        <f>VLOOKUP($A7,[24]HISTONOV24!$A$6:$AU$38,28,0)</f>
        <v>0</v>
      </c>
      <c r="V7" s="36">
        <f>VLOOKUP($A7,[24]HISTONOV24!$A$6:$AU$38,19,0)</f>
        <v>0</v>
      </c>
      <c r="W7" s="36">
        <f>VLOOKUP($A7,[24]HISTONOV24!$A$6:$AU$38,20,0)</f>
        <v>0</v>
      </c>
      <c r="X7" s="36">
        <f>VLOOKUP($A7,[24]HISTONOV24!$A$6:$AU$38,27,0)</f>
        <v>0</v>
      </c>
      <c r="Y7" s="36">
        <f>VLOOKUP($A7,[24]HISTONOV24!$A$6:$BM$38,33,0)</f>
        <v>0</v>
      </c>
      <c r="Z7" s="36">
        <f>VLOOKUP($A7,[24]HISTONOV24!$A$6:$BM$38,65,0)</f>
        <v>0</v>
      </c>
      <c r="AA7" s="36"/>
      <c r="AB7" s="36">
        <f>VLOOKUP($A7,[24]HISTONOV24!$A$6:$AU$38,43,0)</f>
        <v>0</v>
      </c>
      <c r="AC7" s="36">
        <f>VLOOKUP($A7,[24]HISTONOV24!$A$6:$AU$38,44,0)</f>
        <v>0</v>
      </c>
      <c r="AD7" s="36">
        <f>VLOOKUP($A7,[24]HISTONOV24!$A$6:$AU$38,47,0)</f>
        <v>0</v>
      </c>
      <c r="AE7" s="36">
        <f>VLOOKUP(A7,[24]HISTONOV24!$A$6:$BB$38,54,0)</f>
        <v>0</v>
      </c>
      <c r="AF7" s="36">
        <f>VLOOKUP($A7,[24]HISTONOV24!$A$6:$CA$38,60,0)</f>
        <v>0</v>
      </c>
      <c r="AG7" s="36">
        <f>VLOOKUP($A7,[24]HISTONOV24!$A$6:$CA$38,61,0)</f>
        <v>0</v>
      </c>
      <c r="AH7" s="36">
        <f>VLOOKUP($A7,[24]HISTONOV24!$A$6:$CA$38,62,0)</f>
        <v>0</v>
      </c>
      <c r="AI7" s="36">
        <f>VLOOKUP($A7,[24]HISTONOV24!$A$6:$CA$38,63,0)</f>
        <v>0</v>
      </c>
      <c r="AJ7" s="36">
        <f>VLOOKUP($A7,[24]HISTONOV24!$A$6:$CA$38,64,0)</f>
        <v>0</v>
      </c>
      <c r="AK7" s="36">
        <f>VLOOKUP($A7,[24]HISTONOV24!$A$6:$CA$38,65,0)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VLOOKUP($A8,[24]HISTONOV24!$A$6:$BA$38,48,0)</f>
        <v>0</v>
      </c>
      <c r="F8" s="36">
        <f>MVTOCT24!I8-E8+L8</f>
        <v>953533.31236524263</v>
      </c>
      <c r="G8" s="5">
        <f>IF(MVTOCT24!I8+L8&gt;700000,(MVTOCT24!I8-E8+L8),0)</f>
        <v>953533.31236524263</v>
      </c>
      <c r="H8" s="36">
        <f t="shared" si="0"/>
        <v>0</v>
      </c>
      <c r="I8" s="6">
        <f t="shared" si="2"/>
        <v>953533.31236524263</v>
      </c>
      <c r="J8" s="36">
        <f>VLOOKUP($A8,[24]HISTONOV24!$A$6:$AQ$42,22,0)</f>
        <v>0</v>
      </c>
      <c r="K8" s="36">
        <f>VLOOKUP($A8,[24]HISTONOV24!$A$6:$AU$38,45,0)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VLOOKUP($A8,[24]HISTONOV24!$A$6:$AU$38,7,0)</f>
        <v>0</v>
      </c>
      <c r="Q8" s="36">
        <f>VLOOKUP($A8,[24]HISTONOV24!$A$6:$AU$38,23,0)</f>
        <v>0</v>
      </c>
      <c r="R8" s="36">
        <f>VLOOKUP($A8,[24]HISTONOV24!$A$6:$AU$38,46,0)</f>
        <v>0</v>
      </c>
      <c r="S8" s="36">
        <f>VLOOKUP($A8,[24]HISTONOV24!$A$6:$AU$38,26,0)</f>
        <v>0</v>
      </c>
      <c r="T8" s="36">
        <f>VLOOKUP($A8,[24]HISTONOV24!$A$6:$BG$38,58,0)</f>
        <v>0</v>
      </c>
      <c r="U8" s="36">
        <f>VLOOKUP($A8,[24]HISTONOV24!$A$6:$AU$38,28,0)</f>
        <v>0</v>
      </c>
      <c r="V8" s="36">
        <f>VLOOKUP($A8,[24]HISTONOV24!$A$6:$AU$38,19,0)</f>
        <v>0</v>
      </c>
      <c r="W8" s="36">
        <f>VLOOKUP($A8,[24]HISTONOV24!$A$6:$AU$38,20,0)</f>
        <v>0</v>
      </c>
      <c r="X8" s="36">
        <f>VLOOKUP($A8,[24]HISTONOV24!$A$6:$AU$38,27,0)</f>
        <v>0</v>
      </c>
      <c r="Y8" s="36">
        <f>VLOOKUP($A8,[24]HISTONOV24!$A$6:$BM$38,33,0)</f>
        <v>0</v>
      </c>
      <c r="Z8" s="36">
        <f>VLOOKUP($A8,[24]HISTONOV24!$A$6:$BM$38,65,0)</f>
        <v>0</v>
      </c>
      <c r="AA8" s="36"/>
      <c r="AB8" s="36">
        <f>VLOOKUP($A8,[24]HISTONOV24!$A$6:$AU$38,43,0)</f>
        <v>0</v>
      </c>
      <c r="AC8" s="36">
        <f>VLOOKUP($A8,[24]HISTONOV24!$A$6:$AU$38,44,0)</f>
        <v>0</v>
      </c>
      <c r="AD8" s="36">
        <f>VLOOKUP($A8,[24]HISTONOV24!$A$6:$AU$38,47,0)</f>
        <v>0</v>
      </c>
      <c r="AE8" s="36">
        <f>VLOOKUP(A8,[24]HISTONOV24!$A$6:$BB$38,54,0)</f>
        <v>0</v>
      </c>
      <c r="AF8" s="36">
        <f>VLOOKUP($A8,[24]HISTONOV24!$A$6:$CA$38,60,0)</f>
        <v>0</v>
      </c>
      <c r="AG8" s="36">
        <f>VLOOKUP($A8,[24]HISTONOV24!$A$6:$CA$38,61,0)</f>
        <v>0</v>
      </c>
      <c r="AH8" s="36">
        <f>VLOOKUP($A8,[24]HISTONOV24!$A$6:$CA$38,62,0)</f>
        <v>0</v>
      </c>
      <c r="AI8" s="36">
        <f>VLOOKUP($A8,[24]HISTONOV24!$A$6:$CA$38,63,0)</f>
        <v>0</v>
      </c>
      <c r="AJ8" s="36">
        <f>VLOOKUP($A8,[24]HISTONOV24!$A$6:$CA$38,64,0)</f>
        <v>0</v>
      </c>
      <c r="AK8" s="36">
        <f>VLOOKUP($A8,[24]HISTONOV24!$A$6:$CA$38,65,0)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VLOOKUP($A9,[24]HISTONOV24!$A$6:$BA$38,48,0)</f>
        <v>0</v>
      </c>
      <c r="F9" s="36">
        <f>MVTOCT24!I9-E9+L9</f>
        <v>1010962.0068681776</v>
      </c>
      <c r="G9" s="5">
        <f>IF(MVTOCT24!I9+L9&gt;700000,(MVTOCT24!I9-E9+L9),0)</f>
        <v>1010962.0068681776</v>
      </c>
      <c r="H9" s="36">
        <f t="shared" si="0"/>
        <v>0</v>
      </c>
      <c r="I9" s="6">
        <f t="shared" si="2"/>
        <v>1010962.0068681776</v>
      </c>
      <c r="J9" s="36">
        <f>VLOOKUP($A9,[24]HISTONOV24!$A$6:$AQ$42,22,0)</f>
        <v>0</v>
      </c>
      <c r="K9" s="36">
        <f>VLOOKUP($A9,[24]HISTONOV24!$A$6:$AU$38,45,0)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VLOOKUP($A9,[24]HISTONOV24!$A$6:$AU$38,7,0)</f>
        <v>0</v>
      </c>
      <c r="Q9" s="36">
        <f>VLOOKUP($A9,[24]HISTONOV24!$A$6:$AU$38,23,0)</f>
        <v>0</v>
      </c>
      <c r="R9" s="36">
        <f>VLOOKUP($A9,[24]HISTONOV24!$A$6:$AU$38,46,0)</f>
        <v>0</v>
      </c>
      <c r="S9" s="36">
        <f>VLOOKUP($A9,[24]HISTONOV24!$A$6:$AU$38,26,0)</f>
        <v>0</v>
      </c>
      <c r="T9" s="36">
        <f>VLOOKUP($A9,[24]HISTONOV24!$A$6:$BG$38,58,0)</f>
        <v>0</v>
      </c>
      <c r="U9" s="36">
        <f>VLOOKUP($A9,[24]HISTONOV24!$A$6:$AU$38,28,0)</f>
        <v>0</v>
      </c>
      <c r="V9" s="36">
        <f>VLOOKUP($A9,[24]HISTONOV24!$A$6:$AU$38,19,0)</f>
        <v>0</v>
      </c>
      <c r="W9" s="36">
        <f>VLOOKUP($A9,[24]HISTONOV24!$A$6:$AU$38,20,0)</f>
        <v>0</v>
      </c>
      <c r="X9" s="36">
        <f>VLOOKUP($A9,[24]HISTONOV24!$A$6:$AU$38,27,0)</f>
        <v>0</v>
      </c>
      <c r="Y9" s="36">
        <f>VLOOKUP($A9,[24]HISTONOV24!$A$6:$BM$38,33,0)</f>
        <v>0</v>
      </c>
      <c r="Z9" s="36">
        <f>VLOOKUP($A9,[24]HISTONOV24!$A$6:$BM$38,65,0)</f>
        <v>0</v>
      </c>
      <c r="AA9" s="36"/>
      <c r="AB9" s="36">
        <f>VLOOKUP($A9,[24]HISTONOV24!$A$6:$AU$38,43,0)</f>
        <v>0</v>
      </c>
      <c r="AC9" s="36">
        <f>VLOOKUP($A9,[24]HISTONOV24!$A$6:$AU$38,44,0)</f>
        <v>0</v>
      </c>
      <c r="AD9" s="36">
        <f>VLOOKUP($A9,[24]HISTONOV24!$A$6:$AU$38,47,0)</f>
        <v>0</v>
      </c>
      <c r="AE9" s="36">
        <f>VLOOKUP(A9,[24]HISTONOV24!$A$6:$BB$38,54,0)</f>
        <v>0</v>
      </c>
      <c r="AF9" s="36">
        <f>VLOOKUP($A9,[24]HISTONOV24!$A$6:$CA$38,60,0)</f>
        <v>0</v>
      </c>
      <c r="AG9" s="36">
        <f>VLOOKUP($A9,[24]HISTONOV24!$A$6:$CA$38,61,0)</f>
        <v>0</v>
      </c>
      <c r="AH9" s="36">
        <f>VLOOKUP($A9,[24]HISTONOV24!$A$6:$CA$38,62,0)</f>
        <v>0</v>
      </c>
      <c r="AI9" s="36">
        <f>VLOOKUP($A9,[24]HISTONOV24!$A$6:$CA$38,63,0)</f>
        <v>0</v>
      </c>
      <c r="AJ9" s="36">
        <f>VLOOKUP($A9,[24]HISTONOV24!$A$6:$CA$38,64,0)</f>
        <v>0</v>
      </c>
      <c r="AK9" s="36">
        <f>VLOOKUP($A9,[24]HISTONOV24!$A$6:$CA$38,65,0)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VLOOKUP($A10,[24]HISTONOV24!$A$6:$BA$38,48,0)</f>
        <v>0</v>
      </c>
      <c r="F10" s="36">
        <f>MVTOCT24!I10-E10+L10</f>
        <v>950805.20622596238</v>
      </c>
      <c r="G10" s="5">
        <f>IF(MVTOCT24!I10+L10&gt;700000,(MVTOCT24!I10-E10+L10),0)</f>
        <v>950805.20622596238</v>
      </c>
      <c r="H10" s="36">
        <f t="shared" si="0"/>
        <v>0</v>
      </c>
      <c r="I10" s="6">
        <f t="shared" si="2"/>
        <v>950805.20622596238</v>
      </c>
      <c r="J10" s="36">
        <f>VLOOKUP($A10,[24]HISTONOV24!$A$6:$AQ$42,22,0)</f>
        <v>0</v>
      </c>
      <c r="K10" s="36">
        <f>VLOOKUP($A10,[24]HISTONOV24!$A$6:$AU$38,45,0)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VLOOKUP($A10,[24]HISTONOV24!$A$6:$AU$38,7,0)</f>
        <v>0</v>
      </c>
      <c r="Q10" s="36">
        <f>VLOOKUP($A10,[24]HISTONOV24!$A$6:$AU$38,23,0)</f>
        <v>0</v>
      </c>
      <c r="R10" s="36">
        <f>VLOOKUP($A10,[24]HISTONOV24!$A$6:$AU$38,46,0)</f>
        <v>0</v>
      </c>
      <c r="S10" s="36">
        <f>VLOOKUP($A10,[24]HISTONOV24!$A$6:$AU$38,26,0)</f>
        <v>0</v>
      </c>
      <c r="T10" s="36">
        <f>VLOOKUP($A10,[24]HISTONOV24!$A$6:$BG$38,58,0)</f>
        <v>0</v>
      </c>
      <c r="U10" s="36">
        <f>VLOOKUP($A10,[24]HISTONOV24!$A$6:$AU$38,28,0)</f>
        <v>0</v>
      </c>
      <c r="V10" s="36">
        <f>VLOOKUP($A10,[24]HISTONOV24!$A$6:$AU$38,19,0)</f>
        <v>0</v>
      </c>
      <c r="W10" s="36">
        <f>VLOOKUP($A10,[24]HISTONOV24!$A$6:$AU$38,20,0)</f>
        <v>0</v>
      </c>
      <c r="X10" s="36">
        <f>VLOOKUP($A10,[24]HISTONOV24!$A$6:$AU$38,27,0)</f>
        <v>0</v>
      </c>
      <c r="Y10" s="36">
        <f>VLOOKUP($A10,[24]HISTONOV24!$A$6:$BM$38,33,0)</f>
        <v>0</v>
      </c>
      <c r="Z10" s="36">
        <f>VLOOKUP($A10,[24]HISTONOV24!$A$6:$BM$38,65,0)</f>
        <v>0</v>
      </c>
      <c r="AA10" s="36"/>
      <c r="AB10" s="36">
        <f>VLOOKUP($A10,[24]HISTONOV24!$A$6:$AU$38,43,0)</f>
        <v>0</v>
      </c>
      <c r="AC10" s="36">
        <f>VLOOKUP($A10,[24]HISTONOV24!$A$6:$AU$38,44,0)</f>
        <v>0</v>
      </c>
      <c r="AD10" s="36">
        <f>VLOOKUP($A10,[24]HISTONOV24!$A$6:$AU$38,47,0)</f>
        <v>0</v>
      </c>
      <c r="AE10" s="36">
        <f>VLOOKUP(A10,[24]HISTONOV24!$A$6:$BB$38,54,0)</f>
        <v>0</v>
      </c>
      <c r="AF10" s="36">
        <f>VLOOKUP($A10,[24]HISTONOV24!$A$6:$CA$38,60,0)</f>
        <v>0</v>
      </c>
      <c r="AG10" s="36">
        <f>VLOOKUP($A10,[24]HISTONOV24!$A$6:$CA$38,61,0)</f>
        <v>0</v>
      </c>
      <c r="AH10" s="36">
        <f>VLOOKUP($A10,[24]HISTONOV24!$A$6:$CA$38,62,0)</f>
        <v>0</v>
      </c>
      <c r="AI10" s="36">
        <f>VLOOKUP($A10,[24]HISTONOV24!$A$6:$CA$38,63,0)</f>
        <v>0</v>
      </c>
      <c r="AJ10" s="36">
        <f>VLOOKUP($A10,[24]HISTONOV24!$A$6:$CA$38,64,0)</f>
        <v>0</v>
      </c>
      <c r="AK10" s="36">
        <f>VLOOKUP($A10,[24]HISTONOV24!$A$6:$CA$38,65,0)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VLOOKUP($A11,[24]HISTONOV24!$A$6:$BA$38,48,0)</f>
        <v>0</v>
      </c>
      <c r="F11" s="36">
        <f>MVTOCT24!I11-E11+L11</f>
        <v>968855.82895949238</v>
      </c>
      <c r="G11" s="5">
        <f>IF(MVTOCT24!I11+L11&gt;700000,(MVTOCT24!I11-E11+L11),0)</f>
        <v>968855.82895949238</v>
      </c>
      <c r="H11" s="36">
        <f t="shared" si="0"/>
        <v>0</v>
      </c>
      <c r="I11" s="6">
        <f t="shared" si="2"/>
        <v>968855.82895949238</v>
      </c>
      <c r="J11" s="36">
        <f>VLOOKUP($A11,[24]HISTONOV24!$A$6:$AQ$42,22,0)</f>
        <v>0</v>
      </c>
      <c r="K11" s="36">
        <f>VLOOKUP($A11,[24]HISTONOV24!$A$6:$AU$38,45,0)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VLOOKUP($A11,[24]HISTONOV24!$A$6:$AU$38,7,0)</f>
        <v>0</v>
      </c>
      <c r="Q11" s="36">
        <f>VLOOKUP($A11,[24]HISTONOV24!$A$6:$AU$38,23,0)</f>
        <v>0</v>
      </c>
      <c r="R11" s="36">
        <f>VLOOKUP($A11,[24]HISTONOV24!$A$6:$AU$38,46,0)</f>
        <v>0</v>
      </c>
      <c r="S11" s="36">
        <f>VLOOKUP($A11,[24]HISTONOV24!$A$6:$AU$38,26,0)</f>
        <v>0</v>
      </c>
      <c r="T11" s="36">
        <f>VLOOKUP($A11,[24]HISTONOV24!$A$6:$BG$38,58,0)</f>
        <v>0</v>
      </c>
      <c r="U11" s="36">
        <f>VLOOKUP($A11,[24]HISTONOV24!$A$6:$AU$38,28,0)</f>
        <v>0</v>
      </c>
      <c r="V11" s="36">
        <f>VLOOKUP($A11,[24]HISTONOV24!$A$6:$AU$38,19,0)</f>
        <v>0</v>
      </c>
      <c r="W11" s="36">
        <f>VLOOKUP($A11,[24]HISTONOV24!$A$6:$AU$38,20,0)</f>
        <v>0</v>
      </c>
      <c r="X11" s="36">
        <f>VLOOKUP($A11,[24]HISTONOV24!$A$6:$AU$38,27,0)</f>
        <v>0</v>
      </c>
      <c r="Y11" s="36">
        <f>VLOOKUP($A11,[24]HISTONOV24!$A$6:$BM$38,33,0)</f>
        <v>0</v>
      </c>
      <c r="Z11" s="36">
        <f>VLOOKUP($A11,[24]HISTONOV24!$A$6:$BM$38,65,0)</f>
        <v>0</v>
      </c>
      <c r="AA11" s="36"/>
      <c r="AB11" s="36">
        <f>VLOOKUP($A11,[24]HISTONOV24!$A$6:$AU$38,43,0)</f>
        <v>0</v>
      </c>
      <c r="AC11" s="36">
        <f>VLOOKUP($A11,[24]HISTONOV24!$A$6:$AU$38,44,0)</f>
        <v>0</v>
      </c>
      <c r="AD11" s="36">
        <f>VLOOKUP($A11,[24]HISTONOV24!$A$6:$AU$38,47,0)</f>
        <v>0</v>
      </c>
      <c r="AE11" s="36">
        <f>VLOOKUP(A11,[24]HISTONOV24!$A$6:$BB$38,54,0)</f>
        <v>0</v>
      </c>
      <c r="AF11" s="36">
        <f>VLOOKUP($A11,[24]HISTONOV24!$A$6:$CA$38,60,0)</f>
        <v>0</v>
      </c>
      <c r="AG11" s="36">
        <f>VLOOKUP($A11,[24]HISTONOV24!$A$6:$CA$38,61,0)</f>
        <v>0</v>
      </c>
      <c r="AH11" s="36">
        <f>VLOOKUP($A11,[24]HISTONOV24!$A$6:$CA$38,62,0)</f>
        <v>0</v>
      </c>
      <c r="AI11" s="36">
        <f>VLOOKUP($A11,[24]HISTONOV24!$A$6:$CA$38,63,0)</f>
        <v>0</v>
      </c>
      <c r="AJ11" s="36">
        <f>VLOOKUP($A11,[24]HISTONOV24!$A$6:$CA$38,64,0)</f>
        <v>0</v>
      </c>
      <c r="AK11" s="36">
        <f>VLOOKUP($A11,[24]HISTONOV24!$A$6:$CA$38,65,0)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VLOOKUP($A12,[24]HISTONOV24!$A$6:$BA$38,48,0)</f>
        <v>0</v>
      </c>
      <c r="F12" s="36">
        <f>MVTOCT24!I12-E12+L12</f>
        <v>992100.14741339569</v>
      </c>
      <c r="G12" s="5">
        <f>IF(MVTOCT24!I12+L12&gt;700000,(MVTOCT24!I12-E12+L12),0)</f>
        <v>992100.14741339569</v>
      </c>
      <c r="H12" s="36">
        <f t="shared" si="0"/>
        <v>0</v>
      </c>
      <c r="I12" s="6">
        <f t="shared" si="2"/>
        <v>992100.14741339569</v>
      </c>
      <c r="J12" s="36">
        <f>VLOOKUP($A12,[24]HISTONOV24!$A$6:$AQ$42,22,0)</f>
        <v>0</v>
      </c>
      <c r="K12" s="36">
        <f>VLOOKUP($A12,[24]HISTONOV24!$A$6:$AU$38,45,0)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VLOOKUP($A12,[24]HISTONOV24!$A$6:$AU$38,7,0)</f>
        <v>0</v>
      </c>
      <c r="Q12" s="36">
        <f>VLOOKUP($A12,[24]HISTONOV24!$A$6:$AU$38,23,0)</f>
        <v>0</v>
      </c>
      <c r="R12" s="36">
        <f>VLOOKUP($A12,[24]HISTONOV24!$A$6:$AU$38,46,0)</f>
        <v>0</v>
      </c>
      <c r="S12" s="36">
        <f>VLOOKUP($A12,[24]HISTONOV24!$A$6:$AU$38,26,0)</f>
        <v>0</v>
      </c>
      <c r="T12" s="36">
        <f>VLOOKUP($A12,[24]HISTONOV24!$A$6:$BG$38,58,0)</f>
        <v>0</v>
      </c>
      <c r="U12" s="36">
        <f>VLOOKUP($A12,[24]HISTONOV24!$A$6:$AU$38,28,0)</f>
        <v>0</v>
      </c>
      <c r="V12" s="36">
        <f>VLOOKUP($A12,[24]HISTONOV24!$A$6:$AU$38,19,0)</f>
        <v>0</v>
      </c>
      <c r="W12" s="36">
        <f>VLOOKUP($A12,[24]HISTONOV24!$A$6:$AU$38,20,0)</f>
        <v>0</v>
      </c>
      <c r="X12" s="36">
        <f>VLOOKUP($A12,[24]HISTONOV24!$A$6:$AU$38,27,0)</f>
        <v>0</v>
      </c>
      <c r="Y12" s="36">
        <f>VLOOKUP($A12,[24]HISTONOV24!$A$6:$BM$38,33,0)</f>
        <v>0</v>
      </c>
      <c r="Z12" s="36">
        <f>VLOOKUP($A12,[24]HISTONOV24!$A$6:$BM$38,65,0)</f>
        <v>0</v>
      </c>
      <c r="AA12" s="36"/>
      <c r="AB12" s="36">
        <f>VLOOKUP($A12,[24]HISTONOV24!$A$6:$AU$38,43,0)</f>
        <v>0</v>
      </c>
      <c r="AC12" s="36">
        <f>VLOOKUP($A12,[24]HISTONOV24!$A$6:$AU$38,44,0)</f>
        <v>0</v>
      </c>
      <c r="AD12" s="36">
        <f>VLOOKUP($A12,[24]HISTONOV24!$A$6:$AU$38,47,0)</f>
        <v>0</v>
      </c>
      <c r="AE12" s="36">
        <f>VLOOKUP(A12,[24]HISTONOV24!$A$6:$BB$38,54,0)</f>
        <v>0</v>
      </c>
      <c r="AF12" s="36">
        <f>VLOOKUP($A12,[24]HISTONOV24!$A$6:$CA$38,60,0)</f>
        <v>0</v>
      </c>
      <c r="AG12" s="36">
        <f>VLOOKUP($A12,[24]HISTONOV24!$A$6:$CA$38,61,0)</f>
        <v>0</v>
      </c>
      <c r="AH12" s="36">
        <f>VLOOKUP($A12,[24]HISTONOV24!$A$6:$CA$38,62,0)</f>
        <v>0</v>
      </c>
      <c r="AI12" s="36">
        <f>VLOOKUP($A12,[24]HISTONOV24!$A$6:$CA$38,63,0)</f>
        <v>0</v>
      </c>
      <c r="AJ12" s="36">
        <f>VLOOKUP($A12,[24]HISTONOV24!$A$6:$CA$38,64,0)</f>
        <v>0</v>
      </c>
      <c r="AK12" s="36">
        <f>VLOOKUP($A12,[24]HISTONOV24!$A$6:$CA$38,65,0)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VLOOKUP($A13,[24]HISTONOV24!$A$6:$BA$38,48,0)</f>
        <v>0</v>
      </c>
      <c r="F13" s="36">
        <f>MVTOCT24!I13-E13+L13</f>
        <v>956555.14612214814</v>
      </c>
      <c r="G13" s="5">
        <f>IF(MVTOCT24!I13+L13&gt;700000,(MVTOCT24!I13-E13+L13),0)</f>
        <v>956555.14612214814</v>
      </c>
      <c r="H13" s="36">
        <f t="shared" si="0"/>
        <v>0</v>
      </c>
      <c r="I13" s="6">
        <f t="shared" si="2"/>
        <v>956555.14612214814</v>
      </c>
      <c r="J13" s="36">
        <f>VLOOKUP($A13,[24]HISTONOV24!$A$6:$AQ$42,22,0)</f>
        <v>0</v>
      </c>
      <c r="K13" s="36">
        <f>VLOOKUP($A13,[24]HISTONOV24!$A$6:$AU$38,45,0)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VLOOKUP($A13,[24]HISTONOV24!$A$6:$AU$38,7,0)</f>
        <v>0</v>
      </c>
      <c r="Q13" s="36">
        <f>VLOOKUP($A13,[24]HISTONOV24!$A$6:$AU$38,23,0)</f>
        <v>0</v>
      </c>
      <c r="R13" s="36">
        <f>VLOOKUP($A13,[24]HISTONOV24!$A$6:$AU$38,46,0)</f>
        <v>0</v>
      </c>
      <c r="S13" s="36">
        <f>VLOOKUP($A13,[24]HISTONOV24!$A$6:$AU$38,26,0)</f>
        <v>0</v>
      </c>
      <c r="T13" s="36">
        <f>VLOOKUP($A13,[24]HISTONOV24!$A$6:$BG$38,58,0)</f>
        <v>0</v>
      </c>
      <c r="U13" s="36">
        <f>VLOOKUP($A13,[24]HISTONOV24!$A$6:$AU$38,28,0)</f>
        <v>0</v>
      </c>
      <c r="V13" s="36">
        <f>VLOOKUP($A13,[24]HISTONOV24!$A$6:$AU$38,19,0)</f>
        <v>0</v>
      </c>
      <c r="W13" s="36">
        <f>VLOOKUP($A13,[24]HISTONOV24!$A$6:$AU$38,20,0)</f>
        <v>0</v>
      </c>
      <c r="X13" s="36">
        <f>VLOOKUP($A13,[24]HISTONOV24!$A$6:$AU$38,27,0)</f>
        <v>0</v>
      </c>
      <c r="Y13" s="36">
        <f>VLOOKUP($A13,[24]HISTONOV24!$A$6:$BM$38,33,0)</f>
        <v>0</v>
      </c>
      <c r="Z13" s="36">
        <f>VLOOKUP($A13,[24]HISTONOV24!$A$6:$BM$38,65,0)</f>
        <v>0</v>
      </c>
      <c r="AA13" s="36"/>
      <c r="AB13" s="36">
        <f>VLOOKUP($A13,[24]HISTONOV24!$A$6:$AU$38,43,0)</f>
        <v>0</v>
      </c>
      <c r="AC13" s="36">
        <f>VLOOKUP($A13,[24]HISTONOV24!$A$6:$AU$38,44,0)</f>
        <v>0</v>
      </c>
      <c r="AD13" s="36">
        <f>VLOOKUP($A13,[24]HISTONOV24!$A$6:$AU$38,47,0)</f>
        <v>0</v>
      </c>
      <c r="AE13" s="36">
        <f>VLOOKUP(A13,[24]HISTONOV24!$A$6:$BB$38,54,0)</f>
        <v>0</v>
      </c>
      <c r="AF13" s="36">
        <f>VLOOKUP($A13,[24]HISTONOV24!$A$6:$CA$38,60,0)</f>
        <v>0</v>
      </c>
      <c r="AG13" s="36">
        <f>VLOOKUP($A13,[24]HISTONOV24!$A$6:$CA$38,61,0)</f>
        <v>0</v>
      </c>
      <c r="AH13" s="36">
        <f>VLOOKUP($A13,[24]HISTONOV24!$A$6:$CA$38,62,0)</f>
        <v>0</v>
      </c>
      <c r="AI13" s="36">
        <f>VLOOKUP($A13,[24]HISTONOV24!$A$6:$CA$38,63,0)</f>
        <v>0</v>
      </c>
      <c r="AJ13" s="36">
        <f>VLOOKUP($A13,[24]HISTONOV24!$A$6:$CA$38,64,0)</f>
        <v>0</v>
      </c>
      <c r="AK13" s="36">
        <f>VLOOKUP($A13,[24]HISTONOV24!$A$6:$CA$38,65,0)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VLOOKUP($A14,[24]HISTONOV24!$A$6:$BA$38,48,0)</f>
        <v>0</v>
      </c>
      <c r="F14" s="36">
        <f>MVTOCT24!I14-E14+L14</f>
        <v>1509425.9823482623</v>
      </c>
      <c r="G14" s="5">
        <f>IF(MVTOCT24!I14+L14&gt;700000,(MVTOCT24!I14-E14+L14),0)</f>
        <v>1509425.9823482623</v>
      </c>
      <c r="H14" s="36">
        <f t="shared" si="0"/>
        <v>0</v>
      </c>
      <c r="I14" s="6">
        <f t="shared" si="2"/>
        <v>1509425.9823482623</v>
      </c>
      <c r="J14" s="36">
        <f>VLOOKUP($A14,[24]HISTONOV24!$A$6:$AQ$42,22,0)</f>
        <v>0</v>
      </c>
      <c r="K14" s="36">
        <f>VLOOKUP($A14,[24]HISTONOV24!$A$6:$AU$38,45,0)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VLOOKUP($A14,[24]HISTONOV24!$A$6:$AU$38,7,0)</f>
        <v>0</v>
      </c>
      <c r="Q14" s="36">
        <f>VLOOKUP($A14,[24]HISTONOV24!$A$6:$AU$38,23,0)</f>
        <v>0</v>
      </c>
      <c r="R14" s="36">
        <f>VLOOKUP($A14,[24]HISTONOV24!$A$6:$AU$38,46,0)</f>
        <v>0</v>
      </c>
      <c r="S14" s="36">
        <f>VLOOKUP($A14,[24]HISTONOV24!$A$6:$AU$38,26,0)</f>
        <v>0</v>
      </c>
      <c r="T14" s="36">
        <f>VLOOKUP($A14,[24]HISTONOV24!$A$6:$BG$38,58,0)</f>
        <v>0</v>
      </c>
      <c r="U14" s="36">
        <f>VLOOKUP($A14,[24]HISTONOV24!$A$6:$AU$38,28,0)</f>
        <v>0</v>
      </c>
      <c r="V14" s="36">
        <f>VLOOKUP($A14,[24]HISTONOV24!$A$6:$AU$38,19,0)</f>
        <v>0</v>
      </c>
      <c r="W14" s="36">
        <f>VLOOKUP($A14,[24]HISTONOV24!$A$6:$AU$38,20,0)</f>
        <v>0</v>
      </c>
      <c r="X14" s="36">
        <f>VLOOKUP($A14,[24]HISTONOV24!$A$6:$AU$38,27,0)</f>
        <v>0</v>
      </c>
      <c r="Y14" s="36">
        <f>VLOOKUP($A14,[24]HISTONOV24!$A$6:$BM$38,33,0)</f>
        <v>0</v>
      </c>
      <c r="Z14" s="36">
        <f>VLOOKUP($A14,[24]HISTONOV24!$A$6:$BM$38,65,0)</f>
        <v>0</v>
      </c>
      <c r="AA14" s="36"/>
      <c r="AB14" s="36">
        <f>VLOOKUP($A14,[24]HISTONOV24!$A$6:$AU$38,43,0)</f>
        <v>0</v>
      </c>
      <c r="AC14" s="36">
        <f>VLOOKUP($A14,[24]HISTONOV24!$A$6:$AU$38,44,0)</f>
        <v>0</v>
      </c>
      <c r="AD14" s="36">
        <f>VLOOKUP($A14,[24]HISTONOV24!$A$6:$AU$38,47,0)</f>
        <v>0</v>
      </c>
      <c r="AE14" s="36">
        <f>VLOOKUP(A14,[24]HISTONOV24!$A$6:$BB$38,54,0)</f>
        <v>0</v>
      </c>
      <c r="AF14" s="36">
        <f>VLOOKUP($A14,[24]HISTONOV24!$A$6:$CA$38,60,0)</f>
        <v>0</v>
      </c>
      <c r="AG14" s="36">
        <f>VLOOKUP($A14,[24]HISTONOV24!$A$6:$CA$38,61,0)</f>
        <v>0</v>
      </c>
      <c r="AH14" s="36">
        <f>VLOOKUP($A14,[24]HISTONOV24!$A$6:$CA$38,62,0)</f>
        <v>0</v>
      </c>
      <c r="AI14" s="36">
        <f>VLOOKUP($A14,[24]HISTONOV24!$A$6:$CA$38,63,0)</f>
        <v>0</v>
      </c>
      <c r="AJ14" s="36">
        <f>VLOOKUP($A14,[24]HISTONOV24!$A$6:$CA$38,64,0)</f>
        <v>0</v>
      </c>
      <c r="AK14" s="36">
        <f>VLOOKUP($A14,[24]HISTONOV24!$A$6:$CA$38,65,0)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VLOOKUP($A15,[24]HISTONOV24!$A$6:$BA$38,48,0)</f>
        <v>0</v>
      </c>
      <c r="F15" s="36">
        <f>MVTOCT24!I15-E15+L15</f>
        <v>1018309.6215381094</v>
      </c>
      <c r="G15" s="5">
        <f>IF(MVTOCT24!I15+L15&gt;700000,(MVTOCT24!I15-E15+L15),0)</f>
        <v>1018309.6215381094</v>
      </c>
      <c r="H15" s="36">
        <f t="shared" si="0"/>
        <v>0</v>
      </c>
      <c r="I15" s="6">
        <f t="shared" si="2"/>
        <v>1018309.6215381094</v>
      </c>
      <c r="J15" s="36">
        <f>VLOOKUP($A15,[24]HISTONOV24!$A$6:$AQ$42,22,0)</f>
        <v>0</v>
      </c>
      <c r="K15" s="36">
        <f>VLOOKUP($A15,[24]HISTONOV24!$A$6:$AU$38,45,0)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VLOOKUP($A15,[24]HISTONOV24!$A$6:$AU$38,7,0)</f>
        <v>0</v>
      </c>
      <c r="Q15" s="36">
        <f>VLOOKUP($A15,[24]HISTONOV24!$A$6:$AU$38,23,0)</f>
        <v>0</v>
      </c>
      <c r="R15" s="36">
        <f>VLOOKUP($A15,[24]HISTONOV24!$A$6:$AU$38,46,0)</f>
        <v>0</v>
      </c>
      <c r="S15" s="36">
        <f>VLOOKUP($A15,[24]HISTONOV24!$A$6:$AU$38,26,0)</f>
        <v>0</v>
      </c>
      <c r="T15" s="36">
        <f>VLOOKUP($A15,[24]HISTONOV24!$A$6:$BG$38,58,0)</f>
        <v>0</v>
      </c>
      <c r="U15" s="36">
        <f>VLOOKUP($A15,[24]HISTONOV24!$A$6:$AU$38,28,0)</f>
        <v>0</v>
      </c>
      <c r="V15" s="36">
        <f>VLOOKUP($A15,[24]HISTONOV24!$A$6:$AU$38,19,0)</f>
        <v>0</v>
      </c>
      <c r="W15" s="36">
        <f>VLOOKUP($A15,[24]HISTONOV24!$A$6:$AU$38,20,0)</f>
        <v>0</v>
      </c>
      <c r="X15" s="36">
        <f>VLOOKUP($A15,[24]HISTONOV24!$A$6:$AU$38,27,0)</f>
        <v>0</v>
      </c>
      <c r="Y15" s="36">
        <f>VLOOKUP($A15,[24]HISTONOV24!$A$6:$BM$38,33,0)</f>
        <v>0</v>
      </c>
      <c r="Z15" s="36">
        <f>VLOOKUP($A15,[24]HISTONOV24!$A$6:$BM$38,65,0)</f>
        <v>0</v>
      </c>
      <c r="AA15" s="36"/>
      <c r="AB15" s="36">
        <f>VLOOKUP($A15,[24]HISTONOV24!$A$6:$AU$38,43,0)</f>
        <v>0</v>
      </c>
      <c r="AC15" s="36">
        <f>VLOOKUP($A15,[24]HISTONOV24!$A$6:$AU$38,44,0)</f>
        <v>0</v>
      </c>
      <c r="AD15" s="36">
        <f>VLOOKUP($A15,[24]HISTONOV24!$A$6:$AU$38,47,0)</f>
        <v>0</v>
      </c>
      <c r="AE15" s="36">
        <f>VLOOKUP(A15,[24]HISTONOV24!$A$6:$BB$38,54,0)</f>
        <v>0</v>
      </c>
      <c r="AF15" s="36">
        <f>VLOOKUP($A15,[24]HISTONOV24!$A$6:$CA$38,60,0)</f>
        <v>0</v>
      </c>
      <c r="AG15" s="36">
        <f>VLOOKUP($A15,[24]HISTONOV24!$A$6:$CA$38,61,0)</f>
        <v>0</v>
      </c>
      <c r="AH15" s="36">
        <f>VLOOKUP($A15,[24]HISTONOV24!$A$6:$CA$38,62,0)</f>
        <v>0</v>
      </c>
      <c r="AI15" s="36">
        <f>VLOOKUP($A15,[24]HISTONOV24!$A$6:$CA$38,63,0)</f>
        <v>0</v>
      </c>
      <c r="AJ15" s="36">
        <f>VLOOKUP($A15,[24]HISTONOV24!$A$6:$CA$38,64,0)</f>
        <v>0</v>
      </c>
      <c r="AK15" s="36">
        <f>VLOOKUP($A15,[24]HISTONOV24!$A$6:$CA$38,65,0)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VLOOKUP($A16,[24]HISTONOV24!$A$6:$BA$38,48,0)</f>
        <v>0</v>
      </c>
      <c r="F16" s="36">
        <f>MVTOCT24!I16-E16+L16</f>
        <v>1128858.7065070483</v>
      </c>
      <c r="G16" s="5">
        <f>IF(MVTOCT24!I16+L16&gt;700000,(MVTOCT24!I16-E16+L16),0)</f>
        <v>1128858.7065070483</v>
      </c>
      <c r="H16" s="36">
        <f t="shared" si="0"/>
        <v>0</v>
      </c>
      <c r="I16" s="6">
        <f t="shared" si="2"/>
        <v>1128858.7065070483</v>
      </c>
      <c r="J16" s="36">
        <f>VLOOKUP($A16,[24]HISTONOV24!$A$6:$AQ$42,22,0)</f>
        <v>0</v>
      </c>
      <c r="K16" s="36">
        <f>VLOOKUP($A16,[24]HISTONOV24!$A$6:$AU$38,45,0)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VLOOKUP($A16,[24]HISTONOV24!$A$6:$AU$38,7,0)</f>
        <v>0</v>
      </c>
      <c r="Q16" s="36">
        <f>VLOOKUP($A16,[24]HISTONOV24!$A$6:$AU$38,23,0)</f>
        <v>0</v>
      </c>
      <c r="R16" s="36">
        <f>VLOOKUP($A16,[24]HISTONOV24!$A$6:$AU$38,46,0)</f>
        <v>0</v>
      </c>
      <c r="S16" s="36">
        <f>VLOOKUP($A16,[24]HISTONOV24!$A$6:$AU$38,26,0)</f>
        <v>0</v>
      </c>
      <c r="T16" s="36">
        <f>VLOOKUP($A16,[24]HISTONOV24!$A$6:$BG$38,58,0)</f>
        <v>0</v>
      </c>
      <c r="U16" s="36">
        <f>VLOOKUP($A16,[24]HISTONOV24!$A$6:$AU$38,28,0)</f>
        <v>0</v>
      </c>
      <c r="V16" s="36">
        <f>VLOOKUP($A16,[24]HISTONOV24!$A$6:$AU$38,19,0)</f>
        <v>0</v>
      </c>
      <c r="W16" s="36">
        <f>VLOOKUP($A16,[24]HISTONOV24!$A$6:$AU$38,20,0)</f>
        <v>0</v>
      </c>
      <c r="X16" s="36">
        <f>VLOOKUP($A16,[24]HISTONOV24!$A$6:$AU$38,27,0)</f>
        <v>0</v>
      </c>
      <c r="Y16" s="36">
        <f>VLOOKUP($A16,[24]HISTONOV24!$A$6:$BM$38,33,0)</f>
        <v>0</v>
      </c>
      <c r="Z16" s="36">
        <f>VLOOKUP($A16,[24]HISTONOV24!$A$6:$BM$38,65,0)</f>
        <v>0</v>
      </c>
      <c r="AA16" s="36"/>
      <c r="AB16" s="36">
        <f>VLOOKUP($A16,[24]HISTONOV24!$A$6:$AU$38,43,0)</f>
        <v>0</v>
      </c>
      <c r="AC16" s="36">
        <f>VLOOKUP($A16,[24]HISTONOV24!$A$6:$AU$38,44,0)</f>
        <v>0</v>
      </c>
      <c r="AD16" s="36">
        <f>VLOOKUP($A16,[24]HISTONOV24!$A$6:$AU$38,47,0)</f>
        <v>0</v>
      </c>
      <c r="AE16" s="36">
        <f>VLOOKUP(A16,[24]HISTONOV24!$A$6:$BB$38,54,0)</f>
        <v>0</v>
      </c>
      <c r="AF16" s="36">
        <f>VLOOKUP($A16,[24]HISTONOV24!$A$6:$CA$38,60,0)</f>
        <v>0</v>
      </c>
      <c r="AG16" s="36">
        <f>VLOOKUP($A16,[24]HISTONOV24!$A$6:$CA$38,61,0)</f>
        <v>0</v>
      </c>
      <c r="AH16" s="36">
        <f>VLOOKUP($A16,[24]HISTONOV24!$A$6:$CA$38,62,0)</f>
        <v>0</v>
      </c>
      <c r="AI16" s="36">
        <f>VLOOKUP($A16,[24]HISTONOV24!$A$6:$CA$38,63,0)</f>
        <v>0</v>
      </c>
      <c r="AJ16" s="36">
        <f>VLOOKUP($A16,[24]HISTONOV24!$A$6:$CA$38,64,0)</f>
        <v>0</v>
      </c>
      <c r="AK16" s="36">
        <f>VLOOKUP($A16,[24]HISTONOV24!$A$6:$CA$38,65,0)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VLOOKUP($A17,[24]HISTONOV24!$A$6:$BA$38,48,0)</f>
        <v>0</v>
      </c>
      <c r="F17" s="36">
        <f>MVTOCT24!I17-E17+L17</f>
        <v>966402.7005255461</v>
      </c>
      <c r="G17" s="5">
        <f>IF(MVTOCT24!I17+L17&gt;700000,(MVTOCT24!I17-E17+L17),0)</f>
        <v>966402.7005255461</v>
      </c>
      <c r="H17" s="36">
        <f t="shared" si="0"/>
        <v>0</v>
      </c>
      <c r="I17" s="6">
        <f t="shared" si="2"/>
        <v>966402.7005255461</v>
      </c>
      <c r="J17" s="36">
        <f>VLOOKUP($A17,[24]HISTONOV24!$A$6:$AQ$42,22,0)</f>
        <v>0</v>
      </c>
      <c r="K17" s="36">
        <f>VLOOKUP($A17,[24]HISTONOV24!$A$6:$AU$38,45,0)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VLOOKUP($A17,[24]HISTONOV24!$A$6:$AU$38,7,0)</f>
        <v>0</v>
      </c>
      <c r="Q17" s="36">
        <f>VLOOKUP($A17,[24]HISTONOV24!$A$6:$AU$38,23,0)</f>
        <v>0</v>
      </c>
      <c r="R17" s="36">
        <f>VLOOKUP($A17,[24]HISTONOV24!$A$6:$AU$38,46,0)</f>
        <v>0</v>
      </c>
      <c r="S17" s="36">
        <f>VLOOKUP($A17,[24]HISTONOV24!$A$6:$AU$38,26,0)</f>
        <v>0</v>
      </c>
      <c r="T17" s="36">
        <f>VLOOKUP($A17,[24]HISTONOV24!$A$6:$BG$38,58,0)</f>
        <v>0</v>
      </c>
      <c r="U17" s="36">
        <f>VLOOKUP($A17,[24]HISTONOV24!$A$6:$AU$38,28,0)</f>
        <v>0</v>
      </c>
      <c r="V17" s="36">
        <f>VLOOKUP($A17,[24]HISTONOV24!$A$6:$AU$38,19,0)</f>
        <v>0</v>
      </c>
      <c r="W17" s="36">
        <f>VLOOKUP($A17,[24]HISTONOV24!$A$6:$AU$38,20,0)</f>
        <v>0</v>
      </c>
      <c r="X17" s="36">
        <f>VLOOKUP($A17,[24]HISTONOV24!$A$6:$AU$38,27,0)</f>
        <v>0</v>
      </c>
      <c r="Y17" s="36">
        <f>VLOOKUP($A17,[24]HISTONOV24!$A$6:$BM$38,33,0)</f>
        <v>0</v>
      </c>
      <c r="Z17" s="36">
        <f>VLOOKUP($A17,[24]HISTONOV24!$A$6:$BM$38,65,0)</f>
        <v>0</v>
      </c>
      <c r="AA17" s="36"/>
      <c r="AB17" s="36">
        <f>VLOOKUP($A17,[24]HISTONOV24!$A$6:$AU$38,43,0)</f>
        <v>0</v>
      </c>
      <c r="AC17" s="36">
        <f>VLOOKUP($A17,[24]HISTONOV24!$A$6:$AU$38,44,0)</f>
        <v>0</v>
      </c>
      <c r="AD17" s="36">
        <f>VLOOKUP($A17,[24]HISTONOV24!$A$6:$AU$38,47,0)</f>
        <v>0</v>
      </c>
      <c r="AE17" s="36">
        <f>VLOOKUP(A17,[24]HISTONOV24!$A$6:$BB$38,54,0)</f>
        <v>0</v>
      </c>
      <c r="AF17" s="36">
        <f>VLOOKUP($A17,[24]HISTONOV24!$A$6:$CA$38,60,0)</f>
        <v>0</v>
      </c>
      <c r="AG17" s="36">
        <f>VLOOKUP($A17,[24]HISTONOV24!$A$6:$CA$38,61,0)</f>
        <v>0</v>
      </c>
      <c r="AH17" s="36">
        <f>VLOOKUP($A17,[24]HISTONOV24!$A$6:$CA$38,62,0)</f>
        <v>0</v>
      </c>
      <c r="AI17" s="36">
        <f>VLOOKUP($A17,[24]HISTONOV24!$A$6:$CA$38,63,0)</f>
        <v>0</v>
      </c>
      <c r="AJ17" s="36">
        <f>VLOOKUP($A17,[24]HISTONOV24!$A$6:$CA$38,64,0)</f>
        <v>0</v>
      </c>
      <c r="AK17" s="36">
        <f>VLOOKUP($A17,[24]HISTONOV24!$A$6:$CA$38,65,0)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VLOOKUP($A18,[24]HISTONOV24!$A$6:$BA$38,48,0)</f>
        <v>0</v>
      </c>
      <c r="F18" s="36">
        <f>MVTOCT24!I18-E18+L18</f>
        <v>1012662.7641973695</v>
      </c>
      <c r="G18" s="5">
        <f>IF(MVTOCT24!I18+L18&gt;700000,(MVTOCT24!I18-E18+L18),0)</f>
        <v>1012662.7641973695</v>
      </c>
      <c r="H18" s="36">
        <f t="shared" si="0"/>
        <v>0</v>
      </c>
      <c r="I18" s="6">
        <f t="shared" si="2"/>
        <v>1012662.7641973695</v>
      </c>
      <c r="J18" s="36">
        <f>VLOOKUP($A18,[24]HISTONOV24!$A$6:$AQ$42,22,0)</f>
        <v>0</v>
      </c>
      <c r="K18" s="36">
        <f>VLOOKUP($A18,[24]HISTONOV24!$A$6:$AU$38,45,0)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VLOOKUP($A18,[24]HISTONOV24!$A$6:$AU$38,7,0)</f>
        <v>0</v>
      </c>
      <c r="Q18" s="36">
        <f>VLOOKUP($A18,[24]HISTONOV24!$A$6:$AU$38,23,0)</f>
        <v>0</v>
      </c>
      <c r="R18" s="36">
        <f>VLOOKUP($A18,[24]HISTONOV24!$A$6:$AU$38,46,0)</f>
        <v>0</v>
      </c>
      <c r="S18" s="36">
        <f>VLOOKUP($A18,[24]HISTONOV24!$A$6:$AU$38,26,0)</f>
        <v>0</v>
      </c>
      <c r="T18" s="36">
        <f>VLOOKUP($A18,[24]HISTONOV24!$A$6:$BG$38,58,0)</f>
        <v>0</v>
      </c>
      <c r="U18" s="36">
        <f>VLOOKUP($A18,[24]HISTONOV24!$A$6:$AU$38,28,0)</f>
        <v>0</v>
      </c>
      <c r="V18" s="36">
        <f>VLOOKUP($A18,[24]HISTONOV24!$A$6:$AU$38,19,0)</f>
        <v>0</v>
      </c>
      <c r="W18" s="36">
        <f>VLOOKUP($A18,[24]HISTONOV24!$A$6:$AU$38,20,0)</f>
        <v>0</v>
      </c>
      <c r="X18" s="36">
        <f>VLOOKUP($A18,[24]HISTONOV24!$A$6:$AU$38,27,0)</f>
        <v>0</v>
      </c>
      <c r="Y18" s="36">
        <f>VLOOKUP($A18,[24]HISTONOV24!$A$6:$BM$38,33,0)</f>
        <v>0</v>
      </c>
      <c r="Z18" s="36">
        <f>VLOOKUP($A18,[24]HISTONOV24!$A$6:$BM$38,65,0)</f>
        <v>0</v>
      </c>
      <c r="AA18" s="36"/>
      <c r="AB18" s="36">
        <f>VLOOKUP($A18,[24]HISTONOV24!$A$6:$AU$38,43,0)</f>
        <v>0</v>
      </c>
      <c r="AC18" s="36">
        <f>VLOOKUP($A18,[24]HISTONOV24!$A$6:$AU$38,44,0)</f>
        <v>0</v>
      </c>
      <c r="AD18" s="36">
        <f>VLOOKUP($A18,[24]HISTONOV24!$A$6:$AU$38,47,0)</f>
        <v>0</v>
      </c>
      <c r="AE18" s="36">
        <f>VLOOKUP(A18,[24]HISTONOV24!$A$6:$BB$38,54,0)</f>
        <v>0</v>
      </c>
      <c r="AF18" s="36">
        <f>VLOOKUP($A18,[24]HISTONOV24!$A$6:$CA$38,60,0)</f>
        <v>0</v>
      </c>
      <c r="AG18" s="36">
        <f>VLOOKUP($A18,[24]HISTONOV24!$A$6:$CA$38,61,0)</f>
        <v>0</v>
      </c>
      <c r="AH18" s="36">
        <f>VLOOKUP($A18,[24]HISTONOV24!$A$6:$CA$38,62,0)</f>
        <v>0</v>
      </c>
      <c r="AI18" s="36">
        <f>VLOOKUP($A18,[24]HISTONOV24!$A$6:$CA$38,63,0)</f>
        <v>0</v>
      </c>
      <c r="AJ18" s="36">
        <f>VLOOKUP($A18,[24]HISTONOV24!$A$6:$CA$38,64,0)</f>
        <v>0</v>
      </c>
      <c r="AK18" s="36">
        <f>VLOOKUP($A18,[24]HISTONOV24!$A$6:$CA$38,65,0)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MVTOCT24!I19-E19+L19</f>
        <v>676217.13072703336</v>
      </c>
      <c r="G19" s="5">
        <f>IF(MVTOCT24!I19+L19&gt;700000,(MVTOCT24!I19-E19+L19),0)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MVTOCT24!I20-E20+L20</f>
        <v>209000</v>
      </c>
      <c r="G20" s="5">
        <f>IF(MVTOCT24!I20+L20&gt;700000,(MVTOCT24!I20-E20+L20),0)</f>
        <v>0</v>
      </c>
      <c r="H20" s="36">
        <f t="shared" si="0"/>
        <v>0</v>
      </c>
      <c r="I20" s="6">
        <f t="shared" si="2"/>
        <v>209000</v>
      </c>
      <c r="J20" s="36">
        <f>VLOOKUP($A20,[24]HISTONOV24!$A$6:$AQ$42,22,0)</f>
        <v>0</v>
      </c>
      <c r="K20" s="36">
        <f>VLOOKUP($A20,[24]HISTONOV24!$A$6:$AU$38,45,0)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VLOOKUP($A20,[24]HISTONOV24!$A$6:$AU$38,7,0)</f>
        <v>0</v>
      </c>
      <c r="Q20" s="36">
        <f>VLOOKUP($A20,[24]HISTONOV24!$A$6:$AU$38,23,0)</f>
        <v>0</v>
      </c>
      <c r="R20" s="36">
        <f>VLOOKUP($A20,[24]HISTONOV24!$A$6:$AU$38,46,0)</f>
        <v>0</v>
      </c>
      <c r="S20" s="36">
        <f>VLOOKUP($A20,[24]HISTONOV24!$A$6:$AU$38,26,0)</f>
        <v>0</v>
      </c>
      <c r="T20" s="36">
        <f>VLOOKUP($A20,[24]HISTONOV24!$A$6:$BG$38,58,0)</f>
        <v>0</v>
      </c>
      <c r="U20" s="36">
        <f>VLOOKUP($A20,[24]HISTONOV24!$A$6:$AU$38,28,0)</f>
        <v>0</v>
      </c>
      <c r="V20" s="36">
        <f>VLOOKUP($A20,[24]HISTONOV24!$A$6:$AU$38,19,0)</f>
        <v>0</v>
      </c>
      <c r="W20" s="36">
        <f>VLOOKUP($A20,[24]HISTONOV24!$A$6:$AU$38,20,0)</f>
        <v>0</v>
      </c>
      <c r="X20" s="36">
        <f>VLOOKUP($A20,[24]HISTONOV24!$A$6:$AU$38,27,0)</f>
        <v>0</v>
      </c>
      <c r="Y20" s="36">
        <f>VLOOKUP($A20,[24]HISTONOV24!$A$6:$BM$38,33,0)</f>
        <v>0</v>
      </c>
      <c r="Z20" s="36">
        <f>VLOOKUP($A20,[24]HISTONOV24!$A$6:$BM$38,65,0)</f>
        <v>0</v>
      </c>
      <c r="AA20" s="36"/>
      <c r="AB20" s="36">
        <f>VLOOKUP($A20,[24]HISTONOV24!$A$6:$AU$38,43,0)</f>
        <v>0</v>
      </c>
      <c r="AC20" s="36">
        <f>VLOOKUP($A20,[24]HISTONOV24!$A$6:$AU$38,44,0)</f>
        <v>0</v>
      </c>
      <c r="AD20" s="36">
        <f>VLOOKUP($A20,[24]HISTONOV24!$A$6:$AU$38,47,0)</f>
        <v>0</v>
      </c>
      <c r="AE20" s="36">
        <f>VLOOKUP(A20,[24]HISTONOV24!$A$6:$BB$38,54,0)</f>
        <v>0</v>
      </c>
      <c r="AF20" s="36">
        <f>VLOOKUP($A20,[24]HISTONOV24!$A$6:$CA$38,60,0)</f>
        <v>0</v>
      </c>
      <c r="AG20" s="36">
        <f>VLOOKUP($A20,[24]HISTONOV24!$A$6:$CA$38,61,0)</f>
        <v>0</v>
      </c>
      <c r="AH20" s="36">
        <f>VLOOKUP($A20,[24]HISTONOV24!$A$6:$CA$38,62,0)</f>
        <v>0</v>
      </c>
      <c r="AI20" s="36">
        <f>VLOOKUP($A20,[24]HISTONOV24!$A$6:$CA$38,63,0)</f>
        <v>0</v>
      </c>
      <c r="AJ20" s="36">
        <f>VLOOKUP($A20,[24]HISTONOV24!$A$6:$CA$38,64,0)</f>
        <v>0</v>
      </c>
      <c r="AK20" s="36">
        <f>VLOOKUP($A20,[24]HISTONOV24!$A$6:$CA$38,65,0)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MVTOCT24!I21-E21+L21</f>
        <v>989355.80062958295</v>
      </c>
      <c r="G21" s="5">
        <f>IF(MVTOCT24!I21+L21&gt;700000,(MVTOCT24!I21-E21+L21),0)</f>
        <v>989355.80062958295</v>
      </c>
      <c r="H21" s="36">
        <f t="shared" si="0"/>
        <v>0</v>
      </c>
      <c r="I21" s="6">
        <f t="shared" si="2"/>
        <v>989355.80062958295</v>
      </c>
      <c r="J21" s="36">
        <f>VLOOKUP($A21,[24]HISTONOV24!$A$6:$AQ$42,22,0)</f>
        <v>0</v>
      </c>
      <c r="K21" s="36">
        <f>VLOOKUP($A21,[24]HISTONOV24!$A$6:$AU$38,45,0)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VLOOKUP($A21,[24]HISTONOV24!$A$6:$AU$38,7,0)</f>
        <v>0</v>
      </c>
      <c r="Q21" s="36">
        <f>VLOOKUP($A21,[24]HISTONOV24!$A$6:$AU$38,23,0)</f>
        <v>0</v>
      </c>
      <c r="R21" s="36">
        <f>VLOOKUP($A21,[24]HISTONOV24!$A$6:$AU$38,46,0)</f>
        <v>0</v>
      </c>
      <c r="S21" s="36">
        <f>VLOOKUP($A21,[24]HISTONOV24!$A$6:$AU$38,26,0)</f>
        <v>0</v>
      </c>
      <c r="T21" s="36">
        <f>VLOOKUP($A21,[24]HISTONOV24!$A$6:$BG$38,58,0)</f>
        <v>0</v>
      </c>
      <c r="U21" s="36">
        <f>VLOOKUP($A21,[24]HISTONOV24!$A$6:$AU$38,28,0)</f>
        <v>0</v>
      </c>
      <c r="V21" s="36">
        <f>VLOOKUP($A21,[24]HISTONOV24!$A$6:$AU$38,19,0)</f>
        <v>0</v>
      </c>
      <c r="W21" s="36">
        <f>VLOOKUP($A21,[24]HISTONOV24!$A$6:$AU$38,20,0)</f>
        <v>0</v>
      </c>
      <c r="X21" s="36">
        <f>VLOOKUP($A21,[24]HISTONOV24!$A$6:$AU$38,27,0)</f>
        <v>0</v>
      </c>
      <c r="Y21" s="36">
        <f>VLOOKUP($A21,[24]HISTONOV24!$A$6:$BM$38,33,0)</f>
        <v>0</v>
      </c>
      <c r="Z21" s="36">
        <f>VLOOKUP($A21,[24]HISTONOV24!$A$6:$BM$38,65,0)</f>
        <v>0</v>
      </c>
      <c r="AA21" s="36"/>
      <c r="AB21" s="36">
        <f>VLOOKUP($A21,[24]HISTONOV24!$A$6:$AU$38,43,0)</f>
        <v>0</v>
      </c>
      <c r="AC21" s="36">
        <f>VLOOKUP($A21,[24]HISTONOV24!$A$6:$AU$38,44,0)</f>
        <v>0</v>
      </c>
      <c r="AD21" s="36">
        <f>VLOOKUP($A21,[24]HISTONOV24!$A$6:$AU$38,47,0)</f>
        <v>0</v>
      </c>
      <c r="AE21" s="36">
        <f>VLOOKUP(A21,[24]HISTONOV24!$A$6:$BB$38,54,0)</f>
        <v>0</v>
      </c>
      <c r="AF21" s="36">
        <f>VLOOKUP($A21,[24]HISTONOV24!$A$6:$CA$38,60,0)</f>
        <v>0</v>
      </c>
      <c r="AG21" s="36">
        <f>VLOOKUP($A21,[24]HISTONOV24!$A$6:$CA$38,61,0)</f>
        <v>0</v>
      </c>
      <c r="AH21" s="36">
        <f>VLOOKUP($A21,[24]HISTONOV24!$A$6:$CA$38,62,0)</f>
        <v>0</v>
      </c>
      <c r="AI21" s="36">
        <f>VLOOKUP($A21,[24]HISTONOV24!$A$6:$CA$38,63,0)</f>
        <v>0</v>
      </c>
      <c r="AJ21" s="36">
        <f>VLOOKUP($A21,[24]HISTONOV24!$A$6:$CA$38,64,0)</f>
        <v>0</v>
      </c>
      <c r="AK21" s="36">
        <f>VLOOKUP($A21,[24]HISTONOV24!$A$6:$CA$38,65,0)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MVTOCT24!I22-E22+L22</f>
        <v>957738.95952735876</v>
      </c>
      <c r="G22" s="5">
        <f>IF(MVTOCT24!I22+L22&gt;700000,(MVTOCT24!I22-E22+L22),0)</f>
        <v>957738.95952735876</v>
      </c>
      <c r="H22" s="36">
        <f t="shared" si="0"/>
        <v>0</v>
      </c>
      <c r="I22" s="6">
        <f t="shared" si="2"/>
        <v>957738.95952735876</v>
      </c>
      <c r="J22" s="36">
        <f>VLOOKUP($A22,[24]HISTONOV24!$A$6:$AQ$42,22,0)</f>
        <v>0</v>
      </c>
      <c r="K22" s="36">
        <f>VLOOKUP($A22,[24]HISTONOV24!$A$6:$AU$38,45,0)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VLOOKUP($A22,[24]HISTONOV24!$A$6:$AU$38,7,0)</f>
        <v>0</v>
      </c>
      <c r="Q22" s="36">
        <f>VLOOKUP($A22,[24]HISTONOV24!$A$6:$AU$38,23,0)</f>
        <v>0</v>
      </c>
      <c r="R22" s="36">
        <f>VLOOKUP($A22,[24]HISTONOV24!$A$6:$AU$38,46,0)</f>
        <v>0</v>
      </c>
      <c r="S22" s="36">
        <f>VLOOKUP($A22,[24]HISTONOV24!$A$6:$AU$38,26,0)</f>
        <v>0</v>
      </c>
      <c r="T22" s="36">
        <f>VLOOKUP($A22,[24]HISTONOV24!$A$6:$BG$38,58,0)</f>
        <v>0</v>
      </c>
      <c r="U22" s="36">
        <f>VLOOKUP($A22,[24]HISTONOV24!$A$6:$AU$38,28,0)</f>
        <v>0</v>
      </c>
      <c r="V22" s="36">
        <f>VLOOKUP($A22,[24]HISTONOV24!$A$6:$AU$38,19,0)</f>
        <v>0</v>
      </c>
      <c r="W22" s="36">
        <f>VLOOKUP($A22,[24]HISTONOV24!$A$6:$AU$38,20,0)</f>
        <v>0</v>
      </c>
      <c r="X22" s="36">
        <f>VLOOKUP($A22,[24]HISTONOV24!$A$6:$AU$38,27,0)</f>
        <v>0</v>
      </c>
      <c r="Y22" s="36">
        <f>VLOOKUP($A22,[24]HISTONOV24!$A$6:$BM$38,33,0)</f>
        <v>0</v>
      </c>
      <c r="Z22" s="36">
        <f>VLOOKUP($A22,[24]HISTONOV24!$A$6:$BM$38,65,0)</f>
        <v>0</v>
      </c>
      <c r="AA22" s="36"/>
      <c r="AB22" s="36">
        <f>VLOOKUP($A22,[24]HISTONOV24!$A$6:$AU$38,43,0)</f>
        <v>0</v>
      </c>
      <c r="AC22" s="36">
        <f>VLOOKUP($A22,[24]HISTONOV24!$A$6:$AU$38,44,0)</f>
        <v>0</v>
      </c>
      <c r="AD22" s="36">
        <f>VLOOKUP($A22,[24]HISTONOV24!$A$6:$AU$38,47,0)</f>
        <v>0</v>
      </c>
      <c r="AE22" s="36">
        <f>VLOOKUP(A22,[24]HISTONOV24!$A$6:$BB$38,54,0)</f>
        <v>0</v>
      </c>
      <c r="AF22" s="36">
        <f>VLOOKUP($A22,[24]HISTONOV24!$A$6:$CA$38,60,0)</f>
        <v>0</v>
      </c>
      <c r="AG22" s="36">
        <f>VLOOKUP($A22,[24]HISTONOV24!$A$6:$CA$38,61,0)</f>
        <v>0</v>
      </c>
      <c r="AH22" s="36">
        <f>VLOOKUP($A22,[24]HISTONOV24!$A$6:$CA$38,62,0)</f>
        <v>0</v>
      </c>
      <c r="AI22" s="36">
        <f>VLOOKUP($A22,[24]HISTONOV24!$A$6:$CA$38,63,0)</f>
        <v>0</v>
      </c>
      <c r="AJ22" s="36">
        <f>VLOOKUP($A22,[24]HISTONOV24!$A$6:$CA$38,64,0)</f>
        <v>0</v>
      </c>
      <c r="AK22" s="36">
        <f>VLOOKUP($A22,[24]HISTONOV24!$A$6:$CA$38,65,0)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MVTOCT24!I23-E23+L23</f>
        <v>1063674.3246731949</v>
      </c>
      <c r="G23" s="5">
        <f>IF(MVTOCT24!I23+L23&gt;700000,(MVTOCT24!I23-E23+L23),0)</f>
        <v>1063674.3246731949</v>
      </c>
      <c r="H23" s="36">
        <f t="shared" si="0"/>
        <v>0</v>
      </c>
      <c r="I23" s="6">
        <f t="shared" si="2"/>
        <v>1063674.3246731949</v>
      </c>
      <c r="J23" s="36">
        <f>VLOOKUP($A23,[24]HISTONOV24!$A$6:$AQ$42,22,0)</f>
        <v>0</v>
      </c>
      <c r="K23" s="36">
        <f>VLOOKUP($A23,[24]HISTONOV24!$A$6:$AU$38,45,0)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VLOOKUP($A23,[24]HISTONOV24!$A$6:$AU$38,7,0)</f>
        <v>0</v>
      </c>
      <c r="Q23" s="36">
        <f>VLOOKUP($A23,[24]HISTONOV24!$A$6:$AU$38,23,0)</f>
        <v>0</v>
      </c>
      <c r="R23" s="36">
        <f>VLOOKUP($A23,[24]HISTONOV24!$A$6:$AU$38,46,0)</f>
        <v>0</v>
      </c>
      <c r="S23" s="36">
        <f>VLOOKUP($A23,[24]HISTONOV24!$A$6:$AU$38,26,0)</f>
        <v>0</v>
      </c>
      <c r="T23" s="36">
        <f>VLOOKUP($A23,[24]HISTONOV24!$A$6:$BG$38,58,0)</f>
        <v>0</v>
      </c>
      <c r="U23" s="36">
        <f>VLOOKUP($A23,[24]HISTONOV24!$A$6:$AU$38,28,0)</f>
        <v>0</v>
      </c>
      <c r="V23" s="36">
        <f>VLOOKUP($A23,[24]HISTONOV24!$A$6:$AU$38,19,0)</f>
        <v>0</v>
      </c>
      <c r="W23" s="36">
        <f>VLOOKUP($A23,[24]HISTONOV24!$A$6:$AU$38,20,0)</f>
        <v>0</v>
      </c>
      <c r="X23" s="36">
        <f>VLOOKUP($A23,[24]HISTONOV24!$A$6:$AU$38,27,0)</f>
        <v>0</v>
      </c>
      <c r="Y23" s="36">
        <f>VLOOKUP($A23,[24]HISTONOV24!$A$6:$BM$38,33,0)</f>
        <v>0</v>
      </c>
      <c r="Z23" s="36">
        <f>VLOOKUP($A23,[24]HISTONOV24!$A$6:$BM$38,65,0)</f>
        <v>0</v>
      </c>
      <c r="AA23" s="36"/>
      <c r="AB23" s="36">
        <f>VLOOKUP($A23,[24]HISTONOV24!$A$6:$AU$38,43,0)</f>
        <v>0</v>
      </c>
      <c r="AC23" s="36">
        <f>VLOOKUP($A23,[24]HISTONOV24!$A$6:$AU$38,44,0)</f>
        <v>0</v>
      </c>
      <c r="AD23" s="36">
        <f>VLOOKUP($A23,[24]HISTONOV24!$A$6:$AU$38,47,0)</f>
        <v>0</v>
      </c>
      <c r="AE23" s="36">
        <f>VLOOKUP(A23,[24]HISTONOV24!$A$6:$BB$38,54,0)</f>
        <v>0</v>
      </c>
      <c r="AF23" s="36">
        <f>VLOOKUP($A23,[24]HISTONOV24!$A$6:$CA$38,60,0)</f>
        <v>0</v>
      </c>
      <c r="AG23" s="36">
        <f>VLOOKUP($A23,[24]HISTONOV24!$A$6:$CA$38,61,0)</f>
        <v>0</v>
      </c>
      <c r="AH23" s="36">
        <f>VLOOKUP($A23,[24]HISTONOV24!$A$6:$CA$38,62,0)</f>
        <v>0</v>
      </c>
      <c r="AI23" s="36">
        <f>VLOOKUP($A23,[24]HISTONOV24!$A$6:$CA$38,63,0)</f>
        <v>0</v>
      </c>
      <c r="AJ23" s="36">
        <f>VLOOKUP($A23,[24]HISTONOV24!$A$6:$CA$38,64,0)</f>
        <v>0</v>
      </c>
      <c r="AK23" s="36">
        <f>VLOOKUP($A23,[24]HISTONOV24!$A$6:$CA$38,65,0)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MVTOCT24!I24-E24+L24</f>
        <v>1236827.8441992993</v>
      </c>
      <c r="G24" s="5">
        <f>IF(MVTOCT24!I24+L24&gt;700000,(MVTOCT24!I24-E24+L24),0)</f>
        <v>1236827.8441992993</v>
      </c>
      <c r="H24" s="36">
        <f t="shared" si="0"/>
        <v>0</v>
      </c>
      <c r="I24" s="6">
        <f t="shared" si="2"/>
        <v>1236827.8441992993</v>
      </c>
      <c r="J24" s="36">
        <f>VLOOKUP($A24,[24]HISTONOV24!$A$6:$AQ$42,22,0)</f>
        <v>0</v>
      </c>
      <c r="K24" s="36">
        <f>VLOOKUP($A24,[24]HISTONOV24!$A$6:$AU$38,45,0)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VLOOKUP($A24,[24]HISTONOV24!$A$6:$AU$38,7,0)</f>
        <v>0</v>
      </c>
      <c r="Q24" s="36">
        <f>VLOOKUP($A24,[24]HISTONOV24!$A$6:$AU$38,23,0)</f>
        <v>0</v>
      </c>
      <c r="R24" s="36">
        <f>VLOOKUP($A24,[24]HISTONOV24!$A$6:$AU$38,46,0)</f>
        <v>0</v>
      </c>
      <c r="S24" s="36">
        <f>VLOOKUP($A24,[24]HISTONOV24!$A$6:$AU$38,26,0)</f>
        <v>0</v>
      </c>
      <c r="T24" s="36">
        <f>VLOOKUP($A24,[24]HISTONOV24!$A$6:$BG$38,58,0)</f>
        <v>0</v>
      </c>
      <c r="U24" s="36">
        <f>VLOOKUP($A24,[24]HISTONOV24!$A$6:$AU$38,28,0)</f>
        <v>0</v>
      </c>
      <c r="V24" s="36">
        <f>VLOOKUP($A24,[24]HISTONOV24!$A$6:$AU$38,19,0)</f>
        <v>0</v>
      </c>
      <c r="W24" s="36">
        <f>VLOOKUP($A24,[24]HISTONOV24!$A$6:$AU$38,20,0)</f>
        <v>0</v>
      </c>
      <c r="X24" s="36">
        <f>VLOOKUP($A24,[24]HISTONOV24!$A$6:$AU$38,27,0)</f>
        <v>0</v>
      </c>
      <c r="Y24" s="36">
        <f>VLOOKUP($A24,[24]HISTONOV24!$A$6:$BM$38,33,0)</f>
        <v>0</v>
      </c>
      <c r="Z24" s="36">
        <f>VLOOKUP($A24,[24]HISTONOV24!$A$6:$BM$38,65,0)</f>
        <v>0</v>
      </c>
      <c r="AA24" s="36"/>
      <c r="AB24" s="36">
        <f>VLOOKUP($A24,[24]HISTONOV24!$A$6:$AU$38,43,0)</f>
        <v>0</v>
      </c>
      <c r="AC24" s="36">
        <f>VLOOKUP($A24,[24]HISTONOV24!$A$6:$AU$38,44,0)</f>
        <v>0</v>
      </c>
      <c r="AD24" s="36">
        <f>VLOOKUP($A24,[24]HISTONOV24!$A$6:$AU$38,47,0)</f>
        <v>0</v>
      </c>
      <c r="AE24" s="36">
        <f>VLOOKUP(A24,[24]HISTONOV24!$A$6:$BB$38,54,0)</f>
        <v>0</v>
      </c>
      <c r="AF24" s="36">
        <f>VLOOKUP($A24,[24]HISTONOV24!$A$6:$CA$38,60,0)</f>
        <v>0</v>
      </c>
      <c r="AG24" s="36">
        <f>VLOOKUP($A24,[24]HISTONOV24!$A$6:$CA$38,61,0)</f>
        <v>0</v>
      </c>
      <c r="AH24" s="36">
        <f>VLOOKUP($A24,[24]HISTONOV24!$A$6:$CA$38,62,0)</f>
        <v>0</v>
      </c>
      <c r="AI24" s="36">
        <f>VLOOKUP($A24,[24]HISTONOV24!$A$6:$CA$38,63,0)</f>
        <v>0</v>
      </c>
      <c r="AJ24" s="36">
        <f>VLOOKUP($A24,[24]HISTONOV24!$A$6:$CA$38,64,0)</f>
        <v>0</v>
      </c>
      <c r="AK24" s="36">
        <f>VLOOKUP($A24,[24]HISTONOV24!$A$6:$CA$38,65,0)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MVTOCT24!I25-E25+L25</f>
        <v>1048141.7950432157</v>
      </c>
      <c r="G25" s="5">
        <f>IF(MVTOCT24!I25+L25&gt;700000,(MVTOCT24!I25-E25+L25),0)</f>
        <v>1048141.7950432157</v>
      </c>
      <c r="H25" s="36">
        <f t="shared" si="0"/>
        <v>0</v>
      </c>
      <c r="I25" s="6">
        <f t="shared" si="2"/>
        <v>1048141.7950432157</v>
      </c>
      <c r="J25" s="36">
        <f>VLOOKUP($A25,[24]HISTONOV24!$A$6:$AQ$42,22,0)</f>
        <v>0</v>
      </c>
      <c r="K25" s="36">
        <f>VLOOKUP($A25,[24]HISTONOV24!$A$6:$AU$38,45,0)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VLOOKUP($A25,[24]HISTONOV24!$A$6:$AU$38,7,0)</f>
        <v>3000</v>
      </c>
      <c r="Q25" s="36">
        <f>VLOOKUP($A25,[24]HISTONOV24!$A$6:$AU$38,23,0)</f>
        <v>0</v>
      </c>
      <c r="R25" s="36">
        <f>VLOOKUP($A25,[24]HISTONOV24!$A$6:$AU$38,46,0)</f>
        <v>0</v>
      </c>
      <c r="S25" s="36">
        <f>VLOOKUP($A25,[24]HISTONOV24!$A$6:$AU$38,26,0)</f>
        <v>0</v>
      </c>
      <c r="T25" s="36">
        <f>VLOOKUP($A25,[24]HISTONOV24!$A$6:$BG$38,58,0)</f>
        <v>0</v>
      </c>
      <c r="U25" s="36">
        <f>VLOOKUP($A25,[24]HISTONOV24!$A$6:$AU$38,28,0)</f>
        <v>0</v>
      </c>
      <c r="V25" s="36">
        <f>VLOOKUP($A25,[24]HISTONOV24!$A$6:$AU$38,19,0)</f>
        <v>0</v>
      </c>
      <c r="W25" s="36">
        <f>VLOOKUP($A25,[24]HISTONOV24!$A$6:$AU$38,20,0)</f>
        <v>0</v>
      </c>
      <c r="X25" s="36">
        <f>VLOOKUP($A25,[24]HISTONOV24!$A$6:$AU$38,27,0)</f>
        <v>0</v>
      </c>
      <c r="Y25" s="36">
        <f>VLOOKUP($A25,[24]HISTONOV24!$A$6:$BM$38,33,0)</f>
        <v>0</v>
      </c>
      <c r="Z25" s="36">
        <f>VLOOKUP($A25,[24]HISTONOV24!$A$6:$BM$38,65,0)</f>
        <v>0</v>
      </c>
      <c r="AA25" s="36"/>
      <c r="AB25" s="36">
        <f>VLOOKUP($A25,[24]HISTONOV24!$A$6:$AU$38,43,0)</f>
        <v>0</v>
      </c>
      <c r="AC25" s="36">
        <f>VLOOKUP($A25,[24]HISTONOV24!$A$6:$AU$38,44,0)</f>
        <v>0</v>
      </c>
      <c r="AD25" s="36">
        <f>VLOOKUP($A25,[24]HISTONOV24!$A$6:$AU$38,47,0)</f>
        <v>0</v>
      </c>
      <c r="AE25" s="36">
        <f>VLOOKUP(A25,[24]HISTONOV24!$A$6:$BB$38,54,0)</f>
        <v>0</v>
      </c>
      <c r="AF25" s="36">
        <f>VLOOKUP($A25,[24]HISTONOV24!$A$6:$CA$38,60,0)</f>
        <v>0</v>
      </c>
      <c r="AG25" s="36">
        <f>VLOOKUP($A25,[24]HISTONOV24!$A$6:$CA$38,61,0)</f>
        <v>0</v>
      </c>
      <c r="AH25" s="36">
        <f>VLOOKUP($A25,[24]HISTONOV24!$A$6:$CA$38,62,0)</f>
        <v>0</v>
      </c>
      <c r="AI25" s="36">
        <f>VLOOKUP($A25,[24]HISTONOV24!$A$6:$CA$38,63,0)</f>
        <v>0</v>
      </c>
      <c r="AJ25" s="36">
        <f>VLOOKUP($A25,[24]HISTONOV24!$A$6:$CA$38,64,0)</f>
        <v>0</v>
      </c>
      <c r="AK25" s="36">
        <f>VLOOKUP($A25,[24]HISTONOV24!$A$6:$CA$38,65,0)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MVTOCT24!I26-E26+L26</f>
        <v>976266.46813543816</v>
      </c>
      <c r="G26" s="5">
        <f>IF(MVTOCT24!I26+L26&gt;700000,(MVTOCT24!I26-E26+L26),0)</f>
        <v>976266.46813543816</v>
      </c>
      <c r="H26" s="36">
        <f t="shared" si="0"/>
        <v>0</v>
      </c>
      <c r="I26" s="6">
        <f t="shared" si="2"/>
        <v>976266.46813543816</v>
      </c>
      <c r="J26" s="36">
        <f>VLOOKUP($A26,[24]HISTONOV24!$A$6:$AQ$42,22,0)</f>
        <v>0</v>
      </c>
      <c r="K26" s="36">
        <f>VLOOKUP($A26,[24]HISTONOV24!$A$6:$AU$38,45,0)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VLOOKUP($A26,[24]HISTONOV24!$A$6:$AU$38,7,0)</f>
        <v>0</v>
      </c>
      <c r="Q26" s="36">
        <f>VLOOKUP($A26,[24]HISTONOV24!$A$6:$AU$38,23,0)</f>
        <v>0</v>
      </c>
      <c r="R26" s="36">
        <f>VLOOKUP($A26,[24]HISTONOV24!$A$6:$AU$38,46,0)</f>
        <v>0</v>
      </c>
      <c r="S26" s="36">
        <f>VLOOKUP($A26,[24]HISTONOV24!$A$6:$AU$38,26,0)</f>
        <v>0</v>
      </c>
      <c r="T26" s="36">
        <f>VLOOKUP($A26,[24]HISTONOV24!$A$6:$BG$38,58,0)</f>
        <v>0</v>
      </c>
      <c r="U26" s="36">
        <f>VLOOKUP($A26,[24]HISTONOV24!$A$6:$AU$38,28,0)</f>
        <v>0</v>
      </c>
      <c r="V26" s="36">
        <f>VLOOKUP($A26,[24]HISTONOV24!$A$6:$AU$38,19,0)</f>
        <v>0</v>
      </c>
      <c r="W26" s="36">
        <f>VLOOKUP($A26,[24]HISTONOV24!$A$6:$AU$38,20,0)</f>
        <v>0</v>
      </c>
      <c r="X26" s="36">
        <f>VLOOKUP($A26,[24]HISTONOV24!$A$6:$AU$38,27,0)</f>
        <v>0</v>
      </c>
      <c r="Y26" s="36">
        <f>VLOOKUP($A26,[24]HISTONOV24!$A$6:$BM$38,33,0)</f>
        <v>0</v>
      </c>
      <c r="Z26" s="36">
        <f>VLOOKUP($A26,[24]HISTONOV24!$A$6:$BM$38,65,0)</f>
        <v>0</v>
      </c>
      <c r="AA26" s="36"/>
      <c r="AB26" s="36">
        <f>VLOOKUP($A26,[24]HISTONOV24!$A$6:$AU$38,43,0)</f>
        <v>0</v>
      </c>
      <c r="AC26" s="36">
        <f>VLOOKUP($A26,[24]HISTONOV24!$A$6:$AU$38,44,0)</f>
        <v>0</v>
      </c>
      <c r="AD26" s="36">
        <f>VLOOKUP($A26,[24]HISTONOV24!$A$6:$AU$38,47,0)</f>
        <v>0</v>
      </c>
      <c r="AE26" s="36">
        <f>VLOOKUP(A26,[24]HISTONOV24!$A$6:$BB$38,54,0)</f>
        <v>0</v>
      </c>
      <c r="AF26" s="36">
        <f>VLOOKUP($A26,[24]HISTONOV24!$A$6:$CA$38,60,0)</f>
        <v>0</v>
      </c>
      <c r="AG26" s="36">
        <f>VLOOKUP($A26,[24]HISTONOV24!$A$6:$CA$38,61,0)</f>
        <v>0</v>
      </c>
      <c r="AH26" s="36">
        <f>VLOOKUP($A26,[24]HISTONOV24!$A$6:$CA$38,62,0)</f>
        <v>0</v>
      </c>
      <c r="AI26" s="36">
        <f>VLOOKUP($A26,[24]HISTONOV24!$A$6:$CA$38,63,0)</f>
        <v>0</v>
      </c>
      <c r="AJ26" s="36">
        <f>VLOOKUP($A26,[24]HISTONOV24!$A$6:$CA$38,64,0)</f>
        <v>0</v>
      </c>
      <c r="AK26" s="36">
        <f>VLOOKUP($A26,[24]HISTONOV24!$A$6:$CA$38,65,0)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MVTOCT24!I27-E27+L27</f>
        <v>976824.17371512204</v>
      </c>
      <c r="G27" s="5">
        <f>IF(MVTOCT24!I27+L27&gt;700000,(MVTOCT24!I27-E27+L27),0)</f>
        <v>976824.17371512204</v>
      </c>
      <c r="H27" s="36">
        <f t="shared" si="0"/>
        <v>0</v>
      </c>
      <c r="I27" s="6">
        <f t="shared" si="2"/>
        <v>976824.17371512204</v>
      </c>
      <c r="J27" s="36">
        <f>VLOOKUP($A27,[24]HISTONOV24!$A$6:$AQ$42,22,0)</f>
        <v>0</v>
      </c>
      <c r="K27" s="36">
        <f>VLOOKUP($A27,[24]HISTONOV24!$A$6:$AU$38,45,0)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VLOOKUP($A27,[24]HISTONOV24!$A$6:$AU$38,7,0)</f>
        <v>0</v>
      </c>
      <c r="Q27" s="36">
        <f>VLOOKUP($A27,[24]HISTONOV24!$A$6:$AU$38,23,0)</f>
        <v>0</v>
      </c>
      <c r="R27" s="36">
        <f>VLOOKUP($A27,[24]HISTONOV24!$A$6:$AU$38,46,0)</f>
        <v>0</v>
      </c>
      <c r="S27" s="36">
        <f>VLOOKUP($A27,[24]HISTONOV24!$A$6:$AU$38,26,0)</f>
        <v>0</v>
      </c>
      <c r="T27" s="36">
        <f>VLOOKUP($A27,[24]HISTONOV24!$A$6:$BG$38,58,0)</f>
        <v>0</v>
      </c>
      <c r="U27" s="36">
        <f>VLOOKUP($A27,[24]HISTONOV24!$A$6:$AU$38,28,0)</f>
        <v>0</v>
      </c>
      <c r="V27" s="36">
        <f>VLOOKUP($A27,[24]HISTONOV24!$A$6:$AU$38,19,0)</f>
        <v>0</v>
      </c>
      <c r="W27" s="36">
        <f>VLOOKUP($A27,[24]HISTONOV24!$A$6:$AU$38,20,0)</f>
        <v>0</v>
      </c>
      <c r="X27" s="36">
        <f>VLOOKUP($A27,[24]HISTONOV24!$A$6:$AU$38,27,0)</f>
        <v>0</v>
      </c>
      <c r="Y27" s="36">
        <f>VLOOKUP($A27,[24]HISTONOV24!$A$6:$BM$38,33,0)</f>
        <v>0</v>
      </c>
      <c r="Z27" s="36">
        <f>VLOOKUP($A27,[24]HISTONOV24!$A$6:$BM$38,65,0)</f>
        <v>0</v>
      </c>
      <c r="AA27" s="36"/>
      <c r="AB27" s="36">
        <f>VLOOKUP($A27,[24]HISTONOV24!$A$6:$AU$38,43,0)</f>
        <v>0</v>
      </c>
      <c r="AC27" s="36">
        <f>VLOOKUP($A27,[24]HISTONOV24!$A$6:$AU$38,44,0)</f>
        <v>0</v>
      </c>
      <c r="AD27" s="36">
        <f>VLOOKUP($A27,[24]HISTONOV24!$A$6:$AU$38,47,0)</f>
        <v>0</v>
      </c>
      <c r="AE27" s="36">
        <f>VLOOKUP(A27,[24]HISTONOV24!$A$6:$BB$38,54,0)</f>
        <v>0</v>
      </c>
      <c r="AF27" s="36">
        <f>VLOOKUP($A27,[24]HISTONOV24!$A$6:$CA$38,60,0)</f>
        <v>0</v>
      </c>
      <c r="AG27" s="36">
        <f>VLOOKUP($A27,[24]HISTONOV24!$A$6:$CA$38,61,0)</f>
        <v>0</v>
      </c>
      <c r="AH27" s="36">
        <f>VLOOKUP($A27,[24]HISTONOV24!$A$6:$CA$38,62,0)</f>
        <v>0</v>
      </c>
      <c r="AI27" s="36">
        <f>VLOOKUP($A27,[24]HISTONOV24!$A$6:$CA$38,63,0)</f>
        <v>0</v>
      </c>
      <c r="AJ27" s="36">
        <f>VLOOKUP($A27,[24]HISTONOV24!$A$6:$CA$38,64,0)</f>
        <v>0</v>
      </c>
      <c r="AK27" s="36">
        <f>VLOOKUP($A27,[24]HISTONOV24!$A$6:$CA$38,65,0)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MVTOCT24!I28-E28+L28</f>
        <v>878176.12513194664</v>
      </c>
      <c r="G28" s="5">
        <f>IF(MVTOCT24!I28+L28&gt;700000,(MVTOCT24!I28-E28+L28),0)</f>
        <v>878176.12513194664</v>
      </c>
      <c r="H28" s="36">
        <f t="shared" si="0"/>
        <v>0</v>
      </c>
      <c r="I28" s="6">
        <f t="shared" si="2"/>
        <v>878176.12513194664</v>
      </c>
      <c r="J28" s="36">
        <f>VLOOKUP($A28,[24]HISTONOV24!$A$6:$AQ$42,22,0)</f>
        <v>0</v>
      </c>
      <c r="K28" s="36">
        <f>VLOOKUP($A28,[24]HISTONOV24!$A$6:$AU$38,45,0)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VLOOKUP($A28,[24]HISTONOV24!$A$6:$AU$38,7,0)</f>
        <v>0</v>
      </c>
      <c r="Q28" s="36">
        <f>VLOOKUP($A28,[24]HISTONOV24!$A$6:$AU$38,23,0)</f>
        <v>0</v>
      </c>
      <c r="R28" s="36">
        <f>VLOOKUP($A28,[24]HISTONOV24!$A$6:$AU$38,46,0)</f>
        <v>0</v>
      </c>
      <c r="S28" s="36">
        <f>VLOOKUP($A28,[24]HISTONOV24!$A$6:$AU$38,26,0)</f>
        <v>0</v>
      </c>
      <c r="T28" s="36">
        <f>VLOOKUP($A28,[24]HISTONOV24!$A$6:$BG$38,58,0)</f>
        <v>0</v>
      </c>
      <c r="U28" s="36">
        <f>VLOOKUP($A28,[24]HISTONOV24!$A$6:$AU$38,28,0)</f>
        <v>0</v>
      </c>
      <c r="V28" s="36">
        <f>VLOOKUP($A28,[24]HISTONOV24!$A$6:$AU$38,19,0)</f>
        <v>0</v>
      </c>
      <c r="W28" s="36">
        <f>VLOOKUP($A28,[24]HISTONOV24!$A$6:$AU$38,20,0)</f>
        <v>0</v>
      </c>
      <c r="X28" s="36">
        <f>VLOOKUP($A28,[24]HISTONOV24!$A$6:$AU$38,27,0)</f>
        <v>0</v>
      </c>
      <c r="Y28" s="36">
        <f>VLOOKUP($A28,[24]HISTONOV24!$A$6:$BM$38,33,0)</f>
        <v>0</v>
      </c>
      <c r="Z28" s="36">
        <f>VLOOKUP($A28,[24]HISTONOV24!$A$6:$BM$38,65,0)</f>
        <v>0</v>
      </c>
      <c r="AA28" s="36"/>
      <c r="AB28" s="36">
        <f>VLOOKUP($A28,[24]HISTONOV24!$A$6:$AU$38,43,0)</f>
        <v>0</v>
      </c>
      <c r="AC28" s="36">
        <f>VLOOKUP($A28,[24]HISTONOV24!$A$6:$AU$38,44,0)</f>
        <v>0</v>
      </c>
      <c r="AD28" s="36">
        <f>VLOOKUP($A28,[24]HISTONOV24!$A$6:$AU$38,47,0)</f>
        <v>0</v>
      </c>
      <c r="AE28" s="36">
        <f>VLOOKUP(A28,[24]HISTONOV24!$A$6:$BB$38,54,0)</f>
        <v>0</v>
      </c>
      <c r="AF28" s="36">
        <f>VLOOKUP($A28,[24]HISTONOV24!$A$6:$CA$38,60,0)</f>
        <v>0</v>
      </c>
      <c r="AG28" s="36">
        <f>VLOOKUP($A28,[24]HISTONOV24!$A$6:$CA$38,61,0)</f>
        <v>0</v>
      </c>
      <c r="AH28" s="36">
        <f>VLOOKUP($A28,[24]HISTONOV24!$A$6:$CA$38,62,0)</f>
        <v>0</v>
      </c>
      <c r="AI28" s="36">
        <f>VLOOKUP($A28,[24]HISTONOV24!$A$6:$CA$38,63,0)</f>
        <v>0</v>
      </c>
      <c r="AJ28" s="36">
        <f>VLOOKUP($A28,[24]HISTONOV24!$A$6:$CA$38,64,0)</f>
        <v>0</v>
      </c>
      <c r="AK28" s="36">
        <f>VLOOKUP($A28,[24]HISTONOV24!$A$6:$CA$38,65,0)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MVTOCT24!I29-E29+L29</f>
        <v>1003151.3442374151</v>
      </c>
      <c r="G29" s="5">
        <f>IF(MVTOCT24!I29+L29&gt;700000,(MVTOCT24!I29-E29+L29),0)</f>
        <v>1003151.3442374151</v>
      </c>
      <c r="H29" s="36">
        <f t="shared" si="0"/>
        <v>0</v>
      </c>
      <c r="I29" s="6">
        <f t="shared" si="2"/>
        <v>1003151.3442374151</v>
      </c>
      <c r="J29" s="36">
        <f>VLOOKUP($A29,[24]HISTONOV24!$A$6:$AQ$42,22,0)</f>
        <v>0</v>
      </c>
      <c r="K29" s="36">
        <f>VLOOKUP($A29,[24]HISTONOV24!$A$6:$AU$38,45,0)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VLOOKUP($A29,[24]HISTONOV24!$A$6:$AU$38,7,0)</f>
        <v>0</v>
      </c>
      <c r="Q29" s="36">
        <f>VLOOKUP($A29,[24]HISTONOV24!$A$6:$AU$38,23,0)</f>
        <v>0</v>
      </c>
      <c r="R29" s="36">
        <f>VLOOKUP($A29,[24]HISTONOV24!$A$6:$AU$38,46,0)</f>
        <v>0</v>
      </c>
      <c r="S29" s="36">
        <f>VLOOKUP($A29,[24]HISTONOV24!$A$6:$AU$38,26,0)</f>
        <v>0</v>
      </c>
      <c r="T29" s="36">
        <f>VLOOKUP($A29,[24]HISTONOV24!$A$6:$BG$38,58,0)</f>
        <v>0</v>
      </c>
      <c r="U29" s="36">
        <f>VLOOKUP($A29,[24]HISTONOV24!$A$6:$AU$38,28,0)</f>
        <v>0</v>
      </c>
      <c r="V29" s="36">
        <f>VLOOKUP($A29,[24]HISTONOV24!$A$6:$AU$38,19,0)</f>
        <v>0</v>
      </c>
      <c r="W29" s="36">
        <f>VLOOKUP($A29,[24]HISTONOV24!$A$6:$AU$38,20,0)</f>
        <v>0</v>
      </c>
      <c r="X29" s="36">
        <f>VLOOKUP($A29,[24]HISTONOV24!$A$6:$AU$38,27,0)</f>
        <v>0</v>
      </c>
      <c r="Y29" s="36">
        <f>VLOOKUP($A29,[24]HISTONOV24!$A$6:$BM$38,33,0)</f>
        <v>0</v>
      </c>
      <c r="Z29" s="36">
        <f>VLOOKUP($A29,[24]HISTONOV24!$A$6:$BM$38,65,0)</f>
        <v>0</v>
      </c>
      <c r="AA29" s="36"/>
      <c r="AB29" s="36">
        <f>VLOOKUP($A29,[24]HISTONOV24!$A$6:$AU$38,43,0)</f>
        <v>0</v>
      </c>
      <c r="AC29" s="36">
        <f>VLOOKUP($A29,[24]HISTONOV24!$A$6:$AU$38,44,0)</f>
        <v>0</v>
      </c>
      <c r="AD29" s="36">
        <f>VLOOKUP($A29,[24]HISTONOV24!$A$6:$AU$38,47,0)</f>
        <v>0</v>
      </c>
      <c r="AE29" s="36">
        <f>VLOOKUP(A29,[24]HISTONOV24!$A$6:$BB$38,54,0)</f>
        <v>0</v>
      </c>
      <c r="AF29" s="36">
        <f>VLOOKUP($A29,[24]HISTONOV24!$A$6:$CA$38,60,0)</f>
        <v>0</v>
      </c>
      <c r="AG29" s="36">
        <f>VLOOKUP($A29,[24]HISTONOV24!$A$6:$CA$38,61,0)</f>
        <v>0</v>
      </c>
      <c r="AH29" s="36">
        <f>VLOOKUP($A29,[24]HISTONOV24!$A$6:$CA$38,62,0)</f>
        <v>0</v>
      </c>
      <c r="AI29" s="36">
        <f>VLOOKUP($A29,[24]HISTONOV24!$A$6:$CA$38,63,0)</f>
        <v>0</v>
      </c>
      <c r="AJ29" s="36">
        <f>VLOOKUP($A29,[24]HISTONOV24!$A$6:$CA$38,64,0)</f>
        <v>0</v>
      </c>
      <c r="AK29" s="36">
        <f>VLOOKUP($A29,[24]HISTONOV24!$A$6:$CA$38,65,0)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MVTOCT24!I30-E30+L30</f>
        <v>907786.81046782702</v>
      </c>
      <c r="G30" s="5">
        <f>IF(MVTOCT24!I30+L30&gt;700000,(MVTOCT24!I30-E30+L30),0)</f>
        <v>907786.81046782702</v>
      </c>
      <c r="H30" s="36">
        <f t="shared" si="0"/>
        <v>0</v>
      </c>
      <c r="I30" s="6">
        <f t="shared" si="2"/>
        <v>907786.81046782702</v>
      </c>
      <c r="J30" s="36">
        <f>VLOOKUP($A30,[24]HISTONOV24!$A$6:$AQ$42,22,0)</f>
        <v>0</v>
      </c>
      <c r="K30" s="36">
        <f>VLOOKUP($A30,[24]HISTONOV24!$A$6:$AU$38,45,0)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VLOOKUP($A30,[24]HISTONOV24!$A$6:$AU$38,7,0)</f>
        <v>0</v>
      </c>
      <c r="Q30" s="36">
        <f>VLOOKUP($A30,[24]HISTONOV24!$A$6:$AU$38,23,0)</f>
        <v>0</v>
      </c>
      <c r="R30" s="36">
        <f>VLOOKUP($A30,[24]HISTONOV24!$A$6:$AU$38,46,0)</f>
        <v>0</v>
      </c>
      <c r="S30" s="36">
        <f>VLOOKUP($A30,[24]HISTONOV24!$A$6:$AU$38,26,0)</f>
        <v>0</v>
      </c>
      <c r="T30" s="36">
        <f>VLOOKUP($A30,[24]HISTONOV24!$A$6:$BG$38,58,0)</f>
        <v>0</v>
      </c>
      <c r="U30" s="36">
        <f>VLOOKUP($A30,[24]HISTONOV24!$A$6:$AU$38,28,0)</f>
        <v>0</v>
      </c>
      <c r="V30" s="36">
        <f>VLOOKUP($A30,[24]HISTONOV24!$A$6:$AU$38,19,0)</f>
        <v>0</v>
      </c>
      <c r="W30" s="36">
        <f>VLOOKUP($A30,[24]HISTONOV24!$A$6:$AU$38,20,0)</f>
        <v>0</v>
      </c>
      <c r="X30" s="36">
        <f>VLOOKUP($A30,[24]HISTONOV24!$A$6:$AU$38,27,0)</f>
        <v>0</v>
      </c>
      <c r="Y30" s="36">
        <f>VLOOKUP($A30,[24]HISTONOV24!$A$6:$BM$38,33,0)</f>
        <v>0</v>
      </c>
      <c r="Z30" s="36">
        <f>VLOOKUP($A30,[24]HISTONOV24!$A$6:$BM$38,65,0)</f>
        <v>0</v>
      </c>
      <c r="AA30" s="36"/>
      <c r="AB30" s="36">
        <f>VLOOKUP($A30,[24]HISTONOV24!$A$6:$AU$38,43,0)</f>
        <v>0</v>
      </c>
      <c r="AC30" s="36">
        <f>VLOOKUP($A30,[24]HISTONOV24!$A$6:$AU$38,44,0)</f>
        <v>0</v>
      </c>
      <c r="AD30" s="36">
        <f>VLOOKUP($A30,[24]HISTONOV24!$A$6:$AU$38,47,0)</f>
        <v>0</v>
      </c>
      <c r="AE30" s="36">
        <f>VLOOKUP(A30,[24]HISTONOV24!$A$6:$BB$38,54,0)</f>
        <v>0</v>
      </c>
      <c r="AF30" s="36">
        <f>VLOOKUP($A30,[24]HISTONOV24!$A$6:$CA$38,60,0)</f>
        <v>0</v>
      </c>
      <c r="AG30" s="36">
        <f>VLOOKUP($A30,[24]HISTONOV24!$A$6:$CA$38,61,0)</f>
        <v>0</v>
      </c>
      <c r="AH30" s="36">
        <f>VLOOKUP($A30,[24]HISTONOV24!$A$6:$CA$38,62,0)</f>
        <v>0</v>
      </c>
      <c r="AI30" s="36">
        <f>VLOOKUP($A30,[24]HISTONOV24!$A$6:$CA$38,63,0)</f>
        <v>0</v>
      </c>
      <c r="AJ30" s="36">
        <f>VLOOKUP($A30,[24]HISTONOV24!$A$6:$CA$38,64,0)</f>
        <v>0</v>
      </c>
      <c r="AK30" s="36">
        <f>VLOOKUP($A30,[24]HISTONOV24!$A$6:$CA$38,65,0)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MVTOCT24!I31-E31+L31</f>
        <v>1067903.0311481347</v>
      </c>
      <c r="G31" s="5">
        <f>IF(MVTOCT24!I31+L31&gt;700000,(MVTOCT24!I31-E31+L31),0)</f>
        <v>1067903.0311481347</v>
      </c>
      <c r="H31" s="36">
        <f t="shared" si="0"/>
        <v>0</v>
      </c>
      <c r="I31" s="6">
        <f t="shared" si="2"/>
        <v>1067903.0311481347</v>
      </c>
      <c r="J31" s="36">
        <f>VLOOKUP($A31,[24]HISTONOV24!$A$6:$AQ$42,22,0)</f>
        <v>0</v>
      </c>
      <c r="K31" s="36">
        <f>VLOOKUP($A31,[24]HISTONOV24!$A$6:$AU$38,45,0)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VLOOKUP($A31,[24]HISTONOV24!$A$6:$AU$38,7,0)</f>
        <v>0</v>
      </c>
      <c r="Q31" s="36">
        <f>VLOOKUP($A31,[24]HISTONOV24!$A$6:$AU$38,23,0)</f>
        <v>0</v>
      </c>
      <c r="R31" s="36">
        <f>VLOOKUP($A31,[24]HISTONOV24!$A$6:$AU$38,46,0)</f>
        <v>0</v>
      </c>
      <c r="S31" s="36">
        <f>VLOOKUP($A31,[24]HISTONOV24!$A$6:$AU$38,26,0)</f>
        <v>0</v>
      </c>
      <c r="T31" s="36">
        <f>VLOOKUP($A31,[24]HISTONOV24!$A$6:$BG$38,58,0)</f>
        <v>0</v>
      </c>
      <c r="U31" s="36">
        <f>VLOOKUP($A31,[24]HISTONOV24!$A$6:$AU$38,28,0)</f>
        <v>0</v>
      </c>
      <c r="V31" s="36">
        <f>VLOOKUP($A31,[24]HISTONOV24!$A$6:$AU$38,19,0)</f>
        <v>0</v>
      </c>
      <c r="W31" s="36">
        <f>VLOOKUP($A31,[24]HISTONOV24!$A$6:$AU$38,20,0)</f>
        <v>0</v>
      </c>
      <c r="X31" s="36">
        <f>VLOOKUP($A31,[24]HISTONOV24!$A$6:$AU$38,27,0)</f>
        <v>0</v>
      </c>
      <c r="Y31" s="36">
        <f>VLOOKUP($A31,[24]HISTONOV24!$A$6:$BM$38,33,0)</f>
        <v>0</v>
      </c>
      <c r="Z31" s="36">
        <f>VLOOKUP($A31,[24]HISTONOV24!$A$6:$BM$38,65,0)</f>
        <v>0</v>
      </c>
      <c r="AA31" s="36"/>
      <c r="AB31" s="36">
        <f>VLOOKUP($A31,[24]HISTONOV24!$A$6:$AU$38,43,0)</f>
        <v>0</v>
      </c>
      <c r="AC31" s="36">
        <f>VLOOKUP($A31,[24]HISTONOV24!$A$6:$AU$38,44,0)</f>
        <v>0</v>
      </c>
      <c r="AD31" s="36">
        <f>VLOOKUP($A31,[24]HISTONOV24!$A$6:$AU$38,47,0)</f>
        <v>0</v>
      </c>
      <c r="AE31" s="36">
        <f>VLOOKUP(A31,[24]HISTONOV24!$A$6:$BB$38,54,0)</f>
        <v>0</v>
      </c>
      <c r="AF31" s="36">
        <f>VLOOKUP($A31,[24]HISTONOV24!$A$6:$CA$38,60,0)</f>
        <v>0</v>
      </c>
      <c r="AG31" s="36">
        <f>VLOOKUP($A31,[24]HISTONOV24!$A$6:$CA$38,61,0)</f>
        <v>0</v>
      </c>
      <c r="AH31" s="36">
        <f>VLOOKUP($A31,[24]HISTONOV24!$A$6:$CA$38,62,0)</f>
        <v>0</v>
      </c>
      <c r="AI31" s="36">
        <f>VLOOKUP($A31,[24]HISTONOV24!$A$6:$CA$38,63,0)</f>
        <v>0</v>
      </c>
      <c r="AJ31" s="36">
        <f>VLOOKUP($A31,[24]HISTONOV24!$A$6:$CA$38,64,0)</f>
        <v>0</v>
      </c>
      <c r="AK31" s="36">
        <f>VLOOKUP($A31,[24]HISTONOV24!$A$6:$CA$38,65,0)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MVTOCT24!I32-E32+L32</f>
        <v>957243.98131057119</v>
      </c>
      <c r="G32" s="5">
        <f>IF(MVTOCT24!I32+L32&gt;700000,(MVTOCT24!I32-E32+L32),0)</f>
        <v>957243.98131057119</v>
      </c>
      <c r="H32" s="36">
        <f t="shared" si="0"/>
        <v>0</v>
      </c>
      <c r="I32" s="6">
        <f t="shared" si="2"/>
        <v>957243.98131057119</v>
      </c>
      <c r="J32" s="36">
        <f>VLOOKUP($A32,[24]HISTONOV24!$A$6:$AQ$42,22,0)</f>
        <v>0</v>
      </c>
      <c r="K32" s="36">
        <f>VLOOKUP($A32,[24]HISTONOV24!$A$6:$AU$38,45,0)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VLOOKUP($A32,[24]HISTONOV24!$A$6:$AU$38,7,0)</f>
        <v>0</v>
      </c>
      <c r="Q32" s="36">
        <f>VLOOKUP($A32,[24]HISTONOV24!$A$6:$AU$38,23,0)</f>
        <v>0</v>
      </c>
      <c r="R32" s="36">
        <f>VLOOKUP($A32,[24]HISTONOV24!$A$6:$AU$38,46,0)</f>
        <v>0</v>
      </c>
      <c r="S32" s="36">
        <f>VLOOKUP($A32,[24]HISTONOV24!$A$6:$AU$38,26,0)</f>
        <v>0</v>
      </c>
      <c r="T32" s="36">
        <f>VLOOKUP($A32,[24]HISTONOV24!$A$6:$BG$38,58,0)</f>
        <v>0</v>
      </c>
      <c r="U32" s="36">
        <f>VLOOKUP($A32,[24]HISTONOV24!$A$6:$AU$38,28,0)</f>
        <v>0</v>
      </c>
      <c r="V32" s="36">
        <f>VLOOKUP($A32,[24]HISTONOV24!$A$6:$AU$38,19,0)</f>
        <v>0</v>
      </c>
      <c r="W32" s="36">
        <f>VLOOKUP($A32,[24]HISTONOV24!$A$6:$AU$38,20,0)</f>
        <v>0</v>
      </c>
      <c r="X32" s="36">
        <f>VLOOKUP($A32,[24]HISTONOV24!$A$6:$AU$38,27,0)</f>
        <v>0</v>
      </c>
      <c r="Y32" s="36">
        <f>VLOOKUP($A32,[24]HISTONOV24!$A$6:$BM$38,33,0)</f>
        <v>0</v>
      </c>
      <c r="Z32" s="36">
        <f>VLOOKUP($A32,[24]HISTONOV24!$A$6:$BM$38,65,0)</f>
        <v>0</v>
      </c>
      <c r="AA32" s="36"/>
      <c r="AB32" s="36">
        <f>VLOOKUP($A32,[24]HISTONOV24!$A$6:$AU$38,43,0)</f>
        <v>0</v>
      </c>
      <c r="AC32" s="36">
        <f>VLOOKUP($A32,[24]HISTONOV24!$A$6:$AU$38,44,0)</f>
        <v>0</v>
      </c>
      <c r="AD32" s="36">
        <f>VLOOKUP($A32,[24]HISTONOV24!$A$6:$AU$38,47,0)</f>
        <v>0</v>
      </c>
      <c r="AE32" s="36">
        <f>VLOOKUP(A32,[24]HISTONOV24!$A$6:$BB$38,54,0)</f>
        <v>0</v>
      </c>
      <c r="AF32" s="36">
        <f>VLOOKUP($A32,[24]HISTONOV24!$A$6:$CA$38,60,0)</f>
        <v>0</v>
      </c>
      <c r="AG32" s="36">
        <f>VLOOKUP($A32,[24]HISTONOV24!$A$6:$CA$38,61,0)</f>
        <v>0</v>
      </c>
      <c r="AH32" s="36">
        <f>VLOOKUP($A32,[24]HISTONOV24!$A$6:$CA$38,62,0)</f>
        <v>0</v>
      </c>
      <c r="AI32" s="36">
        <f>VLOOKUP($A32,[24]HISTONOV24!$A$6:$CA$38,63,0)</f>
        <v>0</v>
      </c>
      <c r="AJ32" s="36">
        <f>VLOOKUP($A32,[24]HISTONOV24!$A$6:$CA$38,64,0)</f>
        <v>0</v>
      </c>
      <c r="AK32" s="36">
        <f>VLOOKUP($A32,[24]HISTONOV24!$A$6:$CA$38,65,0)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MVTOCT24!I33-E33+L33</f>
        <v>957552.64928596013</v>
      </c>
      <c r="G33" s="5">
        <f>IF(MVTOCT24!I33+L33&gt;700000,(MVTOCT24!I33-E33+L33),0)</f>
        <v>957552.64928596013</v>
      </c>
      <c r="H33" s="36">
        <f t="shared" si="0"/>
        <v>0</v>
      </c>
      <c r="I33" s="6">
        <f t="shared" si="2"/>
        <v>957552.64928596013</v>
      </c>
      <c r="J33" s="36">
        <f>VLOOKUP($A33,[24]HISTONOV24!$A$6:$AQ$42,22,0)</f>
        <v>0</v>
      </c>
      <c r="K33" s="36">
        <f>VLOOKUP($A33,[24]HISTONOV24!$A$6:$AU$38,45,0)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VLOOKUP($A33,[24]HISTONOV24!$A$6:$AU$38,7,0)</f>
        <v>0</v>
      </c>
      <c r="Q33" s="36">
        <f>VLOOKUP($A33,[24]HISTONOV24!$A$6:$AU$38,23,0)</f>
        <v>0</v>
      </c>
      <c r="R33" s="36">
        <f>VLOOKUP($A33,[24]HISTONOV24!$A$6:$AU$38,46,0)</f>
        <v>0</v>
      </c>
      <c r="S33" s="36">
        <f>VLOOKUP($A33,[24]HISTONOV24!$A$6:$AU$38,26,0)</f>
        <v>0</v>
      </c>
      <c r="T33" s="36">
        <f>VLOOKUP($A33,[24]HISTONOV24!$A$6:$BG$38,58,0)</f>
        <v>0</v>
      </c>
      <c r="U33" s="36">
        <f>VLOOKUP($A33,[24]HISTONOV24!$A$6:$AU$38,28,0)</f>
        <v>0</v>
      </c>
      <c r="V33" s="36">
        <f>VLOOKUP($A33,[24]HISTONOV24!$A$6:$AU$38,19,0)</f>
        <v>0</v>
      </c>
      <c r="W33" s="36">
        <f>VLOOKUP($A33,[24]HISTONOV24!$A$6:$AU$38,20,0)</f>
        <v>0</v>
      </c>
      <c r="X33" s="36">
        <f>VLOOKUP($A33,[24]HISTONOV24!$A$6:$AU$38,27,0)</f>
        <v>0</v>
      </c>
      <c r="Y33" s="36">
        <f>VLOOKUP($A33,[24]HISTONOV24!$A$6:$BM$38,33,0)</f>
        <v>0</v>
      </c>
      <c r="Z33" s="36">
        <f>VLOOKUP($A33,[24]HISTONOV24!$A$6:$BM$38,65,0)</f>
        <v>0</v>
      </c>
      <c r="AA33" s="36"/>
      <c r="AB33" s="36">
        <f>VLOOKUP($A33,[24]HISTONOV24!$A$6:$AU$38,43,0)</f>
        <v>0</v>
      </c>
      <c r="AC33" s="36">
        <f>VLOOKUP($A33,[24]HISTONOV24!$A$6:$AU$38,44,0)</f>
        <v>0</v>
      </c>
      <c r="AD33" s="36">
        <f>VLOOKUP($A33,[24]HISTONOV24!$A$6:$AU$38,47,0)</f>
        <v>0</v>
      </c>
      <c r="AE33" s="36">
        <f>VLOOKUP(A33,[24]HISTONOV24!$A$6:$BB$38,54,0)</f>
        <v>0</v>
      </c>
      <c r="AF33" s="36">
        <f>VLOOKUP($A33,[24]HISTONOV24!$A$6:$CA$38,60,0)</f>
        <v>0</v>
      </c>
      <c r="AG33" s="36">
        <f>VLOOKUP($A33,[24]HISTONOV24!$A$6:$CA$38,61,0)</f>
        <v>0</v>
      </c>
      <c r="AH33" s="36">
        <f>VLOOKUP($A33,[24]HISTONOV24!$A$6:$CA$38,62,0)</f>
        <v>0</v>
      </c>
      <c r="AI33" s="36">
        <f>VLOOKUP($A33,[24]HISTONOV24!$A$6:$CA$38,63,0)</f>
        <v>0</v>
      </c>
      <c r="AJ33" s="36">
        <f>VLOOKUP($A33,[24]HISTONOV24!$A$6:$CA$38,64,0)</f>
        <v>0</v>
      </c>
      <c r="AK33" s="36">
        <f>VLOOKUP($A33,[24]HISTONOV24!$A$6:$CA$38,65,0)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MVTOCT24!I34-E34+L34</f>
        <v>614000</v>
      </c>
      <c r="G34" s="5">
        <f>IF(MVTOCT24!I34+L34&gt;700000,(MVTOCT24!I34-E34+L34),0)</f>
        <v>0</v>
      </c>
      <c r="H34" s="36">
        <f t="shared" si="0"/>
        <v>0</v>
      </c>
      <c r="I34" s="6">
        <f t="shared" si="2"/>
        <v>614000</v>
      </c>
      <c r="J34" s="36">
        <f>VLOOKUP($A34,[24]HISTONOV24!$A$6:$AQ$42,22,0)</f>
        <v>0</v>
      </c>
      <c r="K34" s="36">
        <f>VLOOKUP($A34,[24]HISTONOV24!$A$6:$AU$38,45,0)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VLOOKUP($A34,[24]HISTONOV24!$A$6:$AU$38,7,0)</f>
        <v>0</v>
      </c>
      <c r="Q34" s="36">
        <f>VLOOKUP($A34,[24]HISTONOV24!$A$6:$AU$38,23,0)</f>
        <v>0</v>
      </c>
      <c r="R34" s="36">
        <f>VLOOKUP($A34,[24]HISTONOV24!$A$6:$AU$38,46,0)</f>
        <v>0</v>
      </c>
      <c r="S34" s="36">
        <f>VLOOKUP($A34,[24]HISTONOV24!$A$6:$AU$38,26,0)</f>
        <v>0</v>
      </c>
      <c r="T34" s="36">
        <f>VLOOKUP($A34,[24]HISTONOV24!$A$6:$BG$38,58,0)</f>
        <v>0</v>
      </c>
      <c r="U34" s="36">
        <f>VLOOKUP($A34,[24]HISTONOV24!$A$6:$AU$38,28,0)</f>
        <v>0</v>
      </c>
      <c r="V34" s="36">
        <f>VLOOKUP($A34,[24]HISTONOV24!$A$6:$AU$38,19,0)</f>
        <v>0</v>
      </c>
      <c r="W34" s="36">
        <f>VLOOKUP($A34,[24]HISTONOV24!$A$6:$AU$38,20,0)</f>
        <v>0</v>
      </c>
      <c r="X34" s="36">
        <f>VLOOKUP($A34,[24]HISTONOV24!$A$6:$AU$38,27,0)</f>
        <v>0</v>
      </c>
      <c r="Y34" s="36">
        <f>VLOOKUP($A34,[24]HISTONOV24!$A$6:$BM$38,33,0)</f>
        <v>0</v>
      </c>
      <c r="Z34" s="36">
        <f>VLOOKUP($A34,[24]HISTONOV24!$A$6:$BM$38,65,0)</f>
        <v>0</v>
      </c>
      <c r="AA34" s="36"/>
      <c r="AB34" s="36">
        <f>VLOOKUP($A34,[24]HISTONOV24!$A$6:$AU$38,43,0)</f>
        <v>0</v>
      </c>
      <c r="AC34" s="36">
        <f>VLOOKUP($A34,[24]HISTONOV24!$A$6:$AU$38,44,0)</f>
        <v>0</v>
      </c>
      <c r="AD34" s="36">
        <f>VLOOKUP($A34,[24]HISTONOV24!$A$6:$AU$38,47,0)</f>
        <v>0</v>
      </c>
      <c r="AE34" s="36">
        <f>VLOOKUP(A34,[24]HISTONOV24!$A$6:$BB$38,54,0)</f>
        <v>0</v>
      </c>
      <c r="AF34" s="36">
        <f>VLOOKUP($A34,[24]HISTONOV24!$A$6:$CA$38,60,0)</f>
        <v>0</v>
      </c>
      <c r="AG34" s="36">
        <f>VLOOKUP($A34,[24]HISTONOV24!$A$6:$CA$38,61,0)</f>
        <v>0</v>
      </c>
      <c r="AH34" s="36">
        <f>VLOOKUP($A34,[24]HISTONOV24!$A$6:$CA$38,62,0)</f>
        <v>0</v>
      </c>
      <c r="AI34" s="36">
        <f>VLOOKUP($A34,[24]HISTONOV24!$A$6:$CA$38,63,0)</f>
        <v>0</v>
      </c>
      <c r="AJ34" s="36">
        <f>VLOOKUP($A34,[24]HISTONOV24!$A$6:$CA$38,64,0)</f>
        <v>0</v>
      </c>
      <c r="AK34" s="36">
        <f>VLOOKUP($A34,[24]HISTONOV24!$A$6:$CA$38,65,0)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MVTOCT24!I35-E35+L35</f>
        <v>309000</v>
      </c>
      <c r="G35" s="5">
        <f>IF(MVTOCT24!I35+L35&gt;700000,(MVTOCT24!I35-E35+L35),0)</f>
        <v>0</v>
      </c>
      <c r="H35" s="36">
        <f t="shared" si="0"/>
        <v>0</v>
      </c>
      <c r="I35" s="6">
        <f t="shared" si="2"/>
        <v>309000</v>
      </c>
      <c r="J35" s="36">
        <f>VLOOKUP($A35,[24]HISTONOV24!$A$6:$AQ$42,22,0)</f>
        <v>0</v>
      </c>
      <c r="K35" s="36">
        <f>VLOOKUP($A35,[24]HISTONOV24!$A$6:$AU$38,45,0)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VLOOKUP($A35,[24]HISTONOV24!$A$6:$AU$38,7,0)</f>
        <v>3000</v>
      </c>
      <c r="Q35" s="36">
        <f>VLOOKUP($A35,[24]HISTONOV24!$A$6:$AU$38,23,0)</f>
        <v>0</v>
      </c>
      <c r="R35" s="36">
        <f>VLOOKUP($A35,[24]HISTONOV24!$A$6:$AU$38,46,0)</f>
        <v>0</v>
      </c>
      <c r="S35" s="36">
        <f>VLOOKUP($A35,[24]HISTONOV24!$A$6:$AU$38,26,0)</f>
        <v>0</v>
      </c>
      <c r="T35" s="36">
        <f>VLOOKUP($A35,[24]HISTONOV24!$A$6:$BG$38,58,0)</f>
        <v>0</v>
      </c>
      <c r="U35" s="36">
        <f>VLOOKUP($A35,[24]HISTONOV24!$A$6:$AU$38,28,0)</f>
        <v>0</v>
      </c>
      <c r="V35" s="36">
        <f>VLOOKUP($A35,[24]HISTONOV24!$A$6:$AU$38,19,0)</f>
        <v>0</v>
      </c>
      <c r="W35" s="36">
        <f>VLOOKUP($A35,[24]HISTONOV24!$A$6:$AU$38,20,0)</f>
        <v>0</v>
      </c>
      <c r="X35" s="36">
        <f>VLOOKUP($A35,[24]HISTONOV24!$A$6:$AU$38,27,0)</f>
        <v>0</v>
      </c>
      <c r="Y35" s="36">
        <f>VLOOKUP($A35,[24]HISTONOV24!$A$6:$BM$38,33,0)</f>
        <v>0</v>
      </c>
      <c r="Z35" s="36">
        <f>VLOOKUP($A35,[24]HISTONOV24!$A$6:$BM$38,65,0)</f>
        <v>0</v>
      </c>
      <c r="AA35" s="36"/>
      <c r="AB35" s="36">
        <f>VLOOKUP($A35,[24]HISTONOV24!$A$6:$AU$38,43,0)</f>
        <v>0</v>
      </c>
      <c r="AC35" s="36">
        <f>VLOOKUP($A35,[24]HISTONOV24!$A$6:$AU$38,44,0)</f>
        <v>0</v>
      </c>
      <c r="AD35" s="36">
        <f>VLOOKUP($A35,[24]HISTONOV24!$A$6:$AU$38,47,0)</f>
        <v>0</v>
      </c>
      <c r="AE35" s="36">
        <f>VLOOKUP(A35,[24]HISTONOV24!$A$6:$BB$38,54,0)</f>
        <v>0</v>
      </c>
      <c r="AF35" s="36">
        <f>VLOOKUP($A35,[24]HISTONOV24!$A$6:$CA$38,60,0)</f>
        <v>0</v>
      </c>
      <c r="AG35" s="36">
        <f>VLOOKUP($A35,[24]HISTONOV24!$A$6:$CA$38,61,0)</f>
        <v>0</v>
      </c>
      <c r="AH35" s="36">
        <f>VLOOKUP($A35,[24]HISTONOV24!$A$6:$CA$38,62,0)</f>
        <v>0</v>
      </c>
      <c r="AI35" s="36">
        <f>VLOOKUP($A35,[24]HISTONOV24!$A$6:$CA$38,63,0)</f>
        <v>0</v>
      </c>
      <c r="AJ35" s="36">
        <f>VLOOKUP($A35,[24]HISTONOV24!$A$6:$CA$38,64,0)</f>
        <v>0</v>
      </c>
      <c r="AK35" s="36">
        <f>VLOOKUP($A35,[24]HISTONOV24!$A$6:$CA$38,65,0)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MVTOCT24!I36-E36+L36</f>
        <v>994599.08181867818</v>
      </c>
      <c r="G36" s="5">
        <f>IF(MVTOCT24!I36+L36&gt;700000,(MVTOCT24!I36-E36+L36),0)</f>
        <v>994599.08181867818</v>
      </c>
      <c r="H36" s="36">
        <f t="shared" si="0"/>
        <v>0</v>
      </c>
      <c r="I36" s="6">
        <f t="shared" si="2"/>
        <v>994599.08181867818</v>
      </c>
      <c r="J36" s="36">
        <f>VLOOKUP($A36,[24]HISTONOV24!$A$6:$AQ$42,22,0)</f>
        <v>0</v>
      </c>
      <c r="K36" s="36">
        <f>VLOOKUP($A36,[24]HISTONOV24!$A$6:$AU$38,45,0)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VLOOKUP($A36,[24]HISTONOV24!$A$6:$AU$38,7,0)</f>
        <v>0</v>
      </c>
      <c r="Q36" s="36">
        <f>VLOOKUP($A36,[24]HISTONOV24!$A$6:$AU$38,23,0)</f>
        <v>0</v>
      </c>
      <c r="R36" s="36">
        <f>VLOOKUP($A36,[24]HISTONOV24!$A$6:$AU$38,46,0)</f>
        <v>0</v>
      </c>
      <c r="S36" s="36">
        <f>VLOOKUP($A36,[24]HISTONOV24!$A$6:$AU$38,26,0)</f>
        <v>0</v>
      </c>
      <c r="T36" s="36">
        <f>VLOOKUP($A36,[24]HISTONOV24!$A$6:$BG$38,58,0)</f>
        <v>0</v>
      </c>
      <c r="U36" s="36">
        <f>VLOOKUP($A36,[24]HISTONOV24!$A$6:$AU$38,28,0)</f>
        <v>0</v>
      </c>
      <c r="V36" s="36">
        <f>VLOOKUP($A36,[24]HISTONOV24!$A$6:$AU$38,19,0)</f>
        <v>0</v>
      </c>
      <c r="W36" s="36">
        <f>VLOOKUP($A36,[24]HISTONOV24!$A$6:$AU$38,20,0)</f>
        <v>0</v>
      </c>
      <c r="X36" s="36">
        <f>VLOOKUP($A36,[24]HISTONOV24!$A$6:$AU$38,27,0)</f>
        <v>0</v>
      </c>
      <c r="Y36" s="36">
        <f>VLOOKUP($A36,[24]HISTONOV24!$A$6:$BM$38,33,0)</f>
        <v>0</v>
      </c>
      <c r="Z36" s="36">
        <f>VLOOKUP($A36,[24]HISTONOV24!$A$6:$BM$38,65,0)</f>
        <v>0</v>
      </c>
      <c r="AA36" s="36"/>
      <c r="AB36" s="36">
        <f>VLOOKUP($A36,[24]HISTONOV24!$A$6:$AU$38,43,0)</f>
        <v>0</v>
      </c>
      <c r="AC36" s="36">
        <f>VLOOKUP($A36,[24]HISTONOV24!$A$6:$AU$38,44,0)</f>
        <v>0</v>
      </c>
      <c r="AD36" s="36">
        <f>VLOOKUP($A36,[24]HISTONOV24!$A$6:$AU$38,47,0)</f>
        <v>0</v>
      </c>
      <c r="AE36" s="36">
        <f>VLOOKUP(A36,[24]HISTONOV24!$A$6:$BB$38,54,0)</f>
        <v>0</v>
      </c>
      <c r="AF36" s="36">
        <f>VLOOKUP($A36,[24]HISTONOV24!$A$6:$CA$38,60,0)</f>
        <v>0</v>
      </c>
      <c r="AG36" s="36">
        <f>VLOOKUP($A36,[24]HISTONOV24!$A$6:$CA$38,61,0)</f>
        <v>0</v>
      </c>
      <c r="AH36" s="36">
        <f>VLOOKUP($A36,[24]HISTONOV24!$A$6:$CA$38,62,0)</f>
        <v>0</v>
      </c>
      <c r="AI36" s="36">
        <f>VLOOKUP($A36,[24]HISTONOV24!$A$6:$CA$38,63,0)</f>
        <v>0</v>
      </c>
      <c r="AJ36" s="36">
        <f>VLOOKUP($A36,[24]HISTONOV24!$A$6:$CA$38,64,0)</f>
        <v>0</v>
      </c>
      <c r="AK36" s="36">
        <f>VLOOKUP($A36,[24]HISTONOV24!$A$6:$CA$38,65,0)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MVTOCT24!I37-E37+L37</f>
        <v>2027400.7147676253</v>
      </c>
      <c r="G37" s="5">
        <f>IF(MVTOCT24!I37+L37&gt;700000,(MVTOCT24!I37-E37+L37),0)</f>
        <v>2027400.7147676253</v>
      </c>
      <c r="H37" s="36">
        <f t="shared" si="0"/>
        <v>0</v>
      </c>
      <c r="I37" s="6">
        <f t="shared" si="2"/>
        <v>2027400.7147676253</v>
      </c>
      <c r="J37" s="36">
        <f>VLOOKUP($A37,[24]HISTONOV24!$A$6:$AQ$42,22,0)</f>
        <v>0</v>
      </c>
      <c r="K37" s="36">
        <f>VLOOKUP($A37,[24]HISTONOV24!$A$6:$AU$38,45,0)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VLOOKUP($A37,[24]HISTONOV24!$A$6:$AU$38,7,0)</f>
        <v>3000</v>
      </c>
      <c r="Q37" s="36">
        <f>VLOOKUP($A37,[24]HISTONOV24!$A$6:$AU$38,23,0)</f>
        <v>0</v>
      </c>
      <c r="R37" s="36">
        <f>VLOOKUP($A37,[24]HISTONOV24!$A$6:$AU$38,46,0)</f>
        <v>0</v>
      </c>
      <c r="S37" s="36">
        <f>VLOOKUP($A37,[24]HISTONOV24!$A$6:$AU$38,26,0)</f>
        <v>0</v>
      </c>
      <c r="T37" s="36">
        <f>VLOOKUP($A37,[24]HISTONOV24!$A$6:$BG$38,58,0)</f>
        <v>0</v>
      </c>
      <c r="U37" s="36">
        <f>VLOOKUP($A37,[24]HISTONOV24!$A$6:$AU$38,28,0)</f>
        <v>0</v>
      </c>
      <c r="V37" s="36">
        <f>VLOOKUP($A37,[24]HISTONOV24!$A$6:$AU$38,19,0)</f>
        <v>0</v>
      </c>
      <c r="W37" s="36">
        <f>VLOOKUP($A37,[24]HISTONOV24!$A$6:$AU$38,20,0)</f>
        <v>0</v>
      </c>
      <c r="X37" s="36">
        <f>VLOOKUP($A37,[24]HISTONOV24!$A$6:$AU$38,27,0)</f>
        <v>0</v>
      </c>
      <c r="Y37" s="36">
        <f>VLOOKUP($A37,[24]HISTONOV24!$A$6:$BM$38,33,0)</f>
        <v>0</v>
      </c>
      <c r="Z37" s="36">
        <f>VLOOKUP($A37,[24]HISTONOV24!$A$6:$BM$38,65,0)</f>
        <v>0</v>
      </c>
      <c r="AA37" s="36"/>
      <c r="AB37" s="36">
        <f>VLOOKUP($A37,[24]HISTONOV24!$A$6:$AU$38,43,0)</f>
        <v>0</v>
      </c>
      <c r="AC37" s="36">
        <f>VLOOKUP($A37,[24]HISTONOV24!$A$6:$AU$38,44,0)</f>
        <v>0</v>
      </c>
      <c r="AD37" s="36">
        <f>VLOOKUP($A37,[24]HISTONOV24!$A$6:$AU$38,47,0)</f>
        <v>0</v>
      </c>
      <c r="AE37" s="36">
        <f>VLOOKUP(A37,[24]HISTONOV24!$A$6:$BB$38,54,0)</f>
        <v>0</v>
      </c>
      <c r="AF37" s="36">
        <f>VLOOKUP($A37,[24]HISTONOV24!$A$6:$CA$38,60,0)</f>
        <v>0</v>
      </c>
      <c r="AG37" s="36">
        <f>VLOOKUP($A37,[24]HISTONOV24!$A$6:$CA$38,61,0)</f>
        <v>0</v>
      </c>
      <c r="AH37" s="36">
        <f>VLOOKUP($A37,[24]HISTONOV24!$A$6:$CA$38,62,0)</f>
        <v>0</v>
      </c>
      <c r="AI37" s="36">
        <f>VLOOKUP($A37,[24]HISTONOV24!$A$6:$CA$38,63,0)</f>
        <v>0</v>
      </c>
      <c r="AJ37" s="36">
        <f>VLOOKUP($A37,[24]HISTONOV24!$A$6:$CA$38,64,0)</f>
        <v>0</v>
      </c>
      <c r="AK37" s="36">
        <f>VLOOKUP($A37,[24]HISTONOV24!$A$6:$CA$38,65,0)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MVTOCT24!I38-E38+L38</f>
        <v>209000</v>
      </c>
      <c r="G38" s="5">
        <f>IF(MVTOCT24!I38+L38&gt;700000,(MVTOCT24!I38-E38+L38),0)</f>
        <v>0</v>
      </c>
      <c r="H38" s="36">
        <f t="shared" si="0"/>
        <v>0</v>
      </c>
      <c r="I38" s="6">
        <f t="shared" si="2"/>
        <v>209000</v>
      </c>
      <c r="J38" s="36">
        <f>VLOOKUP($A38,[24]HISTONOV24!$A$6:$AQ$42,22,0)</f>
        <v>0</v>
      </c>
      <c r="K38" s="36">
        <f>VLOOKUP($A38,[24]HISTONOV24!$A$6:$AU$38,45,0)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VLOOKUP($A38,[24]HISTONOV24!$A$6:$AU$38,7,0)</f>
        <v>0</v>
      </c>
      <c r="Q38" s="36">
        <f>VLOOKUP($A38,[24]HISTONOV24!$A$6:$AU$38,23,0)</f>
        <v>0</v>
      </c>
      <c r="R38" s="36">
        <f>VLOOKUP($A38,[24]HISTONOV24!$A$6:$AU$38,46,0)</f>
        <v>0</v>
      </c>
      <c r="S38" s="36">
        <f>VLOOKUP($A38,[24]HISTONOV24!$A$6:$AU$38,26,0)</f>
        <v>0</v>
      </c>
      <c r="T38" s="36">
        <f>VLOOKUP($A38,[24]HISTONOV24!$A$6:$BG$38,58,0)</f>
        <v>0</v>
      </c>
      <c r="U38" s="36">
        <f>VLOOKUP($A38,[24]HISTONOV24!$A$6:$AU$38,28,0)</f>
        <v>0</v>
      </c>
      <c r="V38" s="36">
        <f>VLOOKUP($A38,[24]HISTONOV24!$A$6:$AU$38,19,0)</f>
        <v>0</v>
      </c>
      <c r="W38" s="36">
        <f>VLOOKUP($A38,[24]HISTONOV24!$A$6:$AU$38,20,0)</f>
        <v>0</v>
      </c>
      <c r="X38" s="36">
        <f>VLOOKUP($A38,[24]HISTONOV24!$A$6:$AU$38,27,0)</f>
        <v>0</v>
      </c>
      <c r="Y38" s="36">
        <f>VLOOKUP($A38,[24]HISTONOV24!$A$6:$BM$38,33,0)</f>
        <v>0</v>
      </c>
      <c r="Z38" s="36">
        <f>VLOOKUP($A38,[24]HISTONOV24!$A$6:$BM$38,65,0)</f>
        <v>0</v>
      </c>
      <c r="AA38" s="36"/>
      <c r="AB38" s="36">
        <f>VLOOKUP($A38,[24]HISTONOV24!$A$6:$AU$38,43,0)</f>
        <v>0</v>
      </c>
      <c r="AC38" s="36">
        <f>VLOOKUP($A38,[24]HISTONOV24!$A$6:$AU$38,44,0)</f>
        <v>0</v>
      </c>
      <c r="AD38" s="36">
        <f>VLOOKUP($A38,[24]HISTONOV24!$A$6:$AU$38,47,0)</f>
        <v>0</v>
      </c>
      <c r="AE38" s="36">
        <f>VLOOKUP(A38,[24]HISTONOV24!$A$6:$BB$38,54,0)</f>
        <v>0</v>
      </c>
      <c r="AF38" s="36">
        <f>VLOOKUP($A38,[24]HISTONOV24!$A$6:$CA$38,60,0)</f>
        <v>0</v>
      </c>
      <c r="AG38" s="36">
        <f>VLOOKUP($A38,[24]HISTONOV24!$A$6:$CA$38,61,0)</f>
        <v>0</v>
      </c>
      <c r="AH38" s="36">
        <f>VLOOKUP($A38,[24]HISTONOV24!$A$6:$CA$38,62,0)</f>
        <v>0</v>
      </c>
      <c r="AI38" s="36">
        <f>VLOOKUP($A38,[24]HISTONOV24!$A$6:$CA$38,63,0)</f>
        <v>0</v>
      </c>
      <c r="AJ38" s="36">
        <f>VLOOKUP($A38,[24]HISTONOV24!$A$6:$CA$38,64,0)</f>
        <v>0</v>
      </c>
      <c r="AK38" s="36">
        <f>VLOOKUP($A38,[24]HISTONOV24!$A$6:$CA$38,65,0)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MVTOCT24!I39-E39+L39</f>
        <v>2192313.2142100567</v>
      </c>
      <c r="G39" s="5">
        <f>IF(MVTOCT24!I39+L39&gt;700000,(MVTOCT24!I39-E39+L39),0)</f>
        <v>2192313.2142100567</v>
      </c>
      <c r="H39" s="36">
        <f t="shared" si="0"/>
        <v>0</v>
      </c>
      <c r="I39" s="6">
        <f t="shared" si="2"/>
        <v>2192313.2142100567</v>
      </c>
      <c r="J39" s="36">
        <f>VLOOKUP($A39,[24]HISTONOV24!$A$6:$AQ$42,22,0)</f>
        <v>0</v>
      </c>
      <c r="K39" s="36">
        <f>VLOOKUP($A39,[24]HISTONOV24!$A$6:$AU$38,45,0)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VLOOKUP($A39,[24]HISTONOV24!$A$6:$AU$38,7,0)</f>
        <v>0</v>
      </c>
      <c r="Q39" s="36">
        <f>VLOOKUP($A39,[24]HISTONOV24!$A$6:$AU$38,23,0)</f>
        <v>0</v>
      </c>
      <c r="R39" s="36">
        <f>VLOOKUP($A39,[24]HISTONOV24!$A$6:$AU$38,46,0)</f>
        <v>0</v>
      </c>
      <c r="S39" s="36">
        <f>VLOOKUP($A39,[24]HISTONOV24!$A$6:$AU$38,26,0)</f>
        <v>0</v>
      </c>
      <c r="T39" s="36">
        <f>VLOOKUP($A39,[24]HISTONOV24!$A$6:$BG$38,58,0)</f>
        <v>0</v>
      </c>
      <c r="U39" s="36">
        <f>VLOOKUP($A39,[24]HISTONOV24!$A$6:$AU$38,28,0)</f>
        <v>0</v>
      </c>
      <c r="V39" s="36">
        <f>VLOOKUP($A39,[24]HISTONOV24!$A$6:$AU$38,19,0)</f>
        <v>0</v>
      </c>
      <c r="W39" s="36">
        <f>VLOOKUP($A39,[24]HISTONOV24!$A$6:$AU$38,20,0)</f>
        <v>0</v>
      </c>
      <c r="X39" s="36">
        <f>VLOOKUP($A39,[24]HISTONOV24!$A$6:$AU$38,27,0)</f>
        <v>0</v>
      </c>
      <c r="Y39" s="36">
        <f>VLOOKUP($A39,[24]HISTONOV24!$A$6:$BM$38,33,0)</f>
        <v>0</v>
      </c>
      <c r="Z39" s="36">
        <f>VLOOKUP($A39,[24]HISTONOV24!$A$6:$BM$38,65,0)</f>
        <v>0</v>
      </c>
      <c r="AA39" s="36"/>
      <c r="AB39" s="36">
        <f>VLOOKUP($A39,[24]HISTONOV24!$A$6:$AU$38,43,0)</f>
        <v>0</v>
      </c>
      <c r="AC39" s="36">
        <f>VLOOKUP($A39,[24]HISTONOV24!$A$6:$AU$38,44,0)</f>
        <v>0</v>
      </c>
      <c r="AD39" s="36">
        <f>VLOOKUP($A39,[24]HISTONOV24!$A$6:$AU$38,47,0)</f>
        <v>0</v>
      </c>
      <c r="AE39" s="36">
        <f>VLOOKUP(A39,[24]HISTONOV24!$A$6:$BB$38,54,0)</f>
        <v>0</v>
      </c>
      <c r="AF39" s="36">
        <f>VLOOKUP($A39,[24]HISTONOV24!$A$6:$CA$38,60,0)</f>
        <v>0</v>
      </c>
      <c r="AG39" s="36">
        <f>VLOOKUP($A39,[24]HISTONOV24!$A$6:$CA$38,61,0)</f>
        <v>0</v>
      </c>
      <c r="AH39" s="36">
        <f>VLOOKUP($A39,[24]HISTONOV24!$A$6:$CA$38,62,0)</f>
        <v>0</v>
      </c>
      <c r="AI39" s="36">
        <f>VLOOKUP($A39,[24]HISTONOV24!$A$6:$CA$38,63,0)</f>
        <v>0</v>
      </c>
      <c r="AJ39" s="36">
        <f>VLOOKUP($A39,[24]HISTONOV24!$A$6:$CA$38,64,0)</f>
        <v>0</v>
      </c>
      <c r="AK39" s="36">
        <f>VLOOKUP($A39,[24]HISTONOV24!$A$6:$CA$38,65,0)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33576656.655274987</v>
      </c>
      <c r="G41" s="9">
        <f t="shared" si="10"/>
        <v>31559439.524547949</v>
      </c>
      <c r="H41" s="36">
        <f t="shared" si="10"/>
        <v>0</v>
      </c>
      <c r="I41" s="9">
        <f t="shared" si="10"/>
        <v>33576656.655274987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I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45613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VLOOKUP($A6,[24]HISTONOV24!$A$6:$BA$38,48,0)</f>
        <v>0</v>
      </c>
      <c r="F6" s="36">
        <f>MVTOCT24!I6-E6+L6</f>
        <v>946220.58968855068</v>
      </c>
      <c r="G6" s="5">
        <f>IF(MVTOCT24!I6+L6&gt;700000,(MVTOCT24!I6-E6+L6),0)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VLOOKUP($A6,[24]HISTONOV24!$A$6:$AQ$42,22,0)</f>
        <v>0</v>
      </c>
      <c r="K6" s="36">
        <f>VLOOKUP($A6,[24]HISTONOV24!$A$6:$AU$38,45,0)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VLOOKUP($A6,[24]HISTONOV24!$A$6:$AU$38,7,0)</f>
        <v>0</v>
      </c>
      <c r="Q6" s="36">
        <f>VLOOKUP($A6,[24]HISTONOV24!$A$6:$AU$38,23,0)</f>
        <v>0</v>
      </c>
      <c r="R6" s="36">
        <f>VLOOKUP($A6,[24]HISTONOV24!$A$6:$AU$38,46,0)</f>
        <v>0</v>
      </c>
      <c r="S6" s="36">
        <f>VLOOKUP($A6,[24]HISTONOV24!$A$6:$AU$38,26,0)</f>
        <v>0</v>
      </c>
      <c r="T6" s="36">
        <f>VLOOKUP($A6,[24]HISTONOV24!$A$6:$BG$38,58,0)</f>
        <v>0</v>
      </c>
      <c r="U6" s="36">
        <f>VLOOKUP($A6,[24]HISTONOV24!$A$6:$AU$38,28,0)</f>
        <v>0</v>
      </c>
      <c r="V6" s="36">
        <f>VLOOKUP($A6,[24]HISTONOV24!$A$6:$AU$38,19,0)</f>
        <v>0</v>
      </c>
      <c r="W6" s="36">
        <f>VLOOKUP($A6,[24]HISTONOV24!$A$6:$AU$38,20,0)</f>
        <v>0</v>
      </c>
      <c r="X6" s="36">
        <f>VLOOKUP($A6,[24]HISTONOV24!$A$6:$AU$38,27,0)</f>
        <v>0</v>
      </c>
      <c r="Y6" s="36">
        <f>VLOOKUP($A6,[24]HISTONOV24!$A$6:$BM$38,33,0)</f>
        <v>0</v>
      </c>
      <c r="Z6" s="36">
        <f>VLOOKUP($A6,[24]HISTONOV24!$A$6:$BM$38,65,0)</f>
        <v>0</v>
      </c>
      <c r="AA6" s="36"/>
      <c r="AB6" s="36">
        <f>VLOOKUP($A6,[24]HISTONOV24!$A$6:$AU$38,43,0)</f>
        <v>0</v>
      </c>
      <c r="AC6" s="36">
        <f>VLOOKUP($A6,[24]HISTONOV24!$A$6:$AU$38,44,0)</f>
        <v>0</v>
      </c>
      <c r="AD6" s="36">
        <f>VLOOKUP($A6,[24]HISTONOV24!$A$6:$AU$38,47,0)</f>
        <v>0</v>
      </c>
      <c r="AE6" s="36">
        <f>VLOOKUP(A6,[24]HISTONOV24!$A$6:$BB$38,54,0)</f>
        <v>0</v>
      </c>
      <c r="AF6" s="36">
        <f>VLOOKUP($A6,[24]HISTONOV24!$A$6:$CA$38,60,0)</f>
        <v>0</v>
      </c>
      <c r="AG6" s="36">
        <f>VLOOKUP($A6,[24]HISTONOV24!$A$6:$CA$38,61,0)</f>
        <v>0</v>
      </c>
      <c r="AH6" s="36">
        <f>VLOOKUP($A6,[24]HISTONOV24!$A$6:$CA$38,62,0)</f>
        <v>0</v>
      </c>
      <c r="AI6" s="36">
        <f>VLOOKUP($A6,[24]HISTONOV24!$A$6:$CA$38,63,0)</f>
        <v>0</v>
      </c>
      <c r="AJ6" s="36">
        <f>VLOOKUP($A6,[24]HISTONOV24!$A$6:$CA$38,64,0)</f>
        <v>0</v>
      </c>
      <c r="AK6" s="36">
        <f>VLOOKUP($A6,[24]HISTONOV24!$A$6:$CA$38,65,0)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VLOOKUP($A7,[24]HISTONOV24!$A$6:$BA$38,48,0)</f>
        <v>0</v>
      </c>
      <c r="F7" s="36">
        <f>MVTOCT24!I7-E7+L7</f>
        <v>909791.19348721951</v>
      </c>
      <c r="G7" s="5">
        <f>IF(MVTOCT24!I7+L7&gt;700000,(MVTOCT24!I7-E7+L7),0)</f>
        <v>909791.19348721951</v>
      </c>
      <c r="H7" s="36">
        <f t="shared" si="0"/>
        <v>0</v>
      </c>
      <c r="I7" s="6">
        <f t="shared" ref="I7:I39" si="2">F7+H7</f>
        <v>909791.19348721951</v>
      </c>
      <c r="J7" s="36">
        <f>VLOOKUP($A7,[24]HISTONOV24!$A$6:$AQ$42,22,0)</f>
        <v>0</v>
      </c>
      <c r="K7" s="36">
        <f>VLOOKUP($A7,[24]HISTONOV24!$A$6:$AU$38,45,0)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VLOOKUP($A7,[24]HISTONOV24!$A$6:$AU$38,7,0)</f>
        <v>3000</v>
      </c>
      <c r="Q7" s="36">
        <f>VLOOKUP($A7,[24]HISTONOV24!$A$6:$AU$38,23,0)</f>
        <v>0</v>
      </c>
      <c r="R7" s="36">
        <f>VLOOKUP($A7,[24]HISTONOV24!$A$6:$AU$38,46,0)</f>
        <v>0</v>
      </c>
      <c r="S7" s="36">
        <f>VLOOKUP($A7,[24]HISTONOV24!$A$6:$AU$38,26,0)</f>
        <v>0</v>
      </c>
      <c r="T7" s="36">
        <f>VLOOKUP($A7,[24]HISTONOV24!$A$6:$BG$38,58,0)</f>
        <v>0</v>
      </c>
      <c r="U7" s="36">
        <f>VLOOKUP($A7,[24]HISTONOV24!$A$6:$AU$38,28,0)</f>
        <v>0</v>
      </c>
      <c r="V7" s="36">
        <f>VLOOKUP($A7,[24]HISTONOV24!$A$6:$AU$38,19,0)</f>
        <v>0</v>
      </c>
      <c r="W7" s="36">
        <f>VLOOKUP($A7,[24]HISTONOV24!$A$6:$AU$38,20,0)</f>
        <v>0</v>
      </c>
      <c r="X7" s="36">
        <f>VLOOKUP($A7,[24]HISTONOV24!$A$6:$AU$38,27,0)</f>
        <v>0</v>
      </c>
      <c r="Y7" s="36">
        <f>VLOOKUP($A7,[24]HISTONOV24!$A$6:$BM$38,33,0)</f>
        <v>0</v>
      </c>
      <c r="Z7" s="36">
        <f>VLOOKUP($A7,[24]HISTONOV24!$A$6:$BM$38,65,0)</f>
        <v>0</v>
      </c>
      <c r="AA7" s="36"/>
      <c r="AB7" s="36">
        <f>VLOOKUP($A7,[24]HISTONOV24!$A$6:$AU$38,43,0)</f>
        <v>0</v>
      </c>
      <c r="AC7" s="36">
        <f>VLOOKUP($A7,[24]HISTONOV24!$A$6:$AU$38,44,0)</f>
        <v>0</v>
      </c>
      <c r="AD7" s="36">
        <f>VLOOKUP($A7,[24]HISTONOV24!$A$6:$AU$38,47,0)</f>
        <v>0</v>
      </c>
      <c r="AE7" s="36">
        <f>VLOOKUP(A7,[24]HISTONOV24!$A$6:$BB$38,54,0)</f>
        <v>0</v>
      </c>
      <c r="AF7" s="36">
        <f>VLOOKUP($A7,[24]HISTONOV24!$A$6:$CA$38,60,0)</f>
        <v>0</v>
      </c>
      <c r="AG7" s="36">
        <f>VLOOKUP($A7,[24]HISTONOV24!$A$6:$CA$38,61,0)</f>
        <v>0</v>
      </c>
      <c r="AH7" s="36">
        <f>VLOOKUP($A7,[24]HISTONOV24!$A$6:$CA$38,62,0)</f>
        <v>0</v>
      </c>
      <c r="AI7" s="36">
        <f>VLOOKUP($A7,[24]HISTONOV24!$A$6:$CA$38,63,0)</f>
        <v>0</v>
      </c>
      <c r="AJ7" s="36">
        <f>VLOOKUP($A7,[24]HISTONOV24!$A$6:$CA$38,64,0)</f>
        <v>0</v>
      </c>
      <c r="AK7" s="36">
        <f>VLOOKUP($A7,[24]HISTONOV24!$A$6:$CA$38,65,0)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VLOOKUP($A8,[24]HISTONOV24!$A$6:$BA$38,48,0)</f>
        <v>0</v>
      </c>
      <c r="F8" s="36">
        <f>MVTOCT24!I8-E8+L8</f>
        <v>953533.31236524263</v>
      </c>
      <c r="G8" s="5">
        <f>IF(MVTOCT24!I8+L8&gt;700000,(MVTOCT24!I8-E8+L8),0)</f>
        <v>953533.31236524263</v>
      </c>
      <c r="H8" s="36">
        <f t="shared" si="0"/>
        <v>0</v>
      </c>
      <c r="I8" s="6">
        <f t="shared" si="2"/>
        <v>953533.31236524263</v>
      </c>
      <c r="J8" s="36">
        <f>VLOOKUP($A8,[24]HISTONOV24!$A$6:$AQ$42,22,0)</f>
        <v>0</v>
      </c>
      <c r="K8" s="36">
        <f>VLOOKUP($A8,[24]HISTONOV24!$A$6:$AU$38,45,0)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VLOOKUP($A8,[24]HISTONOV24!$A$6:$AU$38,7,0)</f>
        <v>0</v>
      </c>
      <c r="Q8" s="36">
        <f>VLOOKUP($A8,[24]HISTONOV24!$A$6:$AU$38,23,0)</f>
        <v>0</v>
      </c>
      <c r="R8" s="36">
        <f>VLOOKUP($A8,[24]HISTONOV24!$A$6:$AU$38,46,0)</f>
        <v>0</v>
      </c>
      <c r="S8" s="36">
        <f>VLOOKUP($A8,[24]HISTONOV24!$A$6:$AU$38,26,0)</f>
        <v>0</v>
      </c>
      <c r="T8" s="36">
        <f>VLOOKUP($A8,[24]HISTONOV24!$A$6:$BG$38,58,0)</f>
        <v>0</v>
      </c>
      <c r="U8" s="36">
        <f>VLOOKUP($A8,[24]HISTONOV24!$A$6:$AU$38,28,0)</f>
        <v>0</v>
      </c>
      <c r="V8" s="36">
        <f>VLOOKUP($A8,[24]HISTONOV24!$A$6:$AU$38,19,0)</f>
        <v>0</v>
      </c>
      <c r="W8" s="36">
        <f>VLOOKUP($A8,[24]HISTONOV24!$A$6:$AU$38,20,0)</f>
        <v>0</v>
      </c>
      <c r="X8" s="36">
        <f>VLOOKUP($A8,[24]HISTONOV24!$A$6:$AU$38,27,0)</f>
        <v>0</v>
      </c>
      <c r="Y8" s="36">
        <f>VLOOKUP($A8,[24]HISTONOV24!$A$6:$BM$38,33,0)</f>
        <v>0</v>
      </c>
      <c r="Z8" s="36">
        <f>VLOOKUP($A8,[24]HISTONOV24!$A$6:$BM$38,65,0)</f>
        <v>0</v>
      </c>
      <c r="AA8" s="36"/>
      <c r="AB8" s="36">
        <f>VLOOKUP($A8,[24]HISTONOV24!$A$6:$AU$38,43,0)</f>
        <v>0</v>
      </c>
      <c r="AC8" s="36">
        <f>VLOOKUP($A8,[24]HISTONOV24!$A$6:$AU$38,44,0)</f>
        <v>0</v>
      </c>
      <c r="AD8" s="36">
        <f>VLOOKUP($A8,[24]HISTONOV24!$A$6:$AU$38,47,0)</f>
        <v>0</v>
      </c>
      <c r="AE8" s="36">
        <f>VLOOKUP(A8,[24]HISTONOV24!$A$6:$BB$38,54,0)</f>
        <v>0</v>
      </c>
      <c r="AF8" s="36">
        <f>VLOOKUP($A8,[24]HISTONOV24!$A$6:$CA$38,60,0)</f>
        <v>0</v>
      </c>
      <c r="AG8" s="36">
        <f>VLOOKUP($A8,[24]HISTONOV24!$A$6:$CA$38,61,0)</f>
        <v>0</v>
      </c>
      <c r="AH8" s="36">
        <f>VLOOKUP($A8,[24]HISTONOV24!$A$6:$CA$38,62,0)</f>
        <v>0</v>
      </c>
      <c r="AI8" s="36">
        <f>VLOOKUP($A8,[24]HISTONOV24!$A$6:$CA$38,63,0)</f>
        <v>0</v>
      </c>
      <c r="AJ8" s="36">
        <f>VLOOKUP($A8,[24]HISTONOV24!$A$6:$CA$38,64,0)</f>
        <v>0</v>
      </c>
      <c r="AK8" s="36">
        <f>VLOOKUP($A8,[24]HISTONOV24!$A$6:$CA$38,65,0)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VLOOKUP($A9,[24]HISTONOV24!$A$6:$BA$38,48,0)</f>
        <v>0</v>
      </c>
      <c r="F9" s="36">
        <f>MVTOCT24!I9-E9+L9</f>
        <v>1010962.0068681776</v>
      </c>
      <c r="G9" s="5">
        <f>IF(MVTOCT24!I9+L9&gt;700000,(MVTOCT24!I9-E9+L9),0)</f>
        <v>1010962.0068681776</v>
      </c>
      <c r="H9" s="36">
        <f t="shared" si="0"/>
        <v>0</v>
      </c>
      <c r="I9" s="6">
        <f t="shared" si="2"/>
        <v>1010962.0068681776</v>
      </c>
      <c r="J9" s="36">
        <f>VLOOKUP($A9,[24]HISTONOV24!$A$6:$AQ$42,22,0)</f>
        <v>0</v>
      </c>
      <c r="K9" s="36">
        <f>VLOOKUP($A9,[24]HISTONOV24!$A$6:$AU$38,45,0)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VLOOKUP($A9,[24]HISTONOV24!$A$6:$AU$38,7,0)</f>
        <v>0</v>
      </c>
      <c r="Q9" s="36">
        <f>VLOOKUP($A9,[24]HISTONOV24!$A$6:$AU$38,23,0)</f>
        <v>0</v>
      </c>
      <c r="R9" s="36">
        <f>VLOOKUP($A9,[24]HISTONOV24!$A$6:$AU$38,46,0)</f>
        <v>0</v>
      </c>
      <c r="S9" s="36">
        <f>VLOOKUP($A9,[24]HISTONOV24!$A$6:$AU$38,26,0)</f>
        <v>0</v>
      </c>
      <c r="T9" s="36">
        <f>VLOOKUP($A9,[24]HISTONOV24!$A$6:$BG$38,58,0)</f>
        <v>0</v>
      </c>
      <c r="U9" s="36">
        <f>VLOOKUP($A9,[24]HISTONOV24!$A$6:$AU$38,28,0)</f>
        <v>0</v>
      </c>
      <c r="V9" s="36">
        <f>VLOOKUP($A9,[24]HISTONOV24!$A$6:$AU$38,19,0)</f>
        <v>0</v>
      </c>
      <c r="W9" s="36">
        <f>VLOOKUP($A9,[24]HISTONOV24!$A$6:$AU$38,20,0)</f>
        <v>0</v>
      </c>
      <c r="X9" s="36">
        <f>VLOOKUP($A9,[24]HISTONOV24!$A$6:$AU$38,27,0)</f>
        <v>0</v>
      </c>
      <c r="Y9" s="36">
        <f>VLOOKUP($A9,[24]HISTONOV24!$A$6:$BM$38,33,0)</f>
        <v>0</v>
      </c>
      <c r="Z9" s="36">
        <f>VLOOKUP($A9,[24]HISTONOV24!$A$6:$BM$38,65,0)</f>
        <v>0</v>
      </c>
      <c r="AA9" s="36"/>
      <c r="AB9" s="36">
        <f>VLOOKUP($A9,[24]HISTONOV24!$A$6:$AU$38,43,0)</f>
        <v>0</v>
      </c>
      <c r="AC9" s="36">
        <f>VLOOKUP($A9,[24]HISTONOV24!$A$6:$AU$38,44,0)</f>
        <v>0</v>
      </c>
      <c r="AD9" s="36">
        <f>VLOOKUP($A9,[24]HISTONOV24!$A$6:$AU$38,47,0)</f>
        <v>0</v>
      </c>
      <c r="AE9" s="36">
        <f>VLOOKUP(A9,[24]HISTONOV24!$A$6:$BB$38,54,0)</f>
        <v>0</v>
      </c>
      <c r="AF9" s="36">
        <f>VLOOKUP($A9,[24]HISTONOV24!$A$6:$CA$38,60,0)</f>
        <v>0</v>
      </c>
      <c r="AG9" s="36">
        <f>VLOOKUP($A9,[24]HISTONOV24!$A$6:$CA$38,61,0)</f>
        <v>0</v>
      </c>
      <c r="AH9" s="36">
        <f>VLOOKUP($A9,[24]HISTONOV24!$A$6:$CA$38,62,0)</f>
        <v>0</v>
      </c>
      <c r="AI9" s="36">
        <f>VLOOKUP($A9,[24]HISTONOV24!$A$6:$CA$38,63,0)</f>
        <v>0</v>
      </c>
      <c r="AJ9" s="36">
        <f>VLOOKUP($A9,[24]HISTONOV24!$A$6:$CA$38,64,0)</f>
        <v>0</v>
      </c>
      <c r="AK9" s="36">
        <f>VLOOKUP($A9,[24]HISTONOV24!$A$6:$CA$38,65,0)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VLOOKUP($A10,[24]HISTONOV24!$A$6:$BA$38,48,0)</f>
        <v>0</v>
      </c>
      <c r="F10" s="36">
        <f>MVTOCT24!I10-E10+L10</f>
        <v>950805.20622596238</v>
      </c>
      <c r="G10" s="5">
        <f>IF(MVTOCT24!I10+L10&gt;700000,(MVTOCT24!I10-E10+L10),0)</f>
        <v>950805.20622596238</v>
      </c>
      <c r="H10" s="36">
        <f t="shared" si="0"/>
        <v>0</v>
      </c>
      <c r="I10" s="6">
        <f t="shared" si="2"/>
        <v>950805.20622596238</v>
      </c>
      <c r="J10" s="36">
        <f>VLOOKUP($A10,[24]HISTONOV24!$A$6:$AQ$42,22,0)</f>
        <v>0</v>
      </c>
      <c r="K10" s="36">
        <f>VLOOKUP($A10,[24]HISTONOV24!$A$6:$AU$38,45,0)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VLOOKUP($A10,[24]HISTONOV24!$A$6:$AU$38,7,0)</f>
        <v>0</v>
      </c>
      <c r="Q10" s="36">
        <f>VLOOKUP($A10,[24]HISTONOV24!$A$6:$AU$38,23,0)</f>
        <v>0</v>
      </c>
      <c r="R10" s="36">
        <f>VLOOKUP($A10,[24]HISTONOV24!$A$6:$AU$38,46,0)</f>
        <v>0</v>
      </c>
      <c r="S10" s="36">
        <f>VLOOKUP($A10,[24]HISTONOV24!$A$6:$AU$38,26,0)</f>
        <v>0</v>
      </c>
      <c r="T10" s="36">
        <f>VLOOKUP($A10,[24]HISTONOV24!$A$6:$BG$38,58,0)</f>
        <v>0</v>
      </c>
      <c r="U10" s="36">
        <f>VLOOKUP($A10,[24]HISTONOV24!$A$6:$AU$38,28,0)</f>
        <v>0</v>
      </c>
      <c r="V10" s="36">
        <f>VLOOKUP($A10,[24]HISTONOV24!$A$6:$AU$38,19,0)</f>
        <v>0</v>
      </c>
      <c r="W10" s="36">
        <f>VLOOKUP($A10,[24]HISTONOV24!$A$6:$AU$38,20,0)</f>
        <v>0</v>
      </c>
      <c r="X10" s="36">
        <f>VLOOKUP($A10,[24]HISTONOV24!$A$6:$AU$38,27,0)</f>
        <v>0</v>
      </c>
      <c r="Y10" s="36">
        <f>VLOOKUP($A10,[24]HISTONOV24!$A$6:$BM$38,33,0)</f>
        <v>0</v>
      </c>
      <c r="Z10" s="36">
        <f>VLOOKUP($A10,[24]HISTONOV24!$A$6:$BM$38,65,0)</f>
        <v>0</v>
      </c>
      <c r="AA10" s="36"/>
      <c r="AB10" s="36">
        <f>VLOOKUP($A10,[24]HISTONOV24!$A$6:$AU$38,43,0)</f>
        <v>0</v>
      </c>
      <c r="AC10" s="36">
        <f>VLOOKUP($A10,[24]HISTONOV24!$A$6:$AU$38,44,0)</f>
        <v>0</v>
      </c>
      <c r="AD10" s="36">
        <f>VLOOKUP($A10,[24]HISTONOV24!$A$6:$AU$38,47,0)</f>
        <v>0</v>
      </c>
      <c r="AE10" s="36">
        <f>VLOOKUP(A10,[24]HISTONOV24!$A$6:$BB$38,54,0)</f>
        <v>0</v>
      </c>
      <c r="AF10" s="36">
        <f>VLOOKUP($A10,[24]HISTONOV24!$A$6:$CA$38,60,0)</f>
        <v>0</v>
      </c>
      <c r="AG10" s="36">
        <f>VLOOKUP($A10,[24]HISTONOV24!$A$6:$CA$38,61,0)</f>
        <v>0</v>
      </c>
      <c r="AH10" s="36">
        <f>VLOOKUP($A10,[24]HISTONOV24!$A$6:$CA$38,62,0)</f>
        <v>0</v>
      </c>
      <c r="AI10" s="36">
        <f>VLOOKUP($A10,[24]HISTONOV24!$A$6:$CA$38,63,0)</f>
        <v>0</v>
      </c>
      <c r="AJ10" s="36">
        <f>VLOOKUP($A10,[24]HISTONOV24!$A$6:$CA$38,64,0)</f>
        <v>0</v>
      </c>
      <c r="AK10" s="36">
        <f>VLOOKUP($A10,[24]HISTONOV24!$A$6:$CA$38,65,0)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VLOOKUP($A11,[24]HISTONOV24!$A$6:$BA$38,48,0)</f>
        <v>0</v>
      </c>
      <c r="F11" s="36">
        <f>MVTOCT24!I11-E11+L11</f>
        <v>968855.82895949238</v>
      </c>
      <c r="G11" s="5">
        <f>IF(MVTOCT24!I11+L11&gt;700000,(MVTOCT24!I11-E11+L11),0)</f>
        <v>968855.82895949238</v>
      </c>
      <c r="H11" s="36">
        <f t="shared" si="0"/>
        <v>0</v>
      </c>
      <c r="I11" s="6">
        <f t="shared" si="2"/>
        <v>968855.82895949238</v>
      </c>
      <c r="J11" s="36">
        <f>VLOOKUP($A11,[24]HISTONOV24!$A$6:$AQ$42,22,0)</f>
        <v>0</v>
      </c>
      <c r="K11" s="36">
        <f>VLOOKUP($A11,[24]HISTONOV24!$A$6:$AU$38,45,0)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VLOOKUP($A11,[24]HISTONOV24!$A$6:$AU$38,7,0)</f>
        <v>0</v>
      </c>
      <c r="Q11" s="36">
        <f>VLOOKUP($A11,[24]HISTONOV24!$A$6:$AU$38,23,0)</f>
        <v>0</v>
      </c>
      <c r="R11" s="36">
        <f>VLOOKUP($A11,[24]HISTONOV24!$A$6:$AU$38,46,0)</f>
        <v>0</v>
      </c>
      <c r="S11" s="36">
        <f>VLOOKUP($A11,[24]HISTONOV24!$A$6:$AU$38,26,0)</f>
        <v>0</v>
      </c>
      <c r="T11" s="36">
        <f>VLOOKUP($A11,[24]HISTONOV24!$A$6:$BG$38,58,0)</f>
        <v>0</v>
      </c>
      <c r="U11" s="36">
        <f>VLOOKUP($A11,[24]HISTONOV24!$A$6:$AU$38,28,0)</f>
        <v>0</v>
      </c>
      <c r="V11" s="36">
        <f>VLOOKUP($A11,[24]HISTONOV24!$A$6:$AU$38,19,0)</f>
        <v>0</v>
      </c>
      <c r="W11" s="36">
        <f>VLOOKUP($A11,[24]HISTONOV24!$A$6:$AU$38,20,0)</f>
        <v>0</v>
      </c>
      <c r="X11" s="36">
        <f>VLOOKUP($A11,[24]HISTONOV24!$A$6:$AU$38,27,0)</f>
        <v>0</v>
      </c>
      <c r="Y11" s="36">
        <f>VLOOKUP($A11,[24]HISTONOV24!$A$6:$BM$38,33,0)</f>
        <v>0</v>
      </c>
      <c r="Z11" s="36">
        <f>VLOOKUP($A11,[24]HISTONOV24!$A$6:$BM$38,65,0)</f>
        <v>0</v>
      </c>
      <c r="AA11" s="36"/>
      <c r="AB11" s="36">
        <f>VLOOKUP($A11,[24]HISTONOV24!$A$6:$AU$38,43,0)</f>
        <v>0</v>
      </c>
      <c r="AC11" s="36">
        <f>VLOOKUP($A11,[24]HISTONOV24!$A$6:$AU$38,44,0)</f>
        <v>0</v>
      </c>
      <c r="AD11" s="36">
        <f>VLOOKUP($A11,[24]HISTONOV24!$A$6:$AU$38,47,0)</f>
        <v>0</v>
      </c>
      <c r="AE11" s="36">
        <f>VLOOKUP(A11,[24]HISTONOV24!$A$6:$BB$38,54,0)</f>
        <v>0</v>
      </c>
      <c r="AF11" s="36">
        <f>VLOOKUP($A11,[24]HISTONOV24!$A$6:$CA$38,60,0)</f>
        <v>0</v>
      </c>
      <c r="AG11" s="36">
        <f>VLOOKUP($A11,[24]HISTONOV24!$A$6:$CA$38,61,0)</f>
        <v>0</v>
      </c>
      <c r="AH11" s="36">
        <f>VLOOKUP($A11,[24]HISTONOV24!$A$6:$CA$38,62,0)</f>
        <v>0</v>
      </c>
      <c r="AI11" s="36">
        <f>VLOOKUP($A11,[24]HISTONOV24!$A$6:$CA$38,63,0)</f>
        <v>0</v>
      </c>
      <c r="AJ11" s="36">
        <f>VLOOKUP($A11,[24]HISTONOV24!$A$6:$CA$38,64,0)</f>
        <v>0</v>
      </c>
      <c r="AK11" s="36">
        <f>VLOOKUP($A11,[24]HISTONOV24!$A$6:$CA$38,65,0)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VLOOKUP($A12,[24]HISTONOV24!$A$6:$BA$38,48,0)</f>
        <v>0</v>
      </c>
      <c r="F12" s="36">
        <f>MVTOCT24!I12-E12+L12</f>
        <v>992100.14741339569</v>
      </c>
      <c r="G12" s="5">
        <f>IF(MVTOCT24!I12+L12&gt;700000,(MVTOCT24!I12-E12+L12),0)</f>
        <v>992100.14741339569</v>
      </c>
      <c r="H12" s="36">
        <f t="shared" si="0"/>
        <v>0</v>
      </c>
      <c r="I12" s="6">
        <f t="shared" si="2"/>
        <v>992100.14741339569</v>
      </c>
      <c r="J12" s="36">
        <f>VLOOKUP($A12,[24]HISTONOV24!$A$6:$AQ$42,22,0)</f>
        <v>0</v>
      </c>
      <c r="K12" s="36">
        <f>VLOOKUP($A12,[24]HISTONOV24!$A$6:$AU$38,45,0)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VLOOKUP($A12,[24]HISTONOV24!$A$6:$AU$38,7,0)</f>
        <v>0</v>
      </c>
      <c r="Q12" s="36">
        <f>VLOOKUP($A12,[24]HISTONOV24!$A$6:$AU$38,23,0)</f>
        <v>0</v>
      </c>
      <c r="R12" s="36">
        <f>VLOOKUP($A12,[24]HISTONOV24!$A$6:$AU$38,46,0)</f>
        <v>0</v>
      </c>
      <c r="S12" s="36">
        <f>VLOOKUP($A12,[24]HISTONOV24!$A$6:$AU$38,26,0)</f>
        <v>0</v>
      </c>
      <c r="T12" s="36">
        <f>VLOOKUP($A12,[24]HISTONOV24!$A$6:$BG$38,58,0)</f>
        <v>0</v>
      </c>
      <c r="U12" s="36">
        <f>VLOOKUP($A12,[24]HISTONOV24!$A$6:$AU$38,28,0)</f>
        <v>0</v>
      </c>
      <c r="V12" s="36">
        <f>VLOOKUP($A12,[24]HISTONOV24!$A$6:$AU$38,19,0)</f>
        <v>0</v>
      </c>
      <c r="W12" s="36">
        <f>VLOOKUP($A12,[24]HISTONOV24!$A$6:$AU$38,20,0)</f>
        <v>0</v>
      </c>
      <c r="X12" s="36">
        <f>VLOOKUP($A12,[24]HISTONOV24!$A$6:$AU$38,27,0)</f>
        <v>0</v>
      </c>
      <c r="Y12" s="36">
        <f>VLOOKUP($A12,[24]HISTONOV24!$A$6:$BM$38,33,0)</f>
        <v>0</v>
      </c>
      <c r="Z12" s="36">
        <f>VLOOKUP($A12,[24]HISTONOV24!$A$6:$BM$38,65,0)</f>
        <v>0</v>
      </c>
      <c r="AA12" s="36"/>
      <c r="AB12" s="36">
        <f>VLOOKUP($A12,[24]HISTONOV24!$A$6:$AU$38,43,0)</f>
        <v>0</v>
      </c>
      <c r="AC12" s="36">
        <f>VLOOKUP($A12,[24]HISTONOV24!$A$6:$AU$38,44,0)</f>
        <v>0</v>
      </c>
      <c r="AD12" s="36">
        <f>VLOOKUP($A12,[24]HISTONOV24!$A$6:$AU$38,47,0)</f>
        <v>0</v>
      </c>
      <c r="AE12" s="36">
        <f>VLOOKUP(A12,[24]HISTONOV24!$A$6:$BB$38,54,0)</f>
        <v>0</v>
      </c>
      <c r="AF12" s="36">
        <f>VLOOKUP($A12,[24]HISTONOV24!$A$6:$CA$38,60,0)</f>
        <v>0</v>
      </c>
      <c r="AG12" s="36">
        <f>VLOOKUP($A12,[24]HISTONOV24!$A$6:$CA$38,61,0)</f>
        <v>0</v>
      </c>
      <c r="AH12" s="36">
        <f>VLOOKUP($A12,[24]HISTONOV24!$A$6:$CA$38,62,0)</f>
        <v>0</v>
      </c>
      <c r="AI12" s="36">
        <f>VLOOKUP($A12,[24]HISTONOV24!$A$6:$CA$38,63,0)</f>
        <v>0</v>
      </c>
      <c r="AJ12" s="36">
        <f>VLOOKUP($A12,[24]HISTONOV24!$A$6:$CA$38,64,0)</f>
        <v>0</v>
      </c>
      <c r="AK12" s="36">
        <f>VLOOKUP($A12,[24]HISTONOV24!$A$6:$CA$38,65,0)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VLOOKUP($A13,[24]HISTONOV24!$A$6:$BA$38,48,0)</f>
        <v>0</v>
      </c>
      <c r="F13" s="36">
        <f>MVTOCT24!I13-E13+L13</f>
        <v>956555.14612214814</v>
      </c>
      <c r="G13" s="5">
        <f>IF(MVTOCT24!I13+L13&gt;700000,(MVTOCT24!I13-E13+L13),0)</f>
        <v>956555.14612214814</v>
      </c>
      <c r="H13" s="36">
        <f t="shared" si="0"/>
        <v>0</v>
      </c>
      <c r="I13" s="6">
        <f t="shared" si="2"/>
        <v>956555.14612214814</v>
      </c>
      <c r="J13" s="36">
        <f>VLOOKUP($A13,[24]HISTONOV24!$A$6:$AQ$42,22,0)</f>
        <v>0</v>
      </c>
      <c r="K13" s="36">
        <f>VLOOKUP($A13,[24]HISTONOV24!$A$6:$AU$38,45,0)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VLOOKUP($A13,[24]HISTONOV24!$A$6:$AU$38,7,0)</f>
        <v>0</v>
      </c>
      <c r="Q13" s="36">
        <f>VLOOKUP($A13,[24]HISTONOV24!$A$6:$AU$38,23,0)</f>
        <v>0</v>
      </c>
      <c r="R13" s="36">
        <f>VLOOKUP($A13,[24]HISTONOV24!$A$6:$AU$38,46,0)</f>
        <v>0</v>
      </c>
      <c r="S13" s="36">
        <f>VLOOKUP($A13,[24]HISTONOV24!$A$6:$AU$38,26,0)</f>
        <v>0</v>
      </c>
      <c r="T13" s="36">
        <f>VLOOKUP($A13,[24]HISTONOV24!$A$6:$BG$38,58,0)</f>
        <v>0</v>
      </c>
      <c r="U13" s="36">
        <f>VLOOKUP($A13,[24]HISTONOV24!$A$6:$AU$38,28,0)</f>
        <v>0</v>
      </c>
      <c r="V13" s="36">
        <f>VLOOKUP($A13,[24]HISTONOV24!$A$6:$AU$38,19,0)</f>
        <v>0</v>
      </c>
      <c r="W13" s="36">
        <f>VLOOKUP($A13,[24]HISTONOV24!$A$6:$AU$38,20,0)</f>
        <v>0</v>
      </c>
      <c r="X13" s="36">
        <f>VLOOKUP($A13,[24]HISTONOV24!$A$6:$AU$38,27,0)</f>
        <v>0</v>
      </c>
      <c r="Y13" s="36">
        <f>VLOOKUP($A13,[24]HISTONOV24!$A$6:$BM$38,33,0)</f>
        <v>0</v>
      </c>
      <c r="Z13" s="36">
        <f>VLOOKUP($A13,[24]HISTONOV24!$A$6:$BM$38,65,0)</f>
        <v>0</v>
      </c>
      <c r="AA13" s="36"/>
      <c r="AB13" s="36">
        <f>VLOOKUP($A13,[24]HISTONOV24!$A$6:$AU$38,43,0)</f>
        <v>0</v>
      </c>
      <c r="AC13" s="36">
        <f>VLOOKUP($A13,[24]HISTONOV24!$A$6:$AU$38,44,0)</f>
        <v>0</v>
      </c>
      <c r="AD13" s="36">
        <f>VLOOKUP($A13,[24]HISTONOV24!$A$6:$AU$38,47,0)</f>
        <v>0</v>
      </c>
      <c r="AE13" s="36">
        <f>VLOOKUP(A13,[24]HISTONOV24!$A$6:$BB$38,54,0)</f>
        <v>0</v>
      </c>
      <c r="AF13" s="36">
        <f>VLOOKUP($A13,[24]HISTONOV24!$A$6:$CA$38,60,0)</f>
        <v>0</v>
      </c>
      <c r="AG13" s="36">
        <f>VLOOKUP($A13,[24]HISTONOV24!$A$6:$CA$38,61,0)</f>
        <v>0</v>
      </c>
      <c r="AH13" s="36">
        <f>VLOOKUP($A13,[24]HISTONOV24!$A$6:$CA$38,62,0)</f>
        <v>0</v>
      </c>
      <c r="AI13" s="36">
        <f>VLOOKUP($A13,[24]HISTONOV24!$A$6:$CA$38,63,0)</f>
        <v>0</v>
      </c>
      <c r="AJ13" s="36">
        <f>VLOOKUP($A13,[24]HISTONOV24!$A$6:$CA$38,64,0)</f>
        <v>0</v>
      </c>
      <c r="AK13" s="36">
        <f>VLOOKUP($A13,[24]HISTONOV24!$A$6:$CA$38,65,0)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VLOOKUP($A14,[24]HISTONOV24!$A$6:$BA$38,48,0)</f>
        <v>0</v>
      </c>
      <c r="F14" s="36">
        <f>MVTOCT24!I14-E14+L14</f>
        <v>1509425.9823482623</v>
      </c>
      <c r="G14" s="5">
        <f>IF(MVTOCT24!I14+L14&gt;700000,(MVTOCT24!I14-E14+L14),0)</f>
        <v>1509425.9823482623</v>
      </c>
      <c r="H14" s="36">
        <f t="shared" si="0"/>
        <v>0</v>
      </c>
      <c r="I14" s="6">
        <f t="shared" si="2"/>
        <v>1509425.9823482623</v>
      </c>
      <c r="J14" s="36">
        <f>VLOOKUP($A14,[24]HISTONOV24!$A$6:$AQ$42,22,0)</f>
        <v>0</v>
      </c>
      <c r="K14" s="36">
        <f>VLOOKUP($A14,[24]HISTONOV24!$A$6:$AU$38,45,0)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VLOOKUP($A14,[24]HISTONOV24!$A$6:$AU$38,7,0)</f>
        <v>0</v>
      </c>
      <c r="Q14" s="36">
        <f>VLOOKUP($A14,[24]HISTONOV24!$A$6:$AU$38,23,0)</f>
        <v>0</v>
      </c>
      <c r="R14" s="36">
        <f>VLOOKUP($A14,[24]HISTONOV24!$A$6:$AU$38,46,0)</f>
        <v>0</v>
      </c>
      <c r="S14" s="36">
        <f>VLOOKUP($A14,[24]HISTONOV24!$A$6:$AU$38,26,0)</f>
        <v>0</v>
      </c>
      <c r="T14" s="36">
        <f>VLOOKUP($A14,[24]HISTONOV24!$A$6:$BG$38,58,0)</f>
        <v>0</v>
      </c>
      <c r="U14" s="36">
        <f>VLOOKUP($A14,[24]HISTONOV24!$A$6:$AU$38,28,0)</f>
        <v>0</v>
      </c>
      <c r="V14" s="36">
        <f>VLOOKUP($A14,[24]HISTONOV24!$A$6:$AU$38,19,0)</f>
        <v>0</v>
      </c>
      <c r="W14" s="36">
        <f>VLOOKUP($A14,[24]HISTONOV24!$A$6:$AU$38,20,0)</f>
        <v>0</v>
      </c>
      <c r="X14" s="36">
        <f>VLOOKUP($A14,[24]HISTONOV24!$A$6:$AU$38,27,0)</f>
        <v>0</v>
      </c>
      <c r="Y14" s="36">
        <f>VLOOKUP($A14,[24]HISTONOV24!$A$6:$BM$38,33,0)</f>
        <v>0</v>
      </c>
      <c r="Z14" s="36">
        <f>VLOOKUP($A14,[24]HISTONOV24!$A$6:$BM$38,65,0)</f>
        <v>0</v>
      </c>
      <c r="AA14" s="36"/>
      <c r="AB14" s="36">
        <f>VLOOKUP($A14,[24]HISTONOV24!$A$6:$AU$38,43,0)</f>
        <v>0</v>
      </c>
      <c r="AC14" s="36">
        <f>VLOOKUP($A14,[24]HISTONOV24!$A$6:$AU$38,44,0)</f>
        <v>0</v>
      </c>
      <c r="AD14" s="36">
        <f>VLOOKUP($A14,[24]HISTONOV24!$A$6:$AU$38,47,0)</f>
        <v>0</v>
      </c>
      <c r="AE14" s="36">
        <f>VLOOKUP(A14,[24]HISTONOV24!$A$6:$BB$38,54,0)</f>
        <v>0</v>
      </c>
      <c r="AF14" s="36">
        <f>VLOOKUP($A14,[24]HISTONOV24!$A$6:$CA$38,60,0)</f>
        <v>0</v>
      </c>
      <c r="AG14" s="36">
        <f>VLOOKUP($A14,[24]HISTONOV24!$A$6:$CA$38,61,0)</f>
        <v>0</v>
      </c>
      <c r="AH14" s="36">
        <f>VLOOKUP($A14,[24]HISTONOV24!$A$6:$CA$38,62,0)</f>
        <v>0</v>
      </c>
      <c r="AI14" s="36">
        <f>VLOOKUP($A14,[24]HISTONOV24!$A$6:$CA$38,63,0)</f>
        <v>0</v>
      </c>
      <c r="AJ14" s="36">
        <f>VLOOKUP($A14,[24]HISTONOV24!$A$6:$CA$38,64,0)</f>
        <v>0</v>
      </c>
      <c r="AK14" s="36">
        <f>VLOOKUP($A14,[24]HISTONOV24!$A$6:$CA$38,65,0)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VLOOKUP($A15,[24]HISTONOV24!$A$6:$BA$38,48,0)</f>
        <v>0</v>
      </c>
      <c r="F15" s="36">
        <f>MVTOCT24!I15-E15+L15</f>
        <v>1018309.6215381094</v>
      </c>
      <c r="G15" s="5">
        <f>IF(MVTOCT24!I15+L15&gt;700000,(MVTOCT24!I15-E15+L15),0)</f>
        <v>1018309.6215381094</v>
      </c>
      <c r="H15" s="36">
        <f t="shared" si="0"/>
        <v>0</v>
      </c>
      <c r="I15" s="6">
        <f t="shared" si="2"/>
        <v>1018309.6215381094</v>
      </c>
      <c r="J15" s="36">
        <f>VLOOKUP($A15,[24]HISTONOV24!$A$6:$AQ$42,22,0)</f>
        <v>0</v>
      </c>
      <c r="K15" s="36">
        <f>VLOOKUP($A15,[24]HISTONOV24!$A$6:$AU$38,45,0)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VLOOKUP($A15,[24]HISTONOV24!$A$6:$AU$38,7,0)</f>
        <v>0</v>
      </c>
      <c r="Q15" s="36">
        <f>VLOOKUP($A15,[24]HISTONOV24!$A$6:$AU$38,23,0)</f>
        <v>0</v>
      </c>
      <c r="R15" s="36">
        <f>VLOOKUP($A15,[24]HISTONOV24!$A$6:$AU$38,46,0)</f>
        <v>0</v>
      </c>
      <c r="S15" s="36">
        <f>VLOOKUP($A15,[24]HISTONOV24!$A$6:$AU$38,26,0)</f>
        <v>0</v>
      </c>
      <c r="T15" s="36">
        <f>VLOOKUP($A15,[24]HISTONOV24!$A$6:$BG$38,58,0)</f>
        <v>0</v>
      </c>
      <c r="U15" s="36">
        <f>VLOOKUP($A15,[24]HISTONOV24!$A$6:$AU$38,28,0)</f>
        <v>0</v>
      </c>
      <c r="V15" s="36">
        <f>VLOOKUP($A15,[24]HISTONOV24!$A$6:$AU$38,19,0)</f>
        <v>0</v>
      </c>
      <c r="W15" s="36">
        <f>VLOOKUP($A15,[24]HISTONOV24!$A$6:$AU$38,20,0)</f>
        <v>0</v>
      </c>
      <c r="X15" s="36">
        <f>VLOOKUP($A15,[24]HISTONOV24!$A$6:$AU$38,27,0)</f>
        <v>0</v>
      </c>
      <c r="Y15" s="36">
        <f>VLOOKUP($A15,[24]HISTONOV24!$A$6:$BM$38,33,0)</f>
        <v>0</v>
      </c>
      <c r="Z15" s="36">
        <f>VLOOKUP($A15,[24]HISTONOV24!$A$6:$BM$38,65,0)</f>
        <v>0</v>
      </c>
      <c r="AA15" s="36"/>
      <c r="AB15" s="36">
        <f>VLOOKUP($A15,[24]HISTONOV24!$A$6:$AU$38,43,0)</f>
        <v>0</v>
      </c>
      <c r="AC15" s="36">
        <f>VLOOKUP($A15,[24]HISTONOV24!$A$6:$AU$38,44,0)</f>
        <v>0</v>
      </c>
      <c r="AD15" s="36">
        <f>VLOOKUP($A15,[24]HISTONOV24!$A$6:$AU$38,47,0)</f>
        <v>0</v>
      </c>
      <c r="AE15" s="36">
        <f>VLOOKUP(A15,[24]HISTONOV24!$A$6:$BB$38,54,0)</f>
        <v>0</v>
      </c>
      <c r="AF15" s="36">
        <f>VLOOKUP($A15,[24]HISTONOV24!$A$6:$CA$38,60,0)</f>
        <v>0</v>
      </c>
      <c r="AG15" s="36">
        <f>VLOOKUP($A15,[24]HISTONOV24!$A$6:$CA$38,61,0)</f>
        <v>0</v>
      </c>
      <c r="AH15" s="36">
        <f>VLOOKUP($A15,[24]HISTONOV24!$A$6:$CA$38,62,0)</f>
        <v>0</v>
      </c>
      <c r="AI15" s="36">
        <f>VLOOKUP($A15,[24]HISTONOV24!$A$6:$CA$38,63,0)</f>
        <v>0</v>
      </c>
      <c r="AJ15" s="36">
        <f>VLOOKUP($A15,[24]HISTONOV24!$A$6:$CA$38,64,0)</f>
        <v>0</v>
      </c>
      <c r="AK15" s="36">
        <f>VLOOKUP($A15,[24]HISTONOV24!$A$6:$CA$38,65,0)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VLOOKUP($A16,[24]HISTONOV24!$A$6:$BA$38,48,0)</f>
        <v>0</v>
      </c>
      <c r="F16" s="36">
        <f>MVTOCT24!I16-E16+L16</f>
        <v>1128858.7065070483</v>
      </c>
      <c r="G16" s="5">
        <f>IF(MVTOCT24!I16+L16&gt;700000,(MVTOCT24!I16-E16+L16),0)</f>
        <v>1128858.7065070483</v>
      </c>
      <c r="H16" s="36">
        <f t="shared" si="0"/>
        <v>0</v>
      </c>
      <c r="I16" s="6">
        <f t="shared" si="2"/>
        <v>1128858.7065070483</v>
      </c>
      <c r="J16" s="36">
        <f>VLOOKUP($A16,[24]HISTONOV24!$A$6:$AQ$42,22,0)</f>
        <v>0</v>
      </c>
      <c r="K16" s="36">
        <f>VLOOKUP($A16,[24]HISTONOV24!$A$6:$AU$38,45,0)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VLOOKUP($A16,[24]HISTONOV24!$A$6:$AU$38,7,0)</f>
        <v>0</v>
      </c>
      <c r="Q16" s="36">
        <f>VLOOKUP($A16,[24]HISTONOV24!$A$6:$AU$38,23,0)</f>
        <v>0</v>
      </c>
      <c r="R16" s="36">
        <f>VLOOKUP($A16,[24]HISTONOV24!$A$6:$AU$38,46,0)</f>
        <v>0</v>
      </c>
      <c r="S16" s="36">
        <f>VLOOKUP($A16,[24]HISTONOV24!$A$6:$AU$38,26,0)</f>
        <v>0</v>
      </c>
      <c r="T16" s="36">
        <f>VLOOKUP($A16,[24]HISTONOV24!$A$6:$BG$38,58,0)</f>
        <v>0</v>
      </c>
      <c r="U16" s="36">
        <f>VLOOKUP($A16,[24]HISTONOV24!$A$6:$AU$38,28,0)</f>
        <v>0</v>
      </c>
      <c r="V16" s="36">
        <f>VLOOKUP($A16,[24]HISTONOV24!$A$6:$AU$38,19,0)</f>
        <v>0</v>
      </c>
      <c r="W16" s="36">
        <f>VLOOKUP($A16,[24]HISTONOV24!$A$6:$AU$38,20,0)</f>
        <v>0</v>
      </c>
      <c r="X16" s="36">
        <f>VLOOKUP($A16,[24]HISTONOV24!$A$6:$AU$38,27,0)</f>
        <v>0</v>
      </c>
      <c r="Y16" s="36">
        <f>VLOOKUP($A16,[24]HISTONOV24!$A$6:$BM$38,33,0)</f>
        <v>0</v>
      </c>
      <c r="Z16" s="36">
        <f>VLOOKUP($A16,[24]HISTONOV24!$A$6:$BM$38,65,0)</f>
        <v>0</v>
      </c>
      <c r="AA16" s="36"/>
      <c r="AB16" s="36">
        <f>VLOOKUP($A16,[24]HISTONOV24!$A$6:$AU$38,43,0)</f>
        <v>0</v>
      </c>
      <c r="AC16" s="36">
        <f>VLOOKUP($A16,[24]HISTONOV24!$A$6:$AU$38,44,0)</f>
        <v>0</v>
      </c>
      <c r="AD16" s="36">
        <f>VLOOKUP($A16,[24]HISTONOV24!$A$6:$AU$38,47,0)</f>
        <v>0</v>
      </c>
      <c r="AE16" s="36">
        <f>VLOOKUP(A16,[24]HISTONOV24!$A$6:$BB$38,54,0)</f>
        <v>0</v>
      </c>
      <c r="AF16" s="36">
        <f>VLOOKUP($A16,[24]HISTONOV24!$A$6:$CA$38,60,0)</f>
        <v>0</v>
      </c>
      <c r="AG16" s="36">
        <f>VLOOKUP($A16,[24]HISTONOV24!$A$6:$CA$38,61,0)</f>
        <v>0</v>
      </c>
      <c r="AH16" s="36">
        <f>VLOOKUP($A16,[24]HISTONOV24!$A$6:$CA$38,62,0)</f>
        <v>0</v>
      </c>
      <c r="AI16" s="36">
        <f>VLOOKUP($A16,[24]HISTONOV24!$A$6:$CA$38,63,0)</f>
        <v>0</v>
      </c>
      <c r="AJ16" s="36">
        <f>VLOOKUP($A16,[24]HISTONOV24!$A$6:$CA$38,64,0)</f>
        <v>0</v>
      </c>
      <c r="AK16" s="36">
        <f>VLOOKUP($A16,[24]HISTONOV24!$A$6:$CA$38,65,0)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VLOOKUP($A17,[24]HISTONOV24!$A$6:$BA$38,48,0)</f>
        <v>0</v>
      </c>
      <c r="F17" s="36">
        <f>MVTOCT24!I17-E17+L17</f>
        <v>966402.7005255461</v>
      </c>
      <c r="G17" s="5">
        <f>IF(MVTOCT24!I17+L17&gt;700000,(MVTOCT24!I17-E17+L17),0)</f>
        <v>966402.7005255461</v>
      </c>
      <c r="H17" s="36">
        <f t="shared" si="0"/>
        <v>0</v>
      </c>
      <c r="I17" s="6">
        <f t="shared" si="2"/>
        <v>966402.7005255461</v>
      </c>
      <c r="J17" s="36">
        <f>VLOOKUP($A17,[24]HISTONOV24!$A$6:$AQ$42,22,0)</f>
        <v>0</v>
      </c>
      <c r="K17" s="36">
        <f>VLOOKUP($A17,[24]HISTONOV24!$A$6:$AU$38,45,0)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VLOOKUP($A17,[24]HISTONOV24!$A$6:$AU$38,7,0)</f>
        <v>0</v>
      </c>
      <c r="Q17" s="36">
        <f>VLOOKUP($A17,[24]HISTONOV24!$A$6:$AU$38,23,0)</f>
        <v>0</v>
      </c>
      <c r="R17" s="36">
        <f>VLOOKUP($A17,[24]HISTONOV24!$A$6:$AU$38,46,0)</f>
        <v>0</v>
      </c>
      <c r="S17" s="36">
        <f>VLOOKUP($A17,[24]HISTONOV24!$A$6:$AU$38,26,0)</f>
        <v>0</v>
      </c>
      <c r="T17" s="36">
        <f>VLOOKUP($A17,[24]HISTONOV24!$A$6:$BG$38,58,0)</f>
        <v>0</v>
      </c>
      <c r="U17" s="36">
        <f>VLOOKUP($A17,[24]HISTONOV24!$A$6:$AU$38,28,0)</f>
        <v>0</v>
      </c>
      <c r="V17" s="36">
        <f>VLOOKUP($A17,[24]HISTONOV24!$A$6:$AU$38,19,0)</f>
        <v>0</v>
      </c>
      <c r="W17" s="36">
        <f>VLOOKUP($A17,[24]HISTONOV24!$A$6:$AU$38,20,0)</f>
        <v>0</v>
      </c>
      <c r="X17" s="36">
        <f>VLOOKUP($A17,[24]HISTONOV24!$A$6:$AU$38,27,0)</f>
        <v>0</v>
      </c>
      <c r="Y17" s="36">
        <f>VLOOKUP($A17,[24]HISTONOV24!$A$6:$BM$38,33,0)</f>
        <v>0</v>
      </c>
      <c r="Z17" s="36">
        <f>VLOOKUP($A17,[24]HISTONOV24!$A$6:$BM$38,65,0)</f>
        <v>0</v>
      </c>
      <c r="AA17" s="36"/>
      <c r="AB17" s="36">
        <f>VLOOKUP($A17,[24]HISTONOV24!$A$6:$AU$38,43,0)</f>
        <v>0</v>
      </c>
      <c r="AC17" s="36">
        <f>VLOOKUP($A17,[24]HISTONOV24!$A$6:$AU$38,44,0)</f>
        <v>0</v>
      </c>
      <c r="AD17" s="36">
        <f>VLOOKUP($A17,[24]HISTONOV24!$A$6:$AU$38,47,0)</f>
        <v>0</v>
      </c>
      <c r="AE17" s="36">
        <f>VLOOKUP(A17,[24]HISTONOV24!$A$6:$BB$38,54,0)</f>
        <v>0</v>
      </c>
      <c r="AF17" s="36">
        <f>VLOOKUP($A17,[24]HISTONOV24!$A$6:$CA$38,60,0)</f>
        <v>0</v>
      </c>
      <c r="AG17" s="36">
        <f>VLOOKUP($A17,[24]HISTONOV24!$A$6:$CA$38,61,0)</f>
        <v>0</v>
      </c>
      <c r="AH17" s="36">
        <f>VLOOKUP($A17,[24]HISTONOV24!$A$6:$CA$38,62,0)</f>
        <v>0</v>
      </c>
      <c r="AI17" s="36">
        <f>VLOOKUP($A17,[24]HISTONOV24!$A$6:$CA$38,63,0)</f>
        <v>0</v>
      </c>
      <c r="AJ17" s="36">
        <f>VLOOKUP($A17,[24]HISTONOV24!$A$6:$CA$38,64,0)</f>
        <v>0</v>
      </c>
      <c r="AK17" s="36">
        <f>VLOOKUP($A17,[24]HISTONOV24!$A$6:$CA$38,65,0)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VLOOKUP($A18,[24]HISTONOV24!$A$6:$BA$38,48,0)</f>
        <v>0</v>
      </c>
      <c r="F18" s="36">
        <f>MVTOCT24!I18-E18+L18</f>
        <v>1012662.7641973695</v>
      </c>
      <c r="G18" s="5">
        <f>IF(MVTOCT24!I18+L18&gt;700000,(MVTOCT24!I18-E18+L18),0)</f>
        <v>1012662.7641973695</v>
      </c>
      <c r="H18" s="36">
        <f t="shared" si="0"/>
        <v>0</v>
      </c>
      <c r="I18" s="6">
        <f t="shared" si="2"/>
        <v>1012662.7641973695</v>
      </c>
      <c r="J18" s="36">
        <f>VLOOKUP($A18,[24]HISTONOV24!$A$6:$AQ$42,22,0)</f>
        <v>0</v>
      </c>
      <c r="K18" s="36">
        <f>VLOOKUP($A18,[24]HISTONOV24!$A$6:$AU$38,45,0)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VLOOKUP($A18,[24]HISTONOV24!$A$6:$AU$38,7,0)</f>
        <v>0</v>
      </c>
      <c r="Q18" s="36">
        <f>VLOOKUP($A18,[24]HISTONOV24!$A$6:$AU$38,23,0)</f>
        <v>0</v>
      </c>
      <c r="R18" s="36">
        <f>VLOOKUP($A18,[24]HISTONOV24!$A$6:$AU$38,46,0)</f>
        <v>0</v>
      </c>
      <c r="S18" s="36">
        <f>VLOOKUP($A18,[24]HISTONOV24!$A$6:$AU$38,26,0)</f>
        <v>0</v>
      </c>
      <c r="T18" s="36">
        <f>VLOOKUP($A18,[24]HISTONOV24!$A$6:$BG$38,58,0)</f>
        <v>0</v>
      </c>
      <c r="U18" s="36">
        <f>VLOOKUP($A18,[24]HISTONOV24!$A$6:$AU$38,28,0)</f>
        <v>0</v>
      </c>
      <c r="V18" s="36">
        <f>VLOOKUP($A18,[24]HISTONOV24!$A$6:$AU$38,19,0)</f>
        <v>0</v>
      </c>
      <c r="W18" s="36">
        <f>VLOOKUP($A18,[24]HISTONOV24!$A$6:$AU$38,20,0)</f>
        <v>0</v>
      </c>
      <c r="X18" s="36">
        <f>VLOOKUP($A18,[24]HISTONOV24!$A$6:$AU$38,27,0)</f>
        <v>0</v>
      </c>
      <c r="Y18" s="36">
        <f>VLOOKUP($A18,[24]HISTONOV24!$A$6:$BM$38,33,0)</f>
        <v>0</v>
      </c>
      <c r="Z18" s="36">
        <f>VLOOKUP($A18,[24]HISTONOV24!$A$6:$BM$38,65,0)</f>
        <v>0</v>
      </c>
      <c r="AA18" s="36"/>
      <c r="AB18" s="36">
        <f>VLOOKUP($A18,[24]HISTONOV24!$A$6:$AU$38,43,0)</f>
        <v>0</v>
      </c>
      <c r="AC18" s="36">
        <f>VLOOKUP($A18,[24]HISTONOV24!$A$6:$AU$38,44,0)</f>
        <v>0</v>
      </c>
      <c r="AD18" s="36">
        <f>VLOOKUP($A18,[24]HISTONOV24!$A$6:$AU$38,47,0)</f>
        <v>0</v>
      </c>
      <c r="AE18" s="36">
        <f>VLOOKUP(A18,[24]HISTONOV24!$A$6:$BB$38,54,0)</f>
        <v>0</v>
      </c>
      <c r="AF18" s="36">
        <f>VLOOKUP($A18,[24]HISTONOV24!$A$6:$CA$38,60,0)</f>
        <v>0</v>
      </c>
      <c r="AG18" s="36">
        <f>VLOOKUP($A18,[24]HISTONOV24!$A$6:$CA$38,61,0)</f>
        <v>0</v>
      </c>
      <c r="AH18" s="36">
        <f>VLOOKUP($A18,[24]HISTONOV24!$A$6:$CA$38,62,0)</f>
        <v>0</v>
      </c>
      <c r="AI18" s="36">
        <f>VLOOKUP($A18,[24]HISTONOV24!$A$6:$CA$38,63,0)</f>
        <v>0</v>
      </c>
      <c r="AJ18" s="36">
        <f>VLOOKUP($A18,[24]HISTONOV24!$A$6:$CA$38,64,0)</f>
        <v>0</v>
      </c>
      <c r="AK18" s="36">
        <f>VLOOKUP($A18,[24]HISTONOV24!$A$6:$CA$38,65,0)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MVTOCT24!I19-E19+L19</f>
        <v>676217.13072703336</v>
      </c>
      <c r="G19" s="5">
        <f>IF(MVTOCT24!I19+L19&gt;700000,(MVTOCT24!I19-E19+L19),0)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MVTOCT24!I20-E20+L20</f>
        <v>209000</v>
      </c>
      <c r="G20" s="5">
        <f>IF(MVTOCT24!I20+L20&gt;700000,(MVTOCT24!I20-E20+L20),0)</f>
        <v>0</v>
      </c>
      <c r="H20" s="36">
        <f t="shared" si="0"/>
        <v>0</v>
      </c>
      <c r="I20" s="6">
        <f t="shared" si="2"/>
        <v>209000</v>
      </c>
      <c r="J20" s="36">
        <f>VLOOKUP($A20,[24]HISTONOV24!$A$6:$AQ$42,22,0)</f>
        <v>0</v>
      </c>
      <c r="K20" s="36">
        <f>VLOOKUP($A20,[24]HISTONOV24!$A$6:$AU$38,45,0)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VLOOKUP($A20,[24]HISTONOV24!$A$6:$AU$38,7,0)</f>
        <v>0</v>
      </c>
      <c r="Q20" s="36">
        <f>VLOOKUP($A20,[24]HISTONOV24!$A$6:$AU$38,23,0)</f>
        <v>0</v>
      </c>
      <c r="R20" s="36">
        <f>VLOOKUP($A20,[24]HISTONOV24!$A$6:$AU$38,46,0)</f>
        <v>0</v>
      </c>
      <c r="S20" s="36">
        <f>VLOOKUP($A20,[24]HISTONOV24!$A$6:$AU$38,26,0)</f>
        <v>0</v>
      </c>
      <c r="T20" s="36">
        <f>VLOOKUP($A20,[24]HISTONOV24!$A$6:$BG$38,58,0)</f>
        <v>0</v>
      </c>
      <c r="U20" s="36">
        <f>VLOOKUP($A20,[24]HISTONOV24!$A$6:$AU$38,28,0)</f>
        <v>0</v>
      </c>
      <c r="V20" s="36">
        <f>VLOOKUP($A20,[24]HISTONOV24!$A$6:$AU$38,19,0)</f>
        <v>0</v>
      </c>
      <c r="W20" s="36">
        <f>VLOOKUP($A20,[24]HISTONOV24!$A$6:$AU$38,20,0)</f>
        <v>0</v>
      </c>
      <c r="X20" s="36">
        <f>VLOOKUP($A20,[24]HISTONOV24!$A$6:$AU$38,27,0)</f>
        <v>0</v>
      </c>
      <c r="Y20" s="36">
        <f>VLOOKUP($A20,[24]HISTONOV24!$A$6:$BM$38,33,0)</f>
        <v>0</v>
      </c>
      <c r="Z20" s="36">
        <f>VLOOKUP($A20,[24]HISTONOV24!$A$6:$BM$38,65,0)</f>
        <v>0</v>
      </c>
      <c r="AA20" s="36"/>
      <c r="AB20" s="36">
        <f>VLOOKUP($A20,[24]HISTONOV24!$A$6:$AU$38,43,0)</f>
        <v>0</v>
      </c>
      <c r="AC20" s="36">
        <f>VLOOKUP($A20,[24]HISTONOV24!$A$6:$AU$38,44,0)</f>
        <v>0</v>
      </c>
      <c r="AD20" s="36">
        <f>VLOOKUP($A20,[24]HISTONOV24!$A$6:$AU$38,47,0)</f>
        <v>0</v>
      </c>
      <c r="AE20" s="36">
        <f>VLOOKUP(A20,[24]HISTONOV24!$A$6:$BB$38,54,0)</f>
        <v>0</v>
      </c>
      <c r="AF20" s="36">
        <f>VLOOKUP($A20,[24]HISTONOV24!$A$6:$CA$38,60,0)</f>
        <v>0</v>
      </c>
      <c r="AG20" s="36">
        <f>VLOOKUP($A20,[24]HISTONOV24!$A$6:$CA$38,61,0)</f>
        <v>0</v>
      </c>
      <c r="AH20" s="36">
        <f>VLOOKUP($A20,[24]HISTONOV24!$A$6:$CA$38,62,0)</f>
        <v>0</v>
      </c>
      <c r="AI20" s="36">
        <f>VLOOKUP($A20,[24]HISTONOV24!$A$6:$CA$38,63,0)</f>
        <v>0</v>
      </c>
      <c r="AJ20" s="36">
        <f>VLOOKUP($A20,[24]HISTONOV24!$A$6:$CA$38,64,0)</f>
        <v>0</v>
      </c>
      <c r="AK20" s="36">
        <f>VLOOKUP($A20,[24]HISTONOV24!$A$6:$CA$38,65,0)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MVTOCT24!I21-E21+L21</f>
        <v>989355.80062958295</v>
      </c>
      <c r="G21" s="5">
        <f>IF(MVTOCT24!I21+L21&gt;700000,(MVTOCT24!I21-E21+L21),0)</f>
        <v>989355.80062958295</v>
      </c>
      <c r="H21" s="36">
        <f t="shared" si="0"/>
        <v>0</v>
      </c>
      <c r="I21" s="6">
        <f t="shared" si="2"/>
        <v>989355.80062958295</v>
      </c>
      <c r="J21" s="36">
        <f>VLOOKUP($A21,[24]HISTONOV24!$A$6:$AQ$42,22,0)</f>
        <v>0</v>
      </c>
      <c r="K21" s="36">
        <f>VLOOKUP($A21,[24]HISTONOV24!$A$6:$AU$38,45,0)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VLOOKUP($A21,[24]HISTONOV24!$A$6:$AU$38,7,0)</f>
        <v>0</v>
      </c>
      <c r="Q21" s="36">
        <f>VLOOKUP($A21,[24]HISTONOV24!$A$6:$AU$38,23,0)</f>
        <v>0</v>
      </c>
      <c r="R21" s="36">
        <f>VLOOKUP($A21,[24]HISTONOV24!$A$6:$AU$38,46,0)</f>
        <v>0</v>
      </c>
      <c r="S21" s="36">
        <f>VLOOKUP($A21,[24]HISTONOV24!$A$6:$AU$38,26,0)</f>
        <v>0</v>
      </c>
      <c r="T21" s="36">
        <f>VLOOKUP($A21,[24]HISTONOV24!$A$6:$BG$38,58,0)</f>
        <v>0</v>
      </c>
      <c r="U21" s="36">
        <f>VLOOKUP($A21,[24]HISTONOV24!$A$6:$AU$38,28,0)</f>
        <v>0</v>
      </c>
      <c r="V21" s="36">
        <f>VLOOKUP($A21,[24]HISTONOV24!$A$6:$AU$38,19,0)</f>
        <v>0</v>
      </c>
      <c r="W21" s="36">
        <f>VLOOKUP($A21,[24]HISTONOV24!$A$6:$AU$38,20,0)</f>
        <v>0</v>
      </c>
      <c r="X21" s="36">
        <f>VLOOKUP($A21,[24]HISTONOV24!$A$6:$AU$38,27,0)</f>
        <v>0</v>
      </c>
      <c r="Y21" s="36">
        <f>VLOOKUP($A21,[24]HISTONOV24!$A$6:$BM$38,33,0)</f>
        <v>0</v>
      </c>
      <c r="Z21" s="36">
        <f>VLOOKUP($A21,[24]HISTONOV24!$A$6:$BM$38,65,0)</f>
        <v>0</v>
      </c>
      <c r="AA21" s="36"/>
      <c r="AB21" s="36">
        <f>VLOOKUP($A21,[24]HISTONOV24!$A$6:$AU$38,43,0)</f>
        <v>0</v>
      </c>
      <c r="AC21" s="36">
        <f>VLOOKUP($A21,[24]HISTONOV24!$A$6:$AU$38,44,0)</f>
        <v>0</v>
      </c>
      <c r="AD21" s="36">
        <f>VLOOKUP($A21,[24]HISTONOV24!$A$6:$AU$38,47,0)</f>
        <v>0</v>
      </c>
      <c r="AE21" s="36">
        <f>VLOOKUP(A21,[24]HISTONOV24!$A$6:$BB$38,54,0)</f>
        <v>0</v>
      </c>
      <c r="AF21" s="36">
        <f>VLOOKUP($A21,[24]HISTONOV24!$A$6:$CA$38,60,0)</f>
        <v>0</v>
      </c>
      <c r="AG21" s="36">
        <f>VLOOKUP($A21,[24]HISTONOV24!$A$6:$CA$38,61,0)</f>
        <v>0</v>
      </c>
      <c r="AH21" s="36">
        <f>VLOOKUP($A21,[24]HISTONOV24!$A$6:$CA$38,62,0)</f>
        <v>0</v>
      </c>
      <c r="AI21" s="36">
        <f>VLOOKUP($A21,[24]HISTONOV24!$A$6:$CA$38,63,0)</f>
        <v>0</v>
      </c>
      <c r="AJ21" s="36">
        <f>VLOOKUP($A21,[24]HISTONOV24!$A$6:$CA$38,64,0)</f>
        <v>0</v>
      </c>
      <c r="AK21" s="36">
        <f>VLOOKUP($A21,[24]HISTONOV24!$A$6:$CA$38,65,0)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MVTOCT24!I22-E22+L22</f>
        <v>957738.95952735876</v>
      </c>
      <c r="G22" s="5">
        <f>IF(MVTOCT24!I22+L22&gt;700000,(MVTOCT24!I22-E22+L22),0)</f>
        <v>957738.95952735876</v>
      </c>
      <c r="H22" s="36">
        <f t="shared" si="0"/>
        <v>0</v>
      </c>
      <c r="I22" s="6">
        <f t="shared" si="2"/>
        <v>957738.95952735876</v>
      </c>
      <c r="J22" s="36">
        <f>VLOOKUP($A22,[24]HISTONOV24!$A$6:$AQ$42,22,0)</f>
        <v>0</v>
      </c>
      <c r="K22" s="36">
        <f>VLOOKUP($A22,[24]HISTONOV24!$A$6:$AU$38,45,0)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VLOOKUP($A22,[24]HISTONOV24!$A$6:$AU$38,7,0)</f>
        <v>0</v>
      </c>
      <c r="Q22" s="36">
        <f>VLOOKUP($A22,[24]HISTONOV24!$A$6:$AU$38,23,0)</f>
        <v>0</v>
      </c>
      <c r="R22" s="36">
        <f>VLOOKUP($A22,[24]HISTONOV24!$A$6:$AU$38,46,0)</f>
        <v>0</v>
      </c>
      <c r="S22" s="36">
        <f>VLOOKUP($A22,[24]HISTONOV24!$A$6:$AU$38,26,0)</f>
        <v>0</v>
      </c>
      <c r="T22" s="36">
        <f>VLOOKUP($A22,[24]HISTONOV24!$A$6:$BG$38,58,0)</f>
        <v>0</v>
      </c>
      <c r="U22" s="36">
        <f>VLOOKUP($A22,[24]HISTONOV24!$A$6:$AU$38,28,0)</f>
        <v>0</v>
      </c>
      <c r="V22" s="36">
        <f>VLOOKUP($A22,[24]HISTONOV24!$A$6:$AU$38,19,0)</f>
        <v>0</v>
      </c>
      <c r="W22" s="36">
        <f>VLOOKUP($A22,[24]HISTONOV24!$A$6:$AU$38,20,0)</f>
        <v>0</v>
      </c>
      <c r="X22" s="36">
        <f>VLOOKUP($A22,[24]HISTONOV24!$A$6:$AU$38,27,0)</f>
        <v>0</v>
      </c>
      <c r="Y22" s="36">
        <f>VLOOKUP($A22,[24]HISTONOV24!$A$6:$BM$38,33,0)</f>
        <v>0</v>
      </c>
      <c r="Z22" s="36">
        <f>VLOOKUP($A22,[24]HISTONOV24!$A$6:$BM$38,65,0)</f>
        <v>0</v>
      </c>
      <c r="AA22" s="36"/>
      <c r="AB22" s="36">
        <f>VLOOKUP($A22,[24]HISTONOV24!$A$6:$AU$38,43,0)</f>
        <v>0</v>
      </c>
      <c r="AC22" s="36">
        <f>VLOOKUP($A22,[24]HISTONOV24!$A$6:$AU$38,44,0)</f>
        <v>0</v>
      </c>
      <c r="AD22" s="36">
        <f>VLOOKUP($A22,[24]HISTONOV24!$A$6:$AU$38,47,0)</f>
        <v>0</v>
      </c>
      <c r="AE22" s="36">
        <f>VLOOKUP(A22,[24]HISTONOV24!$A$6:$BB$38,54,0)</f>
        <v>0</v>
      </c>
      <c r="AF22" s="36">
        <f>VLOOKUP($A22,[24]HISTONOV24!$A$6:$CA$38,60,0)</f>
        <v>0</v>
      </c>
      <c r="AG22" s="36">
        <f>VLOOKUP($A22,[24]HISTONOV24!$A$6:$CA$38,61,0)</f>
        <v>0</v>
      </c>
      <c r="AH22" s="36">
        <f>VLOOKUP($A22,[24]HISTONOV24!$A$6:$CA$38,62,0)</f>
        <v>0</v>
      </c>
      <c r="AI22" s="36">
        <f>VLOOKUP($A22,[24]HISTONOV24!$A$6:$CA$38,63,0)</f>
        <v>0</v>
      </c>
      <c r="AJ22" s="36">
        <f>VLOOKUP($A22,[24]HISTONOV24!$A$6:$CA$38,64,0)</f>
        <v>0</v>
      </c>
      <c r="AK22" s="36">
        <f>VLOOKUP($A22,[24]HISTONOV24!$A$6:$CA$38,65,0)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MVTOCT24!I23-E23+L23</f>
        <v>1063674.3246731949</v>
      </c>
      <c r="G23" s="5">
        <f>IF(MVTOCT24!I23+L23&gt;700000,(MVTOCT24!I23-E23+L23),0)</f>
        <v>1063674.3246731949</v>
      </c>
      <c r="H23" s="36">
        <f t="shared" si="0"/>
        <v>0</v>
      </c>
      <c r="I23" s="6">
        <f t="shared" si="2"/>
        <v>1063674.3246731949</v>
      </c>
      <c r="J23" s="36">
        <f>VLOOKUP($A23,[24]HISTONOV24!$A$6:$AQ$42,22,0)</f>
        <v>0</v>
      </c>
      <c r="K23" s="36">
        <f>VLOOKUP($A23,[24]HISTONOV24!$A$6:$AU$38,45,0)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VLOOKUP($A23,[24]HISTONOV24!$A$6:$AU$38,7,0)</f>
        <v>0</v>
      </c>
      <c r="Q23" s="36">
        <f>VLOOKUP($A23,[24]HISTONOV24!$A$6:$AU$38,23,0)</f>
        <v>0</v>
      </c>
      <c r="R23" s="36">
        <f>VLOOKUP($A23,[24]HISTONOV24!$A$6:$AU$38,46,0)</f>
        <v>0</v>
      </c>
      <c r="S23" s="36">
        <f>VLOOKUP($A23,[24]HISTONOV24!$A$6:$AU$38,26,0)</f>
        <v>0</v>
      </c>
      <c r="T23" s="36">
        <f>VLOOKUP($A23,[24]HISTONOV24!$A$6:$BG$38,58,0)</f>
        <v>0</v>
      </c>
      <c r="U23" s="36">
        <f>VLOOKUP($A23,[24]HISTONOV24!$A$6:$AU$38,28,0)</f>
        <v>0</v>
      </c>
      <c r="V23" s="36">
        <f>VLOOKUP($A23,[24]HISTONOV24!$A$6:$AU$38,19,0)</f>
        <v>0</v>
      </c>
      <c r="W23" s="36">
        <f>VLOOKUP($A23,[24]HISTONOV24!$A$6:$AU$38,20,0)</f>
        <v>0</v>
      </c>
      <c r="X23" s="36">
        <f>VLOOKUP($A23,[24]HISTONOV24!$A$6:$AU$38,27,0)</f>
        <v>0</v>
      </c>
      <c r="Y23" s="36">
        <f>VLOOKUP($A23,[24]HISTONOV24!$A$6:$BM$38,33,0)</f>
        <v>0</v>
      </c>
      <c r="Z23" s="36">
        <f>VLOOKUP($A23,[24]HISTONOV24!$A$6:$BM$38,65,0)</f>
        <v>0</v>
      </c>
      <c r="AA23" s="36"/>
      <c r="AB23" s="36">
        <f>VLOOKUP($A23,[24]HISTONOV24!$A$6:$AU$38,43,0)</f>
        <v>0</v>
      </c>
      <c r="AC23" s="36">
        <f>VLOOKUP($A23,[24]HISTONOV24!$A$6:$AU$38,44,0)</f>
        <v>0</v>
      </c>
      <c r="AD23" s="36">
        <f>VLOOKUP($A23,[24]HISTONOV24!$A$6:$AU$38,47,0)</f>
        <v>0</v>
      </c>
      <c r="AE23" s="36">
        <f>VLOOKUP(A23,[24]HISTONOV24!$A$6:$BB$38,54,0)</f>
        <v>0</v>
      </c>
      <c r="AF23" s="36">
        <f>VLOOKUP($A23,[24]HISTONOV24!$A$6:$CA$38,60,0)</f>
        <v>0</v>
      </c>
      <c r="AG23" s="36">
        <f>VLOOKUP($A23,[24]HISTONOV24!$A$6:$CA$38,61,0)</f>
        <v>0</v>
      </c>
      <c r="AH23" s="36">
        <f>VLOOKUP($A23,[24]HISTONOV24!$A$6:$CA$38,62,0)</f>
        <v>0</v>
      </c>
      <c r="AI23" s="36">
        <f>VLOOKUP($A23,[24]HISTONOV24!$A$6:$CA$38,63,0)</f>
        <v>0</v>
      </c>
      <c r="AJ23" s="36">
        <f>VLOOKUP($A23,[24]HISTONOV24!$A$6:$CA$38,64,0)</f>
        <v>0</v>
      </c>
      <c r="AK23" s="36">
        <f>VLOOKUP($A23,[24]HISTONOV24!$A$6:$CA$38,65,0)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MVTOCT24!I24-E24+L24</f>
        <v>1236827.8441992993</v>
      </c>
      <c r="G24" s="5">
        <f>IF(MVTOCT24!I24+L24&gt;700000,(MVTOCT24!I24-E24+L24),0)</f>
        <v>1236827.8441992993</v>
      </c>
      <c r="H24" s="36">
        <f t="shared" si="0"/>
        <v>0</v>
      </c>
      <c r="I24" s="6">
        <f t="shared" si="2"/>
        <v>1236827.8441992993</v>
      </c>
      <c r="J24" s="36">
        <f>VLOOKUP($A24,[24]HISTONOV24!$A$6:$AQ$42,22,0)</f>
        <v>0</v>
      </c>
      <c r="K24" s="36">
        <f>VLOOKUP($A24,[24]HISTONOV24!$A$6:$AU$38,45,0)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VLOOKUP($A24,[24]HISTONOV24!$A$6:$AU$38,7,0)</f>
        <v>0</v>
      </c>
      <c r="Q24" s="36">
        <f>VLOOKUP($A24,[24]HISTONOV24!$A$6:$AU$38,23,0)</f>
        <v>0</v>
      </c>
      <c r="R24" s="36">
        <f>VLOOKUP($A24,[24]HISTONOV24!$A$6:$AU$38,46,0)</f>
        <v>0</v>
      </c>
      <c r="S24" s="36">
        <f>VLOOKUP($A24,[24]HISTONOV24!$A$6:$AU$38,26,0)</f>
        <v>0</v>
      </c>
      <c r="T24" s="36">
        <f>VLOOKUP($A24,[24]HISTONOV24!$A$6:$BG$38,58,0)</f>
        <v>0</v>
      </c>
      <c r="U24" s="36">
        <f>VLOOKUP($A24,[24]HISTONOV24!$A$6:$AU$38,28,0)</f>
        <v>0</v>
      </c>
      <c r="V24" s="36">
        <f>VLOOKUP($A24,[24]HISTONOV24!$A$6:$AU$38,19,0)</f>
        <v>0</v>
      </c>
      <c r="W24" s="36">
        <f>VLOOKUP($A24,[24]HISTONOV24!$A$6:$AU$38,20,0)</f>
        <v>0</v>
      </c>
      <c r="X24" s="36">
        <f>VLOOKUP($A24,[24]HISTONOV24!$A$6:$AU$38,27,0)</f>
        <v>0</v>
      </c>
      <c r="Y24" s="36">
        <f>VLOOKUP($A24,[24]HISTONOV24!$A$6:$BM$38,33,0)</f>
        <v>0</v>
      </c>
      <c r="Z24" s="36">
        <f>VLOOKUP($A24,[24]HISTONOV24!$A$6:$BM$38,65,0)</f>
        <v>0</v>
      </c>
      <c r="AA24" s="36"/>
      <c r="AB24" s="36">
        <f>VLOOKUP($A24,[24]HISTONOV24!$A$6:$AU$38,43,0)</f>
        <v>0</v>
      </c>
      <c r="AC24" s="36">
        <f>VLOOKUP($A24,[24]HISTONOV24!$A$6:$AU$38,44,0)</f>
        <v>0</v>
      </c>
      <c r="AD24" s="36">
        <f>VLOOKUP($A24,[24]HISTONOV24!$A$6:$AU$38,47,0)</f>
        <v>0</v>
      </c>
      <c r="AE24" s="36">
        <f>VLOOKUP(A24,[24]HISTONOV24!$A$6:$BB$38,54,0)</f>
        <v>0</v>
      </c>
      <c r="AF24" s="36">
        <f>VLOOKUP($A24,[24]HISTONOV24!$A$6:$CA$38,60,0)</f>
        <v>0</v>
      </c>
      <c r="AG24" s="36">
        <f>VLOOKUP($A24,[24]HISTONOV24!$A$6:$CA$38,61,0)</f>
        <v>0</v>
      </c>
      <c r="AH24" s="36">
        <f>VLOOKUP($A24,[24]HISTONOV24!$A$6:$CA$38,62,0)</f>
        <v>0</v>
      </c>
      <c r="AI24" s="36">
        <f>VLOOKUP($A24,[24]HISTONOV24!$A$6:$CA$38,63,0)</f>
        <v>0</v>
      </c>
      <c r="AJ24" s="36">
        <f>VLOOKUP($A24,[24]HISTONOV24!$A$6:$CA$38,64,0)</f>
        <v>0</v>
      </c>
      <c r="AK24" s="36">
        <f>VLOOKUP($A24,[24]HISTONOV24!$A$6:$CA$38,65,0)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MVTOCT24!I25-E25+L25</f>
        <v>1048141.7950432157</v>
      </c>
      <c r="G25" s="5">
        <f>IF(MVTOCT24!I25+L25&gt;700000,(MVTOCT24!I25-E25+L25),0)</f>
        <v>1048141.7950432157</v>
      </c>
      <c r="H25" s="36">
        <f t="shared" si="0"/>
        <v>0</v>
      </c>
      <c r="I25" s="6">
        <f t="shared" si="2"/>
        <v>1048141.7950432157</v>
      </c>
      <c r="J25" s="36">
        <f>VLOOKUP($A25,[24]HISTONOV24!$A$6:$AQ$42,22,0)</f>
        <v>0</v>
      </c>
      <c r="K25" s="36">
        <f>VLOOKUP($A25,[24]HISTONOV24!$A$6:$AU$38,45,0)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VLOOKUP($A25,[24]HISTONOV24!$A$6:$AU$38,7,0)</f>
        <v>3000</v>
      </c>
      <c r="Q25" s="36">
        <f>VLOOKUP($A25,[24]HISTONOV24!$A$6:$AU$38,23,0)</f>
        <v>0</v>
      </c>
      <c r="R25" s="36">
        <f>VLOOKUP($A25,[24]HISTONOV24!$A$6:$AU$38,46,0)</f>
        <v>0</v>
      </c>
      <c r="S25" s="36">
        <f>VLOOKUP($A25,[24]HISTONOV24!$A$6:$AU$38,26,0)</f>
        <v>0</v>
      </c>
      <c r="T25" s="36">
        <f>VLOOKUP($A25,[24]HISTONOV24!$A$6:$BG$38,58,0)</f>
        <v>0</v>
      </c>
      <c r="U25" s="36">
        <f>VLOOKUP($A25,[24]HISTONOV24!$A$6:$AU$38,28,0)</f>
        <v>0</v>
      </c>
      <c r="V25" s="36">
        <f>VLOOKUP($A25,[24]HISTONOV24!$A$6:$AU$38,19,0)</f>
        <v>0</v>
      </c>
      <c r="W25" s="36">
        <f>VLOOKUP($A25,[24]HISTONOV24!$A$6:$AU$38,20,0)</f>
        <v>0</v>
      </c>
      <c r="X25" s="36">
        <f>VLOOKUP($A25,[24]HISTONOV24!$A$6:$AU$38,27,0)</f>
        <v>0</v>
      </c>
      <c r="Y25" s="36">
        <f>VLOOKUP($A25,[24]HISTONOV24!$A$6:$BM$38,33,0)</f>
        <v>0</v>
      </c>
      <c r="Z25" s="36">
        <f>VLOOKUP($A25,[24]HISTONOV24!$A$6:$BM$38,65,0)</f>
        <v>0</v>
      </c>
      <c r="AA25" s="36"/>
      <c r="AB25" s="36">
        <f>VLOOKUP($A25,[24]HISTONOV24!$A$6:$AU$38,43,0)</f>
        <v>0</v>
      </c>
      <c r="AC25" s="36">
        <f>VLOOKUP($A25,[24]HISTONOV24!$A$6:$AU$38,44,0)</f>
        <v>0</v>
      </c>
      <c r="AD25" s="36">
        <f>VLOOKUP($A25,[24]HISTONOV24!$A$6:$AU$38,47,0)</f>
        <v>0</v>
      </c>
      <c r="AE25" s="36">
        <f>VLOOKUP(A25,[24]HISTONOV24!$A$6:$BB$38,54,0)</f>
        <v>0</v>
      </c>
      <c r="AF25" s="36">
        <f>VLOOKUP($A25,[24]HISTONOV24!$A$6:$CA$38,60,0)</f>
        <v>0</v>
      </c>
      <c r="AG25" s="36">
        <f>VLOOKUP($A25,[24]HISTONOV24!$A$6:$CA$38,61,0)</f>
        <v>0</v>
      </c>
      <c r="AH25" s="36">
        <f>VLOOKUP($A25,[24]HISTONOV24!$A$6:$CA$38,62,0)</f>
        <v>0</v>
      </c>
      <c r="AI25" s="36">
        <f>VLOOKUP($A25,[24]HISTONOV24!$A$6:$CA$38,63,0)</f>
        <v>0</v>
      </c>
      <c r="AJ25" s="36">
        <f>VLOOKUP($A25,[24]HISTONOV24!$A$6:$CA$38,64,0)</f>
        <v>0</v>
      </c>
      <c r="AK25" s="36">
        <f>VLOOKUP($A25,[24]HISTONOV24!$A$6:$CA$38,65,0)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MVTOCT24!I26-E26+L26</f>
        <v>976266.46813543816</v>
      </c>
      <c r="G26" s="5">
        <f>IF(MVTOCT24!I26+L26&gt;700000,(MVTOCT24!I26-E26+L26),0)</f>
        <v>976266.46813543816</v>
      </c>
      <c r="H26" s="36">
        <f t="shared" si="0"/>
        <v>0</v>
      </c>
      <c r="I26" s="6">
        <f t="shared" si="2"/>
        <v>976266.46813543816</v>
      </c>
      <c r="J26" s="36">
        <f>VLOOKUP($A26,[24]HISTONOV24!$A$6:$AQ$42,22,0)</f>
        <v>0</v>
      </c>
      <c r="K26" s="36">
        <f>VLOOKUP($A26,[24]HISTONOV24!$A$6:$AU$38,45,0)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VLOOKUP($A26,[24]HISTONOV24!$A$6:$AU$38,7,0)</f>
        <v>0</v>
      </c>
      <c r="Q26" s="36">
        <f>VLOOKUP($A26,[24]HISTONOV24!$A$6:$AU$38,23,0)</f>
        <v>0</v>
      </c>
      <c r="R26" s="36">
        <f>VLOOKUP($A26,[24]HISTONOV24!$A$6:$AU$38,46,0)</f>
        <v>0</v>
      </c>
      <c r="S26" s="36">
        <f>VLOOKUP($A26,[24]HISTONOV24!$A$6:$AU$38,26,0)</f>
        <v>0</v>
      </c>
      <c r="T26" s="36">
        <f>VLOOKUP($A26,[24]HISTONOV24!$A$6:$BG$38,58,0)</f>
        <v>0</v>
      </c>
      <c r="U26" s="36">
        <f>VLOOKUP($A26,[24]HISTONOV24!$A$6:$AU$38,28,0)</f>
        <v>0</v>
      </c>
      <c r="V26" s="36">
        <f>VLOOKUP($A26,[24]HISTONOV24!$A$6:$AU$38,19,0)</f>
        <v>0</v>
      </c>
      <c r="W26" s="36">
        <f>VLOOKUP($A26,[24]HISTONOV24!$A$6:$AU$38,20,0)</f>
        <v>0</v>
      </c>
      <c r="X26" s="36">
        <f>VLOOKUP($A26,[24]HISTONOV24!$A$6:$AU$38,27,0)</f>
        <v>0</v>
      </c>
      <c r="Y26" s="36">
        <f>VLOOKUP($A26,[24]HISTONOV24!$A$6:$BM$38,33,0)</f>
        <v>0</v>
      </c>
      <c r="Z26" s="36">
        <f>VLOOKUP($A26,[24]HISTONOV24!$A$6:$BM$38,65,0)</f>
        <v>0</v>
      </c>
      <c r="AA26" s="36"/>
      <c r="AB26" s="36">
        <f>VLOOKUP($A26,[24]HISTONOV24!$A$6:$AU$38,43,0)</f>
        <v>0</v>
      </c>
      <c r="AC26" s="36">
        <f>VLOOKUP($A26,[24]HISTONOV24!$A$6:$AU$38,44,0)</f>
        <v>0</v>
      </c>
      <c r="AD26" s="36">
        <f>VLOOKUP($A26,[24]HISTONOV24!$A$6:$AU$38,47,0)</f>
        <v>0</v>
      </c>
      <c r="AE26" s="36">
        <f>VLOOKUP(A26,[24]HISTONOV24!$A$6:$BB$38,54,0)</f>
        <v>0</v>
      </c>
      <c r="AF26" s="36">
        <f>VLOOKUP($A26,[24]HISTONOV24!$A$6:$CA$38,60,0)</f>
        <v>0</v>
      </c>
      <c r="AG26" s="36">
        <f>VLOOKUP($A26,[24]HISTONOV24!$A$6:$CA$38,61,0)</f>
        <v>0</v>
      </c>
      <c r="AH26" s="36">
        <f>VLOOKUP($A26,[24]HISTONOV24!$A$6:$CA$38,62,0)</f>
        <v>0</v>
      </c>
      <c r="AI26" s="36">
        <f>VLOOKUP($A26,[24]HISTONOV24!$A$6:$CA$38,63,0)</f>
        <v>0</v>
      </c>
      <c r="AJ26" s="36">
        <f>VLOOKUP($A26,[24]HISTONOV24!$A$6:$CA$38,64,0)</f>
        <v>0</v>
      </c>
      <c r="AK26" s="36">
        <f>VLOOKUP($A26,[24]HISTONOV24!$A$6:$CA$38,65,0)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MVTOCT24!I27-E27+L27</f>
        <v>976824.17371512204</v>
      </c>
      <c r="G27" s="5">
        <f>IF(MVTOCT24!I27+L27&gt;700000,(MVTOCT24!I27-E27+L27),0)</f>
        <v>976824.17371512204</v>
      </c>
      <c r="H27" s="36">
        <f t="shared" si="0"/>
        <v>0</v>
      </c>
      <c r="I27" s="6">
        <f t="shared" si="2"/>
        <v>976824.17371512204</v>
      </c>
      <c r="J27" s="36">
        <f>VLOOKUP($A27,[24]HISTONOV24!$A$6:$AQ$42,22,0)</f>
        <v>0</v>
      </c>
      <c r="K27" s="36">
        <f>VLOOKUP($A27,[24]HISTONOV24!$A$6:$AU$38,45,0)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VLOOKUP($A27,[24]HISTONOV24!$A$6:$AU$38,7,0)</f>
        <v>0</v>
      </c>
      <c r="Q27" s="36">
        <f>VLOOKUP($A27,[24]HISTONOV24!$A$6:$AU$38,23,0)</f>
        <v>0</v>
      </c>
      <c r="R27" s="36">
        <f>VLOOKUP($A27,[24]HISTONOV24!$A$6:$AU$38,46,0)</f>
        <v>0</v>
      </c>
      <c r="S27" s="36">
        <f>VLOOKUP($A27,[24]HISTONOV24!$A$6:$AU$38,26,0)</f>
        <v>0</v>
      </c>
      <c r="T27" s="36">
        <f>VLOOKUP($A27,[24]HISTONOV24!$A$6:$BG$38,58,0)</f>
        <v>0</v>
      </c>
      <c r="U27" s="36">
        <f>VLOOKUP($A27,[24]HISTONOV24!$A$6:$AU$38,28,0)</f>
        <v>0</v>
      </c>
      <c r="V27" s="36">
        <f>VLOOKUP($A27,[24]HISTONOV24!$A$6:$AU$38,19,0)</f>
        <v>0</v>
      </c>
      <c r="W27" s="36">
        <f>VLOOKUP($A27,[24]HISTONOV24!$A$6:$AU$38,20,0)</f>
        <v>0</v>
      </c>
      <c r="X27" s="36">
        <f>VLOOKUP($A27,[24]HISTONOV24!$A$6:$AU$38,27,0)</f>
        <v>0</v>
      </c>
      <c r="Y27" s="36">
        <f>VLOOKUP($A27,[24]HISTONOV24!$A$6:$BM$38,33,0)</f>
        <v>0</v>
      </c>
      <c r="Z27" s="36">
        <f>VLOOKUP($A27,[24]HISTONOV24!$A$6:$BM$38,65,0)</f>
        <v>0</v>
      </c>
      <c r="AA27" s="36"/>
      <c r="AB27" s="36">
        <f>VLOOKUP($A27,[24]HISTONOV24!$A$6:$AU$38,43,0)</f>
        <v>0</v>
      </c>
      <c r="AC27" s="36">
        <f>VLOOKUP($A27,[24]HISTONOV24!$A$6:$AU$38,44,0)</f>
        <v>0</v>
      </c>
      <c r="AD27" s="36">
        <f>VLOOKUP($A27,[24]HISTONOV24!$A$6:$AU$38,47,0)</f>
        <v>0</v>
      </c>
      <c r="AE27" s="36">
        <f>VLOOKUP(A27,[24]HISTONOV24!$A$6:$BB$38,54,0)</f>
        <v>0</v>
      </c>
      <c r="AF27" s="36">
        <f>VLOOKUP($A27,[24]HISTONOV24!$A$6:$CA$38,60,0)</f>
        <v>0</v>
      </c>
      <c r="AG27" s="36">
        <f>VLOOKUP($A27,[24]HISTONOV24!$A$6:$CA$38,61,0)</f>
        <v>0</v>
      </c>
      <c r="AH27" s="36">
        <f>VLOOKUP($A27,[24]HISTONOV24!$A$6:$CA$38,62,0)</f>
        <v>0</v>
      </c>
      <c r="AI27" s="36">
        <f>VLOOKUP($A27,[24]HISTONOV24!$A$6:$CA$38,63,0)</f>
        <v>0</v>
      </c>
      <c r="AJ27" s="36">
        <f>VLOOKUP($A27,[24]HISTONOV24!$A$6:$CA$38,64,0)</f>
        <v>0</v>
      </c>
      <c r="AK27" s="36">
        <f>VLOOKUP($A27,[24]HISTONOV24!$A$6:$CA$38,65,0)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MVTOCT24!I28-E28+L28</f>
        <v>878176.12513194664</v>
      </c>
      <c r="G28" s="5">
        <f>IF(MVTOCT24!I28+L28&gt;700000,(MVTOCT24!I28-E28+L28),0)</f>
        <v>878176.12513194664</v>
      </c>
      <c r="H28" s="36">
        <f t="shared" si="0"/>
        <v>0</v>
      </c>
      <c r="I28" s="6">
        <f t="shared" si="2"/>
        <v>878176.12513194664</v>
      </c>
      <c r="J28" s="36">
        <f>VLOOKUP($A28,[24]HISTONOV24!$A$6:$AQ$42,22,0)</f>
        <v>0</v>
      </c>
      <c r="K28" s="36">
        <f>VLOOKUP($A28,[24]HISTONOV24!$A$6:$AU$38,45,0)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VLOOKUP($A28,[24]HISTONOV24!$A$6:$AU$38,7,0)</f>
        <v>0</v>
      </c>
      <c r="Q28" s="36">
        <f>VLOOKUP($A28,[24]HISTONOV24!$A$6:$AU$38,23,0)</f>
        <v>0</v>
      </c>
      <c r="R28" s="36">
        <f>VLOOKUP($A28,[24]HISTONOV24!$A$6:$AU$38,46,0)</f>
        <v>0</v>
      </c>
      <c r="S28" s="36">
        <f>VLOOKUP($A28,[24]HISTONOV24!$A$6:$AU$38,26,0)</f>
        <v>0</v>
      </c>
      <c r="T28" s="36">
        <f>VLOOKUP($A28,[24]HISTONOV24!$A$6:$BG$38,58,0)</f>
        <v>0</v>
      </c>
      <c r="U28" s="36">
        <f>VLOOKUP($A28,[24]HISTONOV24!$A$6:$AU$38,28,0)</f>
        <v>0</v>
      </c>
      <c r="V28" s="36">
        <f>VLOOKUP($A28,[24]HISTONOV24!$A$6:$AU$38,19,0)</f>
        <v>0</v>
      </c>
      <c r="W28" s="36">
        <f>VLOOKUP($A28,[24]HISTONOV24!$A$6:$AU$38,20,0)</f>
        <v>0</v>
      </c>
      <c r="X28" s="36">
        <f>VLOOKUP($A28,[24]HISTONOV24!$A$6:$AU$38,27,0)</f>
        <v>0</v>
      </c>
      <c r="Y28" s="36">
        <f>VLOOKUP($A28,[24]HISTONOV24!$A$6:$BM$38,33,0)</f>
        <v>0</v>
      </c>
      <c r="Z28" s="36">
        <f>VLOOKUP($A28,[24]HISTONOV24!$A$6:$BM$38,65,0)</f>
        <v>0</v>
      </c>
      <c r="AA28" s="36"/>
      <c r="AB28" s="36">
        <f>VLOOKUP($A28,[24]HISTONOV24!$A$6:$AU$38,43,0)</f>
        <v>0</v>
      </c>
      <c r="AC28" s="36">
        <f>VLOOKUP($A28,[24]HISTONOV24!$A$6:$AU$38,44,0)</f>
        <v>0</v>
      </c>
      <c r="AD28" s="36">
        <f>VLOOKUP($A28,[24]HISTONOV24!$A$6:$AU$38,47,0)</f>
        <v>0</v>
      </c>
      <c r="AE28" s="36">
        <f>VLOOKUP(A28,[24]HISTONOV24!$A$6:$BB$38,54,0)</f>
        <v>0</v>
      </c>
      <c r="AF28" s="36">
        <f>VLOOKUP($A28,[24]HISTONOV24!$A$6:$CA$38,60,0)</f>
        <v>0</v>
      </c>
      <c r="AG28" s="36">
        <f>VLOOKUP($A28,[24]HISTONOV24!$A$6:$CA$38,61,0)</f>
        <v>0</v>
      </c>
      <c r="AH28" s="36">
        <f>VLOOKUP($A28,[24]HISTONOV24!$A$6:$CA$38,62,0)</f>
        <v>0</v>
      </c>
      <c r="AI28" s="36">
        <f>VLOOKUP($A28,[24]HISTONOV24!$A$6:$CA$38,63,0)</f>
        <v>0</v>
      </c>
      <c r="AJ28" s="36">
        <f>VLOOKUP($A28,[24]HISTONOV24!$A$6:$CA$38,64,0)</f>
        <v>0</v>
      </c>
      <c r="AK28" s="36">
        <f>VLOOKUP($A28,[24]HISTONOV24!$A$6:$CA$38,65,0)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MVTOCT24!I29-E29+L29</f>
        <v>1003151.3442374151</v>
      </c>
      <c r="G29" s="5">
        <f>IF(MVTOCT24!I29+L29&gt;700000,(MVTOCT24!I29-E29+L29),0)</f>
        <v>1003151.3442374151</v>
      </c>
      <c r="H29" s="36">
        <f t="shared" si="0"/>
        <v>0</v>
      </c>
      <c r="I29" s="6">
        <f t="shared" si="2"/>
        <v>1003151.3442374151</v>
      </c>
      <c r="J29" s="36">
        <f>VLOOKUP($A29,[24]HISTONOV24!$A$6:$AQ$42,22,0)</f>
        <v>0</v>
      </c>
      <c r="K29" s="36">
        <f>VLOOKUP($A29,[24]HISTONOV24!$A$6:$AU$38,45,0)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VLOOKUP($A29,[24]HISTONOV24!$A$6:$AU$38,7,0)</f>
        <v>0</v>
      </c>
      <c r="Q29" s="36">
        <f>VLOOKUP($A29,[24]HISTONOV24!$A$6:$AU$38,23,0)</f>
        <v>0</v>
      </c>
      <c r="R29" s="36">
        <f>VLOOKUP($A29,[24]HISTONOV24!$A$6:$AU$38,46,0)</f>
        <v>0</v>
      </c>
      <c r="S29" s="36">
        <f>VLOOKUP($A29,[24]HISTONOV24!$A$6:$AU$38,26,0)</f>
        <v>0</v>
      </c>
      <c r="T29" s="36">
        <f>VLOOKUP($A29,[24]HISTONOV24!$A$6:$BG$38,58,0)</f>
        <v>0</v>
      </c>
      <c r="U29" s="36">
        <f>VLOOKUP($A29,[24]HISTONOV24!$A$6:$AU$38,28,0)</f>
        <v>0</v>
      </c>
      <c r="V29" s="36">
        <f>VLOOKUP($A29,[24]HISTONOV24!$A$6:$AU$38,19,0)</f>
        <v>0</v>
      </c>
      <c r="W29" s="36">
        <f>VLOOKUP($A29,[24]HISTONOV24!$A$6:$AU$38,20,0)</f>
        <v>0</v>
      </c>
      <c r="X29" s="36">
        <f>VLOOKUP($A29,[24]HISTONOV24!$A$6:$AU$38,27,0)</f>
        <v>0</v>
      </c>
      <c r="Y29" s="36">
        <f>VLOOKUP($A29,[24]HISTONOV24!$A$6:$BM$38,33,0)</f>
        <v>0</v>
      </c>
      <c r="Z29" s="36">
        <f>VLOOKUP($A29,[24]HISTONOV24!$A$6:$BM$38,65,0)</f>
        <v>0</v>
      </c>
      <c r="AA29" s="36"/>
      <c r="AB29" s="36">
        <f>VLOOKUP($A29,[24]HISTONOV24!$A$6:$AU$38,43,0)</f>
        <v>0</v>
      </c>
      <c r="AC29" s="36">
        <f>VLOOKUP($A29,[24]HISTONOV24!$A$6:$AU$38,44,0)</f>
        <v>0</v>
      </c>
      <c r="AD29" s="36">
        <f>VLOOKUP($A29,[24]HISTONOV24!$A$6:$AU$38,47,0)</f>
        <v>0</v>
      </c>
      <c r="AE29" s="36">
        <f>VLOOKUP(A29,[24]HISTONOV24!$A$6:$BB$38,54,0)</f>
        <v>0</v>
      </c>
      <c r="AF29" s="36">
        <f>VLOOKUP($A29,[24]HISTONOV24!$A$6:$CA$38,60,0)</f>
        <v>0</v>
      </c>
      <c r="AG29" s="36">
        <f>VLOOKUP($A29,[24]HISTONOV24!$A$6:$CA$38,61,0)</f>
        <v>0</v>
      </c>
      <c r="AH29" s="36">
        <f>VLOOKUP($A29,[24]HISTONOV24!$A$6:$CA$38,62,0)</f>
        <v>0</v>
      </c>
      <c r="AI29" s="36">
        <f>VLOOKUP($A29,[24]HISTONOV24!$A$6:$CA$38,63,0)</f>
        <v>0</v>
      </c>
      <c r="AJ29" s="36">
        <f>VLOOKUP($A29,[24]HISTONOV24!$A$6:$CA$38,64,0)</f>
        <v>0</v>
      </c>
      <c r="AK29" s="36">
        <f>VLOOKUP($A29,[24]HISTONOV24!$A$6:$CA$38,65,0)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MVTOCT24!I30-E30+L30</f>
        <v>907786.81046782702</v>
      </c>
      <c r="G30" s="5">
        <f>IF(MVTOCT24!I30+L30&gt;700000,(MVTOCT24!I30-E30+L30),0)</f>
        <v>907786.81046782702</v>
      </c>
      <c r="H30" s="36">
        <f t="shared" si="0"/>
        <v>0</v>
      </c>
      <c r="I30" s="6">
        <f t="shared" si="2"/>
        <v>907786.81046782702</v>
      </c>
      <c r="J30" s="36">
        <f>VLOOKUP($A30,[24]HISTONOV24!$A$6:$AQ$42,22,0)</f>
        <v>0</v>
      </c>
      <c r="K30" s="36">
        <f>VLOOKUP($A30,[24]HISTONOV24!$A$6:$AU$38,45,0)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VLOOKUP($A30,[24]HISTONOV24!$A$6:$AU$38,7,0)</f>
        <v>0</v>
      </c>
      <c r="Q30" s="36">
        <f>VLOOKUP($A30,[24]HISTONOV24!$A$6:$AU$38,23,0)</f>
        <v>0</v>
      </c>
      <c r="R30" s="36">
        <f>VLOOKUP($A30,[24]HISTONOV24!$A$6:$AU$38,46,0)</f>
        <v>0</v>
      </c>
      <c r="S30" s="36">
        <f>VLOOKUP($A30,[24]HISTONOV24!$A$6:$AU$38,26,0)</f>
        <v>0</v>
      </c>
      <c r="T30" s="36">
        <f>VLOOKUP($A30,[24]HISTONOV24!$A$6:$BG$38,58,0)</f>
        <v>0</v>
      </c>
      <c r="U30" s="36">
        <f>VLOOKUP($A30,[24]HISTONOV24!$A$6:$AU$38,28,0)</f>
        <v>0</v>
      </c>
      <c r="V30" s="36">
        <f>VLOOKUP($A30,[24]HISTONOV24!$A$6:$AU$38,19,0)</f>
        <v>0</v>
      </c>
      <c r="W30" s="36">
        <f>VLOOKUP($A30,[24]HISTONOV24!$A$6:$AU$38,20,0)</f>
        <v>0</v>
      </c>
      <c r="X30" s="36">
        <f>VLOOKUP($A30,[24]HISTONOV24!$A$6:$AU$38,27,0)</f>
        <v>0</v>
      </c>
      <c r="Y30" s="36">
        <f>VLOOKUP($A30,[24]HISTONOV24!$A$6:$BM$38,33,0)</f>
        <v>0</v>
      </c>
      <c r="Z30" s="36">
        <f>VLOOKUP($A30,[24]HISTONOV24!$A$6:$BM$38,65,0)</f>
        <v>0</v>
      </c>
      <c r="AA30" s="36"/>
      <c r="AB30" s="36">
        <f>VLOOKUP($A30,[24]HISTONOV24!$A$6:$AU$38,43,0)</f>
        <v>0</v>
      </c>
      <c r="AC30" s="36">
        <f>VLOOKUP($A30,[24]HISTONOV24!$A$6:$AU$38,44,0)</f>
        <v>0</v>
      </c>
      <c r="AD30" s="36">
        <f>VLOOKUP($A30,[24]HISTONOV24!$A$6:$AU$38,47,0)</f>
        <v>0</v>
      </c>
      <c r="AE30" s="36">
        <f>VLOOKUP(A30,[24]HISTONOV24!$A$6:$BB$38,54,0)</f>
        <v>0</v>
      </c>
      <c r="AF30" s="36">
        <f>VLOOKUP($A30,[24]HISTONOV24!$A$6:$CA$38,60,0)</f>
        <v>0</v>
      </c>
      <c r="AG30" s="36">
        <f>VLOOKUP($A30,[24]HISTONOV24!$A$6:$CA$38,61,0)</f>
        <v>0</v>
      </c>
      <c r="AH30" s="36">
        <f>VLOOKUP($A30,[24]HISTONOV24!$A$6:$CA$38,62,0)</f>
        <v>0</v>
      </c>
      <c r="AI30" s="36">
        <f>VLOOKUP($A30,[24]HISTONOV24!$A$6:$CA$38,63,0)</f>
        <v>0</v>
      </c>
      <c r="AJ30" s="36">
        <f>VLOOKUP($A30,[24]HISTONOV24!$A$6:$CA$38,64,0)</f>
        <v>0</v>
      </c>
      <c r="AK30" s="36">
        <f>VLOOKUP($A30,[24]HISTONOV24!$A$6:$CA$38,65,0)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MVTOCT24!I31-E31+L31</f>
        <v>1067903.0311481347</v>
      </c>
      <c r="G31" s="5">
        <f>IF(MVTOCT24!I31+L31&gt;700000,(MVTOCT24!I31-E31+L31),0)</f>
        <v>1067903.0311481347</v>
      </c>
      <c r="H31" s="36">
        <f t="shared" si="0"/>
        <v>0</v>
      </c>
      <c r="I31" s="6">
        <f t="shared" si="2"/>
        <v>1067903.0311481347</v>
      </c>
      <c r="J31" s="36">
        <f>VLOOKUP($A31,[24]HISTONOV24!$A$6:$AQ$42,22,0)</f>
        <v>0</v>
      </c>
      <c r="K31" s="36">
        <f>VLOOKUP($A31,[24]HISTONOV24!$A$6:$AU$38,45,0)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VLOOKUP($A31,[24]HISTONOV24!$A$6:$AU$38,7,0)</f>
        <v>0</v>
      </c>
      <c r="Q31" s="36">
        <f>VLOOKUP($A31,[24]HISTONOV24!$A$6:$AU$38,23,0)</f>
        <v>0</v>
      </c>
      <c r="R31" s="36">
        <f>VLOOKUP($A31,[24]HISTONOV24!$A$6:$AU$38,46,0)</f>
        <v>0</v>
      </c>
      <c r="S31" s="36">
        <f>VLOOKUP($A31,[24]HISTONOV24!$A$6:$AU$38,26,0)</f>
        <v>0</v>
      </c>
      <c r="T31" s="36">
        <f>VLOOKUP($A31,[24]HISTONOV24!$A$6:$BG$38,58,0)</f>
        <v>0</v>
      </c>
      <c r="U31" s="36">
        <f>VLOOKUP($A31,[24]HISTONOV24!$A$6:$AU$38,28,0)</f>
        <v>0</v>
      </c>
      <c r="V31" s="36">
        <f>VLOOKUP($A31,[24]HISTONOV24!$A$6:$AU$38,19,0)</f>
        <v>0</v>
      </c>
      <c r="W31" s="36">
        <f>VLOOKUP($A31,[24]HISTONOV24!$A$6:$AU$38,20,0)</f>
        <v>0</v>
      </c>
      <c r="X31" s="36">
        <f>VLOOKUP($A31,[24]HISTONOV24!$A$6:$AU$38,27,0)</f>
        <v>0</v>
      </c>
      <c r="Y31" s="36">
        <f>VLOOKUP($A31,[24]HISTONOV24!$A$6:$BM$38,33,0)</f>
        <v>0</v>
      </c>
      <c r="Z31" s="36">
        <f>VLOOKUP($A31,[24]HISTONOV24!$A$6:$BM$38,65,0)</f>
        <v>0</v>
      </c>
      <c r="AA31" s="36"/>
      <c r="AB31" s="36">
        <f>VLOOKUP($A31,[24]HISTONOV24!$A$6:$AU$38,43,0)</f>
        <v>0</v>
      </c>
      <c r="AC31" s="36">
        <f>VLOOKUP($A31,[24]HISTONOV24!$A$6:$AU$38,44,0)</f>
        <v>0</v>
      </c>
      <c r="AD31" s="36">
        <f>VLOOKUP($A31,[24]HISTONOV24!$A$6:$AU$38,47,0)</f>
        <v>0</v>
      </c>
      <c r="AE31" s="36">
        <f>VLOOKUP(A31,[24]HISTONOV24!$A$6:$BB$38,54,0)</f>
        <v>0</v>
      </c>
      <c r="AF31" s="36">
        <f>VLOOKUP($A31,[24]HISTONOV24!$A$6:$CA$38,60,0)</f>
        <v>0</v>
      </c>
      <c r="AG31" s="36">
        <f>VLOOKUP($A31,[24]HISTONOV24!$A$6:$CA$38,61,0)</f>
        <v>0</v>
      </c>
      <c r="AH31" s="36">
        <f>VLOOKUP($A31,[24]HISTONOV24!$A$6:$CA$38,62,0)</f>
        <v>0</v>
      </c>
      <c r="AI31" s="36">
        <f>VLOOKUP($A31,[24]HISTONOV24!$A$6:$CA$38,63,0)</f>
        <v>0</v>
      </c>
      <c r="AJ31" s="36">
        <f>VLOOKUP($A31,[24]HISTONOV24!$A$6:$CA$38,64,0)</f>
        <v>0</v>
      </c>
      <c r="AK31" s="36">
        <f>VLOOKUP($A31,[24]HISTONOV24!$A$6:$CA$38,65,0)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MVTOCT24!I32-E32+L32</f>
        <v>957243.98131057119</v>
      </c>
      <c r="G32" s="5">
        <f>IF(MVTOCT24!I32+L32&gt;700000,(MVTOCT24!I32-E32+L32),0)</f>
        <v>957243.98131057119</v>
      </c>
      <c r="H32" s="36">
        <f t="shared" si="0"/>
        <v>0</v>
      </c>
      <c r="I32" s="6">
        <f t="shared" si="2"/>
        <v>957243.98131057119</v>
      </c>
      <c r="J32" s="36">
        <f>VLOOKUP($A32,[24]HISTONOV24!$A$6:$AQ$42,22,0)</f>
        <v>0</v>
      </c>
      <c r="K32" s="36">
        <f>VLOOKUP($A32,[24]HISTONOV24!$A$6:$AU$38,45,0)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VLOOKUP($A32,[24]HISTONOV24!$A$6:$AU$38,7,0)</f>
        <v>0</v>
      </c>
      <c r="Q32" s="36">
        <f>VLOOKUP($A32,[24]HISTONOV24!$A$6:$AU$38,23,0)</f>
        <v>0</v>
      </c>
      <c r="R32" s="36">
        <f>VLOOKUP($A32,[24]HISTONOV24!$A$6:$AU$38,46,0)</f>
        <v>0</v>
      </c>
      <c r="S32" s="36">
        <f>VLOOKUP($A32,[24]HISTONOV24!$A$6:$AU$38,26,0)</f>
        <v>0</v>
      </c>
      <c r="T32" s="36">
        <f>VLOOKUP($A32,[24]HISTONOV24!$A$6:$BG$38,58,0)</f>
        <v>0</v>
      </c>
      <c r="U32" s="36">
        <f>VLOOKUP($A32,[24]HISTONOV24!$A$6:$AU$38,28,0)</f>
        <v>0</v>
      </c>
      <c r="V32" s="36">
        <f>VLOOKUP($A32,[24]HISTONOV24!$A$6:$AU$38,19,0)</f>
        <v>0</v>
      </c>
      <c r="W32" s="36">
        <f>VLOOKUP($A32,[24]HISTONOV24!$A$6:$AU$38,20,0)</f>
        <v>0</v>
      </c>
      <c r="X32" s="36">
        <f>VLOOKUP($A32,[24]HISTONOV24!$A$6:$AU$38,27,0)</f>
        <v>0</v>
      </c>
      <c r="Y32" s="36">
        <f>VLOOKUP($A32,[24]HISTONOV24!$A$6:$BM$38,33,0)</f>
        <v>0</v>
      </c>
      <c r="Z32" s="36">
        <f>VLOOKUP($A32,[24]HISTONOV24!$A$6:$BM$38,65,0)</f>
        <v>0</v>
      </c>
      <c r="AA32" s="36"/>
      <c r="AB32" s="36">
        <f>VLOOKUP($A32,[24]HISTONOV24!$A$6:$AU$38,43,0)</f>
        <v>0</v>
      </c>
      <c r="AC32" s="36">
        <f>VLOOKUP($A32,[24]HISTONOV24!$A$6:$AU$38,44,0)</f>
        <v>0</v>
      </c>
      <c r="AD32" s="36">
        <f>VLOOKUP($A32,[24]HISTONOV24!$A$6:$AU$38,47,0)</f>
        <v>0</v>
      </c>
      <c r="AE32" s="36">
        <f>VLOOKUP(A32,[24]HISTONOV24!$A$6:$BB$38,54,0)</f>
        <v>0</v>
      </c>
      <c r="AF32" s="36">
        <f>VLOOKUP($A32,[24]HISTONOV24!$A$6:$CA$38,60,0)</f>
        <v>0</v>
      </c>
      <c r="AG32" s="36">
        <f>VLOOKUP($A32,[24]HISTONOV24!$A$6:$CA$38,61,0)</f>
        <v>0</v>
      </c>
      <c r="AH32" s="36">
        <f>VLOOKUP($A32,[24]HISTONOV24!$A$6:$CA$38,62,0)</f>
        <v>0</v>
      </c>
      <c r="AI32" s="36">
        <f>VLOOKUP($A32,[24]HISTONOV24!$A$6:$CA$38,63,0)</f>
        <v>0</v>
      </c>
      <c r="AJ32" s="36">
        <f>VLOOKUP($A32,[24]HISTONOV24!$A$6:$CA$38,64,0)</f>
        <v>0</v>
      </c>
      <c r="AK32" s="36">
        <f>VLOOKUP($A32,[24]HISTONOV24!$A$6:$CA$38,65,0)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MVTOCT24!I33-E33+L33</f>
        <v>957552.64928596013</v>
      </c>
      <c r="G33" s="5">
        <f>IF(MVTOCT24!I33+L33&gt;700000,(MVTOCT24!I33-E33+L33),0)</f>
        <v>957552.64928596013</v>
      </c>
      <c r="H33" s="36">
        <f t="shared" si="0"/>
        <v>0</v>
      </c>
      <c r="I33" s="6">
        <f t="shared" si="2"/>
        <v>957552.64928596013</v>
      </c>
      <c r="J33" s="36">
        <f>VLOOKUP($A33,[24]HISTONOV24!$A$6:$AQ$42,22,0)</f>
        <v>0</v>
      </c>
      <c r="K33" s="36">
        <f>VLOOKUP($A33,[24]HISTONOV24!$A$6:$AU$38,45,0)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VLOOKUP($A33,[24]HISTONOV24!$A$6:$AU$38,7,0)</f>
        <v>0</v>
      </c>
      <c r="Q33" s="36">
        <f>VLOOKUP($A33,[24]HISTONOV24!$A$6:$AU$38,23,0)</f>
        <v>0</v>
      </c>
      <c r="R33" s="36">
        <f>VLOOKUP($A33,[24]HISTONOV24!$A$6:$AU$38,46,0)</f>
        <v>0</v>
      </c>
      <c r="S33" s="36">
        <f>VLOOKUP($A33,[24]HISTONOV24!$A$6:$AU$38,26,0)</f>
        <v>0</v>
      </c>
      <c r="T33" s="36">
        <f>VLOOKUP($A33,[24]HISTONOV24!$A$6:$BG$38,58,0)</f>
        <v>0</v>
      </c>
      <c r="U33" s="36">
        <f>VLOOKUP($A33,[24]HISTONOV24!$A$6:$AU$38,28,0)</f>
        <v>0</v>
      </c>
      <c r="V33" s="36">
        <f>VLOOKUP($A33,[24]HISTONOV24!$A$6:$AU$38,19,0)</f>
        <v>0</v>
      </c>
      <c r="W33" s="36">
        <f>VLOOKUP($A33,[24]HISTONOV24!$A$6:$AU$38,20,0)</f>
        <v>0</v>
      </c>
      <c r="X33" s="36">
        <f>VLOOKUP($A33,[24]HISTONOV24!$A$6:$AU$38,27,0)</f>
        <v>0</v>
      </c>
      <c r="Y33" s="36">
        <f>VLOOKUP($A33,[24]HISTONOV24!$A$6:$BM$38,33,0)</f>
        <v>0</v>
      </c>
      <c r="Z33" s="36">
        <f>VLOOKUP($A33,[24]HISTONOV24!$A$6:$BM$38,65,0)</f>
        <v>0</v>
      </c>
      <c r="AA33" s="36"/>
      <c r="AB33" s="36">
        <f>VLOOKUP($A33,[24]HISTONOV24!$A$6:$AU$38,43,0)</f>
        <v>0</v>
      </c>
      <c r="AC33" s="36">
        <f>VLOOKUP($A33,[24]HISTONOV24!$A$6:$AU$38,44,0)</f>
        <v>0</v>
      </c>
      <c r="AD33" s="36">
        <f>VLOOKUP($A33,[24]HISTONOV24!$A$6:$AU$38,47,0)</f>
        <v>0</v>
      </c>
      <c r="AE33" s="36">
        <f>VLOOKUP(A33,[24]HISTONOV24!$A$6:$BB$38,54,0)</f>
        <v>0</v>
      </c>
      <c r="AF33" s="36">
        <f>VLOOKUP($A33,[24]HISTONOV24!$A$6:$CA$38,60,0)</f>
        <v>0</v>
      </c>
      <c r="AG33" s="36">
        <f>VLOOKUP($A33,[24]HISTONOV24!$A$6:$CA$38,61,0)</f>
        <v>0</v>
      </c>
      <c r="AH33" s="36">
        <f>VLOOKUP($A33,[24]HISTONOV24!$A$6:$CA$38,62,0)</f>
        <v>0</v>
      </c>
      <c r="AI33" s="36">
        <f>VLOOKUP($A33,[24]HISTONOV24!$A$6:$CA$38,63,0)</f>
        <v>0</v>
      </c>
      <c r="AJ33" s="36">
        <f>VLOOKUP($A33,[24]HISTONOV24!$A$6:$CA$38,64,0)</f>
        <v>0</v>
      </c>
      <c r="AK33" s="36">
        <f>VLOOKUP($A33,[24]HISTONOV24!$A$6:$CA$38,65,0)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MVTOCT24!I34-E34+L34</f>
        <v>614000</v>
      </c>
      <c r="G34" s="5">
        <f>IF(MVTOCT24!I34+L34&gt;700000,(MVTOCT24!I34-E34+L34),0)</f>
        <v>0</v>
      </c>
      <c r="H34" s="36">
        <f t="shared" si="0"/>
        <v>0</v>
      </c>
      <c r="I34" s="6">
        <f t="shared" si="2"/>
        <v>614000</v>
      </c>
      <c r="J34" s="36">
        <f>VLOOKUP($A34,[24]HISTONOV24!$A$6:$AQ$42,22,0)</f>
        <v>0</v>
      </c>
      <c r="K34" s="36">
        <f>VLOOKUP($A34,[24]HISTONOV24!$A$6:$AU$38,45,0)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VLOOKUP($A34,[24]HISTONOV24!$A$6:$AU$38,7,0)</f>
        <v>0</v>
      </c>
      <c r="Q34" s="36">
        <f>VLOOKUP($A34,[24]HISTONOV24!$A$6:$AU$38,23,0)</f>
        <v>0</v>
      </c>
      <c r="R34" s="36">
        <f>VLOOKUP($A34,[24]HISTONOV24!$A$6:$AU$38,46,0)</f>
        <v>0</v>
      </c>
      <c r="S34" s="36">
        <f>VLOOKUP($A34,[24]HISTONOV24!$A$6:$AU$38,26,0)</f>
        <v>0</v>
      </c>
      <c r="T34" s="36">
        <f>VLOOKUP($A34,[24]HISTONOV24!$A$6:$BG$38,58,0)</f>
        <v>0</v>
      </c>
      <c r="U34" s="36">
        <f>VLOOKUP($A34,[24]HISTONOV24!$A$6:$AU$38,28,0)</f>
        <v>0</v>
      </c>
      <c r="V34" s="36">
        <f>VLOOKUP($A34,[24]HISTONOV24!$A$6:$AU$38,19,0)</f>
        <v>0</v>
      </c>
      <c r="W34" s="36">
        <f>VLOOKUP($A34,[24]HISTONOV24!$A$6:$AU$38,20,0)</f>
        <v>0</v>
      </c>
      <c r="X34" s="36">
        <f>VLOOKUP($A34,[24]HISTONOV24!$A$6:$AU$38,27,0)</f>
        <v>0</v>
      </c>
      <c r="Y34" s="36">
        <f>VLOOKUP($A34,[24]HISTONOV24!$A$6:$BM$38,33,0)</f>
        <v>0</v>
      </c>
      <c r="Z34" s="36">
        <f>VLOOKUP($A34,[24]HISTONOV24!$A$6:$BM$38,65,0)</f>
        <v>0</v>
      </c>
      <c r="AA34" s="36"/>
      <c r="AB34" s="36">
        <f>VLOOKUP($A34,[24]HISTONOV24!$A$6:$AU$38,43,0)</f>
        <v>0</v>
      </c>
      <c r="AC34" s="36">
        <f>VLOOKUP($A34,[24]HISTONOV24!$A$6:$AU$38,44,0)</f>
        <v>0</v>
      </c>
      <c r="AD34" s="36">
        <f>VLOOKUP($A34,[24]HISTONOV24!$A$6:$AU$38,47,0)</f>
        <v>0</v>
      </c>
      <c r="AE34" s="36">
        <f>VLOOKUP(A34,[24]HISTONOV24!$A$6:$BB$38,54,0)</f>
        <v>0</v>
      </c>
      <c r="AF34" s="36">
        <f>VLOOKUP($A34,[24]HISTONOV24!$A$6:$CA$38,60,0)</f>
        <v>0</v>
      </c>
      <c r="AG34" s="36">
        <f>VLOOKUP($A34,[24]HISTONOV24!$A$6:$CA$38,61,0)</f>
        <v>0</v>
      </c>
      <c r="AH34" s="36">
        <f>VLOOKUP($A34,[24]HISTONOV24!$A$6:$CA$38,62,0)</f>
        <v>0</v>
      </c>
      <c r="AI34" s="36">
        <f>VLOOKUP($A34,[24]HISTONOV24!$A$6:$CA$38,63,0)</f>
        <v>0</v>
      </c>
      <c r="AJ34" s="36">
        <f>VLOOKUP($A34,[24]HISTONOV24!$A$6:$CA$38,64,0)</f>
        <v>0</v>
      </c>
      <c r="AK34" s="36">
        <f>VLOOKUP($A34,[24]HISTONOV24!$A$6:$CA$38,65,0)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MVTOCT24!I35-E35+L35</f>
        <v>309000</v>
      </c>
      <c r="G35" s="5">
        <f>IF(MVTOCT24!I35+L35&gt;700000,(MVTOCT24!I35-E35+L35),0)</f>
        <v>0</v>
      </c>
      <c r="H35" s="36">
        <f t="shared" si="0"/>
        <v>0</v>
      </c>
      <c r="I35" s="6">
        <f t="shared" si="2"/>
        <v>309000</v>
      </c>
      <c r="J35" s="36">
        <f>VLOOKUP($A35,[24]HISTONOV24!$A$6:$AQ$42,22,0)</f>
        <v>0</v>
      </c>
      <c r="K35" s="36">
        <f>VLOOKUP($A35,[24]HISTONOV24!$A$6:$AU$38,45,0)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VLOOKUP($A35,[24]HISTONOV24!$A$6:$AU$38,7,0)</f>
        <v>3000</v>
      </c>
      <c r="Q35" s="36">
        <f>VLOOKUP($A35,[24]HISTONOV24!$A$6:$AU$38,23,0)</f>
        <v>0</v>
      </c>
      <c r="R35" s="36">
        <f>VLOOKUP($A35,[24]HISTONOV24!$A$6:$AU$38,46,0)</f>
        <v>0</v>
      </c>
      <c r="S35" s="36">
        <f>VLOOKUP($A35,[24]HISTONOV24!$A$6:$AU$38,26,0)</f>
        <v>0</v>
      </c>
      <c r="T35" s="36">
        <f>VLOOKUP($A35,[24]HISTONOV24!$A$6:$BG$38,58,0)</f>
        <v>0</v>
      </c>
      <c r="U35" s="36">
        <f>VLOOKUP($A35,[24]HISTONOV24!$A$6:$AU$38,28,0)</f>
        <v>0</v>
      </c>
      <c r="V35" s="36">
        <f>VLOOKUP($A35,[24]HISTONOV24!$A$6:$AU$38,19,0)</f>
        <v>0</v>
      </c>
      <c r="W35" s="36">
        <f>VLOOKUP($A35,[24]HISTONOV24!$A$6:$AU$38,20,0)</f>
        <v>0</v>
      </c>
      <c r="X35" s="36">
        <f>VLOOKUP($A35,[24]HISTONOV24!$A$6:$AU$38,27,0)</f>
        <v>0</v>
      </c>
      <c r="Y35" s="36">
        <f>VLOOKUP($A35,[24]HISTONOV24!$A$6:$BM$38,33,0)</f>
        <v>0</v>
      </c>
      <c r="Z35" s="36">
        <f>VLOOKUP($A35,[24]HISTONOV24!$A$6:$BM$38,65,0)</f>
        <v>0</v>
      </c>
      <c r="AA35" s="36"/>
      <c r="AB35" s="36">
        <f>VLOOKUP($A35,[24]HISTONOV24!$A$6:$AU$38,43,0)</f>
        <v>0</v>
      </c>
      <c r="AC35" s="36">
        <f>VLOOKUP($A35,[24]HISTONOV24!$A$6:$AU$38,44,0)</f>
        <v>0</v>
      </c>
      <c r="AD35" s="36">
        <f>VLOOKUP($A35,[24]HISTONOV24!$A$6:$AU$38,47,0)</f>
        <v>0</v>
      </c>
      <c r="AE35" s="36">
        <f>VLOOKUP(A35,[24]HISTONOV24!$A$6:$BB$38,54,0)</f>
        <v>0</v>
      </c>
      <c r="AF35" s="36">
        <f>VLOOKUP($A35,[24]HISTONOV24!$A$6:$CA$38,60,0)</f>
        <v>0</v>
      </c>
      <c r="AG35" s="36">
        <f>VLOOKUP($A35,[24]HISTONOV24!$A$6:$CA$38,61,0)</f>
        <v>0</v>
      </c>
      <c r="AH35" s="36">
        <f>VLOOKUP($A35,[24]HISTONOV24!$A$6:$CA$38,62,0)</f>
        <v>0</v>
      </c>
      <c r="AI35" s="36">
        <f>VLOOKUP($A35,[24]HISTONOV24!$A$6:$CA$38,63,0)</f>
        <v>0</v>
      </c>
      <c r="AJ35" s="36">
        <f>VLOOKUP($A35,[24]HISTONOV24!$A$6:$CA$38,64,0)</f>
        <v>0</v>
      </c>
      <c r="AK35" s="36">
        <f>VLOOKUP($A35,[24]HISTONOV24!$A$6:$CA$38,65,0)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MVTOCT24!I36-E36+L36</f>
        <v>994599.08181867818</v>
      </c>
      <c r="G36" s="5">
        <f>IF(MVTOCT24!I36+L36&gt;700000,(MVTOCT24!I36-E36+L36),0)</f>
        <v>994599.08181867818</v>
      </c>
      <c r="H36" s="36">
        <f t="shared" si="0"/>
        <v>0</v>
      </c>
      <c r="I36" s="6">
        <f t="shared" si="2"/>
        <v>994599.08181867818</v>
      </c>
      <c r="J36" s="36">
        <f>VLOOKUP($A36,[24]HISTONOV24!$A$6:$AQ$42,22,0)</f>
        <v>0</v>
      </c>
      <c r="K36" s="36">
        <f>VLOOKUP($A36,[24]HISTONOV24!$A$6:$AU$38,45,0)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VLOOKUP($A36,[24]HISTONOV24!$A$6:$AU$38,7,0)</f>
        <v>0</v>
      </c>
      <c r="Q36" s="36">
        <f>VLOOKUP($A36,[24]HISTONOV24!$A$6:$AU$38,23,0)</f>
        <v>0</v>
      </c>
      <c r="R36" s="36">
        <f>VLOOKUP($A36,[24]HISTONOV24!$A$6:$AU$38,46,0)</f>
        <v>0</v>
      </c>
      <c r="S36" s="36">
        <f>VLOOKUP($A36,[24]HISTONOV24!$A$6:$AU$38,26,0)</f>
        <v>0</v>
      </c>
      <c r="T36" s="36">
        <f>VLOOKUP($A36,[24]HISTONOV24!$A$6:$BG$38,58,0)</f>
        <v>0</v>
      </c>
      <c r="U36" s="36">
        <f>VLOOKUP($A36,[24]HISTONOV24!$A$6:$AU$38,28,0)</f>
        <v>0</v>
      </c>
      <c r="V36" s="36">
        <f>VLOOKUP($A36,[24]HISTONOV24!$A$6:$AU$38,19,0)</f>
        <v>0</v>
      </c>
      <c r="W36" s="36">
        <f>VLOOKUP($A36,[24]HISTONOV24!$A$6:$AU$38,20,0)</f>
        <v>0</v>
      </c>
      <c r="X36" s="36">
        <f>VLOOKUP($A36,[24]HISTONOV24!$A$6:$AU$38,27,0)</f>
        <v>0</v>
      </c>
      <c r="Y36" s="36">
        <f>VLOOKUP($A36,[24]HISTONOV24!$A$6:$BM$38,33,0)</f>
        <v>0</v>
      </c>
      <c r="Z36" s="36">
        <f>VLOOKUP($A36,[24]HISTONOV24!$A$6:$BM$38,65,0)</f>
        <v>0</v>
      </c>
      <c r="AA36" s="36"/>
      <c r="AB36" s="36">
        <f>VLOOKUP($A36,[24]HISTONOV24!$A$6:$AU$38,43,0)</f>
        <v>0</v>
      </c>
      <c r="AC36" s="36">
        <f>VLOOKUP($A36,[24]HISTONOV24!$A$6:$AU$38,44,0)</f>
        <v>0</v>
      </c>
      <c r="AD36" s="36">
        <f>VLOOKUP($A36,[24]HISTONOV24!$A$6:$AU$38,47,0)</f>
        <v>0</v>
      </c>
      <c r="AE36" s="36">
        <f>VLOOKUP(A36,[24]HISTONOV24!$A$6:$BB$38,54,0)</f>
        <v>0</v>
      </c>
      <c r="AF36" s="36">
        <f>VLOOKUP($A36,[24]HISTONOV24!$A$6:$CA$38,60,0)</f>
        <v>0</v>
      </c>
      <c r="AG36" s="36">
        <f>VLOOKUP($A36,[24]HISTONOV24!$A$6:$CA$38,61,0)</f>
        <v>0</v>
      </c>
      <c r="AH36" s="36">
        <f>VLOOKUP($A36,[24]HISTONOV24!$A$6:$CA$38,62,0)</f>
        <v>0</v>
      </c>
      <c r="AI36" s="36">
        <f>VLOOKUP($A36,[24]HISTONOV24!$A$6:$CA$38,63,0)</f>
        <v>0</v>
      </c>
      <c r="AJ36" s="36">
        <f>VLOOKUP($A36,[24]HISTONOV24!$A$6:$CA$38,64,0)</f>
        <v>0</v>
      </c>
      <c r="AK36" s="36">
        <f>VLOOKUP($A36,[24]HISTONOV24!$A$6:$CA$38,65,0)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MVTOCT24!I37-E37+L37</f>
        <v>2027400.7147676253</v>
      </c>
      <c r="G37" s="5">
        <f>IF(MVTOCT24!I37+L37&gt;700000,(MVTOCT24!I37-E37+L37),0)</f>
        <v>2027400.7147676253</v>
      </c>
      <c r="H37" s="36">
        <f t="shared" si="0"/>
        <v>0</v>
      </c>
      <c r="I37" s="6">
        <f t="shared" si="2"/>
        <v>2027400.7147676253</v>
      </c>
      <c r="J37" s="36">
        <f>VLOOKUP($A37,[24]HISTONOV24!$A$6:$AQ$42,22,0)</f>
        <v>0</v>
      </c>
      <c r="K37" s="36">
        <f>VLOOKUP($A37,[24]HISTONOV24!$A$6:$AU$38,45,0)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VLOOKUP($A37,[24]HISTONOV24!$A$6:$AU$38,7,0)</f>
        <v>3000</v>
      </c>
      <c r="Q37" s="36">
        <f>VLOOKUP($A37,[24]HISTONOV24!$A$6:$AU$38,23,0)</f>
        <v>0</v>
      </c>
      <c r="R37" s="36">
        <f>VLOOKUP($A37,[24]HISTONOV24!$A$6:$AU$38,46,0)</f>
        <v>0</v>
      </c>
      <c r="S37" s="36">
        <f>VLOOKUP($A37,[24]HISTONOV24!$A$6:$AU$38,26,0)</f>
        <v>0</v>
      </c>
      <c r="T37" s="36">
        <f>VLOOKUP($A37,[24]HISTONOV24!$A$6:$BG$38,58,0)</f>
        <v>0</v>
      </c>
      <c r="U37" s="36">
        <f>VLOOKUP($A37,[24]HISTONOV24!$A$6:$AU$38,28,0)</f>
        <v>0</v>
      </c>
      <c r="V37" s="36">
        <f>VLOOKUP($A37,[24]HISTONOV24!$A$6:$AU$38,19,0)</f>
        <v>0</v>
      </c>
      <c r="W37" s="36">
        <f>VLOOKUP($A37,[24]HISTONOV24!$A$6:$AU$38,20,0)</f>
        <v>0</v>
      </c>
      <c r="X37" s="36">
        <f>VLOOKUP($A37,[24]HISTONOV24!$A$6:$AU$38,27,0)</f>
        <v>0</v>
      </c>
      <c r="Y37" s="36">
        <f>VLOOKUP($A37,[24]HISTONOV24!$A$6:$BM$38,33,0)</f>
        <v>0</v>
      </c>
      <c r="Z37" s="36">
        <f>VLOOKUP($A37,[24]HISTONOV24!$A$6:$BM$38,65,0)</f>
        <v>0</v>
      </c>
      <c r="AA37" s="36"/>
      <c r="AB37" s="36">
        <f>VLOOKUP($A37,[24]HISTONOV24!$A$6:$AU$38,43,0)</f>
        <v>0</v>
      </c>
      <c r="AC37" s="36">
        <f>VLOOKUP($A37,[24]HISTONOV24!$A$6:$AU$38,44,0)</f>
        <v>0</v>
      </c>
      <c r="AD37" s="36">
        <f>VLOOKUP($A37,[24]HISTONOV24!$A$6:$AU$38,47,0)</f>
        <v>0</v>
      </c>
      <c r="AE37" s="36">
        <f>VLOOKUP(A37,[24]HISTONOV24!$A$6:$BB$38,54,0)</f>
        <v>0</v>
      </c>
      <c r="AF37" s="36">
        <f>VLOOKUP($A37,[24]HISTONOV24!$A$6:$CA$38,60,0)</f>
        <v>0</v>
      </c>
      <c r="AG37" s="36">
        <f>VLOOKUP($A37,[24]HISTONOV24!$A$6:$CA$38,61,0)</f>
        <v>0</v>
      </c>
      <c r="AH37" s="36">
        <f>VLOOKUP($A37,[24]HISTONOV24!$A$6:$CA$38,62,0)</f>
        <v>0</v>
      </c>
      <c r="AI37" s="36">
        <f>VLOOKUP($A37,[24]HISTONOV24!$A$6:$CA$38,63,0)</f>
        <v>0</v>
      </c>
      <c r="AJ37" s="36">
        <f>VLOOKUP($A37,[24]HISTONOV24!$A$6:$CA$38,64,0)</f>
        <v>0</v>
      </c>
      <c r="AK37" s="36">
        <f>VLOOKUP($A37,[24]HISTONOV24!$A$6:$CA$38,65,0)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MVTOCT24!I38-E38+L38</f>
        <v>209000</v>
      </c>
      <c r="G38" s="5">
        <f>IF(MVTOCT24!I38+L38&gt;700000,(MVTOCT24!I38-E38+L38),0)</f>
        <v>0</v>
      </c>
      <c r="H38" s="36">
        <f t="shared" si="0"/>
        <v>0</v>
      </c>
      <c r="I38" s="6">
        <f t="shared" si="2"/>
        <v>209000</v>
      </c>
      <c r="J38" s="36">
        <f>VLOOKUP($A38,[24]HISTONOV24!$A$6:$AQ$42,22,0)</f>
        <v>0</v>
      </c>
      <c r="K38" s="36">
        <f>VLOOKUP($A38,[24]HISTONOV24!$A$6:$AU$38,45,0)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VLOOKUP($A38,[24]HISTONOV24!$A$6:$AU$38,7,0)</f>
        <v>0</v>
      </c>
      <c r="Q38" s="36">
        <f>VLOOKUP($A38,[24]HISTONOV24!$A$6:$AU$38,23,0)</f>
        <v>0</v>
      </c>
      <c r="R38" s="36">
        <f>VLOOKUP($A38,[24]HISTONOV24!$A$6:$AU$38,46,0)</f>
        <v>0</v>
      </c>
      <c r="S38" s="36">
        <f>VLOOKUP($A38,[24]HISTONOV24!$A$6:$AU$38,26,0)</f>
        <v>0</v>
      </c>
      <c r="T38" s="36">
        <f>VLOOKUP($A38,[24]HISTONOV24!$A$6:$BG$38,58,0)</f>
        <v>0</v>
      </c>
      <c r="U38" s="36">
        <f>VLOOKUP($A38,[24]HISTONOV24!$A$6:$AU$38,28,0)</f>
        <v>0</v>
      </c>
      <c r="V38" s="36">
        <f>VLOOKUP($A38,[24]HISTONOV24!$A$6:$AU$38,19,0)</f>
        <v>0</v>
      </c>
      <c r="W38" s="36">
        <f>VLOOKUP($A38,[24]HISTONOV24!$A$6:$AU$38,20,0)</f>
        <v>0</v>
      </c>
      <c r="X38" s="36">
        <f>VLOOKUP($A38,[24]HISTONOV24!$A$6:$AU$38,27,0)</f>
        <v>0</v>
      </c>
      <c r="Y38" s="36">
        <f>VLOOKUP($A38,[24]HISTONOV24!$A$6:$BM$38,33,0)</f>
        <v>0</v>
      </c>
      <c r="Z38" s="36">
        <f>VLOOKUP($A38,[24]HISTONOV24!$A$6:$BM$38,65,0)</f>
        <v>0</v>
      </c>
      <c r="AA38" s="36"/>
      <c r="AB38" s="36">
        <f>VLOOKUP($A38,[24]HISTONOV24!$A$6:$AU$38,43,0)</f>
        <v>0</v>
      </c>
      <c r="AC38" s="36">
        <f>VLOOKUP($A38,[24]HISTONOV24!$A$6:$AU$38,44,0)</f>
        <v>0</v>
      </c>
      <c r="AD38" s="36">
        <f>VLOOKUP($A38,[24]HISTONOV24!$A$6:$AU$38,47,0)</f>
        <v>0</v>
      </c>
      <c r="AE38" s="36">
        <f>VLOOKUP(A38,[24]HISTONOV24!$A$6:$BB$38,54,0)</f>
        <v>0</v>
      </c>
      <c r="AF38" s="36">
        <f>VLOOKUP($A38,[24]HISTONOV24!$A$6:$CA$38,60,0)</f>
        <v>0</v>
      </c>
      <c r="AG38" s="36">
        <f>VLOOKUP($A38,[24]HISTONOV24!$A$6:$CA$38,61,0)</f>
        <v>0</v>
      </c>
      <c r="AH38" s="36">
        <f>VLOOKUP($A38,[24]HISTONOV24!$A$6:$CA$38,62,0)</f>
        <v>0</v>
      </c>
      <c r="AI38" s="36">
        <f>VLOOKUP($A38,[24]HISTONOV24!$A$6:$CA$38,63,0)</f>
        <v>0</v>
      </c>
      <c r="AJ38" s="36">
        <f>VLOOKUP($A38,[24]HISTONOV24!$A$6:$CA$38,64,0)</f>
        <v>0</v>
      </c>
      <c r="AK38" s="36">
        <f>VLOOKUP($A38,[24]HISTONOV24!$A$6:$CA$38,65,0)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MVTOCT24!I39-E39+L39</f>
        <v>2192313.2142100567</v>
      </c>
      <c r="G39" s="5">
        <f>IF(MVTOCT24!I39+L39&gt;700000,(MVTOCT24!I39-E39+L39),0)</f>
        <v>2192313.2142100567</v>
      </c>
      <c r="H39" s="36">
        <f t="shared" si="0"/>
        <v>0</v>
      </c>
      <c r="I39" s="6">
        <f t="shared" si="2"/>
        <v>2192313.2142100567</v>
      </c>
      <c r="J39" s="36">
        <f>VLOOKUP($A39,[24]HISTONOV24!$A$6:$AQ$42,22,0)</f>
        <v>0</v>
      </c>
      <c r="K39" s="36">
        <f>VLOOKUP($A39,[24]HISTONOV24!$A$6:$AU$38,45,0)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VLOOKUP($A39,[24]HISTONOV24!$A$6:$AU$38,7,0)</f>
        <v>0</v>
      </c>
      <c r="Q39" s="36">
        <f>VLOOKUP($A39,[24]HISTONOV24!$A$6:$AU$38,23,0)</f>
        <v>0</v>
      </c>
      <c r="R39" s="36">
        <f>VLOOKUP($A39,[24]HISTONOV24!$A$6:$AU$38,46,0)</f>
        <v>0</v>
      </c>
      <c r="S39" s="36">
        <f>VLOOKUP($A39,[24]HISTONOV24!$A$6:$AU$38,26,0)</f>
        <v>0</v>
      </c>
      <c r="T39" s="36">
        <f>VLOOKUP($A39,[24]HISTONOV24!$A$6:$BG$38,58,0)</f>
        <v>0</v>
      </c>
      <c r="U39" s="36">
        <f>VLOOKUP($A39,[24]HISTONOV24!$A$6:$AU$38,28,0)</f>
        <v>0</v>
      </c>
      <c r="V39" s="36">
        <f>VLOOKUP($A39,[24]HISTONOV24!$A$6:$AU$38,19,0)</f>
        <v>0</v>
      </c>
      <c r="W39" s="36">
        <f>VLOOKUP($A39,[24]HISTONOV24!$A$6:$AU$38,20,0)</f>
        <v>0</v>
      </c>
      <c r="X39" s="36">
        <f>VLOOKUP($A39,[24]HISTONOV24!$A$6:$AU$38,27,0)</f>
        <v>0</v>
      </c>
      <c r="Y39" s="36">
        <f>VLOOKUP($A39,[24]HISTONOV24!$A$6:$BM$38,33,0)</f>
        <v>0</v>
      </c>
      <c r="Z39" s="36">
        <f>VLOOKUP($A39,[24]HISTONOV24!$A$6:$BM$38,65,0)</f>
        <v>0</v>
      </c>
      <c r="AA39" s="36"/>
      <c r="AB39" s="36">
        <f>VLOOKUP($A39,[24]HISTONOV24!$A$6:$AU$38,43,0)</f>
        <v>0</v>
      </c>
      <c r="AC39" s="36">
        <f>VLOOKUP($A39,[24]HISTONOV24!$A$6:$AU$38,44,0)</f>
        <v>0</v>
      </c>
      <c r="AD39" s="36">
        <f>VLOOKUP($A39,[24]HISTONOV24!$A$6:$AU$38,47,0)</f>
        <v>0</v>
      </c>
      <c r="AE39" s="36">
        <f>VLOOKUP(A39,[24]HISTONOV24!$A$6:$BB$38,54,0)</f>
        <v>0</v>
      </c>
      <c r="AF39" s="36">
        <f>VLOOKUP($A39,[24]HISTONOV24!$A$6:$CA$38,60,0)</f>
        <v>0</v>
      </c>
      <c r="AG39" s="36">
        <f>VLOOKUP($A39,[24]HISTONOV24!$A$6:$CA$38,61,0)</f>
        <v>0</v>
      </c>
      <c r="AH39" s="36">
        <f>VLOOKUP($A39,[24]HISTONOV24!$A$6:$CA$38,62,0)</f>
        <v>0</v>
      </c>
      <c r="AI39" s="36">
        <f>VLOOKUP($A39,[24]HISTONOV24!$A$6:$CA$38,63,0)</f>
        <v>0</v>
      </c>
      <c r="AJ39" s="36">
        <f>VLOOKUP($A39,[24]HISTONOV24!$A$6:$CA$38,64,0)</f>
        <v>0</v>
      </c>
      <c r="AK39" s="36">
        <f>VLOOKUP($A39,[24]HISTONOV24!$A$6:$CA$38,65,0)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33576656.655274987</v>
      </c>
      <c r="G41" s="9">
        <f t="shared" si="10"/>
        <v>31559439.524547949</v>
      </c>
      <c r="H41" s="36">
        <f t="shared" si="10"/>
        <v>0</v>
      </c>
      <c r="I41" s="9">
        <f t="shared" si="10"/>
        <v>33576656.655274987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45643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VLOOKUP($A6,[24]HISTODEC24!$A$6:$BA$38,48,0)</f>
        <v>0</v>
      </c>
      <c r="F6" s="36">
        <f>MVTNOV24!I6-E6+L6</f>
        <v>946220.58968855068</v>
      </c>
      <c r="G6" s="5">
        <f>IF(MVTNOV24!I6+L6&gt;700000,(MVTNOV24!I6-E6+L6),0)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VLOOKUP($A6,[24]HISTODEC24!$A$6:$AQ$42,22,0)</f>
        <v>0</v>
      </c>
      <c r="K6" s="36">
        <f>VLOOKUP($A6,[24]HISTODEC24!$A$6:$AU$38,45,0)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VLOOKUP($A6,[24]HISTODEC24!$A$6:$AU$38,7,0)</f>
        <v>0</v>
      </c>
      <c r="Q6" s="36">
        <f>VLOOKUP($A6,[24]HISTODEC24!$A$6:$AU$38,23,0)</f>
        <v>0</v>
      </c>
      <c r="R6" s="36">
        <f>VLOOKUP($A6,[24]HISTODEC24!$A$6:$AU$38,46,0)</f>
        <v>0</v>
      </c>
      <c r="S6" s="36">
        <f>VLOOKUP($A6,[24]HISTODEC24!$A$6:$AU$38,26,0)</f>
        <v>0</v>
      </c>
      <c r="T6" s="36">
        <f>VLOOKUP($A6,[24]HISTODEC24!$A$6:$BG$38,58,0)</f>
        <v>0</v>
      </c>
      <c r="U6" s="36">
        <f>VLOOKUP($A6,[24]HISTODEC24!$A$6:$AU$38,28,0)</f>
        <v>0</v>
      </c>
      <c r="V6" s="36">
        <f>VLOOKUP($A6,[24]HISTODEC24!$A$6:$AU$38,19,0)</f>
        <v>0</v>
      </c>
      <c r="W6" s="36">
        <f>VLOOKUP($A6,[24]HISTODEC24!$A$6:$AU$38,20,0)</f>
        <v>0</v>
      </c>
      <c r="X6" s="36">
        <f>VLOOKUP($A6,[24]HISTODEC24!$A$6:$AU$38,27,0)</f>
        <v>0</v>
      </c>
      <c r="Y6" s="36">
        <f>VLOOKUP($A6,[24]HISTODEC24!$A$6:$BM$38,33,0)</f>
        <v>0</v>
      </c>
      <c r="Z6" s="36">
        <f>VLOOKUP($A6,[24]HISTODEC24!$A$6:$BM$38,65,0)</f>
        <v>0</v>
      </c>
      <c r="AA6" s="36"/>
      <c r="AB6" s="36">
        <f>VLOOKUP($A6,[24]HISTODEC24!$A$6:$AU$38,43,0)</f>
        <v>0</v>
      </c>
      <c r="AC6" s="36">
        <f>VLOOKUP($A6,[24]HISTODEC24!$A$6:$AU$38,44,0)</f>
        <v>0</v>
      </c>
      <c r="AD6" s="36">
        <f>VLOOKUP($A6,[24]HISTODEC24!$A$6:$AU$38,47,0)</f>
        <v>0</v>
      </c>
      <c r="AE6" s="36">
        <f>VLOOKUP(A6,[24]HISTODEC24!$A$6:$BB$38,54,0)</f>
        <v>0</v>
      </c>
      <c r="AF6" s="36">
        <f>VLOOKUP($A6,[24]HISTODEC24!$A$6:$CA$38,60,0)</f>
        <v>0</v>
      </c>
      <c r="AG6" s="36">
        <f>VLOOKUP($A6,[24]HISTODEC24!$A$6:$CA$38,61,0)</f>
        <v>0</v>
      </c>
      <c r="AH6" s="36">
        <f>VLOOKUP($A6,[24]HISTODEC24!$A$6:$CA$38,62,0)</f>
        <v>0</v>
      </c>
      <c r="AI6" s="36">
        <f>VLOOKUP($A6,[24]HISTODEC24!$A$6:$CA$38,63,0)</f>
        <v>0</v>
      </c>
      <c r="AJ6" s="36">
        <f>VLOOKUP($A6,[24]HISTODEC24!$A$6:$CA$38,64,0)</f>
        <v>0</v>
      </c>
      <c r="AK6" s="36">
        <f>VLOOKUP($A6,[24]HISTODEC24!$A$6:$CA$38,65,0)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VLOOKUP($A7,[24]HISTODEC24!$A$6:$BA$38,48,0)</f>
        <v>0</v>
      </c>
      <c r="F7" s="36">
        <f>MVTNOV24!I7-E7+L7</f>
        <v>928791.19348721951</v>
      </c>
      <c r="G7" s="5">
        <f>IF(MVTNOV24!I7+L7&gt;700000,(MVTNOV24!I7-E7+L7),0)</f>
        <v>928791.19348721951</v>
      </c>
      <c r="H7" s="36">
        <f t="shared" si="0"/>
        <v>0</v>
      </c>
      <c r="I7" s="6">
        <f t="shared" ref="I7:I39" si="2">F7+H7</f>
        <v>928791.19348721951</v>
      </c>
      <c r="J7" s="36">
        <f>VLOOKUP($A7,[24]HISTODEC24!$A$6:$AQ$42,22,0)</f>
        <v>0</v>
      </c>
      <c r="K7" s="36">
        <f>VLOOKUP($A7,[24]HISTODEC24!$A$6:$AU$38,45,0)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VLOOKUP($A7,[24]HISTODEC24!$A$6:$AU$38,7,0)</f>
        <v>3000</v>
      </c>
      <c r="Q7" s="36">
        <f>VLOOKUP($A7,[24]HISTODEC24!$A$6:$AU$38,23,0)</f>
        <v>0</v>
      </c>
      <c r="R7" s="36">
        <f>VLOOKUP($A7,[24]HISTODEC24!$A$6:$AU$38,46,0)</f>
        <v>0</v>
      </c>
      <c r="S7" s="36">
        <f>VLOOKUP($A7,[24]HISTODEC24!$A$6:$AU$38,26,0)</f>
        <v>0</v>
      </c>
      <c r="T7" s="36">
        <f>VLOOKUP($A7,[24]HISTODEC24!$A$6:$BG$38,58,0)</f>
        <v>0</v>
      </c>
      <c r="U7" s="36">
        <f>VLOOKUP($A7,[24]HISTODEC24!$A$6:$AU$38,28,0)</f>
        <v>0</v>
      </c>
      <c r="V7" s="36">
        <f>VLOOKUP($A7,[24]HISTODEC24!$A$6:$AU$38,19,0)</f>
        <v>0</v>
      </c>
      <c r="W7" s="36">
        <f>VLOOKUP($A7,[24]HISTODEC24!$A$6:$AU$38,20,0)</f>
        <v>0</v>
      </c>
      <c r="X7" s="36">
        <f>VLOOKUP($A7,[24]HISTODEC24!$A$6:$AU$38,27,0)</f>
        <v>0</v>
      </c>
      <c r="Y7" s="36">
        <f>VLOOKUP($A7,[24]HISTODEC24!$A$6:$BM$38,33,0)</f>
        <v>0</v>
      </c>
      <c r="Z7" s="36">
        <f>VLOOKUP($A7,[24]HISTODEC24!$A$6:$BM$38,65,0)</f>
        <v>0</v>
      </c>
      <c r="AA7" s="36"/>
      <c r="AB7" s="36">
        <f>VLOOKUP($A7,[24]HISTODEC24!$A$6:$AU$38,43,0)</f>
        <v>0</v>
      </c>
      <c r="AC7" s="36">
        <f>VLOOKUP($A7,[24]HISTODEC24!$A$6:$AU$38,44,0)</f>
        <v>0</v>
      </c>
      <c r="AD7" s="36">
        <f>VLOOKUP($A7,[24]HISTODEC24!$A$6:$AU$38,47,0)</f>
        <v>0</v>
      </c>
      <c r="AE7" s="36">
        <f>VLOOKUP(A7,[24]HISTODEC24!$A$6:$BB$38,54,0)</f>
        <v>0</v>
      </c>
      <c r="AF7" s="36">
        <f>VLOOKUP($A7,[24]HISTODEC24!$A$6:$CA$38,60,0)</f>
        <v>0</v>
      </c>
      <c r="AG7" s="36">
        <f>VLOOKUP($A7,[24]HISTODEC24!$A$6:$CA$38,61,0)</f>
        <v>0</v>
      </c>
      <c r="AH7" s="36">
        <f>VLOOKUP($A7,[24]HISTODEC24!$A$6:$CA$38,62,0)</f>
        <v>0</v>
      </c>
      <c r="AI7" s="36">
        <f>VLOOKUP($A7,[24]HISTODEC24!$A$6:$CA$38,63,0)</f>
        <v>0</v>
      </c>
      <c r="AJ7" s="36">
        <f>VLOOKUP($A7,[24]HISTODEC24!$A$6:$CA$38,64,0)</f>
        <v>0</v>
      </c>
      <c r="AK7" s="36">
        <f>VLOOKUP($A7,[24]HISTODEC24!$A$6:$CA$38,65,0)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VLOOKUP($A8,[24]HISTODEC24!$A$6:$BA$38,48,0)</f>
        <v>0</v>
      </c>
      <c r="F8" s="36">
        <f>MVTNOV24!I8-E8+L8</f>
        <v>972533.31236524263</v>
      </c>
      <c r="G8" s="5">
        <f>IF(MVTNOV24!I8+L8&gt;700000,(MVTNOV24!I8-E8+L8),0)</f>
        <v>972533.31236524263</v>
      </c>
      <c r="H8" s="36">
        <f t="shared" si="0"/>
        <v>0</v>
      </c>
      <c r="I8" s="6">
        <f t="shared" si="2"/>
        <v>972533.31236524263</v>
      </c>
      <c r="J8" s="36">
        <f>VLOOKUP($A8,[24]HISTODEC24!$A$6:$AQ$42,22,0)</f>
        <v>0</v>
      </c>
      <c r="K8" s="36">
        <f>VLOOKUP($A8,[24]HISTODEC24!$A$6:$AU$38,45,0)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VLOOKUP($A8,[24]HISTODEC24!$A$6:$AU$38,7,0)</f>
        <v>0</v>
      </c>
      <c r="Q8" s="36">
        <f>VLOOKUP($A8,[24]HISTODEC24!$A$6:$AU$38,23,0)</f>
        <v>0</v>
      </c>
      <c r="R8" s="36">
        <f>VLOOKUP($A8,[24]HISTODEC24!$A$6:$AU$38,46,0)</f>
        <v>0</v>
      </c>
      <c r="S8" s="36">
        <f>VLOOKUP($A8,[24]HISTODEC24!$A$6:$AU$38,26,0)</f>
        <v>0</v>
      </c>
      <c r="T8" s="36">
        <f>VLOOKUP($A8,[24]HISTODEC24!$A$6:$BG$38,58,0)</f>
        <v>0</v>
      </c>
      <c r="U8" s="36">
        <f>VLOOKUP($A8,[24]HISTODEC24!$A$6:$AU$38,28,0)</f>
        <v>0</v>
      </c>
      <c r="V8" s="36">
        <f>VLOOKUP($A8,[24]HISTODEC24!$A$6:$AU$38,19,0)</f>
        <v>0</v>
      </c>
      <c r="W8" s="36">
        <f>VLOOKUP($A8,[24]HISTODEC24!$A$6:$AU$38,20,0)</f>
        <v>0</v>
      </c>
      <c r="X8" s="36">
        <f>VLOOKUP($A8,[24]HISTODEC24!$A$6:$AU$38,27,0)</f>
        <v>0</v>
      </c>
      <c r="Y8" s="36">
        <f>VLOOKUP($A8,[24]HISTODEC24!$A$6:$BM$38,33,0)</f>
        <v>0</v>
      </c>
      <c r="Z8" s="36">
        <f>VLOOKUP($A8,[24]HISTODEC24!$A$6:$BM$38,65,0)</f>
        <v>0</v>
      </c>
      <c r="AA8" s="36"/>
      <c r="AB8" s="36">
        <f>VLOOKUP($A8,[24]HISTODEC24!$A$6:$AU$38,43,0)</f>
        <v>0</v>
      </c>
      <c r="AC8" s="36">
        <f>VLOOKUP($A8,[24]HISTODEC24!$A$6:$AU$38,44,0)</f>
        <v>0</v>
      </c>
      <c r="AD8" s="36">
        <f>VLOOKUP($A8,[24]HISTODEC24!$A$6:$AU$38,47,0)</f>
        <v>0</v>
      </c>
      <c r="AE8" s="36">
        <f>VLOOKUP(A8,[24]HISTODEC24!$A$6:$BB$38,54,0)</f>
        <v>0</v>
      </c>
      <c r="AF8" s="36">
        <f>VLOOKUP($A8,[24]HISTODEC24!$A$6:$CA$38,60,0)</f>
        <v>0</v>
      </c>
      <c r="AG8" s="36">
        <f>VLOOKUP($A8,[24]HISTODEC24!$A$6:$CA$38,61,0)</f>
        <v>0</v>
      </c>
      <c r="AH8" s="36">
        <f>VLOOKUP($A8,[24]HISTODEC24!$A$6:$CA$38,62,0)</f>
        <v>0</v>
      </c>
      <c r="AI8" s="36">
        <f>VLOOKUP($A8,[24]HISTODEC24!$A$6:$CA$38,63,0)</f>
        <v>0</v>
      </c>
      <c r="AJ8" s="36">
        <f>VLOOKUP($A8,[24]HISTODEC24!$A$6:$CA$38,64,0)</f>
        <v>0</v>
      </c>
      <c r="AK8" s="36">
        <f>VLOOKUP($A8,[24]HISTODEC24!$A$6:$CA$38,65,0)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VLOOKUP($A9,[24]HISTODEC24!$A$6:$BA$38,48,0)</f>
        <v>0</v>
      </c>
      <c r="F9" s="36">
        <f>MVTNOV24!I9-E9+L9</f>
        <v>1029962.0068681776</v>
      </c>
      <c r="G9" s="5">
        <f>IF(MVTNOV24!I9+L9&gt;700000,(MVTNOV24!I9-E9+L9),0)</f>
        <v>1029962.0068681776</v>
      </c>
      <c r="H9" s="36">
        <f t="shared" si="0"/>
        <v>0</v>
      </c>
      <c r="I9" s="6">
        <f t="shared" si="2"/>
        <v>1029962.0068681776</v>
      </c>
      <c r="J9" s="36">
        <f>VLOOKUP($A9,[24]HISTODEC24!$A$6:$AQ$42,22,0)</f>
        <v>0</v>
      </c>
      <c r="K9" s="36">
        <f>VLOOKUP($A9,[24]HISTODEC24!$A$6:$AU$38,45,0)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VLOOKUP($A9,[24]HISTODEC24!$A$6:$AU$38,7,0)</f>
        <v>0</v>
      </c>
      <c r="Q9" s="36">
        <f>VLOOKUP($A9,[24]HISTODEC24!$A$6:$AU$38,23,0)</f>
        <v>0</v>
      </c>
      <c r="R9" s="36">
        <f>VLOOKUP($A9,[24]HISTODEC24!$A$6:$AU$38,46,0)</f>
        <v>0</v>
      </c>
      <c r="S9" s="36">
        <f>VLOOKUP($A9,[24]HISTODEC24!$A$6:$AU$38,26,0)</f>
        <v>0</v>
      </c>
      <c r="T9" s="36">
        <f>VLOOKUP($A9,[24]HISTODEC24!$A$6:$BG$38,58,0)</f>
        <v>0</v>
      </c>
      <c r="U9" s="36">
        <f>VLOOKUP($A9,[24]HISTODEC24!$A$6:$AU$38,28,0)</f>
        <v>0</v>
      </c>
      <c r="V9" s="36">
        <f>VLOOKUP($A9,[24]HISTODEC24!$A$6:$AU$38,19,0)</f>
        <v>0</v>
      </c>
      <c r="W9" s="36">
        <f>VLOOKUP($A9,[24]HISTODEC24!$A$6:$AU$38,20,0)</f>
        <v>0</v>
      </c>
      <c r="X9" s="36">
        <f>VLOOKUP($A9,[24]HISTODEC24!$A$6:$AU$38,27,0)</f>
        <v>0</v>
      </c>
      <c r="Y9" s="36">
        <f>VLOOKUP($A9,[24]HISTODEC24!$A$6:$BM$38,33,0)</f>
        <v>0</v>
      </c>
      <c r="Z9" s="36">
        <f>VLOOKUP($A9,[24]HISTODEC24!$A$6:$BM$38,65,0)</f>
        <v>0</v>
      </c>
      <c r="AA9" s="36"/>
      <c r="AB9" s="36">
        <f>VLOOKUP($A9,[24]HISTODEC24!$A$6:$AU$38,43,0)</f>
        <v>0</v>
      </c>
      <c r="AC9" s="36">
        <f>VLOOKUP($A9,[24]HISTODEC24!$A$6:$AU$38,44,0)</f>
        <v>0</v>
      </c>
      <c r="AD9" s="36">
        <f>VLOOKUP($A9,[24]HISTODEC24!$A$6:$AU$38,47,0)</f>
        <v>0</v>
      </c>
      <c r="AE9" s="36">
        <f>VLOOKUP(A9,[24]HISTODEC24!$A$6:$BB$38,54,0)</f>
        <v>0</v>
      </c>
      <c r="AF9" s="36">
        <f>VLOOKUP($A9,[24]HISTODEC24!$A$6:$CA$38,60,0)</f>
        <v>0</v>
      </c>
      <c r="AG9" s="36">
        <f>VLOOKUP($A9,[24]HISTODEC24!$A$6:$CA$38,61,0)</f>
        <v>0</v>
      </c>
      <c r="AH9" s="36">
        <f>VLOOKUP($A9,[24]HISTODEC24!$A$6:$CA$38,62,0)</f>
        <v>0</v>
      </c>
      <c r="AI9" s="36">
        <f>VLOOKUP($A9,[24]HISTODEC24!$A$6:$CA$38,63,0)</f>
        <v>0</v>
      </c>
      <c r="AJ9" s="36">
        <f>VLOOKUP($A9,[24]HISTODEC24!$A$6:$CA$38,64,0)</f>
        <v>0</v>
      </c>
      <c r="AK9" s="36">
        <f>VLOOKUP($A9,[24]HISTODEC24!$A$6:$CA$38,65,0)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VLOOKUP($A10,[24]HISTODEC24!$A$6:$BA$38,48,0)</f>
        <v>0</v>
      </c>
      <c r="F10" s="36">
        <f>MVTNOV24!I10-E10+L10</f>
        <v>969805.20622596238</v>
      </c>
      <c r="G10" s="5">
        <f>IF(MVTNOV24!I10+L10&gt;700000,(MVTNOV24!I10-E10+L10),0)</f>
        <v>969805.20622596238</v>
      </c>
      <c r="H10" s="36">
        <f t="shared" si="0"/>
        <v>0</v>
      </c>
      <c r="I10" s="6">
        <f t="shared" si="2"/>
        <v>969805.20622596238</v>
      </c>
      <c r="J10" s="36">
        <f>VLOOKUP($A10,[24]HISTODEC24!$A$6:$AQ$42,22,0)</f>
        <v>0</v>
      </c>
      <c r="K10" s="36">
        <f>VLOOKUP($A10,[24]HISTODEC24!$A$6:$AU$38,45,0)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VLOOKUP($A10,[24]HISTODEC24!$A$6:$AU$38,7,0)</f>
        <v>0</v>
      </c>
      <c r="Q10" s="36">
        <f>VLOOKUP($A10,[24]HISTODEC24!$A$6:$AU$38,23,0)</f>
        <v>0</v>
      </c>
      <c r="R10" s="36">
        <f>VLOOKUP($A10,[24]HISTODEC24!$A$6:$AU$38,46,0)</f>
        <v>0</v>
      </c>
      <c r="S10" s="36">
        <f>VLOOKUP($A10,[24]HISTODEC24!$A$6:$AU$38,26,0)</f>
        <v>0</v>
      </c>
      <c r="T10" s="36">
        <f>VLOOKUP($A10,[24]HISTODEC24!$A$6:$BG$38,58,0)</f>
        <v>0</v>
      </c>
      <c r="U10" s="36">
        <f>VLOOKUP($A10,[24]HISTODEC24!$A$6:$AU$38,28,0)</f>
        <v>0</v>
      </c>
      <c r="V10" s="36">
        <f>VLOOKUP($A10,[24]HISTODEC24!$A$6:$AU$38,19,0)</f>
        <v>0</v>
      </c>
      <c r="W10" s="36">
        <f>VLOOKUP($A10,[24]HISTODEC24!$A$6:$AU$38,20,0)</f>
        <v>0</v>
      </c>
      <c r="X10" s="36">
        <f>VLOOKUP($A10,[24]HISTODEC24!$A$6:$AU$38,27,0)</f>
        <v>0</v>
      </c>
      <c r="Y10" s="36">
        <f>VLOOKUP($A10,[24]HISTODEC24!$A$6:$BM$38,33,0)</f>
        <v>0</v>
      </c>
      <c r="Z10" s="36">
        <f>VLOOKUP($A10,[24]HISTODEC24!$A$6:$BM$38,65,0)</f>
        <v>0</v>
      </c>
      <c r="AA10" s="36"/>
      <c r="AB10" s="36">
        <f>VLOOKUP($A10,[24]HISTODEC24!$A$6:$AU$38,43,0)</f>
        <v>0</v>
      </c>
      <c r="AC10" s="36">
        <f>VLOOKUP($A10,[24]HISTODEC24!$A$6:$AU$38,44,0)</f>
        <v>0</v>
      </c>
      <c r="AD10" s="36">
        <f>VLOOKUP($A10,[24]HISTODEC24!$A$6:$AU$38,47,0)</f>
        <v>0</v>
      </c>
      <c r="AE10" s="36">
        <f>VLOOKUP(A10,[24]HISTODEC24!$A$6:$BB$38,54,0)</f>
        <v>0</v>
      </c>
      <c r="AF10" s="36">
        <f>VLOOKUP($A10,[24]HISTODEC24!$A$6:$CA$38,60,0)</f>
        <v>0</v>
      </c>
      <c r="AG10" s="36">
        <f>VLOOKUP($A10,[24]HISTODEC24!$A$6:$CA$38,61,0)</f>
        <v>0</v>
      </c>
      <c r="AH10" s="36">
        <f>VLOOKUP($A10,[24]HISTODEC24!$A$6:$CA$38,62,0)</f>
        <v>0</v>
      </c>
      <c r="AI10" s="36">
        <f>VLOOKUP($A10,[24]HISTODEC24!$A$6:$CA$38,63,0)</f>
        <v>0</v>
      </c>
      <c r="AJ10" s="36">
        <f>VLOOKUP($A10,[24]HISTODEC24!$A$6:$CA$38,64,0)</f>
        <v>0</v>
      </c>
      <c r="AK10" s="36">
        <f>VLOOKUP($A10,[24]HISTODEC24!$A$6:$CA$38,65,0)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VLOOKUP($A11,[24]HISTODEC24!$A$6:$BA$38,48,0)</f>
        <v>0</v>
      </c>
      <c r="F11" s="36">
        <f>MVTNOV24!I11-E11+L11</f>
        <v>987855.82895949238</v>
      </c>
      <c r="G11" s="5">
        <f>IF(MVTNOV24!I11+L11&gt;700000,(MVTNOV24!I11-E11+L11),0)</f>
        <v>987855.82895949238</v>
      </c>
      <c r="H11" s="36">
        <f t="shared" si="0"/>
        <v>0</v>
      </c>
      <c r="I11" s="6">
        <f t="shared" si="2"/>
        <v>987855.82895949238</v>
      </c>
      <c r="J11" s="36">
        <f>VLOOKUP($A11,[24]HISTODEC24!$A$6:$AQ$42,22,0)</f>
        <v>0</v>
      </c>
      <c r="K11" s="36">
        <f>VLOOKUP($A11,[24]HISTODEC24!$A$6:$AU$38,45,0)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VLOOKUP($A11,[24]HISTODEC24!$A$6:$AU$38,7,0)</f>
        <v>0</v>
      </c>
      <c r="Q11" s="36">
        <f>VLOOKUP($A11,[24]HISTODEC24!$A$6:$AU$38,23,0)</f>
        <v>0</v>
      </c>
      <c r="R11" s="36">
        <f>VLOOKUP($A11,[24]HISTODEC24!$A$6:$AU$38,46,0)</f>
        <v>0</v>
      </c>
      <c r="S11" s="36">
        <f>VLOOKUP($A11,[24]HISTODEC24!$A$6:$AU$38,26,0)</f>
        <v>0</v>
      </c>
      <c r="T11" s="36">
        <f>VLOOKUP($A11,[24]HISTODEC24!$A$6:$BG$38,58,0)</f>
        <v>0</v>
      </c>
      <c r="U11" s="36">
        <f>VLOOKUP($A11,[24]HISTODEC24!$A$6:$AU$38,28,0)</f>
        <v>0</v>
      </c>
      <c r="V11" s="36">
        <f>VLOOKUP($A11,[24]HISTODEC24!$A$6:$AU$38,19,0)</f>
        <v>0</v>
      </c>
      <c r="W11" s="36">
        <f>VLOOKUP($A11,[24]HISTODEC24!$A$6:$AU$38,20,0)</f>
        <v>0</v>
      </c>
      <c r="X11" s="36">
        <f>VLOOKUP($A11,[24]HISTODEC24!$A$6:$AU$38,27,0)</f>
        <v>0</v>
      </c>
      <c r="Y11" s="36">
        <f>VLOOKUP($A11,[24]HISTODEC24!$A$6:$BM$38,33,0)</f>
        <v>0</v>
      </c>
      <c r="Z11" s="36">
        <f>VLOOKUP($A11,[24]HISTODEC24!$A$6:$BM$38,65,0)</f>
        <v>0</v>
      </c>
      <c r="AA11" s="36"/>
      <c r="AB11" s="36">
        <f>VLOOKUP($A11,[24]HISTODEC24!$A$6:$AU$38,43,0)</f>
        <v>0</v>
      </c>
      <c r="AC11" s="36">
        <f>VLOOKUP($A11,[24]HISTODEC24!$A$6:$AU$38,44,0)</f>
        <v>0</v>
      </c>
      <c r="AD11" s="36">
        <f>VLOOKUP($A11,[24]HISTODEC24!$A$6:$AU$38,47,0)</f>
        <v>0</v>
      </c>
      <c r="AE11" s="36">
        <f>VLOOKUP(A11,[24]HISTODEC24!$A$6:$BB$38,54,0)</f>
        <v>0</v>
      </c>
      <c r="AF11" s="36">
        <f>VLOOKUP($A11,[24]HISTODEC24!$A$6:$CA$38,60,0)</f>
        <v>0</v>
      </c>
      <c r="AG11" s="36">
        <f>VLOOKUP($A11,[24]HISTODEC24!$A$6:$CA$38,61,0)</f>
        <v>0</v>
      </c>
      <c r="AH11" s="36">
        <f>VLOOKUP($A11,[24]HISTODEC24!$A$6:$CA$38,62,0)</f>
        <v>0</v>
      </c>
      <c r="AI11" s="36">
        <f>VLOOKUP($A11,[24]HISTODEC24!$A$6:$CA$38,63,0)</f>
        <v>0</v>
      </c>
      <c r="AJ11" s="36">
        <f>VLOOKUP($A11,[24]HISTODEC24!$A$6:$CA$38,64,0)</f>
        <v>0</v>
      </c>
      <c r="AK11" s="36">
        <f>VLOOKUP($A11,[24]HISTODEC24!$A$6:$CA$38,65,0)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VLOOKUP($A12,[24]HISTODEC24!$A$6:$BA$38,48,0)</f>
        <v>0</v>
      </c>
      <c r="F12" s="36">
        <f>MVTNOV24!I12-E12+L12</f>
        <v>1011100.1474133957</v>
      </c>
      <c r="G12" s="5">
        <f>IF(MVTNOV24!I12+L12&gt;700000,(MVTNOV24!I12-E12+L12),0)</f>
        <v>1011100.1474133957</v>
      </c>
      <c r="H12" s="36">
        <f t="shared" si="0"/>
        <v>0</v>
      </c>
      <c r="I12" s="6">
        <f t="shared" si="2"/>
        <v>1011100.1474133957</v>
      </c>
      <c r="J12" s="36">
        <f>VLOOKUP($A12,[24]HISTODEC24!$A$6:$AQ$42,22,0)</f>
        <v>0</v>
      </c>
      <c r="K12" s="36">
        <f>VLOOKUP($A12,[24]HISTODEC24!$A$6:$AU$38,45,0)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VLOOKUP($A12,[24]HISTODEC24!$A$6:$AU$38,7,0)</f>
        <v>0</v>
      </c>
      <c r="Q12" s="36">
        <f>VLOOKUP($A12,[24]HISTODEC24!$A$6:$AU$38,23,0)</f>
        <v>0</v>
      </c>
      <c r="R12" s="36">
        <f>VLOOKUP($A12,[24]HISTODEC24!$A$6:$AU$38,46,0)</f>
        <v>0</v>
      </c>
      <c r="S12" s="36">
        <f>VLOOKUP($A12,[24]HISTODEC24!$A$6:$AU$38,26,0)</f>
        <v>0</v>
      </c>
      <c r="T12" s="36">
        <f>VLOOKUP($A12,[24]HISTODEC24!$A$6:$BG$38,58,0)</f>
        <v>0</v>
      </c>
      <c r="U12" s="36">
        <f>VLOOKUP($A12,[24]HISTODEC24!$A$6:$AU$38,28,0)</f>
        <v>0</v>
      </c>
      <c r="V12" s="36">
        <f>VLOOKUP($A12,[24]HISTODEC24!$A$6:$AU$38,19,0)</f>
        <v>0</v>
      </c>
      <c r="W12" s="36">
        <f>VLOOKUP($A12,[24]HISTODEC24!$A$6:$AU$38,20,0)</f>
        <v>0</v>
      </c>
      <c r="X12" s="36">
        <f>VLOOKUP($A12,[24]HISTODEC24!$A$6:$AU$38,27,0)</f>
        <v>0</v>
      </c>
      <c r="Y12" s="36">
        <f>VLOOKUP($A12,[24]HISTODEC24!$A$6:$BM$38,33,0)</f>
        <v>0</v>
      </c>
      <c r="Z12" s="36">
        <f>VLOOKUP($A12,[24]HISTODEC24!$A$6:$BM$38,65,0)</f>
        <v>0</v>
      </c>
      <c r="AA12" s="36"/>
      <c r="AB12" s="36">
        <f>VLOOKUP($A12,[24]HISTODEC24!$A$6:$AU$38,43,0)</f>
        <v>0</v>
      </c>
      <c r="AC12" s="36">
        <f>VLOOKUP($A12,[24]HISTODEC24!$A$6:$AU$38,44,0)</f>
        <v>0</v>
      </c>
      <c r="AD12" s="36">
        <f>VLOOKUP($A12,[24]HISTODEC24!$A$6:$AU$38,47,0)</f>
        <v>0</v>
      </c>
      <c r="AE12" s="36">
        <f>VLOOKUP(A12,[24]HISTODEC24!$A$6:$BB$38,54,0)</f>
        <v>0</v>
      </c>
      <c r="AF12" s="36">
        <f>VLOOKUP($A12,[24]HISTODEC24!$A$6:$CA$38,60,0)</f>
        <v>0</v>
      </c>
      <c r="AG12" s="36">
        <f>VLOOKUP($A12,[24]HISTODEC24!$A$6:$CA$38,61,0)</f>
        <v>0</v>
      </c>
      <c r="AH12" s="36">
        <f>VLOOKUP($A12,[24]HISTODEC24!$A$6:$CA$38,62,0)</f>
        <v>0</v>
      </c>
      <c r="AI12" s="36">
        <f>VLOOKUP($A12,[24]HISTODEC24!$A$6:$CA$38,63,0)</f>
        <v>0</v>
      </c>
      <c r="AJ12" s="36">
        <f>VLOOKUP($A12,[24]HISTODEC24!$A$6:$CA$38,64,0)</f>
        <v>0</v>
      </c>
      <c r="AK12" s="36">
        <f>VLOOKUP($A12,[24]HISTODEC24!$A$6:$CA$38,65,0)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VLOOKUP($A13,[24]HISTODEC24!$A$6:$BA$38,48,0)</f>
        <v>0</v>
      </c>
      <c r="F13" s="36">
        <f>MVTNOV24!I13-E13+L13</f>
        <v>975555.14612214814</v>
      </c>
      <c r="G13" s="5">
        <f>IF(MVTNOV24!I13+L13&gt;700000,(MVTNOV24!I13-E13+L13),0)</f>
        <v>975555.14612214814</v>
      </c>
      <c r="H13" s="36">
        <f t="shared" si="0"/>
        <v>0</v>
      </c>
      <c r="I13" s="6">
        <f t="shared" si="2"/>
        <v>975555.14612214814</v>
      </c>
      <c r="J13" s="36">
        <f>VLOOKUP($A13,[24]HISTODEC24!$A$6:$AQ$42,22,0)</f>
        <v>0</v>
      </c>
      <c r="K13" s="36">
        <f>VLOOKUP($A13,[24]HISTODEC24!$A$6:$AU$38,45,0)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VLOOKUP($A13,[24]HISTODEC24!$A$6:$AU$38,7,0)</f>
        <v>0</v>
      </c>
      <c r="Q13" s="36">
        <f>VLOOKUP($A13,[24]HISTODEC24!$A$6:$AU$38,23,0)</f>
        <v>0</v>
      </c>
      <c r="R13" s="36">
        <f>VLOOKUP($A13,[24]HISTODEC24!$A$6:$AU$38,46,0)</f>
        <v>0</v>
      </c>
      <c r="S13" s="36">
        <f>VLOOKUP($A13,[24]HISTODEC24!$A$6:$AU$38,26,0)</f>
        <v>0</v>
      </c>
      <c r="T13" s="36">
        <f>VLOOKUP($A13,[24]HISTODEC24!$A$6:$BG$38,58,0)</f>
        <v>0</v>
      </c>
      <c r="U13" s="36">
        <f>VLOOKUP($A13,[24]HISTODEC24!$A$6:$AU$38,28,0)</f>
        <v>0</v>
      </c>
      <c r="V13" s="36">
        <f>VLOOKUP($A13,[24]HISTODEC24!$A$6:$AU$38,19,0)</f>
        <v>0</v>
      </c>
      <c r="W13" s="36">
        <f>VLOOKUP($A13,[24]HISTODEC24!$A$6:$AU$38,20,0)</f>
        <v>0</v>
      </c>
      <c r="X13" s="36">
        <f>VLOOKUP($A13,[24]HISTODEC24!$A$6:$AU$38,27,0)</f>
        <v>0</v>
      </c>
      <c r="Y13" s="36">
        <f>VLOOKUP($A13,[24]HISTODEC24!$A$6:$BM$38,33,0)</f>
        <v>0</v>
      </c>
      <c r="Z13" s="36">
        <f>VLOOKUP($A13,[24]HISTODEC24!$A$6:$BM$38,65,0)</f>
        <v>0</v>
      </c>
      <c r="AA13" s="36"/>
      <c r="AB13" s="36">
        <f>VLOOKUP($A13,[24]HISTODEC24!$A$6:$AU$38,43,0)</f>
        <v>0</v>
      </c>
      <c r="AC13" s="36">
        <f>VLOOKUP($A13,[24]HISTODEC24!$A$6:$AU$38,44,0)</f>
        <v>0</v>
      </c>
      <c r="AD13" s="36">
        <f>VLOOKUP($A13,[24]HISTODEC24!$A$6:$AU$38,47,0)</f>
        <v>0</v>
      </c>
      <c r="AE13" s="36">
        <f>VLOOKUP(A13,[24]HISTODEC24!$A$6:$BB$38,54,0)</f>
        <v>0</v>
      </c>
      <c r="AF13" s="36">
        <f>VLOOKUP($A13,[24]HISTODEC24!$A$6:$CA$38,60,0)</f>
        <v>0</v>
      </c>
      <c r="AG13" s="36">
        <f>VLOOKUP($A13,[24]HISTODEC24!$A$6:$CA$38,61,0)</f>
        <v>0</v>
      </c>
      <c r="AH13" s="36">
        <f>VLOOKUP($A13,[24]HISTODEC24!$A$6:$CA$38,62,0)</f>
        <v>0</v>
      </c>
      <c r="AI13" s="36">
        <f>VLOOKUP($A13,[24]HISTODEC24!$A$6:$CA$38,63,0)</f>
        <v>0</v>
      </c>
      <c r="AJ13" s="36">
        <f>VLOOKUP($A13,[24]HISTODEC24!$A$6:$CA$38,64,0)</f>
        <v>0</v>
      </c>
      <c r="AK13" s="36">
        <f>VLOOKUP($A13,[24]HISTODEC24!$A$6:$CA$38,65,0)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VLOOKUP($A14,[24]HISTODEC24!$A$6:$BA$38,48,0)</f>
        <v>0</v>
      </c>
      <c r="F14" s="36">
        <f>MVTNOV24!I14-E14+L14</f>
        <v>1528425.9823482623</v>
      </c>
      <c r="G14" s="5">
        <f>IF(MVTNOV24!I14+L14&gt;700000,(MVTNOV24!I14-E14+L14),0)</f>
        <v>1528425.9823482623</v>
      </c>
      <c r="H14" s="36">
        <f t="shared" si="0"/>
        <v>0</v>
      </c>
      <c r="I14" s="6">
        <f t="shared" si="2"/>
        <v>1528425.9823482623</v>
      </c>
      <c r="J14" s="36">
        <f>VLOOKUP($A14,[24]HISTODEC24!$A$6:$AQ$42,22,0)</f>
        <v>0</v>
      </c>
      <c r="K14" s="36">
        <f>VLOOKUP($A14,[24]HISTODEC24!$A$6:$AU$38,45,0)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VLOOKUP($A14,[24]HISTODEC24!$A$6:$AU$38,7,0)</f>
        <v>0</v>
      </c>
      <c r="Q14" s="36">
        <f>VLOOKUP($A14,[24]HISTODEC24!$A$6:$AU$38,23,0)</f>
        <v>0</v>
      </c>
      <c r="R14" s="36">
        <f>VLOOKUP($A14,[24]HISTODEC24!$A$6:$AU$38,46,0)</f>
        <v>0</v>
      </c>
      <c r="S14" s="36">
        <f>VLOOKUP($A14,[24]HISTODEC24!$A$6:$AU$38,26,0)</f>
        <v>0</v>
      </c>
      <c r="T14" s="36">
        <f>VLOOKUP($A14,[24]HISTODEC24!$A$6:$BG$38,58,0)</f>
        <v>0</v>
      </c>
      <c r="U14" s="36">
        <f>VLOOKUP($A14,[24]HISTODEC24!$A$6:$AU$38,28,0)</f>
        <v>0</v>
      </c>
      <c r="V14" s="36">
        <f>VLOOKUP($A14,[24]HISTODEC24!$A$6:$AU$38,19,0)</f>
        <v>0</v>
      </c>
      <c r="W14" s="36">
        <f>VLOOKUP($A14,[24]HISTODEC24!$A$6:$AU$38,20,0)</f>
        <v>0</v>
      </c>
      <c r="X14" s="36">
        <f>VLOOKUP($A14,[24]HISTODEC24!$A$6:$AU$38,27,0)</f>
        <v>0</v>
      </c>
      <c r="Y14" s="36">
        <f>VLOOKUP($A14,[24]HISTODEC24!$A$6:$BM$38,33,0)</f>
        <v>0</v>
      </c>
      <c r="Z14" s="36">
        <f>VLOOKUP($A14,[24]HISTODEC24!$A$6:$BM$38,65,0)</f>
        <v>0</v>
      </c>
      <c r="AA14" s="36"/>
      <c r="AB14" s="36">
        <f>VLOOKUP($A14,[24]HISTODEC24!$A$6:$AU$38,43,0)</f>
        <v>0</v>
      </c>
      <c r="AC14" s="36">
        <f>VLOOKUP($A14,[24]HISTODEC24!$A$6:$AU$38,44,0)</f>
        <v>0</v>
      </c>
      <c r="AD14" s="36">
        <f>VLOOKUP($A14,[24]HISTODEC24!$A$6:$AU$38,47,0)</f>
        <v>0</v>
      </c>
      <c r="AE14" s="36">
        <f>VLOOKUP(A14,[24]HISTODEC24!$A$6:$BB$38,54,0)</f>
        <v>0</v>
      </c>
      <c r="AF14" s="36">
        <f>VLOOKUP($A14,[24]HISTODEC24!$A$6:$CA$38,60,0)</f>
        <v>0</v>
      </c>
      <c r="AG14" s="36">
        <f>VLOOKUP($A14,[24]HISTODEC24!$A$6:$CA$38,61,0)</f>
        <v>0</v>
      </c>
      <c r="AH14" s="36">
        <f>VLOOKUP($A14,[24]HISTODEC24!$A$6:$CA$38,62,0)</f>
        <v>0</v>
      </c>
      <c r="AI14" s="36">
        <f>VLOOKUP($A14,[24]HISTODEC24!$A$6:$CA$38,63,0)</f>
        <v>0</v>
      </c>
      <c r="AJ14" s="36">
        <f>VLOOKUP($A14,[24]HISTODEC24!$A$6:$CA$38,64,0)</f>
        <v>0</v>
      </c>
      <c r="AK14" s="36">
        <f>VLOOKUP($A14,[24]HISTODEC24!$A$6:$CA$38,65,0)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VLOOKUP($A15,[24]HISTODEC24!$A$6:$BA$38,48,0)</f>
        <v>0</v>
      </c>
      <c r="F15" s="36">
        <f>MVTNOV24!I15-E15+L15</f>
        <v>1037309.6215381094</v>
      </c>
      <c r="G15" s="5">
        <f>IF(MVTNOV24!I15+L15&gt;700000,(MVTNOV24!I15-E15+L15),0)</f>
        <v>1037309.6215381094</v>
      </c>
      <c r="H15" s="36">
        <f t="shared" si="0"/>
        <v>0</v>
      </c>
      <c r="I15" s="6">
        <f t="shared" si="2"/>
        <v>1037309.6215381094</v>
      </c>
      <c r="J15" s="36">
        <f>VLOOKUP($A15,[24]HISTODEC24!$A$6:$AQ$42,22,0)</f>
        <v>0</v>
      </c>
      <c r="K15" s="36">
        <f>VLOOKUP($A15,[24]HISTODEC24!$A$6:$AU$38,45,0)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VLOOKUP($A15,[24]HISTODEC24!$A$6:$AU$38,7,0)</f>
        <v>0</v>
      </c>
      <c r="Q15" s="36">
        <f>VLOOKUP($A15,[24]HISTODEC24!$A$6:$AU$38,23,0)</f>
        <v>0</v>
      </c>
      <c r="R15" s="36">
        <f>VLOOKUP($A15,[24]HISTODEC24!$A$6:$AU$38,46,0)</f>
        <v>0</v>
      </c>
      <c r="S15" s="36">
        <f>VLOOKUP($A15,[24]HISTODEC24!$A$6:$AU$38,26,0)</f>
        <v>0</v>
      </c>
      <c r="T15" s="36">
        <f>VLOOKUP($A15,[24]HISTODEC24!$A$6:$BG$38,58,0)</f>
        <v>0</v>
      </c>
      <c r="U15" s="36">
        <f>VLOOKUP($A15,[24]HISTODEC24!$A$6:$AU$38,28,0)</f>
        <v>0</v>
      </c>
      <c r="V15" s="36">
        <f>VLOOKUP($A15,[24]HISTODEC24!$A$6:$AU$38,19,0)</f>
        <v>0</v>
      </c>
      <c r="W15" s="36">
        <f>VLOOKUP($A15,[24]HISTODEC24!$A$6:$AU$38,20,0)</f>
        <v>0</v>
      </c>
      <c r="X15" s="36">
        <f>VLOOKUP($A15,[24]HISTODEC24!$A$6:$AU$38,27,0)</f>
        <v>0</v>
      </c>
      <c r="Y15" s="36">
        <f>VLOOKUP($A15,[24]HISTODEC24!$A$6:$BM$38,33,0)</f>
        <v>0</v>
      </c>
      <c r="Z15" s="36">
        <f>VLOOKUP($A15,[24]HISTODEC24!$A$6:$BM$38,65,0)</f>
        <v>0</v>
      </c>
      <c r="AA15" s="36"/>
      <c r="AB15" s="36">
        <f>VLOOKUP($A15,[24]HISTODEC24!$A$6:$AU$38,43,0)</f>
        <v>0</v>
      </c>
      <c r="AC15" s="36">
        <f>VLOOKUP($A15,[24]HISTODEC24!$A$6:$AU$38,44,0)</f>
        <v>0</v>
      </c>
      <c r="AD15" s="36">
        <f>VLOOKUP($A15,[24]HISTODEC24!$A$6:$AU$38,47,0)</f>
        <v>0</v>
      </c>
      <c r="AE15" s="36">
        <f>VLOOKUP(A15,[24]HISTODEC24!$A$6:$BB$38,54,0)</f>
        <v>0</v>
      </c>
      <c r="AF15" s="36">
        <f>VLOOKUP($A15,[24]HISTODEC24!$A$6:$CA$38,60,0)</f>
        <v>0</v>
      </c>
      <c r="AG15" s="36">
        <f>VLOOKUP($A15,[24]HISTODEC24!$A$6:$CA$38,61,0)</f>
        <v>0</v>
      </c>
      <c r="AH15" s="36">
        <f>VLOOKUP($A15,[24]HISTODEC24!$A$6:$CA$38,62,0)</f>
        <v>0</v>
      </c>
      <c r="AI15" s="36">
        <f>VLOOKUP($A15,[24]HISTODEC24!$A$6:$CA$38,63,0)</f>
        <v>0</v>
      </c>
      <c r="AJ15" s="36">
        <f>VLOOKUP($A15,[24]HISTODEC24!$A$6:$CA$38,64,0)</f>
        <v>0</v>
      </c>
      <c r="AK15" s="36">
        <f>VLOOKUP($A15,[24]HISTODEC24!$A$6:$CA$38,65,0)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VLOOKUP($A16,[24]HISTODEC24!$A$6:$BA$38,48,0)</f>
        <v>0</v>
      </c>
      <c r="F16" s="36">
        <f>MVTNOV24!I16-E16+L16</f>
        <v>1147858.7065070483</v>
      </c>
      <c r="G16" s="5">
        <f>IF(MVTNOV24!I16+L16&gt;700000,(MVTNOV24!I16-E16+L16),0)</f>
        <v>1147858.7065070483</v>
      </c>
      <c r="H16" s="36">
        <f t="shared" si="0"/>
        <v>0</v>
      </c>
      <c r="I16" s="6">
        <f t="shared" si="2"/>
        <v>1147858.7065070483</v>
      </c>
      <c r="J16" s="36">
        <f>VLOOKUP($A16,[24]HISTODEC24!$A$6:$AQ$42,22,0)</f>
        <v>0</v>
      </c>
      <c r="K16" s="36">
        <f>VLOOKUP($A16,[24]HISTODEC24!$A$6:$AU$38,45,0)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VLOOKUP($A16,[24]HISTODEC24!$A$6:$AU$38,7,0)</f>
        <v>0</v>
      </c>
      <c r="Q16" s="36">
        <f>VLOOKUP($A16,[24]HISTODEC24!$A$6:$AU$38,23,0)</f>
        <v>0</v>
      </c>
      <c r="R16" s="36">
        <f>VLOOKUP($A16,[24]HISTODEC24!$A$6:$AU$38,46,0)</f>
        <v>0</v>
      </c>
      <c r="S16" s="36">
        <f>VLOOKUP($A16,[24]HISTODEC24!$A$6:$AU$38,26,0)</f>
        <v>0</v>
      </c>
      <c r="T16" s="36">
        <f>VLOOKUP($A16,[24]HISTODEC24!$A$6:$BG$38,58,0)</f>
        <v>0</v>
      </c>
      <c r="U16" s="36">
        <f>VLOOKUP($A16,[24]HISTODEC24!$A$6:$AU$38,28,0)</f>
        <v>0</v>
      </c>
      <c r="V16" s="36">
        <f>VLOOKUP($A16,[24]HISTODEC24!$A$6:$AU$38,19,0)</f>
        <v>0</v>
      </c>
      <c r="W16" s="36">
        <f>VLOOKUP($A16,[24]HISTODEC24!$A$6:$AU$38,20,0)</f>
        <v>0</v>
      </c>
      <c r="X16" s="36">
        <f>VLOOKUP($A16,[24]HISTODEC24!$A$6:$AU$38,27,0)</f>
        <v>0</v>
      </c>
      <c r="Y16" s="36">
        <f>VLOOKUP($A16,[24]HISTODEC24!$A$6:$BM$38,33,0)</f>
        <v>0</v>
      </c>
      <c r="Z16" s="36">
        <f>VLOOKUP($A16,[24]HISTODEC24!$A$6:$BM$38,65,0)</f>
        <v>0</v>
      </c>
      <c r="AA16" s="36"/>
      <c r="AB16" s="36">
        <f>VLOOKUP($A16,[24]HISTODEC24!$A$6:$AU$38,43,0)</f>
        <v>0</v>
      </c>
      <c r="AC16" s="36">
        <f>VLOOKUP($A16,[24]HISTODEC24!$A$6:$AU$38,44,0)</f>
        <v>0</v>
      </c>
      <c r="AD16" s="36">
        <f>VLOOKUP($A16,[24]HISTODEC24!$A$6:$AU$38,47,0)</f>
        <v>0</v>
      </c>
      <c r="AE16" s="36">
        <f>VLOOKUP(A16,[24]HISTODEC24!$A$6:$BB$38,54,0)</f>
        <v>0</v>
      </c>
      <c r="AF16" s="36">
        <f>VLOOKUP($A16,[24]HISTODEC24!$A$6:$CA$38,60,0)</f>
        <v>0</v>
      </c>
      <c r="AG16" s="36">
        <f>VLOOKUP($A16,[24]HISTODEC24!$A$6:$CA$38,61,0)</f>
        <v>0</v>
      </c>
      <c r="AH16" s="36">
        <f>VLOOKUP($A16,[24]HISTODEC24!$A$6:$CA$38,62,0)</f>
        <v>0</v>
      </c>
      <c r="AI16" s="36">
        <f>VLOOKUP($A16,[24]HISTODEC24!$A$6:$CA$38,63,0)</f>
        <v>0</v>
      </c>
      <c r="AJ16" s="36">
        <f>VLOOKUP($A16,[24]HISTODEC24!$A$6:$CA$38,64,0)</f>
        <v>0</v>
      </c>
      <c r="AK16" s="36">
        <f>VLOOKUP($A16,[24]HISTODEC24!$A$6:$CA$38,65,0)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VLOOKUP($A17,[24]HISTODEC24!$A$6:$BA$38,48,0)</f>
        <v>0</v>
      </c>
      <c r="F17" s="36">
        <f>MVTNOV24!I17-E17+L17</f>
        <v>985402.7005255461</v>
      </c>
      <c r="G17" s="5">
        <f>IF(MVTNOV24!I17+L17&gt;700000,(MVTNOV24!I17-E17+L17),0)</f>
        <v>985402.7005255461</v>
      </c>
      <c r="H17" s="36">
        <f t="shared" si="0"/>
        <v>0</v>
      </c>
      <c r="I17" s="6">
        <f t="shared" si="2"/>
        <v>985402.7005255461</v>
      </c>
      <c r="J17" s="36">
        <f>VLOOKUP($A17,[24]HISTODEC24!$A$6:$AQ$42,22,0)</f>
        <v>0</v>
      </c>
      <c r="K17" s="36">
        <f>VLOOKUP($A17,[24]HISTODEC24!$A$6:$AU$38,45,0)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VLOOKUP($A17,[24]HISTODEC24!$A$6:$AU$38,7,0)</f>
        <v>0</v>
      </c>
      <c r="Q17" s="36">
        <f>VLOOKUP($A17,[24]HISTODEC24!$A$6:$AU$38,23,0)</f>
        <v>0</v>
      </c>
      <c r="R17" s="36">
        <f>VLOOKUP($A17,[24]HISTODEC24!$A$6:$AU$38,46,0)</f>
        <v>0</v>
      </c>
      <c r="S17" s="36">
        <f>VLOOKUP($A17,[24]HISTODEC24!$A$6:$AU$38,26,0)</f>
        <v>0</v>
      </c>
      <c r="T17" s="36">
        <f>VLOOKUP($A17,[24]HISTODEC24!$A$6:$BG$38,58,0)</f>
        <v>0</v>
      </c>
      <c r="U17" s="36">
        <f>VLOOKUP($A17,[24]HISTODEC24!$A$6:$AU$38,28,0)</f>
        <v>0</v>
      </c>
      <c r="V17" s="36">
        <f>VLOOKUP($A17,[24]HISTODEC24!$A$6:$AU$38,19,0)</f>
        <v>0</v>
      </c>
      <c r="W17" s="36">
        <f>VLOOKUP($A17,[24]HISTODEC24!$A$6:$AU$38,20,0)</f>
        <v>0</v>
      </c>
      <c r="X17" s="36">
        <f>VLOOKUP($A17,[24]HISTODEC24!$A$6:$AU$38,27,0)</f>
        <v>0</v>
      </c>
      <c r="Y17" s="36">
        <f>VLOOKUP($A17,[24]HISTODEC24!$A$6:$BM$38,33,0)</f>
        <v>0</v>
      </c>
      <c r="Z17" s="36">
        <f>VLOOKUP($A17,[24]HISTODEC24!$A$6:$BM$38,65,0)</f>
        <v>0</v>
      </c>
      <c r="AA17" s="36"/>
      <c r="AB17" s="36">
        <f>VLOOKUP($A17,[24]HISTODEC24!$A$6:$AU$38,43,0)</f>
        <v>0</v>
      </c>
      <c r="AC17" s="36">
        <f>VLOOKUP($A17,[24]HISTODEC24!$A$6:$AU$38,44,0)</f>
        <v>0</v>
      </c>
      <c r="AD17" s="36">
        <f>VLOOKUP($A17,[24]HISTODEC24!$A$6:$AU$38,47,0)</f>
        <v>0</v>
      </c>
      <c r="AE17" s="36">
        <f>VLOOKUP(A17,[24]HISTODEC24!$A$6:$BB$38,54,0)</f>
        <v>0</v>
      </c>
      <c r="AF17" s="36">
        <f>VLOOKUP($A17,[24]HISTODEC24!$A$6:$CA$38,60,0)</f>
        <v>0</v>
      </c>
      <c r="AG17" s="36">
        <f>VLOOKUP($A17,[24]HISTODEC24!$A$6:$CA$38,61,0)</f>
        <v>0</v>
      </c>
      <c r="AH17" s="36">
        <f>VLOOKUP($A17,[24]HISTODEC24!$A$6:$CA$38,62,0)</f>
        <v>0</v>
      </c>
      <c r="AI17" s="36">
        <f>VLOOKUP($A17,[24]HISTODEC24!$A$6:$CA$38,63,0)</f>
        <v>0</v>
      </c>
      <c r="AJ17" s="36">
        <f>VLOOKUP($A17,[24]HISTODEC24!$A$6:$CA$38,64,0)</f>
        <v>0</v>
      </c>
      <c r="AK17" s="36">
        <f>VLOOKUP($A17,[24]HISTODEC24!$A$6:$CA$38,65,0)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VLOOKUP($A18,[24]HISTODEC24!$A$6:$BA$38,48,0)</f>
        <v>0</v>
      </c>
      <c r="F18" s="36">
        <f>MVTNOV24!I18-E18+L18</f>
        <v>1031662.7641973695</v>
      </c>
      <c r="G18" s="5">
        <f>IF(MVTNOV24!I18+L18&gt;700000,(MVTNOV24!I18-E18+L18),0)</f>
        <v>1031662.7641973695</v>
      </c>
      <c r="H18" s="36">
        <f t="shared" si="0"/>
        <v>0</v>
      </c>
      <c r="I18" s="6">
        <f t="shared" si="2"/>
        <v>1031662.7641973695</v>
      </c>
      <c r="J18" s="36">
        <f>VLOOKUP($A18,[24]HISTODEC24!$A$6:$AQ$42,22,0)</f>
        <v>0</v>
      </c>
      <c r="K18" s="36">
        <f>VLOOKUP($A18,[24]HISTODEC24!$A$6:$AU$38,45,0)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VLOOKUP($A18,[24]HISTODEC24!$A$6:$AU$38,7,0)</f>
        <v>0</v>
      </c>
      <c r="Q18" s="36">
        <f>VLOOKUP($A18,[24]HISTODEC24!$A$6:$AU$38,23,0)</f>
        <v>0</v>
      </c>
      <c r="R18" s="36">
        <f>VLOOKUP($A18,[24]HISTODEC24!$A$6:$AU$38,46,0)</f>
        <v>0</v>
      </c>
      <c r="S18" s="36">
        <f>VLOOKUP($A18,[24]HISTODEC24!$A$6:$AU$38,26,0)</f>
        <v>0</v>
      </c>
      <c r="T18" s="36">
        <f>VLOOKUP($A18,[24]HISTODEC24!$A$6:$BG$38,58,0)</f>
        <v>0</v>
      </c>
      <c r="U18" s="36">
        <f>VLOOKUP($A18,[24]HISTODEC24!$A$6:$AU$38,28,0)</f>
        <v>0</v>
      </c>
      <c r="V18" s="36">
        <f>VLOOKUP($A18,[24]HISTODEC24!$A$6:$AU$38,19,0)</f>
        <v>0</v>
      </c>
      <c r="W18" s="36">
        <f>VLOOKUP($A18,[24]HISTODEC24!$A$6:$AU$38,20,0)</f>
        <v>0</v>
      </c>
      <c r="X18" s="36">
        <f>VLOOKUP($A18,[24]HISTODEC24!$A$6:$AU$38,27,0)</f>
        <v>0</v>
      </c>
      <c r="Y18" s="36">
        <f>VLOOKUP($A18,[24]HISTODEC24!$A$6:$BM$38,33,0)</f>
        <v>0</v>
      </c>
      <c r="Z18" s="36">
        <f>VLOOKUP($A18,[24]HISTODEC24!$A$6:$BM$38,65,0)</f>
        <v>0</v>
      </c>
      <c r="AA18" s="36"/>
      <c r="AB18" s="36">
        <f>VLOOKUP($A18,[24]HISTODEC24!$A$6:$AU$38,43,0)</f>
        <v>0</v>
      </c>
      <c r="AC18" s="36">
        <f>VLOOKUP($A18,[24]HISTODEC24!$A$6:$AU$38,44,0)</f>
        <v>0</v>
      </c>
      <c r="AD18" s="36">
        <f>VLOOKUP($A18,[24]HISTODEC24!$A$6:$AU$38,47,0)</f>
        <v>0</v>
      </c>
      <c r="AE18" s="36">
        <f>VLOOKUP(A18,[24]HISTODEC24!$A$6:$BB$38,54,0)</f>
        <v>0</v>
      </c>
      <c r="AF18" s="36">
        <f>VLOOKUP($A18,[24]HISTODEC24!$A$6:$CA$38,60,0)</f>
        <v>0</v>
      </c>
      <c r="AG18" s="36">
        <f>VLOOKUP($A18,[24]HISTODEC24!$A$6:$CA$38,61,0)</f>
        <v>0</v>
      </c>
      <c r="AH18" s="36">
        <f>VLOOKUP($A18,[24]HISTODEC24!$A$6:$CA$38,62,0)</f>
        <v>0</v>
      </c>
      <c r="AI18" s="36">
        <f>VLOOKUP($A18,[24]HISTODEC24!$A$6:$CA$38,63,0)</f>
        <v>0</v>
      </c>
      <c r="AJ18" s="36">
        <f>VLOOKUP($A18,[24]HISTODEC24!$A$6:$CA$38,64,0)</f>
        <v>0</v>
      </c>
      <c r="AK18" s="36">
        <f>VLOOKUP($A18,[24]HISTODEC24!$A$6:$CA$38,65,0)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MVTNOV24!I19-E19+L19</f>
        <v>676217.13072703336</v>
      </c>
      <c r="G19" s="5">
        <f>IF(MVTNOV24!I19+L19&gt;700000,(MVTNOV24!I19-E19+L19),0)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MVTNOV24!I20-E20+L20</f>
        <v>228000</v>
      </c>
      <c r="G20" s="5">
        <f>IF(MVTNOV24!I20+L20&gt;700000,(MVTNOV24!I20-E20+L20),0)</f>
        <v>0</v>
      </c>
      <c r="H20" s="36">
        <f t="shared" si="0"/>
        <v>0</v>
      </c>
      <c r="I20" s="6">
        <f t="shared" si="2"/>
        <v>228000</v>
      </c>
      <c r="J20" s="36">
        <f>VLOOKUP($A20,[24]HISTODEC24!$A$6:$AQ$42,22,0)</f>
        <v>0</v>
      </c>
      <c r="K20" s="36">
        <f>VLOOKUP($A20,[24]HISTODEC24!$A$6:$AU$38,45,0)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VLOOKUP($A20,[24]HISTODEC24!$A$6:$AU$38,7,0)</f>
        <v>0</v>
      </c>
      <c r="Q20" s="36">
        <f>VLOOKUP($A20,[24]HISTODEC24!$A$6:$AU$38,23,0)</f>
        <v>0</v>
      </c>
      <c r="R20" s="36">
        <f>VLOOKUP($A20,[24]HISTODEC24!$A$6:$AU$38,46,0)</f>
        <v>0</v>
      </c>
      <c r="S20" s="36">
        <f>VLOOKUP($A20,[24]HISTODEC24!$A$6:$AU$38,26,0)</f>
        <v>0</v>
      </c>
      <c r="T20" s="36">
        <f>VLOOKUP($A20,[24]HISTODEC24!$A$6:$BG$38,58,0)</f>
        <v>0</v>
      </c>
      <c r="U20" s="36">
        <f>VLOOKUP($A20,[24]HISTODEC24!$A$6:$AU$38,28,0)</f>
        <v>0</v>
      </c>
      <c r="V20" s="36">
        <f>VLOOKUP($A20,[24]HISTODEC24!$A$6:$AU$38,19,0)</f>
        <v>0</v>
      </c>
      <c r="W20" s="36">
        <f>VLOOKUP($A20,[24]HISTODEC24!$A$6:$AU$38,20,0)</f>
        <v>0</v>
      </c>
      <c r="X20" s="36">
        <f>VLOOKUP($A20,[24]HISTODEC24!$A$6:$AU$38,27,0)</f>
        <v>0</v>
      </c>
      <c r="Y20" s="36">
        <f>VLOOKUP($A20,[24]HISTODEC24!$A$6:$BM$38,33,0)</f>
        <v>0</v>
      </c>
      <c r="Z20" s="36">
        <f>VLOOKUP($A20,[24]HISTODEC24!$A$6:$BM$38,65,0)</f>
        <v>0</v>
      </c>
      <c r="AA20" s="36"/>
      <c r="AB20" s="36">
        <f>VLOOKUP($A20,[24]HISTODEC24!$A$6:$AU$38,43,0)</f>
        <v>0</v>
      </c>
      <c r="AC20" s="36">
        <f>VLOOKUP($A20,[24]HISTODEC24!$A$6:$AU$38,44,0)</f>
        <v>0</v>
      </c>
      <c r="AD20" s="36">
        <f>VLOOKUP($A20,[24]HISTODEC24!$A$6:$AU$38,47,0)</f>
        <v>0</v>
      </c>
      <c r="AE20" s="36">
        <f>VLOOKUP(A20,[24]HISTODEC24!$A$6:$BB$38,54,0)</f>
        <v>0</v>
      </c>
      <c r="AF20" s="36">
        <f>VLOOKUP($A20,[24]HISTODEC24!$A$6:$CA$38,60,0)</f>
        <v>0</v>
      </c>
      <c r="AG20" s="36">
        <f>VLOOKUP($A20,[24]HISTODEC24!$A$6:$CA$38,61,0)</f>
        <v>0</v>
      </c>
      <c r="AH20" s="36">
        <f>VLOOKUP($A20,[24]HISTODEC24!$A$6:$CA$38,62,0)</f>
        <v>0</v>
      </c>
      <c r="AI20" s="36">
        <f>VLOOKUP($A20,[24]HISTODEC24!$A$6:$CA$38,63,0)</f>
        <v>0</v>
      </c>
      <c r="AJ20" s="36">
        <f>VLOOKUP($A20,[24]HISTODEC24!$A$6:$CA$38,64,0)</f>
        <v>0</v>
      </c>
      <c r="AK20" s="36">
        <f>VLOOKUP($A20,[24]HISTODEC24!$A$6:$CA$38,65,0)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MVTNOV24!I21-E21+L21</f>
        <v>1008355.800629583</v>
      </c>
      <c r="G21" s="5">
        <f>IF(MVTNOV24!I21+L21&gt;700000,(MVTNOV24!I21-E21+L21),0)</f>
        <v>1008355.800629583</v>
      </c>
      <c r="H21" s="36">
        <f t="shared" si="0"/>
        <v>0</v>
      </c>
      <c r="I21" s="6">
        <f t="shared" si="2"/>
        <v>1008355.800629583</v>
      </c>
      <c r="J21" s="36">
        <f>VLOOKUP($A21,[24]HISTODEC24!$A$6:$AQ$42,22,0)</f>
        <v>0</v>
      </c>
      <c r="K21" s="36">
        <f>VLOOKUP($A21,[24]HISTODEC24!$A$6:$AU$38,45,0)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VLOOKUP($A21,[24]HISTODEC24!$A$6:$AU$38,7,0)</f>
        <v>0</v>
      </c>
      <c r="Q21" s="36">
        <f>VLOOKUP($A21,[24]HISTODEC24!$A$6:$AU$38,23,0)</f>
        <v>0</v>
      </c>
      <c r="R21" s="36">
        <f>VLOOKUP($A21,[24]HISTODEC24!$A$6:$AU$38,46,0)</f>
        <v>0</v>
      </c>
      <c r="S21" s="36">
        <f>VLOOKUP($A21,[24]HISTODEC24!$A$6:$AU$38,26,0)</f>
        <v>0</v>
      </c>
      <c r="T21" s="36">
        <f>VLOOKUP($A21,[24]HISTODEC24!$A$6:$BG$38,58,0)</f>
        <v>0</v>
      </c>
      <c r="U21" s="36">
        <f>VLOOKUP($A21,[24]HISTODEC24!$A$6:$AU$38,28,0)</f>
        <v>0</v>
      </c>
      <c r="V21" s="36">
        <f>VLOOKUP($A21,[24]HISTODEC24!$A$6:$AU$38,19,0)</f>
        <v>0</v>
      </c>
      <c r="W21" s="36">
        <f>VLOOKUP($A21,[24]HISTODEC24!$A$6:$AU$38,20,0)</f>
        <v>0</v>
      </c>
      <c r="X21" s="36">
        <f>VLOOKUP($A21,[24]HISTODEC24!$A$6:$AU$38,27,0)</f>
        <v>0</v>
      </c>
      <c r="Y21" s="36">
        <f>VLOOKUP($A21,[24]HISTODEC24!$A$6:$BM$38,33,0)</f>
        <v>0</v>
      </c>
      <c r="Z21" s="36">
        <f>VLOOKUP($A21,[24]HISTODEC24!$A$6:$BM$38,65,0)</f>
        <v>0</v>
      </c>
      <c r="AA21" s="36"/>
      <c r="AB21" s="36">
        <f>VLOOKUP($A21,[24]HISTODEC24!$A$6:$AU$38,43,0)</f>
        <v>0</v>
      </c>
      <c r="AC21" s="36">
        <f>VLOOKUP($A21,[24]HISTODEC24!$A$6:$AU$38,44,0)</f>
        <v>0</v>
      </c>
      <c r="AD21" s="36">
        <f>VLOOKUP($A21,[24]HISTODEC24!$A$6:$AU$38,47,0)</f>
        <v>0</v>
      </c>
      <c r="AE21" s="36">
        <f>VLOOKUP(A21,[24]HISTODEC24!$A$6:$BB$38,54,0)</f>
        <v>0</v>
      </c>
      <c r="AF21" s="36">
        <f>VLOOKUP($A21,[24]HISTODEC24!$A$6:$CA$38,60,0)</f>
        <v>0</v>
      </c>
      <c r="AG21" s="36">
        <f>VLOOKUP($A21,[24]HISTODEC24!$A$6:$CA$38,61,0)</f>
        <v>0</v>
      </c>
      <c r="AH21" s="36">
        <f>VLOOKUP($A21,[24]HISTODEC24!$A$6:$CA$38,62,0)</f>
        <v>0</v>
      </c>
      <c r="AI21" s="36">
        <f>VLOOKUP($A21,[24]HISTODEC24!$A$6:$CA$38,63,0)</f>
        <v>0</v>
      </c>
      <c r="AJ21" s="36">
        <f>VLOOKUP($A21,[24]HISTODEC24!$A$6:$CA$38,64,0)</f>
        <v>0</v>
      </c>
      <c r="AK21" s="36">
        <f>VLOOKUP($A21,[24]HISTODEC24!$A$6:$CA$38,65,0)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MVTNOV24!I22-E22+L22</f>
        <v>976738.95952735876</v>
      </c>
      <c r="G22" s="5">
        <f>IF(MVTNOV24!I22+L22&gt;700000,(MVTNOV24!I22-E22+L22),0)</f>
        <v>976738.95952735876</v>
      </c>
      <c r="H22" s="36">
        <f t="shared" si="0"/>
        <v>0</v>
      </c>
      <c r="I22" s="6">
        <f t="shared" si="2"/>
        <v>976738.95952735876</v>
      </c>
      <c r="J22" s="36">
        <f>VLOOKUP($A22,[24]HISTODEC24!$A$6:$AQ$42,22,0)</f>
        <v>0</v>
      </c>
      <c r="K22" s="36">
        <f>VLOOKUP($A22,[24]HISTODEC24!$A$6:$AU$38,45,0)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VLOOKUP($A22,[24]HISTODEC24!$A$6:$AU$38,7,0)</f>
        <v>0</v>
      </c>
      <c r="Q22" s="36">
        <f>VLOOKUP($A22,[24]HISTODEC24!$A$6:$AU$38,23,0)</f>
        <v>0</v>
      </c>
      <c r="R22" s="36">
        <f>VLOOKUP($A22,[24]HISTODEC24!$A$6:$AU$38,46,0)</f>
        <v>0</v>
      </c>
      <c r="S22" s="36">
        <f>VLOOKUP($A22,[24]HISTODEC24!$A$6:$AU$38,26,0)</f>
        <v>0</v>
      </c>
      <c r="T22" s="36">
        <f>VLOOKUP($A22,[24]HISTODEC24!$A$6:$BG$38,58,0)</f>
        <v>0</v>
      </c>
      <c r="U22" s="36">
        <f>VLOOKUP($A22,[24]HISTODEC24!$A$6:$AU$38,28,0)</f>
        <v>0</v>
      </c>
      <c r="V22" s="36">
        <f>VLOOKUP($A22,[24]HISTODEC24!$A$6:$AU$38,19,0)</f>
        <v>0</v>
      </c>
      <c r="W22" s="36">
        <f>VLOOKUP($A22,[24]HISTODEC24!$A$6:$AU$38,20,0)</f>
        <v>0</v>
      </c>
      <c r="X22" s="36">
        <f>VLOOKUP($A22,[24]HISTODEC24!$A$6:$AU$38,27,0)</f>
        <v>0</v>
      </c>
      <c r="Y22" s="36">
        <f>VLOOKUP($A22,[24]HISTODEC24!$A$6:$BM$38,33,0)</f>
        <v>0</v>
      </c>
      <c r="Z22" s="36">
        <f>VLOOKUP($A22,[24]HISTODEC24!$A$6:$BM$38,65,0)</f>
        <v>0</v>
      </c>
      <c r="AA22" s="36"/>
      <c r="AB22" s="36">
        <f>VLOOKUP($A22,[24]HISTODEC24!$A$6:$AU$38,43,0)</f>
        <v>0</v>
      </c>
      <c r="AC22" s="36">
        <f>VLOOKUP($A22,[24]HISTODEC24!$A$6:$AU$38,44,0)</f>
        <v>0</v>
      </c>
      <c r="AD22" s="36">
        <f>VLOOKUP($A22,[24]HISTODEC24!$A$6:$AU$38,47,0)</f>
        <v>0</v>
      </c>
      <c r="AE22" s="36">
        <f>VLOOKUP(A22,[24]HISTODEC24!$A$6:$BB$38,54,0)</f>
        <v>0</v>
      </c>
      <c r="AF22" s="36">
        <f>VLOOKUP($A22,[24]HISTODEC24!$A$6:$CA$38,60,0)</f>
        <v>0</v>
      </c>
      <c r="AG22" s="36">
        <f>VLOOKUP($A22,[24]HISTODEC24!$A$6:$CA$38,61,0)</f>
        <v>0</v>
      </c>
      <c r="AH22" s="36">
        <f>VLOOKUP($A22,[24]HISTODEC24!$A$6:$CA$38,62,0)</f>
        <v>0</v>
      </c>
      <c r="AI22" s="36">
        <f>VLOOKUP($A22,[24]HISTODEC24!$A$6:$CA$38,63,0)</f>
        <v>0</v>
      </c>
      <c r="AJ22" s="36">
        <f>VLOOKUP($A22,[24]HISTODEC24!$A$6:$CA$38,64,0)</f>
        <v>0</v>
      </c>
      <c r="AK22" s="36">
        <f>VLOOKUP($A22,[24]HISTODEC24!$A$6:$CA$38,65,0)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MVTNOV24!I23-E23+L23</f>
        <v>1082674.3246731949</v>
      </c>
      <c r="G23" s="5">
        <f>IF(MVTNOV24!I23+L23&gt;700000,(MVTNOV24!I23-E23+L23),0)</f>
        <v>1082674.3246731949</v>
      </c>
      <c r="H23" s="36">
        <f t="shared" si="0"/>
        <v>0</v>
      </c>
      <c r="I23" s="6">
        <f t="shared" si="2"/>
        <v>1082674.3246731949</v>
      </c>
      <c r="J23" s="36">
        <f>VLOOKUP($A23,[24]HISTODEC24!$A$6:$AQ$42,22,0)</f>
        <v>0</v>
      </c>
      <c r="K23" s="36">
        <f>VLOOKUP($A23,[24]HISTODEC24!$A$6:$AU$38,45,0)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VLOOKUP($A23,[24]HISTODEC24!$A$6:$AU$38,7,0)</f>
        <v>0</v>
      </c>
      <c r="Q23" s="36">
        <f>VLOOKUP($A23,[24]HISTODEC24!$A$6:$AU$38,23,0)</f>
        <v>0</v>
      </c>
      <c r="R23" s="36">
        <f>VLOOKUP($A23,[24]HISTODEC24!$A$6:$AU$38,46,0)</f>
        <v>0</v>
      </c>
      <c r="S23" s="36">
        <f>VLOOKUP($A23,[24]HISTODEC24!$A$6:$AU$38,26,0)</f>
        <v>0</v>
      </c>
      <c r="T23" s="36">
        <f>VLOOKUP($A23,[24]HISTODEC24!$A$6:$BG$38,58,0)</f>
        <v>0</v>
      </c>
      <c r="U23" s="36">
        <f>VLOOKUP($A23,[24]HISTODEC24!$A$6:$AU$38,28,0)</f>
        <v>0</v>
      </c>
      <c r="V23" s="36">
        <f>VLOOKUP($A23,[24]HISTODEC24!$A$6:$AU$38,19,0)</f>
        <v>0</v>
      </c>
      <c r="W23" s="36">
        <f>VLOOKUP($A23,[24]HISTODEC24!$A$6:$AU$38,20,0)</f>
        <v>0</v>
      </c>
      <c r="X23" s="36">
        <f>VLOOKUP($A23,[24]HISTODEC24!$A$6:$AU$38,27,0)</f>
        <v>0</v>
      </c>
      <c r="Y23" s="36">
        <f>VLOOKUP($A23,[24]HISTODEC24!$A$6:$BM$38,33,0)</f>
        <v>0</v>
      </c>
      <c r="Z23" s="36">
        <f>VLOOKUP($A23,[24]HISTODEC24!$A$6:$BM$38,65,0)</f>
        <v>0</v>
      </c>
      <c r="AA23" s="36"/>
      <c r="AB23" s="36">
        <f>VLOOKUP($A23,[24]HISTODEC24!$A$6:$AU$38,43,0)</f>
        <v>0</v>
      </c>
      <c r="AC23" s="36">
        <f>VLOOKUP($A23,[24]HISTODEC24!$A$6:$AU$38,44,0)</f>
        <v>0</v>
      </c>
      <c r="AD23" s="36">
        <f>VLOOKUP($A23,[24]HISTODEC24!$A$6:$AU$38,47,0)</f>
        <v>0</v>
      </c>
      <c r="AE23" s="36">
        <f>VLOOKUP(A23,[24]HISTODEC24!$A$6:$BB$38,54,0)</f>
        <v>0</v>
      </c>
      <c r="AF23" s="36">
        <f>VLOOKUP($A23,[24]HISTODEC24!$A$6:$CA$38,60,0)</f>
        <v>0</v>
      </c>
      <c r="AG23" s="36">
        <f>VLOOKUP($A23,[24]HISTODEC24!$A$6:$CA$38,61,0)</f>
        <v>0</v>
      </c>
      <c r="AH23" s="36">
        <f>VLOOKUP($A23,[24]HISTODEC24!$A$6:$CA$38,62,0)</f>
        <v>0</v>
      </c>
      <c r="AI23" s="36">
        <f>VLOOKUP($A23,[24]HISTODEC24!$A$6:$CA$38,63,0)</f>
        <v>0</v>
      </c>
      <c r="AJ23" s="36">
        <f>VLOOKUP($A23,[24]HISTODEC24!$A$6:$CA$38,64,0)</f>
        <v>0</v>
      </c>
      <c r="AK23" s="36">
        <f>VLOOKUP($A23,[24]HISTODEC24!$A$6:$CA$38,65,0)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MVTNOV24!I24-E24+L24</f>
        <v>1255827.8441992993</v>
      </c>
      <c r="G24" s="5">
        <f>IF(MVTNOV24!I24+L24&gt;700000,(MVTNOV24!I24-E24+L24),0)</f>
        <v>1255827.8441992993</v>
      </c>
      <c r="H24" s="36">
        <f t="shared" si="0"/>
        <v>0</v>
      </c>
      <c r="I24" s="6">
        <f t="shared" si="2"/>
        <v>1255827.8441992993</v>
      </c>
      <c r="J24" s="36">
        <f>VLOOKUP($A24,[24]HISTODEC24!$A$6:$AQ$42,22,0)</f>
        <v>0</v>
      </c>
      <c r="K24" s="36">
        <f>VLOOKUP($A24,[24]HISTODEC24!$A$6:$AU$38,45,0)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VLOOKUP($A24,[24]HISTODEC24!$A$6:$AU$38,7,0)</f>
        <v>0</v>
      </c>
      <c r="Q24" s="36">
        <f>VLOOKUP($A24,[24]HISTODEC24!$A$6:$AU$38,23,0)</f>
        <v>0</v>
      </c>
      <c r="R24" s="36">
        <f>VLOOKUP($A24,[24]HISTODEC24!$A$6:$AU$38,46,0)</f>
        <v>0</v>
      </c>
      <c r="S24" s="36">
        <f>VLOOKUP($A24,[24]HISTODEC24!$A$6:$AU$38,26,0)</f>
        <v>0</v>
      </c>
      <c r="T24" s="36">
        <f>VLOOKUP($A24,[24]HISTODEC24!$A$6:$BG$38,58,0)</f>
        <v>0</v>
      </c>
      <c r="U24" s="36">
        <f>VLOOKUP($A24,[24]HISTODEC24!$A$6:$AU$38,28,0)</f>
        <v>0</v>
      </c>
      <c r="V24" s="36">
        <f>VLOOKUP($A24,[24]HISTODEC24!$A$6:$AU$38,19,0)</f>
        <v>0</v>
      </c>
      <c r="W24" s="36">
        <f>VLOOKUP($A24,[24]HISTODEC24!$A$6:$AU$38,20,0)</f>
        <v>0</v>
      </c>
      <c r="X24" s="36">
        <f>VLOOKUP($A24,[24]HISTODEC24!$A$6:$AU$38,27,0)</f>
        <v>0</v>
      </c>
      <c r="Y24" s="36">
        <f>VLOOKUP($A24,[24]HISTODEC24!$A$6:$BM$38,33,0)</f>
        <v>0</v>
      </c>
      <c r="Z24" s="36">
        <f>VLOOKUP($A24,[24]HISTODEC24!$A$6:$BM$38,65,0)</f>
        <v>0</v>
      </c>
      <c r="AA24" s="36"/>
      <c r="AB24" s="36">
        <f>VLOOKUP($A24,[24]HISTODEC24!$A$6:$AU$38,43,0)</f>
        <v>0</v>
      </c>
      <c r="AC24" s="36">
        <f>VLOOKUP($A24,[24]HISTODEC24!$A$6:$AU$38,44,0)</f>
        <v>0</v>
      </c>
      <c r="AD24" s="36">
        <f>VLOOKUP($A24,[24]HISTODEC24!$A$6:$AU$38,47,0)</f>
        <v>0</v>
      </c>
      <c r="AE24" s="36">
        <f>VLOOKUP(A24,[24]HISTODEC24!$A$6:$BB$38,54,0)</f>
        <v>0</v>
      </c>
      <c r="AF24" s="36">
        <f>VLOOKUP($A24,[24]HISTODEC24!$A$6:$CA$38,60,0)</f>
        <v>0</v>
      </c>
      <c r="AG24" s="36">
        <f>VLOOKUP($A24,[24]HISTODEC24!$A$6:$CA$38,61,0)</f>
        <v>0</v>
      </c>
      <c r="AH24" s="36">
        <f>VLOOKUP($A24,[24]HISTODEC24!$A$6:$CA$38,62,0)</f>
        <v>0</v>
      </c>
      <c r="AI24" s="36">
        <f>VLOOKUP($A24,[24]HISTODEC24!$A$6:$CA$38,63,0)</f>
        <v>0</v>
      </c>
      <c r="AJ24" s="36">
        <f>VLOOKUP($A24,[24]HISTODEC24!$A$6:$CA$38,64,0)</f>
        <v>0</v>
      </c>
      <c r="AK24" s="36">
        <f>VLOOKUP($A24,[24]HISTODEC24!$A$6:$CA$38,65,0)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MVTNOV24!I25-E25+L25</f>
        <v>1067141.7950432156</v>
      </c>
      <c r="G25" s="5">
        <f>IF(MVTNOV24!I25+L25&gt;700000,(MVTNOV24!I25-E25+L25),0)</f>
        <v>1067141.7950432156</v>
      </c>
      <c r="H25" s="36">
        <f t="shared" si="0"/>
        <v>0</v>
      </c>
      <c r="I25" s="6">
        <f t="shared" si="2"/>
        <v>1067141.7950432156</v>
      </c>
      <c r="J25" s="36">
        <f>VLOOKUP($A25,[24]HISTODEC24!$A$6:$AQ$42,22,0)</f>
        <v>0</v>
      </c>
      <c r="K25" s="36">
        <f>VLOOKUP($A25,[24]HISTODEC24!$A$6:$AU$38,45,0)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VLOOKUP($A25,[24]HISTODEC24!$A$6:$AU$38,7,0)</f>
        <v>3000</v>
      </c>
      <c r="Q25" s="36">
        <f>VLOOKUP($A25,[24]HISTODEC24!$A$6:$AU$38,23,0)</f>
        <v>0</v>
      </c>
      <c r="R25" s="36">
        <f>VLOOKUP($A25,[24]HISTODEC24!$A$6:$AU$38,46,0)</f>
        <v>0</v>
      </c>
      <c r="S25" s="36">
        <f>VLOOKUP($A25,[24]HISTODEC24!$A$6:$AU$38,26,0)</f>
        <v>0</v>
      </c>
      <c r="T25" s="36">
        <f>VLOOKUP($A25,[24]HISTODEC24!$A$6:$BG$38,58,0)</f>
        <v>0</v>
      </c>
      <c r="U25" s="36">
        <f>VLOOKUP($A25,[24]HISTODEC24!$A$6:$AU$38,28,0)</f>
        <v>0</v>
      </c>
      <c r="V25" s="36">
        <f>VLOOKUP($A25,[24]HISTODEC24!$A$6:$AU$38,19,0)</f>
        <v>0</v>
      </c>
      <c r="W25" s="36">
        <f>VLOOKUP($A25,[24]HISTODEC24!$A$6:$AU$38,20,0)</f>
        <v>0</v>
      </c>
      <c r="X25" s="36">
        <f>VLOOKUP($A25,[24]HISTODEC24!$A$6:$AU$38,27,0)</f>
        <v>0</v>
      </c>
      <c r="Y25" s="36">
        <f>VLOOKUP($A25,[24]HISTODEC24!$A$6:$BM$38,33,0)</f>
        <v>0</v>
      </c>
      <c r="Z25" s="36">
        <f>VLOOKUP($A25,[24]HISTODEC24!$A$6:$BM$38,65,0)</f>
        <v>0</v>
      </c>
      <c r="AA25" s="36"/>
      <c r="AB25" s="36">
        <f>VLOOKUP($A25,[24]HISTODEC24!$A$6:$AU$38,43,0)</f>
        <v>0</v>
      </c>
      <c r="AC25" s="36">
        <f>VLOOKUP($A25,[24]HISTODEC24!$A$6:$AU$38,44,0)</f>
        <v>0</v>
      </c>
      <c r="AD25" s="36">
        <f>VLOOKUP($A25,[24]HISTODEC24!$A$6:$AU$38,47,0)</f>
        <v>0</v>
      </c>
      <c r="AE25" s="36">
        <f>VLOOKUP(A25,[24]HISTODEC24!$A$6:$BB$38,54,0)</f>
        <v>0</v>
      </c>
      <c r="AF25" s="36">
        <f>VLOOKUP($A25,[24]HISTODEC24!$A$6:$CA$38,60,0)</f>
        <v>0</v>
      </c>
      <c r="AG25" s="36">
        <f>VLOOKUP($A25,[24]HISTODEC24!$A$6:$CA$38,61,0)</f>
        <v>0</v>
      </c>
      <c r="AH25" s="36">
        <f>VLOOKUP($A25,[24]HISTODEC24!$A$6:$CA$38,62,0)</f>
        <v>0</v>
      </c>
      <c r="AI25" s="36">
        <f>VLOOKUP($A25,[24]HISTODEC24!$A$6:$CA$38,63,0)</f>
        <v>0</v>
      </c>
      <c r="AJ25" s="36">
        <f>VLOOKUP($A25,[24]HISTODEC24!$A$6:$CA$38,64,0)</f>
        <v>0</v>
      </c>
      <c r="AK25" s="36">
        <f>VLOOKUP($A25,[24]HISTODEC24!$A$6:$CA$38,65,0)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MVTNOV24!I26-E26+L26</f>
        <v>995266.46813543816</v>
      </c>
      <c r="G26" s="5">
        <f>IF(MVTNOV24!I26+L26&gt;700000,(MVTNOV24!I26-E26+L26),0)</f>
        <v>995266.46813543816</v>
      </c>
      <c r="H26" s="36">
        <f t="shared" si="0"/>
        <v>0</v>
      </c>
      <c r="I26" s="6">
        <f t="shared" si="2"/>
        <v>995266.46813543816</v>
      </c>
      <c r="J26" s="36">
        <f>VLOOKUP($A26,[24]HISTODEC24!$A$6:$AQ$42,22,0)</f>
        <v>0</v>
      </c>
      <c r="K26" s="36">
        <f>VLOOKUP($A26,[24]HISTODEC24!$A$6:$AU$38,45,0)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VLOOKUP($A26,[24]HISTODEC24!$A$6:$AU$38,7,0)</f>
        <v>0</v>
      </c>
      <c r="Q26" s="36">
        <f>VLOOKUP($A26,[24]HISTODEC24!$A$6:$AU$38,23,0)</f>
        <v>0</v>
      </c>
      <c r="R26" s="36">
        <f>VLOOKUP($A26,[24]HISTODEC24!$A$6:$AU$38,46,0)</f>
        <v>0</v>
      </c>
      <c r="S26" s="36">
        <f>VLOOKUP($A26,[24]HISTODEC24!$A$6:$AU$38,26,0)</f>
        <v>0</v>
      </c>
      <c r="T26" s="36">
        <f>VLOOKUP($A26,[24]HISTODEC24!$A$6:$BG$38,58,0)</f>
        <v>0</v>
      </c>
      <c r="U26" s="36">
        <f>VLOOKUP($A26,[24]HISTODEC24!$A$6:$AU$38,28,0)</f>
        <v>0</v>
      </c>
      <c r="V26" s="36">
        <f>VLOOKUP($A26,[24]HISTODEC24!$A$6:$AU$38,19,0)</f>
        <v>0</v>
      </c>
      <c r="W26" s="36">
        <f>VLOOKUP($A26,[24]HISTODEC24!$A$6:$AU$38,20,0)</f>
        <v>0</v>
      </c>
      <c r="X26" s="36">
        <f>VLOOKUP($A26,[24]HISTODEC24!$A$6:$AU$38,27,0)</f>
        <v>0</v>
      </c>
      <c r="Y26" s="36">
        <f>VLOOKUP($A26,[24]HISTODEC24!$A$6:$BM$38,33,0)</f>
        <v>0</v>
      </c>
      <c r="Z26" s="36">
        <f>VLOOKUP($A26,[24]HISTODEC24!$A$6:$BM$38,65,0)</f>
        <v>0</v>
      </c>
      <c r="AA26" s="36"/>
      <c r="AB26" s="36">
        <f>VLOOKUP($A26,[24]HISTODEC24!$A$6:$AU$38,43,0)</f>
        <v>0</v>
      </c>
      <c r="AC26" s="36">
        <f>VLOOKUP($A26,[24]HISTODEC24!$A$6:$AU$38,44,0)</f>
        <v>0</v>
      </c>
      <c r="AD26" s="36">
        <f>VLOOKUP($A26,[24]HISTODEC24!$A$6:$AU$38,47,0)</f>
        <v>0</v>
      </c>
      <c r="AE26" s="36">
        <f>VLOOKUP(A26,[24]HISTODEC24!$A$6:$BB$38,54,0)</f>
        <v>0</v>
      </c>
      <c r="AF26" s="36">
        <f>VLOOKUP($A26,[24]HISTODEC24!$A$6:$CA$38,60,0)</f>
        <v>0</v>
      </c>
      <c r="AG26" s="36">
        <f>VLOOKUP($A26,[24]HISTODEC24!$A$6:$CA$38,61,0)</f>
        <v>0</v>
      </c>
      <c r="AH26" s="36">
        <f>VLOOKUP($A26,[24]HISTODEC24!$A$6:$CA$38,62,0)</f>
        <v>0</v>
      </c>
      <c r="AI26" s="36">
        <f>VLOOKUP($A26,[24]HISTODEC24!$A$6:$CA$38,63,0)</f>
        <v>0</v>
      </c>
      <c r="AJ26" s="36">
        <f>VLOOKUP($A26,[24]HISTODEC24!$A$6:$CA$38,64,0)</f>
        <v>0</v>
      </c>
      <c r="AK26" s="36">
        <f>VLOOKUP($A26,[24]HISTODEC24!$A$6:$CA$38,65,0)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MVTNOV24!I27-E27+L27</f>
        <v>995824.17371512204</v>
      </c>
      <c r="G27" s="5">
        <f>IF(MVTNOV24!I27+L27&gt;700000,(MVTNOV24!I27-E27+L27),0)</f>
        <v>995824.17371512204</v>
      </c>
      <c r="H27" s="36">
        <f t="shared" si="0"/>
        <v>0</v>
      </c>
      <c r="I27" s="6">
        <f t="shared" si="2"/>
        <v>995824.17371512204</v>
      </c>
      <c r="J27" s="36">
        <f>VLOOKUP($A27,[24]HISTODEC24!$A$6:$AQ$42,22,0)</f>
        <v>0</v>
      </c>
      <c r="K27" s="36">
        <f>VLOOKUP($A27,[24]HISTODEC24!$A$6:$AU$38,45,0)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VLOOKUP($A27,[24]HISTODEC24!$A$6:$AU$38,7,0)</f>
        <v>0</v>
      </c>
      <c r="Q27" s="36">
        <f>VLOOKUP($A27,[24]HISTODEC24!$A$6:$AU$38,23,0)</f>
        <v>0</v>
      </c>
      <c r="R27" s="36">
        <f>VLOOKUP($A27,[24]HISTODEC24!$A$6:$AU$38,46,0)</f>
        <v>0</v>
      </c>
      <c r="S27" s="36">
        <f>VLOOKUP($A27,[24]HISTODEC24!$A$6:$AU$38,26,0)</f>
        <v>0</v>
      </c>
      <c r="T27" s="36">
        <f>VLOOKUP($A27,[24]HISTODEC24!$A$6:$BG$38,58,0)</f>
        <v>0</v>
      </c>
      <c r="U27" s="36">
        <f>VLOOKUP($A27,[24]HISTODEC24!$A$6:$AU$38,28,0)</f>
        <v>0</v>
      </c>
      <c r="V27" s="36">
        <f>VLOOKUP($A27,[24]HISTODEC24!$A$6:$AU$38,19,0)</f>
        <v>0</v>
      </c>
      <c r="W27" s="36">
        <f>VLOOKUP($A27,[24]HISTODEC24!$A$6:$AU$38,20,0)</f>
        <v>0</v>
      </c>
      <c r="X27" s="36">
        <f>VLOOKUP($A27,[24]HISTODEC24!$A$6:$AU$38,27,0)</f>
        <v>0</v>
      </c>
      <c r="Y27" s="36">
        <f>VLOOKUP($A27,[24]HISTODEC24!$A$6:$BM$38,33,0)</f>
        <v>0</v>
      </c>
      <c r="Z27" s="36">
        <f>VLOOKUP($A27,[24]HISTODEC24!$A$6:$BM$38,65,0)</f>
        <v>0</v>
      </c>
      <c r="AA27" s="36"/>
      <c r="AB27" s="36">
        <f>VLOOKUP($A27,[24]HISTODEC24!$A$6:$AU$38,43,0)</f>
        <v>0</v>
      </c>
      <c r="AC27" s="36">
        <f>VLOOKUP($A27,[24]HISTODEC24!$A$6:$AU$38,44,0)</f>
        <v>0</v>
      </c>
      <c r="AD27" s="36">
        <f>VLOOKUP($A27,[24]HISTODEC24!$A$6:$AU$38,47,0)</f>
        <v>0</v>
      </c>
      <c r="AE27" s="36">
        <f>VLOOKUP(A27,[24]HISTODEC24!$A$6:$BB$38,54,0)</f>
        <v>0</v>
      </c>
      <c r="AF27" s="36">
        <f>VLOOKUP($A27,[24]HISTODEC24!$A$6:$CA$38,60,0)</f>
        <v>0</v>
      </c>
      <c r="AG27" s="36">
        <f>VLOOKUP($A27,[24]HISTODEC24!$A$6:$CA$38,61,0)</f>
        <v>0</v>
      </c>
      <c r="AH27" s="36">
        <f>VLOOKUP($A27,[24]HISTODEC24!$A$6:$CA$38,62,0)</f>
        <v>0</v>
      </c>
      <c r="AI27" s="36">
        <f>VLOOKUP($A27,[24]HISTODEC24!$A$6:$CA$38,63,0)</f>
        <v>0</v>
      </c>
      <c r="AJ27" s="36">
        <f>VLOOKUP($A27,[24]HISTODEC24!$A$6:$CA$38,64,0)</f>
        <v>0</v>
      </c>
      <c r="AK27" s="36">
        <f>VLOOKUP($A27,[24]HISTODEC24!$A$6:$CA$38,65,0)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MVTNOV24!I28-E28+L28</f>
        <v>897176.12513194664</v>
      </c>
      <c r="G28" s="5">
        <f>IF(MVTNOV24!I28+L28&gt;700000,(MVTNOV24!I28-E28+L28),0)</f>
        <v>897176.12513194664</v>
      </c>
      <c r="H28" s="36">
        <f t="shared" si="0"/>
        <v>0</v>
      </c>
      <c r="I28" s="6">
        <f t="shared" si="2"/>
        <v>897176.12513194664</v>
      </c>
      <c r="J28" s="36">
        <f>VLOOKUP($A28,[24]HISTODEC24!$A$6:$AQ$42,22,0)</f>
        <v>0</v>
      </c>
      <c r="K28" s="36">
        <f>VLOOKUP($A28,[24]HISTODEC24!$A$6:$AU$38,45,0)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VLOOKUP($A28,[24]HISTODEC24!$A$6:$AU$38,7,0)</f>
        <v>0</v>
      </c>
      <c r="Q28" s="36">
        <f>VLOOKUP($A28,[24]HISTODEC24!$A$6:$AU$38,23,0)</f>
        <v>0</v>
      </c>
      <c r="R28" s="36">
        <f>VLOOKUP($A28,[24]HISTODEC24!$A$6:$AU$38,46,0)</f>
        <v>0</v>
      </c>
      <c r="S28" s="36">
        <f>VLOOKUP($A28,[24]HISTODEC24!$A$6:$AU$38,26,0)</f>
        <v>0</v>
      </c>
      <c r="T28" s="36">
        <f>VLOOKUP($A28,[24]HISTODEC24!$A$6:$BG$38,58,0)</f>
        <v>0</v>
      </c>
      <c r="U28" s="36">
        <f>VLOOKUP($A28,[24]HISTODEC24!$A$6:$AU$38,28,0)</f>
        <v>0</v>
      </c>
      <c r="V28" s="36">
        <f>VLOOKUP($A28,[24]HISTODEC24!$A$6:$AU$38,19,0)</f>
        <v>0</v>
      </c>
      <c r="W28" s="36">
        <f>VLOOKUP($A28,[24]HISTODEC24!$A$6:$AU$38,20,0)</f>
        <v>0</v>
      </c>
      <c r="X28" s="36">
        <f>VLOOKUP($A28,[24]HISTODEC24!$A$6:$AU$38,27,0)</f>
        <v>0</v>
      </c>
      <c r="Y28" s="36">
        <f>VLOOKUP($A28,[24]HISTODEC24!$A$6:$BM$38,33,0)</f>
        <v>0</v>
      </c>
      <c r="Z28" s="36">
        <f>VLOOKUP($A28,[24]HISTODEC24!$A$6:$BM$38,65,0)</f>
        <v>0</v>
      </c>
      <c r="AA28" s="36"/>
      <c r="AB28" s="36">
        <f>VLOOKUP($A28,[24]HISTODEC24!$A$6:$AU$38,43,0)</f>
        <v>0</v>
      </c>
      <c r="AC28" s="36">
        <f>VLOOKUP($A28,[24]HISTODEC24!$A$6:$AU$38,44,0)</f>
        <v>0</v>
      </c>
      <c r="AD28" s="36">
        <f>VLOOKUP($A28,[24]HISTODEC24!$A$6:$AU$38,47,0)</f>
        <v>0</v>
      </c>
      <c r="AE28" s="36">
        <f>VLOOKUP(A28,[24]HISTODEC24!$A$6:$BB$38,54,0)</f>
        <v>0</v>
      </c>
      <c r="AF28" s="36">
        <f>VLOOKUP($A28,[24]HISTODEC24!$A$6:$CA$38,60,0)</f>
        <v>0</v>
      </c>
      <c r="AG28" s="36">
        <f>VLOOKUP($A28,[24]HISTODEC24!$A$6:$CA$38,61,0)</f>
        <v>0</v>
      </c>
      <c r="AH28" s="36">
        <f>VLOOKUP($A28,[24]HISTODEC24!$A$6:$CA$38,62,0)</f>
        <v>0</v>
      </c>
      <c r="AI28" s="36">
        <f>VLOOKUP($A28,[24]HISTODEC24!$A$6:$CA$38,63,0)</f>
        <v>0</v>
      </c>
      <c r="AJ28" s="36">
        <f>VLOOKUP($A28,[24]HISTODEC24!$A$6:$CA$38,64,0)</f>
        <v>0</v>
      </c>
      <c r="AK28" s="36">
        <f>VLOOKUP($A28,[24]HISTODEC24!$A$6:$CA$38,65,0)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MVTNOV24!I29-E29+L29</f>
        <v>1022151.3442374151</v>
      </c>
      <c r="G29" s="5">
        <f>IF(MVTNOV24!I29+L29&gt;700000,(MVTNOV24!I29-E29+L29),0)</f>
        <v>1022151.3442374151</v>
      </c>
      <c r="H29" s="36">
        <f t="shared" si="0"/>
        <v>0</v>
      </c>
      <c r="I29" s="6">
        <f t="shared" si="2"/>
        <v>1022151.3442374151</v>
      </c>
      <c r="J29" s="36">
        <f>VLOOKUP($A29,[24]HISTODEC24!$A$6:$AQ$42,22,0)</f>
        <v>0</v>
      </c>
      <c r="K29" s="36">
        <f>VLOOKUP($A29,[24]HISTODEC24!$A$6:$AU$38,45,0)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VLOOKUP($A29,[24]HISTODEC24!$A$6:$AU$38,7,0)</f>
        <v>0</v>
      </c>
      <c r="Q29" s="36">
        <f>VLOOKUP($A29,[24]HISTODEC24!$A$6:$AU$38,23,0)</f>
        <v>0</v>
      </c>
      <c r="R29" s="36">
        <f>VLOOKUP($A29,[24]HISTODEC24!$A$6:$AU$38,46,0)</f>
        <v>0</v>
      </c>
      <c r="S29" s="36">
        <f>VLOOKUP($A29,[24]HISTODEC24!$A$6:$AU$38,26,0)</f>
        <v>0</v>
      </c>
      <c r="T29" s="36">
        <f>VLOOKUP($A29,[24]HISTODEC24!$A$6:$BG$38,58,0)</f>
        <v>0</v>
      </c>
      <c r="U29" s="36">
        <f>VLOOKUP($A29,[24]HISTODEC24!$A$6:$AU$38,28,0)</f>
        <v>0</v>
      </c>
      <c r="V29" s="36">
        <f>VLOOKUP($A29,[24]HISTODEC24!$A$6:$AU$38,19,0)</f>
        <v>0</v>
      </c>
      <c r="W29" s="36">
        <f>VLOOKUP($A29,[24]HISTODEC24!$A$6:$AU$38,20,0)</f>
        <v>0</v>
      </c>
      <c r="X29" s="36">
        <f>VLOOKUP($A29,[24]HISTODEC24!$A$6:$AU$38,27,0)</f>
        <v>0</v>
      </c>
      <c r="Y29" s="36">
        <f>VLOOKUP($A29,[24]HISTODEC24!$A$6:$BM$38,33,0)</f>
        <v>0</v>
      </c>
      <c r="Z29" s="36">
        <f>VLOOKUP($A29,[24]HISTODEC24!$A$6:$BM$38,65,0)</f>
        <v>0</v>
      </c>
      <c r="AA29" s="36"/>
      <c r="AB29" s="36">
        <f>VLOOKUP($A29,[24]HISTODEC24!$A$6:$AU$38,43,0)</f>
        <v>0</v>
      </c>
      <c r="AC29" s="36">
        <f>VLOOKUP($A29,[24]HISTODEC24!$A$6:$AU$38,44,0)</f>
        <v>0</v>
      </c>
      <c r="AD29" s="36">
        <f>VLOOKUP($A29,[24]HISTODEC24!$A$6:$AU$38,47,0)</f>
        <v>0</v>
      </c>
      <c r="AE29" s="36">
        <f>VLOOKUP(A29,[24]HISTODEC24!$A$6:$BB$38,54,0)</f>
        <v>0</v>
      </c>
      <c r="AF29" s="36">
        <f>VLOOKUP($A29,[24]HISTODEC24!$A$6:$CA$38,60,0)</f>
        <v>0</v>
      </c>
      <c r="AG29" s="36">
        <f>VLOOKUP($A29,[24]HISTODEC24!$A$6:$CA$38,61,0)</f>
        <v>0</v>
      </c>
      <c r="AH29" s="36">
        <f>VLOOKUP($A29,[24]HISTODEC24!$A$6:$CA$38,62,0)</f>
        <v>0</v>
      </c>
      <c r="AI29" s="36">
        <f>VLOOKUP($A29,[24]HISTODEC24!$A$6:$CA$38,63,0)</f>
        <v>0</v>
      </c>
      <c r="AJ29" s="36">
        <f>VLOOKUP($A29,[24]HISTODEC24!$A$6:$CA$38,64,0)</f>
        <v>0</v>
      </c>
      <c r="AK29" s="36">
        <f>VLOOKUP($A29,[24]HISTODEC24!$A$6:$CA$38,65,0)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MVTNOV24!I30-E30+L30</f>
        <v>926786.81046782702</v>
      </c>
      <c r="G30" s="5">
        <f>IF(MVTNOV24!I30+L30&gt;700000,(MVTNOV24!I30-E30+L30),0)</f>
        <v>926786.81046782702</v>
      </c>
      <c r="H30" s="36">
        <f t="shared" si="0"/>
        <v>0</v>
      </c>
      <c r="I30" s="6">
        <f t="shared" si="2"/>
        <v>926786.81046782702</v>
      </c>
      <c r="J30" s="36">
        <f>VLOOKUP($A30,[24]HISTODEC24!$A$6:$AQ$42,22,0)</f>
        <v>0</v>
      </c>
      <c r="K30" s="36">
        <f>VLOOKUP($A30,[24]HISTODEC24!$A$6:$AU$38,45,0)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VLOOKUP($A30,[24]HISTODEC24!$A$6:$AU$38,7,0)</f>
        <v>0</v>
      </c>
      <c r="Q30" s="36">
        <f>VLOOKUP($A30,[24]HISTODEC24!$A$6:$AU$38,23,0)</f>
        <v>0</v>
      </c>
      <c r="R30" s="36">
        <f>VLOOKUP($A30,[24]HISTODEC24!$A$6:$AU$38,46,0)</f>
        <v>0</v>
      </c>
      <c r="S30" s="36">
        <f>VLOOKUP($A30,[24]HISTODEC24!$A$6:$AU$38,26,0)</f>
        <v>0</v>
      </c>
      <c r="T30" s="36">
        <f>VLOOKUP($A30,[24]HISTODEC24!$A$6:$BG$38,58,0)</f>
        <v>0</v>
      </c>
      <c r="U30" s="36">
        <f>VLOOKUP($A30,[24]HISTODEC24!$A$6:$AU$38,28,0)</f>
        <v>0</v>
      </c>
      <c r="V30" s="36">
        <f>VLOOKUP($A30,[24]HISTODEC24!$A$6:$AU$38,19,0)</f>
        <v>0</v>
      </c>
      <c r="W30" s="36">
        <f>VLOOKUP($A30,[24]HISTODEC24!$A$6:$AU$38,20,0)</f>
        <v>0</v>
      </c>
      <c r="X30" s="36">
        <f>VLOOKUP($A30,[24]HISTODEC24!$A$6:$AU$38,27,0)</f>
        <v>0</v>
      </c>
      <c r="Y30" s="36">
        <f>VLOOKUP($A30,[24]HISTODEC24!$A$6:$BM$38,33,0)</f>
        <v>0</v>
      </c>
      <c r="Z30" s="36">
        <f>VLOOKUP($A30,[24]HISTODEC24!$A$6:$BM$38,65,0)</f>
        <v>0</v>
      </c>
      <c r="AA30" s="36"/>
      <c r="AB30" s="36">
        <f>VLOOKUP($A30,[24]HISTODEC24!$A$6:$AU$38,43,0)</f>
        <v>0</v>
      </c>
      <c r="AC30" s="36">
        <f>VLOOKUP($A30,[24]HISTODEC24!$A$6:$AU$38,44,0)</f>
        <v>0</v>
      </c>
      <c r="AD30" s="36">
        <f>VLOOKUP($A30,[24]HISTODEC24!$A$6:$AU$38,47,0)</f>
        <v>0</v>
      </c>
      <c r="AE30" s="36">
        <f>VLOOKUP(A30,[24]HISTODEC24!$A$6:$BB$38,54,0)</f>
        <v>0</v>
      </c>
      <c r="AF30" s="36">
        <f>VLOOKUP($A30,[24]HISTODEC24!$A$6:$CA$38,60,0)</f>
        <v>0</v>
      </c>
      <c r="AG30" s="36">
        <f>VLOOKUP($A30,[24]HISTODEC24!$A$6:$CA$38,61,0)</f>
        <v>0</v>
      </c>
      <c r="AH30" s="36">
        <f>VLOOKUP($A30,[24]HISTODEC24!$A$6:$CA$38,62,0)</f>
        <v>0</v>
      </c>
      <c r="AI30" s="36">
        <f>VLOOKUP($A30,[24]HISTODEC24!$A$6:$CA$38,63,0)</f>
        <v>0</v>
      </c>
      <c r="AJ30" s="36">
        <f>VLOOKUP($A30,[24]HISTODEC24!$A$6:$CA$38,64,0)</f>
        <v>0</v>
      </c>
      <c r="AK30" s="36">
        <f>VLOOKUP($A30,[24]HISTODEC24!$A$6:$CA$38,65,0)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MVTNOV24!I31-E31+L31</f>
        <v>1086903.0311481347</v>
      </c>
      <c r="G31" s="5">
        <f>IF(MVTNOV24!I31+L31&gt;700000,(MVTNOV24!I31-E31+L31),0)</f>
        <v>1086903.0311481347</v>
      </c>
      <c r="H31" s="36">
        <f t="shared" si="0"/>
        <v>0</v>
      </c>
      <c r="I31" s="6">
        <f t="shared" si="2"/>
        <v>1086903.0311481347</v>
      </c>
      <c r="J31" s="36">
        <f>VLOOKUP($A31,[24]HISTODEC24!$A$6:$AQ$42,22,0)</f>
        <v>0</v>
      </c>
      <c r="K31" s="36">
        <f>VLOOKUP($A31,[24]HISTODEC24!$A$6:$AU$38,45,0)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VLOOKUP($A31,[24]HISTODEC24!$A$6:$AU$38,7,0)</f>
        <v>0</v>
      </c>
      <c r="Q31" s="36">
        <f>VLOOKUP($A31,[24]HISTODEC24!$A$6:$AU$38,23,0)</f>
        <v>0</v>
      </c>
      <c r="R31" s="36">
        <f>VLOOKUP($A31,[24]HISTODEC24!$A$6:$AU$38,46,0)</f>
        <v>0</v>
      </c>
      <c r="S31" s="36">
        <f>VLOOKUP($A31,[24]HISTODEC24!$A$6:$AU$38,26,0)</f>
        <v>0</v>
      </c>
      <c r="T31" s="36">
        <f>VLOOKUP($A31,[24]HISTODEC24!$A$6:$BG$38,58,0)</f>
        <v>0</v>
      </c>
      <c r="U31" s="36">
        <f>VLOOKUP($A31,[24]HISTODEC24!$A$6:$AU$38,28,0)</f>
        <v>0</v>
      </c>
      <c r="V31" s="36">
        <f>VLOOKUP($A31,[24]HISTODEC24!$A$6:$AU$38,19,0)</f>
        <v>0</v>
      </c>
      <c r="W31" s="36">
        <f>VLOOKUP($A31,[24]HISTODEC24!$A$6:$AU$38,20,0)</f>
        <v>0</v>
      </c>
      <c r="X31" s="36">
        <f>VLOOKUP($A31,[24]HISTODEC24!$A$6:$AU$38,27,0)</f>
        <v>0</v>
      </c>
      <c r="Y31" s="36">
        <f>VLOOKUP($A31,[24]HISTODEC24!$A$6:$BM$38,33,0)</f>
        <v>0</v>
      </c>
      <c r="Z31" s="36">
        <f>VLOOKUP($A31,[24]HISTODEC24!$A$6:$BM$38,65,0)</f>
        <v>0</v>
      </c>
      <c r="AA31" s="36"/>
      <c r="AB31" s="36">
        <f>VLOOKUP($A31,[24]HISTODEC24!$A$6:$AU$38,43,0)</f>
        <v>0</v>
      </c>
      <c r="AC31" s="36">
        <f>VLOOKUP($A31,[24]HISTODEC24!$A$6:$AU$38,44,0)</f>
        <v>0</v>
      </c>
      <c r="AD31" s="36">
        <f>VLOOKUP($A31,[24]HISTODEC24!$A$6:$AU$38,47,0)</f>
        <v>0</v>
      </c>
      <c r="AE31" s="36">
        <f>VLOOKUP(A31,[24]HISTODEC24!$A$6:$BB$38,54,0)</f>
        <v>0</v>
      </c>
      <c r="AF31" s="36">
        <f>VLOOKUP($A31,[24]HISTODEC24!$A$6:$CA$38,60,0)</f>
        <v>0</v>
      </c>
      <c r="AG31" s="36">
        <f>VLOOKUP($A31,[24]HISTODEC24!$A$6:$CA$38,61,0)</f>
        <v>0</v>
      </c>
      <c r="AH31" s="36">
        <f>VLOOKUP($A31,[24]HISTODEC24!$A$6:$CA$38,62,0)</f>
        <v>0</v>
      </c>
      <c r="AI31" s="36">
        <f>VLOOKUP($A31,[24]HISTODEC24!$A$6:$CA$38,63,0)</f>
        <v>0</v>
      </c>
      <c r="AJ31" s="36">
        <f>VLOOKUP($A31,[24]HISTODEC24!$A$6:$CA$38,64,0)</f>
        <v>0</v>
      </c>
      <c r="AK31" s="36">
        <f>VLOOKUP($A31,[24]HISTODEC24!$A$6:$CA$38,65,0)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MVTNOV24!I32-E32+L32</f>
        <v>976243.98131057119</v>
      </c>
      <c r="G32" s="5">
        <f>IF(MVTNOV24!I32+L32&gt;700000,(MVTNOV24!I32-E32+L32),0)</f>
        <v>976243.98131057119</v>
      </c>
      <c r="H32" s="36">
        <f t="shared" si="0"/>
        <v>0</v>
      </c>
      <c r="I32" s="6">
        <f t="shared" si="2"/>
        <v>976243.98131057119</v>
      </c>
      <c r="J32" s="36">
        <f>VLOOKUP($A32,[24]HISTODEC24!$A$6:$AQ$42,22,0)</f>
        <v>0</v>
      </c>
      <c r="K32" s="36">
        <f>VLOOKUP($A32,[24]HISTODEC24!$A$6:$AU$38,45,0)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VLOOKUP($A32,[24]HISTODEC24!$A$6:$AU$38,7,0)</f>
        <v>0</v>
      </c>
      <c r="Q32" s="36">
        <f>VLOOKUP($A32,[24]HISTODEC24!$A$6:$AU$38,23,0)</f>
        <v>0</v>
      </c>
      <c r="R32" s="36">
        <f>VLOOKUP($A32,[24]HISTODEC24!$A$6:$AU$38,46,0)</f>
        <v>0</v>
      </c>
      <c r="S32" s="36">
        <f>VLOOKUP($A32,[24]HISTODEC24!$A$6:$AU$38,26,0)</f>
        <v>0</v>
      </c>
      <c r="T32" s="36">
        <f>VLOOKUP($A32,[24]HISTODEC24!$A$6:$BG$38,58,0)</f>
        <v>0</v>
      </c>
      <c r="U32" s="36">
        <f>VLOOKUP($A32,[24]HISTODEC24!$A$6:$AU$38,28,0)</f>
        <v>0</v>
      </c>
      <c r="V32" s="36">
        <f>VLOOKUP($A32,[24]HISTODEC24!$A$6:$AU$38,19,0)</f>
        <v>0</v>
      </c>
      <c r="W32" s="36">
        <f>VLOOKUP($A32,[24]HISTODEC24!$A$6:$AU$38,20,0)</f>
        <v>0</v>
      </c>
      <c r="X32" s="36">
        <f>VLOOKUP($A32,[24]HISTODEC24!$A$6:$AU$38,27,0)</f>
        <v>0</v>
      </c>
      <c r="Y32" s="36">
        <f>VLOOKUP($A32,[24]HISTODEC24!$A$6:$BM$38,33,0)</f>
        <v>0</v>
      </c>
      <c r="Z32" s="36">
        <f>VLOOKUP($A32,[24]HISTODEC24!$A$6:$BM$38,65,0)</f>
        <v>0</v>
      </c>
      <c r="AA32" s="36"/>
      <c r="AB32" s="36">
        <f>VLOOKUP($A32,[24]HISTODEC24!$A$6:$AU$38,43,0)</f>
        <v>0</v>
      </c>
      <c r="AC32" s="36">
        <f>VLOOKUP($A32,[24]HISTODEC24!$A$6:$AU$38,44,0)</f>
        <v>0</v>
      </c>
      <c r="AD32" s="36">
        <f>VLOOKUP($A32,[24]HISTODEC24!$A$6:$AU$38,47,0)</f>
        <v>0</v>
      </c>
      <c r="AE32" s="36">
        <f>VLOOKUP(A32,[24]HISTODEC24!$A$6:$BB$38,54,0)</f>
        <v>0</v>
      </c>
      <c r="AF32" s="36">
        <f>VLOOKUP($A32,[24]HISTODEC24!$A$6:$CA$38,60,0)</f>
        <v>0</v>
      </c>
      <c r="AG32" s="36">
        <f>VLOOKUP($A32,[24]HISTODEC24!$A$6:$CA$38,61,0)</f>
        <v>0</v>
      </c>
      <c r="AH32" s="36">
        <f>VLOOKUP($A32,[24]HISTODEC24!$A$6:$CA$38,62,0)</f>
        <v>0</v>
      </c>
      <c r="AI32" s="36">
        <f>VLOOKUP($A32,[24]HISTODEC24!$A$6:$CA$38,63,0)</f>
        <v>0</v>
      </c>
      <c r="AJ32" s="36">
        <f>VLOOKUP($A32,[24]HISTODEC24!$A$6:$CA$38,64,0)</f>
        <v>0</v>
      </c>
      <c r="AK32" s="36">
        <f>VLOOKUP($A32,[24]HISTODEC24!$A$6:$CA$38,65,0)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MVTNOV24!I33-E33+L33</f>
        <v>976552.64928596013</v>
      </c>
      <c r="G33" s="5">
        <f>IF(MVTNOV24!I33+L33&gt;700000,(MVTNOV24!I33-E33+L33),0)</f>
        <v>976552.64928596013</v>
      </c>
      <c r="H33" s="36">
        <f t="shared" si="0"/>
        <v>0</v>
      </c>
      <c r="I33" s="6">
        <f t="shared" si="2"/>
        <v>976552.64928596013</v>
      </c>
      <c r="J33" s="36">
        <f>VLOOKUP($A33,[24]HISTODEC24!$A$6:$AQ$42,22,0)</f>
        <v>0</v>
      </c>
      <c r="K33" s="36">
        <f>VLOOKUP($A33,[24]HISTODEC24!$A$6:$AU$38,45,0)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VLOOKUP($A33,[24]HISTODEC24!$A$6:$AU$38,7,0)</f>
        <v>0</v>
      </c>
      <c r="Q33" s="36">
        <f>VLOOKUP($A33,[24]HISTODEC24!$A$6:$AU$38,23,0)</f>
        <v>0</v>
      </c>
      <c r="R33" s="36">
        <f>VLOOKUP($A33,[24]HISTODEC24!$A$6:$AU$38,46,0)</f>
        <v>0</v>
      </c>
      <c r="S33" s="36">
        <f>VLOOKUP($A33,[24]HISTODEC24!$A$6:$AU$38,26,0)</f>
        <v>0</v>
      </c>
      <c r="T33" s="36">
        <f>VLOOKUP($A33,[24]HISTODEC24!$A$6:$BG$38,58,0)</f>
        <v>0</v>
      </c>
      <c r="U33" s="36">
        <f>VLOOKUP($A33,[24]HISTODEC24!$A$6:$AU$38,28,0)</f>
        <v>0</v>
      </c>
      <c r="V33" s="36">
        <f>VLOOKUP($A33,[24]HISTODEC24!$A$6:$AU$38,19,0)</f>
        <v>0</v>
      </c>
      <c r="W33" s="36">
        <f>VLOOKUP($A33,[24]HISTODEC24!$A$6:$AU$38,20,0)</f>
        <v>0</v>
      </c>
      <c r="X33" s="36">
        <f>VLOOKUP($A33,[24]HISTODEC24!$A$6:$AU$38,27,0)</f>
        <v>0</v>
      </c>
      <c r="Y33" s="36">
        <f>VLOOKUP($A33,[24]HISTODEC24!$A$6:$BM$38,33,0)</f>
        <v>0</v>
      </c>
      <c r="Z33" s="36">
        <f>VLOOKUP($A33,[24]HISTODEC24!$A$6:$BM$38,65,0)</f>
        <v>0</v>
      </c>
      <c r="AA33" s="36"/>
      <c r="AB33" s="36">
        <f>VLOOKUP($A33,[24]HISTODEC24!$A$6:$AU$38,43,0)</f>
        <v>0</v>
      </c>
      <c r="AC33" s="36">
        <f>VLOOKUP($A33,[24]HISTODEC24!$A$6:$AU$38,44,0)</f>
        <v>0</v>
      </c>
      <c r="AD33" s="36">
        <f>VLOOKUP($A33,[24]HISTODEC24!$A$6:$AU$38,47,0)</f>
        <v>0</v>
      </c>
      <c r="AE33" s="36">
        <f>VLOOKUP(A33,[24]HISTODEC24!$A$6:$BB$38,54,0)</f>
        <v>0</v>
      </c>
      <c r="AF33" s="36">
        <f>VLOOKUP($A33,[24]HISTODEC24!$A$6:$CA$38,60,0)</f>
        <v>0</v>
      </c>
      <c r="AG33" s="36">
        <f>VLOOKUP($A33,[24]HISTODEC24!$A$6:$CA$38,61,0)</f>
        <v>0</v>
      </c>
      <c r="AH33" s="36">
        <f>VLOOKUP($A33,[24]HISTODEC24!$A$6:$CA$38,62,0)</f>
        <v>0</v>
      </c>
      <c r="AI33" s="36">
        <f>VLOOKUP($A33,[24]HISTODEC24!$A$6:$CA$38,63,0)</f>
        <v>0</v>
      </c>
      <c r="AJ33" s="36">
        <f>VLOOKUP($A33,[24]HISTODEC24!$A$6:$CA$38,64,0)</f>
        <v>0</v>
      </c>
      <c r="AK33" s="36">
        <f>VLOOKUP($A33,[24]HISTODEC24!$A$6:$CA$38,65,0)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MVTNOV24!I34-E34+L34</f>
        <v>633000</v>
      </c>
      <c r="G34" s="5">
        <f>IF(MVTNOV24!I34+L34&gt;700000,(MVTNOV24!I34-E34+L34),0)</f>
        <v>0</v>
      </c>
      <c r="H34" s="36">
        <f t="shared" si="0"/>
        <v>0</v>
      </c>
      <c r="I34" s="6">
        <f t="shared" si="2"/>
        <v>633000</v>
      </c>
      <c r="J34" s="36">
        <f>VLOOKUP($A34,[24]HISTODEC24!$A$6:$AQ$42,22,0)</f>
        <v>0</v>
      </c>
      <c r="K34" s="36">
        <f>VLOOKUP($A34,[24]HISTODEC24!$A$6:$AU$38,45,0)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VLOOKUP($A34,[24]HISTODEC24!$A$6:$AU$38,7,0)</f>
        <v>0</v>
      </c>
      <c r="Q34" s="36">
        <f>VLOOKUP($A34,[24]HISTODEC24!$A$6:$AU$38,23,0)</f>
        <v>0</v>
      </c>
      <c r="R34" s="36">
        <f>VLOOKUP($A34,[24]HISTODEC24!$A$6:$AU$38,46,0)</f>
        <v>0</v>
      </c>
      <c r="S34" s="36">
        <f>VLOOKUP($A34,[24]HISTODEC24!$A$6:$AU$38,26,0)</f>
        <v>0</v>
      </c>
      <c r="T34" s="36">
        <f>VLOOKUP($A34,[24]HISTODEC24!$A$6:$BG$38,58,0)</f>
        <v>0</v>
      </c>
      <c r="U34" s="36">
        <f>VLOOKUP($A34,[24]HISTODEC24!$A$6:$AU$38,28,0)</f>
        <v>0</v>
      </c>
      <c r="V34" s="36">
        <f>VLOOKUP($A34,[24]HISTODEC24!$A$6:$AU$38,19,0)</f>
        <v>0</v>
      </c>
      <c r="W34" s="36">
        <f>VLOOKUP($A34,[24]HISTODEC24!$A$6:$AU$38,20,0)</f>
        <v>0</v>
      </c>
      <c r="X34" s="36">
        <f>VLOOKUP($A34,[24]HISTODEC24!$A$6:$AU$38,27,0)</f>
        <v>0</v>
      </c>
      <c r="Y34" s="36">
        <f>VLOOKUP($A34,[24]HISTODEC24!$A$6:$BM$38,33,0)</f>
        <v>0</v>
      </c>
      <c r="Z34" s="36">
        <f>VLOOKUP($A34,[24]HISTODEC24!$A$6:$BM$38,65,0)</f>
        <v>0</v>
      </c>
      <c r="AA34" s="36"/>
      <c r="AB34" s="36">
        <f>VLOOKUP($A34,[24]HISTODEC24!$A$6:$AU$38,43,0)</f>
        <v>0</v>
      </c>
      <c r="AC34" s="36">
        <f>VLOOKUP($A34,[24]HISTODEC24!$A$6:$AU$38,44,0)</f>
        <v>0</v>
      </c>
      <c r="AD34" s="36">
        <f>VLOOKUP($A34,[24]HISTODEC24!$A$6:$AU$38,47,0)</f>
        <v>0</v>
      </c>
      <c r="AE34" s="36">
        <f>VLOOKUP(A34,[24]HISTODEC24!$A$6:$BB$38,54,0)</f>
        <v>0</v>
      </c>
      <c r="AF34" s="36">
        <f>VLOOKUP($A34,[24]HISTODEC24!$A$6:$CA$38,60,0)</f>
        <v>0</v>
      </c>
      <c r="AG34" s="36">
        <f>VLOOKUP($A34,[24]HISTODEC24!$A$6:$CA$38,61,0)</f>
        <v>0</v>
      </c>
      <c r="AH34" s="36">
        <f>VLOOKUP($A34,[24]HISTODEC24!$A$6:$CA$38,62,0)</f>
        <v>0</v>
      </c>
      <c r="AI34" s="36">
        <f>VLOOKUP($A34,[24]HISTODEC24!$A$6:$CA$38,63,0)</f>
        <v>0</v>
      </c>
      <c r="AJ34" s="36">
        <f>VLOOKUP($A34,[24]HISTODEC24!$A$6:$CA$38,64,0)</f>
        <v>0</v>
      </c>
      <c r="AK34" s="36">
        <f>VLOOKUP($A34,[24]HISTODEC24!$A$6:$CA$38,65,0)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MVTNOV24!I35-E35+L35</f>
        <v>328000</v>
      </c>
      <c r="G35" s="5">
        <f>IF(MVTNOV24!I35+L35&gt;700000,(MVTNOV24!I35-E35+L35),0)</f>
        <v>0</v>
      </c>
      <c r="H35" s="36">
        <f t="shared" si="0"/>
        <v>0</v>
      </c>
      <c r="I35" s="6">
        <f t="shared" si="2"/>
        <v>328000</v>
      </c>
      <c r="J35" s="36">
        <f>VLOOKUP($A35,[24]HISTODEC24!$A$6:$AQ$42,22,0)</f>
        <v>0</v>
      </c>
      <c r="K35" s="36">
        <f>VLOOKUP($A35,[24]HISTODEC24!$A$6:$AU$38,45,0)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VLOOKUP($A35,[24]HISTODEC24!$A$6:$AU$38,7,0)</f>
        <v>3000</v>
      </c>
      <c r="Q35" s="36">
        <f>VLOOKUP($A35,[24]HISTODEC24!$A$6:$AU$38,23,0)</f>
        <v>0</v>
      </c>
      <c r="R35" s="36">
        <f>VLOOKUP($A35,[24]HISTODEC24!$A$6:$AU$38,46,0)</f>
        <v>0</v>
      </c>
      <c r="S35" s="36">
        <f>VLOOKUP($A35,[24]HISTODEC24!$A$6:$AU$38,26,0)</f>
        <v>0</v>
      </c>
      <c r="T35" s="36">
        <f>VLOOKUP($A35,[24]HISTODEC24!$A$6:$BG$38,58,0)</f>
        <v>0</v>
      </c>
      <c r="U35" s="36">
        <f>VLOOKUP($A35,[24]HISTODEC24!$A$6:$AU$38,28,0)</f>
        <v>0</v>
      </c>
      <c r="V35" s="36">
        <f>VLOOKUP($A35,[24]HISTODEC24!$A$6:$AU$38,19,0)</f>
        <v>0</v>
      </c>
      <c r="W35" s="36">
        <f>VLOOKUP($A35,[24]HISTODEC24!$A$6:$AU$38,20,0)</f>
        <v>0</v>
      </c>
      <c r="X35" s="36">
        <f>VLOOKUP($A35,[24]HISTODEC24!$A$6:$AU$38,27,0)</f>
        <v>0</v>
      </c>
      <c r="Y35" s="36">
        <f>VLOOKUP($A35,[24]HISTODEC24!$A$6:$BM$38,33,0)</f>
        <v>0</v>
      </c>
      <c r="Z35" s="36">
        <f>VLOOKUP($A35,[24]HISTODEC24!$A$6:$BM$38,65,0)</f>
        <v>0</v>
      </c>
      <c r="AA35" s="36"/>
      <c r="AB35" s="36">
        <f>VLOOKUP($A35,[24]HISTODEC24!$A$6:$AU$38,43,0)</f>
        <v>0</v>
      </c>
      <c r="AC35" s="36">
        <f>VLOOKUP($A35,[24]HISTODEC24!$A$6:$AU$38,44,0)</f>
        <v>0</v>
      </c>
      <c r="AD35" s="36">
        <f>VLOOKUP($A35,[24]HISTODEC24!$A$6:$AU$38,47,0)</f>
        <v>0</v>
      </c>
      <c r="AE35" s="36">
        <f>VLOOKUP(A35,[24]HISTODEC24!$A$6:$BB$38,54,0)</f>
        <v>0</v>
      </c>
      <c r="AF35" s="36">
        <f>VLOOKUP($A35,[24]HISTODEC24!$A$6:$CA$38,60,0)</f>
        <v>0</v>
      </c>
      <c r="AG35" s="36">
        <f>VLOOKUP($A35,[24]HISTODEC24!$A$6:$CA$38,61,0)</f>
        <v>0</v>
      </c>
      <c r="AH35" s="36">
        <f>VLOOKUP($A35,[24]HISTODEC24!$A$6:$CA$38,62,0)</f>
        <v>0</v>
      </c>
      <c r="AI35" s="36">
        <f>VLOOKUP($A35,[24]HISTODEC24!$A$6:$CA$38,63,0)</f>
        <v>0</v>
      </c>
      <c r="AJ35" s="36">
        <f>VLOOKUP($A35,[24]HISTODEC24!$A$6:$CA$38,64,0)</f>
        <v>0</v>
      </c>
      <c r="AK35" s="36">
        <f>VLOOKUP($A35,[24]HISTODEC24!$A$6:$CA$38,65,0)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MVTNOV24!I36-E36+L36</f>
        <v>1013599.0818186782</v>
      </c>
      <c r="G36" s="5">
        <f>IF(MVTNOV24!I36+L36&gt;700000,(MVTNOV24!I36-E36+L36),0)</f>
        <v>1013599.0818186782</v>
      </c>
      <c r="H36" s="36">
        <f t="shared" si="0"/>
        <v>0</v>
      </c>
      <c r="I36" s="6">
        <f t="shared" si="2"/>
        <v>1013599.0818186782</v>
      </c>
      <c r="J36" s="36">
        <f>VLOOKUP($A36,[24]HISTODEC24!$A$6:$AQ$42,22,0)</f>
        <v>0</v>
      </c>
      <c r="K36" s="36">
        <f>VLOOKUP($A36,[24]HISTODEC24!$A$6:$AU$38,45,0)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VLOOKUP($A36,[24]HISTODEC24!$A$6:$AU$38,7,0)</f>
        <v>0</v>
      </c>
      <c r="Q36" s="36">
        <f>VLOOKUP($A36,[24]HISTODEC24!$A$6:$AU$38,23,0)</f>
        <v>0</v>
      </c>
      <c r="R36" s="36">
        <f>VLOOKUP($A36,[24]HISTODEC24!$A$6:$AU$38,46,0)</f>
        <v>0</v>
      </c>
      <c r="S36" s="36">
        <f>VLOOKUP($A36,[24]HISTODEC24!$A$6:$AU$38,26,0)</f>
        <v>0</v>
      </c>
      <c r="T36" s="36">
        <f>VLOOKUP($A36,[24]HISTODEC24!$A$6:$BG$38,58,0)</f>
        <v>0</v>
      </c>
      <c r="U36" s="36">
        <f>VLOOKUP($A36,[24]HISTODEC24!$A$6:$AU$38,28,0)</f>
        <v>0</v>
      </c>
      <c r="V36" s="36">
        <f>VLOOKUP($A36,[24]HISTODEC24!$A$6:$AU$38,19,0)</f>
        <v>0</v>
      </c>
      <c r="W36" s="36">
        <f>VLOOKUP($A36,[24]HISTODEC24!$A$6:$AU$38,20,0)</f>
        <v>0</v>
      </c>
      <c r="X36" s="36">
        <f>VLOOKUP($A36,[24]HISTODEC24!$A$6:$AU$38,27,0)</f>
        <v>0</v>
      </c>
      <c r="Y36" s="36">
        <f>VLOOKUP($A36,[24]HISTODEC24!$A$6:$BM$38,33,0)</f>
        <v>0</v>
      </c>
      <c r="Z36" s="36">
        <f>VLOOKUP($A36,[24]HISTODEC24!$A$6:$BM$38,65,0)</f>
        <v>0</v>
      </c>
      <c r="AA36" s="36"/>
      <c r="AB36" s="36">
        <f>VLOOKUP($A36,[24]HISTODEC24!$A$6:$AU$38,43,0)</f>
        <v>0</v>
      </c>
      <c r="AC36" s="36">
        <f>VLOOKUP($A36,[24]HISTODEC24!$A$6:$AU$38,44,0)</f>
        <v>0</v>
      </c>
      <c r="AD36" s="36">
        <f>VLOOKUP($A36,[24]HISTODEC24!$A$6:$AU$38,47,0)</f>
        <v>0</v>
      </c>
      <c r="AE36" s="36">
        <f>VLOOKUP(A36,[24]HISTODEC24!$A$6:$BB$38,54,0)</f>
        <v>0</v>
      </c>
      <c r="AF36" s="36">
        <f>VLOOKUP($A36,[24]HISTODEC24!$A$6:$CA$38,60,0)</f>
        <v>0</v>
      </c>
      <c r="AG36" s="36">
        <f>VLOOKUP($A36,[24]HISTODEC24!$A$6:$CA$38,61,0)</f>
        <v>0</v>
      </c>
      <c r="AH36" s="36">
        <f>VLOOKUP($A36,[24]HISTODEC24!$A$6:$CA$38,62,0)</f>
        <v>0</v>
      </c>
      <c r="AI36" s="36">
        <f>VLOOKUP($A36,[24]HISTODEC24!$A$6:$CA$38,63,0)</f>
        <v>0</v>
      </c>
      <c r="AJ36" s="36">
        <f>VLOOKUP($A36,[24]HISTODEC24!$A$6:$CA$38,64,0)</f>
        <v>0</v>
      </c>
      <c r="AK36" s="36">
        <f>VLOOKUP($A36,[24]HISTODEC24!$A$6:$CA$38,65,0)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MVTNOV24!I37-E37+L37</f>
        <v>2046400.7147676253</v>
      </c>
      <c r="G37" s="5">
        <f>IF(MVTNOV24!I37+L37&gt;700000,(MVTNOV24!I37-E37+L37),0)</f>
        <v>2046400.7147676253</v>
      </c>
      <c r="H37" s="36">
        <f t="shared" si="0"/>
        <v>0</v>
      </c>
      <c r="I37" s="6">
        <f t="shared" si="2"/>
        <v>2046400.7147676253</v>
      </c>
      <c r="J37" s="36">
        <f>VLOOKUP($A37,[24]HISTODEC24!$A$6:$AQ$42,22,0)</f>
        <v>0</v>
      </c>
      <c r="K37" s="36">
        <f>VLOOKUP($A37,[24]HISTODEC24!$A$6:$AU$38,45,0)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VLOOKUP($A37,[24]HISTODEC24!$A$6:$AU$38,7,0)</f>
        <v>3000</v>
      </c>
      <c r="Q37" s="36">
        <f>VLOOKUP($A37,[24]HISTODEC24!$A$6:$AU$38,23,0)</f>
        <v>0</v>
      </c>
      <c r="R37" s="36">
        <f>VLOOKUP($A37,[24]HISTODEC24!$A$6:$AU$38,46,0)</f>
        <v>0</v>
      </c>
      <c r="S37" s="36">
        <f>VLOOKUP($A37,[24]HISTODEC24!$A$6:$AU$38,26,0)</f>
        <v>0</v>
      </c>
      <c r="T37" s="36">
        <f>VLOOKUP($A37,[24]HISTODEC24!$A$6:$BG$38,58,0)</f>
        <v>0</v>
      </c>
      <c r="U37" s="36">
        <f>VLOOKUP($A37,[24]HISTODEC24!$A$6:$AU$38,28,0)</f>
        <v>0</v>
      </c>
      <c r="V37" s="36">
        <f>VLOOKUP($A37,[24]HISTODEC24!$A$6:$AU$38,19,0)</f>
        <v>0</v>
      </c>
      <c r="W37" s="36">
        <f>VLOOKUP($A37,[24]HISTODEC24!$A$6:$AU$38,20,0)</f>
        <v>0</v>
      </c>
      <c r="X37" s="36">
        <f>VLOOKUP($A37,[24]HISTODEC24!$A$6:$AU$38,27,0)</f>
        <v>0</v>
      </c>
      <c r="Y37" s="36">
        <f>VLOOKUP($A37,[24]HISTODEC24!$A$6:$BM$38,33,0)</f>
        <v>0</v>
      </c>
      <c r="Z37" s="36">
        <f>VLOOKUP($A37,[24]HISTODEC24!$A$6:$BM$38,65,0)</f>
        <v>0</v>
      </c>
      <c r="AA37" s="36"/>
      <c r="AB37" s="36">
        <f>VLOOKUP($A37,[24]HISTODEC24!$A$6:$AU$38,43,0)</f>
        <v>0</v>
      </c>
      <c r="AC37" s="36">
        <f>VLOOKUP($A37,[24]HISTODEC24!$A$6:$AU$38,44,0)</f>
        <v>0</v>
      </c>
      <c r="AD37" s="36">
        <f>VLOOKUP($A37,[24]HISTODEC24!$A$6:$AU$38,47,0)</f>
        <v>0</v>
      </c>
      <c r="AE37" s="36">
        <f>VLOOKUP(A37,[24]HISTODEC24!$A$6:$BB$38,54,0)</f>
        <v>0</v>
      </c>
      <c r="AF37" s="36">
        <f>VLOOKUP($A37,[24]HISTODEC24!$A$6:$CA$38,60,0)</f>
        <v>0</v>
      </c>
      <c r="AG37" s="36">
        <f>VLOOKUP($A37,[24]HISTODEC24!$A$6:$CA$38,61,0)</f>
        <v>0</v>
      </c>
      <c r="AH37" s="36">
        <f>VLOOKUP($A37,[24]HISTODEC24!$A$6:$CA$38,62,0)</f>
        <v>0</v>
      </c>
      <c r="AI37" s="36">
        <f>VLOOKUP($A37,[24]HISTODEC24!$A$6:$CA$38,63,0)</f>
        <v>0</v>
      </c>
      <c r="AJ37" s="36">
        <f>VLOOKUP($A37,[24]HISTODEC24!$A$6:$CA$38,64,0)</f>
        <v>0</v>
      </c>
      <c r="AK37" s="36">
        <f>VLOOKUP($A37,[24]HISTODEC24!$A$6:$CA$38,65,0)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MVTNOV24!I38-E38+L38</f>
        <v>228000</v>
      </c>
      <c r="G38" s="5">
        <f>IF(MVTNOV24!I38+L38&gt;700000,(MVTNOV24!I38-E38+L38),0)</f>
        <v>0</v>
      </c>
      <c r="H38" s="36">
        <f t="shared" si="0"/>
        <v>0</v>
      </c>
      <c r="I38" s="6">
        <f t="shared" si="2"/>
        <v>228000</v>
      </c>
      <c r="J38" s="36">
        <f>VLOOKUP($A38,[24]HISTODEC24!$A$6:$AQ$42,22,0)</f>
        <v>0</v>
      </c>
      <c r="K38" s="36">
        <f>VLOOKUP($A38,[24]HISTODEC24!$A$6:$AU$38,45,0)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VLOOKUP($A38,[24]HISTODEC24!$A$6:$AU$38,7,0)</f>
        <v>0</v>
      </c>
      <c r="Q38" s="36">
        <f>VLOOKUP($A38,[24]HISTODEC24!$A$6:$AU$38,23,0)</f>
        <v>0</v>
      </c>
      <c r="R38" s="36">
        <f>VLOOKUP($A38,[24]HISTODEC24!$A$6:$AU$38,46,0)</f>
        <v>0</v>
      </c>
      <c r="S38" s="36">
        <f>VLOOKUP($A38,[24]HISTODEC24!$A$6:$AU$38,26,0)</f>
        <v>0</v>
      </c>
      <c r="T38" s="36">
        <f>VLOOKUP($A38,[24]HISTODEC24!$A$6:$BG$38,58,0)</f>
        <v>0</v>
      </c>
      <c r="U38" s="36">
        <f>VLOOKUP($A38,[24]HISTODEC24!$A$6:$AU$38,28,0)</f>
        <v>0</v>
      </c>
      <c r="V38" s="36">
        <f>VLOOKUP($A38,[24]HISTODEC24!$A$6:$AU$38,19,0)</f>
        <v>0</v>
      </c>
      <c r="W38" s="36">
        <f>VLOOKUP($A38,[24]HISTODEC24!$A$6:$AU$38,20,0)</f>
        <v>0</v>
      </c>
      <c r="X38" s="36">
        <f>VLOOKUP($A38,[24]HISTODEC24!$A$6:$AU$38,27,0)</f>
        <v>0</v>
      </c>
      <c r="Y38" s="36">
        <f>VLOOKUP($A38,[24]HISTODEC24!$A$6:$BM$38,33,0)</f>
        <v>0</v>
      </c>
      <c r="Z38" s="36">
        <f>VLOOKUP($A38,[24]HISTODEC24!$A$6:$BM$38,65,0)</f>
        <v>0</v>
      </c>
      <c r="AA38" s="36"/>
      <c r="AB38" s="36">
        <f>VLOOKUP($A38,[24]HISTODEC24!$A$6:$AU$38,43,0)</f>
        <v>0</v>
      </c>
      <c r="AC38" s="36">
        <f>VLOOKUP($A38,[24]HISTODEC24!$A$6:$AU$38,44,0)</f>
        <v>0</v>
      </c>
      <c r="AD38" s="36">
        <f>VLOOKUP($A38,[24]HISTODEC24!$A$6:$AU$38,47,0)</f>
        <v>0</v>
      </c>
      <c r="AE38" s="36">
        <f>VLOOKUP(A38,[24]HISTODEC24!$A$6:$BB$38,54,0)</f>
        <v>0</v>
      </c>
      <c r="AF38" s="36">
        <f>VLOOKUP($A38,[24]HISTODEC24!$A$6:$CA$38,60,0)</f>
        <v>0</v>
      </c>
      <c r="AG38" s="36">
        <f>VLOOKUP($A38,[24]HISTODEC24!$A$6:$CA$38,61,0)</f>
        <v>0</v>
      </c>
      <c r="AH38" s="36">
        <f>VLOOKUP($A38,[24]HISTODEC24!$A$6:$CA$38,62,0)</f>
        <v>0</v>
      </c>
      <c r="AI38" s="36">
        <f>VLOOKUP($A38,[24]HISTODEC24!$A$6:$CA$38,63,0)</f>
        <v>0</v>
      </c>
      <c r="AJ38" s="36">
        <f>VLOOKUP($A38,[24]HISTODEC24!$A$6:$CA$38,64,0)</f>
        <v>0</v>
      </c>
      <c r="AK38" s="36">
        <f>VLOOKUP($A38,[24]HISTODEC24!$A$6:$CA$38,65,0)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MVTNOV24!I39-E39+L39</f>
        <v>2211313.2142100567</v>
      </c>
      <c r="G39" s="5">
        <f>IF(MVTNOV24!I39+L39&gt;700000,(MVTNOV24!I39-E39+L39),0)</f>
        <v>2211313.2142100567</v>
      </c>
      <c r="H39" s="36">
        <f t="shared" si="0"/>
        <v>0</v>
      </c>
      <c r="I39" s="6">
        <f t="shared" si="2"/>
        <v>2211313.2142100567</v>
      </c>
      <c r="J39" s="36">
        <f>VLOOKUP($A39,[24]HISTODEC24!$A$6:$AQ$42,22,0)</f>
        <v>0</v>
      </c>
      <c r="K39" s="36">
        <f>VLOOKUP($A39,[24]HISTODEC24!$A$6:$AU$38,45,0)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VLOOKUP($A39,[24]HISTODEC24!$A$6:$AU$38,7,0)</f>
        <v>0</v>
      </c>
      <c r="Q39" s="36">
        <f>VLOOKUP($A39,[24]HISTODEC24!$A$6:$AU$38,23,0)</f>
        <v>0</v>
      </c>
      <c r="R39" s="36">
        <f>VLOOKUP($A39,[24]HISTODEC24!$A$6:$AU$38,46,0)</f>
        <v>0</v>
      </c>
      <c r="S39" s="36">
        <f>VLOOKUP($A39,[24]HISTODEC24!$A$6:$AU$38,26,0)</f>
        <v>0</v>
      </c>
      <c r="T39" s="36">
        <f>VLOOKUP($A39,[24]HISTODEC24!$A$6:$BG$38,58,0)</f>
        <v>0</v>
      </c>
      <c r="U39" s="36">
        <f>VLOOKUP($A39,[24]HISTODEC24!$A$6:$AU$38,28,0)</f>
        <v>0</v>
      </c>
      <c r="V39" s="36">
        <f>VLOOKUP($A39,[24]HISTODEC24!$A$6:$AU$38,19,0)</f>
        <v>0</v>
      </c>
      <c r="W39" s="36">
        <f>VLOOKUP($A39,[24]HISTODEC24!$A$6:$AU$38,20,0)</f>
        <v>0</v>
      </c>
      <c r="X39" s="36">
        <f>VLOOKUP($A39,[24]HISTODEC24!$A$6:$AU$38,27,0)</f>
        <v>0</v>
      </c>
      <c r="Y39" s="36">
        <f>VLOOKUP($A39,[24]HISTODEC24!$A$6:$BM$38,33,0)</f>
        <v>0</v>
      </c>
      <c r="Z39" s="36">
        <f>VLOOKUP($A39,[24]HISTODEC24!$A$6:$BM$38,65,0)</f>
        <v>0</v>
      </c>
      <c r="AA39" s="36"/>
      <c r="AB39" s="36">
        <f>VLOOKUP($A39,[24]HISTODEC24!$A$6:$AU$38,43,0)</f>
        <v>0</v>
      </c>
      <c r="AC39" s="36">
        <f>VLOOKUP($A39,[24]HISTODEC24!$A$6:$AU$38,44,0)</f>
        <v>0</v>
      </c>
      <c r="AD39" s="36">
        <f>VLOOKUP($A39,[24]HISTODEC24!$A$6:$AU$38,47,0)</f>
        <v>0</v>
      </c>
      <c r="AE39" s="36">
        <f>VLOOKUP(A39,[24]HISTODEC24!$A$6:$BB$38,54,0)</f>
        <v>0</v>
      </c>
      <c r="AF39" s="36">
        <f>VLOOKUP($A39,[24]HISTODEC24!$A$6:$CA$38,60,0)</f>
        <v>0</v>
      </c>
      <c r="AG39" s="36">
        <f>VLOOKUP($A39,[24]HISTODEC24!$A$6:$CA$38,61,0)</f>
        <v>0</v>
      </c>
      <c r="AH39" s="36">
        <f>VLOOKUP($A39,[24]HISTODEC24!$A$6:$CA$38,62,0)</f>
        <v>0</v>
      </c>
      <c r="AI39" s="36">
        <f>VLOOKUP($A39,[24]HISTODEC24!$A$6:$CA$38,63,0)</f>
        <v>0</v>
      </c>
      <c r="AJ39" s="36">
        <f>VLOOKUP($A39,[24]HISTODEC24!$A$6:$CA$38,64,0)</f>
        <v>0</v>
      </c>
      <c r="AK39" s="36">
        <f>VLOOKUP($A39,[24]HISTODEC24!$A$6:$CA$38,65,0)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34184656.655274987</v>
      </c>
      <c r="G41" s="9">
        <f t="shared" si="10"/>
        <v>32091439.524547949</v>
      </c>
      <c r="H41" s="36">
        <f t="shared" si="10"/>
        <v>0</v>
      </c>
      <c r="I41" s="9">
        <f t="shared" si="10"/>
        <v>34184656.655274987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K4" sqref="K4:P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6" max="26" width="12.42578125" bestFit="1" customWidth="1"/>
    <col min="31" max="31" width="12.42578125" bestFit="1" customWidth="1"/>
    <col min="35" max="36" width="12.42578125" bestFit="1" customWidth="1"/>
    <col min="37" max="37" width="17.5703125" customWidth="1"/>
    <col min="38" max="38" width="21.42578125" bestFit="1" customWidth="1"/>
    <col min="39" max="39" width="12.42578125" style="2" bestFit="1" customWidth="1"/>
  </cols>
  <sheetData>
    <row r="1" spans="1:39" ht="26.25" x14ac:dyDescent="0.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61"/>
      <c r="AM1" s="162"/>
    </row>
    <row r="2" spans="1:39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.25" x14ac:dyDescent="0.4">
      <c r="B4" s="16"/>
      <c r="C4" s="16"/>
      <c r="D4" s="16"/>
      <c r="E4" s="16"/>
      <c r="F4" s="16"/>
      <c r="G4" s="16"/>
      <c r="H4" s="16"/>
      <c r="I4" s="16"/>
      <c r="J4" s="156"/>
      <c r="K4" s="163">
        <v>45643</v>
      </c>
      <c r="L4" s="163"/>
      <c r="M4" s="163"/>
      <c r="N4" s="163"/>
      <c r="O4" s="163"/>
      <c r="P4" s="163"/>
      <c r="Q4"/>
      <c r="R4"/>
      <c r="AK4" s="104"/>
    </row>
    <row r="5" spans="1:39" ht="72" x14ac:dyDescent="0.25">
      <c r="A5" s="1" t="s">
        <v>4</v>
      </c>
      <c r="B5" s="1" t="s">
        <v>5</v>
      </c>
      <c r="C5" s="4" t="s">
        <v>212</v>
      </c>
      <c r="D5" s="4" t="s">
        <v>325</v>
      </c>
      <c r="E5" s="4" t="s">
        <v>213</v>
      </c>
      <c r="F5" s="4" t="s">
        <v>214</v>
      </c>
      <c r="G5" s="4" t="s">
        <v>333</v>
      </c>
      <c r="H5" s="158" t="s">
        <v>331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332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</row>
    <row r="6" spans="1:39" x14ac:dyDescent="0.2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VLOOKUP($A6,[24]HISTODEC24!$A$6:$BA$38,48,0)</f>
        <v>0</v>
      </c>
      <c r="F6" s="36">
        <f>MVTNOV24!I6-E6+L6</f>
        <v>946220.58968855068</v>
      </c>
      <c r="G6" s="5">
        <f>IF(MVTNOV24!I6+L6&gt;700000,(MVTNOV24!I6-E6+L6),0)</f>
        <v>946220.58968855068</v>
      </c>
      <c r="H6" s="36">
        <f t="shared" ref="H6:H39" si="0">$T$41/$G$41*G6</f>
        <v>0</v>
      </c>
      <c r="I6" s="6">
        <f>F6+H6</f>
        <v>946220.58968855068</v>
      </c>
      <c r="J6" s="36">
        <f>VLOOKUP($A6,[24]HISTODEC24!$A$6:$AQ$42,22,0)</f>
        <v>0</v>
      </c>
      <c r="K6" s="36">
        <f>VLOOKUP($A6,[24]HISTODEC24!$A$6:$AU$38,45,0)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VLOOKUP($A6,[24]HISTODEC24!$A$6:$AU$38,7,0)</f>
        <v>0</v>
      </c>
      <c r="Q6" s="36">
        <f>VLOOKUP($A6,[24]HISTODEC24!$A$6:$AU$38,23,0)</f>
        <v>0</v>
      </c>
      <c r="R6" s="36">
        <f>VLOOKUP($A6,[24]HISTODEC24!$A$6:$AU$38,46,0)</f>
        <v>0</v>
      </c>
      <c r="S6" s="36">
        <f>VLOOKUP($A6,[24]HISTODEC24!$A$6:$AU$38,26,0)</f>
        <v>0</v>
      </c>
      <c r="T6" s="36">
        <f>VLOOKUP($A6,[24]HISTODEC24!$A$6:$BG$38,58,0)</f>
        <v>0</v>
      </c>
      <c r="U6" s="36">
        <f>VLOOKUP($A6,[24]HISTODEC24!$A$6:$AU$38,28,0)</f>
        <v>0</v>
      </c>
      <c r="V6" s="36">
        <f>VLOOKUP($A6,[24]HISTODEC24!$A$6:$AU$38,19,0)</f>
        <v>0</v>
      </c>
      <c r="W6" s="36">
        <f>VLOOKUP($A6,[24]HISTODEC24!$A$6:$AU$38,20,0)</f>
        <v>0</v>
      </c>
      <c r="X6" s="36">
        <f>VLOOKUP($A6,[24]HISTODEC24!$A$6:$AU$38,27,0)</f>
        <v>0</v>
      </c>
      <c r="Y6" s="36">
        <f>VLOOKUP($A6,[24]HISTODEC24!$A$6:$BM$38,33,0)</f>
        <v>0</v>
      </c>
      <c r="Z6" s="36">
        <f>VLOOKUP($A6,[24]HISTODEC24!$A$6:$BM$38,65,0)</f>
        <v>0</v>
      </c>
      <c r="AA6" s="36"/>
      <c r="AB6" s="36">
        <f>VLOOKUP($A6,[24]HISTODEC24!$A$6:$AU$38,43,0)</f>
        <v>0</v>
      </c>
      <c r="AC6" s="36">
        <f>VLOOKUP($A6,[24]HISTODEC24!$A$6:$AU$38,44,0)</f>
        <v>0</v>
      </c>
      <c r="AD6" s="36">
        <f>VLOOKUP($A6,[24]HISTODEC24!$A$6:$AU$38,47,0)</f>
        <v>0</v>
      </c>
      <c r="AE6" s="36">
        <f>VLOOKUP(A6,[24]HISTODEC24!$A$6:$BB$38,54,0)</f>
        <v>0</v>
      </c>
      <c r="AF6" s="36">
        <f>VLOOKUP($A6,[24]HISTODEC24!$A$6:$CA$38,60,0)</f>
        <v>0</v>
      </c>
      <c r="AG6" s="36">
        <f>VLOOKUP($A6,[24]HISTODEC24!$A$6:$CA$38,61,0)</f>
        <v>0</v>
      </c>
      <c r="AH6" s="36">
        <f>VLOOKUP($A6,[24]HISTODEC24!$A$6:$CA$38,62,0)</f>
        <v>0</v>
      </c>
      <c r="AI6" s="36">
        <f>VLOOKUP($A6,[24]HISTODEC24!$A$6:$CA$38,63,0)</f>
        <v>0</v>
      </c>
      <c r="AJ6" s="36">
        <f>VLOOKUP($A6,[24]HISTODEC24!$A$6:$CA$38,64,0)</f>
        <v>0</v>
      </c>
      <c r="AK6" s="36">
        <f>VLOOKUP($A6,[24]HISTODEC24!$A$6:$CA$38,65,0)</f>
        <v>0</v>
      </c>
    </row>
    <row r="7" spans="1:39" x14ac:dyDescent="0.2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VLOOKUP($A7,[24]HISTODEC24!$A$6:$BA$38,48,0)</f>
        <v>0</v>
      </c>
      <c r="F7" s="36">
        <f>MVTNOV24!I7-E7+L7</f>
        <v>928791.19348721951</v>
      </c>
      <c r="G7" s="5">
        <f>IF(MVTNOV24!I7+L7&gt;700000,(MVTNOV24!I7-E7+L7),0)</f>
        <v>928791.19348721951</v>
      </c>
      <c r="H7" s="36">
        <f t="shared" si="0"/>
        <v>0</v>
      </c>
      <c r="I7" s="6">
        <f t="shared" ref="I7:I39" si="2">F7+H7</f>
        <v>928791.19348721951</v>
      </c>
      <c r="J7" s="36">
        <f>VLOOKUP($A7,[24]HISTODEC24!$A$6:$AQ$42,22,0)</f>
        <v>0</v>
      </c>
      <c r="K7" s="36">
        <f>VLOOKUP($A7,[24]HISTODEC24!$A$6:$AU$38,45,0)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VLOOKUP($A7,[24]HISTODEC24!$A$6:$AU$38,7,0)</f>
        <v>3000</v>
      </c>
      <c r="Q7" s="36">
        <f>VLOOKUP($A7,[24]HISTODEC24!$A$6:$AU$38,23,0)</f>
        <v>0</v>
      </c>
      <c r="R7" s="36">
        <f>VLOOKUP($A7,[24]HISTODEC24!$A$6:$AU$38,46,0)</f>
        <v>0</v>
      </c>
      <c r="S7" s="36">
        <f>VLOOKUP($A7,[24]HISTODEC24!$A$6:$AU$38,26,0)</f>
        <v>0</v>
      </c>
      <c r="T7" s="36">
        <f>VLOOKUP($A7,[24]HISTODEC24!$A$6:$BG$38,58,0)</f>
        <v>0</v>
      </c>
      <c r="U7" s="36">
        <f>VLOOKUP($A7,[24]HISTODEC24!$A$6:$AU$38,28,0)</f>
        <v>0</v>
      </c>
      <c r="V7" s="36">
        <f>VLOOKUP($A7,[24]HISTODEC24!$A$6:$AU$38,19,0)</f>
        <v>0</v>
      </c>
      <c r="W7" s="36">
        <f>VLOOKUP($A7,[24]HISTODEC24!$A$6:$AU$38,20,0)</f>
        <v>0</v>
      </c>
      <c r="X7" s="36">
        <f>VLOOKUP($A7,[24]HISTODEC24!$A$6:$AU$38,27,0)</f>
        <v>0</v>
      </c>
      <c r="Y7" s="36">
        <f>VLOOKUP($A7,[24]HISTODEC24!$A$6:$BM$38,33,0)</f>
        <v>0</v>
      </c>
      <c r="Z7" s="36">
        <f>VLOOKUP($A7,[24]HISTODEC24!$A$6:$BM$38,65,0)</f>
        <v>0</v>
      </c>
      <c r="AA7" s="36"/>
      <c r="AB7" s="36">
        <f>VLOOKUP($A7,[24]HISTODEC24!$A$6:$AU$38,43,0)</f>
        <v>0</v>
      </c>
      <c r="AC7" s="36">
        <f>VLOOKUP($A7,[24]HISTODEC24!$A$6:$AU$38,44,0)</f>
        <v>0</v>
      </c>
      <c r="AD7" s="36">
        <f>VLOOKUP($A7,[24]HISTODEC24!$A$6:$AU$38,47,0)</f>
        <v>0</v>
      </c>
      <c r="AE7" s="36">
        <f>VLOOKUP(A7,[24]HISTODEC24!$A$6:$BB$38,54,0)</f>
        <v>0</v>
      </c>
      <c r="AF7" s="36">
        <f>VLOOKUP($A7,[24]HISTODEC24!$A$6:$CA$38,60,0)</f>
        <v>0</v>
      </c>
      <c r="AG7" s="36">
        <f>VLOOKUP($A7,[24]HISTODEC24!$A$6:$CA$38,61,0)</f>
        <v>0</v>
      </c>
      <c r="AH7" s="36">
        <f>VLOOKUP($A7,[24]HISTODEC24!$A$6:$CA$38,62,0)</f>
        <v>0</v>
      </c>
      <c r="AI7" s="36">
        <f>VLOOKUP($A7,[24]HISTODEC24!$A$6:$CA$38,63,0)</f>
        <v>0</v>
      </c>
      <c r="AJ7" s="36">
        <f>VLOOKUP($A7,[24]HISTODEC24!$A$6:$CA$38,64,0)</f>
        <v>0</v>
      </c>
      <c r="AK7" s="36">
        <f>VLOOKUP($A7,[24]HISTODEC24!$A$6:$CA$38,65,0)</f>
        <v>0</v>
      </c>
    </row>
    <row r="8" spans="1:39" x14ac:dyDescent="0.2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VLOOKUP($A8,[24]HISTODEC24!$A$6:$BA$38,48,0)</f>
        <v>0</v>
      </c>
      <c r="F8" s="36">
        <f>MVTNOV24!I8-E8+L8</f>
        <v>972533.31236524263</v>
      </c>
      <c r="G8" s="5">
        <f>IF(MVTNOV24!I8+L8&gt;700000,(MVTNOV24!I8-E8+L8),0)</f>
        <v>972533.31236524263</v>
      </c>
      <c r="H8" s="36">
        <f t="shared" si="0"/>
        <v>0</v>
      </c>
      <c r="I8" s="6">
        <f t="shared" si="2"/>
        <v>972533.31236524263</v>
      </c>
      <c r="J8" s="36">
        <f>VLOOKUP($A8,[24]HISTODEC24!$A$6:$AQ$42,22,0)</f>
        <v>0</v>
      </c>
      <c r="K8" s="36">
        <f>VLOOKUP($A8,[24]HISTODEC24!$A$6:$AU$38,45,0)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VLOOKUP($A8,[24]HISTODEC24!$A$6:$AU$38,7,0)</f>
        <v>0</v>
      </c>
      <c r="Q8" s="36">
        <f>VLOOKUP($A8,[24]HISTODEC24!$A$6:$AU$38,23,0)</f>
        <v>0</v>
      </c>
      <c r="R8" s="36">
        <f>VLOOKUP($A8,[24]HISTODEC24!$A$6:$AU$38,46,0)</f>
        <v>0</v>
      </c>
      <c r="S8" s="36">
        <f>VLOOKUP($A8,[24]HISTODEC24!$A$6:$AU$38,26,0)</f>
        <v>0</v>
      </c>
      <c r="T8" s="36">
        <f>VLOOKUP($A8,[24]HISTODEC24!$A$6:$BG$38,58,0)</f>
        <v>0</v>
      </c>
      <c r="U8" s="36">
        <f>VLOOKUP($A8,[24]HISTODEC24!$A$6:$AU$38,28,0)</f>
        <v>0</v>
      </c>
      <c r="V8" s="36">
        <f>VLOOKUP($A8,[24]HISTODEC24!$A$6:$AU$38,19,0)</f>
        <v>0</v>
      </c>
      <c r="W8" s="36">
        <f>VLOOKUP($A8,[24]HISTODEC24!$A$6:$AU$38,20,0)</f>
        <v>0</v>
      </c>
      <c r="X8" s="36">
        <f>VLOOKUP($A8,[24]HISTODEC24!$A$6:$AU$38,27,0)</f>
        <v>0</v>
      </c>
      <c r="Y8" s="36">
        <f>VLOOKUP($A8,[24]HISTODEC24!$A$6:$BM$38,33,0)</f>
        <v>0</v>
      </c>
      <c r="Z8" s="36">
        <f>VLOOKUP($A8,[24]HISTODEC24!$A$6:$BM$38,65,0)</f>
        <v>0</v>
      </c>
      <c r="AA8" s="36"/>
      <c r="AB8" s="36">
        <f>VLOOKUP($A8,[24]HISTODEC24!$A$6:$AU$38,43,0)</f>
        <v>0</v>
      </c>
      <c r="AC8" s="36">
        <f>VLOOKUP($A8,[24]HISTODEC24!$A$6:$AU$38,44,0)</f>
        <v>0</v>
      </c>
      <c r="AD8" s="36">
        <f>VLOOKUP($A8,[24]HISTODEC24!$A$6:$AU$38,47,0)</f>
        <v>0</v>
      </c>
      <c r="AE8" s="36">
        <f>VLOOKUP(A8,[24]HISTODEC24!$A$6:$BB$38,54,0)</f>
        <v>0</v>
      </c>
      <c r="AF8" s="36">
        <f>VLOOKUP($A8,[24]HISTODEC24!$A$6:$CA$38,60,0)</f>
        <v>0</v>
      </c>
      <c r="AG8" s="36">
        <f>VLOOKUP($A8,[24]HISTODEC24!$A$6:$CA$38,61,0)</f>
        <v>0</v>
      </c>
      <c r="AH8" s="36">
        <f>VLOOKUP($A8,[24]HISTODEC24!$A$6:$CA$38,62,0)</f>
        <v>0</v>
      </c>
      <c r="AI8" s="36">
        <f>VLOOKUP($A8,[24]HISTODEC24!$A$6:$CA$38,63,0)</f>
        <v>0</v>
      </c>
      <c r="AJ8" s="36">
        <f>VLOOKUP($A8,[24]HISTODEC24!$A$6:$CA$38,64,0)</f>
        <v>0</v>
      </c>
      <c r="AK8" s="36">
        <f>VLOOKUP($A8,[24]HISTODEC24!$A$6:$CA$38,65,0)</f>
        <v>0</v>
      </c>
    </row>
    <row r="9" spans="1:39" x14ac:dyDescent="0.2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VLOOKUP($A9,[24]HISTODEC24!$A$6:$BA$38,48,0)</f>
        <v>0</v>
      </c>
      <c r="F9" s="36">
        <f>MVTNOV24!I9-E9+L9</f>
        <v>1029962.0068681776</v>
      </c>
      <c r="G9" s="5">
        <f>IF(MVTNOV24!I9+L9&gt;700000,(MVTNOV24!I9-E9+L9),0)</f>
        <v>1029962.0068681776</v>
      </c>
      <c r="H9" s="36">
        <f t="shared" si="0"/>
        <v>0</v>
      </c>
      <c r="I9" s="6">
        <f t="shared" si="2"/>
        <v>1029962.0068681776</v>
      </c>
      <c r="J9" s="36">
        <f>VLOOKUP($A9,[24]HISTODEC24!$A$6:$AQ$42,22,0)</f>
        <v>0</v>
      </c>
      <c r="K9" s="36">
        <f>VLOOKUP($A9,[24]HISTODEC24!$A$6:$AU$38,45,0)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VLOOKUP($A9,[24]HISTODEC24!$A$6:$AU$38,7,0)</f>
        <v>0</v>
      </c>
      <c r="Q9" s="36">
        <f>VLOOKUP($A9,[24]HISTODEC24!$A$6:$AU$38,23,0)</f>
        <v>0</v>
      </c>
      <c r="R9" s="36">
        <f>VLOOKUP($A9,[24]HISTODEC24!$A$6:$AU$38,46,0)</f>
        <v>0</v>
      </c>
      <c r="S9" s="36">
        <f>VLOOKUP($A9,[24]HISTODEC24!$A$6:$AU$38,26,0)</f>
        <v>0</v>
      </c>
      <c r="T9" s="36">
        <f>VLOOKUP($A9,[24]HISTODEC24!$A$6:$BG$38,58,0)</f>
        <v>0</v>
      </c>
      <c r="U9" s="36">
        <f>VLOOKUP($A9,[24]HISTODEC24!$A$6:$AU$38,28,0)</f>
        <v>0</v>
      </c>
      <c r="V9" s="36">
        <f>VLOOKUP($A9,[24]HISTODEC24!$A$6:$AU$38,19,0)</f>
        <v>0</v>
      </c>
      <c r="W9" s="36">
        <f>VLOOKUP($A9,[24]HISTODEC24!$A$6:$AU$38,20,0)</f>
        <v>0</v>
      </c>
      <c r="X9" s="36">
        <f>VLOOKUP($A9,[24]HISTODEC24!$A$6:$AU$38,27,0)</f>
        <v>0</v>
      </c>
      <c r="Y9" s="36">
        <f>VLOOKUP($A9,[24]HISTODEC24!$A$6:$BM$38,33,0)</f>
        <v>0</v>
      </c>
      <c r="Z9" s="36">
        <f>VLOOKUP($A9,[24]HISTODEC24!$A$6:$BM$38,65,0)</f>
        <v>0</v>
      </c>
      <c r="AA9" s="36"/>
      <c r="AB9" s="36">
        <f>VLOOKUP($A9,[24]HISTODEC24!$A$6:$AU$38,43,0)</f>
        <v>0</v>
      </c>
      <c r="AC9" s="36">
        <f>VLOOKUP($A9,[24]HISTODEC24!$A$6:$AU$38,44,0)</f>
        <v>0</v>
      </c>
      <c r="AD9" s="36">
        <f>VLOOKUP($A9,[24]HISTODEC24!$A$6:$AU$38,47,0)</f>
        <v>0</v>
      </c>
      <c r="AE9" s="36">
        <f>VLOOKUP(A9,[24]HISTODEC24!$A$6:$BB$38,54,0)</f>
        <v>0</v>
      </c>
      <c r="AF9" s="36">
        <f>VLOOKUP($A9,[24]HISTODEC24!$A$6:$CA$38,60,0)</f>
        <v>0</v>
      </c>
      <c r="AG9" s="36">
        <f>VLOOKUP($A9,[24]HISTODEC24!$A$6:$CA$38,61,0)</f>
        <v>0</v>
      </c>
      <c r="AH9" s="36">
        <f>VLOOKUP($A9,[24]HISTODEC24!$A$6:$CA$38,62,0)</f>
        <v>0</v>
      </c>
      <c r="AI9" s="36">
        <f>VLOOKUP($A9,[24]HISTODEC24!$A$6:$CA$38,63,0)</f>
        <v>0</v>
      </c>
      <c r="AJ9" s="36">
        <f>VLOOKUP($A9,[24]HISTODEC24!$A$6:$CA$38,64,0)</f>
        <v>0</v>
      </c>
      <c r="AK9" s="36">
        <f>VLOOKUP($A9,[24]HISTODEC24!$A$6:$CA$38,65,0)</f>
        <v>0</v>
      </c>
    </row>
    <row r="10" spans="1:39" x14ac:dyDescent="0.2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VLOOKUP($A10,[24]HISTODEC24!$A$6:$BA$38,48,0)</f>
        <v>0</v>
      </c>
      <c r="F10" s="36">
        <f>MVTNOV24!I10-E10+L10</f>
        <v>969805.20622596238</v>
      </c>
      <c r="G10" s="5">
        <f>IF(MVTNOV24!I10+L10&gt;700000,(MVTNOV24!I10-E10+L10),0)</f>
        <v>969805.20622596238</v>
      </c>
      <c r="H10" s="36">
        <f t="shared" si="0"/>
        <v>0</v>
      </c>
      <c r="I10" s="6">
        <f t="shared" si="2"/>
        <v>969805.20622596238</v>
      </c>
      <c r="J10" s="36">
        <f>VLOOKUP($A10,[24]HISTODEC24!$A$6:$AQ$42,22,0)</f>
        <v>0</v>
      </c>
      <c r="K10" s="36">
        <f>VLOOKUP($A10,[24]HISTODEC24!$A$6:$AU$38,45,0)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VLOOKUP($A10,[24]HISTODEC24!$A$6:$AU$38,7,0)</f>
        <v>0</v>
      </c>
      <c r="Q10" s="36">
        <f>VLOOKUP($A10,[24]HISTODEC24!$A$6:$AU$38,23,0)</f>
        <v>0</v>
      </c>
      <c r="R10" s="36">
        <f>VLOOKUP($A10,[24]HISTODEC24!$A$6:$AU$38,46,0)</f>
        <v>0</v>
      </c>
      <c r="S10" s="36">
        <f>VLOOKUP($A10,[24]HISTODEC24!$A$6:$AU$38,26,0)</f>
        <v>0</v>
      </c>
      <c r="T10" s="36">
        <f>VLOOKUP($A10,[24]HISTODEC24!$A$6:$BG$38,58,0)</f>
        <v>0</v>
      </c>
      <c r="U10" s="36">
        <f>VLOOKUP($A10,[24]HISTODEC24!$A$6:$AU$38,28,0)</f>
        <v>0</v>
      </c>
      <c r="V10" s="36">
        <f>VLOOKUP($A10,[24]HISTODEC24!$A$6:$AU$38,19,0)</f>
        <v>0</v>
      </c>
      <c r="W10" s="36">
        <f>VLOOKUP($A10,[24]HISTODEC24!$A$6:$AU$38,20,0)</f>
        <v>0</v>
      </c>
      <c r="X10" s="36">
        <f>VLOOKUP($A10,[24]HISTODEC24!$A$6:$AU$38,27,0)</f>
        <v>0</v>
      </c>
      <c r="Y10" s="36">
        <f>VLOOKUP($A10,[24]HISTODEC24!$A$6:$BM$38,33,0)</f>
        <v>0</v>
      </c>
      <c r="Z10" s="36">
        <f>VLOOKUP($A10,[24]HISTODEC24!$A$6:$BM$38,65,0)</f>
        <v>0</v>
      </c>
      <c r="AA10" s="36"/>
      <c r="AB10" s="36">
        <f>VLOOKUP($A10,[24]HISTODEC24!$A$6:$AU$38,43,0)</f>
        <v>0</v>
      </c>
      <c r="AC10" s="36">
        <f>VLOOKUP($A10,[24]HISTODEC24!$A$6:$AU$38,44,0)</f>
        <v>0</v>
      </c>
      <c r="AD10" s="36">
        <f>VLOOKUP($A10,[24]HISTODEC24!$A$6:$AU$38,47,0)</f>
        <v>0</v>
      </c>
      <c r="AE10" s="36">
        <f>VLOOKUP(A10,[24]HISTODEC24!$A$6:$BB$38,54,0)</f>
        <v>0</v>
      </c>
      <c r="AF10" s="36">
        <f>VLOOKUP($A10,[24]HISTODEC24!$A$6:$CA$38,60,0)</f>
        <v>0</v>
      </c>
      <c r="AG10" s="36">
        <f>VLOOKUP($A10,[24]HISTODEC24!$A$6:$CA$38,61,0)</f>
        <v>0</v>
      </c>
      <c r="AH10" s="36">
        <f>VLOOKUP($A10,[24]HISTODEC24!$A$6:$CA$38,62,0)</f>
        <v>0</v>
      </c>
      <c r="AI10" s="36">
        <f>VLOOKUP($A10,[24]HISTODEC24!$A$6:$CA$38,63,0)</f>
        <v>0</v>
      </c>
      <c r="AJ10" s="36">
        <f>VLOOKUP($A10,[24]HISTODEC24!$A$6:$CA$38,64,0)</f>
        <v>0</v>
      </c>
      <c r="AK10" s="36">
        <f>VLOOKUP($A10,[24]HISTODEC24!$A$6:$CA$38,65,0)</f>
        <v>0</v>
      </c>
    </row>
    <row r="11" spans="1:39" x14ac:dyDescent="0.2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VLOOKUP($A11,[24]HISTODEC24!$A$6:$BA$38,48,0)</f>
        <v>0</v>
      </c>
      <c r="F11" s="36">
        <f>MVTNOV24!I11-E11+L11</f>
        <v>987855.82895949238</v>
      </c>
      <c r="G11" s="5">
        <f>IF(MVTNOV24!I11+L11&gt;700000,(MVTNOV24!I11-E11+L11),0)</f>
        <v>987855.82895949238</v>
      </c>
      <c r="H11" s="36">
        <f t="shared" si="0"/>
        <v>0</v>
      </c>
      <c r="I11" s="6">
        <f t="shared" si="2"/>
        <v>987855.82895949238</v>
      </c>
      <c r="J11" s="36">
        <f>VLOOKUP($A11,[24]HISTODEC24!$A$6:$AQ$42,22,0)</f>
        <v>0</v>
      </c>
      <c r="K11" s="36">
        <f>VLOOKUP($A11,[24]HISTODEC24!$A$6:$AU$38,45,0)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VLOOKUP($A11,[24]HISTODEC24!$A$6:$AU$38,7,0)</f>
        <v>0</v>
      </c>
      <c r="Q11" s="36">
        <f>VLOOKUP($A11,[24]HISTODEC24!$A$6:$AU$38,23,0)</f>
        <v>0</v>
      </c>
      <c r="R11" s="36">
        <f>VLOOKUP($A11,[24]HISTODEC24!$A$6:$AU$38,46,0)</f>
        <v>0</v>
      </c>
      <c r="S11" s="36">
        <f>VLOOKUP($A11,[24]HISTODEC24!$A$6:$AU$38,26,0)</f>
        <v>0</v>
      </c>
      <c r="T11" s="36">
        <f>VLOOKUP($A11,[24]HISTODEC24!$A$6:$BG$38,58,0)</f>
        <v>0</v>
      </c>
      <c r="U11" s="36">
        <f>VLOOKUP($A11,[24]HISTODEC24!$A$6:$AU$38,28,0)</f>
        <v>0</v>
      </c>
      <c r="V11" s="36">
        <f>VLOOKUP($A11,[24]HISTODEC24!$A$6:$AU$38,19,0)</f>
        <v>0</v>
      </c>
      <c r="W11" s="36">
        <f>VLOOKUP($A11,[24]HISTODEC24!$A$6:$AU$38,20,0)</f>
        <v>0</v>
      </c>
      <c r="X11" s="36">
        <f>VLOOKUP($A11,[24]HISTODEC24!$A$6:$AU$38,27,0)</f>
        <v>0</v>
      </c>
      <c r="Y11" s="36">
        <f>VLOOKUP($A11,[24]HISTODEC24!$A$6:$BM$38,33,0)</f>
        <v>0</v>
      </c>
      <c r="Z11" s="36">
        <f>VLOOKUP($A11,[24]HISTODEC24!$A$6:$BM$38,65,0)</f>
        <v>0</v>
      </c>
      <c r="AA11" s="36"/>
      <c r="AB11" s="36">
        <f>VLOOKUP($A11,[24]HISTODEC24!$A$6:$AU$38,43,0)</f>
        <v>0</v>
      </c>
      <c r="AC11" s="36">
        <f>VLOOKUP($A11,[24]HISTODEC24!$A$6:$AU$38,44,0)</f>
        <v>0</v>
      </c>
      <c r="AD11" s="36">
        <f>VLOOKUP($A11,[24]HISTODEC24!$A$6:$AU$38,47,0)</f>
        <v>0</v>
      </c>
      <c r="AE11" s="36">
        <f>VLOOKUP(A11,[24]HISTODEC24!$A$6:$BB$38,54,0)</f>
        <v>0</v>
      </c>
      <c r="AF11" s="36">
        <f>VLOOKUP($A11,[24]HISTODEC24!$A$6:$CA$38,60,0)</f>
        <v>0</v>
      </c>
      <c r="AG11" s="36">
        <f>VLOOKUP($A11,[24]HISTODEC24!$A$6:$CA$38,61,0)</f>
        <v>0</v>
      </c>
      <c r="AH11" s="36">
        <f>VLOOKUP($A11,[24]HISTODEC24!$A$6:$CA$38,62,0)</f>
        <v>0</v>
      </c>
      <c r="AI11" s="36">
        <f>VLOOKUP($A11,[24]HISTODEC24!$A$6:$CA$38,63,0)</f>
        <v>0</v>
      </c>
      <c r="AJ11" s="36">
        <f>VLOOKUP($A11,[24]HISTODEC24!$A$6:$CA$38,64,0)</f>
        <v>0</v>
      </c>
      <c r="AK11" s="36">
        <f>VLOOKUP($A11,[24]HISTODEC24!$A$6:$CA$38,65,0)</f>
        <v>0</v>
      </c>
    </row>
    <row r="12" spans="1:39" x14ac:dyDescent="0.2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VLOOKUP($A12,[24]HISTODEC24!$A$6:$BA$38,48,0)</f>
        <v>0</v>
      </c>
      <c r="F12" s="36">
        <f>MVTNOV24!I12-E12+L12</f>
        <v>1011100.1474133957</v>
      </c>
      <c r="G12" s="5">
        <f>IF(MVTNOV24!I12+L12&gt;700000,(MVTNOV24!I12-E12+L12),0)</f>
        <v>1011100.1474133957</v>
      </c>
      <c r="H12" s="36">
        <f t="shared" si="0"/>
        <v>0</v>
      </c>
      <c r="I12" s="6">
        <f t="shared" si="2"/>
        <v>1011100.1474133957</v>
      </c>
      <c r="J12" s="36">
        <f>VLOOKUP($A12,[24]HISTODEC24!$A$6:$AQ$42,22,0)</f>
        <v>0</v>
      </c>
      <c r="K12" s="36">
        <f>VLOOKUP($A12,[24]HISTODEC24!$A$6:$AU$38,45,0)</f>
        <v>25000</v>
      </c>
      <c r="L12" s="36">
        <f t="shared" si="3"/>
        <v>19000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VLOOKUP($A12,[24]HISTODEC24!$A$6:$AU$38,7,0)</f>
        <v>0</v>
      </c>
      <c r="Q12" s="36">
        <f>VLOOKUP($A12,[24]HISTODEC24!$A$6:$AU$38,23,0)</f>
        <v>0</v>
      </c>
      <c r="R12" s="36">
        <f>VLOOKUP($A12,[24]HISTODEC24!$A$6:$AU$38,46,0)</f>
        <v>0</v>
      </c>
      <c r="S12" s="36">
        <f>VLOOKUP($A12,[24]HISTODEC24!$A$6:$AU$38,26,0)</f>
        <v>0</v>
      </c>
      <c r="T12" s="36">
        <f>VLOOKUP($A12,[24]HISTODEC24!$A$6:$BG$38,58,0)</f>
        <v>0</v>
      </c>
      <c r="U12" s="36">
        <f>VLOOKUP($A12,[24]HISTODEC24!$A$6:$AU$38,28,0)</f>
        <v>0</v>
      </c>
      <c r="V12" s="36">
        <f>VLOOKUP($A12,[24]HISTODEC24!$A$6:$AU$38,19,0)</f>
        <v>0</v>
      </c>
      <c r="W12" s="36">
        <f>VLOOKUP($A12,[24]HISTODEC24!$A$6:$AU$38,20,0)</f>
        <v>0</v>
      </c>
      <c r="X12" s="36">
        <f>VLOOKUP($A12,[24]HISTODEC24!$A$6:$AU$38,27,0)</f>
        <v>0</v>
      </c>
      <c r="Y12" s="36">
        <f>VLOOKUP($A12,[24]HISTODEC24!$A$6:$BM$38,33,0)</f>
        <v>0</v>
      </c>
      <c r="Z12" s="36">
        <f>VLOOKUP($A12,[24]HISTODEC24!$A$6:$BM$38,65,0)</f>
        <v>0</v>
      </c>
      <c r="AA12" s="36"/>
      <c r="AB12" s="36">
        <f>VLOOKUP($A12,[24]HISTODEC24!$A$6:$AU$38,43,0)</f>
        <v>0</v>
      </c>
      <c r="AC12" s="36">
        <f>VLOOKUP($A12,[24]HISTODEC24!$A$6:$AU$38,44,0)</f>
        <v>0</v>
      </c>
      <c r="AD12" s="36">
        <f>VLOOKUP($A12,[24]HISTODEC24!$A$6:$AU$38,47,0)</f>
        <v>0</v>
      </c>
      <c r="AE12" s="36">
        <f>VLOOKUP(A12,[24]HISTODEC24!$A$6:$BB$38,54,0)</f>
        <v>0</v>
      </c>
      <c r="AF12" s="36">
        <f>VLOOKUP($A12,[24]HISTODEC24!$A$6:$CA$38,60,0)</f>
        <v>0</v>
      </c>
      <c r="AG12" s="36">
        <f>VLOOKUP($A12,[24]HISTODEC24!$A$6:$CA$38,61,0)</f>
        <v>0</v>
      </c>
      <c r="AH12" s="36">
        <f>VLOOKUP($A12,[24]HISTODEC24!$A$6:$CA$38,62,0)</f>
        <v>0</v>
      </c>
      <c r="AI12" s="36">
        <f>VLOOKUP($A12,[24]HISTODEC24!$A$6:$CA$38,63,0)</f>
        <v>0</v>
      </c>
      <c r="AJ12" s="36">
        <f>VLOOKUP($A12,[24]HISTODEC24!$A$6:$CA$38,64,0)</f>
        <v>0</v>
      </c>
      <c r="AK12" s="36">
        <f>VLOOKUP($A12,[24]HISTODEC24!$A$6:$CA$38,65,0)</f>
        <v>0</v>
      </c>
    </row>
    <row r="13" spans="1:39" x14ac:dyDescent="0.2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VLOOKUP($A13,[24]HISTODEC24!$A$6:$BA$38,48,0)</f>
        <v>0</v>
      </c>
      <c r="F13" s="36">
        <f>MVTNOV24!I13-E13+L13</f>
        <v>975555.14612214814</v>
      </c>
      <c r="G13" s="5">
        <f>IF(MVTNOV24!I13+L13&gt;700000,(MVTNOV24!I13-E13+L13),0)</f>
        <v>975555.14612214814</v>
      </c>
      <c r="H13" s="36">
        <f t="shared" si="0"/>
        <v>0</v>
      </c>
      <c r="I13" s="6">
        <f t="shared" si="2"/>
        <v>975555.14612214814</v>
      </c>
      <c r="J13" s="36">
        <f>VLOOKUP($A13,[24]HISTODEC24!$A$6:$AQ$42,22,0)</f>
        <v>0</v>
      </c>
      <c r="K13" s="36">
        <f>VLOOKUP($A13,[24]HISTODEC24!$A$6:$AU$38,45,0)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VLOOKUP($A13,[24]HISTODEC24!$A$6:$AU$38,7,0)</f>
        <v>0</v>
      </c>
      <c r="Q13" s="36">
        <f>VLOOKUP($A13,[24]HISTODEC24!$A$6:$AU$38,23,0)</f>
        <v>0</v>
      </c>
      <c r="R13" s="36">
        <f>VLOOKUP($A13,[24]HISTODEC24!$A$6:$AU$38,46,0)</f>
        <v>0</v>
      </c>
      <c r="S13" s="36">
        <f>VLOOKUP($A13,[24]HISTODEC24!$A$6:$AU$38,26,0)</f>
        <v>0</v>
      </c>
      <c r="T13" s="36">
        <f>VLOOKUP($A13,[24]HISTODEC24!$A$6:$BG$38,58,0)</f>
        <v>0</v>
      </c>
      <c r="U13" s="36">
        <f>VLOOKUP($A13,[24]HISTODEC24!$A$6:$AU$38,28,0)</f>
        <v>0</v>
      </c>
      <c r="V13" s="36">
        <f>VLOOKUP($A13,[24]HISTODEC24!$A$6:$AU$38,19,0)</f>
        <v>0</v>
      </c>
      <c r="W13" s="36">
        <f>VLOOKUP($A13,[24]HISTODEC24!$A$6:$AU$38,20,0)</f>
        <v>0</v>
      </c>
      <c r="X13" s="36">
        <f>VLOOKUP($A13,[24]HISTODEC24!$A$6:$AU$38,27,0)</f>
        <v>0</v>
      </c>
      <c r="Y13" s="36">
        <f>VLOOKUP($A13,[24]HISTODEC24!$A$6:$BM$38,33,0)</f>
        <v>0</v>
      </c>
      <c r="Z13" s="36">
        <f>VLOOKUP($A13,[24]HISTODEC24!$A$6:$BM$38,65,0)</f>
        <v>0</v>
      </c>
      <c r="AA13" s="36"/>
      <c r="AB13" s="36">
        <f>VLOOKUP($A13,[24]HISTODEC24!$A$6:$AU$38,43,0)</f>
        <v>0</v>
      </c>
      <c r="AC13" s="36">
        <f>VLOOKUP($A13,[24]HISTODEC24!$A$6:$AU$38,44,0)</f>
        <v>0</v>
      </c>
      <c r="AD13" s="36">
        <f>VLOOKUP($A13,[24]HISTODEC24!$A$6:$AU$38,47,0)</f>
        <v>0</v>
      </c>
      <c r="AE13" s="36">
        <f>VLOOKUP(A13,[24]HISTODEC24!$A$6:$BB$38,54,0)</f>
        <v>0</v>
      </c>
      <c r="AF13" s="36">
        <f>VLOOKUP($A13,[24]HISTODEC24!$A$6:$CA$38,60,0)</f>
        <v>0</v>
      </c>
      <c r="AG13" s="36">
        <f>VLOOKUP($A13,[24]HISTODEC24!$A$6:$CA$38,61,0)</f>
        <v>0</v>
      </c>
      <c r="AH13" s="36">
        <f>VLOOKUP($A13,[24]HISTODEC24!$A$6:$CA$38,62,0)</f>
        <v>0</v>
      </c>
      <c r="AI13" s="36">
        <f>VLOOKUP($A13,[24]HISTODEC24!$A$6:$CA$38,63,0)</f>
        <v>0</v>
      </c>
      <c r="AJ13" s="36">
        <f>VLOOKUP($A13,[24]HISTODEC24!$A$6:$CA$38,64,0)</f>
        <v>0</v>
      </c>
      <c r="AK13" s="36">
        <f>VLOOKUP($A13,[24]HISTODEC24!$A$6:$CA$38,65,0)</f>
        <v>0</v>
      </c>
    </row>
    <row r="14" spans="1:39" x14ac:dyDescent="0.2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VLOOKUP($A14,[24]HISTODEC24!$A$6:$BA$38,48,0)</f>
        <v>0</v>
      </c>
      <c r="F14" s="36">
        <f>MVTNOV24!I14-E14+L14</f>
        <v>1528425.9823482623</v>
      </c>
      <c r="G14" s="5">
        <f>IF(MVTNOV24!I14+L14&gt;700000,(MVTNOV24!I14-E14+L14),0)</f>
        <v>1528425.9823482623</v>
      </c>
      <c r="H14" s="36">
        <f t="shared" si="0"/>
        <v>0</v>
      </c>
      <c r="I14" s="6">
        <f t="shared" si="2"/>
        <v>1528425.9823482623</v>
      </c>
      <c r="J14" s="36">
        <f>VLOOKUP($A14,[24]HISTODEC24!$A$6:$AQ$42,22,0)</f>
        <v>0</v>
      </c>
      <c r="K14" s="36">
        <f>VLOOKUP($A14,[24]HISTODEC24!$A$6:$AU$38,45,0)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VLOOKUP($A14,[24]HISTODEC24!$A$6:$AU$38,7,0)</f>
        <v>0</v>
      </c>
      <c r="Q14" s="36">
        <f>VLOOKUP($A14,[24]HISTODEC24!$A$6:$AU$38,23,0)</f>
        <v>0</v>
      </c>
      <c r="R14" s="36">
        <f>VLOOKUP($A14,[24]HISTODEC24!$A$6:$AU$38,46,0)</f>
        <v>0</v>
      </c>
      <c r="S14" s="36">
        <f>VLOOKUP($A14,[24]HISTODEC24!$A$6:$AU$38,26,0)</f>
        <v>0</v>
      </c>
      <c r="T14" s="36">
        <f>VLOOKUP($A14,[24]HISTODEC24!$A$6:$BG$38,58,0)</f>
        <v>0</v>
      </c>
      <c r="U14" s="36">
        <f>VLOOKUP($A14,[24]HISTODEC24!$A$6:$AU$38,28,0)</f>
        <v>0</v>
      </c>
      <c r="V14" s="36">
        <f>VLOOKUP($A14,[24]HISTODEC24!$A$6:$AU$38,19,0)</f>
        <v>0</v>
      </c>
      <c r="W14" s="36">
        <f>VLOOKUP($A14,[24]HISTODEC24!$A$6:$AU$38,20,0)</f>
        <v>0</v>
      </c>
      <c r="X14" s="36">
        <f>VLOOKUP($A14,[24]HISTODEC24!$A$6:$AU$38,27,0)</f>
        <v>0</v>
      </c>
      <c r="Y14" s="36">
        <f>VLOOKUP($A14,[24]HISTODEC24!$A$6:$BM$38,33,0)</f>
        <v>0</v>
      </c>
      <c r="Z14" s="36">
        <f>VLOOKUP($A14,[24]HISTODEC24!$A$6:$BM$38,65,0)</f>
        <v>0</v>
      </c>
      <c r="AA14" s="36"/>
      <c r="AB14" s="36">
        <f>VLOOKUP($A14,[24]HISTODEC24!$A$6:$AU$38,43,0)</f>
        <v>0</v>
      </c>
      <c r="AC14" s="36">
        <f>VLOOKUP($A14,[24]HISTODEC24!$A$6:$AU$38,44,0)</f>
        <v>0</v>
      </c>
      <c r="AD14" s="36">
        <f>VLOOKUP($A14,[24]HISTODEC24!$A$6:$AU$38,47,0)</f>
        <v>0</v>
      </c>
      <c r="AE14" s="36">
        <f>VLOOKUP(A14,[24]HISTODEC24!$A$6:$BB$38,54,0)</f>
        <v>0</v>
      </c>
      <c r="AF14" s="36">
        <f>VLOOKUP($A14,[24]HISTODEC24!$A$6:$CA$38,60,0)</f>
        <v>0</v>
      </c>
      <c r="AG14" s="36">
        <f>VLOOKUP($A14,[24]HISTODEC24!$A$6:$CA$38,61,0)</f>
        <v>0</v>
      </c>
      <c r="AH14" s="36">
        <f>VLOOKUP($A14,[24]HISTODEC24!$A$6:$CA$38,62,0)</f>
        <v>0</v>
      </c>
      <c r="AI14" s="36">
        <f>VLOOKUP($A14,[24]HISTODEC24!$A$6:$CA$38,63,0)</f>
        <v>0</v>
      </c>
      <c r="AJ14" s="36">
        <f>VLOOKUP($A14,[24]HISTODEC24!$A$6:$CA$38,64,0)</f>
        <v>0</v>
      </c>
      <c r="AK14" s="36">
        <f>VLOOKUP($A14,[24]HISTODEC24!$A$6:$CA$38,65,0)</f>
        <v>0</v>
      </c>
    </row>
    <row r="15" spans="1:39" ht="14.25" customHeight="1" x14ac:dyDescent="0.2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VLOOKUP($A15,[24]HISTODEC24!$A$6:$BA$38,48,0)</f>
        <v>0</v>
      </c>
      <c r="F15" s="36">
        <f>MVTNOV24!I15-E15+L15</f>
        <v>1037309.6215381094</v>
      </c>
      <c r="G15" s="5">
        <f>IF(MVTNOV24!I15+L15&gt;700000,(MVTNOV24!I15-E15+L15),0)</f>
        <v>1037309.6215381094</v>
      </c>
      <c r="H15" s="36">
        <f t="shared" si="0"/>
        <v>0</v>
      </c>
      <c r="I15" s="6">
        <f t="shared" si="2"/>
        <v>1037309.6215381094</v>
      </c>
      <c r="J15" s="36">
        <f>VLOOKUP($A15,[24]HISTODEC24!$A$6:$AQ$42,22,0)</f>
        <v>0</v>
      </c>
      <c r="K15" s="36">
        <f>VLOOKUP($A15,[24]HISTODEC24!$A$6:$AU$38,45,0)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VLOOKUP($A15,[24]HISTODEC24!$A$6:$AU$38,7,0)</f>
        <v>0</v>
      </c>
      <c r="Q15" s="36">
        <f>VLOOKUP($A15,[24]HISTODEC24!$A$6:$AU$38,23,0)</f>
        <v>0</v>
      </c>
      <c r="R15" s="36">
        <f>VLOOKUP($A15,[24]HISTODEC24!$A$6:$AU$38,46,0)</f>
        <v>0</v>
      </c>
      <c r="S15" s="36">
        <f>VLOOKUP($A15,[24]HISTODEC24!$A$6:$AU$38,26,0)</f>
        <v>0</v>
      </c>
      <c r="T15" s="36">
        <f>VLOOKUP($A15,[24]HISTODEC24!$A$6:$BG$38,58,0)</f>
        <v>0</v>
      </c>
      <c r="U15" s="36">
        <f>VLOOKUP($A15,[24]HISTODEC24!$A$6:$AU$38,28,0)</f>
        <v>0</v>
      </c>
      <c r="V15" s="36">
        <f>VLOOKUP($A15,[24]HISTODEC24!$A$6:$AU$38,19,0)</f>
        <v>0</v>
      </c>
      <c r="W15" s="36">
        <f>VLOOKUP($A15,[24]HISTODEC24!$A$6:$AU$38,20,0)</f>
        <v>0</v>
      </c>
      <c r="X15" s="36">
        <f>VLOOKUP($A15,[24]HISTODEC24!$A$6:$AU$38,27,0)</f>
        <v>0</v>
      </c>
      <c r="Y15" s="36">
        <f>VLOOKUP($A15,[24]HISTODEC24!$A$6:$BM$38,33,0)</f>
        <v>0</v>
      </c>
      <c r="Z15" s="36">
        <f>VLOOKUP($A15,[24]HISTODEC24!$A$6:$BM$38,65,0)</f>
        <v>0</v>
      </c>
      <c r="AA15" s="36"/>
      <c r="AB15" s="36">
        <f>VLOOKUP($A15,[24]HISTODEC24!$A$6:$AU$38,43,0)</f>
        <v>0</v>
      </c>
      <c r="AC15" s="36">
        <f>VLOOKUP($A15,[24]HISTODEC24!$A$6:$AU$38,44,0)</f>
        <v>0</v>
      </c>
      <c r="AD15" s="36">
        <f>VLOOKUP($A15,[24]HISTODEC24!$A$6:$AU$38,47,0)</f>
        <v>0</v>
      </c>
      <c r="AE15" s="36">
        <f>VLOOKUP(A15,[24]HISTODEC24!$A$6:$BB$38,54,0)</f>
        <v>0</v>
      </c>
      <c r="AF15" s="36">
        <f>VLOOKUP($A15,[24]HISTODEC24!$A$6:$CA$38,60,0)</f>
        <v>0</v>
      </c>
      <c r="AG15" s="36">
        <f>VLOOKUP($A15,[24]HISTODEC24!$A$6:$CA$38,61,0)</f>
        <v>0</v>
      </c>
      <c r="AH15" s="36">
        <f>VLOOKUP($A15,[24]HISTODEC24!$A$6:$CA$38,62,0)</f>
        <v>0</v>
      </c>
      <c r="AI15" s="36">
        <f>VLOOKUP($A15,[24]HISTODEC24!$A$6:$CA$38,63,0)</f>
        <v>0</v>
      </c>
      <c r="AJ15" s="36">
        <f>VLOOKUP($A15,[24]HISTODEC24!$A$6:$CA$38,64,0)</f>
        <v>0</v>
      </c>
      <c r="AK15" s="36">
        <f>VLOOKUP($A15,[24]HISTODEC24!$A$6:$CA$38,65,0)</f>
        <v>0</v>
      </c>
    </row>
    <row r="16" spans="1:39" x14ac:dyDescent="0.2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VLOOKUP($A16,[24]HISTODEC24!$A$6:$BA$38,48,0)</f>
        <v>0</v>
      </c>
      <c r="F16" s="36">
        <f>MVTNOV24!I16-E16+L16</f>
        <v>1147858.7065070483</v>
      </c>
      <c r="G16" s="5">
        <f>IF(MVTNOV24!I16+L16&gt;700000,(MVTNOV24!I16-E16+L16),0)</f>
        <v>1147858.7065070483</v>
      </c>
      <c r="H16" s="36">
        <f t="shared" si="0"/>
        <v>0</v>
      </c>
      <c r="I16" s="6">
        <f t="shared" si="2"/>
        <v>1147858.7065070483</v>
      </c>
      <c r="J16" s="36">
        <f>VLOOKUP($A16,[24]HISTODEC24!$A$6:$AQ$42,22,0)</f>
        <v>0</v>
      </c>
      <c r="K16" s="36">
        <f>VLOOKUP($A16,[24]HISTODEC24!$A$6:$AU$38,45,0)</f>
        <v>25000</v>
      </c>
      <c r="L16" s="36">
        <f t="shared" si="3"/>
        <v>19000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VLOOKUP($A16,[24]HISTODEC24!$A$6:$AU$38,7,0)</f>
        <v>0</v>
      </c>
      <c r="Q16" s="36">
        <f>VLOOKUP($A16,[24]HISTODEC24!$A$6:$AU$38,23,0)</f>
        <v>0</v>
      </c>
      <c r="R16" s="36">
        <f>VLOOKUP($A16,[24]HISTODEC24!$A$6:$AU$38,46,0)</f>
        <v>0</v>
      </c>
      <c r="S16" s="36">
        <f>VLOOKUP($A16,[24]HISTODEC24!$A$6:$AU$38,26,0)</f>
        <v>0</v>
      </c>
      <c r="T16" s="36">
        <f>VLOOKUP($A16,[24]HISTODEC24!$A$6:$BG$38,58,0)</f>
        <v>0</v>
      </c>
      <c r="U16" s="36">
        <f>VLOOKUP($A16,[24]HISTODEC24!$A$6:$AU$38,28,0)</f>
        <v>0</v>
      </c>
      <c r="V16" s="36">
        <f>VLOOKUP($A16,[24]HISTODEC24!$A$6:$AU$38,19,0)</f>
        <v>0</v>
      </c>
      <c r="W16" s="36">
        <f>VLOOKUP($A16,[24]HISTODEC24!$A$6:$AU$38,20,0)</f>
        <v>0</v>
      </c>
      <c r="X16" s="36">
        <f>VLOOKUP($A16,[24]HISTODEC24!$A$6:$AU$38,27,0)</f>
        <v>0</v>
      </c>
      <c r="Y16" s="36">
        <f>VLOOKUP($A16,[24]HISTODEC24!$A$6:$BM$38,33,0)</f>
        <v>0</v>
      </c>
      <c r="Z16" s="36">
        <f>VLOOKUP($A16,[24]HISTODEC24!$A$6:$BM$38,65,0)</f>
        <v>0</v>
      </c>
      <c r="AA16" s="36"/>
      <c r="AB16" s="36">
        <f>VLOOKUP($A16,[24]HISTODEC24!$A$6:$AU$38,43,0)</f>
        <v>0</v>
      </c>
      <c r="AC16" s="36">
        <f>VLOOKUP($A16,[24]HISTODEC24!$A$6:$AU$38,44,0)</f>
        <v>0</v>
      </c>
      <c r="AD16" s="36">
        <f>VLOOKUP($A16,[24]HISTODEC24!$A$6:$AU$38,47,0)</f>
        <v>0</v>
      </c>
      <c r="AE16" s="36">
        <f>VLOOKUP(A16,[24]HISTODEC24!$A$6:$BB$38,54,0)</f>
        <v>0</v>
      </c>
      <c r="AF16" s="36">
        <f>VLOOKUP($A16,[24]HISTODEC24!$A$6:$CA$38,60,0)</f>
        <v>0</v>
      </c>
      <c r="AG16" s="36">
        <f>VLOOKUP($A16,[24]HISTODEC24!$A$6:$CA$38,61,0)</f>
        <v>0</v>
      </c>
      <c r="AH16" s="36">
        <f>VLOOKUP($A16,[24]HISTODEC24!$A$6:$CA$38,62,0)</f>
        <v>0</v>
      </c>
      <c r="AI16" s="36">
        <f>VLOOKUP($A16,[24]HISTODEC24!$A$6:$CA$38,63,0)</f>
        <v>0</v>
      </c>
      <c r="AJ16" s="36">
        <f>VLOOKUP($A16,[24]HISTODEC24!$A$6:$CA$38,64,0)</f>
        <v>0</v>
      </c>
      <c r="AK16" s="36">
        <f>VLOOKUP($A16,[24]HISTODEC24!$A$6:$CA$38,65,0)</f>
        <v>0</v>
      </c>
    </row>
    <row r="17" spans="1:37" x14ac:dyDescent="0.2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VLOOKUP($A17,[24]HISTODEC24!$A$6:$BA$38,48,0)</f>
        <v>0</v>
      </c>
      <c r="F17" s="36">
        <f>MVTNOV24!I17-E17+L17</f>
        <v>985402.7005255461</v>
      </c>
      <c r="G17" s="5">
        <f>IF(MVTNOV24!I17+L17&gt;700000,(MVTNOV24!I17-E17+L17),0)</f>
        <v>985402.7005255461</v>
      </c>
      <c r="H17" s="36">
        <f t="shared" si="0"/>
        <v>0</v>
      </c>
      <c r="I17" s="6">
        <f t="shared" si="2"/>
        <v>985402.7005255461</v>
      </c>
      <c r="J17" s="36">
        <f>VLOOKUP($A17,[24]HISTODEC24!$A$6:$AQ$42,22,0)</f>
        <v>0</v>
      </c>
      <c r="K17" s="36">
        <f>VLOOKUP($A17,[24]HISTODEC24!$A$6:$AU$38,45,0)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VLOOKUP($A17,[24]HISTODEC24!$A$6:$AU$38,7,0)</f>
        <v>0</v>
      </c>
      <c r="Q17" s="36">
        <f>VLOOKUP($A17,[24]HISTODEC24!$A$6:$AU$38,23,0)</f>
        <v>0</v>
      </c>
      <c r="R17" s="36">
        <f>VLOOKUP($A17,[24]HISTODEC24!$A$6:$AU$38,46,0)</f>
        <v>0</v>
      </c>
      <c r="S17" s="36">
        <f>VLOOKUP($A17,[24]HISTODEC24!$A$6:$AU$38,26,0)</f>
        <v>0</v>
      </c>
      <c r="T17" s="36">
        <f>VLOOKUP($A17,[24]HISTODEC24!$A$6:$BG$38,58,0)</f>
        <v>0</v>
      </c>
      <c r="U17" s="36">
        <f>VLOOKUP($A17,[24]HISTODEC24!$A$6:$AU$38,28,0)</f>
        <v>0</v>
      </c>
      <c r="V17" s="36">
        <f>VLOOKUP($A17,[24]HISTODEC24!$A$6:$AU$38,19,0)</f>
        <v>0</v>
      </c>
      <c r="W17" s="36">
        <f>VLOOKUP($A17,[24]HISTODEC24!$A$6:$AU$38,20,0)</f>
        <v>0</v>
      </c>
      <c r="X17" s="36">
        <f>VLOOKUP($A17,[24]HISTODEC24!$A$6:$AU$38,27,0)</f>
        <v>0</v>
      </c>
      <c r="Y17" s="36">
        <f>VLOOKUP($A17,[24]HISTODEC24!$A$6:$BM$38,33,0)</f>
        <v>0</v>
      </c>
      <c r="Z17" s="36">
        <f>VLOOKUP($A17,[24]HISTODEC24!$A$6:$BM$38,65,0)</f>
        <v>0</v>
      </c>
      <c r="AA17" s="36"/>
      <c r="AB17" s="36">
        <f>VLOOKUP($A17,[24]HISTODEC24!$A$6:$AU$38,43,0)</f>
        <v>0</v>
      </c>
      <c r="AC17" s="36">
        <f>VLOOKUP($A17,[24]HISTODEC24!$A$6:$AU$38,44,0)</f>
        <v>0</v>
      </c>
      <c r="AD17" s="36">
        <f>VLOOKUP($A17,[24]HISTODEC24!$A$6:$AU$38,47,0)</f>
        <v>0</v>
      </c>
      <c r="AE17" s="36">
        <f>VLOOKUP(A17,[24]HISTODEC24!$A$6:$BB$38,54,0)</f>
        <v>0</v>
      </c>
      <c r="AF17" s="36">
        <f>VLOOKUP($A17,[24]HISTODEC24!$A$6:$CA$38,60,0)</f>
        <v>0</v>
      </c>
      <c r="AG17" s="36">
        <f>VLOOKUP($A17,[24]HISTODEC24!$A$6:$CA$38,61,0)</f>
        <v>0</v>
      </c>
      <c r="AH17" s="36">
        <f>VLOOKUP($A17,[24]HISTODEC24!$A$6:$CA$38,62,0)</f>
        <v>0</v>
      </c>
      <c r="AI17" s="36">
        <f>VLOOKUP($A17,[24]HISTODEC24!$A$6:$CA$38,63,0)</f>
        <v>0</v>
      </c>
      <c r="AJ17" s="36">
        <f>VLOOKUP($A17,[24]HISTODEC24!$A$6:$CA$38,64,0)</f>
        <v>0</v>
      </c>
      <c r="AK17" s="36">
        <f>VLOOKUP($A17,[24]HISTODEC24!$A$6:$CA$38,65,0)</f>
        <v>0</v>
      </c>
    </row>
    <row r="18" spans="1:37" x14ac:dyDescent="0.2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VLOOKUP($A18,[24]HISTODEC24!$A$6:$BA$38,48,0)</f>
        <v>0</v>
      </c>
      <c r="F18" s="36">
        <f>MVTNOV24!I18-E18+L18</f>
        <v>1031662.7641973695</v>
      </c>
      <c r="G18" s="5">
        <f>IF(MVTNOV24!I18+L18&gt;700000,(MVTNOV24!I18-E18+L18),0)</f>
        <v>1031662.7641973695</v>
      </c>
      <c r="H18" s="36">
        <f t="shared" si="0"/>
        <v>0</v>
      </c>
      <c r="I18" s="6">
        <f t="shared" si="2"/>
        <v>1031662.7641973695</v>
      </c>
      <c r="J18" s="36">
        <f>VLOOKUP($A18,[24]HISTODEC24!$A$6:$AQ$42,22,0)</f>
        <v>0</v>
      </c>
      <c r="K18" s="36">
        <f>VLOOKUP($A18,[24]HISTODEC24!$A$6:$AU$38,45,0)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VLOOKUP($A18,[24]HISTODEC24!$A$6:$AU$38,7,0)</f>
        <v>0</v>
      </c>
      <c r="Q18" s="36">
        <f>VLOOKUP($A18,[24]HISTODEC24!$A$6:$AU$38,23,0)</f>
        <v>0</v>
      </c>
      <c r="R18" s="36">
        <f>VLOOKUP($A18,[24]HISTODEC24!$A$6:$AU$38,46,0)</f>
        <v>0</v>
      </c>
      <c r="S18" s="36">
        <f>VLOOKUP($A18,[24]HISTODEC24!$A$6:$AU$38,26,0)</f>
        <v>0</v>
      </c>
      <c r="T18" s="36">
        <f>VLOOKUP($A18,[24]HISTODEC24!$A$6:$BG$38,58,0)</f>
        <v>0</v>
      </c>
      <c r="U18" s="36">
        <f>VLOOKUP($A18,[24]HISTODEC24!$A$6:$AU$38,28,0)</f>
        <v>0</v>
      </c>
      <c r="V18" s="36">
        <f>VLOOKUP($A18,[24]HISTODEC24!$A$6:$AU$38,19,0)</f>
        <v>0</v>
      </c>
      <c r="W18" s="36">
        <f>VLOOKUP($A18,[24]HISTODEC24!$A$6:$AU$38,20,0)</f>
        <v>0</v>
      </c>
      <c r="X18" s="36">
        <f>VLOOKUP($A18,[24]HISTODEC24!$A$6:$AU$38,27,0)</f>
        <v>0</v>
      </c>
      <c r="Y18" s="36">
        <f>VLOOKUP($A18,[24]HISTODEC24!$A$6:$BM$38,33,0)</f>
        <v>0</v>
      </c>
      <c r="Z18" s="36">
        <f>VLOOKUP($A18,[24]HISTODEC24!$A$6:$BM$38,65,0)</f>
        <v>0</v>
      </c>
      <c r="AA18" s="36"/>
      <c r="AB18" s="36">
        <f>VLOOKUP($A18,[24]HISTODEC24!$A$6:$AU$38,43,0)</f>
        <v>0</v>
      </c>
      <c r="AC18" s="36">
        <f>VLOOKUP($A18,[24]HISTODEC24!$A$6:$AU$38,44,0)</f>
        <v>0</v>
      </c>
      <c r="AD18" s="36">
        <f>VLOOKUP($A18,[24]HISTODEC24!$A$6:$AU$38,47,0)</f>
        <v>0</v>
      </c>
      <c r="AE18" s="36">
        <f>VLOOKUP(A18,[24]HISTODEC24!$A$6:$BB$38,54,0)</f>
        <v>0</v>
      </c>
      <c r="AF18" s="36">
        <f>VLOOKUP($A18,[24]HISTODEC24!$A$6:$CA$38,60,0)</f>
        <v>0</v>
      </c>
      <c r="AG18" s="36">
        <f>VLOOKUP($A18,[24]HISTODEC24!$A$6:$CA$38,61,0)</f>
        <v>0</v>
      </c>
      <c r="AH18" s="36">
        <f>VLOOKUP($A18,[24]HISTODEC24!$A$6:$CA$38,62,0)</f>
        <v>0</v>
      </c>
      <c r="AI18" s="36">
        <f>VLOOKUP($A18,[24]HISTODEC24!$A$6:$CA$38,63,0)</f>
        <v>0</v>
      </c>
      <c r="AJ18" s="36">
        <f>VLOOKUP($A18,[24]HISTODEC24!$A$6:$CA$38,64,0)</f>
        <v>0</v>
      </c>
      <c r="AK18" s="36">
        <f>VLOOKUP($A18,[24]HISTODEC24!$A$6:$CA$38,65,0)</f>
        <v>0</v>
      </c>
    </row>
    <row r="19" spans="1:37" x14ac:dyDescent="0.2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MVTNOV24!I19-E19+L19</f>
        <v>676217.13072703336</v>
      </c>
      <c r="G19" s="5">
        <f>IF(MVTNOV24!I19+L19&gt;700000,(MVTNOV24!I19-E19+L19),0)</f>
        <v>0</v>
      </c>
      <c r="H19" s="36">
        <f t="shared" si="0"/>
        <v>0</v>
      </c>
      <c r="I19" s="6">
        <f t="shared" si="2"/>
        <v>676217.13072703336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25">
      <c r="A20" s="1" t="s">
        <v>330</v>
      </c>
      <c r="B20" s="1" t="str">
        <f>VLOOKUP(A20,[19]LISTADHERENT!A$5:H$60,3,0)</f>
        <v>MASSEUNGOUE DAGOBERT</v>
      </c>
      <c r="C20" s="36"/>
      <c r="D20" s="36"/>
      <c r="E20" s="36">
        <f>VLOOKUP($A20,[24]HISTOJANV24!$A$6:$BA$38,48,0)</f>
        <v>0</v>
      </c>
      <c r="F20" s="36">
        <f>MVTNOV24!I20-E20+L20</f>
        <v>228000</v>
      </c>
      <c r="G20" s="5">
        <f>IF(MVTNOV24!I20+L20&gt;700000,(MVTNOV24!I20-E20+L20),0)</f>
        <v>0</v>
      </c>
      <c r="H20" s="36">
        <f t="shared" si="0"/>
        <v>0</v>
      </c>
      <c r="I20" s="6">
        <f t="shared" si="2"/>
        <v>228000</v>
      </c>
      <c r="J20" s="36">
        <f>VLOOKUP($A20,[24]HISTODEC24!$A$6:$AQ$42,22,0)</f>
        <v>0</v>
      </c>
      <c r="K20" s="36">
        <f>VLOOKUP($A20,[24]HISTODEC24!$A$6:$AU$38,45,0)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VLOOKUP($A20,[24]HISTODEC24!$A$6:$AU$38,7,0)</f>
        <v>0</v>
      </c>
      <c r="Q20" s="36">
        <f>VLOOKUP($A20,[24]HISTODEC24!$A$6:$AU$38,23,0)</f>
        <v>0</v>
      </c>
      <c r="R20" s="36">
        <f>VLOOKUP($A20,[24]HISTODEC24!$A$6:$AU$38,46,0)</f>
        <v>0</v>
      </c>
      <c r="S20" s="36">
        <f>VLOOKUP($A20,[24]HISTODEC24!$A$6:$AU$38,26,0)</f>
        <v>0</v>
      </c>
      <c r="T20" s="36">
        <f>VLOOKUP($A20,[24]HISTODEC24!$A$6:$BG$38,58,0)</f>
        <v>0</v>
      </c>
      <c r="U20" s="36">
        <f>VLOOKUP($A20,[24]HISTODEC24!$A$6:$AU$38,28,0)</f>
        <v>0</v>
      </c>
      <c r="V20" s="36">
        <f>VLOOKUP($A20,[24]HISTODEC24!$A$6:$AU$38,19,0)</f>
        <v>0</v>
      </c>
      <c r="W20" s="36">
        <f>VLOOKUP($A20,[24]HISTODEC24!$A$6:$AU$38,20,0)</f>
        <v>0</v>
      </c>
      <c r="X20" s="36">
        <f>VLOOKUP($A20,[24]HISTODEC24!$A$6:$AU$38,27,0)</f>
        <v>0</v>
      </c>
      <c r="Y20" s="36">
        <f>VLOOKUP($A20,[24]HISTODEC24!$A$6:$BM$38,33,0)</f>
        <v>0</v>
      </c>
      <c r="Z20" s="36">
        <f>VLOOKUP($A20,[24]HISTODEC24!$A$6:$BM$38,65,0)</f>
        <v>0</v>
      </c>
      <c r="AA20" s="36"/>
      <c r="AB20" s="36">
        <f>VLOOKUP($A20,[24]HISTODEC24!$A$6:$AU$38,43,0)</f>
        <v>0</v>
      </c>
      <c r="AC20" s="36">
        <f>VLOOKUP($A20,[24]HISTODEC24!$A$6:$AU$38,44,0)</f>
        <v>0</v>
      </c>
      <c r="AD20" s="36">
        <f>VLOOKUP($A20,[24]HISTODEC24!$A$6:$AU$38,47,0)</f>
        <v>0</v>
      </c>
      <c r="AE20" s="36">
        <f>VLOOKUP(A20,[24]HISTODEC24!$A$6:$BB$38,54,0)</f>
        <v>0</v>
      </c>
      <c r="AF20" s="36">
        <f>VLOOKUP($A20,[24]HISTODEC24!$A$6:$CA$38,60,0)</f>
        <v>0</v>
      </c>
      <c r="AG20" s="36">
        <f>VLOOKUP($A20,[24]HISTODEC24!$A$6:$CA$38,61,0)</f>
        <v>0</v>
      </c>
      <c r="AH20" s="36">
        <f>VLOOKUP($A20,[24]HISTODEC24!$A$6:$CA$38,62,0)</f>
        <v>0</v>
      </c>
      <c r="AI20" s="36">
        <f>VLOOKUP($A20,[24]HISTODEC24!$A$6:$CA$38,63,0)</f>
        <v>0</v>
      </c>
      <c r="AJ20" s="36">
        <f>VLOOKUP($A20,[24]HISTODEC24!$A$6:$CA$38,64,0)</f>
        <v>0</v>
      </c>
      <c r="AK20" s="36">
        <f>VLOOKUP($A20,[24]HISTODEC24!$A$6:$CA$38,65,0)</f>
        <v>0</v>
      </c>
    </row>
    <row r="21" spans="1:37" x14ac:dyDescent="0.2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VLOOKUP($A21,[24]HISTOJANV24!$A$6:$BA$38,48,0)</f>
        <v>0</v>
      </c>
      <c r="F21" s="36">
        <f>MVTNOV24!I21-E21+L21</f>
        <v>1008355.800629583</v>
      </c>
      <c r="G21" s="5">
        <f>IF(MVTNOV24!I21+L21&gt;700000,(MVTNOV24!I21-E21+L21),0)</f>
        <v>1008355.800629583</v>
      </c>
      <c r="H21" s="36">
        <f t="shared" si="0"/>
        <v>0</v>
      </c>
      <c r="I21" s="6">
        <f t="shared" si="2"/>
        <v>1008355.800629583</v>
      </c>
      <c r="J21" s="36">
        <f>VLOOKUP($A21,[24]HISTODEC24!$A$6:$AQ$42,22,0)</f>
        <v>0</v>
      </c>
      <c r="K21" s="36">
        <f>VLOOKUP($A21,[24]HISTODEC24!$A$6:$AU$38,45,0)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VLOOKUP($A21,[24]HISTODEC24!$A$6:$AU$38,7,0)</f>
        <v>0</v>
      </c>
      <c r="Q21" s="36">
        <f>VLOOKUP($A21,[24]HISTODEC24!$A$6:$AU$38,23,0)</f>
        <v>0</v>
      </c>
      <c r="R21" s="36">
        <f>VLOOKUP($A21,[24]HISTODEC24!$A$6:$AU$38,46,0)</f>
        <v>0</v>
      </c>
      <c r="S21" s="36">
        <f>VLOOKUP($A21,[24]HISTODEC24!$A$6:$AU$38,26,0)</f>
        <v>0</v>
      </c>
      <c r="T21" s="36">
        <f>VLOOKUP($A21,[24]HISTODEC24!$A$6:$BG$38,58,0)</f>
        <v>0</v>
      </c>
      <c r="U21" s="36">
        <f>VLOOKUP($A21,[24]HISTODEC24!$A$6:$AU$38,28,0)</f>
        <v>0</v>
      </c>
      <c r="V21" s="36">
        <f>VLOOKUP($A21,[24]HISTODEC24!$A$6:$AU$38,19,0)</f>
        <v>0</v>
      </c>
      <c r="W21" s="36">
        <f>VLOOKUP($A21,[24]HISTODEC24!$A$6:$AU$38,20,0)</f>
        <v>0</v>
      </c>
      <c r="X21" s="36">
        <f>VLOOKUP($A21,[24]HISTODEC24!$A$6:$AU$38,27,0)</f>
        <v>0</v>
      </c>
      <c r="Y21" s="36">
        <f>VLOOKUP($A21,[24]HISTODEC24!$A$6:$BM$38,33,0)</f>
        <v>0</v>
      </c>
      <c r="Z21" s="36">
        <f>VLOOKUP($A21,[24]HISTODEC24!$A$6:$BM$38,65,0)</f>
        <v>0</v>
      </c>
      <c r="AA21" s="36"/>
      <c r="AB21" s="36">
        <f>VLOOKUP($A21,[24]HISTODEC24!$A$6:$AU$38,43,0)</f>
        <v>0</v>
      </c>
      <c r="AC21" s="36">
        <f>VLOOKUP($A21,[24]HISTODEC24!$A$6:$AU$38,44,0)</f>
        <v>0</v>
      </c>
      <c r="AD21" s="36">
        <f>VLOOKUP($A21,[24]HISTODEC24!$A$6:$AU$38,47,0)</f>
        <v>0</v>
      </c>
      <c r="AE21" s="36">
        <f>VLOOKUP(A21,[24]HISTODEC24!$A$6:$BB$38,54,0)</f>
        <v>0</v>
      </c>
      <c r="AF21" s="36">
        <f>VLOOKUP($A21,[24]HISTODEC24!$A$6:$CA$38,60,0)</f>
        <v>0</v>
      </c>
      <c r="AG21" s="36">
        <f>VLOOKUP($A21,[24]HISTODEC24!$A$6:$CA$38,61,0)</f>
        <v>0</v>
      </c>
      <c r="AH21" s="36">
        <f>VLOOKUP($A21,[24]HISTODEC24!$A$6:$CA$38,62,0)</f>
        <v>0</v>
      </c>
      <c r="AI21" s="36">
        <f>VLOOKUP($A21,[24]HISTODEC24!$A$6:$CA$38,63,0)</f>
        <v>0</v>
      </c>
      <c r="AJ21" s="36">
        <f>VLOOKUP($A21,[24]HISTODEC24!$A$6:$CA$38,64,0)</f>
        <v>0</v>
      </c>
      <c r="AK21" s="36">
        <f>VLOOKUP($A21,[24]HISTODEC24!$A$6:$CA$38,65,0)</f>
        <v>0</v>
      </c>
    </row>
    <row r="22" spans="1:37" x14ac:dyDescent="0.2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VLOOKUP($A22,[24]HISTOJANV24!$A$6:$BA$38,48,0)</f>
        <v>0</v>
      </c>
      <c r="F22" s="36">
        <f>MVTNOV24!I22-E22+L22</f>
        <v>976738.95952735876</v>
      </c>
      <c r="G22" s="5">
        <f>IF(MVTNOV24!I22+L22&gt;700000,(MVTNOV24!I22-E22+L22),0)</f>
        <v>976738.95952735876</v>
      </c>
      <c r="H22" s="36">
        <f t="shared" si="0"/>
        <v>0</v>
      </c>
      <c r="I22" s="6">
        <f t="shared" si="2"/>
        <v>976738.95952735876</v>
      </c>
      <c r="J22" s="36">
        <f>VLOOKUP($A22,[24]HISTODEC24!$A$6:$AQ$42,22,0)</f>
        <v>0</v>
      </c>
      <c r="K22" s="36">
        <f>VLOOKUP($A22,[24]HISTODEC24!$A$6:$AU$38,45,0)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VLOOKUP($A22,[24]HISTODEC24!$A$6:$AU$38,7,0)</f>
        <v>0</v>
      </c>
      <c r="Q22" s="36">
        <f>VLOOKUP($A22,[24]HISTODEC24!$A$6:$AU$38,23,0)</f>
        <v>0</v>
      </c>
      <c r="R22" s="36">
        <f>VLOOKUP($A22,[24]HISTODEC24!$A$6:$AU$38,46,0)</f>
        <v>0</v>
      </c>
      <c r="S22" s="36">
        <f>VLOOKUP($A22,[24]HISTODEC24!$A$6:$AU$38,26,0)</f>
        <v>0</v>
      </c>
      <c r="T22" s="36">
        <f>VLOOKUP($A22,[24]HISTODEC24!$A$6:$BG$38,58,0)</f>
        <v>0</v>
      </c>
      <c r="U22" s="36">
        <f>VLOOKUP($A22,[24]HISTODEC24!$A$6:$AU$38,28,0)</f>
        <v>0</v>
      </c>
      <c r="V22" s="36">
        <f>VLOOKUP($A22,[24]HISTODEC24!$A$6:$AU$38,19,0)</f>
        <v>0</v>
      </c>
      <c r="W22" s="36">
        <f>VLOOKUP($A22,[24]HISTODEC24!$A$6:$AU$38,20,0)</f>
        <v>0</v>
      </c>
      <c r="X22" s="36">
        <f>VLOOKUP($A22,[24]HISTODEC24!$A$6:$AU$38,27,0)</f>
        <v>0</v>
      </c>
      <c r="Y22" s="36">
        <f>VLOOKUP($A22,[24]HISTODEC24!$A$6:$BM$38,33,0)</f>
        <v>0</v>
      </c>
      <c r="Z22" s="36">
        <f>VLOOKUP($A22,[24]HISTODEC24!$A$6:$BM$38,65,0)</f>
        <v>0</v>
      </c>
      <c r="AA22" s="36"/>
      <c r="AB22" s="36">
        <f>VLOOKUP($A22,[24]HISTODEC24!$A$6:$AU$38,43,0)</f>
        <v>0</v>
      </c>
      <c r="AC22" s="36">
        <f>VLOOKUP($A22,[24]HISTODEC24!$A$6:$AU$38,44,0)</f>
        <v>0</v>
      </c>
      <c r="AD22" s="36">
        <f>VLOOKUP($A22,[24]HISTODEC24!$A$6:$AU$38,47,0)</f>
        <v>0</v>
      </c>
      <c r="AE22" s="36">
        <f>VLOOKUP(A22,[24]HISTODEC24!$A$6:$BB$38,54,0)</f>
        <v>0</v>
      </c>
      <c r="AF22" s="36">
        <f>VLOOKUP($A22,[24]HISTODEC24!$A$6:$CA$38,60,0)</f>
        <v>0</v>
      </c>
      <c r="AG22" s="36">
        <f>VLOOKUP($A22,[24]HISTODEC24!$A$6:$CA$38,61,0)</f>
        <v>0</v>
      </c>
      <c r="AH22" s="36">
        <f>VLOOKUP($A22,[24]HISTODEC24!$A$6:$CA$38,62,0)</f>
        <v>0</v>
      </c>
      <c r="AI22" s="36">
        <f>VLOOKUP($A22,[24]HISTODEC24!$A$6:$CA$38,63,0)</f>
        <v>0</v>
      </c>
      <c r="AJ22" s="36">
        <f>VLOOKUP($A22,[24]HISTODEC24!$A$6:$CA$38,64,0)</f>
        <v>0</v>
      </c>
      <c r="AK22" s="36">
        <f>VLOOKUP($A22,[24]HISTODEC24!$A$6:$CA$38,65,0)</f>
        <v>0</v>
      </c>
    </row>
    <row r="23" spans="1:37" x14ac:dyDescent="0.2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VLOOKUP($A23,[24]HISTOJANV24!$A$6:$BA$38,48,0)</f>
        <v>0</v>
      </c>
      <c r="F23" s="36">
        <f>MVTNOV24!I23-E23+L23</f>
        <v>1082674.3246731949</v>
      </c>
      <c r="G23" s="5">
        <f>IF(MVTNOV24!I23+L23&gt;700000,(MVTNOV24!I23-E23+L23),0)</f>
        <v>1082674.3246731949</v>
      </c>
      <c r="H23" s="36">
        <f t="shared" si="0"/>
        <v>0</v>
      </c>
      <c r="I23" s="6">
        <f t="shared" si="2"/>
        <v>1082674.3246731949</v>
      </c>
      <c r="J23" s="36">
        <f>VLOOKUP($A23,[24]HISTODEC24!$A$6:$AQ$42,22,0)</f>
        <v>0</v>
      </c>
      <c r="K23" s="36">
        <f>VLOOKUP($A23,[24]HISTODEC24!$A$6:$AU$38,45,0)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VLOOKUP($A23,[24]HISTODEC24!$A$6:$AU$38,7,0)</f>
        <v>0</v>
      </c>
      <c r="Q23" s="36">
        <f>VLOOKUP($A23,[24]HISTODEC24!$A$6:$AU$38,23,0)</f>
        <v>0</v>
      </c>
      <c r="R23" s="36">
        <f>VLOOKUP($A23,[24]HISTODEC24!$A$6:$AU$38,46,0)</f>
        <v>0</v>
      </c>
      <c r="S23" s="36">
        <f>VLOOKUP($A23,[24]HISTODEC24!$A$6:$AU$38,26,0)</f>
        <v>0</v>
      </c>
      <c r="T23" s="36">
        <f>VLOOKUP($A23,[24]HISTODEC24!$A$6:$BG$38,58,0)</f>
        <v>0</v>
      </c>
      <c r="U23" s="36">
        <f>VLOOKUP($A23,[24]HISTODEC24!$A$6:$AU$38,28,0)</f>
        <v>0</v>
      </c>
      <c r="V23" s="36">
        <f>VLOOKUP($A23,[24]HISTODEC24!$A$6:$AU$38,19,0)</f>
        <v>0</v>
      </c>
      <c r="W23" s="36">
        <f>VLOOKUP($A23,[24]HISTODEC24!$A$6:$AU$38,20,0)</f>
        <v>0</v>
      </c>
      <c r="X23" s="36">
        <f>VLOOKUP($A23,[24]HISTODEC24!$A$6:$AU$38,27,0)</f>
        <v>0</v>
      </c>
      <c r="Y23" s="36">
        <f>VLOOKUP($A23,[24]HISTODEC24!$A$6:$BM$38,33,0)</f>
        <v>0</v>
      </c>
      <c r="Z23" s="36">
        <f>VLOOKUP($A23,[24]HISTODEC24!$A$6:$BM$38,65,0)</f>
        <v>0</v>
      </c>
      <c r="AA23" s="36"/>
      <c r="AB23" s="36">
        <f>VLOOKUP($A23,[24]HISTODEC24!$A$6:$AU$38,43,0)</f>
        <v>0</v>
      </c>
      <c r="AC23" s="36">
        <f>VLOOKUP($A23,[24]HISTODEC24!$A$6:$AU$38,44,0)</f>
        <v>0</v>
      </c>
      <c r="AD23" s="36">
        <f>VLOOKUP($A23,[24]HISTODEC24!$A$6:$AU$38,47,0)</f>
        <v>0</v>
      </c>
      <c r="AE23" s="36">
        <f>VLOOKUP(A23,[24]HISTODEC24!$A$6:$BB$38,54,0)</f>
        <v>0</v>
      </c>
      <c r="AF23" s="36">
        <f>VLOOKUP($A23,[24]HISTODEC24!$A$6:$CA$38,60,0)</f>
        <v>0</v>
      </c>
      <c r="AG23" s="36">
        <f>VLOOKUP($A23,[24]HISTODEC24!$A$6:$CA$38,61,0)</f>
        <v>0</v>
      </c>
      <c r="AH23" s="36">
        <f>VLOOKUP($A23,[24]HISTODEC24!$A$6:$CA$38,62,0)</f>
        <v>0</v>
      </c>
      <c r="AI23" s="36">
        <f>VLOOKUP($A23,[24]HISTODEC24!$A$6:$CA$38,63,0)</f>
        <v>0</v>
      </c>
      <c r="AJ23" s="36">
        <f>VLOOKUP($A23,[24]HISTODEC24!$A$6:$CA$38,64,0)</f>
        <v>0</v>
      </c>
      <c r="AK23" s="36">
        <f>VLOOKUP($A23,[24]HISTODEC24!$A$6:$CA$38,65,0)</f>
        <v>0</v>
      </c>
    </row>
    <row r="24" spans="1:37" x14ac:dyDescent="0.2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VLOOKUP($A24,[24]HISTOJANV24!$A$6:$BA$38,48,0)</f>
        <v>0</v>
      </c>
      <c r="F24" s="36">
        <f>MVTNOV24!I24-E24+L24</f>
        <v>1255827.8441992993</v>
      </c>
      <c r="G24" s="5">
        <f>IF(MVTNOV24!I24+L24&gt;700000,(MVTNOV24!I24-E24+L24),0)</f>
        <v>1255827.8441992993</v>
      </c>
      <c r="H24" s="36">
        <f t="shared" si="0"/>
        <v>0</v>
      </c>
      <c r="I24" s="6">
        <f t="shared" si="2"/>
        <v>1255827.8441992993</v>
      </c>
      <c r="J24" s="36">
        <f>VLOOKUP($A24,[24]HISTODEC24!$A$6:$AQ$42,22,0)</f>
        <v>0</v>
      </c>
      <c r="K24" s="36">
        <f>VLOOKUP($A24,[24]HISTODEC24!$A$6:$AU$38,45,0)</f>
        <v>25000</v>
      </c>
      <c r="L24" s="36">
        <f t="shared" si="3"/>
        <v>19000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VLOOKUP($A24,[24]HISTODEC24!$A$6:$AU$38,7,0)</f>
        <v>0</v>
      </c>
      <c r="Q24" s="36">
        <f>VLOOKUP($A24,[24]HISTODEC24!$A$6:$AU$38,23,0)</f>
        <v>0</v>
      </c>
      <c r="R24" s="36">
        <f>VLOOKUP($A24,[24]HISTODEC24!$A$6:$AU$38,46,0)</f>
        <v>0</v>
      </c>
      <c r="S24" s="36">
        <f>VLOOKUP($A24,[24]HISTODEC24!$A$6:$AU$38,26,0)</f>
        <v>0</v>
      </c>
      <c r="T24" s="36">
        <f>VLOOKUP($A24,[24]HISTODEC24!$A$6:$BG$38,58,0)</f>
        <v>0</v>
      </c>
      <c r="U24" s="36">
        <f>VLOOKUP($A24,[24]HISTODEC24!$A$6:$AU$38,28,0)</f>
        <v>0</v>
      </c>
      <c r="V24" s="36">
        <f>VLOOKUP($A24,[24]HISTODEC24!$A$6:$AU$38,19,0)</f>
        <v>0</v>
      </c>
      <c r="W24" s="36">
        <f>VLOOKUP($A24,[24]HISTODEC24!$A$6:$AU$38,20,0)</f>
        <v>0</v>
      </c>
      <c r="X24" s="36">
        <f>VLOOKUP($A24,[24]HISTODEC24!$A$6:$AU$38,27,0)</f>
        <v>0</v>
      </c>
      <c r="Y24" s="36">
        <f>VLOOKUP($A24,[24]HISTODEC24!$A$6:$BM$38,33,0)</f>
        <v>0</v>
      </c>
      <c r="Z24" s="36">
        <f>VLOOKUP($A24,[24]HISTODEC24!$A$6:$BM$38,65,0)</f>
        <v>0</v>
      </c>
      <c r="AA24" s="36"/>
      <c r="AB24" s="36">
        <f>VLOOKUP($A24,[24]HISTODEC24!$A$6:$AU$38,43,0)</f>
        <v>0</v>
      </c>
      <c r="AC24" s="36">
        <f>VLOOKUP($A24,[24]HISTODEC24!$A$6:$AU$38,44,0)</f>
        <v>0</v>
      </c>
      <c r="AD24" s="36">
        <f>VLOOKUP($A24,[24]HISTODEC24!$A$6:$AU$38,47,0)</f>
        <v>0</v>
      </c>
      <c r="AE24" s="36">
        <f>VLOOKUP(A24,[24]HISTODEC24!$A$6:$BB$38,54,0)</f>
        <v>0</v>
      </c>
      <c r="AF24" s="36">
        <f>VLOOKUP($A24,[24]HISTODEC24!$A$6:$CA$38,60,0)</f>
        <v>0</v>
      </c>
      <c r="AG24" s="36">
        <f>VLOOKUP($A24,[24]HISTODEC24!$A$6:$CA$38,61,0)</f>
        <v>0</v>
      </c>
      <c r="AH24" s="36">
        <f>VLOOKUP($A24,[24]HISTODEC24!$A$6:$CA$38,62,0)</f>
        <v>0</v>
      </c>
      <c r="AI24" s="36">
        <f>VLOOKUP($A24,[24]HISTODEC24!$A$6:$CA$38,63,0)</f>
        <v>0</v>
      </c>
      <c r="AJ24" s="36">
        <f>VLOOKUP($A24,[24]HISTODEC24!$A$6:$CA$38,64,0)</f>
        <v>0</v>
      </c>
      <c r="AK24" s="36">
        <f>VLOOKUP($A24,[24]HISTODEC24!$A$6:$CA$38,65,0)</f>
        <v>0</v>
      </c>
    </row>
    <row r="25" spans="1:37" x14ac:dyDescent="0.2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VLOOKUP($A25,[24]HISTOJANV24!$A$6:$BA$38,48,0)</f>
        <v>0</v>
      </c>
      <c r="F25" s="36">
        <f>MVTNOV24!I25-E25+L25</f>
        <v>1067141.7950432156</v>
      </c>
      <c r="G25" s="5">
        <f>IF(MVTNOV24!I25+L25&gt;700000,(MVTNOV24!I25-E25+L25),0)</f>
        <v>1067141.7950432156</v>
      </c>
      <c r="H25" s="36">
        <f t="shared" si="0"/>
        <v>0</v>
      </c>
      <c r="I25" s="6">
        <f t="shared" si="2"/>
        <v>1067141.7950432156</v>
      </c>
      <c r="J25" s="36">
        <f>VLOOKUP($A25,[24]HISTODEC24!$A$6:$AQ$42,22,0)</f>
        <v>0</v>
      </c>
      <c r="K25" s="36">
        <f>VLOOKUP($A25,[24]HISTODEC24!$A$6:$AU$38,45,0)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VLOOKUP($A25,[24]HISTODEC24!$A$6:$AU$38,7,0)</f>
        <v>3000</v>
      </c>
      <c r="Q25" s="36">
        <f>VLOOKUP($A25,[24]HISTODEC24!$A$6:$AU$38,23,0)</f>
        <v>0</v>
      </c>
      <c r="R25" s="36">
        <f>VLOOKUP($A25,[24]HISTODEC24!$A$6:$AU$38,46,0)</f>
        <v>0</v>
      </c>
      <c r="S25" s="36">
        <f>VLOOKUP($A25,[24]HISTODEC24!$A$6:$AU$38,26,0)</f>
        <v>0</v>
      </c>
      <c r="T25" s="36">
        <f>VLOOKUP($A25,[24]HISTODEC24!$A$6:$BG$38,58,0)</f>
        <v>0</v>
      </c>
      <c r="U25" s="36">
        <f>VLOOKUP($A25,[24]HISTODEC24!$A$6:$AU$38,28,0)</f>
        <v>0</v>
      </c>
      <c r="V25" s="36">
        <f>VLOOKUP($A25,[24]HISTODEC24!$A$6:$AU$38,19,0)</f>
        <v>0</v>
      </c>
      <c r="W25" s="36">
        <f>VLOOKUP($A25,[24]HISTODEC24!$A$6:$AU$38,20,0)</f>
        <v>0</v>
      </c>
      <c r="X25" s="36">
        <f>VLOOKUP($A25,[24]HISTODEC24!$A$6:$AU$38,27,0)</f>
        <v>0</v>
      </c>
      <c r="Y25" s="36">
        <f>VLOOKUP($A25,[24]HISTODEC24!$A$6:$BM$38,33,0)</f>
        <v>0</v>
      </c>
      <c r="Z25" s="36">
        <f>VLOOKUP($A25,[24]HISTODEC24!$A$6:$BM$38,65,0)</f>
        <v>0</v>
      </c>
      <c r="AA25" s="36"/>
      <c r="AB25" s="36">
        <f>VLOOKUP($A25,[24]HISTODEC24!$A$6:$AU$38,43,0)</f>
        <v>0</v>
      </c>
      <c r="AC25" s="36">
        <f>VLOOKUP($A25,[24]HISTODEC24!$A$6:$AU$38,44,0)</f>
        <v>0</v>
      </c>
      <c r="AD25" s="36">
        <f>VLOOKUP($A25,[24]HISTODEC24!$A$6:$AU$38,47,0)</f>
        <v>0</v>
      </c>
      <c r="AE25" s="36">
        <f>VLOOKUP(A25,[24]HISTODEC24!$A$6:$BB$38,54,0)</f>
        <v>0</v>
      </c>
      <c r="AF25" s="36">
        <f>VLOOKUP($A25,[24]HISTODEC24!$A$6:$CA$38,60,0)</f>
        <v>0</v>
      </c>
      <c r="AG25" s="36">
        <f>VLOOKUP($A25,[24]HISTODEC24!$A$6:$CA$38,61,0)</f>
        <v>0</v>
      </c>
      <c r="AH25" s="36">
        <f>VLOOKUP($A25,[24]HISTODEC24!$A$6:$CA$38,62,0)</f>
        <v>0</v>
      </c>
      <c r="AI25" s="36">
        <f>VLOOKUP($A25,[24]HISTODEC24!$A$6:$CA$38,63,0)</f>
        <v>0</v>
      </c>
      <c r="AJ25" s="36">
        <f>VLOOKUP($A25,[24]HISTODEC24!$A$6:$CA$38,64,0)</f>
        <v>0</v>
      </c>
      <c r="AK25" s="36">
        <f>VLOOKUP($A25,[24]HISTODEC24!$A$6:$CA$38,65,0)</f>
        <v>0</v>
      </c>
    </row>
    <row r="26" spans="1:37" x14ac:dyDescent="0.2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VLOOKUP($A26,[24]HISTOJANV24!$A$6:$BA$38,48,0)</f>
        <v>0</v>
      </c>
      <c r="F26" s="36">
        <f>MVTNOV24!I26-E26+L26</f>
        <v>995266.46813543816</v>
      </c>
      <c r="G26" s="5">
        <f>IF(MVTNOV24!I26+L26&gt;700000,(MVTNOV24!I26-E26+L26),0)</f>
        <v>995266.46813543816</v>
      </c>
      <c r="H26" s="36">
        <f t="shared" si="0"/>
        <v>0</v>
      </c>
      <c r="I26" s="6">
        <f t="shared" si="2"/>
        <v>995266.46813543816</v>
      </c>
      <c r="J26" s="36">
        <f>VLOOKUP($A26,[24]HISTODEC24!$A$6:$AQ$42,22,0)</f>
        <v>0</v>
      </c>
      <c r="K26" s="36">
        <f>VLOOKUP($A26,[24]HISTODEC24!$A$6:$AU$38,45,0)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VLOOKUP($A26,[24]HISTODEC24!$A$6:$AU$38,7,0)</f>
        <v>0</v>
      </c>
      <c r="Q26" s="36">
        <f>VLOOKUP($A26,[24]HISTODEC24!$A$6:$AU$38,23,0)</f>
        <v>0</v>
      </c>
      <c r="R26" s="36">
        <f>VLOOKUP($A26,[24]HISTODEC24!$A$6:$AU$38,46,0)</f>
        <v>0</v>
      </c>
      <c r="S26" s="36">
        <f>VLOOKUP($A26,[24]HISTODEC24!$A$6:$AU$38,26,0)</f>
        <v>0</v>
      </c>
      <c r="T26" s="36">
        <f>VLOOKUP($A26,[24]HISTODEC24!$A$6:$BG$38,58,0)</f>
        <v>0</v>
      </c>
      <c r="U26" s="36">
        <f>VLOOKUP($A26,[24]HISTODEC24!$A$6:$AU$38,28,0)</f>
        <v>0</v>
      </c>
      <c r="V26" s="36">
        <f>VLOOKUP($A26,[24]HISTODEC24!$A$6:$AU$38,19,0)</f>
        <v>0</v>
      </c>
      <c r="W26" s="36">
        <f>VLOOKUP($A26,[24]HISTODEC24!$A$6:$AU$38,20,0)</f>
        <v>0</v>
      </c>
      <c r="X26" s="36">
        <f>VLOOKUP($A26,[24]HISTODEC24!$A$6:$AU$38,27,0)</f>
        <v>0</v>
      </c>
      <c r="Y26" s="36">
        <f>VLOOKUP($A26,[24]HISTODEC24!$A$6:$BM$38,33,0)</f>
        <v>0</v>
      </c>
      <c r="Z26" s="36">
        <f>VLOOKUP($A26,[24]HISTODEC24!$A$6:$BM$38,65,0)</f>
        <v>0</v>
      </c>
      <c r="AA26" s="36"/>
      <c r="AB26" s="36">
        <f>VLOOKUP($A26,[24]HISTODEC24!$A$6:$AU$38,43,0)</f>
        <v>0</v>
      </c>
      <c r="AC26" s="36">
        <f>VLOOKUP($A26,[24]HISTODEC24!$A$6:$AU$38,44,0)</f>
        <v>0</v>
      </c>
      <c r="AD26" s="36">
        <f>VLOOKUP($A26,[24]HISTODEC24!$A$6:$AU$38,47,0)</f>
        <v>0</v>
      </c>
      <c r="AE26" s="36">
        <f>VLOOKUP(A26,[24]HISTODEC24!$A$6:$BB$38,54,0)</f>
        <v>0</v>
      </c>
      <c r="AF26" s="36">
        <f>VLOOKUP($A26,[24]HISTODEC24!$A$6:$CA$38,60,0)</f>
        <v>0</v>
      </c>
      <c r="AG26" s="36">
        <f>VLOOKUP($A26,[24]HISTODEC24!$A$6:$CA$38,61,0)</f>
        <v>0</v>
      </c>
      <c r="AH26" s="36">
        <f>VLOOKUP($A26,[24]HISTODEC24!$A$6:$CA$38,62,0)</f>
        <v>0</v>
      </c>
      <c r="AI26" s="36">
        <f>VLOOKUP($A26,[24]HISTODEC24!$A$6:$CA$38,63,0)</f>
        <v>0</v>
      </c>
      <c r="AJ26" s="36">
        <f>VLOOKUP($A26,[24]HISTODEC24!$A$6:$CA$38,64,0)</f>
        <v>0</v>
      </c>
      <c r="AK26" s="36">
        <f>VLOOKUP($A26,[24]HISTODEC24!$A$6:$CA$38,65,0)</f>
        <v>0</v>
      </c>
    </row>
    <row r="27" spans="1:37" x14ac:dyDescent="0.2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VLOOKUP($A27,[24]HISTOJANV24!$A$6:$BA$38,48,0)</f>
        <v>0</v>
      </c>
      <c r="F27" s="36">
        <f>MVTNOV24!I27-E27+L27</f>
        <v>995824.17371512204</v>
      </c>
      <c r="G27" s="5">
        <f>IF(MVTNOV24!I27+L27&gt;700000,(MVTNOV24!I27-E27+L27),0)</f>
        <v>995824.17371512204</v>
      </c>
      <c r="H27" s="36">
        <f t="shared" si="0"/>
        <v>0</v>
      </c>
      <c r="I27" s="6">
        <f t="shared" si="2"/>
        <v>995824.17371512204</v>
      </c>
      <c r="J27" s="36">
        <f>VLOOKUP($A27,[24]HISTODEC24!$A$6:$AQ$42,22,0)</f>
        <v>0</v>
      </c>
      <c r="K27" s="36">
        <f>VLOOKUP($A27,[24]HISTODEC24!$A$6:$AU$38,45,0)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VLOOKUP($A27,[24]HISTODEC24!$A$6:$AU$38,7,0)</f>
        <v>0</v>
      </c>
      <c r="Q27" s="36">
        <f>VLOOKUP($A27,[24]HISTODEC24!$A$6:$AU$38,23,0)</f>
        <v>0</v>
      </c>
      <c r="R27" s="36">
        <f>VLOOKUP($A27,[24]HISTODEC24!$A$6:$AU$38,46,0)</f>
        <v>0</v>
      </c>
      <c r="S27" s="36">
        <f>VLOOKUP($A27,[24]HISTODEC24!$A$6:$AU$38,26,0)</f>
        <v>0</v>
      </c>
      <c r="T27" s="36">
        <f>VLOOKUP($A27,[24]HISTODEC24!$A$6:$BG$38,58,0)</f>
        <v>0</v>
      </c>
      <c r="U27" s="36">
        <f>VLOOKUP($A27,[24]HISTODEC24!$A$6:$AU$38,28,0)</f>
        <v>0</v>
      </c>
      <c r="V27" s="36">
        <f>VLOOKUP($A27,[24]HISTODEC24!$A$6:$AU$38,19,0)</f>
        <v>0</v>
      </c>
      <c r="W27" s="36">
        <f>VLOOKUP($A27,[24]HISTODEC24!$A$6:$AU$38,20,0)</f>
        <v>0</v>
      </c>
      <c r="X27" s="36">
        <f>VLOOKUP($A27,[24]HISTODEC24!$A$6:$AU$38,27,0)</f>
        <v>0</v>
      </c>
      <c r="Y27" s="36">
        <f>VLOOKUP($A27,[24]HISTODEC24!$A$6:$BM$38,33,0)</f>
        <v>0</v>
      </c>
      <c r="Z27" s="36">
        <f>VLOOKUP($A27,[24]HISTODEC24!$A$6:$BM$38,65,0)</f>
        <v>0</v>
      </c>
      <c r="AA27" s="36"/>
      <c r="AB27" s="36">
        <f>VLOOKUP($A27,[24]HISTODEC24!$A$6:$AU$38,43,0)</f>
        <v>0</v>
      </c>
      <c r="AC27" s="36">
        <f>VLOOKUP($A27,[24]HISTODEC24!$A$6:$AU$38,44,0)</f>
        <v>0</v>
      </c>
      <c r="AD27" s="36">
        <f>VLOOKUP($A27,[24]HISTODEC24!$A$6:$AU$38,47,0)</f>
        <v>0</v>
      </c>
      <c r="AE27" s="36">
        <f>VLOOKUP(A27,[24]HISTODEC24!$A$6:$BB$38,54,0)</f>
        <v>0</v>
      </c>
      <c r="AF27" s="36">
        <f>VLOOKUP($A27,[24]HISTODEC24!$A$6:$CA$38,60,0)</f>
        <v>0</v>
      </c>
      <c r="AG27" s="36">
        <f>VLOOKUP($A27,[24]HISTODEC24!$A$6:$CA$38,61,0)</f>
        <v>0</v>
      </c>
      <c r="AH27" s="36">
        <f>VLOOKUP($A27,[24]HISTODEC24!$A$6:$CA$38,62,0)</f>
        <v>0</v>
      </c>
      <c r="AI27" s="36">
        <f>VLOOKUP($A27,[24]HISTODEC24!$A$6:$CA$38,63,0)</f>
        <v>0</v>
      </c>
      <c r="AJ27" s="36">
        <f>VLOOKUP($A27,[24]HISTODEC24!$A$6:$CA$38,64,0)</f>
        <v>0</v>
      </c>
      <c r="AK27" s="36">
        <f>VLOOKUP($A27,[24]HISTODEC24!$A$6:$CA$38,65,0)</f>
        <v>0</v>
      </c>
    </row>
    <row r="28" spans="1:37" x14ac:dyDescent="0.2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VLOOKUP($A28,[24]HISTOJANV24!$A$6:$BA$38,48,0)</f>
        <v>0</v>
      </c>
      <c r="F28" s="36">
        <f>MVTNOV24!I28-E28+L28</f>
        <v>897176.12513194664</v>
      </c>
      <c r="G28" s="5">
        <f>IF(MVTNOV24!I28+L28&gt;700000,(MVTNOV24!I28-E28+L28),0)</f>
        <v>897176.12513194664</v>
      </c>
      <c r="H28" s="36">
        <f t="shared" si="0"/>
        <v>0</v>
      </c>
      <c r="I28" s="6">
        <f t="shared" si="2"/>
        <v>897176.12513194664</v>
      </c>
      <c r="J28" s="36">
        <f>VLOOKUP($A28,[24]HISTODEC24!$A$6:$AQ$42,22,0)</f>
        <v>0</v>
      </c>
      <c r="K28" s="36">
        <f>VLOOKUP($A28,[24]HISTODEC24!$A$6:$AU$38,45,0)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VLOOKUP($A28,[24]HISTODEC24!$A$6:$AU$38,7,0)</f>
        <v>0</v>
      </c>
      <c r="Q28" s="36">
        <f>VLOOKUP($A28,[24]HISTODEC24!$A$6:$AU$38,23,0)</f>
        <v>0</v>
      </c>
      <c r="R28" s="36">
        <f>VLOOKUP($A28,[24]HISTODEC24!$A$6:$AU$38,46,0)</f>
        <v>0</v>
      </c>
      <c r="S28" s="36">
        <f>VLOOKUP($A28,[24]HISTODEC24!$A$6:$AU$38,26,0)</f>
        <v>0</v>
      </c>
      <c r="T28" s="36">
        <f>VLOOKUP($A28,[24]HISTODEC24!$A$6:$BG$38,58,0)</f>
        <v>0</v>
      </c>
      <c r="U28" s="36">
        <f>VLOOKUP($A28,[24]HISTODEC24!$A$6:$AU$38,28,0)</f>
        <v>0</v>
      </c>
      <c r="V28" s="36">
        <f>VLOOKUP($A28,[24]HISTODEC24!$A$6:$AU$38,19,0)</f>
        <v>0</v>
      </c>
      <c r="W28" s="36">
        <f>VLOOKUP($A28,[24]HISTODEC24!$A$6:$AU$38,20,0)</f>
        <v>0</v>
      </c>
      <c r="X28" s="36">
        <f>VLOOKUP($A28,[24]HISTODEC24!$A$6:$AU$38,27,0)</f>
        <v>0</v>
      </c>
      <c r="Y28" s="36">
        <f>VLOOKUP($A28,[24]HISTODEC24!$A$6:$BM$38,33,0)</f>
        <v>0</v>
      </c>
      <c r="Z28" s="36">
        <f>VLOOKUP($A28,[24]HISTODEC24!$A$6:$BM$38,65,0)</f>
        <v>0</v>
      </c>
      <c r="AA28" s="36"/>
      <c r="AB28" s="36">
        <f>VLOOKUP($A28,[24]HISTODEC24!$A$6:$AU$38,43,0)</f>
        <v>0</v>
      </c>
      <c r="AC28" s="36">
        <f>VLOOKUP($A28,[24]HISTODEC24!$A$6:$AU$38,44,0)</f>
        <v>0</v>
      </c>
      <c r="AD28" s="36">
        <f>VLOOKUP($A28,[24]HISTODEC24!$A$6:$AU$38,47,0)</f>
        <v>0</v>
      </c>
      <c r="AE28" s="36">
        <f>VLOOKUP(A28,[24]HISTODEC24!$A$6:$BB$38,54,0)</f>
        <v>0</v>
      </c>
      <c r="AF28" s="36">
        <f>VLOOKUP($A28,[24]HISTODEC24!$A$6:$CA$38,60,0)</f>
        <v>0</v>
      </c>
      <c r="AG28" s="36">
        <f>VLOOKUP($A28,[24]HISTODEC24!$A$6:$CA$38,61,0)</f>
        <v>0</v>
      </c>
      <c r="AH28" s="36">
        <f>VLOOKUP($A28,[24]HISTODEC24!$A$6:$CA$38,62,0)</f>
        <v>0</v>
      </c>
      <c r="AI28" s="36">
        <f>VLOOKUP($A28,[24]HISTODEC24!$A$6:$CA$38,63,0)</f>
        <v>0</v>
      </c>
      <c r="AJ28" s="36">
        <f>VLOOKUP($A28,[24]HISTODEC24!$A$6:$CA$38,64,0)</f>
        <v>0</v>
      </c>
      <c r="AK28" s="36">
        <f>VLOOKUP($A28,[24]HISTODEC24!$A$6:$CA$38,65,0)</f>
        <v>0</v>
      </c>
    </row>
    <row r="29" spans="1:37" x14ac:dyDescent="0.2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VLOOKUP($A29,[24]HISTOJANV24!$A$6:$BA$38,48,0)</f>
        <v>0</v>
      </c>
      <c r="F29" s="36">
        <f>MVTNOV24!I29-E29+L29</f>
        <v>1022151.3442374151</v>
      </c>
      <c r="G29" s="5">
        <f>IF(MVTNOV24!I29+L29&gt;700000,(MVTNOV24!I29-E29+L29),0)</f>
        <v>1022151.3442374151</v>
      </c>
      <c r="H29" s="36">
        <f t="shared" si="0"/>
        <v>0</v>
      </c>
      <c r="I29" s="6">
        <f t="shared" si="2"/>
        <v>1022151.3442374151</v>
      </c>
      <c r="J29" s="36">
        <f>VLOOKUP($A29,[24]HISTODEC24!$A$6:$AQ$42,22,0)</f>
        <v>0</v>
      </c>
      <c r="K29" s="36">
        <f>VLOOKUP($A29,[24]HISTODEC24!$A$6:$AU$38,45,0)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VLOOKUP($A29,[24]HISTODEC24!$A$6:$AU$38,7,0)</f>
        <v>0</v>
      </c>
      <c r="Q29" s="36">
        <f>VLOOKUP($A29,[24]HISTODEC24!$A$6:$AU$38,23,0)</f>
        <v>0</v>
      </c>
      <c r="R29" s="36">
        <f>VLOOKUP($A29,[24]HISTODEC24!$A$6:$AU$38,46,0)</f>
        <v>0</v>
      </c>
      <c r="S29" s="36">
        <f>VLOOKUP($A29,[24]HISTODEC24!$A$6:$AU$38,26,0)</f>
        <v>0</v>
      </c>
      <c r="T29" s="36">
        <f>VLOOKUP($A29,[24]HISTODEC24!$A$6:$BG$38,58,0)</f>
        <v>0</v>
      </c>
      <c r="U29" s="36">
        <f>VLOOKUP($A29,[24]HISTODEC24!$A$6:$AU$38,28,0)</f>
        <v>0</v>
      </c>
      <c r="V29" s="36">
        <f>VLOOKUP($A29,[24]HISTODEC24!$A$6:$AU$38,19,0)</f>
        <v>0</v>
      </c>
      <c r="W29" s="36">
        <f>VLOOKUP($A29,[24]HISTODEC24!$A$6:$AU$38,20,0)</f>
        <v>0</v>
      </c>
      <c r="X29" s="36">
        <f>VLOOKUP($A29,[24]HISTODEC24!$A$6:$AU$38,27,0)</f>
        <v>0</v>
      </c>
      <c r="Y29" s="36">
        <f>VLOOKUP($A29,[24]HISTODEC24!$A$6:$BM$38,33,0)</f>
        <v>0</v>
      </c>
      <c r="Z29" s="36">
        <f>VLOOKUP($A29,[24]HISTODEC24!$A$6:$BM$38,65,0)</f>
        <v>0</v>
      </c>
      <c r="AA29" s="36"/>
      <c r="AB29" s="36">
        <f>VLOOKUP($A29,[24]HISTODEC24!$A$6:$AU$38,43,0)</f>
        <v>0</v>
      </c>
      <c r="AC29" s="36">
        <f>VLOOKUP($A29,[24]HISTODEC24!$A$6:$AU$38,44,0)</f>
        <v>0</v>
      </c>
      <c r="AD29" s="36">
        <f>VLOOKUP($A29,[24]HISTODEC24!$A$6:$AU$38,47,0)</f>
        <v>0</v>
      </c>
      <c r="AE29" s="36">
        <f>VLOOKUP(A29,[24]HISTODEC24!$A$6:$BB$38,54,0)</f>
        <v>0</v>
      </c>
      <c r="AF29" s="36">
        <f>VLOOKUP($A29,[24]HISTODEC24!$A$6:$CA$38,60,0)</f>
        <v>0</v>
      </c>
      <c r="AG29" s="36">
        <f>VLOOKUP($A29,[24]HISTODEC24!$A$6:$CA$38,61,0)</f>
        <v>0</v>
      </c>
      <c r="AH29" s="36">
        <f>VLOOKUP($A29,[24]HISTODEC24!$A$6:$CA$38,62,0)</f>
        <v>0</v>
      </c>
      <c r="AI29" s="36">
        <f>VLOOKUP($A29,[24]HISTODEC24!$A$6:$CA$38,63,0)</f>
        <v>0</v>
      </c>
      <c r="AJ29" s="36">
        <f>VLOOKUP($A29,[24]HISTODEC24!$A$6:$CA$38,64,0)</f>
        <v>0</v>
      </c>
      <c r="AK29" s="36">
        <f>VLOOKUP($A29,[24]HISTODEC24!$A$6:$CA$38,65,0)</f>
        <v>0</v>
      </c>
    </row>
    <row r="30" spans="1:37" x14ac:dyDescent="0.2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VLOOKUP($A30,[24]HISTOJANV24!$A$6:$BA$38,48,0)</f>
        <v>0</v>
      </c>
      <c r="F30" s="36">
        <f>MVTNOV24!I30-E30+L30</f>
        <v>926786.81046782702</v>
      </c>
      <c r="G30" s="5">
        <f>IF(MVTNOV24!I30+L30&gt;700000,(MVTNOV24!I30-E30+L30),0)</f>
        <v>926786.81046782702</v>
      </c>
      <c r="H30" s="36">
        <f t="shared" si="0"/>
        <v>0</v>
      </c>
      <c r="I30" s="6">
        <f t="shared" si="2"/>
        <v>926786.81046782702</v>
      </c>
      <c r="J30" s="36">
        <f>VLOOKUP($A30,[24]HISTODEC24!$A$6:$AQ$42,22,0)</f>
        <v>0</v>
      </c>
      <c r="K30" s="36">
        <f>VLOOKUP($A30,[24]HISTODEC24!$A$6:$AU$38,45,0)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VLOOKUP($A30,[24]HISTODEC24!$A$6:$AU$38,7,0)</f>
        <v>0</v>
      </c>
      <c r="Q30" s="36">
        <f>VLOOKUP($A30,[24]HISTODEC24!$A$6:$AU$38,23,0)</f>
        <v>0</v>
      </c>
      <c r="R30" s="36">
        <f>VLOOKUP($A30,[24]HISTODEC24!$A$6:$AU$38,46,0)</f>
        <v>0</v>
      </c>
      <c r="S30" s="36">
        <f>VLOOKUP($A30,[24]HISTODEC24!$A$6:$AU$38,26,0)</f>
        <v>0</v>
      </c>
      <c r="T30" s="36">
        <f>VLOOKUP($A30,[24]HISTODEC24!$A$6:$BG$38,58,0)</f>
        <v>0</v>
      </c>
      <c r="U30" s="36">
        <f>VLOOKUP($A30,[24]HISTODEC24!$A$6:$AU$38,28,0)</f>
        <v>0</v>
      </c>
      <c r="V30" s="36">
        <f>VLOOKUP($A30,[24]HISTODEC24!$A$6:$AU$38,19,0)</f>
        <v>0</v>
      </c>
      <c r="W30" s="36">
        <f>VLOOKUP($A30,[24]HISTODEC24!$A$6:$AU$38,20,0)</f>
        <v>0</v>
      </c>
      <c r="X30" s="36">
        <f>VLOOKUP($A30,[24]HISTODEC24!$A$6:$AU$38,27,0)</f>
        <v>0</v>
      </c>
      <c r="Y30" s="36">
        <f>VLOOKUP($A30,[24]HISTODEC24!$A$6:$BM$38,33,0)</f>
        <v>0</v>
      </c>
      <c r="Z30" s="36">
        <f>VLOOKUP($A30,[24]HISTODEC24!$A$6:$BM$38,65,0)</f>
        <v>0</v>
      </c>
      <c r="AA30" s="36"/>
      <c r="AB30" s="36">
        <f>VLOOKUP($A30,[24]HISTODEC24!$A$6:$AU$38,43,0)</f>
        <v>0</v>
      </c>
      <c r="AC30" s="36">
        <f>VLOOKUP($A30,[24]HISTODEC24!$A$6:$AU$38,44,0)</f>
        <v>0</v>
      </c>
      <c r="AD30" s="36">
        <f>VLOOKUP($A30,[24]HISTODEC24!$A$6:$AU$38,47,0)</f>
        <v>0</v>
      </c>
      <c r="AE30" s="36">
        <f>VLOOKUP(A30,[24]HISTODEC24!$A$6:$BB$38,54,0)</f>
        <v>0</v>
      </c>
      <c r="AF30" s="36">
        <f>VLOOKUP($A30,[24]HISTODEC24!$A$6:$CA$38,60,0)</f>
        <v>0</v>
      </c>
      <c r="AG30" s="36">
        <f>VLOOKUP($A30,[24]HISTODEC24!$A$6:$CA$38,61,0)</f>
        <v>0</v>
      </c>
      <c r="AH30" s="36">
        <f>VLOOKUP($A30,[24]HISTODEC24!$A$6:$CA$38,62,0)</f>
        <v>0</v>
      </c>
      <c r="AI30" s="36">
        <f>VLOOKUP($A30,[24]HISTODEC24!$A$6:$CA$38,63,0)</f>
        <v>0</v>
      </c>
      <c r="AJ30" s="36">
        <f>VLOOKUP($A30,[24]HISTODEC24!$A$6:$CA$38,64,0)</f>
        <v>0</v>
      </c>
      <c r="AK30" s="36">
        <f>VLOOKUP($A30,[24]HISTODEC24!$A$6:$CA$38,65,0)</f>
        <v>0</v>
      </c>
    </row>
    <row r="31" spans="1:37" x14ac:dyDescent="0.2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VLOOKUP($A31,[24]HISTOJANV24!$A$6:$BA$38,48,0)</f>
        <v>0</v>
      </c>
      <c r="F31" s="36">
        <f>MVTNOV24!I31-E31+L31</f>
        <v>1086903.0311481347</v>
      </c>
      <c r="G31" s="5">
        <f>IF(MVTNOV24!I31+L31&gt;700000,(MVTNOV24!I31-E31+L31),0)</f>
        <v>1086903.0311481347</v>
      </c>
      <c r="H31" s="36">
        <f t="shared" si="0"/>
        <v>0</v>
      </c>
      <c r="I31" s="6">
        <f t="shared" si="2"/>
        <v>1086903.0311481347</v>
      </c>
      <c r="J31" s="36">
        <f>VLOOKUP($A31,[24]HISTODEC24!$A$6:$AQ$42,22,0)</f>
        <v>0</v>
      </c>
      <c r="K31" s="36">
        <f>VLOOKUP($A31,[24]HISTODEC24!$A$6:$AU$38,45,0)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VLOOKUP($A31,[24]HISTODEC24!$A$6:$AU$38,7,0)</f>
        <v>0</v>
      </c>
      <c r="Q31" s="36">
        <f>VLOOKUP($A31,[24]HISTODEC24!$A$6:$AU$38,23,0)</f>
        <v>0</v>
      </c>
      <c r="R31" s="36">
        <f>VLOOKUP($A31,[24]HISTODEC24!$A$6:$AU$38,46,0)</f>
        <v>0</v>
      </c>
      <c r="S31" s="36">
        <f>VLOOKUP($A31,[24]HISTODEC24!$A$6:$AU$38,26,0)</f>
        <v>0</v>
      </c>
      <c r="T31" s="36">
        <f>VLOOKUP($A31,[24]HISTODEC24!$A$6:$BG$38,58,0)</f>
        <v>0</v>
      </c>
      <c r="U31" s="36">
        <f>VLOOKUP($A31,[24]HISTODEC24!$A$6:$AU$38,28,0)</f>
        <v>0</v>
      </c>
      <c r="V31" s="36">
        <f>VLOOKUP($A31,[24]HISTODEC24!$A$6:$AU$38,19,0)</f>
        <v>0</v>
      </c>
      <c r="W31" s="36">
        <f>VLOOKUP($A31,[24]HISTODEC24!$A$6:$AU$38,20,0)</f>
        <v>0</v>
      </c>
      <c r="X31" s="36">
        <f>VLOOKUP($A31,[24]HISTODEC24!$A$6:$AU$38,27,0)</f>
        <v>0</v>
      </c>
      <c r="Y31" s="36">
        <f>VLOOKUP($A31,[24]HISTODEC24!$A$6:$BM$38,33,0)</f>
        <v>0</v>
      </c>
      <c r="Z31" s="36">
        <f>VLOOKUP($A31,[24]HISTODEC24!$A$6:$BM$38,65,0)</f>
        <v>0</v>
      </c>
      <c r="AA31" s="36"/>
      <c r="AB31" s="36">
        <f>VLOOKUP($A31,[24]HISTODEC24!$A$6:$AU$38,43,0)</f>
        <v>0</v>
      </c>
      <c r="AC31" s="36">
        <f>VLOOKUP($A31,[24]HISTODEC24!$A$6:$AU$38,44,0)</f>
        <v>0</v>
      </c>
      <c r="AD31" s="36">
        <f>VLOOKUP($A31,[24]HISTODEC24!$A$6:$AU$38,47,0)</f>
        <v>0</v>
      </c>
      <c r="AE31" s="36">
        <f>VLOOKUP(A31,[24]HISTODEC24!$A$6:$BB$38,54,0)</f>
        <v>0</v>
      </c>
      <c r="AF31" s="36">
        <f>VLOOKUP($A31,[24]HISTODEC24!$A$6:$CA$38,60,0)</f>
        <v>0</v>
      </c>
      <c r="AG31" s="36">
        <f>VLOOKUP($A31,[24]HISTODEC24!$A$6:$CA$38,61,0)</f>
        <v>0</v>
      </c>
      <c r="AH31" s="36">
        <f>VLOOKUP($A31,[24]HISTODEC24!$A$6:$CA$38,62,0)</f>
        <v>0</v>
      </c>
      <c r="AI31" s="36">
        <f>VLOOKUP($A31,[24]HISTODEC24!$A$6:$CA$38,63,0)</f>
        <v>0</v>
      </c>
      <c r="AJ31" s="36">
        <f>VLOOKUP($A31,[24]HISTODEC24!$A$6:$CA$38,64,0)</f>
        <v>0</v>
      </c>
      <c r="AK31" s="36">
        <f>VLOOKUP($A31,[24]HISTODEC24!$A$6:$CA$38,65,0)</f>
        <v>0</v>
      </c>
    </row>
    <row r="32" spans="1:37" x14ac:dyDescent="0.2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VLOOKUP($A32,[24]HISTOJANV24!$A$6:$BA$38,48,0)</f>
        <v>0</v>
      </c>
      <c r="F32" s="36">
        <f>MVTNOV24!I32-E32+L32</f>
        <v>976243.98131057119</v>
      </c>
      <c r="G32" s="5">
        <f>IF(MVTNOV24!I32+L32&gt;700000,(MVTNOV24!I32-E32+L32),0)</f>
        <v>976243.98131057119</v>
      </c>
      <c r="H32" s="36">
        <f t="shared" si="0"/>
        <v>0</v>
      </c>
      <c r="I32" s="6">
        <f t="shared" si="2"/>
        <v>976243.98131057119</v>
      </c>
      <c r="J32" s="36">
        <f>VLOOKUP($A32,[24]HISTODEC24!$A$6:$AQ$42,22,0)</f>
        <v>0</v>
      </c>
      <c r="K32" s="36">
        <f>VLOOKUP($A32,[24]HISTODEC24!$A$6:$AU$38,45,0)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VLOOKUP($A32,[24]HISTODEC24!$A$6:$AU$38,7,0)</f>
        <v>0</v>
      </c>
      <c r="Q32" s="36">
        <f>VLOOKUP($A32,[24]HISTODEC24!$A$6:$AU$38,23,0)</f>
        <v>0</v>
      </c>
      <c r="R32" s="36">
        <f>VLOOKUP($A32,[24]HISTODEC24!$A$6:$AU$38,46,0)</f>
        <v>0</v>
      </c>
      <c r="S32" s="36">
        <f>VLOOKUP($A32,[24]HISTODEC24!$A$6:$AU$38,26,0)</f>
        <v>0</v>
      </c>
      <c r="T32" s="36">
        <f>VLOOKUP($A32,[24]HISTODEC24!$A$6:$BG$38,58,0)</f>
        <v>0</v>
      </c>
      <c r="U32" s="36">
        <f>VLOOKUP($A32,[24]HISTODEC24!$A$6:$AU$38,28,0)</f>
        <v>0</v>
      </c>
      <c r="V32" s="36">
        <f>VLOOKUP($A32,[24]HISTODEC24!$A$6:$AU$38,19,0)</f>
        <v>0</v>
      </c>
      <c r="W32" s="36">
        <f>VLOOKUP($A32,[24]HISTODEC24!$A$6:$AU$38,20,0)</f>
        <v>0</v>
      </c>
      <c r="X32" s="36">
        <f>VLOOKUP($A32,[24]HISTODEC24!$A$6:$AU$38,27,0)</f>
        <v>0</v>
      </c>
      <c r="Y32" s="36">
        <f>VLOOKUP($A32,[24]HISTODEC24!$A$6:$BM$38,33,0)</f>
        <v>0</v>
      </c>
      <c r="Z32" s="36">
        <f>VLOOKUP($A32,[24]HISTODEC24!$A$6:$BM$38,65,0)</f>
        <v>0</v>
      </c>
      <c r="AA32" s="36"/>
      <c r="AB32" s="36">
        <f>VLOOKUP($A32,[24]HISTODEC24!$A$6:$AU$38,43,0)</f>
        <v>0</v>
      </c>
      <c r="AC32" s="36">
        <f>VLOOKUP($A32,[24]HISTODEC24!$A$6:$AU$38,44,0)</f>
        <v>0</v>
      </c>
      <c r="AD32" s="36">
        <f>VLOOKUP($A32,[24]HISTODEC24!$A$6:$AU$38,47,0)</f>
        <v>0</v>
      </c>
      <c r="AE32" s="36">
        <f>VLOOKUP(A32,[24]HISTODEC24!$A$6:$BB$38,54,0)</f>
        <v>0</v>
      </c>
      <c r="AF32" s="36">
        <f>VLOOKUP($A32,[24]HISTODEC24!$A$6:$CA$38,60,0)</f>
        <v>0</v>
      </c>
      <c r="AG32" s="36">
        <f>VLOOKUP($A32,[24]HISTODEC24!$A$6:$CA$38,61,0)</f>
        <v>0</v>
      </c>
      <c r="AH32" s="36">
        <f>VLOOKUP($A32,[24]HISTODEC24!$A$6:$CA$38,62,0)</f>
        <v>0</v>
      </c>
      <c r="AI32" s="36">
        <f>VLOOKUP($A32,[24]HISTODEC24!$A$6:$CA$38,63,0)</f>
        <v>0</v>
      </c>
      <c r="AJ32" s="36">
        <f>VLOOKUP($A32,[24]HISTODEC24!$A$6:$CA$38,64,0)</f>
        <v>0</v>
      </c>
      <c r="AK32" s="36">
        <f>VLOOKUP($A32,[24]HISTODEC24!$A$6:$CA$38,65,0)</f>
        <v>0</v>
      </c>
    </row>
    <row r="33" spans="1:37" x14ac:dyDescent="0.2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VLOOKUP($A33,[24]HISTOJANV24!$A$6:$BA$38,48,0)</f>
        <v>0</v>
      </c>
      <c r="F33" s="36">
        <f>MVTNOV24!I33-E33+L33</f>
        <v>976552.64928596013</v>
      </c>
      <c r="G33" s="5">
        <f>IF(MVTNOV24!I33+L33&gt;700000,(MVTNOV24!I33-E33+L33),0)</f>
        <v>976552.64928596013</v>
      </c>
      <c r="H33" s="36">
        <f t="shared" si="0"/>
        <v>0</v>
      </c>
      <c r="I33" s="6">
        <f t="shared" si="2"/>
        <v>976552.64928596013</v>
      </c>
      <c r="J33" s="36">
        <f>VLOOKUP($A33,[24]HISTODEC24!$A$6:$AQ$42,22,0)</f>
        <v>0</v>
      </c>
      <c r="K33" s="36">
        <f>VLOOKUP($A33,[24]HISTODEC24!$A$6:$AU$38,45,0)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VLOOKUP($A33,[24]HISTODEC24!$A$6:$AU$38,7,0)</f>
        <v>0</v>
      </c>
      <c r="Q33" s="36">
        <f>VLOOKUP($A33,[24]HISTODEC24!$A$6:$AU$38,23,0)</f>
        <v>0</v>
      </c>
      <c r="R33" s="36">
        <f>VLOOKUP($A33,[24]HISTODEC24!$A$6:$AU$38,46,0)</f>
        <v>0</v>
      </c>
      <c r="S33" s="36">
        <f>VLOOKUP($A33,[24]HISTODEC24!$A$6:$AU$38,26,0)</f>
        <v>0</v>
      </c>
      <c r="T33" s="36">
        <f>VLOOKUP($A33,[24]HISTODEC24!$A$6:$BG$38,58,0)</f>
        <v>0</v>
      </c>
      <c r="U33" s="36">
        <f>VLOOKUP($A33,[24]HISTODEC24!$A$6:$AU$38,28,0)</f>
        <v>0</v>
      </c>
      <c r="V33" s="36">
        <f>VLOOKUP($A33,[24]HISTODEC24!$A$6:$AU$38,19,0)</f>
        <v>0</v>
      </c>
      <c r="W33" s="36">
        <f>VLOOKUP($A33,[24]HISTODEC24!$A$6:$AU$38,20,0)</f>
        <v>0</v>
      </c>
      <c r="X33" s="36">
        <f>VLOOKUP($A33,[24]HISTODEC24!$A$6:$AU$38,27,0)</f>
        <v>0</v>
      </c>
      <c r="Y33" s="36">
        <f>VLOOKUP($A33,[24]HISTODEC24!$A$6:$BM$38,33,0)</f>
        <v>0</v>
      </c>
      <c r="Z33" s="36">
        <f>VLOOKUP($A33,[24]HISTODEC24!$A$6:$BM$38,65,0)</f>
        <v>0</v>
      </c>
      <c r="AA33" s="36"/>
      <c r="AB33" s="36">
        <f>VLOOKUP($A33,[24]HISTODEC24!$A$6:$AU$38,43,0)</f>
        <v>0</v>
      </c>
      <c r="AC33" s="36">
        <f>VLOOKUP($A33,[24]HISTODEC24!$A$6:$AU$38,44,0)</f>
        <v>0</v>
      </c>
      <c r="AD33" s="36">
        <f>VLOOKUP($A33,[24]HISTODEC24!$A$6:$AU$38,47,0)</f>
        <v>0</v>
      </c>
      <c r="AE33" s="36">
        <f>VLOOKUP(A33,[24]HISTODEC24!$A$6:$BB$38,54,0)</f>
        <v>0</v>
      </c>
      <c r="AF33" s="36">
        <f>VLOOKUP($A33,[24]HISTODEC24!$A$6:$CA$38,60,0)</f>
        <v>0</v>
      </c>
      <c r="AG33" s="36">
        <f>VLOOKUP($A33,[24]HISTODEC24!$A$6:$CA$38,61,0)</f>
        <v>0</v>
      </c>
      <c r="AH33" s="36">
        <f>VLOOKUP($A33,[24]HISTODEC24!$A$6:$CA$38,62,0)</f>
        <v>0</v>
      </c>
      <c r="AI33" s="36">
        <f>VLOOKUP($A33,[24]HISTODEC24!$A$6:$CA$38,63,0)</f>
        <v>0</v>
      </c>
      <c r="AJ33" s="36">
        <f>VLOOKUP($A33,[24]HISTODEC24!$A$6:$CA$38,64,0)</f>
        <v>0</v>
      </c>
      <c r="AK33" s="36">
        <f>VLOOKUP($A33,[24]HISTODEC24!$A$6:$CA$38,65,0)</f>
        <v>0</v>
      </c>
    </row>
    <row r="34" spans="1:37" x14ac:dyDescent="0.25">
      <c r="A34" s="1" t="s">
        <v>328</v>
      </c>
      <c r="B34" s="1" t="str">
        <f>VLOOKUP(A34,[19]LISTADHERENT!A$5:H$60,3,0)</f>
        <v>TCHOUATEU AUGUSTIN</v>
      </c>
      <c r="C34" s="36"/>
      <c r="D34" s="36"/>
      <c r="E34" s="36">
        <f>VLOOKUP($A34,[24]HISTOJANV24!$A$6:$BA$38,48,0)</f>
        <v>0</v>
      </c>
      <c r="F34" s="36">
        <f>MVTNOV24!I34-E34+L34</f>
        <v>633000</v>
      </c>
      <c r="G34" s="5">
        <f>IF(MVTNOV24!I34+L34&gt;700000,(MVTNOV24!I34-E34+L34),0)</f>
        <v>0</v>
      </c>
      <c r="H34" s="36">
        <f t="shared" si="0"/>
        <v>0</v>
      </c>
      <c r="I34" s="6">
        <f t="shared" si="2"/>
        <v>633000</v>
      </c>
      <c r="J34" s="36">
        <f>VLOOKUP($A34,[24]HISTODEC24!$A$6:$AQ$42,22,0)</f>
        <v>0</v>
      </c>
      <c r="K34" s="36">
        <f>VLOOKUP($A34,[24]HISTODEC24!$A$6:$AU$38,45,0)</f>
        <v>25000</v>
      </c>
      <c r="L34" s="36">
        <f t="shared" si="3"/>
        <v>19000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VLOOKUP($A34,[24]HISTODEC24!$A$6:$AU$38,7,0)</f>
        <v>0</v>
      </c>
      <c r="Q34" s="36">
        <f>VLOOKUP($A34,[24]HISTODEC24!$A$6:$AU$38,23,0)</f>
        <v>0</v>
      </c>
      <c r="R34" s="36">
        <f>VLOOKUP($A34,[24]HISTODEC24!$A$6:$AU$38,46,0)</f>
        <v>0</v>
      </c>
      <c r="S34" s="36">
        <f>VLOOKUP($A34,[24]HISTODEC24!$A$6:$AU$38,26,0)</f>
        <v>0</v>
      </c>
      <c r="T34" s="36">
        <f>VLOOKUP($A34,[24]HISTODEC24!$A$6:$BG$38,58,0)</f>
        <v>0</v>
      </c>
      <c r="U34" s="36">
        <f>VLOOKUP($A34,[24]HISTODEC24!$A$6:$AU$38,28,0)</f>
        <v>0</v>
      </c>
      <c r="V34" s="36">
        <f>VLOOKUP($A34,[24]HISTODEC24!$A$6:$AU$38,19,0)</f>
        <v>0</v>
      </c>
      <c r="W34" s="36">
        <f>VLOOKUP($A34,[24]HISTODEC24!$A$6:$AU$38,20,0)</f>
        <v>0</v>
      </c>
      <c r="X34" s="36">
        <f>VLOOKUP($A34,[24]HISTODEC24!$A$6:$AU$38,27,0)</f>
        <v>0</v>
      </c>
      <c r="Y34" s="36">
        <f>VLOOKUP($A34,[24]HISTODEC24!$A$6:$BM$38,33,0)</f>
        <v>0</v>
      </c>
      <c r="Z34" s="36">
        <f>VLOOKUP($A34,[24]HISTODEC24!$A$6:$BM$38,65,0)</f>
        <v>0</v>
      </c>
      <c r="AA34" s="36"/>
      <c r="AB34" s="36">
        <f>VLOOKUP($A34,[24]HISTODEC24!$A$6:$AU$38,43,0)</f>
        <v>0</v>
      </c>
      <c r="AC34" s="36">
        <f>VLOOKUP($A34,[24]HISTODEC24!$A$6:$AU$38,44,0)</f>
        <v>0</v>
      </c>
      <c r="AD34" s="36">
        <f>VLOOKUP($A34,[24]HISTODEC24!$A$6:$AU$38,47,0)</f>
        <v>0</v>
      </c>
      <c r="AE34" s="36">
        <f>VLOOKUP(A34,[24]HISTODEC24!$A$6:$BB$38,54,0)</f>
        <v>0</v>
      </c>
      <c r="AF34" s="36">
        <f>VLOOKUP($A34,[24]HISTODEC24!$A$6:$CA$38,60,0)</f>
        <v>0</v>
      </c>
      <c r="AG34" s="36">
        <f>VLOOKUP($A34,[24]HISTODEC24!$A$6:$CA$38,61,0)</f>
        <v>0</v>
      </c>
      <c r="AH34" s="36">
        <f>VLOOKUP($A34,[24]HISTODEC24!$A$6:$CA$38,62,0)</f>
        <v>0</v>
      </c>
      <c r="AI34" s="36">
        <f>VLOOKUP($A34,[24]HISTODEC24!$A$6:$CA$38,63,0)</f>
        <v>0</v>
      </c>
      <c r="AJ34" s="36">
        <f>VLOOKUP($A34,[24]HISTODEC24!$A$6:$CA$38,64,0)</f>
        <v>0</v>
      </c>
      <c r="AK34" s="36">
        <f>VLOOKUP($A34,[24]HISTODEC24!$A$6:$CA$38,65,0)</f>
        <v>0</v>
      </c>
    </row>
    <row r="35" spans="1:37" x14ac:dyDescent="0.2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VLOOKUP($A35,[24]HISTOJANV24!$A$6:$BA$38,48,0)</f>
        <v>0</v>
      </c>
      <c r="F35" s="36">
        <f>MVTNOV24!I35-E35+L35</f>
        <v>328000</v>
      </c>
      <c r="G35" s="5">
        <f>IF(MVTNOV24!I35+L35&gt;700000,(MVTNOV24!I35-E35+L35),0)</f>
        <v>0</v>
      </c>
      <c r="H35" s="36">
        <f t="shared" si="0"/>
        <v>0</v>
      </c>
      <c r="I35" s="6">
        <f t="shared" si="2"/>
        <v>328000</v>
      </c>
      <c r="J35" s="36">
        <f>VLOOKUP($A35,[24]HISTODEC24!$A$6:$AQ$42,22,0)</f>
        <v>0</v>
      </c>
      <c r="K35" s="36">
        <f>VLOOKUP($A35,[24]HISTODEC24!$A$6:$AU$38,45,0)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VLOOKUP($A35,[24]HISTODEC24!$A$6:$AU$38,7,0)</f>
        <v>3000</v>
      </c>
      <c r="Q35" s="36">
        <f>VLOOKUP($A35,[24]HISTODEC24!$A$6:$AU$38,23,0)</f>
        <v>0</v>
      </c>
      <c r="R35" s="36">
        <f>VLOOKUP($A35,[24]HISTODEC24!$A$6:$AU$38,46,0)</f>
        <v>0</v>
      </c>
      <c r="S35" s="36">
        <f>VLOOKUP($A35,[24]HISTODEC24!$A$6:$AU$38,26,0)</f>
        <v>0</v>
      </c>
      <c r="T35" s="36">
        <f>VLOOKUP($A35,[24]HISTODEC24!$A$6:$BG$38,58,0)</f>
        <v>0</v>
      </c>
      <c r="U35" s="36">
        <f>VLOOKUP($A35,[24]HISTODEC24!$A$6:$AU$38,28,0)</f>
        <v>0</v>
      </c>
      <c r="V35" s="36">
        <f>VLOOKUP($A35,[24]HISTODEC24!$A$6:$AU$38,19,0)</f>
        <v>0</v>
      </c>
      <c r="W35" s="36">
        <f>VLOOKUP($A35,[24]HISTODEC24!$A$6:$AU$38,20,0)</f>
        <v>0</v>
      </c>
      <c r="X35" s="36">
        <f>VLOOKUP($A35,[24]HISTODEC24!$A$6:$AU$38,27,0)</f>
        <v>0</v>
      </c>
      <c r="Y35" s="36">
        <f>VLOOKUP($A35,[24]HISTODEC24!$A$6:$BM$38,33,0)</f>
        <v>0</v>
      </c>
      <c r="Z35" s="36">
        <f>VLOOKUP($A35,[24]HISTODEC24!$A$6:$BM$38,65,0)</f>
        <v>0</v>
      </c>
      <c r="AA35" s="36"/>
      <c r="AB35" s="36">
        <f>VLOOKUP($A35,[24]HISTODEC24!$A$6:$AU$38,43,0)</f>
        <v>0</v>
      </c>
      <c r="AC35" s="36">
        <f>VLOOKUP($A35,[24]HISTODEC24!$A$6:$AU$38,44,0)</f>
        <v>0</v>
      </c>
      <c r="AD35" s="36">
        <f>VLOOKUP($A35,[24]HISTODEC24!$A$6:$AU$38,47,0)</f>
        <v>0</v>
      </c>
      <c r="AE35" s="36">
        <f>VLOOKUP(A35,[24]HISTODEC24!$A$6:$BB$38,54,0)</f>
        <v>0</v>
      </c>
      <c r="AF35" s="36">
        <f>VLOOKUP($A35,[24]HISTODEC24!$A$6:$CA$38,60,0)</f>
        <v>0</v>
      </c>
      <c r="AG35" s="36">
        <f>VLOOKUP($A35,[24]HISTODEC24!$A$6:$CA$38,61,0)</f>
        <v>0</v>
      </c>
      <c r="AH35" s="36">
        <f>VLOOKUP($A35,[24]HISTODEC24!$A$6:$CA$38,62,0)</f>
        <v>0</v>
      </c>
      <c r="AI35" s="36">
        <f>VLOOKUP($A35,[24]HISTODEC24!$A$6:$CA$38,63,0)</f>
        <v>0</v>
      </c>
      <c r="AJ35" s="36">
        <f>VLOOKUP($A35,[24]HISTODEC24!$A$6:$CA$38,64,0)</f>
        <v>0</v>
      </c>
      <c r="AK35" s="36">
        <f>VLOOKUP($A35,[24]HISTODEC24!$A$6:$CA$38,65,0)</f>
        <v>0</v>
      </c>
    </row>
    <row r="36" spans="1:37" x14ac:dyDescent="0.2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VLOOKUP($A36,[24]HISTOJANV24!$A$6:$BA$38,48,0)</f>
        <v>0</v>
      </c>
      <c r="F36" s="36">
        <f>MVTNOV24!I36-E36+L36</f>
        <v>1013599.0818186782</v>
      </c>
      <c r="G36" s="5">
        <f>IF(MVTNOV24!I36+L36&gt;700000,(MVTNOV24!I36-E36+L36),0)</f>
        <v>1013599.0818186782</v>
      </c>
      <c r="H36" s="36">
        <f t="shared" si="0"/>
        <v>0</v>
      </c>
      <c r="I36" s="6">
        <f t="shared" si="2"/>
        <v>1013599.0818186782</v>
      </c>
      <c r="J36" s="36">
        <f>VLOOKUP($A36,[24]HISTODEC24!$A$6:$AQ$42,22,0)</f>
        <v>0</v>
      </c>
      <c r="K36" s="36">
        <f>VLOOKUP($A36,[24]HISTODEC24!$A$6:$AU$38,45,0)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VLOOKUP($A36,[24]HISTODEC24!$A$6:$AU$38,7,0)</f>
        <v>0</v>
      </c>
      <c r="Q36" s="36">
        <f>VLOOKUP($A36,[24]HISTODEC24!$A$6:$AU$38,23,0)</f>
        <v>0</v>
      </c>
      <c r="R36" s="36">
        <f>VLOOKUP($A36,[24]HISTODEC24!$A$6:$AU$38,46,0)</f>
        <v>0</v>
      </c>
      <c r="S36" s="36">
        <f>VLOOKUP($A36,[24]HISTODEC24!$A$6:$AU$38,26,0)</f>
        <v>0</v>
      </c>
      <c r="T36" s="36">
        <f>VLOOKUP($A36,[24]HISTODEC24!$A$6:$BG$38,58,0)</f>
        <v>0</v>
      </c>
      <c r="U36" s="36">
        <f>VLOOKUP($A36,[24]HISTODEC24!$A$6:$AU$38,28,0)</f>
        <v>0</v>
      </c>
      <c r="V36" s="36">
        <f>VLOOKUP($A36,[24]HISTODEC24!$A$6:$AU$38,19,0)</f>
        <v>0</v>
      </c>
      <c r="W36" s="36">
        <f>VLOOKUP($A36,[24]HISTODEC24!$A$6:$AU$38,20,0)</f>
        <v>0</v>
      </c>
      <c r="X36" s="36">
        <f>VLOOKUP($A36,[24]HISTODEC24!$A$6:$AU$38,27,0)</f>
        <v>0</v>
      </c>
      <c r="Y36" s="36">
        <f>VLOOKUP($A36,[24]HISTODEC24!$A$6:$BM$38,33,0)</f>
        <v>0</v>
      </c>
      <c r="Z36" s="36">
        <f>VLOOKUP($A36,[24]HISTODEC24!$A$6:$BM$38,65,0)</f>
        <v>0</v>
      </c>
      <c r="AA36" s="36"/>
      <c r="AB36" s="36">
        <f>VLOOKUP($A36,[24]HISTODEC24!$A$6:$AU$38,43,0)</f>
        <v>0</v>
      </c>
      <c r="AC36" s="36">
        <f>VLOOKUP($A36,[24]HISTODEC24!$A$6:$AU$38,44,0)</f>
        <v>0</v>
      </c>
      <c r="AD36" s="36">
        <f>VLOOKUP($A36,[24]HISTODEC24!$A$6:$AU$38,47,0)</f>
        <v>0</v>
      </c>
      <c r="AE36" s="36">
        <f>VLOOKUP(A36,[24]HISTODEC24!$A$6:$BB$38,54,0)</f>
        <v>0</v>
      </c>
      <c r="AF36" s="36">
        <f>VLOOKUP($A36,[24]HISTODEC24!$A$6:$CA$38,60,0)</f>
        <v>0</v>
      </c>
      <c r="AG36" s="36">
        <f>VLOOKUP($A36,[24]HISTODEC24!$A$6:$CA$38,61,0)</f>
        <v>0</v>
      </c>
      <c r="AH36" s="36">
        <f>VLOOKUP($A36,[24]HISTODEC24!$A$6:$CA$38,62,0)</f>
        <v>0</v>
      </c>
      <c r="AI36" s="36">
        <f>VLOOKUP($A36,[24]HISTODEC24!$A$6:$CA$38,63,0)</f>
        <v>0</v>
      </c>
      <c r="AJ36" s="36">
        <f>VLOOKUP($A36,[24]HISTODEC24!$A$6:$CA$38,64,0)</f>
        <v>0</v>
      </c>
      <c r="AK36" s="36">
        <f>VLOOKUP($A36,[24]HISTODEC24!$A$6:$CA$38,65,0)</f>
        <v>0</v>
      </c>
    </row>
    <row r="37" spans="1:37" x14ac:dyDescent="0.2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VLOOKUP($A37,[24]HISTOJANV24!$A$6:$BA$38,48,0)</f>
        <v>0</v>
      </c>
      <c r="F37" s="36">
        <f>MVTNOV24!I37-E37+L37</f>
        <v>2046400.7147676253</v>
      </c>
      <c r="G37" s="5">
        <f>IF(MVTNOV24!I37+L37&gt;700000,(MVTNOV24!I37-E37+L37),0)</f>
        <v>2046400.7147676253</v>
      </c>
      <c r="H37" s="36">
        <f t="shared" si="0"/>
        <v>0</v>
      </c>
      <c r="I37" s="6">
        <f t="shared" si="2"/>
        <v>2046400.7147676253</v>
      </c>
      <c r="J37" s="36">
        <f>VLOOKUP($A37,[24]HISTODEC24!$A$6:$AQ$42,22,0)</f>
        <v>0</v>
      </c>
      <c r="K37" s="36">
        <f>VLOOKUP($A37,[24]HISTODEC24!$A$6:$AU$38,45,0)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VLOOKUP($A37,[24]HISTODEC24!$A$6:$AU$38,7,0)</f>
        <v>3000</v>
      </c>
      <c r="Q37" s="36">
        <f>VLOOKUP($A37,[24]HISTODEC24!$A$6:$AU$38,23,0)</f>
        <v>0</v>
      </c>
      <c r="R37" s="36">
        <f>VLOOKUP($A37,[24]HISTODEC24!$A$6:$AU$38,46,0)</f>
        <v>0</v>
      </c>
      <c r="S37" s="36">
        <f>VLOOKUP($A37,[24]HISTODEC24!$A$6:$AU$38,26,0)</f>
        <v>0</v>
      </c>
      <c r="T37" s="36">
        <f>VLOOKUP($A37,[24]HISTODEC24!$A$6:$BG$38,58,0)</f>
        <v>0</v>
      </c>
      <c r="U37" s="36">
        <f>VLOOKUP($A37,[24]HISTODEC24!$A$6:$AU$38,28,0)</f>
        <v>0</v>
      </c>
      <c r="V37" s="36">
        <f>VLOOKUP($A37,[24]HISTODEC24!$A$6:$AU$38,19,0)</f>
        <v>0</v>
      </c>
      <c r="W37" s="36">
        <f>VLOOKUP($A37,[24]HISTODEC24!$A$6:$AU$38,20,0)</f>
        <v>0</v>
      </c>
      <c r="X37" s="36">
        <f>VLOOKUP($A37,[24]HISTODEC24!$A$6:$AU$38,27,0)</f>
        <v>0</v>
      </c>
      <c r="Y37" s="36">
        <f>VLOOKUP($A37,[24]HISTODEC24!$A$6:$BM$38,33,0)</f>
        <v>0</v>
      </c>
      <c r="Z37" s="36">
        <f>VLOOKUP($A37,[24]HISTODEC24!$A$6:$BM$38,65,0)</f>
        <v>0</v>
      </c>
      <c r="AA37" s="36"/>
      <c r="AB37" s="36">
        <f>VLOOKUP($A37,[24]HISTODEC24!$A$6:$AU$38,43,0)</f>
        <v>0</v>
      </c>
      <c r="AC37" s="36">
        <f>VLOOKUP($A37,[24]HISTODEC24!$A$6:$AU$38,44,0)</f>
        <v>0</v>
      </c>
      <c r="AD37" s="36">
        <f>VLOOKUP($A37,[24]HISTODEC24!$A$6:$AU$38,47,0)</f>
        <v>0</v>
      </c>
      <c r="AE37" s="36">
        <f>VLOOKUP(A37,[24]HISTODEC24!$A$6:$BB$38,54,0)</f>
        <v>0</v>
      </c>
      <c r="AF37" s="36">
        <f>VLOOKUP($A37,[24]HISTODEC24!$A$6:$CA$38,60,0)</f>
        <v>0</v>
      </c>
      <c r="AG37" s="36">
        <f>VLOOKUP($A37,[24]HISTODEC24!$A$6:$CA$38,61,0)</f>
        <v>0</v>
      </c>
      <c r="AH37" s="36">
        <f>VLOOKUP($A37,[24]HISTODEC24!$A$6:$CA$38,62,0)</f>
        <v>0</v>
      </c>
      <c r="AI37" s="36">
        <f>VLOOKUP($A37,[24]HISTODEC24!$A$6:$CA$38,63,0)</f>
        <v>0</v>
      </c>
      <c r="AJ37" s="36">
        <f>VLOOKUP($A37,[24]HISTODEC24!$A$6:$CA$38,64,0)</f>
        <v>0</v>
      </c>
      <c r="AK37" s="36">
        <f>VLOOKUP($A37,[24]HISTODEC24!$A$6:$CA$38,65,0)</f>
        <v>0</v>
      </c>
    </row>
    <row r="38" spans="1:37" x14ac:dyDescent="0.25">
      <c r="A38" s="1" t="s">
        <v>329</v>
      </c>
      <c r="B38" s="1" t="str">
        <f>VLOOKUP(A38,[19]LISTADHERENT!A$5:H$60,3,0)</f>
        <v>YIALA ALAIN OSCAR</v>
      </c>
      <c r="C38" s="36"/>
      <c r="D38" s="36"/>
      <c r="E38" s="36">
        <f>VLOOKUP($A38,[24]HISTOJANV24!$A$6:$BA$38,48,0)</f>
        <v>0</v>
      </c>
      <c r="F38" s="36">
        <f>MVTNOV24!I38-E38+L38</f>
        <v>228000</v>
      </c>
      <c r="G38" s="5">
        <f>IF(MVTNOV24!I38+L38&gt;700000,(MVTNOV24!I38-E38+L38),0)</f>
        <v>0</v>
      </c>
      <c r="H38" s="36">
        <f t="shared" si="0"/>
        <v>0</v>
      </c>
      <c r="I38" s="6">
        <f t="shared" si="2"/>
        <v>228000</v>
      </c>
      <c r="J38" s="36">
        <f>VLOOKUP($A38,[24]HISTODEC24!$A$6:$AQ$42,22,0)</f>
        <v>0</v>
      </c>
      <c r="K38" s="36">
        <f>VLOOKUP($A38,[24]HISTODEC24!$A$6:$AU$38,45,0)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VLOOKUP($A38,[24]HISTODEC24!$A$6:$AU$38,7,0)</f>
        <v>0</v>
      </c>
      <c r="Q38" s="36">
        <f>VLOOKUP($A38,[24]HISTODEC24!$A$6:$AU$38,23,0)</f>
        <v>0</v>
      </c>
      <c r="R38" s="36">
        <f>VLOOKUP($A38,[24]HISTODEC24!$A$6:$AU$38,46,0)</f>
        <v>0</v>
      </c>
      <c r="S38" s="36">
        <f>VLOOKUP($A38,[24]HISTODEC24!$A$6:$AU$38,26,0)</f>
        <v>0</v>
      </c>
      <c r="T38" s="36">
        <f>VLOOKUP($A38,[24]HISTODEC24!$A$6:$BG$38,58,0)</f>
        <v>0</v>
      </c>
      <c r="U38" s="36">
        <f>VLOOKUP($A38,[24]HISTODEC24!$A$6:$AU$38,28,0)</f>
        <v>0</v>
      </c>
      <c r="V38" s="36">
        <f>VLOOKUP($A38,[24]HISTODEC24!$A$6:$AU$38,19,0)</f>
        <v>0</v>
      </c>
      <c r="W38" s="36">
        <f>VLOOKUP($A38,[24]HISTODEC24!$A$6:$AU$38,20,0)</f>
        <v>0</v>
      </c>
      <c r="X38" s="36">
        <f>VLOOKUP($A38,[24]HISTODEC24!$A$6:$AU$38,27,0)</f>
        <v>0</v>
      </c>
      <c r="Y38" s="36">
        <f>VLOOKUP($A38,[24]HISTODEC24!$A$6:$BM$38,33,0)</f>
        <v>0</v>
      </c>
      <c r="Z38" s="36">
        <f>VLOOKUP($A38,[24]HISTODEC24!$A$6:$BM$38,65,0)</f>
        <v>0</v>
      </c>
      <c r="AA38" s="36"/>
      <c r="AB38" s="36">
        <f>VLOOKUP($A38,[24]HISTODEC24!$A$6:$AU$38,43,0)</f>
        <v>0</v>
      </c>
      <c r="AC38" s="36">
        <f>VLOOKUP($A38,[24]HISTODEC24!$A$6:$AU$38,44,0)</f>
        <v>0</v>
      </c>
      <c r="AD38" s="36">
        <f>VLOOKUP($A38,[24]HISTODEC24!$A$6:$AU$38,47,0)</f>
        <v>0</v>
      </c>
      <c r="AE38" s="36">
        <f>VLOOKUP(A38,[24]HISTODEC24!$A$6:$BB$38,54,0)</f>
        <v>0</v>
      </c>
      <c r="AF38" s="36">
        <f>VLOOKUP($A38,[24]HISTODEC24!$A$6:$CA$38,60,0)</f>
        <v>0</v>
      </c>
      <c r="AG38" s="36">
        <f>VLOOKUP($A38,[24]HISTODEC24!$A$6:$CA$38,61,0)</f>
        <v>0</v>
      </c>
      <c r="AH38" s="36">
        <f>VLOOKUP($A38,[24]HISTODEC24!$A$6:$CA$38,62,0)</f>
        <v>0</v>
      </c>
      <c r="AI38" s="36">
        <f>VLOOKUP($A38,[24]HISTODEC24!$A$6:$CA$38,63,0)</f>
        <v>0</v>
      </c>
      <c r="AJ38" s="36">
        <f>VLOOKUP($A38,[24]HISTODEC24!$A$6:$CA$38,64,0)</f>
        <v>0</v>
      </c>
      <c r="AK38" s="36">
        <f>VLOOKUP($A38,[24]HISTODEC24!$A$6:$CA$38,65,0)</f>
        <v>0</v>
      </c>
    </row>
    <row r="39" spans="1:37" x14ac:dyDescent="0.2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VLOOKUP($A39,[24]HISTOJANV24!$A$6:$BA$38,48,0)</f>
        <v>0</v>
      </c>
      <c r="F39" s="36">
        <f>MVTNOV24!I39-E39+L39</f>
        <v>2211313.2142100567</v>
      </c>
      <c r="G39" s="5">
        <f>IF(MVTNOV24!I39+L39&gt;700000,(MVTNOV24!I39-E39+L39),0)</f>
        <v>2211313.2142100567</v>
      </c>
      <c r="H39" s="36">
        <f t="shared" si="0"/>
        <v>0</v>
      </c>
      <c r="I39" s="6">
        <f t="shared" si="2"/>
        <v>2211313.2142100567</v>
      </c>
      <c r="J39" s="36">
        <f>VLOOKUP($A39,[24]HISTODEC24!$A$6:$AQ$42,22,0)</f>
        <v>0</v>
      </c>
      <c r="K39" s="36">
        <f>VLOOKUP($A39,[24]HISTODEC24!$A$6:$AU$38,45,0)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VLOOKUP($A39,[24]HISTODEC24!$A$6:$AU$38,7,0)</f>
        <v>0</v>
      </c>
      <c r="Q39" s="36">
        <f>VLOOKUP($A39,[24]HISTODEC24!$A$6:$AU$38,23,0)</f>
        <v>0</v>
      </c>
      <c r="R39" s="36">
        <f>VLOOKUP($A39,[24]HISTODEC24!$A$6:$AU$38,46,0)</f>
        <v>0</v>
      </c>
      <c r="S39" s="36">
        <f>VLOOKUP($A39,[24]HISTODEC24!$A$6:$AU$38,26,0)</f>
        <v>0</v>
      </c>
      <c r="T39" s="36">
        <f>VLOOKUP($A39,[24]HISTODEC24!$A$6:$BG$38,58,0)</f>
        <v>0</v>
      </c>
      <c r="U39" s="36">
        <f>VLOOKUP($A39,[24]HISTODEC24!$A$6:$AU$38,28,0)</f>
        <v>0</v>
      </c>
      <c r="V39" s="36">
        <f>VLOOKUP($A39,[24]HISTODEC24!$A$6:$AU$38,19,0)</f>
        <v>0</v>
      </c>
      <c r="W39" s="36">
        <f>VLOOKUP($A39,[24]HISTODEC24!$A$6:$AU$38,20,0)</f>
        <v>0</v>
      </c>
      <c r="X39" s="36">
        <f>VLOOKUP($A39,[24]HISTODEC24!$A$6:$AU$38,27,0)</f>
        <v>0</v>
      </c>
      <c r="Y39" s="36">
        <f>VLOOKUP($A39,[24]HISTODEC24!$A$6:$BM$38,33,0)</f>
        <v>0</v>
      </c>
      <c r="Z39" s="36">
        <f>VLOOKUP($A39,[24]HISTODEC24!$A$6:$BM$38,65,0)</f>
        <v>0</v>
      </c>
      <c r="AA39" s="36"/>
      <c r="AB39" s="36">
        <f>VLOOKUP($A39,[24]HISTODEC24!$A$6:$AU$38,43,0)</f>
        <v>0</v>
      </c>
      <c r="AC39" s="36">
        <f>VLOOKUP($A39,[24]HISTODEC24!$A$6:$AU$38,44,0)</f>
        <v>0</v>
      </c>
      <c r="AD39" s="36">
        <f>VLOOKUP($A39,[24]HISTODEC24!$A$6:$AU$38,47,0)</f>
        <v>0</v>
      </c>
      <c r="AE39" s="36">
        <f>VLOOKUP(A39,[24]HISTODEC24!$A$6:$BB$38,54,0)</f>
        <v>0</v>
      </c>
      <c r="AF39" s="36">
        <f>VLOOKUP($A39,[24]HISTODEC24!$A$6:$CA$38,60,0)</f>
        <v>0</v>
      </c>
      <c r="AG39" s="36">
        <f>VLOOKUP($A39,[24]HISTODEC24!$A$6:$CA$38,61,0)</f>
        <v>0</v>
      </c>
      <c r="AH39" s="36">
        <f>VLOOKUP($A39,[24]HISTODEC24!$A$6:$CA$38,62,0)</f>
        <v>0</v>
      </c>
      <c r="AI39" s="36">
        <f>VLOOKUP($A39,[24]HISTODEC24!$A$6:$CA$38,63,0)</f>
        <v>0</v>
      </c>
      <c r="AJ39" s="36">
        <f>VLOOKUP($A39,[24]HISTODEC24!$A$6:$CA$38,64,0)</f>
        <v>0</v>
      </c>
      <c r="AK39" s="36">
        <f>VLOOKUP($A39,[24]HISTODEC24!$A$6:$CA$38,65,0)</f>
        <v>0</v>
      </c>
    </row>
    <row r="40" spans="1:37" x14ac:dyDescent="0.25">
      <c r="A40" s="1"/>
      <c r="B40" s="1"/>
      <c r="C40" s="1"/>
      <c r="D40" s="1"/>
      <c r="E40" s="1"/>
      <c r="F40" s="1"/>
      <c r="G40" s="1"/>
      <c r="H40" s="36"/>
      <c r="I40" s="1"/>
    </row>
    <row r="41" spans="1:37" ht="18" x14ac:dyDescent="0.25">
      <c r="A41" s="1" t="s">
        <v>57</v>
      </c>
      <c r="B41" s="1"/>
      <c r="C41" s="9">
        <f t="shared" ref="C41:AK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34184656.655274987</v>
      </c>
      <c r="G41" s="9">
        <f t="shared" si="10"/>
        <v>32091439.524547949</v>
      </c>
      <c r="H41" s="36">
        <f t="shared" si="10"/>
        <v>0</v>
      </c>
      <c r="I41" s="9">
        <f t="shared" si="10"/>
        <v>34184656.655274987</v>
      </c>
      <c r="J41" s="9">
        <f t="shared" si="10"/>
        <v>0</v>
      </c>
      <c r="K41" s="9">
        <f t="shared" si="10"/>
        <v>800000</v>
      </c>
      <c r="L41" s="9">
        <f t="shared" si="10"/>
        <v>608000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0</v>
      </c>
      <c r="AG41" s="9">
        <f t="shared" si="10"/>
        <v>0</v>
      </c>
      <c r="AH41" s="9">
        <f t="shared" si="10"/>
        <v>0</v>
      </c>
      <c r="AI41" s="9">
        <f t="shared" si="10"/>
        <v>0</v>
      </c>
      <c r="AJ41" s="9">
        <f t="shared" si="10"/>
        <v>0</v>
      </c>
      <c r="AK41" s="9">
        <f t="shared" si="10"/>
        <v>0</v>
      </c>
    </row>
    <row r="44" spans="1:37" x14ac:dyDescent="0.25">
      <c r="G44" s="2"/>
    </row>
  </sheetData>
  <autoFilter ref="A5:V39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6" topLeftCell="AD7" activePane="bottomRight" state="frozen"/>
      <selection activeCell="B43" sqref="B43"/>
      <selection pane="topRight" activeCell="B43" sqref="B43"/>
      <selection pane="bottomLeft" activeCell="B43" sqref="B43"/>
      <selection pane="bottomRight" activeCell="AE1" sqref="AE1:AE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3" max="23" width="16.85546875" bestFit="1" customWidth="1"/>
    <col min="26" max="26" width="12.42578125" bestFit="1" customWidth="1"/>
    <col min="31" max="32" width="12.42578125" bestFit="1" customWidth="1"/>
    <col min="35" max="36" width="12.42578125" bestFit="1" customWidth="1"/>
    <col min="37" max="37" width="17.5703125" customWidth="1"/>
    <col min="38" max="38" width="12.42578125" style="2" bestFit="1" customWidth="1"/>
    <col min="39" max="39" width="17.140625" customWidth="1"/>
    <col min="40" max="40" width="12.42578125" bestFit="1" customWidth="1"/>
    <col min="42" max="42" width="18" customWidth="1"/>
  </cols>
  <sheetData>
    <row r="1" spans="1:42" ht="26.25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45"/>
    </row>
    <row r="2" spans="1:42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59"/>
    </row>
    <row r="3" spans="1:42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/>
    </row>
    <row r="4" spans="1:42" ht="26.25" x14ac:dyDescent="0.4">
      <c r="C4" s="16"/>
      <c r="D4" s="16"/>
      <c r="E4" s="16"/>
      <c r="F4" s="16"/>
      <c r="G4" s="16"/>
      <c r="H4" s="16"/>
      <c r="I4" s="156"/>
      <c r="J4" s="160" t="s">
        <v>321</v>
      </c>
      <c r="K4" s="160"/>
      <c r="L4" s="160"/>
      <c r="M4" s="160"/>
      <c r="N4" s="160"/>
      <c r="O4" s="160"/>
      <c r="P4"/>
      <c r="Q4"/>
      <c r="R4"/>
      <c r="AJ4" s="104"/>
    </row>
    <row r="5" spans="1:42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>
        <v>30</v>
      </c>
      <c r="AE5">
        <v>31</v>
      </c>
      <c r="AF5">
        <v>32</v>
      </c>
      <c r="AG5">
        <v>33</v>
      </c>
      <c r="AH5">
        <v>34</v>
      </c>
      <c r="AI5">
        <v>35</v>
      </c>
      <c r="AJ5">
        <v>36</v>
      </c>
      <c r="AK5">
        <v>37</v>
      </c>
      <c r="AL5">
        <v>38</v>
      </c>
      <c r="AM5">
        <v>39</v>
      </c>
      <c r="AN5">
        <v>40</v>
      </c>
      <c r="AO5">
        <v>41</v>
      </c>
      <c r="AP5">
        <v>42</v>
      </c>
    </row>
    <row r="6" spans="1:42" ht="57.75" x14ac:dyDescent="0.25">
      <c r="A6" s="1" t="s">
        <v>4</v>
      </c>
      <c r="B6" s="1" t="s">
        <v>5</v>
      </c>
      <c r="C6" s="4" t="s">
        <v>212</v>
      </c>
      <c r="D6" s="4" t="s">
        <v>325</v>
      </c>
      <c r="E6" s="4" t="s">
        <v>213</v>
      </c>
      <c r="F6" s="4" t="s">
        <v>214</v>
      </c>
      <c r="G6" s="4" t="s">
        <v>333</v>
      </c>
      <c r="H6" s="158" t="s">
        <v>331</v>
      </c>
      <c r="I6" s="4" t="s">
        <v>7</v>
      </c>
      <c r="J6" s="1" t="s">
        <v>8</v>
      </c>
      <c r="K6" s="4" t="s">
        <v>60</v>
      </c>
      <c r="L6" s="1" t="s">
        <v>9</v>
      </c>
      <c r="M6" s="4" t="s">
        <v>10</v>
      </c>
      <c r="N6" s="4" t="s">
        <v>11</v>
      </c>
      <c r="O6" s="4" t="s">
        <v>12</v>
      </c>
      <c r="P6" s="4" t="s">
        <v>72</v>
      </c>
      <c r="Q6" s="4" t="s">
        <v>73</v>
      </c>
      <c r="R6" s="4" t="s">
        <v>13</v>
      </c>
      <c r="S6" s="4" t="s">
        <v>61</v>
      </c>
      <c r="T6" s="4" t="s">
        <v>332</v>
      </c>
      <c r="U6" s="4" t="s">
        <v>83</v>
      </c>
      <c r="V6" s="4" t="s">
        <v>64</v>
      </c>
      <c r="W6" s="4" t="s">
        <v>334</v>
      </c>
      <c r="X6" s="4" t="s">
        <v>209</v>
      </c>
      <c r="Y6" s="4" t="s">
        <v>83</v>
      </c>
      <c r="Z6" s="4" t="s">
        <v>65</v>
      </c>
      <c r="AA6" s="4" t="s">
        <v>14</v>
      </c>
      <c r="AB6" s="4" t="s">
        <v>210</v>
      </c>
      <c r="AC6" s="4" t="s">
        <v>211</v>
      </c>
      <c r="AD6" s="83" t="s">
        <v>216</v>
      </c>
      <c r="AE6" s="4" t="s">
        <v>254</v>
      </c>
      <c r="AF6" s="83" t="s">
        <v>10</v>
      </c>
      <c r="AG6" s="83" t="s">
        <v>11</v>
      </c>
      <c r="AH6" s="83" t="s">
        <v>303</v>
      </c>
      <c r="AI6" s="83" t="s">
        <v>269</v>
      </c>
      <c r="AJ6" s="4" t="s">
        <v>65</v>
      </c>
      <c r="AK6" s="83" t="s">
        <v>274</v>
      </c>
      <c r="AL6" s="83" t="s">
        <v>322</v>
      </c>
      <c r="AM6" s="83" t="s">
        <v>335</v>
      </c>
      <c r="AN6" s="83" t="s">
        <v>323</v>
      </c>
      <c r="AO6" s="83" t="s">
        <v>210</v>
      </c>
      <c r="AP6" s="83" t="s">
        <v>326</v>
      </c>
    </row>
    <row r="7" spans="1:42" ht="15.75" x14ac:dyDescent="0.25">
      <c r="A7" s="1" t="s">
        <v>16</v>
      </c>
      <c r="B7" s="1" t="str">
        <f>VLOOKUP(A7,[19]LISTADHERENT!A$5:H$60,3,0)</f>
        <v>ASELBY</v>
      </c>
      <c r="C7" s="36">
        <f>+MVTDEC23!C6</f>
        <v>0</v>
      </c>
      <c r="D7" s="36">
        <f>+MVTDEC23!D6</f>
        <v>886523.25892224163</v>
      </c>
      <c r="E7" s="36">
        <f>VLOOKUP($A7,[24]HISTODEC24!$A$6:$BA$38,48,0)</f>
        <v>0</v>
      </c>
      <c r="F7" s="36">
        <f>MVTDEC24!F6</f>
        <v>946220.58968855068</v>
      </c>
      <c r="G7" s="5">
        <f>MVTDEC24!G6</f>
        <v>946220.58968855068</v>
      </c>
      <c r="H7" s="36">
        <f>MVTDEC23!H6+MVTJANV24!H6+MVTFEV24!H6+MVTMARS24!H6+MVTAVRIL24!H6+MVTMAI24!H6+MVTJUIN24!H6+MVTJUIL24!H6+MVTAOUT24!H6+MVTSEPT24!H6+MVTOCT24!H6+MVTNOV24!H6+MVTDEC24!H6</f>
        <v>59697.330766308987</v>
      </c>
      <c r="I7" s="6">
        <f>F7+H7</f>
        <v>1005917.9204548596</v>
      </c>
      <c r="J7" s="36">
        <f>MVTJANV24!J6+MVTFEV24!J6+MVTMARS24!J6+MVTAVRIL24!J6+MVTMAI24!J6+MVTJUIN24!J6+MVTJUIL24!J6+MVTAOUT24!J6+MVTSEPT24!J6+MVTOCT24!J6+MVTNOV24!J6+MVTDEC24!J6</f>
        <v>0</v>
      </c>
      <c r="K7" s="36">
        <f>MVTJANV24!K6+MVTFEV24!K6+MVTMARS24!K6+MVTAVRIL24!K6+MVTMAI24!K6+MVTJUIN24!K6+MVTJUIL24!K6+MVTAOUT24!K6+MVTSEPT24!K6+MVTOCT24!K6+MVTNOV24!K6+MVTDEC24!K6</f>
        <v>0</v>
      </c>
      <c r="L7" s="36">
        <f>MVTJANV24!L6+MVTFEV24!L6+MVTMARS24!L6+MVTAVRIL24!L6+MVTMAI24!L6+MVTJUIN24!L6+MVTJUIL24!L6+MVTAOUT24!L6+MVTSEPT24!L6+MVTOCT24!L6+MVTNOV24!L6+MVTDEC24!L6</f>
        <v>0</v>
      </c>
      <c r="M7" s="36">
        <f>MVTJANV24!M6+MVTFEV24!M6+MVTMARS24!M6+MVTAVRIL24!M6+MVTMAI24!M6+MVTJUIN24!M6+MVTJUIL24!M6+MVTAOUT24!M6+MVTSEPT24!M6+MVTOCT24!M6+MVTNOV24!M6+MVTDEC24!M6</f>
        <v>0</v>
      </c>
      <c r="N7" s="36">
        <f>MVTJANV24!N6+MVTFEV24!N6+MVTMARS24!N6+MVTAVRIL24!N6+MVTMAI24!N6+MVTJUIN24!N6+MVTJUIL24!N6+MVTAOUT24!N6+MVTSEPT24!N6+MVTOCT24!N6+MVTNOV24!N6+MVTDEC24!N6</f>
        <v>0</v>
      </c>
      <c r="O7" s="36">
        <f>MVTJANV24!O6+MVTFEV24!O6+MVTMARS24!O6+MVTAVRIL24!O6+MVTMAI24!O6+MVTJUIN24!O6+MVTJUIL24!O6+MVTAOUT24!O6+MVTSEPT24!O6+MVTOCT24!O6+MVTNOV24!O6+MVTDEC24!O6</f>
        <v>0</v>
      </c>
      <c r="P7" s="36">
        <f>MVTJANV24!P6+MVTFEV24!P6+MVTMARS24!P6+MVTAVRIL24!P6+MVTMAI24!P6+MVTJUIN24!P6+MVTJUIL24!P6+MVTAOUT24!P6+MVTSEPT24!P6+MVTOCT24!P6+MVTNOV24!P6+MVTDEC24!P6</f>
        <v>0</v>
      </c>
      <c r="Q7" s="36">
        <f>MVTJANV24!Q6+MVTFEV24!Q6+MVTMARS24!Q6+MVTAVRIL24!Q6+MVTMAI24!Q6+MVTJUIN24!Q6+MVTJUIL24!Q6+MVTAOUT24!Q6+MVTSEPT24!Q6+MVTOCT24!Q6+MVTNOV24!Q6+MVTDEC24!Q6</f>
        <v>0</v>
      </c>
      <c r="R7" s="36">
        <f>MVTJANV24!R6+MVTFEV24!R6+MVTMARS24!R6+MVTAVRIL24!R6+MVTMAI24!R6+MVTJUIN24!R6+MVTJUIL24!R6+MVTAOUT24!R6+MVTSEPT24!R6+MVTOCT24!R6+MVTNOV24!R6+MVTDEC24!R6</f>
        <v>0</v>
      </c>
      <c r="S7" s="36">
        <f>MVTDEC23!S6+MVTJANV24!S6+MVTFEV24!S6+MVTMARS24!S6+MVTAVRIL24!S6+MVTMAI24!S6+MVTJUIN24!S6+MVTJUIL24!S6+MVTAOUT24!S6+MVTSEPT24!S6+MVTOCT24!S6+MVTNOV24!S6+MVTDEC24!S6</f>
        <v>0</v>
      </c>
      <c r="T7" s="36">
        <f>MVTDEC23!T6+MVTJANV24!T6+MVTFEV24!T6+MVTMARS24!T6+MVTAVRIL24!T6+MVTMAI24!T6+MVTJUIN24!T6+MVTJUIL24!T6+MVTAOUT24!T6+MVTSEPT24!T6+MVTOCT24!T6+MVTNOV24!T6+MVTDEC24!T6</f>
        <v>0</v>
      </c>
      <c r="U7" s="36"/>
      <c r="V7" s="36">
        <f>MVTJANV24!V6+MVTFEV24!V6+MVTMARS24!V6+MVTAVRIL24!V6+MVTMAI24!V6+MVTJUIN24!V6+MVTJUIL24!V6+MVTAOUT24!V6+MVTSEPT24!V6+MVTOCT24!V6+MVTNOV24!V6+MVTDEC24!V6</f>
        <v>0</v>
      </c>
      <c r="W7" s="36">
        <f>S7-V7</f>
        <v>0</v>
      </c>
      <c r="X7" s="36"/>
      <c r="Y7" s="36"/>
      <c r="Z7" s="36">
        <f>MVTJANV24!Z6+MVTFEV24!Z6+MVTMARS24!Z6+MVTAVRIL24!Z6+MVTMAI24!Z6+MVTJUIN24!Z6+MVTJUIL24!Z6+MVTAOUT24!Z6+MVTSEPT24!Z6+MVTOCT24!Z6+MVTNOV24!Z6+MVTDEC24!Z6</f>
        <v>0</v>
      </c>
      <c r="AA7" s="36">
        <f>MVTJANV24!AA6+MVTFEV24!AA6+MVTMARS24!AA6+MVTAVRIL24!AA6+MVTMAI24!AA6+MVTJUIN24!AA6+MVTJUIL24!AA6+MVTAOUT24!AA6+MVTSEPT24!AA6+MVTOCT24!AA6+MVTNOV24!AA6+MVTDEC24!AA6</f>
        <v>0</v>
      </c>
      <c r="AB7" s="36">
        <f>MVTJANV24!AB6+MVTFEV24!AB6+MVTMARS24!AB6+MVTAVRIL24!AB6+MVTMAI24!AB6+MVTJUIN24!AB6+MVTJUIL24!AB6+MVTAOUT24!AB6+MVTSEPT24!AB6+MVTOCT24!AB6+MVTNOV24!AB6+MVTDEC24!AB6</f>
        <v>0</v>
      </c>
      <c r="AC7" s="36">
        <f>MVTJANV24!AC6+MVTFEV24!AC6+MVTMARS24!AC6+MVTAVRIL24!AC6+MVTMAI24!AC6+MVTJUIN24!AC6+MVTJUIL24!AC6+MVTAOUT24!AC6+MVTSEPT24!AC6+MVTOCT24!AC6+MVTNOV24!AC6+MVTDEC24!AC6</f>
        <v>0</v>
      </c>
      <c r="AD7" s="36">
        <f>MVTJANV24!AD6+MVTFEV24!AD6+MVTMARS24!AD6+MVTAVRIL24!AD6+MVTMAI24!AD6+MVTJUIN24!AD6+MVTJUIL24!AD6+MVTAOUT24!AD6+MVTSEPT24!AD6+MVTOCT24!AD6+MVTNOV24!AD6+MVTDEC24!AD6</f>
        <v>0</v>
      </c>
      <c r="AE7" s="36">
        <f>MVTJANV24!AE6+MVTFEV24!AE6+MVTMARS24!AE6+MVTAVRIL24!AE6+MVTMAI24!AE6+MVTJUIN24!AE6+MVTJUIL24!AE6+MVTAOUT24!AE6+MVTSEPT24!AE6+MVTOCT24!AE6+MVTNOV24!AE6+MVTDEC24!AE6</f>
        <v>0</v>
      </c>
      <c r="AF7" s="36">
        <f>MVTJANV24!AF6+MVTFEV24!AF6+MVTMARS24!AF6+MVTAVRIL24!AF6+MVTMAI24!AF6+MVTJUIN24!AF6+MVTJUIL24!AF6+MVTAOUT24!AF6+MVTSEPT24!AF6+MVTOCT24!AF6+MVTNOV24!AF6+MVTDEC24!AF6</f>
        <v>102000</v>
      </c>
      <c r="AG7" s="36">
        <f>MVTJANV24!AG6+MVTFEV24!AG6+MVTMARS24!AG6+MVTAVRIL24!AG6+MVTMAI24!AG6+MVTJUIN24!AG6+MVTJUIL24!AG6+MVTAOUT24!AG6+MVTSEPT24!AG6+MVTOCT24!AG6+MVTNOV24!AG6+MVTDEC24!AG6</f>
        <v>500000</v>
      </c>
      <c r="AH7" s="36">
        <f>MVTJANV24!AH6+MVTFEV24!AH6+MVTMARS24!AH6+MVTAVRIL24!AH6+MVTMAI24!AH6+MVTJUIN24!AH6+MVTJUIL24!AH6+MVTAOUT24!AH6+MVTSEPT24!AH6+MVTOCT24!AH6+MVTNOV24!AH6+MVTDEC24!AH6</f>
        <v>200000</v>
      </c>
      <c r="AI7" s="36">
        <f>MVTJANV24!AI6+MVTFEV24!AI6+MVTMARS24!AI6+MVTAVRIL24!AI6+MVTMAI24!AI6+MVTJUIN24!AI6+MVTJUIL24!AI6+MVTAOUT24!AI6+MVTSEPT24!AI6+MVTOCT24!AI6+MVTNOV24!AI6+MVTDEC24!AI6</f>
        <v>300000</v>
      </c>
      <c r="AJ7" s="36">
        <f>MVTJANV24!AJ6+MVTFEV24!AJ6+MVTMARS24!AJ6+MVTAVRIL24!AJ6+MVTMAI24!AJ6+MVTJUIN24!AJ6+MVTJUIL24!AJ6+MVTAOUT24!AJ6+MVTSEPT24!AJ6+MVTOCT24!AJ6+MVTNOV24!AJ6+MVTDEC24!AJ6</f>
        <v>0</v>
      </c>
      <c r="AK7" s="36">
        <f>MVTJANV24!AK6+MVTFEV24!AK6+MVTMARS24!AK6+MVTAVRIL24!AK6+MVTMAI24!AK6+MVTJUIN24!AK6+MVTJUIL24!AK6+MVTAOUT24!AK6+MVTSEPT24!AK6+MVTOCT24!AK6+MVTNOV24!AK6+MVTDEC24!AK6</f>
        <v>0</v>
      </c>
      <c r="AL7" s="143"/>
      <c r="AM7" s="144">
        <f>T7</f>
        <v>0</v>
      </c>
      <c r="AP7" s="36"/>
    </row>
    <row r="8" spans="1:42" ht="15.75" x14ac:dyDescent="0.25">
      <c r="A8" s="1" t="s">
        <v>17</v>
      </c>
      <c r="B8" s="1" t="str">
        <f>VLOOKUP(A8,[19]LISTADHERENT!A$5:H$60,3,0)</f>
        <v>BAKOP ACHILLE</v>
      </c>
      <c r="C8" s="36">
        <f>+MVTDEC23!C7</f>
        <v>678482.49636100209</v>
      </c>
      <c r="D8" s="36">
        <f>+MVTDEC23!D7</f>
        <v>0</v>
      </c>
      <c r="E8" s="36">
        <f>VLOOKUP($A8,[24]HISTODEC24!$A$6:$BA$38,48,0)</f>
        <v>0</v>
      </c>
      <c r="F8" s="36">
        <f>MVTDEC24!F7</f>
        <v>928791.19348721951</v>
      </c>
      <c r="G8" s="5">
        <f>MVTDEC24!G7</f>
        <v>928791.19348721951</v>
      </c>
      <c r="H8" s="36">
        <f>MVTDEC23!H7+MVTJANV24!H7+MVTFEV24!H7+MVTMARS24!H7+MVTAVRIL24!H7+MVTMAI24!H7+MVTJUIN24!H7+MVTJUIL24!H7+MVTAOUT24!H7+MVTSEPT24!H7+MVTOCT24!H7+MVTNOV24!H7+MVTDEC24!H7</f>
        <v>3308.6971262174293</v>
      </c>
      <c r="I8" s="6">
        <f t="shared" ref="I8:I40" si="0">F8+H8</f>
        <v>932099.89061343693</v>
      </c>
      <c r="J8" s="36">
        <f>MVTJANV24!J7+MVTFEV24!J7+MVTMARS24!J7+MVTAVRIL24!J7+MVTMAI24!J7+MVTJUIN24!J7+MVTJUIL24!J7+MVTAOUT24!J7+MVTSEPT24!J7+MVTOCT24!J7+MVTNOV24!J7+MVTDEC24!J7</f>
        <v>0</v>
      </c>
      <c r="K8" s="36">
        <f>MVTJANV24!K7+MVTFEV24!K7+MVTMARS24!K7+MVTAVRIL24!K7+MVTMAI24!K7+MVTJUIN24!K7+MVTJUIL24!K7+MVTAOUT24!K7+MVTSEPT24!K7+MVTOCT24!K7+MVTNOV24!K7+MVTDEC24!K7</f>
        <v>319000</v>
      </c>
      <c r="L8" s="36">
        <f>MVTJANV24!L7+MVTFEV24!L7+MVTMARS24!L7+MVTAVRIL24!L7+MVTMAI24!L7+MVTJUIN24!L7+MVTJUIL24!L7+MVTAOUT24!L7+MVTSEPT24!L7+MVTOCT24!L7+MVTNOV24!L7+MVTDEC24!L7</f>
        <v>247000</v>
      </c>
      <c r="M8" s="36">
        <f>MVTJANV24!M7+MVTFEV24!M7+MVTMARS24!M7+MVTAVRIL24!M7+MVTMAI24!M7+MVTJUIN24!M7+MVTJUIL24!M7+MVTAOUT24!M7+MVTSEPT24!M7+MVTOCT24!M7+MVTNOV24!M7+MVTDEC24!M7</f>
        <v>12000</v>
      </c>
      <c r="N8" s="36">
        <f>MVTJANV24!N7+MVTFEV24!N7+MVTMARS24!N7+MVTAVRIL24!N7+MVTMAI24!N7+MVTJUIN24!N7+MVTJUIL24!N7+MVTAOUT24!N7+MVTSEPT24!N7+MVTOCT24!N7+MVTNOV24!N7+MVTDEC24!N7</f>
        <v>12000</v>
      </c>
      <c r="O8" s="36">
        <f>MVTJANV24!O7+MVTFEV24!O7+MVTMARS24!O7+MVTAVRIL24!O7+MVTMAI24!O7+MVTJUIN24!O7+MVTJUIL24!O7+MVTAOUT24!O7+MVTSEPT24!O7+MVTOCT24!O7+MVTNOV24!O7+MVTDEC24!O7</f>
        <v>48000</v>
      </c>
      <c r="P8" s="36">
        <f>MVTJANV24!P7+MVTFEV24!P7+MVTMARS24!P7+MVTAVRIL24!P7+MVTMAI24!P7+MVTJUIN24!P7+MVTJUIL24!P7+MVTAOUT24!P7+MVTSEPT24!P7+MVTOCT24!P7+MVTNOV24!P7+MVTDEC24!P7</f>
        <v>27000</v>
      </c>
      <c r="Q8" s="36">
        <f>MVTJANV24!Q7+MVTFEV24!Q7+MVTMARS24!Q7+MVTAVRIL24!Q7+MVTMAI24!Q7+MVTJUIN24!Q7+MVTJUIL24!Q7+MVTAOUT24!Q7+MVTSEPT24!Q7+MVTOCT24!Q7+MVTNOV24!Q7+MVTDEC24!Q7</f>
        <v>0</v>
      </c>
      <c r="R8" s="36">
        <f>MVTJANV24!R7+MVTFEV24!R7+MVTMARS24!R7+MVTAVRIL24!R7+MVTMAI24!R7+MVTJUIN24!R7+MVTJUIL24!R7+MVTAOUT24!R7+MVTSEPT24!R7+MVTOCT24!R7+MVTNOV24!R7+MVTDEC24!R7</f>
        <v>0</v>
      </c>
      <c r="S8" s="36">
        <f>MVTDEC23!S7+MVTJANV24!S7+MVTFEV24!S7+MVTMARS24!S7+MVTAVRIL24!S7+MVTMAI24!S7+MVTJUIN24!S7+MVTJUIL24!S7+MVTAOUT24!S7+MVTSEPT24!S7+MVTOCT24!S7+MVTNOV24!S7+MVTDEC24!S7</f>
        <v>600000</v>
      </c>
      <c r="T8" s="36">
        <f>MVTDEC23!T7+MVTJANV24!T7+MVTFEV24!T7+MVTMARS24!T7+MVTAVRIL24!T7+MVTMAI24!T7+MVTJUIN24!T7+MVTJUIL24!T7+MVTAOUT24!T7+MVTSEPT24!T7+MVTOCT24!T7+MVTNOV24!T7+MVTDEC24!T7</f>
        <v>54000</v>
      </c>
      <c r="U8" s="36"/>
      <c r="V8" s="36">
        <f>MVTJANV24!V7+MVTFEV24!V7+MVTMARS24!V7+MVTAVRIL24!V7+MVTMAI24!V7+MVTJUIN24!V7+MVTJUIL24!V7+MVTAOUT24!V7+MVTSEPT24!V7+MVTOCT24!V7+MVTNOV24!V7+MVTDEC24!V7</f>
        <v>0</v>
      </c>
      <c r="W8" s="36">
        <f t="shared" ref="W8:W41" si="1">S8-V8</f>
        <v>600000</v>
      </c>
      <c r="X8" s="36"/>
      <c r="Y8" s="36"/>
      <c r="Z8" s="36">
        <f>MVTJANV24!Z7+MVTFEV24!Z7+MVTMARS24!Z7+MVTAVRIL24!Z7+MVTMAI24!Z7+MVTJUIN24!Z7+MVTJUIL24!Z7+MVTAOUT24!Z7+MVTSEPT24!Z7+MVTOCT24!Z7+MVTNOV24!Z7+MVTDEC24!Z7</f>
        <v>0</v>
      </c>
      <c r="AA8" s="36">
        <f>MVTJANV24!AA7+MVTFEV24!AA7+MVTMARS24!AA7+MVTAVRIL24!AA7+MVTMAI24!AA7+MVTJUIN24!AA7+MVTJUIL24!AA7+MVTAOUT24!AA7+MVTSEPT24!AA7+MVTOCT24!AA7+MVTNOV24!AA7+MVTDEC24!AA7</f>
        <v>0</v>
      </c>
      <c r="AB8" s="36">
        <f>MVTJANV24!AB7+MVTFEV24!AB7+MVTMARS24!AB7+MVTAVRIL24!AB7+MVTMAI24!AB7+MVTJUIN24!AB7+MVTJUIL24!AB7+MVTAOUT24!AB7+MVTSEPT24!AB7+MVTOCT24!AB7+MVTNOV24!AB7+MVTDEC24!AB7</f>
        <v>0</v>
      </c>
      <c r="AC8" s="36">
        <f>MVTJANV24!AC7+MVTFEV24!AC7+MVTMARS24!AC7+MVTAVRIL24!AC7+MVTMAI24!AC7+MVTJUIN24!AC7+MVTJUIL24!AC7+MVTAOUT24!AC7+MVTSEPT24!AC7+MVTOCT24!AC7+MVTNOV24!AC7+MVTDEC24!AC7</f>
        <v>0</v>
      </c>
      <c r="AD8" s="36">
        <f>MVTJANV24!AD7+MVTFEV24!AD7+MVTMARS24!AD7+MVTAVRIL24!AD7+MVTMAI24!AD7+MVTJUIN24!AD7+MVTJUIL24!AD7+MVTAOUT24!AD7+MVTSEPT24!AD7+MVTOCT24!AD7+MVTNOV24!AD7+MVTDEC24!AD7</f>
        <v>0</v>
      </c>
      <c r="AE8" s="36">
        <f>MVTJANV24!AE7+MVTFEV24!AE7+MVTMARS24!AE7+MVTAVRIL24!AE7+MVTMAI24!AE7+MVTJUIN24!AE7+MVTJUIL24!AE7+MVTAOUT24!AE7+MVTSEPT24!AE7+MVTOCT24!AE7+MVTNOV24!AE7+MVTDEC24!AE7</f>
        <v>0</v>
      </c>
      <c r="AF8" s="36">
        <f>MVTJANV24!AF7+MVTFEV24!AF7+MVTMARS24!AF7+MVTAVRIL24!AF7+MVTMAI24!AF7+MVTJUIN24!AF7+MVTJUIL24!AF7+MVTAOUT24!AF7+MVTSEPT24!AF7+MVTOCT24!AF7+MVTNOV24!AF7+MVTDEC24!AF7</f>
        <v>0</v>
      </c>
      <c r="AG8" s="36">
        <f>MVTJANV24!AG7+MVTFEV24!AG7+MVTMARS24!AG7+MVTAVRIL24!AG7+MVTMAI24!AG7+MVTJUIN24!AG7+MVTJUIL24!AG7+MVTAOUT24!AG7+MVTSEPT24!AG7+MVTOCT24!AG7+MVTNOV24!AG7+MVTDEC24!AG7</f>
        <v>0</v>
      </c>
      <c r="AH8" s="36">
        <f>MVTJANV24!AH7+MVTFEV24!AH7+MVTMARS24!AH7+MVTAVRIL24!AH7+MVTMAI24!AH7+MVTJUIN24!AH7+MVTJUIL24!AH7+MVTAOUT24!AH7+MVTSEPT24!AH7+MVTOCT24!AH7+MVTNOV24!AH7+MVTDEC24!AH7</f>
        <v>0</v>
      </c>
      <c r="AI8" s="36">
        <f>MVTJANV24!AI7+MVTFEV24!AI7+MVTMARS24!AI7+MVTAVRIL24!AI7+MVTMAI24!AI7+MVTJUIN24!AI7+MVTJUIL24!AI7+MVTAOUT24!AI7+MVTSEPT24!AI7+MVTOCT24!AI7+MVTNOV24!AI7+MVTDEC24!AI7</f>
        <v>0</v>
      </c>
      <c r="AJ8" s="36">
        <f>MVTJANV24!AJ7+MVTFEV24!AJ7+MVTMARS24!AJ7+MVTAVRIL24!AJ7+MVTMAI24!AJ7+MVTJUIN24!AJ7+MVTJUIL24!AJ7+MVTAOUT24!AJ7+MVTSEPT24!AJ7+MVTOCT24!AJ7+MVTNOV24!AJ7+MVTDEC24!AJ7</f>
        <v>0</v>
      </c>
      <c r="AK8" s="36">
        <f>MVTJANV24!AK7+MVTFEV24!AK7+MVTMARS24!AK7+MVTAVRIL24!AK7+MVTMAI24!AK7+MVTJUIN24!AK7+MVTJUIL24!AK7+MVTAOUT24!AK7+MVTSEPT24!AK7+MVTOCT24!AK7+MVTNOV24!AK7+MVTDEC24!AK7</f>
        <v>0</v>
      </c>
      <c r="AL8" s="143">
        <v>45474</v>
      </c>
      <c r="AM8" s="144">
        <f t="shared" ref="AM8:AM40" si="2">T8</f>
        <v>54000</v>
      </c>
      <c r="AP8" s="36"/>
    </row>
    <row r="9" spans="1:42" ht="15.75" x14ac:dyDescent="0.25">
      <c r="A9" s="1" t="s">
        <v>19</v>
      </c>
      <c r="B9" s="1" t="str">
        <f>VLOOKUP(A9,[19]LISTADHERENT!A$5:H$60,3,0)</f>
        <v>BOUTCHOUANG WILLIAM</v>
      </c>
      <c r="C9" s="36">
        <f>+MVTDEC23!C8</f>
        <v>700000</v>
      </c>
      <c r="D9" s="36">
        <f>+MVTDEC23!D8</f>
        <v>33.12626320522395</v>
      </c>
      <c r="E9" s="36">
        <f>VLOOKUP($A9,[24]HISTODEC24!$A$6:$BA$38,48,0)</f>
        <v>0</v>
      </c>
      <c r="F9" s="36">
        <f>MVTDEC24!F8</f>
        <v>972533.31236524263</v>
      </c>
      <c r="G9" s="5">
        <f>MVTDEC24!G8</f>
        <v>972533.31236524263</v>
      </c>
      <c r="H9" s="36">
        <f>MVTDEC23!H8+MVTJANV24!H8+MVTFEV24!H8+MVTMARS24!H8+MVTAVRIL24!H8+MVTMAI24!H8+MVTJUIN24!H8+MVTJUIL24!H8+MVTAOUT24!H8+MVTSEPT24!H8+MVTOCT24!H8+MVTNOV24!H8+MVTDEC24!H8</f>
        <v>47500.186102037449</v>
      </c>
      <c r="I9" s="6">
        <f t="shared" si="0"/>
        <v>1020033.4984672801</v>
      </c>
      <c r="J9" s="36">
        <f>MVTJANV24!J8+MVTFEV24!J8+MVTMARS24!J8+MVTAVRIL24!J8+MVTMAI24!J8+MVTJUIN24!J8+MVTJUIL24!J8+MVTAOUT24!J8+MVTSEPT24!J8+MVTOCT24!J8+MVTNOV24!J8+MVTDEC24!J8</f>
        <v>0</v>
      </c>
      <c r="K9" s="36">
        <f>MVTJANV24!K8+MVTFEV24!K8+MVTMARS24!K8+MVTAVRIL24!K8+MVTMAI24!K8+MVTJUIN24!K8+MVTJUIL24!K8+MVTAOUT24!K8+MVTSEPT24!K8+MVTOCT24!K8+MVTNOV24!K8+MVTDEC24!K8</f>
        <v>297000</v>
      </c>
      <c r="L9" s="36">
        <f>MVTJANV24!L8+MVTFEV24!L8+MVTMARS24!L8+MVTAVRIL24!L8+MVTMAI24!L8+MVTJUIN24!L8+MVTJUIL24!L8+MVTAOUT24!L8+MVTSEPT24!L8+MVTOCT24!L8+MVTNOV24!L8+MVTDEC24!L8</f>
        <v>225000</v>
      </c>
      <c r="M9" s="36">
        <f>MVTJANV24!M8+MVTFEV24!M8+MVTMARS24!M8+MVTAVRIL24!M8+MVTMAI24!M8+MVTJUIN24!M8+MVTJUIL24!M8+MVTAOUT24!M8+MVTSEPT24!M8+MVTOCT24!M8+MVTNOV24!M8+MVTDEC24!M8</f>
        <v>12000</v>
      </c>
      <c r="N9" s="36">
        <f>MVTJANV24!N8+MVTFEV24!N8+MVTMARS24!N8+MVTAVRIL24!N8+MVTMAI24!N8+MVTJUIN24!N8+MVTJUIL24!N8+MVTAOUT24!N8+MVTSEPT24!N8+MVTOCT24!N8+MVTNOV24!N8+MVTDEC24!N8</f>
        <v>12000</v>
      </c>
      <c r="O9" s="36">
        <f>MVTJANV24!O8+MVTFEV24!O8+MVTMARS24!O8+MVTAVRIL24!O8+MVTMAI24!O8+MVTJUIN24!O8+MVTJUIL24!O8+MVTAOUT24!O8+MVTSEPT24!O8+MVTOCT24!O8+MVTNOV24!O8+MVTDEC24!O8</f>
        <v>48000</v>
      </c>
      <c r="P9" s="36">
        <f>MVTJANV24!P8+MVTFEV24!P8+MVTMARS24!P8+MVTAVRIL24!P8+MVTMAI24!P8+MVTJUIN24!P8+MVTJUIL24!P8+MVTAOUT24!P8+MVTSEPT24!P8+MVTOCT24!P8+MVTNOV24!P8+MVTDEC24!P8</f>
        <v>0</v>
      </c>
      <c r="Q9" s="36">
        <f>MVTJANV24!Q8+MVTFEV24!Q8+MVTMARS24!Q8+MVTAVRIL24!Q8+MVTMAI24!Q8+MVTJUIN24!Q8+MVTJUIL24!Q8+MVTAOUT24!Q8+MVTSEPT24!Q8+MVTOCT24!Q8+MVTNOV24!Q8+MVTDEC24!Q8</f>
        <v>0</v>
      </c>
      <c r="R9" s="36">
        <f>MVTJANV24!R8+MVTFEV24!R8+MVTMARS24!R8+MVTAVRIL24!R8+MVTMAI24!R8+MVTJUIN24!R8+MVTJUIL24!R8+MVTAOUT24!R8+MVTSEPT24!R8+MVTOCT24!R8+MVTNOV24!R8+MVTDEC24!R8</f>
        <v>0</v>
      </c>
      <c r="S9" s="36">
        <f>MVTDEC23!S8+MVTJANV24!S8+MVTFEV24!S8+MVTMARS24!S8+MVTAVRIL24!S8+MVTMAI24!S8+MVTJUIN24!S8+MVTJUIL24!S8+MVTAOUT24!S8+MVTSEPT24!S8+MVTOCT24!S8+MVTNOV24!S8+MVTDEC24!S8</f>
        <v>500000</v>
      </c>
      <c r="T9" s="36">
        <f>MVTDEC23!T8+MVTJANV24!T8+MVTFEV24!T8+MVTMARS24!T8+MVTAVRIL24!T8+MVTMAI24!T8+MVTJUIN24!T8+MVTJUIL24!T8+MVTAOUT24!T8+MVTSEPT24!T8+MVTOCT24!T8+MVTNOV24!T8+MVTDEC24!T8</f>
        <v>40000</v>
      </c>
      <c r="U9" s="36"/>
      <c r="V9" s="36">
        <f>MVTJANV24!V8+MVTFEV24!V8+MVTMARS24!V8+MVTAVRIL24!V8+MVTMAI24!V8+MVTJUIN24!V8+MVTJUIL24!V8+MVTAOUT24!V8+MVTSEPT24!V8+MVTOCT24!V8+MVTNOV24!V8+MVTDEC24!V8</f>
        <v>0</v>
      </c>
      <c r="W9" s="36">
        <f t="shared" si="1"/>
        <v>500000</v>
      </c>
      <c r="X9" s="36"/>
      <c r="Y9" s="36"/>
      <c r="Z9" s="36">
        <f>MVTJANV24!Z8+MVTFEV24!Z8+MVTMARS24!Z8+MVTAVRIL24!Z8+MVTMAI24!Z8+MVTJUIN24!Z8+MVTJUIL24!Z8+MVTAOUT24!Z8+MVTSEPT24!Z8+MVTOCT24!Z8+MVTNOV24!Z8+MVTDEC24!Z8</f>
        <v>0</v>
      </c>
      <c r="AA9" s="36">
        <f>MVTJANV24!AA8+MVTFEV24!AA8+MVTMARS24!AA8+MVTAVRIL24!AA8+MVTMAI24!AA8+MVTJUIN24!AA8+MVTJUIL24!AA8+MVTAOUT24!AA8+MVTSEPT24!AA8+MVTOCT24!AA8+MVTNOV24!AA8+MVTDEC24!AA8</f>
        <v>0</v>
      </c>
      <c r="AB9" s="36">
        <f>MVTJANV24!AB8+MVTFEV24!AB8+MVTMARS24!AB8+MVTAVRIL24!AB8+MVTMAI24!AB8+MVTJUIN24!AB8+MVTJUIL24!AB8+MVTAOUT24!AB8+MVTSEPT24!AB8+MVTOCT24!AB8+MVTNOV24!AB8+MVTDEC24!AB8</f>
        <v>0</v>
      </c>
      <c r="AC9" s="36">
        <f>MVTJANV24!AC8+MVTFEV24!AC8+MVTMARS24!AC8+MVTAVRIL24!AC8+MVTMAI24!AC8+MVTJUIN24!AC8+MVTJUIL24!AC8+MVTAOUT24!AC8+MVTSEPT24!AC8+MVTOCT24!AC8+MVTNOV24!AC8+MVTDEC24!AC8</f>
        <v>0</v>
      </c>
      <c r="AD9" s="36">
        <f>MVTJANV24!AD8+MVTFEV24!AD8+MVTMARS24!AD8+MVTAVRIL24!AD8+MVTMAI24!AD8+MVTJUIN24!AD8+MVTJUIL24!AD8+MVTAOUT24!AD8+MVTSEPT24!AD8+MVTOCT24!AD8+MVTNOV24!AD8+MVTDEC24!AD8</f>
        <v>0</v>
      </c>
      <c r="AE9" s="36">
        <f>MVTJANV24!AE8+MVTFEV24!AE8+MVTMARS24!AE8+MVTAVRIL24!AE8+MVTMAI24!AE8+MVTJUIN24!AE8+MVTJUIL24!AE8+MVTAOUT24!AE8+MVTSEPT24!AE8+MVTOCT24!AE8+MVTNOV24!AE8+MVTDEC24!AE8</f>
        <v>0</v>
      </c>
      <c r="AF9" s="36">
        <f>MVTJANV24!AF8+MVTFEV24!AF8+MVTMARS24!AF8+MVTAVRIL24!AF8+MVTMAI24!AF8+MVTJUIN24!AF8+MVTJUIL24!AF8+MVTAOUT24!AF8+MVTSEPT24!AF8+MVTOCT24!AF8+MVTNOV24!AF8+MVTDEC24!AF8</f>
        <v>0</v>
      </c>
      <c r="AG9" s="36">
        <f>MVTJANV24!AG8+MVTFEV24!AG8+MVTMARS24!AG8+MVTAVRIL24!AG8+MVTMAI24!AG8+MVTJUIN24!AG8+MVTJUIL24!AG8+MVTAOUT24!AG8+MVTSEPT24!AG8+MVTOCT24!AG8+MVTNOV24!AG8+MVTDEC24!AG8</f>
        <v>0</v>
      </c>
      <c r="AH9" s="36">
        <f>MVTJANV24!AH8+MVTFEV24!AH8+MVTMARS24!AH8+MVTAVRIL24!AH8+MVTMAI24!AH8+MVTJUIN24!AH8+MVTJUIL24!AH8+MVTAOUT24!AH8+MVTSEPT24!AH8+MVTOCT24!AH8+MVTNOV24!AH8+MVTDEC24!AH8</f>
        <v>0</v>
      </c>
      <c r="AI9" s="36">
        <f>MVTJANV24!AI8+MVTFEV24!AI8+MVTMARS24!AI8+MVTAVRIL24!AI8+MVTMAI24!AI8+MVTJUIN24!AI8+MVTJUIL24!AI8+MVTAOUT24!AI8+MVTSEPT24!AI8+MVTOCT24!AI8+MVTNOV24!AI8+MVTDEC24!AI8</f>
        <v>0</v>
      </c>
      <c r="AJ9" s="36">
        <f>MVTJANV24!AJ8+MVTFEV24!AJ8+MVTMARS24!AJ8+MVTAVRIL24!AJ8+MVTMAI24!AJ8+MVTJUIN24!AJ8+MVTJUIL24!AJ8+MVTAOUT24!AJ8+MVTSEPT24!AJ8+MVTOCT24!AJ8+MVTNOV24!AJ8+MVTDEC24!AJ8</f>
        <v>0</v>
      </c>
      <c r="AK9" s="36">
        <f>MVTJANV24!AK8+MVTFEV24!AK8+MVTMARS24!AK8+MVTAVRIL24!AK8+MVTMAI24!AK8+MVTJUIN24!AK8+MVTJUIL24!AK8+MVTAOUT24!AK8+MVTSEPT24!AK8+MVTOCT24!AK8+MVTNOV24!AK8+MVTDEC24!AK8</f>
        <v>0</v>
      </c>
      <c r="AL9" s="143">
        <v>45352</v>
      </c>
      <c r="AM9" s="144">
        <f t="shared" si="2"/>
        <v>40000</v>
      </c>
      <c r="AN9" s="144"/>
      <c r="AP9" s="36"/>
    </row>
    <row r="10" spans="1:42" ht="15.75" x14ac:dyDescent="0.25">
      <c r="A10" s="1" t="s">
        <v>23</v>
      </c>
      <c r="B10" s="1" t="str">
        <f>VLOOKUP(A10,[19]LISTADHERENT!A$5:H$60,3,0)</f>
        <v xml:space="preserve">DJOMO JEAN PAUL </v>
      </c>
      <c r="C10" s="36">
        <f>+MVTDEC23!C9</f>
        <v>700000</v>
      </c>
      <c r="D10" s="36">
        <f>+MVTDEC23!D9</f>
        <v>53357.826243040035</v>
      </c>
      <c r="E10" s="36">
        <f>VLOOKUP($A10,[24]HISTODEC24!$A$6:$BA$38,48,0)</f>
        <v>0</v>
      </c>
      <c r="F10" s="36">
        <f>MVTDEC24!F9</f>
        <v>1029962.0068681776</v>
      </c>
      <c r="G10" s="5">
        <f>MVTDEC24!G9</f>
        <v>1029962.0068681776</v>
      </c>
      <c r="H10" s="36">
        <f>MVTDEC23!H9+MVTJANV24!H9+MVTFEV24!H9+MVTMARS24!H9+MVTAVRIL24!H9+MVTMAI24!H9+MVTJUIN24!H9+MVTJUIL24!H9+MVTAOUT24!H9+MVTSEPT24!H9+MVTOCT24!H9+MVTNOV24!H9+MVTDEC24!H9</f>
        <v>51104.180625137582</v>
      </c>
      <c r="I10" s="6">
        <f t="shared" si="0"/>
        <v>1081066.1874933152</v>
      </c>
      <c r="J10" s="36">
        <f>MVTJANV24!J9+MVTFEV24!J9+MVTMARS24!J9+MVTAVRIL24!J9+MVTMAI24!J9+MVTJUIN24!J9+MVTJUIL24!J9+MVTAOUT24!J9+MVTSEPT24!J9+MVTOCT24!J9+MVTNOV24!J9+MVTDEC24!J9</f>
        <v>0</v>
      </c>
      <c r="K10" s="36">
        <f>MVTJANV24!K9+MVTFEV24!K9+MVTMARS24!K9+MVTAVRIL24!K9+MVTMAI24!K9+MVTJUIN24!K9+MVTJUIL24!K9+MVTAOUT24!K9+MVTSEPT24!K9+MVTOCT24!K9+MVTNOV24!K9+MVTDEC24!K9</f>
        <v>297500</v>
      </c>
      <c r="L10" s="36">
        <f>MVTJANV24!L9+MVTFEV24!L9+MVTMARS24!L9+MVTAVRIL24!L9+MVTMAI24!L9+MVTJUIN24!L9+MVTJUIL24!L9+MVTAOUT24!L9+MVTSEPT24!L9+MVTOCT24!L9+MVTNOV24!L9+MVTDEC24!L9</f>
        <v>225500</v>
      </c>
      <c r="M10" s="36">
        <f>MVTJANV24!M9+MVTFEV24!M9+MVTMARS24!M9+MVTAVRIL24!M9+MVTMAI24!M9+MVTJUIN24!M9+MVTJUIL24!M9+MVTAOUT24!M9+MVTSEPT24!M9+MVTOCT24!M9+MVTNOV24!M9+MVTDEC24!M9</f>
        <v>12000</v>
      </c>
      <c r="N10" s="36">
        <f>MVTJANV24!N9+MVTFEV24!N9+MVTMARS24!N9+MVTAVRIL24!N9+MVTMAI24!N9+MVTJUIN24!N9+MVTJUIL24!N9+MVTAOUT24!N9+MVTSEPT24!N9+MVTOCT24!N9+MVTNOV24!N9+MVTDEC24!N9</f>
        <v>12000</v>
      </c>
      <c r="O10" s="36">
        <f>MVTJANV24!O9+MVTFEV24!O9+MVTMARS24!O9+MVTAVRIL24!O9+MVTMAI24!O9+MVTJUIN24!O9+MVTJUIL24!O9+MVTAOUT24!O9+MVTSEPT24!O9+MVTOCT24!O9+MVTNOV24!O9+MVTDEC24!O9</f>
        <v>48000</v>
      </c>
      <c r="P10" s="36">
        <f>MVTJANV24!P9+MVTFEV24!P9+MVTMARS24!P9+MVTAVRIL24!P9+MVTMAI24!P9+MVTJUIN24!P9+MVTJUIL24!P9+MVTAOUT24!P9+MVTSEPT24!P9+MVTOCT24!P9+MVTNOV24!P9+MVTDEC24!P9</f>
        <v>0</v>
      </c>
      <c r="Q10" s="36">
        <f>MVTJANV24!Q9+MVTFEV24!Q9+MVTMARS24!Q9+MVTAVRIL24!Q9+MVTMAI24!Q9+MVTJUIN24!Q9+MVTJUIL24!Q9+MVTAOUT24!Q9+MVTSEPT24!Q9+MVTOCT24!Q9+MVTNOV24!Q9+MVTDEC24!Q9</f>
        <v>0</v>
      </c>
      <c r="R10" s="36">
        <f>MVTJANV24!R9+MVTFEV24!R9+MVTMARS24!R9+MVTAVRIL24!R9+MVTMAI24!R9+MVTJUIN24!R9+MVTJUIL24!R9+MVTAOUT24!R9+MVTSEPT24!R9+MVTOCT24!R9+MVTNOV24!R9+MVTDEC24!R9</f>
        <v>0</v>
      </c>
      <c r="S10" s="36">
        <f>MVTDEC23!S9+MVTJANV24!S9+MVTFEV24!S9+MVTMARS24!S9+MVTAVRIL24!S9+MVTMAI24!S9+MVTJUIN24!S9+MVTJUIL24!S9+MVTAOUT24!S9+MVTSEPT24!S9+MVTOCT24!S9+MVTNOV24!S9+MVTDEC24!S9</f>
        <v>1000000</v>
      </c>
      <c r="T10" s="36">
        <f>MVTDEC23!T9+MVTJANV24!T9+MVTFEV24!T9+MVTMARS24!T9+MVTAVRIL24!T9+MVTMAI24!T9+MVTJUIN24!T9+MVTJUIL24!T9+MVTAOUT24!T9+MVTSEPT24!T9+MVTOCT24!T9+MVTNOV24!T9+MVTDEC24!T9</f>
        <v>120000</v>
      </c>
      <c r="U10" s="36"/>
      <c r="V10" s="36">
        <f>MVTJANV24!V9+MVTFEV24!V9+MVTMARS24!V9+MVTAVRIL24!V9+MVTMAI24!V9+MVTJUIN24!V9+MVTJUIL24!V9+MVTAOUT24!V9+MVTSEPT24!V9+MVTOCT24!V9+MVTNOV24!V9+MVTDEC24!V9</f>
        <v>0</v>
      </c>
      <c r="W10" s="36">
        <f t="shared" si="1"/>
        <v>1000000</v>
      </c>
      <c r="X10" s="36"/>
      <c r="Y10" s="36"/>
      <c r="Z10" s="36">
        <f>MVTJANV24!Z9+MVTFEV24!Z9+MVTMARS24!Z9+MVTAVRIL24!Z9+MVTMAI24!Z9+MVTJUIN24!Z9+MVTJUIL24!Z9+MVTAOUT24!Z9+MVTSEPT24!Z9+MVTOCT24!Z9+MVTNOV24!Z9+MVTDEC24!Z9</f>
        <v>0</v>
      </c>
      <c r="AA10" s="36">
        <f>MVTJANV24!AA9+MVTFEV24!AA9+MVTMARS24!AA9+MVTAVRIL24!AA9+MVTMAI24!AA9+MVTJUIN24!AA9+MVTJUIL24!AA9+MVTAOUT24!AA9+MVTSEPT24!AA9+MVTOCT24!AA9+MVTNOV24!AA9+MVTDEC24!AA9</f>
        <v>0</v>
      </c>
      <c r="AB10" s="36">
        <f>MVTJANV24!AB9+MVTFEV24!AB9+MVTMARS24!AB9+MVTAVRIL24!AB9+MVTMAI24!AB9+MVTJUIN24!AB9+MVTJUIL24!AB9+MVTAOUT24!AB9+MVTSEPT24!AB9+MVTOCT24!AB9+MVTNOV24!AB9+MVTDEC24!AB9</f>
        <v>0</v>
      </c>
      <c r="AC10" s="36">
        <f>MVTJANV24!AC9+MVTFEV24!AC9+MVTMARS24!AC9+MVTAVRIL24!AC9+MVTMAI24!AC9+MVTJUIN24!AC9+MVTJUIL24!AC9+MVTAOUT24!AC9+MVTSEPT24!AC9+MVTOCT24!AC9+MVTNOV24!AC9+MVTDEC24!AC9</f>
        <v>0</v>
      </c>
      <c r="AD10" s="36">
        <f>MVTJANV24!AD9+MVTFEV24!AD9+MVTMARS24!AD9+MVTAVRIL24!AD9+MVTMAI24!AD9+MVTJUIN24!AD9+MVTJUIL24!AD9+MVTAOUT24!AD9+MVTSEPT24!AD9+MVTOCT24!AD9+MVTNOV24!AD9+MVTDEC24!AD9</f>
        <v>0</v>
      </c>
      <c r="AE10" s="36">
        <f>MVTJANV24!AE9+MVTFEV24!AE9+MVTMARS24!AE9+MVTAVRIL24!AE9+MVTMAI24!AE9+MVTJUIN24!AE9+MVTJUIL24!AE9+MVTAOUT24!AE9+MVTSEPT24!AE9+MVTOCT24!AE9+MVTNOV24!AE9+MVTDEC24!AE9</f>
        <v>0</v>
      </c>
      <c r="AF10" s="36">
        <f>MVTJANV24!AF9+MVTFEV24!AF9+MVTMARS24!AF9+MVTAVRIL24!AF9+MVTMAI24!AF9+MVTJUIN24!AF9+MVTJUIL24!AF9+MVTAOUT24!AF9+MVTSEPT24!AF9+MVTOCT24!AF9+MVTNOV24!AF9+MVTDEC24!AF9</f>
        <v>0</v>
      </c>
      <c r="AG10" s="36">
        <f>MVTJANV24!AG9+MVTFEV24!AG9+MVTMARS24!AG9+MVTAVRIL24!AG9+MVTMAI24!AG9+MVTJUIN24!AG9+MVTJUIL24!AG9+MVTAOUT24!AG9+MVTSEPT24!AG9+MVTOCT24!AG9+MVTNOV24!AG9+MVTDEC24!AG9</f>
        <v>0</v>
      </c>
      <c r="AH10" s="36">
        <f>MVTJANV24!AH9+MVTFEV24!AH9+MVTMARS24!AH9+MVTAVRIL24!AH9+MVTMAI24!AH9+MVTJUIN24!AH9+MVTJUIL24!AH9+MVTAOUT24!AH9+MVTSEPT24!AH9+MVTOCT24!AH9+MVTNOV24!AH9+MVTDEC24!AH9</f>
        <v>0</v>
      </c>
      <c r="AI10" s="36">
        <f>MVTJANV24!AI9+MVTFEV24!AI9+MVTMARS24!AI9+MVTAVRIL24!AI9+MVTMAI24!AI9+MVTJUIN24!AI9+MVTJUIL24!AI9+MVTAOUT24!AI9+MVTSEPT24!AI9+MVTOCT24!AI9+MVTNOV24!AI9+MVTDEC24!AI9</f>
        <v>0</v>
      </c>
      <c r="AJ10" s="36">
        <f>MVTJANV24!AJ9+MVTFEV24!AJ9+MVTMARS24!AJ9+MVTAVRIL24!AJ9+MVTMAI24!AJ9+MVTJUIN24!AJ9+MVTJUIL24!AJ9+MVTAOUT24!AJ9+MVTSEPT24!AJ9+MVTOCT24!AJ9+MVTNOV24!AJ9+MVTDEC24!AJ9</f>
        <v>0</v>
      </c>
      <c r="AK10" s="36">
        <f>MVTJANV24!AK9+MVTFEV24!AK9+MVTMARS24!AK9+MVTAVRIL24!AK9+MVTMAI24!AK9+MVTJUIN24!AK9+MVTJUIL24!AK9+MVTAOUT24!AK9+MVTSEPT24!AK9+MVTOCT24!AK9+MVTNOV24!AK9+MVTDEC24!AK9</f>
        <v>0</v>
      </c>
      <c r="AL10" s="143">
        <v>45627</v>
      </c>
      <c r="AM10" s="144">
        <f t="shared" si="2"/>
        <v>120000</v>
      </c>
      <c r="AN10" s="144"/>
      <c r="AP10" s="36"/>
    </row>
    <row r="11" spans="1:42" ht="15.75" x14ac:dyDescent="0.25">
      <c r="A11" s="1" t="s">
        <v>154</v>
      </c>
      <c r="B11" s="1" t="str">
        <f>VLOOKUP(A11,[19]LISTADHERENT!A$5:H$60,3,0)</f>
        <v>DJOMOU TCHAPDA</v>
      </c>
      <c r="C11" s="36">
        <f>+MVTDEC23!C10</f>
        <v>700000</v>
      </c>
      <c r="D11" s="36">
        <f>+MVTDEC23!D10</f>
        <v>294.67929590542917</v>
      </c>
      <c r="E11" s="36">
        <f>VLOOKUP($A11,[24]HISTODEC24!$A$6:$BA$38,48,0)</f>
        <v>0</v>
      </c>
      <c r="F11" s="36">
        <f>MVTDEC24!F10</f>
        <v>969805.20622596238</v>
      </c>
      <c r="G11" s="5">
        <f>MVTDEC24!G10</f>
        <v>969805.20622596238</v>
      </c>
      <c r="H11" s="36">
        <f>MVTDEC23!H10+MVTJANV24!H10+MVTFEV24!H10+MVTMARS24!H10+MVTAVRIL24!H10+MVTMAI24!H10+MVTJUIN24!H10+MVTJUIL24!H10+MVTAOUT24!H10+MVTSEPT24!H10+MVTOCT24!H10+MVTNOV24!H10+MVTDEC24!H10</f>
        <v>47510.526930057073</v>
      </c>
      <c r="I11" s="6">
        <f t="shared" si="0"/>
        <v>1017315.7331560195</v>
      </c>
      <c r="J11" s="36">
        <f>MVTJANV24!J10+MVTFEV24!J10+MVTMARS24!J10+MVTAVRIL24!J10+MVTMAI24!J10+MVTJUIN24!J10+MVTJUIL24!J10+MVTAOUT24!J10+MVTSEPT24!J10+MVTOCT24!J10+MVTNOV24!J10+MVTDEC24!J10</f>
        <v>0</v>
      </c>
      <c r="K11" s="36">
        <f>MVTJANV24!K10+MVTFEV24!K10+MVTMARS24!K10+MVTAVRIL24!K10+MVTMAI24!K10+MVTJUIN24!K10+MVTJUIL24!K10+MVTAOUT24!K10+MVTSEPT24!K10+MVTOCT24!K10+MVTNOV24!K10+MVTDEC24!K10</f>
        <v>294000</v>
      </c>
      <c r="L11" s="36">
        <f>MVTJANV24!L10+MVTFEV24!L10+MVTMARS24!L10+MVTAVRIL24!L10+MVTMAI24!L10+MVTJUIN24!L10+MVTJUIL24!L10+MVTAOUT24!L10+MVTSEPT24!L10+MVTOCT24!L10+MVTNOV24!L10+MVTDEC24!L10</f>
        <v>222000</v>
      </c>
      <c r="M11" s="36">
        <f>MVTJANV24!M10+MVTFEV24!M10+MVTMARS24!M10+MVTAVRIL24!M10+MVTMAI24!M10+MVTJUIN24!M10+MVTJUIL24!M10+MVTAOUT24!M10+MVTSEPT24!M10+MVTOCT24!M10+MVTNOV24!M10+MVTDEC24!M10</f>
        <v>12000</v>
      </c>
      <c r="N11" s="36">
        <f>MVTJANV24!N10+MVTFEV24!N10+MVTMARS24!N10+MVTAVRIL24!N10+MVTMAI24!N10+MVTJUIN24!N10+MVTJUIL24!N10+MVTAOUT24!N10+MVTSEPT24!N10+MVTOCT24!N10+MVTNOV24!N10+MVTDEC24!N10</f>
        <v>12000</v>
      </c>
      <c r="O11" s="36">
        <f>MVTJANV24!O10+MVTFEV24!O10+MVTMARS24!O10+MVTAVRIL24!O10+MVTMAI24!O10+MVTJUIN24!O10+MVTJUIL24!O10+MVTAOUT24!O10+MVTSEPT24!O10+MVTOCT24!O10+MVTNOV24!O10+MVTDEC24!O10</f>
        <v>48000</v>
      </c>
      <c r="P11" s="36">
        <f>MVTJANV24!P10+MVTFEV24!P10+MVTMARS24!P10+MVTAVRIL24!P10+MVTMAI24!P10+MVTJUIN24!P10+MVTJUIL24!P10+MVTAOUT24!P10+MVTSEPT24!P10+MVTOCT24!P10+MVTNOV24!P10+MVTDEC24!P10</f>
        <v>3000</v>
      </c>
      <c r="Q11" s="36">
        <f>MVTJANV24!Q10+MVTFEV24!Q10+MVTMARS24!Q10+MVTAVRIL24!Q10+MVTMAI24!Q10+MVTJUIN24!Q10+MVTJUIL24!Q10+MVTAOUT24!Q10+MVTSEPT24!Q10+MVTOCT24!Q10+MVTNOV24!Q10+MVTDEC24!Q10</f>
        <v>0</v>
      </c>
      <c r="R11" s="36">
        <f>MVTJANV24!R10+MVTFEV24!R10+MVTMARS24!R10+MVTAVRIL24!R10+MVTMAI24!R10+MVTJUIN24!R10+MVTJUIL24!R10+MVTAOUT24!R10+MVTSEPT24!R10+MVTOCT24!R10+MVTNOV24!R10+MVTDEC24!R10</f>
        <v>0</v>
      </c>
      <c r="S11" s="36">
        <f>MVTDEC23!S10+MVTJANV24!S10+MVTFEV24!S10+MVTMARS24!S10+MVTAVRIL24!S10+MVTMAI24!S10+MVTJUIN24!S10+MVTJUIL24!S10+MVTAOUT24!S10+MVTSEPT24!S10+MVTOCT24!S10+MVTNOV24!S10+MVTDEC24!S10</f>
        <v>1000000</v>
      </c>
      <c r="T11" s="36">
        <f>MVTDEC23!T10+MVTJANV24!T10+MVTFEV24!T10+MVTMARS24!T10+MVTAVRIL24!T10+MVTMAI24!T10+MVTJUIN24!T10+MVTJUIL24!T10+MVTAOUT24!T10+MVTSEPT24!T10+MVTOCT24!T10+MVTNOV24!T10+MVTDEC24!T10</f>
        <v>120000</v>
      </c>
      <c r="U11" s="36"/>
      <c r="V11" s="36">
        <f>MVTJANV24!V10+MVTFEV24!V10+MVTMARS24!V10+MVTAVRIL24!V10+MVTMAI24!V10+MVTJUIN24!V10+MVTJUIL24!V10+MVTAOUT24!V10+MVTSEPT24!V10+MVTOCT24!V10+MVTNOV24!V10+MVTDEC24!V10</f>
        <v>0</v>
      </c>
      <c r="W11" s="36">
        <f t="shared" si="1"/>
        <v>1000000</v>
      </c>
      <c r="X11" s="36"/>
      <c r="Y11" s="36"/>
      <c r="Z11" s="36">
        <f>MVTJANV24!Z10+MVTFEV24!Z10+MVTMARS24!Z10+MVTAVRIL24!Z10+MVTMAI24!Z10+MVTJUIN24!Z10+MVTJUIL24!Z10+MVTAOUT24!Z10+MVTSEPT24!Z10+MVTOCT24!Z10+MVTNOV24!Z10+MVTDEC24!Z10</f>
        <v>0</v>
      </c>
      <c r="AA11" s="36">
        <f>MVTJANV24!AA10+MVTFEV24!AA10+MVTMARS24!AA10+MVTAVRIL24!AA10+MVTMAI24!AA10+MVTJUIN24!AA10+MVTJUIL24!AA10+MVTAOUT24!AA10+MVTSEPT24!AA10+MVTOCT24!AA10+MVTNOV24!AA10+MVTDEC24!AA10</f>
        <v>0</v>
      </c>
      <c r="AB11" s="36">
        <f>MVTJANV24!AB10+MVTFEV24!AB10+MVTMARS24!AB10+MVTAVRIL24!AB10+MVTMAI24!AB10+MVTJUIN24!AB10+MVTJUIL24!AB10+MVTAOUT24!AB10+MVTSEPT24!AB10+MVTOCT24!AB10+MVTNOV24!AB10+MVTDEC24!AB10</f>
        <v>0</v>
      </c>
      <c r="AC11" s="36">
        <f>MVTJANV24!AC10+MVTFEV24!AC10+MVTMARS24!AC10+MVTAVRIL24!AC10+MVTMAI24!AC10+MVTJUIN24!AC10+MVTJUIL24!AC10+MVTAOUT24!AC10+MVTSEPT24!AC10+MVTOCT24!AC10+MVTNOV24!AC10+MVTDEC24!AC10</f>
        <v>0</v>
      </c>
      <c r="AD11" s="36">
        <f>MVTJANV24!AD10+MVTFEV24!AD10+MVTMARS24!AD10+MVTAVRIL24!AD10+MVTMAI24!AD10+MVTJUIN24!AD10+MVTJUIL24!AD10+MVTAOUT24!AD10+MVTSEPT24!AD10+MVTOCT24!AD10+MVTNOV24!AD10+MVTDEC24!AD10</f>
        <v>0</v>
      </c>
      <c r="AE11" s="36">
        <f>MVTJANV24!AE10+MVTFEV24!AE10+MVTMARS24!AE10+MVTAVRIL24!AE10+MVTMAI24!AE10+MVTJUIN24!AE10+MVTJUIL24!AE10+MVTAOUT24!AE10+MVTSEPT24!AE10+MVTOCT24!AE10+MVTNOV24!AE10+MVTDEC24!AE10</f>
        <v>0</v>
      </c>
      <c r="AF11" s="36">
        <f>MVTJANV24!AF10+MVTFEV24!AF10+MVTMARS24!AF10+MVTAVRIL24!AF10+MVTMAI24!AF10+MVTJUIN24!AF10+MVTJUIL24!AF10+MVTAOUT24!AF10+MVTSEPT24!AF10+MVTOCT24!AF10+MVTNOV24!AF10+MVTDEC24!AF10</f>
        <v>0</v>
      </c>
      <c r="AG11" s="36">
        <f>MVTJANV24!AG10+MVTFEV24!AG10+MVTMARS24!AG10+MVTAVRIL24!AG10+MVTMAI24!AG10+MVTJUIN24!AG10+MVTJUIL24!AG10+MVTAOUT24!AG10+MVTSEPT24!AG10+MVTOCT24!AG10+MVTNOV24!AG10+MVTDEC24!AG10</f>
        <v>0</v>
      </c>
      <c r="AH11" s="36">
        <f>MVTJANV24!AH10+MVTFEV24!AH10+MVTMARS24!AH10+MVTAVRIL24!AH10+MVTMAI24!AH10+MVTJUIN24!AH10+MVTJUIL24!AH10+MVTAOUT24!AH10+MVTSEPT24!AH10+MVTOCT24!AH10+MVTNOV24!AH10+MVTDEC24!AH10</f>
        <v>0</v>
      </c>
      <c r="AI11" s="36">
        <f>MVTJANV24!AI10+MVTFEV24!AI10+MVTMARS24!AI10+MVTAVRIL24!AI10+MVTMAI24!AI10+MVTJUIN24!AI10+MVTJUIL24!AI10+MVTAOUT24!AI10+MVTSEPT24!AI10+MVTOCT24!AI10+MVTNOV24!AI10+MVTDEC24!AI10</f>
        <v>0</v>
      </c>
      <c r="AJ11" s="36">
        <f>MVTJANV24!AJ10+MVTFEV24!AJ10+MVTMARS24!AJ10+MVTAVRIL24!AJ10+MVTMAI24!AJ10+MVTJUIN24!AJ10+MVTJUIL24!AJ10+MVTAOUT24!AJ10+MVTSEPT24!AJ10+MVTOCT24!AJ10+MVTNOV24!AJ10+MVTDEC24!AJ10</f>
        <v>0</v>
      </c>
      <c r="AK11" s="36">
        <f>MVTJANV24!AK10+MVTFEV24!AK10+MVTMARS24!AK10+MVTAVRIL24!AK10+MVTMAI24!AK10+MVTJUIN24!AK10+MVTJUIL24!AK10+MVTAOUT24!AK10+MVTSEPT24!AK10+MVTOCT24!AK10+MVTNOV24!AK10+MVTDEC24!AK10</f>
        <v>0</v>
      </c>
      <c r="AL11" s="143">
        <v>45627</v>
      </c>
      <c r="AM11" s="144">
        <f t="shared" si="2"/>
        <v>120000</v>
      </c>
      <c r="AN11" s="144"/>
      <c r="AP11" s="36"/>
    </row>
    <row r="12" spans="1:42" ht="15.75" x14ac:dyDescent="0.25">
      <c r="A12" s="1" t="s">
        <v>24</v>
      </c>
      <c r="B12" s="1" t="str">
        <f>VLOOKUP(A12,[19]LISTADHERENT!A$5:H$60,3,0)</f>
        <v>DJOUKWE NANGUEN GUY BLAISE</v>
      </c>
      <c r="C12" s="36">
        <f>+MVTDEC23!C11</f>
        <v>700000</v>
      </c>
      <c r="D12" s="36">
        <f>+MVTDEC23!D11</f>
        <v>2196.7678974067676</v>
      </c>
      <c r="E12" s="36">
        <f>VLOOKUP($A12,[24]HISTODEC24!$A$6:$BA$38,48,0)</f>
        <v>0</v>
      </c>
      <c r="F12" s="36">
        <f>MVTDEC24!F11</f>
        <v>987855.82895949238</v>
      </c>
      <c r="G12" s="5">
        <f>MVTDEC24!G11</f>
        <v>987855.82895949238</v>
      </c>
      <c r="H12" s="36">
        <f>MVTDEC23!H11+MVTJANV24!H11+MVTFEV24!H11+MVTMARS24!H11+MVTAVRIL24!H11+MVTMAI24!H11+MVTJUIN24!H11+MVTJUIL24!H11+MVTAOUT24!H11+MVTSEPT24!H11+MVTOCT24!H11+MVTNOV24!H11+MVTDEC24!H11</f>
        <v>47659.061062085508</v>
      </c>
      <c r="I12" s="6">
        <f t="shared" si="0"/>
        <v>1035514.8900215779</v>
      </c>
      <c r="J12" s="36">
        <f>MVTJANV24!J11+MVTFEV24!J11+MVTMARS24!J11+MVTAVRIL24!J11+MVTMAI24!J11+MVTJUIN24!J11+MVTJUIL24!J11+MVTAOUT24!J11+MVTSEPT24!J11+MVTOCT24!J11+MVTNOV24!J11+MVTDEC24!J11</f>
        <v>0</v>
      </c>
      <c r="K12" s="36">
        <f>MVTJANV24!K11+MVTFEV24!K11+MVTMARS24!K11+MVTAVRIL24!K11+MVTMAI24!K11+MVTJUIN24!K11+MVTJUIL24!K11+MVTAOUT24!K11+MVTSEPT24!K11+MVTOCT24!K11+MVTNOV24!K11+MVTDEC24!K11</f>
        <v>310000</v>
      </c>
      <c r="L12" s="36">
        <f>MVTJANV24!L11+MVTFEV24!L11+MVTMARS24!L11+MVTAVRIL24!L11+MVTMAI24!L11+MVTJUIN24!L11+MVTJUIL24!L11+MVTAOUT24!L11+MVTSEPT24!L11+MVTOCT24!L11+MVTNOV24!L11+MVTDEC24!L11</f>
        <v>238000</v>
      </c>
      <c r="M12" s="36">
        <f>MVTJANV24!M11+MVTFEV24!M11+MVTMARS24!M11+MVTAVRIL24!M11+MVTMAI24!M11+MVTJUIN24!M11+MVTJUIL24!M11+MVTAOUT24!M11+MVTSEPT24!M11+MVTOCT24!M11+MVTNOV24!M11+MVTDEC24!M11</f>
        <v>12000</v>
      </c>
      <c r="N12" s="36">
        <f>MVTJANV24!N11+MVTFEV24!N11+MVTMARS24!N11+MVTAVRIL24!N11+MVTMAI24!N11+MVTJUIN24!N11+MVTJUIL24!N11+MVTAOUT24!N11+MVTSEPT24!N11+MVTOCT24!N11+MVTNOV24!N11+MVTDEC24!N11</f>
        <v>12000</v>
      </c>
      <c r="O12" s="36">
        <f>MVTJANV24!O11+MVTFEV24!O11+MVTMARS24!O11+MVTAVRIL24!O11+MVTMAI24!O11+MVTJUIN24!O11+MVTJUIL24!O11+MVTAOUT24!O11+MVTSEPT24!O11+MVTOCT24!O11+MVTNOV24!O11+MVTDEC24!O11</f>
        <v>48000</v>
      </c>
      <c r="P12" s="36">
        <f>MVTJANV24!P11+MVTFEV24!P11+MVTMARS24!P11+MVTAVRIL24!P11+MVTMAI24!P11+MVTJUIN24!P11+MVTJUIL24!P11+MVTAOUT24!P11+MVTSEPT24!P11+MVTOCT24!P11+MVTNOV24!P11+MVTDEC24!P11</f>
        <v>0</v>
      </c>
      <c r="Q12" s="36">
        <f>MVTJANV24!Q11+MVTFEV24!Q11+MVTMARS24!Q11+MVTAVRIL24!Q11+MVTMAI24!Q11+MVTJUIN24!Q11+MVTJUIL24!Q11+MVTAOUT24!Q11+MVTSEPT24!Q11+MVTOCT24!Q11+MVTNOV24!Q11+MVTDEC24!Q11</f>
        <v>0</v>
      </c>
      <c r="R12" s="36">
        <f>MVTJANV24!R11+MVTFEV24!R11+MVTMARS24!R11+MVTAVRIL24!R11+MVTMAI24!R11+MVTJUIN24!R11+MVTJUIL24!R11+MVTAOUT24!R11+MVTSEPT24!R11+MVTOCT24!R11+MVTNOV24!R11+MVTDEC24!R11</f>
        <v>0</v>
      </c>
      <c r="S12" s="36">
        <f>MVTDEC23!S11+MVTJANV24!S11+MVTFEV24!S11+MVTMARS24!S11+MVTAVRIL24!S11+MVTMAI24!S11+MVTJUIN24!S11+MVTJUIL24!S11+MVTAOUT24!S11+MVTSEPT24!S11+MVTOCT24!S11+MVTNOV24!S11+MVTDEC24!S11</f>
        <v>2000000</v>
      </c>
      <c r="T12" s="36">
        <f>MVTDEC23!T11+MVTJANV24!T11+MVTFEV24!T11+MVTMARS24!T11+MVTAVRIL24!T11+MVTMAI24!T11+MVTJUIN24!T11+MVTJUIL24!T11+MVTAOUT24!T11+MVTSEPT24!T11+MVTOCT24!T11+MVTNOV24!T11+MVTDEC24!T11</f>
        <v>40000</v>
      </c>
      <c r="U12" s="36"/>
      <c r="V12" s="36">
        <f>MVTJANV24!V11+MVTFEV24!V11+MVTMARS24!V11+MVTAVRIL24!V11+MVTMAI24!V11+MVTJUIN24!V11+MVTJUIL24!V11+MVTAOUT24!V11+MVTSEPT24!V11+MVTOCT24!V11+MVTNOV24!V11+MVTDEC24!V11</f>
        <v>1000000</v>
      </c>
      <c r="W12" s="36">
        <f t="shared" si="1"/>
        <v>1000000</v>
      </c>
      <c r="X12" s="36"/>
      <c r="Y12" s="36"/>
      <c r="Z12" s="36">
        <f>MVTJANV24!Z11+MVTFEV24!Z11+MVTMARS24!Z11+MVTAVRIL24!Z11+MVTMAI24!Z11+MVTJUIN24!Z11+MVTJUIL24!Z11+MVTAOUT24!Z11+MVTSEPT24!Z11+MVTOCT24!Z11+MVTNOV24!Z11+MVTDEC24!Z11</f>
        <v>0</v>
      </c>
      <c r="AA12" s="36">
        <f>MVTJANV24!AA11+MVTFEV24!AA11+MVTMARS24!AA11+MVTAVRIL24!AA11+MVTMAI24!AA11+MVTJUIN24!AA11+MVTJUIL24!AA11+MVTAOUT24!AA11+MVTSEPT24!AA11+MVTOCT24!AA11+MVTNOV24!AA11+MVTDEC24!AA11</f>
        <v>0</v>
      </c>
      <c r="AB12" s="36">
        <f>MVTJANV24!AB11+MVTFEV24!AB11+MVTMARS24!AB11+MVTAVRIL24!AB11+MVTMAI24!AB11+MVTJUIN24!AB11+MVTJUIL24!AB11+MVTAOUT24!AB11+MVTSEPT24!AB11+MVTOCT24!AB11+MVTNOV24!AB11+MVTDEC24!AB11</f>
        <v>0</v>
      </c>
      <c r="AC12" s="36">
        <f>MVTJANV24!AC11+MVTFEV24!AC11+MVTMARS24!AC11+MVTAVRIL24!AC11+MVTMAI24!AC11+MVTJUIN24!AC11+MVTJUIL24!AC11+MVTAOUT24!AC11+MVTSEPT24!AC11+MVTOCT24!AC11+MVTNOV24!AC11+MVTDEC24!AC11</f>
        <v>0</v>
      </c>
      <c r="AD12" s="36">
        <f>MVTJANV24!AD11+MVTFEV24!AD11+MVTMARS24!AD11+MVTAVRIL24!AD11+MVTMAI24!AD11+MVTJUIN24!AD11+MVTJUIL24!AD11+MVTAOUT24!AD11+MVTSEPT24!AD11+MVTOCT24!AD11+MVTNOV24!AD11+MVTDEC24!AD11</f>
        <v>0</v>
      </c>
      <c r="AE12" s="36">
        <f>MVTJANV24!AE11+MVTFEV24!AE11+MVTMARS24!AE11+MVTAVRIL24!AE11+MVTMAI24!AE11+MVTJUIN24!AE11+MVTJUIL24!AE11+MVTAOUT24!AE11+MVTSEPT24!AE11+MVTOCT24!AE11+MVTNOV24!AE11+MVTDEC24!AE11</f>
        <v>0</v>
      </c>
      <c r="AF12" s="36">
        <f>MVTJANV24!AF11+MVTFEV24!AF11+MVTMARS24!AF11+MVTAVRIL24!AF11+MVTMAI24!AF11+MVTJUIN24!AF11+MVTJUIL24!AF11+MVTAOUT24!AF11+MVTSEPT24!AF11+MVTOCT24!AF11+MVTNOV24!AF11+MVTDEC24!AF11</f>
        <v>0</v>
      </c>
      <c r="AG12" s="36">
        <f>MVTJANV24!AG11+MVTFEV24!AG11+MVTMARS24!AG11+MVTAVRIL24!AG11+MVTMAI24!AG11+MVTJUIN24!AG11+MVTJUIL24!AG11+MVTAOUT24!AG11+MVTSEPT24!AG11+MVTOCT24!AG11+MVTNOV24!AG11+MVTDEC24!AG11</f>
        <v>0</v>
      </c>
      <c r="AH12" s="36">
        <f>MVTJANV24!AH11+MVTFEV24!AH11+MVTMARS24!AH11+MVTAVRIL24!AH11+MVTMAI24!AH11+MVTJUIN24!AH11+MVTJUIL24!AH11+MVTAOUT24!AH11+MVTSEPT24!AH11+MVTOCT24!AH11+MVTNOV24!AH11+MVTDEC24!AH11</f>
        <v>0</v>
      </c>
      <c r="AI12" s="36">
        <f>MVTJANV24!AI11+MVTFEV24!AI11+MVTMARS24!AI11+MVTAVRIL24!AI11+MVTMAI24!AI11+MVTJUIN24!AI11+MVTJUIL24!AI11+MVTAOUT24!AI11+MVTSEPT24!AI11+MVTOCT24!AI11+MVTNOV24!AI11+MVTDEC24!AI11</f>
        <v>0</v>
      </c>
      <c r="AJ12" s="36">
        <f>MVTJANV24!AJ11+MVTFEV24!AJ11+MVTMARS24!AJ11+MVTAVRIL24!AJ11+MVTMAI24!AJ11+MVTJUIN24!AJ11+MVTJUIL24!AJ11+MVTAOUT24!AJ11+MVTSEPT24!AJ11+MVTOCT24!AJ11+MVTNOV24!AJ11+MVTDEC24!AJ11</f>
        <v>0</v>
      </c>
      <c r="AK12" s="36">
        <f>MVTJANV24!AK11+MVTFEV24!AK11+MVTMARS24!AK11+MVTAVRIL24!AK11+MVTMAI24!AK11+MVTJUIN24!AK11+MVTJUIL24!AK11+MVTAOUT24!AK11+MVTSEPT24!AK11+MVTOCT24!AK11+MVTNOV24!AK11+MVTDEC24!AK11</f>
        <v>0</v>
      </c>
      <c r="AL12" s="143">
        <v>45352</v>
      </c>
      <c r="AM12" s="144">
        <f t="shared" si="2"/>
        <v>40000</v>
      </c>
      <c r="AN12" s="144"/>
      <c r="AP12" s="36"/>
    </row>
    <row r="13" spans="1:42" ht="15.75" x14ac:dyDescent="0.25">
      <c r="A13" s="1" t="s">
        <v>25</v>
      </c>
      <c r="B13" s="1" t="str">
        <f>VLOOKUP(A13,[19]LISTADHERENT!A$5:H$60,3,0)</f>
        <v>DJUOMBESSY ANTOINE</v>
      </c>
      <c r="C13" s="36">
        <f>+MVTDEC23!C12</f>
        <v>700000</v>
      </c>
      <c r="D13" s="36">
        <f>+MVTDEC23!D12</f>
        <v>14513.277451620379</v>
      </c>
      <c r="E13" s="36">
        <f>VLOOKUP($A13,[24]HISTODEC24!$A$6:$BA$38,48,0)</f>
        <v>0</v>
      </c>
      <c r="F13" s="36">
        <f>MVTDEC24!F12</f>
        <v>1011100.1474133957</v>
      </c>
      <c r="G13" s="5">
        <f>MVTDEC24!G12</f>
        <v>1011100.1474133957</v>
      </c>
      <c r="H13" s="36">
        <f>MVTDEC23!H12+MVTJANV24!H12+MVTFEV24!H12+MVTMARS24!H12+MVTAVRIL24!H12+MVTMAI24!H12+MVTJUIN24!H12+MVTJUIL24!H12+MVTAOUT24!H12+MVTSEPT24!H12+MVTOCT24!H12+MVTNOV24!H12+MVTDEC24!H12</f>
        <v>48586.869961775206</v>
      </c>
      <c r="I13" s="6">
        <f t="shared" si="0"/>
        <v>1059687.017375171</v>
      </c>
      <c r="J13" s="36">
        <f>MVTJANV24!J12+MVTFEV24!J12+MVTMARS24!J12+MVTAVRIL24!J12+MVTMAI24!J12+MVTJUIN24!J12+MVTJUIL24!J12+MVTAOUT24!J12+MVTSEPT24!J12+MVTOCT24!J12+MVTNOV24!J12+MVTDEC24!J12</f>
        <v>0</v>
      </c>
      <c r="K13" s="36">
        <f>MVTJANV24!K12+MVTFEV24!K12+MVTMARS24!K12+MVTAVRIL24!K12+MVTMAI24!K12+MVTJUIN24!K12+MVTJUIL24!K12+MVTAOUT24!K12+MVTSEPT24!K12+MVTOCT24!K12+MVTNOV24!K12+MVTDEC24!K12</f>
        <v>320000</v>
      </c>
      <c r="L13" s="36">
        <f>MVTJANV24!L12+MVTFEV24!L12+MVTMARS24!L12+MVTAVRIL24!L12+MVTMAI24!L12+MVTJUIN24!L12+MVTJUIL24!L12+MVTAOUT24!L12+MVTSEPT24!L12+MVTOCT24!L12+MVTNOV24!L12+MVTDEC24!L12</f>
        <v>248000</v>
      </c>
      <c r="M13" s="36">
        <f>MVTJANV24!M12+MVTFEV24!M12+MVTMARS24!M12+MVTAVRIL24!M12+MVTMAI24!M12+MVTJUIN24!M12+MVTJUIL24!M12+MVTAOUT24!M12+MVTSEPT24!M12+MVTOCT24!M12+MVTNOV24!M12+MVTDEC24!M12</f>
        <v>12000</v>
      </c>
      <c r="N13" s="36">
        <f>MVTJANV24!N12+MVTFEV24!N12+MVTMARS24!N12+MVTAVRIL24!N12+MVTMAI24!N12+MVTJUIN24!N12+MVTJUIL24!N12+MVTAOUT24!N12+MVTSEPT24!N12+MVTOCT24!N12+MVTNOV24!N12+MVTDEC24!N12</f>
        <v>12000</v>
      </c>
      <c r="O13" s="36">
        <f>MVTJANV24!O12+MVTFEV24!O12+MVTMARS24!O12+MVTAVRIL24!O12+MVTMAI24!O12+MVTJUIN24!O12+MVTJUIL24!O12+MVTAOUT24!O12+MVTSEPT24!O12+MVTOCT24!O12+MVTNOV24!O12+MVTDEC24!O12</f>
        <v>48000</v>
      </c>
      <c r="P13" s="36">
        <f>MVTJANV24!P12+MVTFEV24!P12+MVTMARS24!P12+MVTAVRIL24!P12+MVTMAI24!P12+MVTJUIN24!P12+MVTJUIL24!P12+MVTAOUT24!P12+MVTSEPT24!P12+MVTOCT24!P12+MVTNOV24!P12+MVTDEC24!P12</f>
        <v>0</v>
      </c>
      <c r="Q13" s="36">
        <f>MVTJANV24!Q12+MVTFEV24!Q12+MVTMARS24!Q12+MVTAVRIL24!Q12+MVTMAI24!Q12+MVTJUIN24!Q12+MVTJUIL24!Q12+MVTAOUT24!Q12+MVTSEPT24!Q12+MVTOCT24!Q12+MVTNOV24!Q12+MVTDEC24!Q12</f>
        <v>0</v>
      </c>
      <c r="R13" s="36">
        <f>MVTJANV24!R12+MVTFEV24!R12+MVTMARS24!R12+MVTAVRIL24!R12+MVTMAI24!R12+MVTJUIN24!R12+MVTJUIL24!R12+MVTAOUT24!R12+MVTSEPT24!R12+MVTOCT24!R12+MVTNOV24!R12+MVTDEC24!R12</f>
        <v>0</v>
      </c>
      <c r="S13" s="36">
        <f>MVTDEC23!S12+MVTJANV24!S12+MVTFEV24!S12+MVTMARS24!S12+MVTAVRIL24!S12+MVTMAI24!S12+MVTJUIN24!S12+MVTJUIL24!S12+MVTAOUT24!S12+MVTSEPT24!S12+MVTOCT24!S12+MVTNOV24!S12+MVTDEC24!S12</f>
        <v>1000000</v>
      </c>
      <c r="T13" s="36">
        <f>MVTDEC23!T12+MVTJANV24!T12+MVTFEV24!T12+MVTMARS24!T12+MVTAVRIL24!T12+MVTMAI24!T12+MVTJUIN24!T12+MVTJUIL24!T12+MVTAOUT24!T12+MVTSEPT24!T12+MVTOCT24!T12+MVTNOV24!T12+MVTDEC24!T12</f>
        <v>60000</v>
      </c>
      <c r="U13" s="36"/>
      <c r="V13" s="36">
        <f>MVTJANV24!V12+MVTFEV24!V12+MVTMARS24!V12+MVTAVRIL24!V12+MVTMAI24!V12+MVTJUIN24!V12+MVTJUIL24!V12+MVTAOUT24!V12+MVTSEPT24!V12+MVTOCT24!V12+MVTNOV24!V12+MVTDEC24!V12</f>
        <v>0</v>
      </c>
      <c r="W13" s="36">
        <f t="shared" si="1"/>
        <v>1000000</v>
      </c>
      <c r="X13" s="36"/>
      <c r="Y13" s="36"/>
      <c r="Z13" s="36">
        <f>MVTJANV24!Z12+MVTFEV24!Z12+MVTMARS24!Z12+MVTAVRIL24!Z12+MVTMAI24!Z12+MVTJUIN24!Z12+MVTJUIL24!Z12+MVTAOUT24!Z12+MVTSEPT24!Z12+MVTOCT24!Z12+MVTNOV24!Z12+MVTDEC24!Z12</f>
        <v>0</v>
      </c>
      <c r="AA13" s="36">
        <f>MVTJANV24!AA12+MVTFEV24!AA12+MVTMARS24!AA12+MVTAVRIL24!AA12+MVTMAI24!AA12+MVTJUIN24!AA12+MVTJUIL24!AA12+MVTAOUT24!AA12+MVTSEPT24!AA12+MVTOCT24!AA12+MVTNOV24!AA12+MVTDEC24!AA12</f>
        <v>0</v>
      </c>
      <c r="AB13" s="36">
        <f>MVTJANV24!AB12+MVTFEV24!AB12+MVTMARS24!AB12+MVTAVRIL24!AB12+MVTMAI24!AB12+MVTJUIN24!AB12+MVTJUIL24!AB12+MVTAOUT24!AB12+MVTSEPT24!AB12+MVTOCT24!AB12+MVTNOV24!AB12+MVTDEC24!AB12</f>
        <v>0</v>
      </c>
      <c r="AC13" s="36">
        <f>MVTJANV24!AC12+MVTFEV24!AC12+MVTMARS24!AC12+MVTAVRIL24!AC12+MVTMAI24!AC12+MVTJUIN24!AC12+MVTJUIL24!AC12+MVTAOUT24!AC12+MVTSEPT24!AC12+MVTOCT24!AC12+MVTNOV24!AC12+MVTDEC24!AC12</f>
        <v>0</v>
      </c>
      <c r="AD13" s="36">
        <f>MVTJANV24!AD12+MVTFEV24!AD12+MVTMARS24!AD12+MVTAVRIL24!AD12+MVTMAI24!AD12+MVTJUIN24!AD12+MVTJUIL24!AD12+MVTAOUT24!AD12+MVTSEPT24!AD12+MVTOCT24!AD12+MVTNOV24!AD12+MVTDEC24!AD12</f>
        <v>0</v>
      </c>
      <c r="AE13" s="36">
        <f>MVTJANV24!AE12+MVTFEV24!AE12+MVTMARS24!AE12+MVTAVRIL24!AE12+MVTMAI24!AE12+MVTJUIN24!AE12+MVTJUIL24!AE12+MVTAOUT24!AE12+MVTSEPT24!AE12+MVTOCT24!AE12+MVTNOV24!AE12+MVTDEC24!AE12</f>
        <v>0</v>
      </c>
      <c r="AF13" s="36">
        <f>MVTJANV24!AF12+MVTFEV24!AF12+MVTMARS24!AF12+MVTAVRIL24!AF12+MVTMAI24!AF12+MVTJUIN24!AF12+MVTJUIL24!AF12+MVTAOUT24!AF12+MVTSEPT24!AF12+MVTOCT24!AF12+MVTNOV24!AF12+MVTDEC24!AF12</f>
        <v>0</v>
      </c>
      <c r="AG13" s="36">
        <f>MVTJANV24!AG12+MVTFEV24!AG12+MVTMARS24!AG12+MVTAVRIL24!AG12+MVTMAI24!AG12+MVTJUIN24!AG12+MVTJUIL24!AG12+MVTAOUT24!AG12+MVTSEPT24!AG12+MVTOCT24!AG12+MVTNOV24!AG12+MVTDEC24!AG12</f>
        <v>0</v>
      </c>
      <c r="AH13" s="36">
        <f>MVTJANV24!AH12+MVTFEV24!AH12+MVTMARS24!AH12+MVTAVRIL24!AH12+MVTMAI24!AH12+MVTJUIN24!AH12+MVTJUIL24!AH12+MVTAOUT24!AH12+MVTSEPT24!AH12+MVTOCT24!AH12+MVTNOV24!AH12+MVTDEC24!AH12</f>
        <v>0</v>
      </c>
      <c r="AI13" s="36">
        <f>MVTJANV24!AI12+MVTFEV24!AI12+MVTMARS24!AI12+MVTAVRIL24!AI12+MVTMAI24!AI12+MVTJUIN24!AI12+MVTJUIL24!AI12+MVTAOUT24!AI12+MVTSEPT24!AI12+MVTOCT24!AI12+MVTNOV24!AI12+MVTDEC24!AI12</f>
        <v>0</v>
      </c>
      <c r="AJ13" s="36">
        <f>MVTJANV24!AJ12+MVTFEV24!AJ12+MVTMARS24!AJ12+MVTAVRIL24!AJ12+MVTMAI24!AJ12+MVTJUIN24!AJ12+MVTJUIL24!AJ12+MVTAOUT24!AJ12+MVTSEPT24!AJ12+MVTOCT24!AJ12+MVTNOV24!AJ12+MVTDEC24!AJ12</f>
        <v>0</v>
      </c>
      <c r="AK13" s="36">
        <f>MVTJANV24!AK12+MVTFEV24!AK12+MVTMARS24!AK12+MVTAVRIL24!AK12+MVTMAI24!AK12+MVTJUIN24!AK12+MVTJUIL24!AK12+MVTAOUT24!AK12+MVTSEPT24!AK12+MVTOCT24!AK12+MVTNOV24!AK12+MVTDEC24!AK12</f>
        <v>0</v>
      </c>
      <c r="AL13" s="143">
        <v>45474</v>
      </c>
      <c r="AM13" s="144">
        <f t="shared" si="2"/>
        <v>60000</v>
      </c>
      <c r="AN13" s="144"/>
      <c r="AP13" s="36"/>
    </row>
    <row r="14" spans="1:42" ht="15.75" x14ac:dyDescent="0.25">
      <c r="A14" s="1" t="s">
        <v>79</v>
      </c>
      <c r="B14" s="1" t="str">
        <f>VLOOKUP(A14,[19]LISTADHERENT!A$5:H$60,3,0)</f>
        <v>DOMOU FABIEN</v>
      </c>
      <c r="C14" s="36">
        <f>+MVTDEC23!C13</f>
        <v>700000</v>
      </c>
      <c r="D14" s="36">
        <f>+MVTDEC23!D13</f>
        <v>41.235805909789633</v>
      </c>
      <c r="E14" s="36">
        <f>VLOOKUP($A14,[24]HISTODEC24!$A$6:$BA$38,48,0)</f>
        <v>0</v>
      </c>
      <c r="F14" s="36">
        <f>MVTDEC24!F13</f>
        <v>975555.14612214814</v>
      </c>
      <c r="G14" s="5">
        <f>MVTDEC24!G13</f>
        <v>975555.14612214814</v>
      </c>
      <c r="H14" s="36">
        <f>MVTDEC23!H13+MVTJANV24!H13+MVTFEV24!H13+MVTMARS24!H13+MVTAVRIL24!H13+MVTMAI24!H13+MVTJUIN24!H13+MVTJUIL24!H13+MVTAOUT24!H13+MVTSEPT24!H13+MVTOCT24!H13+MVTNOV24!H13+MVTDEC24!H13</f>
        <v>47513.910316238274</v>
      </c>
      <c r="I14" s="6">
        <f t="shared" si="0"/>
        <v>1023069.0564383864</v>
      </c>
      <c r="J14" s="36">
        <f>MVTJANV24!J13+MVTFEV24!J13+MVTMARS24!J13+MVTAVRIL24!J13+MVTMAI24!J13+MVTJUIN24!J13+MVTJUIL24!J13+MVTAOUT24!J13+MVTSEPT24!J13+MVTOCT24!J13+MVTNOV24!J13+MVTDEC24!J13</f>
        <v>0</v>
      </c>
      <c r="K14" s="36">
        <f>MVTJANV24!K13+MVTFEV24!K13+MVTMARS24!K13+MVTAVRIL24!K13+MVTMAI24!K13+MVTJUIN24!K13+MVTJUIL24!K13+MVTAOUT24!K13+MVTSEPT24!K13+MVTOCT24!K13+MVTNOV24!K13+MVTDEC24!K13</f>
        <v>300000</v>
      </c>
      <c r="L14" s="36">
        <f>MVTJANV24!L13+MVTFEV24!L13+MVTMARS24!L13+MVTAVRIL24!L13+MVTMAI24!L13+MVTJUIN24!L13+MVTJUIL24!L13+MVTAOUT24!L13+MVTSEPT24!L13+MVTOCT24!L13+MVTNOV24!L13+MVTDEC24!L13</f>
        <v>228000</v>
      </c>
      <c r="M14" s="36">
        <f>MVTJANV24!M13+MVTFEV24!M13+MVTMARS24!M13+MVTAVRIL24!M13+MVTMAI24!M13+MVTJUIN24!M13+MVTJUIL24!M13+MVTAOUT24!M13+MVTSEPT24!M13+MVTOCT24!M13+MVTNOV24!M13+MVTDEC24!M13</f>
        <v>12000</v>
      </c>
      <c r="N14" s="36">
        <f>MVTJANV24!N13+MVTFEV24!N13+MVTMARS24!N13+MVTAVRIL24!N13+MVTMAI24!N13+MVTJUIN24!N13+MVTJUIL24!N13+MVTAOUT24!N13+MVTSEPT24!N13+MVTOCT24!N13+MVTNOV24!N13+MVTDEC24!N13</f>
        <v>12000</v>
      </c>
      <c r="O14" s="36">
        <f>MVTJANV24!O13+MVTFEV24!O13+MVTMARS24!O13+MVTAVRIL24!O13+MVTMAI24!O13+MVTJUIN24!O13+MVTJUIL24!O13+MVTAOUT24!O13+MVTSEPT24!O13+MVTOCT24!O13+MVTNOV24!O13+MVTDEC24!O13</f>
        <v>48000</v>
      </c>
      <c r="P14" s="36">
        <f>MVTJANV24!P13+MVTFEV24!P13+MVTMARS24!P13+MVTAVRIL24!P13+MVTMAI24!P13+MVTJUIN24!P13+MVTJUIL24!P13+MVTAOUT24!P13+MVTSEPT24!P13+MVTOCT24!P13+MVTNOV24!P13+MVTDEC24!P13</f>
        <v>0</v>
      </c>
      <c r="Q14" s="36">
        <f>MVTJANV24!Q13+MVTFEV24!Q13+MVTMARS24!Q13+MVTAVRIL24!Q13+MVTMAI24!Q13+MVTJUIN24!Q13+MVTJUIL24!Q13+MVTAOUT24!Q13+MVTSEPT24!Q13+MVTOCT24!Q13+MVTNOV24!Q13+MVTDEC24!Q13</f>
        <v>0</v>
      </c>
      <c r="R14" s="36">
        <f>MVTJANV24!R13+MVTFEV24!R13+MVTMARS24!R13+MVTAVRIL24!R13+MVTMAI24!R13+MVTJUIN24!R13+MVTJUIL24!R13+MVTAOUT24!R13+MVTSEPT24!R13+MVTOCT24!R13+MVTNOV24!R13+MVTDEC24!R13</f>
        <v>0</v>
      </c>
      <c r="S14" s="36">
        <f>MVTDEC23!S13+MVTJANV24!S13+MVTFEV24!S13+MVTMARS24!S13+MVTAVRIL24!S13+MVTMAI24!S13+MVTJUIN24!S13+MVTJUIL24!S13+MVTAOUT24!S13+MVTSEPT24!S13+MVTOCT24!S13+MVTNOV24!S13+MVTDEC24!S13</f>
        <v>1000000</v>
      </c>
      <c r="T14" s="36">
        <f>MVTDEC23!T13+MVTJANV24!T13+MVTFEV24!T13+MVTMARS24!T13+MVTAVRIL24!T13+MVTMAI24!T13+MVTJUIN24!T13+MVTJUIL24!T13+MVTAOUT24!T13+MVTSEPT24!T13+MVTOCT24!T13+MVTNOV24!T13+MVTDEC24!T13</f>
        <v>120000</v>
      </c>
      <c r="U14" s="36"/>
      <c r="V14" s="36">
        <f>MVTJANV24!V13+MVTFEV24!V13+MVTMARS24!V13+MVTAVRIL24!V13+MVTMAI24!V13+MVTJUIN24!V13+MVTJUIL24!V13+MVTAOUT24!V13+MVTSEPT24!V13+MVTOCT24!V13+MVTNOV24!V13+MVTDEC24!V13</f>
        <v>0</v>
      </c>
      <c r="W14" s="36">
        <f t="shared" si="1"/>
        <v>1000000</v>
      </c>
      <c r="X14" s="36"/>
      <c r="Y14" s="36"/>
      <c r="Z14" s="36">
        <f>MVTJANV24!Z13+MVTFEV24!Z13+MVTMARS24!Z13+MVTAVRIL24!Z13+MVTMAI24!Z13+MVTJUIN24!Z13+MVTJUIL24!Z13+MVTAOUT24!Z13+MVTSEPT24!Z13+MVTOCT24!Z13+MVTNOV24!Z13+MVTDEC24!Z13</f>
        <v>0</v>
      </c>
      <c r="AA14" s="36">
        <f>MVTJANV24!AA13+MVTFEV24!AA13+MVTMARS24!AA13+MVTAVRIL24!AA13+MVTMAI24!AA13+MVTJUIN24!AA13+MVTJUIL24!AA13+MVTAOUT24!AA13+MVTSEPT24!AA13+MVTOCT24!AA13+MVTNOV24!AA13+MVTDEC24!AA13</f>
        <v>0</v>
      </c>
      <c r="AB14" s="36">
        <f>MVTJANV24!AB13+MVTFEV24!AB13+MVTMARS24!AB13+MVTAVRIL24!AB13+MVTMAI24!AB13+MVTJUIN24!AB13+MVTJUIL24!AB13+MVTAOUT24!AB13+MVTSEPT24!AB13+MVTOCT24!AB13+MVTNOV24!AB13+MVTDEC24!AB13</f>
        <v>0</v>
      </c>
      <c r="AC14" s="36">
        <f>MVTJANV24!AC13+MVTFEV24!AC13+MVTMARS24!AC13+MVTAVRIL24!AC13+MVTMAI24!AC13+MVTJUIN24!AC13+MVTJUIL24!AC13+MVTAOUT24!AC13+MVTSEPT24!AC13+MVTOCT24!AC13+MVTNOV24!AC13+MVTDEC24!AC13</f>
        <v>0</v>
      </c>
      <c r="AD14" s="36">
        <f>MVTJANV24!AD13+MVTFEV24!AD13+MVTMARS24!AD13+MVTAVRIL24!AD13+MVTMAI24!AD13+MVTJUIN24!AD13+MVTJUIL24!AD13+MVTAOUT24!AD13+MVTSEPT24!AD13+MVTOCT24!AD13+MVTNOV24!AD13+MVTDEC24!AD13</f>
        <v>0</v>
      </c>
      <c r="AE14" s="36">
        <f>MVTJANV24!AE13+MVTFEV24!AE13+MVTMARS24!AE13+MVTAVRIL24!AE13+MVTMAI24!AE13+MVTJUIN24!AE13+MVTJUIL24!AE13+MVTAOUT24!AE13+MVTSEPT24!AE13+MVTOCT24!AE13+MVTNOV24!AE13+MVTDEC24!AE13</f>
        <v>0</v>
      </c>
      <c r="AF14" s="36">
        <f>MVTJANV24!AF13+MVTFEV24!AF13+MVTMARS24!AF13+MVTAVRIL24!AF13+MVTMAI24!AF13+MVTJUIN24!AF13+MVTJUIL24!AF13+MVTAOUT24!AF13+MVTSEPT24!AF13+MVTOCT24!AF13+MVTNOV24!AF13+MVTDEC24!AF13</f>
        <v>0</v>
      </c>
      <c r="AG14" s="36">
        <f>MVTJANV24!AG13+MVTFEV24!AG13+MVTMARS24!AG13+MVTAVRIL24!AG13+MVTMAI24!AG13+MVTJUIN24!AG13+MVTJUIL24!AG13+MVTAOUT24!AG13+MVTSEPT24!AG13+MVTOCT24!AG13+MVTNOV24!AG13+MVTDEC24!AG13</f>
        <v>0</v>
      </c>
      <c r="AH14" s="36">
        <f>MVTJANV24!AH13+MVTFEV24!AH13+MVTMARS24!AH13+MVTAVRIL24!AH13+MVTMAI24!AH13+MVTJUIN24!AH13+MVTJUIL24!AH13+MVTAOUT24!AH13+MVTSEPT24!AH13+MVTOCT24!AH13+MVTNOV24!AH13+MVTDEC24!AH13</f>
        <v>0</v>
      </c>
      <c r="AI14" s="36">
        <f>MVTJANV24!AI13+MVTFEV24!AI13+MVTMARS24!AI13+MVTAVRIL24!AI13+MVTMAI24!AI13+MVTJUIN24!AI13+MVTJUIL24!AI13+MVTAOUT24!AI13+MVTSEPT24!AI13+MVTOCT24!AI13+MVTNOV24!AI13+MVTDEC24!AI13</f>
        <v>0</v>
      </c>
      <c r="AJ14" s="36">
        <f>MVTJANV24!AJ13+MVTFEV24!AJ13+MVTMARS24!AJ13+MVTAVRIL24!AJ13+MVTMAI24!AJ13+MVTJUIN24!AJ13+MVTJUIL24!AJ13+MVTAOUT24!AJ13+MVTSEPT24!AJ13+MVTOCT24!AJ13+MVTNOV24!AJ13+MVTDEC24!AJ13</f>
        <v>0</v>
      </c>
      <c r="AK14" s="36">
        <f>MVTJANV24!AK13+MVTFEV24!AK13+MVTMARS24!AK13+MVTAVRIL24!AK13+MVTMAI24!AK13+MVTJUIN24!AK13+MVTJUIL24!AK13+MVTAOUT24!AK13+MVTSEPT24!AK13+MVTOCT24!AK13+MVTNOV24!AK13+MVTDEC24!AK13</f>
        <v>0</v>
      </c>
      <c r="AL14" s="143">
        <v>45627</v>
      </c>
      <c r="AM14" s="144">
        <f t="shared" si="2"/>
        <v>120000</v>
      </c>
      <c r="AN14" s="144"/>
      <c r="AP14" s="36"/>
    </row>
    <row r="15" spans="1:42" ht="15.75" x14ac:dyDescent="0.25">
      <c r="A15" s="1" t="s">
        <v>26</v>
      </c>
      <c r="B15" s="1" t="str">
        <f>VLOOKUP(A15,[19]LISTADHERENT!A$5:H$60,3,0)</f>
        <v>DONHOU DAVID</v>
      </c>
      <c r="C15" s="36">
        <f>+MVTDEC23!C14</f>
        <v>700000</v>
      </c>
      <c r="D15" s="36">
        <f>+MVTDEC23!D14</f>
        <v>518031.2910165739</v>
      </c>
      <c r="E15" s="36">
        <f>VLOOKUP($A15,[24]HISTODEC24!$A$6:$BA$38,48,0)</f>
        <v>0</v>
      </c>
      <c r="F15" s="36">
        <f>MVTDEC24!F14</f>
        <v>1528425.9823482623</v>
      </c>
      <c r="G15" s="5">
        <f>MVTDEC24!G14</f>
        <v>1528425.9823482623</v>
      </c>
      <c r="H15" s="36">
        <f>MVTDEC23!H14+MVTJANV24!H14+MVTFEV24!H14+MVTMARS24!H14+MVTAVRIL24!H14+MVTMAI24!H14+MVTJUIN24!H14+MVTJUIL24!H14+MVTAOUT24!H14+MVTSEPT24!H14+MVTOCT24!H14+MVTNOV24!H14+MVTDEC24!H14</f>
        <v>82394.691331688126</v>
      </c>
      <c r="I15" s="6">
        <f t="shared" si="0"/>
        <v>1610820.6736799504</v>
      </c>
      <c r="J15" s="36">
        <f>MVTJANV24!J14+MVTFEV24!J14+MVTMARS24!J14+MVTAVRIL24!J14+MVTMAI24!J14+MVTJUIN24!J14+MVTJUIL24!J14+MVTAOUT24!J14+MVTSEPT24!J14+MVTOCT24!J14+MVTNOV24!J14+MVTDEC24!J14</f>
        <v>0</v>
      </c>
      <c r="K15" s="36">
        <f>MVTJANV24!K14+MVTFEV24!K14+MVTMARS24!K14+MVTAVRIL24!K14+MVTMAI24!K14+MVTJUIN24!K14+MVTJUIL24!K14+MVTAOUT24!K14+MVTSEPT24!K14+MVTOCT24!K14+MVTNOV24!K14+MVTDEC24!K14</f>
        <v>300000</v>
      </c>
      <c r="L15" s="36">
        <f>MVTJANV24!L14+MVTFEV24!L14+MVTMARS24!L14+MVTAVRIL24!L14+MVTMAI24!L14+MVTJUIN24!L14+MVTJUIL24!L14+MVTAOUT24!L14+MVTSEPT24!L14+MVTOCT24!L14+MVTNOV24!L14+MVTDEC24!L14</f>
        <v>228000</v>
      </c>
      <c r="M15" s="36">
        <f>MVTJANV24!M14+MVTFEV24!M14+MVTMARS24!M14+MVTAVRIL24!M14+MVTMAI24!M14+MVTJUIN24!M14+MVTJUIL24!M14+MVTAOUT24!M14+MVTSEPT24!M14+MVTOCT24!M14+MVTNOV24!M14+MVTDEC24!M14</f>
        <v>12000</v>
      </c>
      <c r="N15" s="36">
        <f>MVTJANV24!N14+MVTFEV24!N14+MVTMARS24!N14+MVTAVRIL24!N14+MVTMAI24!N14+MVTJUIN24!N14+MVTJUIL24!N14+MVTAOUT24!N14+MVTSEPT24!N14+MVTOCT24!N14+MVTNOV24!N14+MVTDEC24!N14</f>
        <v>12000</v>
      </c>
      <c r="O15" s="36">
        <f>MVTJANV24!O14+MVTFEV24!O14+MVTMARS24!O14+MVTAVRIL24!O14+MVTMAI24!O14+MVTJUIN24!O14+MVTJUIL24!O14+MVTAOUT24!O14+MVTSEPT24!O14+MVTOCT24!O14+MVTNOV24!O14+MVTDEC24!O14</f>
        <v>48000</v>
      </c>
      <c r="P15" s="36">
        <f>MVTJANV24!P14+MVTFEV24!P14+MVTMARS24!P14+MVTAVRIL24!P14+MVTMAI24!P14+MVTJUIN24!P14+MVTJUIL24!P14+MVTAOUT24!P14+MVTSEPT24!P14+MVTOCT24!P14+MVTNOV24!P14+MVTDEC24!P14</f>
        <v>0</v>
      </c>
      <c r="Q15" s="36">
        <f>MVTJANV24!Q14+MVTFEV24!Q14+MVTMARS24!Q14+MVTAVRIL24!Q14+MVTMAI24!Q14+MVTJUIN24!Q14+MVTJUIL24!Q14+MVTAOUT24!Q14+MVTSEPT24!Q14+MVTOCT24!Q14+MVTNOV24!Q14+MVTDEC24!Q14</f>
        <v>0</v>
      </c>
      <c r="R15" s="36">
        <f>MVTJANV24!R14+MVTFEV24!R14+MVTMARS24!R14+MVTAVRIL24!R14+MVTMAI24!R14+MVTJUIN24!R14+MVTJUIL24!R14+MVTAOUT24!R14+MVTSEPT24!R14+MVTOCT24!R14+MVTNOV24!R14+MVTDEC24!R14</f>
        <v>0</v>
      </c>
      <c r="S15" s="36">
        <f>MVTDEC23!S14+MVTJANV24!S14+MVTFEV24!S14+MVTMARS24!S14+MVTAVRIL24!S14+MVTMAI24!S14+MVTJUIN24!S14+MVTJUIL24!S14+MVTAOUT24!S14+MVTSEPT24!S14+MVTOCT24!S14+MVTNOV24!S14+MVTDEC24!S14</f>
        <v>0</v>
      </c>
      <c r="T15" s="36">
        <f>MVTDEC23!T14+MVTJANV24!T14+MVTFEV24!T14+MVTMARS24!T14+MVTAVRIL24!T14+MVTMAI24!T14+MVTJUIN24!T14+MVTJUIL24!T14+MVTAOUT24!T14+MVTSEPT24!T14+MVTOCT24!T14+MVTNOV24!T14+MVTDEC24!T14</f>
        <v>0</v>
      </c>
      <c r="U15" s="36"/>
      <c r="V15" s="36">
        <f>MVTJANV24!V14+MVTFEV24!V14+MVTMARS24!V14+MVTAVRIL24!V14+MVTMAI24!V14+MVTJUIN24!V14+MVTJUIL24!V14+MVTAOUT24!V14+MVTSEPT24!V14+MVTOCT24!V14+MVTNOV24!V14+MVTDEC24!V14</f>
        <v>0</v>
      </c>
      <c r="W15" s="36">
        <f t="shared" si="1"/>
        <v>0</v>
      </c>
      <c r="X15" s="36"/>
      <c r="Y15" s="36"/>
      <c r="Z15" s="36">
        <f>MVTJANV24!Z14+MVTFEV24!Z14+MVTMARS24!Z14+MVTAVRIL24!Z14+MVTMAI24!Z14+MVTJUIN24!Z14+MVTJUIL24!Z14+MVTAOUT24!Z14+MVTSEPT24!Z14+MVTOCT24!Z14+MVTNOV24!Z14+MVTDEC24!Z14</f>
        <v>0</v>
      </c>
      <c r="AA15" s="36">
        <f>MVTJANV24!AA14+MVTFEV24!AA14+MVTMARS24!AA14+MVTAVRIL24!AA14+MVTMAI24!AA14+MVTJUIN24!AA14+MVTJUIL24!AA14+MVTAOUT24!AA14+MVTSEPT24!AA14+MVTOCT24!AA14+MVTNOV24!AA14+MVTDEC24!AA14</f>
        <v>0</v>
      </c>
      <c r="AB15" s="36">
        <f>MVTJANV24!AB14+MVTFEV24!AB14+MVTMARS24!AB14+MVTAVRIL24!AB14+MVTMAI24!AB14+MVTJUIN24!AB14+MVTJUIL24!AB14+MVTAOUT24!AB14+MVTSEPT24!AB14+MVTOCT24!AB14+MVTNOV24!AB14+MVTDEC24!AB14</f>
        <v>0</v>
      </c>
      <c r="AC15" s="36">
        <f>MVTJANV24!AC14+MVTFEV24!AC14+MVTMARS24!AC14+MVTAVRIL24!AC14+MVTMAI24!AC14+MVTJUIN24!AC14+MVTJUIL24!AC14+MVTAOUT24!AC14+MVTSEPT24!AC14+MVTOCT24!AC14+MVTNOV24!AC14+MVTDEC24!AC14</f>
        <v>0</v>
      </c>
      <c r="AD15" s="36">
        <f>MVTJANV24!AD14+MVTFEV24!AD14+MVTMARS24!AD14+MVTAVRIL24!AD14+MVTMAI24!AD14+MVTJUIN24!AD14+MVTJUIL24!AD14+MVTAOUT24!AD14+MVTSEPT24!AD14+MVTOCT24!AD14+MVTNOV24!AD14+MVTDEC24!AD14</f>
        <v>0</v>
      </c>
      <c r="AE15" s="36">
        <f>MVTJANV24!AE14+MVTFEV24!AE14+MVTMARS24!AE14+MVTAVRIL24!AE14+MVTMAI24!AE14+MVTJUIN24!AE14+MVTJUIL24!AE14+MVTAOUT24!AE14+MVTSEPT24!AE14+MVTOCT24!AE14+MVTNOV24!AE14+MVTDEC24!AE14</f>
        <v>0</v>
      </c>
      <c r="AF15" s="36">
        <f>MVTJANV24!AF14+MVTFEV24!AF14+MVTMARS24!AF14+MVTAVRIL24!AF14+MVTMAI24!AF14+MVTJUIN24!AF14+MVTJUIL24!AF14+MVTAOUT24!AF14+MVTSEPT24!AF14+MVTOCT24!AF14+MVTNOV24!AF14+MVTDEC24!AF14</f>
        <v>0</v>
      </c>
      <c r="AG15" s="36">
        <f>MVTJANV24!AG14+MVTFEV24!AG14+MVTMARS24!AG14+MVTAVRIL24!AG14+MVTMAI24!AG14+MVTJUIN24!AG14+MVTJUIL24!AG14+MVTAOUT24!AG14+MVTSEPT24!AG14+MVTOCT24!AG14+MVTNOV24!AG14+MVTDEC24!AG14</f>
        <v>0</v>
      </c>
      <c r="AH15" s="36">
        <f>MVTJANV24!AH14+MVTFEV24!AH14+MVTMARS24!AH14+MVTAVRIL24!AH14+MVTMAI24!AH14+MVTJUIN24!AH14+MVTJUIL24!AH14+MVTAOUT24!AH14+MVTSEPT24!AH14+MVTOCT24!AH14+MVTNOV24!AH14+MVTDEC24!AH14</f>
        <v>0</v>
      </c>
      <c r="AI15" s="36">
        <f>MVTJANV24!AI14+MVTFEV24!AI14+MVTMARS24!AI14+MVTAVRIL24!AI14+MVTMAI24!AI14+MVTJUIN24!AI14+MVTJUIL24!AI14+MVTAOUT24!AI14+MVTSEPT24!AI14+MVTOCT24!AI14+MVTNOV24!AI14+MVTDEC24!AI14</f>
        <v>0</v>
      </c>
      <c r="AJ15" s="36">
        <f>MVTJANV24!AJ14+MVTFEV24!AJ14+MVTMARS24!AJ14+MVTAVRIL24!AJ14+MVTMAI24!AJ14+MVTJUIN24!AJ14+MVTJUIL24!AJ14+MVTAOUT24!AJ14+MVTSEPT24!AJ14+MVTOCT24!AJ14+MVTNOV24!AJ14+MVTDEC24!AJ14</f>
        <v>0</v>
      </c>
      <c r="AK15" s="36">
        <f>MVTJANV24!AK14+MVTFEV24!AK14+MVTMARS24!AK14+MVTAVRIL24!AK14+MVTMAI24!AK14+MVTJUIN24!AK14+MVTJUIL24!AK14+MVTAOUT24!AK14+MVTSEPT24!AK14+MVTOCT24!AK14+MVTNOV24!AK14+MVTDEC24!AK14</f>
        <v>0</v>
      </c>
      <c r="AL15" s="143"/>
      <c r="AM15" s="144">
        <f t="shared" si="2"/>
        <v>0</v>
      </c>
      <c r="AN15" s="144"/>
      <c r="AP15" s="36"/>
    </row>
    <row r="16" spans="1:42" ht="14.25" customHeight="1" x14ac:dyDescent="0.25">
      <c r="A16" s="1" t="s">
        <v>28</v>
      </c>
      <c r="B16" s="1" t="str">
        <f>VLOOKUP(A16,[19]LISTADHERENT!A$5:H$60,3,0)</f>
        <v>HENGUE PAUL OMER</v>
      </c>
      <c r="C16" s="36">
        <f>+MVTDEC23!C15</f>
        <v>700000</v>
      </c>
      <c r="D16" s="36">
        <f>+MVTDEC23!D15</f>
        <v>57899.603500921949</v>
      </c>
      <c r="E16" s="36">
        <f>VLOOKUP($A16,[24]HISTODEC24!$A$6:$BA$38,48,0)</f>
        <v>0</v>
      </c>
      <c r="F16" s="36">
        <f>MVTDEC24!F15</f>
        <v>1037309.6215381094</v>
      </c>
      <c r="G16" s="5">
        <f>MVTDEC24!G15</f>
        <v>1037309.6215381094</v>
      </c>
      <c r="H16" s="36">
        <f>MVTDEC23!H15+MVTJANV24!H15+MVTFEV24!H15+MVTMARS24!H15+MVTAVRIL24!H15+MVTMAI24!H15+MVTJUIN24!H15+MVTJUIL24!H15+MVTAOUT24!H15+MVTSEPT24!H15+MVTOCT24!H15+MVTNOV24!H15+MVTDEC24!H15</f>
        <v>51410.018037187321</v>
      </c>
      <c r="I16" s="6">
        <f t="shared" si="0"/>
        <v>1088719.6395752968</v>
      </c>
      <c r="J16" s="36">
        <f>MVTJANV24!J15+MVTFEV24!J15+MVTMARS24!J15+MVTAVRIL24!J15+MVTMAI24!J15+MVTJUIN24!J15+MVTJUIL24!J15+MVTAOUT24!J15+MVTSEPT24!J15+MVTOCT24!J15+MVTNOV24!J15+MVTDEC24!J15</f>
        <v>0</v>
      </c>
      <c r="K16" s="36">
        <f>MVTJANV24!K15+MVTFEV24!K15+MVTMARS24!K15+MVTAVRIL24!K15+MVTMAI24!K15+MVTJUIN24!K15+MVTJUIL24!K15+MVTAOUT24!K15+MVTSEPT24!K15+MVTOCT24!K15+MVTNOV24!K15+MVTDEC24!K15</f>
        <v>300000</v>
      </c>
      <c r="L16" s="36">
        <f>MVTJANV24!L15+MVTFEV24!L15+MVTMARS24!L15+MVTAVRIL24!L15+MVTMAI24!L15+MVTJUIN24!L15+MVTJUIL24!L15+MVTAOUT24!L15+MVTSEPT24!L15+MVTOCT24!L15+MVTNOV24!L15+MVTDEC24!L15</f>
        <v>228000</v>
      </c>
      <c r="M16" s="36">
        <f>MVTJANV24!M15+MVTFEV24!M15+MVTMARS24!M15+MVTAVRIL24!M15+MVTMAI24!M15+MVTJUIN24!M15+MVTJUIL24!M15+MVTAOUT24!M15+MVTSEPT24!M15+MVTOCT24!M15+MVTNOV24!M15+MVTDEC24!M15</f>
        <v>12000</v>
      </c>
      <c r="N16" s="36">
        <f>MVTJANV24!N15+MVTFEV24!N15+MVTMARS24!N15+MVTAVRIL24!N15+MVTMAI24!N15+MVTJUIN24!N15+MVTJUIL24!N15+MVTAOUT24!N15+MVTSEPT24!N15+MVTOCT24!N15+MVTNOV24!N15+MVTDEC24!N15</f>
        <v>12000</v>
      </c>
      <c r="O16" s="36">
        <f>MVTJANV24!O15+MVTFEV24!O15+MVTMARS24!O15+MVTAVRIL24!O15+MVTMAI24!O15+MVTJUIN24!O15+MVTJUIL24!O15+MVTAOUT24!O15+MVTSEPT24!O15+MVTOCT24!O15+MVTNOV24!O15+MVTDEC24!O15</f>
        <v>48000</v>
      </c>
      <c r="P16" s="36">
        <f>MVTJANV24!P15+MVTFEV24!P15+MVTMARS24!P15+MVTAVRIL24!P15+MVTMAI24!P15+MVTJUIN24!P15+MVTJUIL24!P15+MVTAOUT24!P15+MVTSEPT24!P15+MVTOCT24!P15+MVTNOV24!P15+MVTDEC24!P15</f>
        <v>0</v>
      </c>
      <c r="Q16" s="36">
        <f>MVTJANV24!Q15+MVTFEV24!Q15+MVTMARS24!Q15+MVTAVRIL24!Q15+MVTMAI24!Q15+MVTJUIN24!Q15+MVTJUIL24!Q15+MVTAOUT24!Q15+MVTSEPT24!Q15+MVTOCT24!Q15+MVTNOV24!Q15+MVTDEC24!Q15</f>
        <v>0</v>
      </c>
      <c r="R16" s="36">
        <f>MVTJANV24!R15+MVTFEV24!R15+MVTMARS24!R15+MVTAVRIL24!R15+MVTMAI24!R15+MVTJUIN24!R15+MVTJUIL24!R15+MVTAOUT24!R15+MVTSEPT24!R15+MVTOCT24!R15+MVTNOV24!R15+MVTDEC24!R15</f>
        <v>0</v>
      </c>
      <c r="S16" s="36">
        <f>MVTDEC23!S15+MVTJANV24!S15+MVTFEV24!S15+MVTMARS24!S15+MVTAVRIL24!S15+MVTMAI24!S15+MVTJUIN24!S15+MVTJUIL24!S15+MVTAOUT24!S15+MVTSEPT24!S15+MVTOCT24!S15+MVTNOV24!S15+MVTDEC24!S15</f>
        <v>0</v>
      </c>
      <c r="T16" s="36">
        <f>MVTDEC23!T15+MVTJANV24!T15+MVTFEV24!T15+MVTMARS24!T15+MVTAVRIL24!T15+MVTMAI24!T15+MVTJUIN24!T15+MVTJUIL24!T15+MVTAOUT24!T15+MVTSEPT24!T15+MVTOCT24!T15+MVTNOV24!T15+MVTDEC24!T15</f>
        <v>0</v>
      </c>
      <c r="U16" s="36"/>
      <c r="V16" s="36">
        <f>MVTJANV24!V15+MVTFEV24!V15+MVTMARS24!V15+MVTAVRIL24!V15+MVTMAI24!V15+MVTJUIN24!V15+MVTJUIL24!V15+MVTAOUT24!V15+MVTSEPT24!V15+MVTOCT24!V15+MVTNOV24!V15+MVTDEC24!V15</f>
        <v>0</v>
      </c>
      <c r="W16" s="36">
        <f t="shared" si="1"/>
        <v>0</v>
      </c>
      <c r="X16" s="36"/>
      <c r="Y16" s="36"/>
      <c r="Z16" s="36">
        <f>MVTJANV24!Z15+MVTFEV24!Z15+MVTMARS24!Z15+MVTAVRIL24!Z15+MVTMAI24!Z15+MVTJUIN24!Z15+MVTJUIL24!Z15+MVTAOUT24!Z15+MVTSEPT24!Z15+MVTOCT24!Z15+MVTNOV24!Z15+MVTDEC24!Z15</f>
        <v>0</v>
      </c>
      <c r="AA16" s="36">
        <f>MVTJANV24!AA15+MVTFEV24!AA15+MVTMARS24!AA15+MVTAVRIL24!AA15+MVTMAI24!AA15+MVTJUIN24!AA15+MVTJUIL24!AA15+MVTAOUT24!AA15+MVTSEPT24!AA15+MVTOCT24!AA15+MVTNOV24!AA15+MVTDEC24!AA15</f>
        <v>0</v>
      </c>
      <c r="AB16" s="36">
        <f>MVTJANV24!AB15+MVTFEV24!AB15+MVTMARS24!AB15+MVTAVRIL24!AB15+MVTMAI24!AB15+MVTJUIN24!AB15+MVTJUIL24!AB15+MVTAOUT24!AB15+MVTSEPT24!AB15+MVTOCT24!AB15+MVTNOV24!AB15+MVTDEC24!AB15</f>
        <v>0</v>
      </c>
      <c r="AC16" s="36">
        <f>MVTJANV24!AC15+MVTFEV24!AC15+MVTMARS24!AC15+MVTAVRIL24!AC15+MVTMAI24!AC15+MVTJUIN24!AC15+MVTJUIL24!AC15+MVTAOUT24!AC15+MVTSEPT24!AC15+MVTOCT24!AC15+MVTNOV24!AC15+MVTDEC24!AC15</f>
        <v>0</v>
      </c>
      <c r="AD16" s="36">
        <f>MVTJANV24!AD15+MVTFEV24!AD15+MVTMARS24!AD15+MVTAVRIL24!AD15+MVTMAI24!AD15+MVTJUIN24!AD15+MVTJUIL24!AD15+MVTAOUT24!AD15+MVTSEPT24!AD15+MVTOCT24!AD15+MVTNOV24!AD15+MVTDEC24!AD15</f>
        <v>0</v>
      </c>
      <c r="AE16" s="36">
        <f>MVTJANV24!AE15+MVTFEV24!AE15+MVTMARS24!AE15+MVTAVRIL24!AE15+MVTMAI24!AE15+MVTJUIN24!AE15+MVTJUIL24!AE15+MVTAOUT24!AE15+MVTSEPT24!AE15+MVTOCT24!AE15+MVTNOV24!AE15+MVTDEC24!AE15</f>
        <v>0</v>
      </c>
      <c r="AF16" s="36">
        <f>MVTJANV24!AF15+MVTFEV24!AF15+MVTMARS24!AF15+MVTAVRIL24!AF15+MVTMAI24!AF15+MVTJUIN24!AF15+MVTJUIL24!AF15+MVTAOUT24!AF15+MVTSEPT24!AF15+MVTOCT24!AF15+MVTNOV24!AF15+MVTDEC24!AF15</f>
        <v>0</v>
      </c>
      <c r="AG16" s="36">
        <f>MVTJANV24!AG15+MVTFEV24!AG15+MVTMARS24!AG15+MVTAVRIL24!AG15+MVTMAI24!AG15+MVTJUIN24!AG15+MVTJUIL24!AG15+MVTAOUT24!AG15+MVTSEPT24!AG15+MVTOCT24!AG15+MVTNOV24!AG15+MVTDEC24!AG15</f>
        <v>0</v>
      </c>
      <c r="AH16" s="36">
        <f>MVTJANV24!AH15+MVTFEV24!AH15+MVTMARS24!AH15+MVTAVRIL24!AH15+MVTMAI24!AH15+MVTJUIN24!AH15+MVTJUIL24!AH15+MVTAOUT24!AH15+MVTSEPT24!AH15+MVTOCT24!AH15+MVTNOV24!AH15+MVTDEC24!AH15</f>
        <v>0</v>
      </c>
      <c r="AI16" s="36">
        <f>MVTJANV24!AI15+MVTFEV24!AI15+MVTMARS24!AI15+MVTAVRIL24!AI15+MVTMAI24!AI15+MVTJUIN24!AI15+MVTJUIL24!AI15+MVTAOUT24!AI15+MVTSEPT24!AI15+MVTOCT24!AI15+MVTNOV24!AI15+MVTDEC24!AI15</f>
        <v>0</v>
      </c>
      <c r="AJ16" s="36">
        <f>MVTJANV24!AJ15+MVTFEV24!AJ15+MVTMARS24!AJ15+MVTAVRIL24!AJ15+MVTMAI24!AJ15+MVTJUIN24!AJ15+MVTJUIL24!AJ15+MVTAOUT24!AJ15+MVTSEPT24!AJ15+MVTOCT24!AJ15+MVTNOV24!AJ15+MVTDEC24!AJ15</f>
        <v>0</v>
      </c>
      <c r="AK16" s="36">
        <f>MVTJANV24!AK15+MVTFEV24!AK15+MVTMARS24!AK15+MVTAVRIL24!AK15+MVTMAI24!AK15+MVTJUIN24!AK15+MVTJUIL24!AK15+MVTAOUT24!AK15+MVTSEPT24!AK15+MVTOCT24!AK15+MVTNOV24!AK15+MVTDEC24!AK15</f>
        <v>0</v>
      </c>
      <c r="AL16" s="143"/>
      <c r="AM16" s="144">
        <f t="shared" si="2"/>
        <v>0</v>
      </c>
      <c r="AN16" s="144"/>
      <c r="AP16" s="36"/>
    </row>
    <row r="17" spans="1:42" ht="15.75" x14ac:dyDescent="0.25">
      <c r="A17" s="1" t="s">
        <v>29</v>
      </c>
      <c r="B17" s="1" t="str">
        <f>VLOOKUP(A17,[19]LISTADHERENT!A$5:H$60,3,0)</f>
        <v>HOTCHO BENJAMIN</v>
      </c>
      <c r="C17" s="36">
        <f>+MVTDEC23!C16</f>
        <v>700000</v>
      </c>
      <c r="D17" s="36">
        <f>+MVTDEC23!D16</f>
        <v>29661.208104101592</v>
      </c>
      <c r="E17" s="36">
        <f>VLOOKUP($A17,[24]HISTODEC24!$A$6:$BA$38,48,0)</f>
        <v>0</v>
      </c>
      <c r="F17" s="36">
        <f>MVTDEC24!F16</f>
        <v>1147858.7065070483</v>
      </c>
      <c r="G17" s="5">
        <f>MVTDEC24!G16</f>
        <v>1147858.7065070483</v>
      </c>
      <c r="H17" s="36">
        <f>MVTDEC23!H16+MVTJANV24!H16+MVTFEV24!H16+MVTMARS24!H16+MVTAVRIL24!H16+MVTMAI24!H16+MVTJUIN24!H16+MVTJUIL24!H16+MVTAOUT24!H16+MVTSEPT24!H16+MVTOCT24!H16+MVTNOV24!H16+MVTDEC24!H16</f>
        <v>50197.498402946847</v>
      </c>
      <c r="I17" s="6">
        <f t="shared" si="0"/>
        <v>1198056.2049099952</v>
      </c>
      <c r="J17" s="36">
        <f>MVTJANV24!J16+MVTFEV24!J16+MVTMARS24!J16+MVTAVRIL24!J16+MVTMAI24!J16+MVTJUIN24!J16+MVTJUIL24!J16+MVTAOUT24!J16+MVTSEPT24!J16+MVTOCT24!J16+MVTNOV24!J16+MVTDEC24!J16</f>
        <v>0</v>
      </c>
      <c r="K17" s="36">
        <f>MVTJANV24!K16+MVTFEV24!K16+MVTMARS24!K16+MVTAVRIL24!K16+MVTMAI24!K16+MVTJUIN24!K16+MVTJUIL24!K16+MVTAOUT24!K16+MVTSEPT24!K16+MVTOCT24!K16+MVTNOV24!K16+MVTDEC24!K16</f>
        <v>440000</v>
      </c>
      <c r="L17" s="36">
        <f>MVTJANV24!L16+MVTFEV24!L16+MVTMARS24!L16+MVTAVRIL24!L16+MVTMAI24!L16+MVTJUIN24!L16+MVTJUIL24!L16+MVTAOUT24!L16+MVTSEPT24!L16+MVTOCT24!L16+MVTNOV24!L16+MVTDEC24!L16</f>
        <v>368000</v>
      </c>
      <c r="M17" s="36">
        <f>MVTJANV24!M16+MVTFEV24!M16+MVTMARS24!M16+MVTAVRIL24!M16+MVTMAI24!M16+MVTJUIN24!M16+MVTJUIL24!M16+MVTAOUT24!M16+MVTSEPT24!M16+MVTOCT24!M16+MVTNOV24!M16+MVTDEC24!M16</f>
        <v>12000</v>
      </c>
      <c r="N17" s="36">
        <f>MVTJANV24!N16+MVTFEV24!N16+MVTMARS24!N16+MVTAVRIL24!N16+MVTMAI24!N16+MVTJUIN24!N16+MVTJUIL24!N16+MVTAOUT24!N16+MVTSEPT24!N16+MVTOCT24!N16+MVTNOV24!N16+MVTDEC24!N16</f>
        <v>12000</v>
      </c>
      <c r="O17" s="36">
        <f>MVTJANV24!O16+MVTFEV24!O16+MVTMARS24!O16+MVTAVRIL24!O16+MVTMAI24!O16+MVTJUIN24!O16+MVTJUIL24!O16+MVTAOUT24!O16+MVTSEPT24!O16+MVTOCT24!O16+MVTNOV24!O16+MVTDEC24!O16</f>
        <v>48000</v>
      </c>
      <c r="P17" s="36">
        <f>MVTJANV24!P16+MVTFEV24!P16+MVTMARS24!P16+MVTAVRIL24!P16+MVTMAI24!P16+MVTJUIN24!P16+MVTJUIL24!P16+MVTAOUT24!P16+MVTSEPT24!P16+MVTOCT24!P16+MVTNOV24!P16+MVTDEC24!P16</f>
        <v>0</v>
      </c>
      <c r="Q17" s="36">
        <f>MVTJANV24!Q16+MVTFEV24!Q16+MVTMARS24!Q16+MVTAVRIL24!Q16+MVTMAI24!Q16+MVTJUIN24!Q16+MVTJUIL24!Q16+MVTAOUT24!Q16+MVTSEPT24!Q16+MVTOCT24!Q16+MVTNOV24!Q16+MVTDEC24!Q16</f>
        <v>0</v>
      </c>
      <c r="R17" s="36">
        <f>MVTJANV24!R16+MVTFEV24!R16+MVTMARS24!R16+MVTAVRIL24!R16+MVTMAI24!R16+MVTJUIN24!R16+MVTJUIL24!R16+MVTAOUT24!R16+MVTSEPT24!R16+MVTOCT24!R16+MVTNOV24!R16+MVTDEC24!R16</f>
        <v>0</v>
      </c>
      <c r="S17" s="36">
        <f>MVTDEC23!S16+MVTJANV24!S16+MVTFEV24!S16+MVTMARS24!S16+MVTAVRIL24!S16+MVTMAI24!S16+MVTJUIN24!S16+MVTJUIL24!S16+MVTAOUT24!S16+MVTSEPT24!S16+MVTOCT24!S16+MVTNOV24!S16+MVTDEC24!S16</f>
        <v>363500</v>
      </c>
      <c r="T17" s="36">
        <f>MVTDEC23!T16+MVTJANV24!T16+MVTFEV24!T16+MVTMARS24!T16+MVTAVRIL24!T16+MVTMAI24!T16+MVTJUIN24!T16+MVTJUIL24!T16+MVTAOUT24!T16+MVTSEPT24!T16+MVTOCT24!T16+MVTNOV24!T16+MVTDEC24!T16</f>
        <v>0</v>
      </c>
      <c r="U17" s="36"/>
      <c r="V17" s="36">
        <f>MVTJANV24!V16+MVTFEV24!V16+MVTMARS24!V16+MVTAVRIL24!V16+MVTMAI24!V16+MVTJUIN24!V16+MVTJUIL24!V16+MVTAOUT24!V16+MVTSEPT24!V16+MVTOCT24!V16+MVTNOV24!V16+MVTDEC24!V16</f>
        <v>0</v>
      </c>
      <c r="W17" s="36">
        <f t="shared" si="1"/>
        <v>363500</v>
      </c>
      <c r="X17" s="36"/>
      <c r="Y17" s="36"/>
      <c r="Z17" s="36">
        <f>MVTJANV24!Z16+MVTFEV24!Z16+MVTMARS24!Z16+MVTAVRIL24!Z16+MVTMAI24!Z16+MVTJUIN24!Z16+MVTJUIL24!Z16+MVTAOUT24!Z16+MVTSEPT24!Z16+MVTOCT24!Z16+MVTNOV24!Z16+MVTDEC24!Z16</f>
        <v>0</v>
      </c>
      <c r="AA17" s="36">
        <f>MVTJANV24!AA16+MVTFEV24!AA16+MVTMARS24!AA16+MVTAVRIL24!AA16+MVTMAI24!AA16+MVTJUIN24!AA16+MVTJUIL24!AA16+MVTAOUT24!AA16+MVTSEPT24!AA16+MVTOCT24!AA16+MVTNOV24!AA16+MVTDEC24!AA16</f>
        <v>0</v>
      </c>
      <c r="AB17" s="36">
        <f>MVTJANV24!AB16+MVTFEV24!AB16+MVTMARS24!AB16+MVTAVRIL24!AB16+MVTMAI24!AB16+MVTJUIN24!AB16+MVTJUIL24!AB16+MVTAOUT24!AB16+MVTSEPT24!AB16+MVTOCT24!AB16+MVTNOV24!AB16+MVTDEC24!AB16</f>
        <v>0</v>
      </c>
      <c r="AC17" s="36">
        <f>MVTJANV24!AC16+MVTFEV24!AC16+MVTMARS24!AC16+MVTAVRIL24!AC16+MVTMAI24!AC16+MVTJUIN24!AC16+MVTJUIL24!AC16+MVTAOUT24!AC16+MVTSEPT24!AC16+MVTOCT24!AC16+MVTNOV24!AC16+MVTDEC24!AC16</f>
        <v>0</v>
      </c>
      <c r="AD17" s="36">
        <f>MVTJANV24!AD16+MVTFEV24!AD16+MVTMARS24!AD16+MVTAVRIL24!AD16+MVTMAI24!AD16+MVTJUIN24!AD16+MVTJUIL24!AD16+MVTAOUT24!AD16+MVTSEPT24!AD16+MVTOCT24!AD16+MVTNOV24!AD16+MVTDEC24!AD16</f>
        <v>0</v>
      </c>
      <c r="AE17" s="36">
        <f>MVTJANV24!AE16+MVTFEV24!AE16+MVTMARS24!AE16+MVTAVRIL24!AE16+MVTMAI24!AE16+MVTJUIN24!AE16+MVTJUIL24!AE16+MVTAOUT24!AE16+MVTSEPT24!AE16+MVTOCT24!AE16+MVTNOV24!AE16+MVTDEC24!AE16</f>
        <v>0</v>
      </c>
      <c r="AF17" s="36">
        <f>MVTJANV24!AF16+MVTFEV24!AF16+MVTMARS24!AF16+MVTAVRIL24!AF16+MVTMAI24!AF16+MVTJUIN24!AF16+MVTJUIL24!AF16+MVTAOUT24!AF16+MVTSEPT24!AF16+MVTOCT24!AF16+MVTNOV24!AF16+MVTDEC24!AF16</f>
        <v>0</v>
      </c>
      <c r="AG17" s="36">
        <f>MVTJANV24!AG16+MVTFEV24!AG16+MVTMARS24!AG16+MVTAVRIL24!AG16+MVTMAI24!AG16+MVTJUIN24!AG16+MVTJUIL24!AG16+MVTAOUT24!AG16+MVTSEPT24!AG16+MVTOCT24!AG16+MVTNOV24!AG16+MVTDEC24!AG16</f>
        <v>0</v>
      </c>
      <c r="AH17" s="36">
        <f>MVTJANV24!AH16+MVTFEV24!AH16+MVTMARS24!AH16+MVTAVRIL24!AH16+MVTMAI24!AH16+MVTJUIN24!AH16+MVTJUIL24!AH16+MVTAOUT24!AH16+MVTSEPT24!AH16+MVTOCT24!AH16+MVTNOV24!AH16+MVTDEC24!AH16</f>
        <v>0</v>
      </c>
      <c r="AI17" s="36">
        <f>MVTJANV24!AI16+MVTFEV24!AI16+MVTMARS24!AI16+MVTAVRIL24!AI16+MVTMAI24!AI16+MVTJUIN24!AI16+MVTJUIL24!AI16+MVTAOUT24!AI16+MVTSEPT24!AI16+MVTOCT24!AI16+MVTNOV24!AI16+MVTDEC24!AI16</f>
        <v>0</v>
      </c>
      <c r="AJ17" s="36">
        <f>MVTJANV24!AJ16+MVTFEV24!AJ16+MVTMARS24!AJ16+MVTAVRIL24!AJ16+MVTMAI24!AJ16+MVTJUIN24!AJ16+MVTJUIL24!AJ16+MVTAOUT24!AJ16+MVTSEPT24!AJ16+MVTOCT24!AJ16+MVTNOV24!AJ16+MVTDEC24!AJ16</f>
        <v>0</v>
      </c>
      <c r="AK17" s="36">
        <f>MVTJANV24!AK16+MVTFEV24!AK16+MVTMARS24!AK16+MVTAVRIL24!AK16+MVTMAI24!AK16+MVTJUIN24!AK16+MVTJUIL24!AK16+MVTAOUT24!AK16+MVTSEPT24!AK16+MVTOCT24!AK16+MVTNOV24!AK16+MVTDEC24!AK16</f>
        <v>0</v>
      </c>
      <c r="AL17" s="143"/>
      <c r="AM17" s="144">
        <f t="shared" si="2"/>
        <v>0</v>
      </c>
      <c r="AN17" s="144"/>
      <c r="AP17" s="36"/>
    </row>
    <row r="18" spans="1:42" ht="15.75" x14ac:dyDescent="0.25">
      <c r="A18" s="1" t="s">
        <v>33</v>
      </c>
      <c r="B18" s="1" t="str">
        <f>VLOOKUP(A18,[19]LISTADHERENT!A$5:H$60,3,0)</f>
        <v>KOUAMOU MOISE</v>
      </c>
      <c r="C18" s="36">
        <f>+MVTDEC23!C17</f>
        <v>700000</v>
      </c>
      <c r="D18" s="36">
        <f>+MVTDEC23!D17</f>
        <v>9267.5051528789336</v>
      </c>
      <c r="E18" s="36">
        <f>VLOOKUP($A18,[24]HISTODEC24!$A$6:$BA$38,48,0)</f>
        <v>0</v>
      </c>
      <c r="F18" s="36">
        <f>MVTDEC24!F17</f>
        <v>985402.7005255461</v>
      </c>
      <c r="G18" s="5">
        <f>MVTDEC24!G17</f>
        <v>985402.7005255461</v>
      </c>
      <c r="H18" s="36">
        <f>MVTDEC23!H17+MVTJANV24!H17+MVTFEV24!H17+MVTMARS24!H17+MVTAVRIL24!H17+MVTMAI24!H17+MVTJUIN24!H17+MVTJUIL24!H17+MVTAOUT24!H17+MVTSEPT24!H17+MVTOCT24!H17+MVTNOV24!H17+MVTDEC24!H17</f>
        <v>48135.1953726672</v>
      </c>
      <c r="I18" s="6">
        <f t="shared" si="0"/>
        <v>1033537.8958982133</v>
      </c>
      <c r="J18" s="36">
        <f>MVTJANV24!J17+MVTFEV24!J17+MVTMARS24!J17+MVTAVRIL24!J17+MVTMAI24!J17+MVTJUIN24!J17+MVTJUIL24!J17+MVTAOUT24!J17+MVTSEPT24!J17+MVTOCT24!J17+MVTNOV24!J17+MVTDEC24!J17</f>
        <v>0</v>
      </c>
      <c r="K18" s="36">
        <f>MVTJANV24!K17+MVTFEV24!K17+MVTMARS24!K17+MVTAVRIL24!K17+MVTMAI24!K17+MVTJUIN24!K17+MVTJUIL24!K17+MVTAOUT24!K17+MVTSEPT24!K17+MVTOCT24!K17+MVTNOV24!K17+MVTDEC24!K17</f>
        <v>300000</v>
      </c>
      <c r="L18" s="36">
        <f>MVTJANV24!L17+MVTFEV24!L17+MVTMARS24!L17+MVTAVRIL24!L17+MVTMAI24!L17+MVTJUIN24!L17+MVTJUIL24!L17+MVTAOUT24!L17+MVTSEPT24!L17+MVTOCT24!L17+MVTNOV24!L17+MVTDEC24!L17</f>
        <v>228000</v>
      </c>
      <c r="M18" s="36">
        <f>MVTJANV24!M17+MVTFEV24!M17+MVTMARS24!M17+MVTAVRIL24!M17+MVTMAI24!M17+MVTJUIN24!M17+MVTJUIL24!M17+MVTAOUT24!M17+MVTSEPT24!M17+MVTOCT24!M17+MVTNOV24!M17+MVTDEC24!M17</f>
        <v>12000</v>
      </c>
      <c r="N18" s="36">
        <f>MVTJANV24!N17+MVTFEV24!N17+MVTMARS24!N17+MVTAVRIL24!N17+MVTMAI24!N17+MVTJUIN24!N17+MVTJUIL24!N17+MVTAOUT24!N17+MVTSEPT24!N17+MVTOCT24!N17+MVTNOV24!N17+MVTDEC24!N17</f>
        <v>12000</v>
      </c>
      <c r="O18" s="36">
        <f>MVTJANV24!O17+MVTFEV24!O17+MVTMARS24!O17+MVTAVRIL24!O17+MVTMAI24!O17+MVTJUIN24!O17+MVTJUIL24!O17+MVTAOUT24!O17+MVTSEPT24!O17+MVTOCT24!O17+MVTNOV24!O17+MVTDEC24!O17</f>
        <v>48000</v>
      </c>
      <c r="P18" s="36">
        <f>MVTJANV24!P17+MVTFEV24!P17+MVTMARS24!P17+MVTAVRIL24!P17+MVTMAI24!P17+MVTJUIN24!P17+MVTJUIL24!P17+MVTAOUT24!P17+MVTSEPT24!P17+MVTOCT24!P17+MVTNOV24!P17+MVTDEC24!P17</f>
        <v>0</v>
      </c>
      <c r="Q18" s="36">
        <f>MVTJANV24!Q17+MVTFEV24!Q17+MVTMARS24!Q17+MVTAVRIL24!Q17+MVTMAI24!Q17+MVTJUIN24!Q17+MVTJUIL24!Q17+MVTAOUT24!Q17+MVTSEPT24!Q17+MVTOCT24!Q17+MVTNOV24!Q17+MVTDEC24!Q17</f>
        <v>0</v>
      </c>
      <c r="R18" s="36">
        <f>MVTJANV24!R17+MVTFEV24!R17+MVTMARS24!R17+MVTAVRIL24!R17+MVTMAI24!R17+MVTJUIN24!R17+MVTJUIL24!R17+MVTAOUT24!R17+MVTSEPT24!R17+MVTOCT24!R17+MVTNOV24!R17+MVTDEC24!R17</f>
        <v>0</v>
      </c>
      <c r="S18" s="36">
        <f>MVTDEC23!S17+MVTJANV24!S17+MVTFEV24!S17+MVTMARS24!S17+MVTAVRIL24!S17+MVTMAI24!S17+MVTJUIN24!S17+MVTJUIL24!S17+MVTAOUT24!S17+MVTSEPT24!S17+MVTOCT24!S17+MVTNOV24!S17+MVTDEC24!S17</f>
        <v>1000000</v>
      </c>
      <c r="T18" s="36">
        <f>MVTDEC23!T17+MVTJANV24!T17+MVTFEV24!T17+MVTMARS24!T17+MVTAVRIL24!T17+MVTMAI24!T17+MVTJUIN24!T17+MVTJUIL24!T17+MVTAOUT24!T17+MVTSEPT24!T17+MVTOCT24!T17+MVTNOV24!T17+MVTDEC24!T17</f>
        <v>110000</v>
      </c>
      <c r="U18" s="36"/>
      <c r="V18" s="36">
        <f>MVTJANV24!V17+MVTFEV24!V17+MVTMARS24!V17+MVTAVRIL24!V17+MVTMAI24!V17+MVTJUIN24!V17+MVTJUIL24!V17+MVTAOUT24!V17+MVTSEPT24!V17+MVTOCT24!V17+MVTNOV24!V17+MVTDEC24!V17</f>
        <v>500000</v>
      </c>
      <c r="W18" s="36">
        <f t="shared" si="1"/>
        <v>500000</v>
      </c>
      <c r="X18" s="36"/>
      <c r="Y18" s="36"/>
      <c r="Z18" s="36">
        <f>MVTJANV24!Z17+MVTFEV24!Z17+MVTMARS24!Z17+MVTAVRIL24!Z17+MVTMAI24!Z17+MVTJUIN24!Z17+MVTJUIL24!Z17+MVTAOUT24!Z17+MVTSEPT24!Z17+MVTOCT24!Z17+MVTNOV24!Z17+MVTDEC24!Z17</f>
        <v>0</v>
      </c>
      <c r="AA18" s="36">
        <f>MVTJANV24!AA17+MVTFEV24!AA17+MVTMARS24!AA17+MVTAVRIL24!AA17+MVTMAI24!AA17+MVTJUIN24!AA17+MVTJUIL24!AA17+MVTAOUT24!AA17+MVTSEPT24!AA17+MVTOCT24!AA17+MVTNOV24!AA17+MVTDEC24!AA17</f>
        <v>0</v>
      </c>
      <c r="AB18" s="36">
        <f>MVTJANV24!AB17+MVTFEV24!AB17+MVTMARS24!AB17+MVTAVRIL24!AB17+MVTMAI24!AB17+MVTJUIN24!AB17+MVTJUIL24!AB17+MVTAOUT24!AB17+MVTSEPT24!AB17+MVTOCT24!AB17+MVTNOV24!AB17+MVTDEC24!AB17</f>
        <v>0</v>
      </c>
      <c r="AC18" s="36">
        <f>MVTJANV24!AC17+MVTFEV24!AC17+MVTMARS24!AC17+MVTAVRIL24!AC17+MVTMAI24!AC17+MVTJUIN24!AC17+MVTJUIL24!AC17+MVTAOUT24!AC17+MVTSEPT24!AC17+MVTOCT24!AC17+MVTNOV24!AC17+MVTDEC24!AC17</f>
        <v>0</v>
      </c>
      <c r="AD18" s="36">
        <f>MVTJANV24!AD17+MVTFEV24!AD17+MVTMARS24!AD17+MVTAVRIL24!AD17+MVTMAI24!AD17+MVTJUIN24!AD17+MVTJUIL24!AD17+MVTAOUT24!AD17+MVTSEPT24!AD17+MVTOCT24!AD17+MVTNOV24!AD17+MVTDEC24!AD17</f>
        <v>0</v>
      </c>
      <c r="AE18" s="36">
        <f>MVTJANV24!AE17+MVTFEV24!AE17+MVTMARS24!AE17+MVTAVRIL24!AE17+MVTMAI24!AE17+MVTJUIN24!AE17+MVTJUIL24!AE17+MVTAOUT24!AE17+MVTSEPT24!AE17+MVTOCT24!AE17+MVTNOV24!AE17+MVTDEC24!AE17</f>
        <v>0</v>
      </c>
      <c r="AF18" s="36">
        <f>MVTJANV24!AF17+MVTFEV24!AF17+MVTMARS24!AF17+MVTAVRIL24!AF17+MVTMAI24!AF17+MVTJUIN24!AF17+MVTJUIL24!AF17+MVTAOUT24!AF17+MVTSEPT24!AF17+MVTOCT24!AF17+MVTNOV24!AF17+MVTDEC24!AF17</f>
        <v>0</v>
      </c>
      <c r="AG18" s="36">
        <f>MVTJANV24!AG17+MVTFEV24!AG17+MVTMARS24!AG17+MVTAVRIL24!AG17+MVTMAI24!AG17+MVTJUIN24!AG17+MVTJUIL24!AG17+MVTAOUT24!AG17+MVTSEPT24!AG17+MVTOCT24!AG17+MVTNOV24!AG17+MVTDEC24!AG17</f>
        <v>0</v>
      </c>
      <c r="AH18" s="36">
        <f>MVTJANV24!AH17+MVTFEV24!AH17+MVTMARS24!AH17+MVTAVRIL24!AH17+MVTMAI24!AH17+MVTJUIN24!AH17+MVTJUIL24!AH17+MVTAOUT24!AH17+MVTSEPT24!AH17+MVTOCT24!AH17+MVTNOV24!AH17+MVTDEC24!AH17</f>
        <v>0</v>
      </c>
      <c r="AI18" s="36">
        <f>MVTJANV24!AI17+MVTFEV24!AI17+MVTMARS24!AI17+MVTAVRIL24!AI17+MVTMAI24!AI17+MVTJUIN24!AI17+MVTJUIL24!AI17+MVTAOUT24!AI17+MVTSEPT24!AI17+MVTOCT24!AI17+MVTNOV24!AI17+MVTDEC24!AI17</f>
        <v>100000</v>
      </c>
      <c r="AJ18" s="36">
        <f>MVTJANV24!AJ17+MVTFEV24!AJ17+MVTMARS24!AJ17+MVTAVRIL24!AJ17+MVTMAI24!AJ17+MVTJUIN24!AJ17+MVTJUIL24!AJ17+MVTAOUT24!AJ17+MVTSEPT24!AJ17+MVTOCT24!AJ17+MVTNOV24!AJ17+MVTDEC24!AJ17</f>
        <v>0</v>
      </c>
      <c r="AK18" s="36">
        <f>MVTJANV24!AK17+MVTFEV24!AK17+MVTMARS24!AK17+MVTAVRIL24!AK17+MVTMAI24!AK17+MVTJUIN24!AK17+MVTJUIL24!AK17+MVTAOUT24!AK17+MVTSEPT24!AK17+MVTOCT24!AK17+MVTNOV24!AK17+MVTDEC24!AK17</f>
        <v>0</v>
      </c>
      <c r="AL18" s="143">
        <v>45627</v>
      </c>
      <c r="AM18" s="144">
        <f t="shared" si="2"/>
        <v>110000</v>
      </c>
      <c r="AN18" s="144"/>
      <c r="AP18" s="36"/>
    </row>
    <row r="19" spans="1:42" ht="15.75" x14ac:dyDescent="0.25">
      <c r="A19" s="1" t="s">
        <v>35</v>
      </c>
      <c r="B19" s="1" t="str">
        <f>VLOOKUP(A19,[19]LISTADHERENT!A$5:H$60,3,0)</f>
        <v>KOUATCHO MESSACK</v>
      </c>
      <c r="C19" s="36">
        <f>+MVTDEC23!C18</f>
        <v>700000</v>
      </c>
      <c r="D19" s="36">
        <f>+MVTDEC23!D18</f>
        <v>24428.628065245139</v>
      </c>
      <c r="E19" s="36">
        <f>VLOOKUP($A19,[24]HISTODEC24!$A$6:$BA$38,48,0)</f>
        <v>0</v>
      </c>
      <c r="F19" s="36">
        <f>MVTDEC24!F18</f>
        <v>1031662.7641973695</v>
      </c>
      <c r="G19" s="5">
        <f>MVTDEC24!G18</f>
        <v>1031662.7641973695</v>
      </c>
      <c r="H19" s="36">
        <f>MVTDEC23!H18+MVTJANV24!H18+MVTFEV24!H18+MVTMARS24!H18+MVTAVRIL24!H18+MVTMAI24!H18+MVTJUIN24!H18+MVTJUIL24!H18+MVTAOUT24!H18+MVTSEPT24!H18+MVTOCT24!H18+MVTNOV24!H18+MVTDEC24!H18</f>
        <v>49234.136132124244</v>
      </c>
      <c r="I19" s="6">
        <f t="shared" si="0"/>
        <v>1080896.9003294937</v>
      </c>
      <c r="J19" s="36">
        <f>MVTJANV24!J18+MVTFEV24!J18+MVTMARS24!J18+MVTAVRIL24!J18+MVTMAI24!J18+MVTJUIN24!J18+MVTJUIL24!J18+MVTAOUT24!J18+MVTSEPT24!J18+MVTOCT24!J18+MVTNOV24!J18+MVTDEC24!J18</f>
        <v>0</v>
      </c>
      <c r="K19" s="36">
        <f>MVTJANV24!K18+MVTFEV24!K18+MVTMARS24!K18+MVTAVRIL24!K18+MVTMAI24!K18+MVTJUIN24!K18+MVTJUIL24!K18+MVTAOUT24!K18+MVTSEPT24!K18+MVTOCT24!K18+MVTNOV24!K18+MVTDEC24!K18</f>
        <v>330000</v>
      </c>
      <c r="L19" s="36">
        <f>MVTJANV24!L18+MVTFEV24!L18+MVTMARS24!L18+MVTAVRIL24!L18+MVTMAI24!L18+MVTJUIN24!L18+MVTJUIL24!L18+MVTAOUT24!L18+MVTSEPT24!L18+MVTOCT24!L18+MVTNOV24!L18+MVTDEC24!L18</f>
        <v>258000</v>
      </c>
      <c r="M19" s="36">
        <f>MVTJANV24!M18+MVTFEV24!M18+MVTMARS24!M18+MVTAVRIL24!M18+MVTMAI24!M18+MVTJUIN24!M18+MVTJUIL24!M18+MVTAOUT24!M18+MVTSEPT24!M18+MVTOCT24!M18+MVTNOV24!M18+MVTDEC24!M18</f>
        <v>12000</v>
      </c>
      <c r="N19" s="36">
        <f>MVTJANV24!N18+MVTFEV24!N18+MVTMARS24!N18+MVTAVRIL24!N18+MVTMAI24!N18+MVTJUIN24!N18+MVTJUIL24!N18+MVTAOUT24!N18+MVTSEPT24!N18+MVTOCT24!N18+MVTNOV24!N18+MVTDEC24!N18</f>
        <v>12000</v>
      </c>
      <c r="O19" s="36">
        <f>MVTJANV24!O18+MVTFEV24!O18+MVTMARS24!O18+MVTAVRIL24!O18+MVTMAI24!O18+MVTJUIN24!O18+MVTJUIL24!O18+MVTAOUT24!O18+MVTSEPT24!O18+MVTOCT24!O18+MVTNOV24!O18+MVTDEC24!O18</f>
        <v>48000</v>
      </c>
      <c r="P19" s="36">
        <f>MVTJANV24!P18+MVTFEV24!P18+MVTMARS24!P18+MVTAVRIL24!P18+MVTMAI24!P18+MVTJUIN24!P18+MVTJUIL24!P18+MVTAOUT24!P18+MVTSEPT24!P18+MVTOCT24!P18+MVTNOV24!P18+MVTDEC24!P18</f>
        <v>0</v>
      </c>
      <c r="Q19" s="36">
        <f>MVTJANV24!Q18+MVTFEV24!Q18+MVTMARS24!Q18+MVTAVRIL24!Q18+MVTMAI24!Q18+MVTJUIN24!Q18+MVTJUIL24!Q18+MVTAOUT24!Q18+MVTSEPT24!Q18+MVTOCT24!Q18+MVTNOV24!Q18+MVTDEC24!Q18</f>
        <v>0</v>
      </c>
      <c r="R19" s="36">
        <f>MVTJANV24!R18+MVTFEV24!R18+MVTMARS24!R18+MVTAVRIL24!R18+MVTMAI24!R18+MVTJUIN24!R18+MVTJUIL24!R18+MVTAOUT24!R18+MVTSEPT24!R18+MVTOCT24!R18+MVTNOV24!R18+MVTDEC24!R18</f>
        <v>0</v>
      </c>
      <c r="S19" s="36">
        <f>MVTDEC23!S18+MVTJANV24!S18+MVTFEV24!S18+MVTMARS24!S18+MVTAVRIL24!S18+MVTMAI24!S18+MVTJUIN24!S18+MVTJUIL24!S18+MVTAOUT24!S18+MVTSEPT24!S18+MVTOCT24!S18+MVTNOV24!S18+MVTDEC24!S18</f>
        <v>1000000</v>
      </c>
      <c r="T19" s="36">
        <f>MVTDEC23!T18+MVTJANV24!T18+MVTFEV24!T18+MVTMARS24!T18+MVTAVRIL24!T18+MVTMAI24!T18+MVTJUIN24!T18+MVTJUIL24!T18+MVTAOUT24!T18+MVTSEPT24!T18+MVTOCT24!T18+MVTNOV24!T18+MVTDEC24!T18</f>
        <v>50000</v>
      </c>
      <c r="U19" s="36"/>
      <c r="V19" s="36">
        <f>MVTJANV24!V18+MVTFEV24!V18+MVTMARS24!V18+MVTAVRIL24!V18+MVTMAI24!V18+MVTJUIN24!V18+MVTJUIL24!V18+MVTAOUT24!V18+MVTSEPT24!V18+MVTOCT24!V18+MVTNOV24!V18+MVTDEC24!V18</f>
        <v>0</v>
      </c>
      <c r="W19" s="36">
        <f t="shared" si="1"/>
        <v>1000000</v>
      </c>
      <c r="X19" s="36"/>
      <c r="Y19" s="36"/>
      <c r="Z19" s="36">
        <f>MVTJANV24!Z18+MVTFEV24!Z18+MVTMARS24!Z18+MVTAVRIL24!Z18+MVTMAI24!Z18+MVTJUIN24!Z18+MVTJUIL24!Z18+MVTAOUT24!Z18+MVTSEPT24!Z18+MVTOCT24!Z18+MVTNOV24!Z18+MVTDEC24!Z18</f>
        <v>0</v>
      </c>
      <c r="AA19" s="36">
        <f>MVTJANV24!AA18+MVTFEV24!AA18+MVTMARS24!AA18+MVTAVRIL24!AA18+MVTMAI24!AA18+MVTJUIN24!AA18+MVTJUIL24!AA18+MVTAOUT24!AA18+MVTSEPT24!AA18+MVTOCT24!AA18+MVTNOV24!AA18+MVTDEC24!AA18</f>
        <v>0</v>
      </c>
      <c r="AB19" s="36">
        <f>MVTJANV24!AB18+MVTFEV24!AB18+MVTMARS24!AB18+MVTAVRIL24!AB18+MVTMAI24!AB18+MVTJUIN24!AB18+MVTJUIL24!AB18+MVTAOUT24!AB18+MVTSEPT24!AB18+MVTOCT24!AB18+MVTNOV24!AB18+MVTDEC24!AB18</f>
        <v>0</v>
      </c>
      <c r="AC19" s="36">
        <f>MVTJANV24!AC18+MVTFEV24!AC18+MVTMARS24!AC18+MVTAVRIL24!AC18+MVTMAI24!AC18+MVTJUIN24!AC18+MVTJUIL24!AC18+MVTAOUT24!AC18+MVTSEPT24!AC18+MVTOCT24!AC18+MVTNOV24!AC18+MVTDEC24!AC18</f>
        <v>0</v>
      </c>
      <c r="AD19" s="36">
        <f>MVTJANV24!AD18+MVTFEV24!AD18+MVTMARS24!AD18+MVTAVRIL24!AD18+MVTMAI24!AD18+MVTJUIN24!AD18+MVTJUIL24!AD18+MVTAOUT24!AD18+MVTSEPT24!AD18+MVTOCT24!AD18+MVTNOV24!AD18+MVTDEC24!AD18</f>
        <v>0</v>
      </c>
      <c r="AE19" s="36">
        <f>MVTJANV24!AE18+MVTFEV24!AE18+MVTMARS24!AE18+MVTAVRIL24!AE18+MVTMAI24!AE18+MVTJUIN24!AE18+MVTJUIL24!AE18+MVTAOUT24!AE18+MVTSEPT24!AE18+MVTOCT24!AE18+MVTNOV24!AE18+MVTDEC24!AE18</f>
        <v>0</v>
      </c>
      <c r="AF19" s="36">
        <f>MVTJANV24!AF18+MVTFEV24!AF18+MVTMARS24!AF18+MVTAVRIL24!AF18+MVTMAI24!AF18+MVTJUIN24!AF18+MVTJUIL24!AF18+MVTAOUT24!AF18+MVTSEPT24!AF18+MVTOCT24!AF18+MVTNOV24!AF18+MVTDEC24!AF18</f>
        <v>0</v>
      </c>
      <c r="AG19" s="36">
        <f>MVTJANV24!AG18+MVTFEV24!AG18+MVTMARS24!AG18+MVTAVRIL24!AG18+MVTMAI24!AG18+MVTJUIN24!AG18+MVTJUIL24!AG18+MVTAOUT24!AG18+MVTSEPT24!AG18+MVTOCT24!AG18+MVTNOV24!AG18+MVTDEC24!AG18</f>
        <v>0</v>
      </c>
      <c r="AH19" s="36">
        <f>MVTJANV24!AH18+MVTFEV24!AH18+MVTMARS24!AH18+MVTAVRIL24!AH18+MVTMAI24!AH18+MVTJUIN24!AH18+MVTJUIL24!AH18+MVTAOUT24!AH18+MVTSEPT24!AH18+MVTOCT24!AH18+MVTNOV24!AH18+MVTDEC24!AH18</f>
        <v>0</v>
      </c>
      <c r="AI19" s="36">
        <f>MVTJANV24!AI18+MVTFEV24!AI18+MVTMARS24!AI18+MVTAVRIL24!AI18+MVTMAI24!AI18+MVTJUIN24!AI18+MVTJUIL24!AI18+MVTAOUT24!AI18+MVTSEPT24!AI18+MVTOCT24!AI18+MVTNOV24!AI18+MVTDEC24!AI18</f>
        <v>0</v>
      </c>
      <c r="AJ19" s="36">
        <f>MVTJANV24!AJ18+MVTFEV24!AJ18+MVTMARS24!AJ18+MVTAVRIL24!AJ18+MVTMAI24!AJ18+MVTJUIN24!AJ18+MVTJUIL24!AJ18+MVTAOUT24!AJ18+MVTSEPT24!AJ18+MVTOCT24!AJ18+MVTNOV24!AJ18+MVTDEC24!AJ18</f>
        <v>0</v>
      </c>
      <c r="AK19" s="36">
        <f>MVTJANV24!AK18+MVTFEV24!AK18+MVTMARS24!AK18+MVTAVRIL24!AK18+MVTMAI24!AK18+MVTJUIN24!AK18+MVTJUIL24!AK18+MVTAOUT24!AK18+MVTSEPT24!AK18+MVTOCT24!AK18+MVTNOV24!AK18+MVTDEC24!AK18</f>
        <v>0</v>
      </c>
      <c r="AL19" s="143">
        <v>45352</v>
      </c>
      <c r="AM19" s="144">
        <f t="shared" si="2"/>
        <v>50000</v>
      </c>
      <c r="AN19" s="144"/>
      <c r="AP19" s="36"/>
    </row>
    <row r="20" spans="1:42" ht="15.75" x14ac:dyDescent="0.25">
      <c r="A20" s="1" t="s">
        <v>36</v>
      </c>
      <c r="B20" s="1" t="str">
        <f>VLOOKUP(A20,[19]LISTADHERENT!A$5:H$60,3,0)</f>
        <v>LOWE JEAN</v>
      </c>
      <c r="C20" s="36">
        <f>+MVTDEC23!C19</f>
        <v>676217.13072703336</v>
      </c>
      <c r="D20" s="36">
        <f>+MVTDEC23!D19</f>
        <v>0</v>
      </c>
      <c r="E20" s="36"/>
      <c r="F20" s="36">
        <f>MVTDEC24!F19</f>
        <v>676217.13072703336</v>
      </c>
      <c r="G20" s="5">
        <f>MVTDEC24!G19</f>
        <v>0</v>
      </c>
      <c r="H20" s="36">
        <f>MVTDEC23!H19+MVTJANV24!H19+MVTFEV24!H19+MVTMARS24!H19+MVTAVRIL24!H19+MVTMAI24!H19+MVTJUIN24!H19+MVTJUIL24!H19+MVTAOUT24!H19+MVTSEPT24!H19+MVTOCT24!H19+MVTNOV24!H19+MVTDEC24!H19</f>
        <v>0</v>
      </c>
      <c r="I20" s="6">
        <f t="shared" si="0"/>
        <v>676217.13072703336</v>
      </c>
      <c r="J20" s="36">
        <f>MVTJANV24!J19+MVTFEV24!J19+MVTMARS24!J19+MVTAVRIL24!J19+MVTMAI24!J19+MVTJUIN24!J19+MVTJUIL24!J19+MVTAOUT24!J19+MVTSEPT24!J19+MVTOCT24!J19+MVTNOV24!J19+MVTDEC24!J19</f>
        <v>0</v>
      </c>
      <c r="K20" s="36">
        <f>MVTJANV24!K19+MVTFEV24!K19+MVTMARS24!K19+MVTAVRIL24!K19+MVTMAI24!K19+MVTJUIN24!K19+MVTJUIL24!K19+MVTAOUT24!K19+MVTSEPT24!K19+MVTOCT24!K19+MVTNOV24!K19+MVTDEC24!K19</f>
        <v>0</v>
      </c>
      <c r="L20" s="36">
        <f>MVTJANV24!L19+MVTFEV24!L19+MVTMARS24!L19+MVTAVRIL24!L19+MVTMAI24!L19+MVTJUIN24!L19+MVTJUIL24!L19+MVTAOUT24!L19+MVTSEPT24!L19+MVTOCT24!L19+MVTNOV24!L19+MVTDEC24!L19</f>
        <v>0</v>
      </c>
      <c r="M20" s="36">
        <f>MVTJANV24!M19+MVTFEV24!M19+MVTMARS24!M19+MVTAVRIL24!M19+MVTMAI24!M19+MVTJUIN24!M19+MVTJUIL24!M19+MVTAOUT24!M19+MVTSEPT24!M19+MVTOCT24!M19+MVTNOV24!M19+MVTDEC24!M19</f>
        <v>0</v>
      </c>
      <c r="N20" s="36">
        <f>MVTJANV24!N19+MVTFEV24!N19+MVTMARS24!N19+MVTAVRIL24!N19+MVTMAI24!N19+MVTJUIN24!N19+MVTJUIL24!N19+MVTAOUT24!N19+MVTSEPT24!N19+MVTOCT24!N19+MVTNOV24!N19+MVTDEC24!N19</f>
        <v>0</v>
      </c>
      <c r="O20" s="36">
        <f>MVTJANV24!O19+MVTFEV24!O19+MVTMARS24!O19+MVTAVRIL24!O19+MVTMAI24!O19+MVTJUIN24!O19+MVTJUIL24!O19+MVTAOUT24!O19+MVTSEPT24!O19+MVTOCT24!O19+MVTNOV24!O19+MVTDEC24!O19</f>
        <v>0</v>
      </c>
      <c r="P20" s="36">
        <f>MVTJANV24!P19+MVTFEV24!P19+MVTMARS24!P19+MVTAVRIL24!P19+MVTMAI24!P19+MVTJUIN24!P19+MVTJUIL24!P19+MVTAOUT24!P19+MVTSEPT24!P19+MVTOCT24!P19+MVTNOV24!P19+MVTDEC24!P19</f>
        <v>0</v>
      </c>
      <c r="Q20" s="36">
        <f>MVTJANV24!Q19+MVTFEV24!Q19+MVTMARS24!Q19+MVTAVRIL24!Q19+MVTMAI24!Q19+MVTJUIN24!Q19+MVTJUIL24!Q19+MVTAOUT24!Q19+MVTSEPT24!Q19+MVTOCT24!Q19+MVTNOV24!Q19+MVTDEC24!Q19</f>
        <v>0</v>
      </c>
      <c r="R20" s="36">
        <f>MVTJANV24!R19+MVTFEV24!R19+MVTMARS24!R19+MVTAVRIL24!R19+MVTMAI24!R19+MVTJUIN24!R19+MVTJUIL24!R19+MVTAOUT24!R19+MVTSEPT24!R19+MVTOCT24!R19+MVTNOV24!R19+MVTDEC24!R19</f>
        <v>0</v>
      </c>
      <c r="S20" s="36">
        <f>MVTDEC23!S19+MVTJANV24!S19+MVTFEV24!S19+MVTMARS24!S19+MVTAVRIL24!S19+MVTMAI24!S19+MVTJUIN24!S19+MVTJUIL24!S19+MVTAOUT24!S19+MVTSEPT24!S19+MVTOCT24!S19+MVTNOV24!S19+MVTDEC24!S19</f>
        <v>0</v>
      </c>
      <c r="T20" s="36">
        <f>MVTDEC23!T19+MVTJANV24!T19+MVTFEV24!T19+MVTMARS24!T19+MVTAVRIL24!T19+MVTMAI24!T19+MVTJUIN24!T19+MVTJUIL24!T19+MVTAOUT24!T19+MVTSEPT24!T19+MVTOCT24!T19+MVTNOV24!T19+MVTDEC24!T19</f>
        <v>0</v>
      </c>
      <c r="U20" s="36"/>
      <c r="V20" s="36">
        <f>MVTJANV24!V19+MVTFEV24!V19+MVTMARS24!V19+MVTAVRIL24!V19+MVTMAI24!V19+MVTJUIN24!V19+MVTJUIL24!V19+MVTAOUT24!V19+MVTSEPT24!V19+MVTOCT24!V19+MVTNOV24!V19+MVTDEC24!V19</f>
        <v>0</v>
      </c>
      <c r="W20" s="36">
        <f t="shared" si="1"/>
        <v>0</v>
      </c>
      <c r="X20" s="36"/>
      <c r="Y20" s="36"/>
      <c r="Z20" s="36">
        <f>MVTJANV24!Z19+MVTFEV24!Z19+MVTMARS24!Z19+MVTAVRIL24!Z19+MVTMAI24!Z19+MVTJUIN24!Z19+MVTJUIL24!Z19+MVTAOUT24!Z19+MVTSEPT24!Z19+MVTOCT24!Z19+MVTNOV24!Z19+MVTDEC24!Z19</f>
        <v>0</v>
      </c>
      <c r="AA20" s="36">
        <f>MVTJANV24!AA19+MVTFEV24!AA19+MVTMARS24!AA19+MVTAVRIL24!AA19+MVTMAI24!AA19+MVTJUIN24!AA19+MVTJUIL24!AA19+MVTAOUT24!AA19+MVTSEPT24!AA19+MVTOCT24!AA19+MVTNOV24!AA19+MVTDEC24!AA19</f>
        <v>0</v>
      </c>
      <c r="AB20" s="36">
        <f>MVTJANV24!AB19+MVTFEV24!AB19+MVTMARS24!AB19+MVTAVRIL24!AB19+MVTMAI24!AB19+MVTJUIN24!AB19+MVTJUIL24!AB19+MVTAOUT24!AB19+MVTSEPT24!AB19+MVTOCT24!AB19+MVTNOV24!AB19+MVTDEC24!AB19</f>
        <v>0</v>
      </c>
      <c r="AC20" s="36">
        <f>MVTJANV24!AC19+MVTFEV24!AC19+MVTMARS24!AC19+MVTAVRIL24!AC19+MVTMAI24!AC19+MVTJUIN24!AC19+MVTJUIL24!AC19+MVTAOUT24!AC19+MVTSEPT24!AC19+MVTOCT24!AC19+MVTNOV24!AC19+MVTDEC24!AC19</f>
        <v>0</v>
      </c>
      <c r="AD20" s="36">
        <f>MVTJANV24!AD19+MVTFEV24!AD19+MVTMARS24!AD19+MVTAVRIL24!AD19+MVTMAI24!AD19+MVTJUIN24!AD19+MVTJUIL24!AD19+MVTAOUT24!AD19+MVTSEPT24!AD19+MVTOCT24!AD19+MVTNOV24!AD19+MVTDEC24!AD19</f>
        <v>0</v>
      </c>
      <c r="AE20" s="36">
        <f>MVTJANV24!AE19+MVTFEV24!AE19+MVTMARS24!AE19+MVTAVRIL24!AE19+MVTMAI24!AE19+MVTJUIN24!AE19+MVTJUIL24!AE19+MVTAOUT24!AE19+MVTSEPT24!AE19+MVTOCT24!AE19+MVTNOV24!AE19+MVTDEC24!AE19</f>
        <v>0</v>
      </c>
      <c r="AF20" s="36">
        <f>MVTJANV24!AF19+MVTFEV24!AF19+MVTMARS24!AF19+MVTAVRIL24!AF19+MVTMAI24!AF19+MVTJUIN24!AF19+MVTJUIL24!AF19+MVTAOUT24!AF19+MVTSEPT24!AF19+MVTOCT24!AF19+MVTNOV24!AF19+MVTDEC24!AF19</f>
        <v>0</v>
      </c>
      <c r="AG20" s="36">
        <f>MVTJANV24!AG19+MVTFEV24!AG19+MVTMARS24!AG19+MVTAVRIL24!AG19+MVTMAI24!AG19+MVTJUIN24!AG19+MVTJUIL24!AG19+MVTAOUT24!AG19+MVTSEPT24!AG19+MVTOCT24!AG19+MVTNOV24!AG19+MVTDEC24!AG19</f>
        <v>0</v>
      </c>
      <c r="AH20" s="36">
        <f>MVTJANV24!AH19+MVTFEV24!AH19+MVTMARS24!AH19+MVTAVRIL24!AH19+MVTMAI24!AH19+MVTJUIN24!AH19+MVTJUIL24!AH19+MVTAOUT24!AH19+MVTSEPT24!AH19+MVTOCT24!AH19+MVTNOV24!AH19+MVTDEC24!AH19</f>
        <v>0</v>
      </c>
      <c r="AI20" s="36">
        <f>MVTJANV24!AI19+MVTFEV24!AI19+MVTMARS24!AI19+MVTAVRIL24!AI19+MVTMAI24!AI19+MVTJUIN24!AI19+MVTJUIL24!AI19+MVTAOUT24!AI19+MVTSEPT24!AI19+MVTOCT24!AI19+MVTNOV24!AI19+MVTDEC24!AI19</f>
        <v>0</v>
      </c>
      <c r="AJ20" s="36">
        <f>MVTJANV24!AJ19+MVTFEV24!AJ19+MVTMARS24!AJ19+MVTAVRIL24!AJ19+MVTMAI24!AJ19+MVTJUIN24!AJ19+MVTJUIL24!AJ19+MVTAOUT24!AJ19+MVTSEPT24!AJ19+MVTOCT24!AJ19+MVTNOV24!AJ19+MVTDEC24!AJ19</f>
        <v>0</v>
      </c>
      <c r="AK20" s="36">
        <f>MVTJANV24!AK19+MVTFEV24!AK19+MVTMARS24!AK19+MVTAVRIL24!AK19+MVTMAI24!AK19+MVTJUIN24!AK19+MVTJUIL24!AK19+MVTAOUT24!AK19+MVTSEPT24!AK19+MVTOCT24!AK19+MVTNOV24!AK19+MVTDEC24!AK19</f>
        <v>0</v>
      </c>
      <c r="AL20" s="143"/>
      <c r="AM20" s="144">
        <f t="shared" si="2"/>
        <v>0</v>
      </c>
      <c r="AN20" s="144"/>
      <c r="AP20" s="36"/>
    </row>
    <row r="21" spans="1:42" ht="15.75" x14ac:dyDescent="0.25">
      <c r="A21" s="1" t="s">
        <v>330</v>
      </c>
      <c r="B21" s="1" t="str">
        <f>VLOOKUP(A21,[19]LISTADHERENT!A$5:H$60,3,0)</f>
        <v>MASSEUNGOUE DAGOBERT</v>
      </c>
      <c r="C21" s="36">
        <f>+MVTDEC23!C20</f>
        <v>0</v>
      </c>
      <c r="D21" s="36">
        <f>+MVTDEC23!D20</f>
        <v>0</v>
      </c>
      <c r="E21" s="36">
        <f>VLOOKUP($A21,[24]HISTOJANV24!$A$6:$BA$38,48,0)</f>
        <v>0</v>
      </c>
      <c r="F21" s="36">
        <f>MVTDEC24!F20</f>
        <v>228000</v>
      </c>
      <c r="G21" s="5">
        <f>MVTDEC24!G20</f>
        <v>0</v>
      </c>
      <c r="H21" s="36">
        <f>MVTDEC23!H20+MVTJANV24!H20+MVTFEV24!H20+MVTMARS24!H20+MVTAVRIL24!H20+MVTMAI24!H20+MVTJUIN24!H20+MVTJUIL24!H20+MVTAOUT24!H20+MVTSEPT24!H20+MVTOCT24!H20+MVTNOV24!H20+MVTDEC24!H20</f>
        <v>0</v>
      </c>
      <c r="I21" s="6">
        <f t="shared" si="0"/>
        <v>228000</v>
      </c>
      <c r="J21" s="36">
        <f>MVTJANV24!J20+MVTFEV24!J20+MVTMARS24!J20+MVTAVRIL24!J20+MVTMAI24!J20+MVTJUIN24!J20+MVTJUIL24!J20+MVTAOUT24!J20+MVTSEPT24!J20+MVTOCT24!J20+MVTNOV24!J20+MVTDEC24!J20</f>
        <v>0</v>
      </c>
      <c r="K21" s="36">
        <f>MVTJANV24!K20+MVTFEV24!K20+MVTMARS24!K20+MVTAVRIL24!K20+MVTMAI24!K20+MVTJUIN24!K20+MVTJUIL24!K20+MVTAOUT24!K20+MVTSEPT24!K20+MVTOCT24!K20+MVTNOV24!K20+MVTDEC24!K20</f>
        <v>300000</v>
      </c>
      <c r="L21" s="36">
        <f>MVTJANV24!L20+MVTFEV24!L20+MVTMARS24!L20+MVTAVRIL24!L20+MVTMAI24!L20+MVTJUIN24!L20+MVTJUIL24!L20+MVTAOUT24!L20+MVTSEPT24!L20+MVTOCT24!L20+MVTNOV24!L20+MVTDEC24!L20</f>
        <v>228000</v>
      </c>
      <c r="M21" s="36">
        <f>MVTJANV24!M20+MVTFEV24!M20+MVTMARS24!M20+MVTAVRIL24!M20+MVTMAI24!M20+MVTJUIN24!M20+MVTJUIL24!M20+MVTAOUT24!M20+MVTSEPT24!M20+MVTOCT24!M20+MVTNOV24!M20+MVTDEC24!M20</f>
        <v>12000</v>
      </c>
      <c r="N21" s="36">
        <f>MVTJANV24!N20+MVTFEV24!N20+MVTMARS24!N20+MVTAVRIL24!N20+MVTMAI24!N20+MVTJUIN24!N20+MVTJUIL24!N20+MVTAOUT24!N20+MVTSEPT24!N20+MVTOCT24!N20+MVTNOV24!N20+MVTDEC24!N20</f>
        <v>12000</v>
      </c>
      <c r="O21" s="36">
        <f>MVTJANV24!O20+MVTFEV24!O20+MVTMARS24!O20+MVTAVRIL24!O20+MVTMAI24!O20+MVTJUIN24!O20+MVTJUIL24!O20+MVTAOUT24!O20+MVTSEPT24!O20+MVTOCT24!O20+MVTNOV24!O20+MVTDEC24!O20</f>
        <v>48000</v>
      </c>
      <c r="P21" s="36">
        <f>MVTJANV24!P20+MVTFEV24!P20+MVTMARS24!P20+MVTAVRIL24!P20+MVTMAI24!P20+MVTJUIN24!P20+MVTJUIL24!P20+MVTAOUT24!P20+MVTSEPT24!P20+MVTOCT24!P20+MVTNOV24!P20+MVTDEC24!P20</f>
        <v>0</v>
      </c>
      <c r="Q21" s="36">
        <f>MVTJANV24!Q20+MVTFEV24!Q20+MVTMARS24!Q20+MVTAVRIL24!Q20+MVTMAI24!Q20+MVTJUIN24!Q20+MVTJUIL24!Q20+MVTAOUT24!Q20+MVTSEPT24!Q20+MVTOCT24!Q20+MVTNOV24!Q20+MVTDEC24!Q20</f>
        <v>25000</v>
      </c>
      <c r="R21" s="36">
        <f>MVTJANV24!R20+MVTFEV24!R20+MVTMARS24!R20+MVTAVRIL24!R20+MVTMAI24!R20+MVTJUIN24!R20+MVTJUIL24!R20+MVTAOUT24!R20+MVTSEPT24!R20+MVTOCT24!R20+MVTNOV24!R20+MVTDEC24!R20</f>
        <v>0</v>
      </c>
      <c r="S21" s="36">
        <f>MVTDEC23!S20+MVTJANV24!S20+MVTFEV24!S20+MVTMARS24!S20+MVTAVRIL24!S20+MVTMAI24!S20+MVTJUIN24!S20+MVTJUIL24!S20+MVTAOUT24!S20+MVTSEPT24!S20+MVTOCT24!S20+MVTNOV24!S20+MVTDEC24!S20</f>
        <v>0</v>
      </c>
      <c r="T21" s="36">
        <f>MVTDEC23!T20+MVTJANV24!T20+MVTFEV24!T20+MVTMARS24!T20+MVTAVRIL24!T20+MVTMAI24!T20+MVTJUIN24!T20+MVTJUIL24!T20+MVTAOUT24!T20+MVTSEPT24!T20+MVTOCT24!T20+MVTNOV24!T20+MVTDEC24!T20</f>
        <v>0</v>
      </c>
      <c r="U21" s="36"/>
      <c r="V21" s="36">
        <f>MVTJANV24!V20+MVTFEV24!V20+MVTMARS24!V20+MVTAVRIL24!V20+MVTMAI24!V20+MVTJUIN24!V20+MVTJUIL24!V20+MVTAOUT24!V20+MVTSEPT24!V20+MVTOCT24!V20+MVTNOV24!V20+MVTDEC24!V20</f>
        <v>0</v>
      </c>
      <c r="W21" s="36">
        <f t="shared" si="1"/>
        <v>0</v>
      </c>
      <c r="X21" s="36"/>
      <c r="Y21" s="36"/>
      <c r="Z21" s="36">
        <f>MVTJANV24!Z20+MVTFEV24!Z20+MVTMARS24!Z20+MVTAVRIL24!Z20+MVTMAI24!Z20+MVTJUIN24!Z20+MVTJUIL24!Z20+MVTAOUT24!Z20+MVTSEPT24!Z20+MVTOCT24!Z20+MVTNOV24!Z20+MVTDEC24!Z20</f>
        <v>0</v>
      </c>
      <c r="AA21" s="36">
        <f>MVTJANV24!AA20+MVTFEV24!AA20+MVTMARS24!AA20+MVTAVRIL24!AA20+MVTMAI24!AA20+MVTJUIN24!AA20+MVTJUIL24!AA20+MVTAOUT24!AA20+MVTSEPT24!AA20+MVTOCT24!AA20+MVTNOV24!AA20+MVTDEC24!AA20</f>
        <v>0</v>
      </c>
      <c r="AB21" s="36">
        <f>MVTJANV24!AB20+MVTFEV24!AB20+MVTMARS24!AB20+MVTAVRIL24!AB20+MVTMAI24!AB20+MVTJUIN24!AB20+MVTJUIL24!AB20+MVTAOUT24!AB20+MVTSEPT24!AB20+MVTOCT24!AB20+MVTNOV24!AB20+MVTDEC24!AB20</f>
        <v>0</v>
      </c>
      <c r="AC21" s="36">
        <f>MVTJANV24!AC20+MVTFEV24!AC20+MVTMARS24!AC20+MVTAVRIL24!AC20+MVTMAI24!AC20+MVTJUIN24!AC20+MVTJUIL24!AC20+MVTAOUT24!AC20+MVTSEPT24!AC20+MVTOCT24!AC20+MVTNOV24!AC20+MVTDEC24!AC20</f>
        <v>0</v>
      </c>
      <c r="AD21" s="36">
        <f>MVTJANV24!AD20+MVTFEV24!AD20+MVTMARS24!AD20+MVTAVRIL24!AD20+MVTMAI24!AD20+MVTJUIN24!AD20+MVTJUIL24!AD20+MVTAOUT24!AD20+MVTSEPT24!AD20+MVTOCT24!AD20+MVTNOV24!AD20+MVTDEC24!AD20</f>
        <v>0</v>
      </c>
      <c r="AE21" s="36">
        <f>MVTJANV24!AE20+MVTFEV24!AE20+MVTMARS24!AE20+MVTAVRIL24!AE20+MVTMAI24!AE20+MVTJUIN24!AE20+MVTJUIL24!AE20+MVTAOUT24!AE20+MVTSEPT24!AE20+MVTOCT24!AE20+MVTNOV24!AE20+MVTDEC24!AE20</f>
        <v>0</v>
      </c>
      <c r="AF21" s="36">
        <f>MVTJANV24!AF20+MVTFEV24!AF20+MVTMARS24!AF20+MVTAVRIL24!AF20+MVTMAI24!AF20+MVTJUIN24!AF20+MVTJUIL24!AF20+MVTAOUT24!AF20+MVTSEPT24!AF20+MVTOCT24!AF20+MVTNOV24!AF20+MVTDEC24!AF20</f>
        <v>0</v>
      </c>
      <c r="AG21" s="36">
        <f>MVTJANV24!AG20+MVTFEV24!AG20+MVTMARS24!AG20+MVTAVRIL24!AG20+MVTMAI24!AG20+MVTJUIN24!AG20+MVTJUIL24!AG20+MVTAOUT24!AG20+MVTSEPT24!AG20+MVTOCT24!AG20+MVTNOV24!AG20+MVTDEC24!AG20</f>
        <v>0</v>
      </c>
      <c r="AH21" s="36">
        <f>MVTJANV24!AH20+MVTFEV24!AH20+MVTMARS24!AH20+MVTAVRIL24!AH20+MVTMAI24!AH20+MVTJUIN24!AH20+MVTJUIL24!AH20+MVTAOUT24!AH20+MVTSEPT24!AH20+MVTOCT24!AH20+MVTNOV24!AH20+MVTDEC24!AH20</f>
        <v>0</v>
      </c>
      <c r="AI21" s="36">
        <f>MVTJANV24!AI20+MVTFEV24!AI20+MVTMARS24!AI20+MVTAVRIL24!AI20+MVTMAI24!AI20+MVTJUIN24!AI20+MVTJUIL24!AI20+MVTAOUT24!AI20+MVTSEPT24!AI20+MVTOCT24!AI20+MVTNOV24!AI20+MVTDEC24!AI20</f>
        <v>0</v>
      </c>
      <c r="AJ21" s="36">
        <f>MVTJANV24!AJ20+MVTFEV24!AJ20+MVTMARS24!AJ20+MVTAVRIL24!AJ20+MVTMAI24!AJ20+MVTJUIN24!AJ20+MVTJUIL24!AJ20+MVTAOUT24!AJ20+MVTSEPT24!AJ20+MVTOCT24!AJ20+MVTNOV24!AJ20+MVTDEC24!AJ20</f>
        <v>0</v>
      </c>
      <c r="AK21" s="36">
        <f>MVTJANV24!AK20+MVTFEV24!AK20+MVTMARS24!AK20+MVTAVRIL24!AK20+MVTMAI24!AK20+MVTJUIN24!AK20+MVTJUIL24!AK20+MVTAOUT24!AK20+MVTSEPT24!AK20+MVTOCT24!AK20+MVTNOV24!AK20+MVTDEC24!AK20</f>
        <v>0</v>
      </c>
      <c r="AL21" s="143"/>
      <c r="AM21" s="144">
        <f t="shared" si="2"/>
        <v>0</v>
      </c>
      <c r="AN21" s="144"/>
      <c r="AP21" s="36"/>
    </row>
    <row r="22" spans="1:42" ht="15.75" x14ac:dyDescent="0.25">
      <c r="A22" s="1" t="s">
        <v>75</v>
      </c>
      <c r="B22" s="1" t="str">
        <f>VLOOKUP(A22,[19]LISTADHERENT!A$5:H$60,3,0)</f>
        <v>MBOGNING TUGMA GUY</v>
      </c>
      <c r="C22" s="36">
        <f>+MVTDEC23!C21</f>
        <v>700000</v>
      </c>
      <c r="D22" s="36">
        <f>+MVTDEC23!D21</f>
        <v>31709.397241182596</v>
      </c>
      <c r="E22" s="36">
        <f>VLOOKUP($A22,[24]HISTOJANV24!$A$6:$BA$38,48,0)</f>
        <v>0</v>
      </c>
      <c r="F22" s="36">
        <f>MVTDEC24!F21</f>
        <v>1008355.800629583</v>
      </c>
      <c r="G22" s="5">
        <f>MVTDEC24!G21</f>
        <v>1008355.800629583</v>
      </c>
      <c r="H22" s="36">
        <f>MVTDEC23!H21+MVTJANV24!H21+MVTFEV24!H21+MVTMARS24!H21+MVTAVRIL24!H21+MVTMAI24!H21+MVTJUIN24!H21+MVTJUIL24!H21+MVTAOUT24!H21+MVTSEPT24!H21+MVTOCT24!H21+MVTNOV24!H21+MVTDEC24!H21</f>
        <v>49646.403388400482</v>
      </c>
      <c r="I22" s="6">
        <f t="shared" si="0"/>
        <v>1058002.2040179835</v>
      </c>
      <c r="J22" s="36">
        <f>MVTJANV24!J21+MVTFEV24!J21+MVTMARS24!J21+MVTAVRIL24!J21+MVTMAI24!J21+MVTJUIN24!J21+MVTJUIL24!J21+MVTAOUT24!J21+MVTSEPT24!J21+MVTOCT24!J21+MVTNOV24!J21+MVTDEC24!J21</f>
        <v>0</v>
      </c>
      <c r="K22" s="36">
        <f>MVTJANV24!K21+MVTFEV24!K21+MVTMARS24!K21+MVTAVRIL24!K21+MVTMAI24!K21+MVTJUIN24!K21+MVTJUIL24!K21+MVTAOUT24!K21+MVTSEPT24!K21+MVTOCT24!K21+MVTNOV24!K21+MVTDEC24!K21</f>
        <v>299000</v>
      </c>
      <c r="L22" s="36">
        <f>MVTJANV24!L21+MVTFEV24!L21+MVTMARS24!L21+MVTAVRIL24!L21+MVTMAI24!L21+MVTJUIN24!L21+MVTJUIL24!L21+MVTAOUT24!L21+MVTSEPT24!L21+MVTOCT24!L21+MVTNOV24!L21+MVTDEC24!L21</f>
        <v>227000</v>
      </c>
      <c r="M22" s="36">
        <f>MVTJANV24!M21+MVTFEV24!M21+MVTMARS24!M21+MVTAVRIL24!M21+MVTMAI24!M21+MVTJUIN24!M21+MVTJUIL24!M21+MVTAOUT24!M21+MVTSEPT24!M21+MVTOCT24!M21+MVTNOV24!M21+MVTDEC24!M21</f>
        <v>12000</v>
      </c>
      <c r="N22" s="36">
        <f>MVTJANV24!N21+MVTFEV24!N21+MVTMARS24!N21+MVTAVRIL24!N21+MVTMAI24!N21+MVTJUIN24!N21+MVTJUIL24!N21+MVTAOUT24!N21+MVTSEPT24!N21+MVTOCT24!N21+MVTNOV24!N21+MVTDEC24!N21</f>
        <v>12000</v>
      </c>
      <c r="O22" s="36">
        <f>MVTJANV24!O21+MVTFEV24!O21+MVTMARS24!O21+MVTAVRIL24!O21+MVTMAI24!O21+MVTJUIN24!O21+MVTJUIL24!O21+MVTAOUT24!O21+MVTSEPT24!O21+MVTOCT24!O21+MVTNOV24!O21+MVTDEC24!O21</f>
        <v>48000</v>
      </c>
      <c r="P22" s="36">
        <f>MVTJANV24!P21+MVTFEV24!P21+MVTMARS24!P21+MVTAVRIL24!P21+MVTMAI24!P21+MVTJUIN24!P21+MVTJUIL24!P21+MVTAOUT24!P21+MVTSEPT24!P21+MVTOCT24!P21+MVTNOV24!P21+MVTDEC24!P21</f>
        <v>0</v>
      </c>
      <c r="Q22" s="36">
        <f>MVTJANV24!Q21+MVTFEV24!Q21+MVTMARS24!Q21+MVTAVRIL24!Q21+MVTMAI24!Q21+MVTJUIN24!Q21+MVTJUIL24!Q21+MVTAOUT24!Q21+MVTSEPT24!Q21+MVTOCT24!Q21+MVTNOV24!Q21+MVTDEC24!Q21</f>
        <v>0</v>
      </c>
      <c r="R22" s="36">
        <f>MVTJANV24!R21+MVTFEV24!R21+MVTMARS24!R21+MVTAVRIL24!R21+MVTMAI24!R21+MVTJUIN24!R21+MVTJUIL24!R21+MVTAOUT24!R21+MVTSEPT24!R21+MVTOCT24!R21+MVTNOV24!R21+MVTDEC24!R21</f>
        <v>0</v>
      </c>
      <c r="S22" s="36">
        <f>MVTDEC23!S21+MVTJANV24!S21+MVTFEV24!S21+MVTMARS24!S21+MVTAVRIL24!S21+MVTMAI24!S21+MVTJUIN24!S21+MVTJUIL24!S21+MVTAOUT24!S21+MVTSEPT24!S21+MVTOCT24!S21+MVTNOV24!S21+MVTDEC24!S21</f>
        <v>1000000</v>
      </c>
      <c r="T22" s="36">
        <f>MVTDEC23!T21+MVTJANV24!T21+MVTFEV24!T21+MVTMARS24!T21+MVTAVRIL24!T21+MVTMAI24!T21+MVTJUIN24!T21+MVTJUIL24!T21+MVTAOUT24!T21+MVTSEPT24!T21+MVTOCT24!T21+MVTNOV24!T21+MVTDEC24!T21</f>
        <v>60000</v>
      </c>
      <c r="U22" s="36"/>
      <c r="V22" s="36">
        <f>MVTJANV24!V21+MVTFEV24!V21+MVTMARS24!V21+MVTAVRIL24!V21+MVTMAI24!V21+MVTJUIN24!V21+MVTJUIL24!V21+MVTAOUT24!V21+MVTSEPT24!V21+MVTOCT24!V21+MVTNOV24!V21+MVTDEC24!V21</f>
        <v>0</v>
      </c>
      <c r="W22" s="36">
        <f t="shared" si="1"/>
        <v>1000000</v>
      </c>
      <c r="X22" s="36"/>
      <c r="Y22" s="36"/>
      <c r="Z22" s="36">
        <f>MVTJANV24!Z21+MVTFEV24!Z21+MVTMARS24!Z21+MVTAVRIL24!Z21+MVTMAI24!Z21+MVTJUIN24!Z21+MVTJUIL24!Z21+MVTAOUT24!Z21+MVTSEPT24!Z21+MVTOCT24!Z21+MVTNOV24!Z21+MVTDEC24!Z21</f>
        <v>0</v>
      </c>
      <c r="AA22" s="36">
        <f>MVTJANV24!AA21+MVTFEV24!AA21+MVTMARS24!AA21+MVTAVRIL24!AA21+MVTMAI24!AA21+MVTJUIN24!AA21+MVTJUIL24!AA21+MVTAOUT24!AA21+MVTSEPT24!AA21+MVTOCT24!AA21+MVTNOV24!AA21+MVTDEC24!AA21</f>
        <v>0</v>
      </c>
      <c r="AB22" s="36">
        <f>MVTJANV24!AB21+MVTFEV24!AB21+MVTMARS24!AB21+MVTAVRIL24!AB21+MVTMAI24!AB21+MVTJUIN24!AB21+MVTJUIL24!AB21+MVTAOUT24!AB21+MVTSEPT24!AB21+MVTOCT24!AB21+MVTNOV24!AB21+MVTDEC24!AB21</f>
        <v>0</v>
      </c>
      <c r="AC22" s="36">
        <f>MVTJANV24!AC21+MVTFEV24!AC21+MVTMARS24!AC21+MVTAVRIL24!AC21+MVTMAI24!AC21+MVTJUIN24!AC21+MVTJUIL24!AC21+MVTAOUT24!AC21+MVTSEPT24!AC21+MVTOCT24!AC21+MVTNOV24!AC21+MVTDEC24!AC21</f>
        <v>0</v>
      </c>
      <c r="AD22" s="36">
        <f>MVTJANV24!AD21+MVTFEV24!AD21+MVTMARS24!AD21+MVTAVRIL24!AD21+MVTMAI24!AD21+MVTJUIN24!AD21+MVTJUIL24!AD21+MVTAOUT24!AD21+MVTSEPT24!AD21+MVTOCT24!AD21+MVTNOV24!AD21+MVTDEC24!AD21</f>
        <v>0</v>
      </c>
      <c r="AE22" s="36">
        <f>MVTJANV24!AE21+MVTFEV24!AE21+MVTMARS24!AE21+MVTAVRIL24!AE21+MVTMAI24!AE21+MVTJUIN24!AE21+MVTJUIL24!AE21+MVTAOUT24!AE21+MVTSEPT24!AE21+MVTOCT24!AE21+MVTNOV24!AE21+MVTDEC24!AE21</f>
        <v>0</v>
      </c>
      <c r="AF22" s="36">
        <f>MVTJANV24!AF21+MVTFEV24!AF21+MVTMARS24!AF21+MVTAVRIL24!AF21+MVTMAI24!AF21+MVTJUIN24!AF21+MVTJUIL24!AF21+MVTAOUT24!AF21+MVTSEPT24!AF21+MVTOCT24!AF21+MVTNOV24!AF21+MVTDEC24!AF21</f>
        <v>0</v>
      </c>
      <c r="AG22" s="36">
        <f>MVTJANV24!AG21+MVTFEV24!AG21+MVTMARS24!AG21+MVTAVRIL24!AG21+MVTMAI24!AG21+MVTJUIN24!AG21+MVTJUIL24!AG21+MVTAOUT24!AG21+MVTSEPT24!AG21+MVTOCT24!AG21+MVTNOV24!AG21+MVTDEC24!AG21</f>
        <v>0</v>
      </c>
      <c r="AH22" s="36">
        <f>MVTJANV24!AH21+MVTFEV24!AH21+MVTMARS24!AH21+MVTAVRIL24!AH21+MVTMAI24!AH21+MVTJUIN24!AH21+MVTJUIL24!AH21+MVTAOUT24!AH21+MVTSEPT24!AH21+MVTOCT24!AH21+MVTNOV24!AH21+MVTDEC24!AH21</f>
        <v>0</v>
      </c>
      <c r="AI22" s="36">
        <f>MVTJANV24!AI21+MVTFEV24!AI21+MVTMARS24!AI21+MVTAVRIL24!AI21+MVTMAI24!AI21+MVTJUIN24!AI21+MVTJUIL24!AI21+MVTAOUT24!AI21+MVTSEPT24!AI21+MVTOCT24!AI21+MVTNOV24!AI21+MVTDEC24!AI21</f>
        <v>0</v>
      </c>
      <c r="AJ22" s="36">
        <f>MVTJANV24!AJ21+MVTFEV24!AJ21+MVTMARS24!AJ21+MVTAVRIL24!AJ21+MVTMAI24!AJ21+MVTJUIN24!AJ21+MVTJUIL24!AJ21+MVTAOUT24!AJ21+MVTSEPT24!AJ21+MVTOCT24!AJ21+MVTNOV24!AJ21+MVTDEC24!AJ21</f>
        <v>0</v>
      </c>
      <c r="AK22" s="36">
        <f>MVTJANV24!AK21+MVTFEV24!AK21+MVTMARS24!AK21+MVTAVRIL24!AK21+MVTMAI24!AK21+MVTJUIN24!AK21+MVTJUIL24!AK21+MVTAOUT24!AK21+MVTSEPT24!AK21+MVTOCT24!AK21+MVTNOV24!AK21+MVTDEC24!AK21</f>
        <v>0</v>
      </c>
      <c r="AL22" s="143">
        <v>45352</v>
      </c>
      <c r="AM22" s="144">
        <f t="shared" si="2"/>
        <v>60000</v>
      </c>
      <c r="AN22" s="144"/>
      <c r="AP22" s="36"/>
    </row>
    <row r="23" spans="1:42" ht="15.75" x14ac:dyDescent="0.25">
      <c r="A23" s="1" t="s">
        <v>50</v>
      </c>
      <c r="B23" s="1" t="str">
        <f>VLOOKUP(A23,[19]LISTADHERENT!A$5:H$60,3,0)</f>
        <v>NANGUEN MARTIN</v>
      </c>
      <c r="C23" s="36">
        <f>+MVTDEC23!C22</f>
        <v>700000</v>
      </c>
      <c r="D23" s="36">
        <f>+MVTDEC23!D22</f>
        <v>1150.3620808817795</v>
      </c>
      <c r="E23" s="36">
        <f>VLOOKUP($A23,[24]HISTOJANV24!$A$6:$BA$38,48,0)</f>
        <v>0</v>
      </c>
      <c r="F23" s="36">
        <f>MVTDEC24!F22</f>
        <v>976738.95952735876</v>
      </c>
      <c r="G23" s="5">
        <f>MVTDEC24!G22</f>
        <v>976738.95952735876</v>
      </c>
      <c r="H23" s="36">
        <f>MVTDEC23!H22+MVTJANV24!H22+MVTFEV24!H22+MVTMARS24!H22+MVTAVRIL24!H22+MVTMAI24!H22+MVTJUIN24!H22+MVTJUIL24!H22+MVTAOUT24!H22+MVTSEPT24!H22+MVTOCT24!H22+MVTNOV24!H22+MVTDEC24!H22</f>
        <v>47588.597446476793</v>
      </c>
      <c r="I23" s="6">
        <f t="shared" si="0"/>
        <v>1024327.5569738356</v>
      </c>
      <c r="J23" s="36">
        <f>MVTJANV24!J22+MVTFEV24!J22+MVTMARS24!J22+MVTAVRIL24!J22+MVTMAI24!J22+MVTJUIN24!J22+MVTJUIL24!J22+MVTAOUT24!J22+MVTSEPT24!J22+MVTOCT24!J22+MVTNOV24!J22+MVTDEC24!J22</f>
        <v>0</v>
      </c>
      <c r="K23" s="36">
        <f>MVTJANV24!K22+MVTFEV24!K22+MVTMARS24!K22+MVTAVRIL24!K22+MVTMAI24!K22+MVTJUIN24!K22+MVTJUIL24!K22+MVTAOUT24!K22+MVTSEPT24!K22+MVTOCT24!K22+MVTNOV24!K22+MVTDEC24!K22</f>
        <v>300000</v>
      </c>
      <c r="L23" s="36">
        <f>MVTJANV24!L22+MVTFEV24!L22+MVTMARS24!L22+MVTAVRIL24!L22+MVTMAI24!L22+MVTJUIN24!L22+MVTJUIL24!L22+MVTAOUT24!L22+MVTSEPT24!L22+MVTOCT24!L22+MVTNOV24!L22+MVTDEC24!L22</f>
        <v>228000</v>
      </c>
      <c r="M23" s="36">
        <f>MVTJANV24!M22+MVTFEV24!M22+MVTMARS24!M22+MVTAVRIL24!M22+MVTMAI24!M22+MVTJUIN24!M22+MVTJUIL24!M22+MVTAOUT24!M22+MVTSEPT24!M22+MVTOCT24!M22+MVTNOV24!M22+MVTDEC24!M22</f>
        <v>12000</v>
      </c>
      <c r="N23" s="36">
        <f>MVTJANV24!N22+MVTFEV24!N22+MVTMARS24!N22+MVTAVRIL24!N22+MVTMAI24!N22+MVTJUIN24!N22+MVTJUIL24!N22+MVTAOUT24!N22+MVTSEPT24!N22+MVTOCT24!N22+MVTNOV24!N22+MVTDEC24!N22</f>
        <v>12000</v>
      </c>
      <c r="O23" s="36">
        <f>MVTJANV24!O22+MVTFEV24!O22+MVTMARS24!O22+MVTAVRIL24!O22+MVTMAI24!O22+MVTJUIN24!O22+MVTJUIL24!O22+MVTAOUT24!O22+MVTSEPT24!O22+MVTOCT24!O22+MVTNOV24!O22+MVTDEC24!O22</f>
        <v>48000</v>
      </c>
      <c r="P23" s="36">
        <f>MVTJANV24!P22+MVTFEV24!P22+MVTMARS24!P22+MVTAVRIL24!P22+MVTMAI24!P22+MVTJUIN24!P22+MVTJUIL24!P22+MVTAOUT24!P22+MVTSEPT24!P22+MVTOCT24!P22+MVTNOV24!P22+MVTDEC24!P22</f>
        <v>0</v>
      </c>
      <c r="Q23" s="36">
        <f>MVTJANV24!Q22+MVTFEV24!Q22+MVTMARS24!Q22+MVTAVRIL24!Q22+MVTMAI24!Q22+MVTJUIN24!Q22+MVTJUIL24!Q22+MVTAOUT24!Q22+MVTSEPT24!Q22+MVTOCT24!Q22+MVTNOV24!Q22+MVTDEC24!Q22</f>
        <v>0</v>
      </c>
      <c r="R23" s="36">
        <f>MVTJANV24!R22+MVTFEV24!R22+MVTMARS24!R22+MVTAVRIL24!R22+MVTMAI24!R22+MVTJUIN24!R22+MVTJUIL24!R22+MVTAOUT24!R22+MVTSEPT24!R22+MVTOCT24!R22+MVTNOV24!R22+MVTDEC24!R22</f>
        <v>0</v>
      </c>
      <c r="S23" s="36">
        <f>MVTDEC23!S22+MVTJANV24!S22+MVTFEV24!S22+MVTMARS24!S22+MVTAVRIL24!S22+MVTMAI24!S22+MVTJUIN24!S22+MVTJUIL24!S22+MVTAOUT24!S22+MVTSEPT24!S22+MVTOCT24!S22+MVTNOV24!S22+MVTDEC24!S22</f>
        <v>300000</v>
      </c>
      <c r="T23" s="36">
        <f>MVTDEC23!T22+MVTJANV24!T22+MVTFEV24!T22+MVTMARS24!T22+MVTAVRIL24!T22+MVTMAI24!T22+MVTJUIN24!T22+MVTJUIL24!T22+MVTAOUT24!T22+MVTSEPT24!T22+MVTOCT24!T22+MVTNOV24!T22+MVTDEC24!T22</f>
        <v>18000</v>
      </c>
      <c r="U23" s="36"/>
      <c r="V23" s="36">
        <f>MVTJANV24!V22+MVTFEV24!V22+MVTMARS24!V22+MVTAVRIL24!V22+MVTMAI24!V22+MVTJUIN24!V22+MVTJUIL24!V22+MVTAOUT24!V22+MVTSEPT24!V22+MVTOCT24!V22+MVTNOV24!V22+MVTDEC24!V22</f>
        <v>0</v>
      </c>
      <c r="W23" s="36">
        <f t="shared" si="1"/>
        <v>300000</v>
      </c>
      <c r="X23" s="36"/>
      <c r="Y23" s="36"/>
      <c r="Z23" s="36">
        <f>MVTJANV24!Z22+MVTFEV24!Z22+MVTMARS24!Z22+MVTAVRIL24!Z22+MVTMAI24!Z22+MVTJUIN24!Z22+MVTJUIL24!Z22+MVTAOUT24!Z22+MVTSEPT24!Z22+MVTOCT24!Z22+MVTNOV24!Z22+MVTDEC24!Z22</f>
        <v>0</v>
      </c>
      <c r="AA23" s="36">
        <f>MVTJANV24!AA22+MVTFEV24!AA22+MVTMARS24!AA22+MVTAVRIL24!AA22+MVTMAI24!AA22+MVTJUIN24!AA22+MVTJUIL24!AA22+MVTAOUT24!AA22+MVTSEPT24!AA22+MVTOCT24!AA22+MVTNOV24!AA22+MVTDEC24!AA22</f>
        <v>0</v>
      </c>
      <c r="AB23" s="36">
        <f>MVTJANV24!AB22+MVTFEV24!AB22+MVTMARS24!AB22+MVTAVRIL24!AB22+MVTMAI24!AB22+MVTJUIN24!AB22+MVTJUIL24!AB22+MVTAOUT24!AB22+MVTSEPT24!AB22+MVTOCT24!AB22+MVTNOV24!AB22+MVTDEC24!AB22</f>
        <v>0</v>
      </c>
      <c r="AC23" s="36">
        <f>MVTJANV24!AC22+MVTFEV24!AC22+MVTMARS24!AC22+MVTAVRIL24!AC22+MVTMAI24!AC22+MVTJUIN24!AC22+MVTJUIL24!AC22+MVTAOUT24!AC22+MVTSEPT24!AC22+MVTOCT24!AC22+MVTNOV24!AC22+MVTDEC24!AC22</f>
        <v>0</v>
      </c>
      <c r="AD23" s="36">
        <f>MVTJANV24!AD22+MVTFEV24!AD22+MVTMARS24!AD22+MVTAVRIL24!AD22+MVTMAI24!AD22+MVTJUIN24!AD22+MVTJUIL24!AD22+MVTAOUT24!AD22+MVTSEPT24!AD22+MVTOCT24!AD22+MVTNOV24!AD22+MVTDEC24!AD22</f>
        <v>0</v>
      </c>
      <c r="AE23" s="36">
        <f>MVTJANV24!AE22+MVTFEV24!AE22+MVTMARS24!AE22+MVTAVRIL24!AE22+MVTMAI24!AE22+MVTJUIN24!AE22+MVTJUIL24!AE22+MVTAOUT24!AE22+MVTSEPT24!AE22+MVTOCT24!AE22+MVTNOV24!AE22+MVTDEC24!AE22</f>
        <v>0</v>
      </c>
      <c r="AF23" s="36">
        <f>MVTJANV24!AF22+MVTFEV24!AF22+MVTMARS24!AF22+MVTAVRIL24!AF22+MVTMAI24!AF22+MVTJUIN24!AF22+MVTJUIL24!AF22+MVTAOUT24!AF22+MVTSEPT24!AF22+MVTOCT24!AF22+MVTNOV24!AF22+MVTDEC24!AF22</f>
        <v>0</v>
      </c>
      <c r="AG23" s="36">
        <f>MVTJANV24!AG22+MVTFEV24!AG22+MVTMARS24!AG22+MVTAVRIL24!AG22+MVTMAI24!AG22+MVTJUIN24!AG22+MVTJUIL24!AG22+MVTAOUT24!AG22+MVTSEPT24!AG22+MVTOCT24!AG22+MVTNOV24!AG22+MVTDEC24!AG22</f>
        <v>0</v>
      </c>
      <c r="AH23" s="36">
        <f>MVTJANV24!AH22+MVTFEV24!AH22+MVTMARS24!AH22+MVTAVRIL24!AH22+MVTMAI24!AH22+MVTJUIN24!AH22+MVTJUIL24!AH22+MVTAOUT24!AH22+MVTSEPT24!AH22+MVTOCT24!AH22+MVTNOV24!AH22+MVTDEC24!AH22</f>
        <v>0</v>
      </c>
      <c r="AI23" s="36">
        <f>MVTJANV24!AI22+MVTFEV24!AI22+MVTMARS24!AI22+MVTAVRIL24!AI22+MVTMAI24!AI22+MVTJUIN24!AI22+MVTJUIL24!AI22+MVTAOUT24!AI22+MVTSEPT24!AI22+MVTOCT24!AI22+MVTNOV24!AI22+MVTDEC24!AI22</f>
        <v>0</v>
      </c>
      <c r="AJ23" s="36">
        <f>MVTJANV24!AJ22+MVTFEV24!AJ22+MVTMARS24!AJ22+MVTAVRIL24!AJ22+MVTMAI24!AJ22+MVTJUIN24!AJ22+MVTJUIL24!AJ22+MVTAOUT24!AJ22+MVTSEPT24!AJ22+MVTOCT24!AJ22+MVTNOV24!AJ22+MVTDEC24!AJ22</f>
        <v>0</v>
      </c>
      <c r="AK23" s="36">
        <f>MVTJANV24!AK22+MVTFEV24!AK22+MVTMARS24!AK22+MVTAVRIL24!AK22+MVTMAI24!AK22+MVTJUIN24!AK22+MVTJUIL24!AK22+MVTAOUT24!AK22+MVTSEPT24!AK22+MVTOCT24!AK22+MVTNOV24!AK22+MVTDEC24!AK22</f>
        <v>0</v>
      </c>
      <c r="AL23" s="143">
        <v>45474</v>
      </c>
      <c r="AM23" s="144">
        <f t="shared" si="2"/>
        <v>18000</v>
      </c>
      <c r="AN23" s="144"/>
      <c r="AP23" s="36"/>
    </row>
    <row r="24" spans="1:42" ht="15.75" x14ac:dyDescent="0.25">
      <c r="A24" s="1" t="s">
        <v>37</v>
      </c>
      <c r="B24" s="1" t="str">
        <f>VLOOKUP(A24,[19]LISTADHERENT!A$5:H$60,3,0)</f>
        <v>NANKAM APPOLINAIRE</v>
      </c>
      <c r="C24" s="36">
        <f>+MVTDEC23!C23</f>
        <v>700000</v>
      </c>
      <c r="D24" s="36">
        <f>+MVTDEC23!D23</f>
        <v>100402.23439018801</v>
      </c>
      <c r="E24" s="36">
        <f>VLOOKUP($A24,[24]HISTOJANV24!$A$6:$BA$38,48,0)</f>
        <v>0</v>
      </c>
      <c r="F24" s="36">
        <f>MVTDEC24!F23</f>
        <v>1082674.3246731949</v>
      </c>
      <c r="G24" s="5">
        <f>MVTDEC24!G23</f>
        <v>1082674.3246731949</v>
      </c>
      <c r="H24" s="36">
        <f>MVTDEC23!H23+MVTJANV24!H23+MVTFEV24!H23+MVTMARS24!H23+MVTAVRIL24!H23+MVTMAI24!H23+MVTJUIN24!H23+MVTJUIL24!H23+MVTAOUT24!H23+MVTSEPT24!H23+MVTOCT24!H23+MVTNOV24!H23+MVTDEC24!H23</f>
        <v>54272.090283006881</v>
      </c>
      <c r="I24" s="6">
        <f t="shared" si="0"/>
        <v>1136946.4149562018</v>
      </c>
      <c r="J24" s="36">
        <f>MVTJANV24!J23+MVTFEV24!J23+MVTMARS24!J23+MVTAVRIL24!J23+MVTMAI24!J23+MVTJUIN24!J23+MVTJUIL24!J23+MVTAOUT24!J23+MVTSEPT24!J23+MVTOCT24!J23+MVTNOV24!J23+MVTDEC24!J23</f>
        <v>0</v>
      </c>
      <c r="K24" s="36">
        <f>MVTJANV24!K23+MVTFEV24!K23+MVTMARS24!K23+MVTAVRIL24!K23+MVTMAI24!K23+MVTJUIN24!K23+MVTJUIL24!K23+MVTAOUT24!K23+MVTSEPT24!K23+MVTOCT24!K23+MVTNOV24!K23+MVTDEC24!K23</f>
        <v>300000</v>
      </c>
      <c r="L24" s="36">
        <f>MVTJANV24!L23+MVTFEV24!L23+MVTMARS24!L23+MVTAVRIL24!L23+MVTMAI24!L23+MVTJUIN24!L23+MVTJUIL24!L23+MVTAOUT24!L23+MVTSEPT24!L23+MVTOCT24!L23+MVTNOV24!L23+MVTDEC24!L23</f>
        <v>228000</v>
      </c>
      <c r="M24" s="36">
        <f>MVTJANV24!M23+MVTFEV24!M23+MVTMARS24!M23+MVTAVRIL24!M23+MVTMAI24!M23+MVTJUIN24!M23+MVTJUIL24!M23+MVTAOUT24!M23+MVTSEPT24!M23+MVTOCT24!M23+MVTNOV24!M23+MVTDEC24!M23</f>
        <v>12000</v>
      </c>
      <c r="N24" s="36">
        <f>MVTJANV24!N23+MVTFEV24!N23+MVTMARS24!N23+MVTAVRIL24!N23+MVTMAI24!N23+MVTJUIN24!N23+MVTJUIL24!N23+MVTAOUT24!N23+MVTSEPT24!N23+MVTOCT24!N23+MVTNOV24!N23+MVTDEC24!N23</f>
        <v>12000</v>
      </c>
      <c r="O24" s="36">
        <f>MVTJANV24!O23+MVTFEV24!O23+MVTMARS24!O23+MVTAVRIL24!O23+MVTMAI24!O23+MVTJUIN24!O23+MVTJUIL24!O23+MVTAOUT24!O23+MVTSEPT24!O23+MVTOCT24!O23+MVTNOV24!O23+MVTDEC24!O23</f>
        <v>48000</v>
      </c>
      <c r="P24" s="36">
        <f>MVTJANV24!P23+MVTFEV24!P23+MVTMARS24!P23+MVTAVRIL24!P23+MVTMAI24!P23+MVTJUIN24!P23+MVTJUIL24!P23+MVTAOUT24!P23+MVTSEPT24!P23+MVTOCT24!P23+MVTNOV24!P23+MVTDEC24!P23</f>
        <v>0</v>
      </c>
      <c r="Q24" s="36">
        <f>MVTJANV24!Q23+MVTFEV24!Q23+MVTMARS24!Q23+MVTAVRIL24!Q23+MVTMAI24!Q23+MVTJUIN24!Q23+MVTJUIL24!Q23+MVTAOUT24!Q23+MVTSEPT24!Q23+MVTOCT24!Q23+MVTNOV24!Q23+MVTDEC24!Q23</f>
        <v>0</v>
      </c>
      <c r="R24" s="36">
        <f>MVTJANV24!R23+MVTFEV24!R23+MVTMARS24!R23+MVTAVRIL24!R23+MVTMAI24!R23+MVTJUIN24!R23+MVTJUIL24!R23+MVTAOUT24!R23+MVTSEPT24!R23+MVTOCT24!R23+MVTNOV24!R23+MVTDEC24!R23</f>
        <v>0</v>
      </c>
      <c r="S24" s="36">
        <f>MVTDEC23!S23+MVTJANV24!S23+MVTFEV24!S23+MVTMARS24!S23+MVTAVRIL24!S23+MVTMAI24!S23+MVTJUIN24!S23+MVTJUIL24!S23+MVTAOUT24!S23+MVTSEPT24!S23+MVTOCT24!S23+MVTNOV24!S23+MVTDEC24!S23</f>
        <v>1000000</v>
      </c>
      <c r="T24" s="36">
        <f>MVTDEC23!T23+MVTJANV24!T23+MVTFEV24!T23+MVTMARS24!T23+MVTAVRIL24!T23+MVTMAI24!T23+MVTJUIN24!T23+MVTJUIL24!T23+MVTAOUT24!T23+MVTSEPT24!T23+MVTOCT24!T23+MVTNOV24!T23+MVTDEC24!T23</f>
        <v>120000</v>
      </c>
      <c r="U24" s="36"/>
      <c r="V24" s="36">
        <f>MVTJANV24!V23+MVTFEV24!V23+MVTMARS24!V23+MVTAVRIL24!V23+MVTMAI24!V23+MVTJUIN24!V23+MVTJUIL24!V23+MVTAOUT24!V23+MVTSEPT24!V23+MVTOCT24!V23+MVTNOV24!V23+MVTDEC24!V23</f>
        <v>0</v>
      </c>
      <c r="W24" s="36">
        <f t="shared" si="1"/>
        <v>1000000</v>
      </c>
      <c r="X24" s="36"/>
      <c r="Y24" s="36"/>
      <c r="Z24" s="36">
        <f>MVTJANV24!Z23+MVTFEV24!Z23+MVTMARS24!Z23+MVTAVRIL24!Z23+MVTMAI24!Z23+MVTJUIN24!Z23+MVTJUIL24!Z23+MVTAOUT24!Z23+MVTSEPT24!Z23+MVTOCT24!Z23+MVTNOV24!Z23+MVTDEC24!Z23</f>
        <v>0</v>
      </c>
      <c r="AA24" s="36">
        <f>MVTJANV24!AA23+MVTFEV24!AA23+MVTMARS24!AA23+MVTAVRIL24!AA23+MVTMAI24!AA23+MVTJUIN24!AA23+MVTJUIL24!AA23+MVTAOUT24!AA23+MVTSEPT24!AA23+MVTOCT24!AA23+MVTNOV24!AA23+MVTDEC24!AA23</f>
        <v>0</v>
      </c>
      <c r="AB24" s="36">
        <f>MVTJANV24!AB23+MVTFEV24!AB23+MVTMARS24!AB23+MVTAVRIL24!AB23+MVTMAI24!AB23+MVTJUIN24!AB23+MVTJUIL24!AB23+MVTAOUT24!AB23+MVTSEPT24!AB23+MVTOCT24!AB23+MVTNOV24!AB23+MVTDEC24!AB23</f>
        <v>0</v>
      </c>
      <c r="AC24" s="36">
        <f>MVTJANV24!AC23+MVTFEV24!AC23+MVTMARS24!AC23+MVTAVRIL24!AC23+MVTMAI24!AC23+MVTJUIN24!AC23+MVTJUIL24!AC23+MVTAOUT24!AC23+MVTSEPT24!AC23+MVTOCT24!AC23+MVTNOV24!AC23+MVTDEC24!AC23</f>
        <v>0</v>
      </c>
      <c r="AD24" s="36">
        <f>MVTJANV24!AD23+MVTFEV24!AD23+MVTMARS24!AD23+MVTAVRIL24!AD23+MVTMAI24!AD23+MVTJUIN24!AD23+MVTJUIL24!AD23+MVTAOUT24!AD23+MVTSEPT24!AD23+MVTOCT24!AD23+MVTNOV24!AD23+MVTDEC24!AD23</f>
        <v>0</v>
      </c>
      <c r="AE24" s="36">
        <f>MVTJANV24!AE23+MVTFEV24!AE23+MVTMARS24!AE23+MVTAVRIL24!AE23+MVTMAI24!AE23+MVTJUIN24!AE23+MVTJUIL24!AE23+MVTAOUT24!AE23+MVTSEPT24!AE23+MVTOCT24!AE23+MVTNOV24!AE23+MVTDEC24!AE23</f>
        <v>0</v>
      </c>
      <c r="AF24" s="36">
        <f>MVTJANV24!AF23+MVTFEV24!AF23+MVTMARS24!AF23+MVTAVRIL24!AF23+MVTMAI24!AF23+MVTJUIN24!AF23+MVTJUIL24!AF23+MVTAOUT24!AF23+MVTSEPT24!AF23+MVTOCT24!AF23+MVTNOV24!AF23+MVTDEC24!AF23</f>
        <v>0</v>
      </c>
      <c r="AG24" s="36">
        <f>MVTJANV24!AG23+MVTFEV24!AG23+MVTMARS24!AG23+MVTAVRIL24!AG23+MVTMAI24!AG23+MVTJUIN24!AG23+MVTJUIL24!AG23+MVTAOUT24!AG23+MVTSEPT24!AG23+MVTOCT24!AG23+MVTNOV24!AG23+MVTDEC24!AG23</f>
        <v>0</v>
      </c>
      <c r="AH24" s="36">
        <f>MVTJANV24!AH23+MVTFEV24!AH23+MVTMARS24!AH23+MVTAVRIL24!AH23+MVTMAI24!AH23+MVTJUIN24!AH23+MVTJUIL24!AH23+MVTAOUT24!AH23+MVTSEPT24!AH23+MVTOCT24!AH23+MVTNOV24!AH23+MVTDEC24!AH23</f>
        <v>0</v>
      </c>
      <c r="AI24" s="36">
        <f>MVTJANV24!AI23+MVTFEV24!AI23+MVTMARS24!AI23+MVTAVRIL24!AI23+MVTMAI24!AI23+MVTJUIN24!AI23+MVTJUIL24!AI23+MVTAOUT24!AI23+MVTSEPT24!AI23+MVTOCT24!AI23+MVTNOV24!AI23+MVTDEC24!AI23</f>
        <v>0</v>
      </c>
      <c r="AJ24" s="36">
        <f>MVTJANV24!AJ23+MVTFEV24!AJ23+MVTMARS24!AJ23+MVTAVRIL24!AJ23+MVTMAI24!AJ23+MVTJUIN24!AJ23+MVTJUIL24!AJ23+MVTAOUT24!AJ23+MVTSEPT24!AJ23+MVTOCT24!AJ23+MVTNOV24!AJ23+MVTDEC24!AJ23</f>
        <v>0</v>
      </c>
      <c r="AK24" s="36">
        <f>MVTJANV24!AK23+MVTFEV24!AK23+MVTMARS24!AK23+MVTAVRIL24!AK23+MVTMAI24!AK23+MVTJUIN24!AK23+MVTJUIL24!AK23+MVTAOUT24!AK23+MVTSEPT24!AK23+MVTOCT24!AK23+MVTNOV24!AK23+MVTDEC24!AK23</f>
        <v>0</v>
      </c>
      <c r="AL24" s="143">
        <v>45627</v>
      </c>
      <c r="AM24" s="144">
        <f t="shared" si="2"/>
        <v>120000</v>
      </c>
      <c r="AN24" s="144"/>
      <c r="AP24" s="36"/>
    </row>
    <row r="25" spans="1:42" ht="15.75" x14ac:dyDescent="0.25">
      <c r="A25" s="1" t="s">
        <v>38</v>
      </c>
      <c r="B25" s="1" t="str">
        <f>VLOOKUP(A25,[19]LISTADHERENT!A$5:H$60,3,0)</f>
        <v>NDJOMO ETIENNE</v>
      </c>
      <c r="C25" s="36">
        <f>+MVTDEC23!C24</f>
        <v>700000</v>
      </c>
      <c r="D25" s="36">
        <f>+MVTDEC23!D24</f>
        <v>224970.61781197961</v>
      </c>
      <c r="E25" s="36">
        <f>VLOOKUP($A25,[24]HISTOJANV24!$A$6:$BA$38,48,0)</f>
        <v>0</v>
      </c>
      <c r="F25" s="36">
        <f>MVTDEC24!F24</f>
        <v>1255827.8441992993</v>
      </c>
      <c r="G25" s="5">
        <f>MVTDEC24!G24</f>
        <v>1255827.8441992993</v>
      </c>
      <c r="H25" s="36">
        <f>MVTDEC23!H24+MVTJANV24!H24+MVTFEV24!H24+MVTMARS24!H24+MVTAVRIL24!H24+MVTMAI24!H24+MVTJUIN24!H24+MVTJUIL24!H24+MVTAOUT24!H24+MVTSEPT24!H24+MVTOCT24!H24+MVTNOV24!H24+MVTDEC24!H24</f>
        <v>62857.226387319744</v>
      </c>
      <c r="I25" s="6">
        <f t="shared" si="0"/>
        <v>1318685.0705866192</v>
      </c>
      <c r="J25" s="36">
        <f>MVTJANV24!J24+MVTFEV24!J24+MVTMARS24!J24+MVTAVRIL24!J24+MVTMAI24!J24+MVTJUIN24!J24+MVTJUIL24!J24+MVTAOUT24!J24+MVTSEPT24!J24+MVTOCT24!J24+MVTNOV24!J24+MVTDEC24!J24</f>
        <v>0</v>
      </c>
      <c r="K25" s="36">
        <f>MVTJANV24!K24+MVTFEV24!K24+MVTMARS24!K24+MVTAVRIL24!K24+MVTMAI24!K24+MVTJUIN24!K24+MVTJUIL24!K24+MVTAOUT24!K24+MVTSEPT24!K24+MVTOCT24!K24+MVTNOV24!K24+MVTDEC24!K24</f>
        <v>340000</v>
      </c>
      <c r="L25" s="36">
        <f>MVTJANV24!L24+MVTFEV24!L24+MVTMARS24!L24+MVTAVRIL24!L24+MVTMAI24!L24+MVTJUIN24!L24+MVTJUIL24!L24+MVTAOUT24!L24+MVTSEPT24!L24+MVTOCT24!L24+MVTNOV24!L24+MVTDEC24!L24</f>
        <v>268000</v>
      </c>
      <c r="M25" s="36">
        <f>MVTJANV24!M24+MVTFEV24!M24+MVTMARS24!M24+MVTAVRIL24!M24+MVTMAI24!M24+MVTJUIN24!M24+MVTJUIL24!M24+MVTAOUT24!M24+MVTSEPT24!M24+MVTOCT24!M24+MVTNOV24!M24+MVTDEC24!M24</f>
        <v>12000</v>
      </c>
      <c r="N25" s="36">
        <f>MVTJANV24!N24+MVTFEV24!N24+MVTMARS24!N24+MVTAVRIL24!N24+MVTMAI24!N24+MVTJUIN24!N24+MVTJUIL24!N24+MVTAOUT24!N24+MVTSEPT24!N24+MVTOCT24!N24+MVTNOV24!N24+MVTDEC24!N24</f>
        <v>12000</v>
      </c>
      <c r="O25" s="36">
        <f>MVTJANV24!O24+MVTFEV24!O24+MVTMARS24!O24+MVTAVRIL24!O24+MVTMAI24!O24+MVTJUIN24!O24+MVTJUIL24!O24+MVTAOUT24!O24+MVTSEPT24!O24+MVTOCT24!O24+MVTNOV24!O24+MVTDEC24!O24</f>
        <v>48000</v>
      </c>
      <c r="P25" s="36">
        <f>MVTJANV24!P24+MVTFEV24!P24+MVTMARS24!P24+MVTAVRIL24!P24+MVTMAI24!P24+MVTJUIN24!P24+MVTJUIL24!P24+MVTAOUT24!P24+MVTSEPT24!P24+MVTOCT24!P24+MVTNOV24!P24+MVTDEC24!P24</f>
        <v>0</v>
      </c>
      <c r="Q25" s="36">
        <f>MVTJANV24!Q24+MVTFEV24!Q24+MVTMARS24!Q24+MVTAVRIL24!Q24+MVTMAI24!Q24+MVTJUIN24!Q24+MVTJUIL24!Q24+MVTAOUT24!Q24+MVTSEPT24!Q24+MVTOCT24!Q24+MVTNOV24!Q24+MVTDEC24!Q24</f>
        <v>0</v>
      </c>
      <c r="R25" s="36">
        <f>MVTJANV24!R24+MVTFEV24!R24+MVTMARS24!R24+MVTAVRIL24!R24+MVTMAI24!R24+MVTJUIN24!R24+MVTJUIL24!R24+MVTAOUT24!R24+MVTSEPT24!R24+MVTOCT24!R24+MVTNOV24!R24+MVTDEC24!R24</f>
        <v>0</v>
      </c>
      <c r="S25" s="36">
        <f>MVTDEC23!S24+MVTJANV24!S24+MVTFEV24!S24+MVTMARS24!S24+MVTAVRIL24!S24+MVTMAI24!S24+MVTJUIN24!S24+MVTJUIL24!S24+MVTAOUT24!S24+MVTSEPT24!S24+MVTOCT24!S24+MVTNOV24!S24+MVTDEC24!S24</f>
        <v>500000</v>
      </c>
      <c r="T25" s="36">
        <f>MVTDEC23!T24+MVTJANV24!T24+MVTFEV24!T24+MVTMARS24!T24+MVTAVRIL24!T24+MVTMAI24!T24+MVTJUIN24!T24+MVTJUIL24!T24+MVTAOUT24!T24+MVTSEPT24!T24+MVTOCT24!T24+MVTNOV24!T24+MVTDEC24!T24</f>
        <v>30000</v>
      </c>
      <c r="U25" s="36"/>
      <c r="V25" s="36">
        <f>MVTJANV24!V24+MVTFEV24!V24+MVTMARS24!V24+MVTAVRIL24!V24+MVTMAI24!V24+MVTJUIN24!V24+MVTJUIL24!V24+MVTAOUT24!V24+MVTSEPT24!V24+MVTOCT24!V24+MVTNOV24!V24+MVTDEC24!V24</f>
        <v>0</v>
      </c>
      <c r="W25" s="36">
        <f t="shared" si="1"/>
        <v>500000</v>
      </c>
      <c r="X25" s="36"/>
      <c r="Y25" s="36"/>
      <c r="Z25" s="36">
        <f>MVTJANV24!Z24+MVTFEV24!Z24+MVTMARS24!Z24+MVTAVRIL24!Z24+MVTMAI24!Z24+MVTJUIN24!Z24+MVTJUIL24!Z24+MVTAOUT24!Z24+MVTSEPT24!Z24+MVTOCT24!Z24+MVTNOV24!Z24+MVTDEC24!Z24</f>
        <v>0</v>
      </c>
      <c r="AA25" s="36">
        <f>MVTJANV24!AA24+MVTFEV24!AA24+MVTMARS24!AA24+MVTAVRIL24!AA24+MVTMAI24!AA24+MVTJUIN24!AA24+MVTJUIL24!AA24+MVTAOUT24!AA24+MVTSEPT24!AA24+MVTOCT24!AA24+MVTNOV24!AA24+MVTDEC24!AA24</f>
        <v>0</v>
      </c>
      <c r="AB25" s="36">
        <f>MVTJANV24!AB24+MVTFEV24!AB24+MVTMARS24!AB24+MVTAVRIL24!AB24+MVTMAI24!AB24+MVTJUIN24!AB24+MVTJUIL24!AB24+MVTAOUT24!AB24+MVTSEPT24!AB24+MVTOCT24!AB24+MVTNOV24!AB24+MVTDEC24!AB24</f>
        <v>0</v>
      </c>
      <c r="AC25" s="36">
        <f>MVTJANV24!AC24+MVTFEV24!AC24+MVTMARS24!AC24+MVTAVRIL24!AC24+MVTMAI24!AC24+MVTJUIN24!AC24+MVTJUIL24!AC24+MVTAOUT24!AC24+MVTSEPT24!AC24+MVTOCT24!AC24+MVTNOV24!AC24+MVTDEC24!AC24</f>
        <v>0</v>
      </c>
      <c r="AD25" s="36">
        <f>MVTJANV24!AD24+MVTFEV24!AD24+MVTMARS24!AD24+MVTAVRIL24!AD24+MVTMAI24!AD24+MVTJUIN24!AD24+MVTJUIL24!AD24+MVTAOUT24!AD24+MVTSEPT24!AD24+MVTOCT24!AD24+MVTNOV24!AD24+MVTDEC24!AD24</f>
        <v>0</v>
      </c>
      <c r="AE25" s="36">
        <f>MVTJANV24!AE24+MVTFEV24!AE24+MVTMARS24!AE24+MVTAVRIL24!AE24+MVTMAI24!AE24+MVTJUIN24!AE24+MVTJUIL24!AE24+MVTAOUT24!AE24+MVTSEPT24!AE24+MVTOCT24!AE24+MVTNOV24!AE24+MVTDEC24!AE24</f>
        <v>0</v>
      </c>
      <c r="AF25" s="36">
        <f>MVTJANV24!AF24+MVTFEV24!AF24+MVTMARS24!AF24+MVTAVRIL24!AF24+MVTMAI24!AF24+MVTJUIN24!AF24+MVTJUIL24!AF24+MVTAOUT24!AF24+MVTSEPT24!AF24+MVTOCT24!AF24+MVTNOV24!AF24+MVTDEC24!AF24</f>
        <v>0</v>
      </c>
      <c r="AG25" s="36">
        <f>MVTJANV24!AG24+MVTFEV24!AG24+MVTMARS24!AG24+MVTAVRIL24!AG24+MVTMAI24!AG24+MVTJUIN24!AG24+MVTJUIL24!AG24+MVTAOUT24!AG24+MVTSEPT24!AG24+MVTOCT24!AG24+MVTNOV24!AG24+MVTDEC24!AG24</f>
        <v>0</v>
      </c>
      <c r="AH25" s="36">
        <f>MVTJANV24!AH24+MVTFEV24!AH24+MVTMARS24!AH24+MVTAVRIL24!AH24+MVTMAI24!AH24+MVTJUIN24!AH24+MVTJUIL24!AH24+MVTAOUT24!AH24+MVTSEPT24!AH24+MVTOCT24!AH24+MVTNOV24!AH24+MVTDEC24!AH24</f>
        <v>0</v>
      </c>
      <c r="AI25" s="36">
        <f>MVTJANV24!AI24+MVTFEV24!AI24+MVTMARS24!AI24+MVTAVRIL24!AI24+MVTMAI24!AI24+MVTJUIN24!AI24+MVTJUIL24!AI24+MVTAOUT24!AI24+MVTSEPT24!AI24+MVTOCT24!AI24+MVTNOV24!AI24+MVTDEC24!AI24</f>
        <v>0</v>
      </c>
      <c r="AJ25" s="36">
        <f>MVTJANV24!AJ24+MVTFEV24!AJ24+MVTMARS24!AJ24+MVTAVRIL24!AJ24+MVTMAI24!AJ24+MVTJUIN24!AJ24+MVTJUIL24!AJ24+MVTAOUT24!AJ24+MVTSEPT24!AJ24+MVTOCT24!AJ24+MVTNOV24!AJ24+MVTDEC24!AJ24</f>
        <v>0</v>
      </c>
      <c r="AK25" s="36">
        <f>MVTJANV24!AK24+MVTFEV24!AK24+MVTMARS24!AK24+MVTAVRIL24!AK24+MVTMAI24!AK24+MVTJUIN24!AK24+MVTJUIL24!AK24+MVTAOUT24!AK24+MVTSEPT24!AK24+MVTOCT24!AK24+MVTNOV24!AK24+MVTDEC24!AK24</f>
        <v>0</v>
      </c>
      <c r="AL25" s="143">
        <v>45474</v>
      </c>
      <c r="AM25" s="144">
        <f t="shared" si="2"/>
        <v>30000</v>
      </c>
      <c r="AN25" s="144"/>
      <c r="AP25" s="36"/>
    </row>
    <row r="26" spans="1:42" ht="15.75" x14ac:dyDescent="0.25">
      <c r="A26" s="1" t="s">
        <v>39</v>
      </c>
      <c r="B26" s="1" t="str">
        <f>VLOOKUP(A26,[19]LISTADHERENT!A$5:H$60,3,0)</f>
        <v>NGONDIEP CLAUDE</v>
      </c>
      <c r="C26" s="36">
        <f>+MVTDEC23!C25</f>
        <v>700000</v>
      </c>
      <c r="D26" s="36">
        <f>+MVTDEC23!D25</f>
        <v>57632.732271146844</v>
      </c>
      <c r="E26" s="36">
        <f>VLOOKUP($A26,[24]HISTOJANV24!$A$6:$BA$38,48,0)</f>
        <v>0</v>
      </c>
      <c r="F26" s="36">
        <f>MVTDEC24!F25</f>
        <v>1067141.7950432156</v>
      </c>
      <c r="G26" s="5">
        <f>MVTDEC24!G25</f>
        <v>1067141.7950432156</v>
      </c>
      <c r="H26" s="36">
        <f>MVTDEC23!H25+MVTJANV24!H25+MVTFEV24!H25+MVTMARS24!H25+MVTAVRIL24!H25+MVTMAI24!H25+MVTJUIN24!H25+MVTJUIL24!H25+MVTAOUT24!H25+MVTSEPT24!H25+MVTOCT24!H25+MVTNOV24!H25+MVTDEC24!H25</f>
        <v>51509.062772068915</v>
      </c>
      <c r="I26" s="6">
        <f t="shared" si="0"/>
        <v>1118650.8578152845</v>
      </c>
      <c r="J26" s="36">
        <f>MVTJANV24!J25+MVTFEV24!J25+MVTMARS24!J25+MVTAVRIL24!J25+MVTMAI24!J25+MVTJUIN24!J25+MVTJUIL24!J25+MVTAOUT24!J25+MVTSEPT24!J25+MVTOCT24!J25+MVTNOV24!J25+MVTDEC24!J25</f>
        <v>0</v>
      </c>
      <c r="K26" s="36">
        <f>MVTJANV24!K25+MVTFEV24!K25+MVTMARS24!K25+MVTAVRIL24!K25+MVTMAI24!K25+MVTJUIN24!K25+MVTJUIL24!K25+MVTAOUT24!K25+MVTSEPT24!K25+MVTOCT24!K25+MVTNOV24!K25+MVTDEC24!K25</f>
        <v>330000</v>
      </c>
      <c r="L26" s="36">
        <f>MVTJANV24!L25+MVTFEV24!L25+MVTMARS24!L25+MVTAVRIL24!L25+MVTMAI24!L25+MVTJUIN24!L25+MVTJUIL24!L25+MVTAOUT24!L25+MVTSEPT24!L25+MVTOCT24!L25+MVTNOV24!L25+MVTDEC24!L25</f>
        <v>258000</v>
      </c>
      <c r="M26" s="36">
        <f>MVTJANV24!M25+MVTFEV24!M25+MVTMARS24!M25+MVTAVRIL24!M25+MVTMAI24!M25+MVTJUIN24!M25+MVTJUIL24!M25+MVTAOUT24!M25+MVTSEPT24!M25+MVTOCT24!M25+MVTNOV24!M25+MVTDEC24!M25</f>
        <v>12000</v>
      </c>
      <c r="N26" s="36">
        <f>MVTJANV24!N25+MVTFEV24!N25+MVTMARS24!N25+MVTAVRIL24!N25+MVTMAI24!N25+MVTJUIN24!N25+MVTJUIL24!N25+MVTAOUT24!N25+MVTSEPT24!N25+MVTOCT24!N25+MVTNOV24!N25+MVTDEC24!N25</f>
        <v>12000</v>
      </c>
      <c r="O26" s="36">
        <f>MVTJANV24!O25+MVTFEV24!O25+MVTMARS24!O25+MVTAVRIL24!O25+MVTMAI24!O25+MVTJUIN24!O25+MVTJUIL24!O25+MVTAOUT24!O25+MVTSEPT24!O25+MVTOCT24!O25+MVTNOV24!O25+MVTDEC24!O25</f>
        <v>48000</v>
      </c>
      <c r="P26" s="36">
        <f>MVTJANV24!P25+MVTFEV24!P25+MVTMARS24!P25+MVTAVRIL24!P25+MVTMAI24!P25+MVTJUIN24!P25+MVTJUIL24!P25+MVTAOUT24!P25+MVTSEPT24!P25+MVTOCT24!P25+MVTNOV24!P25+MVTDEC24!P25</f>
        <v>27000</v>
      </c>
      <c r="Q26" s="36">
        <f>MVTJANV24!Q25+MVTFEV24!Q25+MVTMARS24!Q25+MVTAVRIL24!Q25+MVTMAI24!Q25+MVTJUIN24!Q25+MVTJUIL24!Q25+MVTAOUT24!Q25+MVTSEPT24!Q25+MVTOCT24!Q25+MVTNOV24!Q25+MVTDEC24!Q25</f>
        <v>0</v>
      </c>
      <c r="R26" s="36">
        <f>MVTJANV24!R25+MVTFEV24!R25+MVTMARS24!R25+MVTAVRIL24!R25+MVTMAI24!R25+MVTJUIN24!R25+MVTJUIL24!R25+MVTAOUT24!R25+MVTSEPT24!R25+MVTOCT24!R25+MVTNOV24!R25+MVTDEC24!R25</f>
        <v>0</v>
      </c>
      <c r="S26" s="36">
        <f>MVTDEC23!S25+MVTJANV24!S25+MVTFEV24!S25+MVTMARS24!S25+MVTAVRIL24!S25+MVTMAI24!S25+MVTJUIN24!S25+MVTJUIL24!S25+MVTAOUT24!S25+MVTSEPT24!S25+MVTOCT24!S25+MVTNOV24!S25+MVTDEC24!S25</f>
        <v>1000000</v>
      </c>
      <c r="T26" s="36">
        <f>MVTDEC23!T25+MVTJANV24!T25+MVTFEV24!T25+MVTMARS24!T25+MVTAVRIL24!T25+MVTMAI24!T25+MVTJUIN24!T25+MVTJUIL24!T25+MVTAOUT24!T25+MVTSEPT24!T25+MVTOCT24!T25+MVTNOV24!T25+MVTDEC24!T25</f>
        <v>120000</v>
      </c>
      <c r="U26" s="36"/>
      <c r="V26" s="36">
        <f>MVTJANV24!V25+MVTFEV24!V25+MVTMARS24!V25+MVTAVRIL24!V25+MVTMAI24!V25+MVTJUIN24!V25+MVTJUIL24!V25+MVTAOUT24!V25+MVTSEPT24!V25+MVTOCT24!V25+MVTNOV24!V25+MVTDEC24!V25</f>
        <v>0</v>
      </c>
      <c r="W26" s="36">
        <f t="shared" si="1"/>
        <v>1000000</v>
      </c>
      <c r="X26" s="36"/>
      <c r="Y26" s="36"/>
      <c r="Z26" s="36">
        <f>MVTJANV24!Z25+MVTFEV24!Z25+MVTMARS24!Z25+MVTAVRIL24!Z25+MVTMAI24!Z25+MVTJUIN24!Z25+MVTJUIL24!Z25+MVTAOUT24!Z25+MVTSEPT24!Z25+MVTOCT24!Z25+MVTNOV24!Z25+MVTDEC24!Z25</f>
        <v>0</v>
      </c>
      <c r="AA26" s="36">
        <f>MVTJANV24!AA25+MVTFEV24!AA25+MVTMARS24!AA25+MVTAVRIL24!AA25+MVTMAI24!AA25+MVTJUIN24!AA25+MVTJUIL24!AA25+MVTAOUT24!AA25+MVTSEPT24!AA25+MVTOCT24!AA25+MVTNOV24!AA25+MVTDEC24!AA25</f>
        <v>0</v>
      </c>
      <c r="AB26" s="36">
        <f>MVTJANV24!AB25+MVTFEV24!AB25+MVTMARS24!AB25+MVTAVRIL24!AB25+MVTMAI24!AB25+MVTJUIN24!AB25+MVTJUIL24!AB25+MVTAOUT24!AB25+MVTSEPT24!AB25+MVTOCT24!AB25+MVTNOV24!AB25+MVTDEC24!AB25</f>
        <v>0</v>
      </c>
      <c r="AC26" s="36">
        <f>MVTJANV24!AC25+MVTFEV24!AC25+MVTMARS24!AC25+MVTAVRIL24!AC25+MVTMAI24!AC25+MVTJUIN24!AC25+MVTJUIL24!AC25+MVTAOUT24!AC25+MVTSEPT24!AC25+MVTOCT24!AC25+MVTNOV24!AC25+MVTDEC24!AC25</f>
        <v>0</v>
      </c>
      <c r="AD26" s="36">
        <f>MVTJANV24!AD25+MVTFEV24!AD25+MVTMARS24!AD25+MVTAVRIL24!AD25+MVTMAI24!AD25+MVTJUIN24!AD25+MVTJUIL24!AD25+MVTAOUT24!AD25+MVTSEPT24!AD25+MVTOCT24!AD25+MVTNOV24!AD25+MVTDEC24!AD25</f>
        <v>0</v>
      </c>
      <c r="AE26" s="36">
        <f>MVTJANV24!AE25+MVTFEV24!AE25+MVTMARS24!AE25+MVTAVRIL24!AE25+MVTMAI24!AE25+MVTJUIN24!AE25+MVTJUIL24!AE25+MVTAOUT24!AE25+MVTSEPT24!AE25+MVTOCT24!AE25+MVTNOV24!AE25+MVTDEC24!AE25</f>
        <v>0</v>
      </c>
      <c r="AF26" s="36">
        <f>MVTJANV24!AF25+MVTFEV24!AF25+MVTMARS24!AF25+MVTAVRIL24!AF25+MVTMAI24!AF25+MVTJUIN24!AF25+MVTJUIL24!AF25+MVTAOUT24!AF25+MVTSEPT24!AF25+MVTOCT24!AF25+MVTNOV24!AF25+MVTDEC24!AF25</f>
        <v>0</v>
      </c>
      <c r="AG26" s="36">
        <f>MVTJANV24!AG25+MVTFEV24!AG25+MVTMARS24!AG25+MVTAVRIL24!AG25+MVTMAI24!AG25+MVTJUIN24!AG25+MVTJUIL24!AG25+MVTAOUT24!AG25+MVTSEPT24!AG25+MVTOCT24!AG25+MVTNOV24!AG25+MVTDEC24!AG25</f>
        <v>0</v>
      </c>
      <c r="AH26" s="36">
        <f>MVTJANV24!AH25+MVTFEV24!AH25+MVTMARS24!AH25+MVTAVRIL24!AH25+MVTMAI24!AH25+MVTJUIN24!AH25+MVTJUIL24!AH25+MVTAOUT24!AH25+MVTSEPT24!AH25+MVTOCT24!AH25+MVTNOV24!AH25+MVTDEC24!AH25</f>
        <v>0</v>
      </c>
      <c r="AI26" s="36">
        <f>MVTJANV24!AI25+MVTFEV24!AI25+MVTMARS24!AI25+MVTAVRIL24!AI25+MVTMAI24!AI25+MVTJUIN24!AI25+MVTJUIL24!AI25+MVTAOUT24!AI25+MVTSEPT24!AI25+MVTOCT24!AI25+MVTNOV24!AI25+MVTDEC24!AI25</f>
        <v>0</v>
      </c>
      <c r="AJ26" s="36">
        <f>MVTJANV24!AJ25+MVTFEV24!AJ25+MVTMARS24!AJ25+MVTAVRIL24!AJ25+MVTMAI24!AJ25+MVTJUIN24!AJ25+MVTJUIL24!AJ25+MVTAOUT24!AJ25+MVTSEPT24!AJ25+MVTOCT24!AJ25+MVTNOV24!AJ25+MVTDEC24!AJ25</f>
        <v>0</v>
      </c>
      <c r="AK26" s="36">
        <f>MVTJANV24!AK25+MVTFEV24!AK25+MVTMARS24!AK25+MVTAVRIL24!AK25+MVTMAI24!AK25+MVTJUIN24!AK25+MVTJUIL24!AK25+MVTAOUT24!AK25+MVTSEPT24!AK25+MVTOCT24!AK25+MVTNOV24!AK25+MVTDEC24!AK25</f>
        <v>0</v>
      </c>
      <c r="AL26" s="143">
        <v>45627</v>
      </c>
      <c r="AM26" s="144">
        <f t="shared" si="2"/>
        <v>120000</v>
      </c>
      <c r="AN26" s="144"/>
      <c r="AP26" s="36"/>
    </row>
    <row r="27" spans="1:42" ht="15.75" x14ac:dyDescent="0.25">
      <c r="A27" s="1" t="s">
        <v>41</v>
      </c>
      <c r="B27" s="1" t="str">
        <f>VLOOKUP(A27,[19]LISTADHERENT!A$5:H$60,3,0)</f>
        <v>NGUIEMEGNI MATHIEU BLAISE</v>
      </c>
      <c r="C27" s="36">
        <f>+MVTDEC23!C26</f>
        <v>700000</v>
      </c>
      <c r="D27" s="36">
        <f>+MVTDEC23!D26</f>
        <v>20382.784231808502</v>
      </c>
      <c r="E27" s="36">
        <f>VLOOKUP($A27,[24]HISTOJANV24!$A$6:$BA$38,48,0)</f>
        <v>0</v>
      </c>
      <c r="F27" s="36">
        <f>MVTDEC24!F26</f>
        <v>995266.46813543816</v>
      </c>
      <c r="G27" s="5">
        <f>MVTDEC24!G26</f>
        <v>995266.46813543816</v>
      </c>
      <c r="H27" s="36">
        <f>MVTDEC23!H26+MVTJANV24!H26+MVTFEV24!H26+MVTMARS24!H26+MVTAVRIL24!H26+MVTMAI24!H26+MVTJUIN24!H26+MVTJUIL24!H26+MVTAOUT24!H26+MVTSEPT24!H26+MVTOCT24!H26+MVTNOV24!H26+MVTDEC24!H26</f>
        <v>48883.683903629586</v>
      </c>
      <c r="I27" s="6">
        <f t="shared" si="0"/>
        <v>1044150.1520390677</v>
      </c>
      <c r="J27" s="36">
        <f>MVTJANV24!J26+MVTFEV24!J26+MVTMARS24!J26+MVTAVRIL24!J26+MVTMAI24!J26+MVTJUIN24!J26+MVTJUIL24!J26+MVTAOUT24!J26+MVTSEPT24!J26+MVTOCT24!J26+MVTNOV24!J26+MVTDEC24!J26</f>
        <v>0</v>
      </c>
      <c r="K27" s="36">
        <f>MVTJANV24!K26+MVTFEV24!K26+MVTMARS24!K26+MVTAVRIL24!K26+MVTMAI24!K26+MVTJUIN24!K26+MVTJUIL24!K26+MVTAOUT24!K26+MVTSEPT24!K26+MVTOCT24!K26+MVTNOV24!K26+MVTDEC24!K26</f>
        <v>298000</v>
      </c>
      <c r="L27" s="36">
        <f>MVTJANV24!L26+MVTFEV24!L26+MVTMARS24!L26+MVTAVRIL24!L26+MVTMAI24!L26+MVTJUIN24!L26+MVTJUIL24!L26+MVTAOUT24!L26+MVTSEPT24!L26+MVTOCT24!L26+MVTNOV24!L26+MVTDEC24!L26</f>
        <v>226000</v>
      </c>
      <c r="M27" s="36">
        <f>MVTJANV24!M26+MVTFEV24!M26+MVTMARS24!M26+MVTAVRIL24!M26+MVTMAI24!M26+MVTJUIN24!M26+MVTJUIL24!M26+MVTAOUT24!M26+MVTSEPT24!M26+MVTOCT24!M26+MVTNOV24!M26+MVTDEC24!M26</f>
        <v>12000</v>
      </c>
      <c r="N27" s="36">
        <f>MVTJANV24!N26+MVTFEV24!N26+MVTMARS24!N26+MVTAVRIL24!N26+MVTMAI24!N26+MVTJUIN24!N26+MVTJUIL24!N26+MVTAOUT24!N26+MVTSEPT24!N26+MVTOCT24!N26+MVTNOV24!N26+MVTDEC24!N26</f>
        <v>12000</v>
      </c>
      <c r="O27" s="36">
        <f>MVTJANV24!O26+MVTFEV24!O26+MVTMARS24!O26+MVTAVRIL24!O26+MVTMAI24!O26+MVTJUIN24!O26+MVTJUIL24!O26+MVTAOUT24!O26+MVTSEPT24!O26+MVTOCT24!O26+MVTNOV24!O26+MVTDEC24!O26</f>
        <v>48000</v>
      </c>
      <c r="P27" s="36">
        <f>MVTJANV24!P26+MVTFEV24!P26+MVTMARS24!P26+MVTAVRIL24!P26+MVTMAI24!P26+MVTJUIN24!P26+MVTJUIL24!P26+MVTAOUT24!P26+MVTSEPT24!P26+MVTOCT24!P26+MVTNOV24!P26+MVTDEC24!P26</f>
        <v>3000</v>
      </c>
      <c r="Q27" s="36">
        <f>MVTJANV24!Q26+MVTFEV24!Q26+MVTMARS24!Q26+MVTAVRIL24!Q26+MVTMAI24!Q26+MVTJUIN24!Q26+MVTJUIL24!Q26+MVTAOUT24!Q26+MVTSEPT24!Q26+MVTOCT24!Q26+MVTNOV24!Q26+MVTDEC24!Q26</f>
        <v>0</v>
      </c>
      <c r="R27" s="36">
        <f>MVTJANV24!R26+MVTFEV24!R26+MVTMARS24!R26+MVTAVRIL24!R26+MVTMAI24!R26+MVTJUIN24!R26+MVTJUIL24!R26+MVTAOUT24!R26+MVTSEPT24!R26+MVTOCT24!R26+MVTNOV24!R26+MVTDEC24!R26</f>
        <v>0</v>
      </c>
      <c r="S27" s="36">
        <f>MVTDEC23!S26+MVTJANV24!S26+MVTFEV24!S26+MVTMARS24!S26+MVTAVRIL24!S26+MVTMAI24!S26+MVTJUIN24!S26+MVTJUIL24!S26+MVTAOUT24!S26+MVTSEPT24!S26+MVTOCT24!S26+MVTNOV24!S26+MVTDEC24!S26</f>
        <v>1000000</v>
      </c>
      <c r="T27" s="36">
        <f>MVTDEC23!T26+MVTJANV24!T26+MVTFEV24!T26+MVTMARS24!T26+MVTAVRIL24!T26+MVTMAI24!T26+MVTJUIN24!T26+MVTJUIL24!T26+MVTAOUT24!T26+MVTSEPT24!T26+MVTOCT24!T26+MVTNOV24!T26+MVTDEC24!T26</f>
        <v>120000</v>
      </c>
      <c r="U27" s="36"/>
      <c r="V27" s="36">
        <f>MVTJANV24!V26+MVTFEV24!V26+MVTMARS24!V26+MVTAVRIL24!V26+MVTMAI24!V26+MVTJUIN24!V26+MVTJUIL24!V26+MVTAOUT24!V26+MVTSEPT24!V26+MVTOCT24!V26+MVTNOV24!V26+MVTDEC24!V26</f>
        <v>0</v>
      </c>
      <c r="W27" s="36">
        <f t="shared" si="1"/>
        <v>1000000</v>
      </c>
      <c r="X27" s="36"/>
      <c r="Y27" s="36"/>
      <c r="Z27" s="36">
        <f>MVTJANV24!Z26+MVTFEV24!Z26+MVTMARS24!Z26+MVTAVRIL24!Z26+MVTMAI24!Z26+MVTJUIN24!Z26+MVTJUIL24!Z26+MVTAOUT24!Z26+MVTSEPT24!Z26+MVTOCT24!Z26+MVTNOV24!Z26+MVTDEC24!Z26</f>
        <v>0</v>
      </c>
      <c r="AA27" s="36">
        <f>MVTJANV24!AA26+MVTFEV24!AA26+MVTMARS24!AA26+MVTAVRIL24!AA26+MVTMAI24!AA26+MVTJUIN24!AA26+MVTJUIL24!AA26+MVTAOUT24!AA26+MVTSEPT24!AA26+MVTOCT24!AA26+MVTNOV24!AA26+MVTDEC24!AA26</f>
        <v>0</v>
      </c>
      <c r="AB27" s="36">
        <f>MVTJANV24!AB26+MVTFEV24!AB26+MVTMARS24!AB26+MVTAVRIL24!AB26+MVTMAI24!AB26+MVTJUIN24!AB26+MVTJUIL24!AB26+MVTAOUT24!AB26+MVTSEPT24!AB26+MVTOCT24!AB26+MVTNOV24!AB26+MVTDEC24!AB26</f>
        <v>0</v>
      </c>
      <c r="AC27" s="36">
        <f>MVTJANV24!AC26+MVTFEV24!AC26+MVTMARS24!AC26+MVTAVRIL24!AC26+MVTMAI24!AC26+MVTJUIN24!AC26+MVTJUIL24!AC26+MVTAOUT24!AC26+MVTSEPT24!AC26+MVTOCT24!AC26+MVTNOV24!AC26+MVTDEC24!AC26</f>
        <v>0</v>
      </c>
      <c r="AD27" s="36">
        <f>MVTJANV24!AD26+MVTFEV24!AD26+MVTMARS24!AD26+MVTAVRIL24!AD26+MVTMAI24!AD26+MVTJUIN24!AD26+MVTJUIL24!AD26+MVTAOUT24!AD26+MVTSEPT24!AD26+MVTOCT24!AD26+MVTNOV24!AD26+MVTDEC24!AD26</f>
        <v>0</v>
      </c>
      <c r="AE27" s="36">
        <f>MVTJANV24!AE26+MVTFEV24!AE26+MVTMARS24!AE26+MVTAVRIL24!AE26+MVTMAI24!AE26+MVTJUIN24!AE26+MVTJUIL24!AE26+MVTAOUT24!AE26+MVTSEPT24!AE26+MVTOCT24!AE26+MVTNOV24!AE26+MVTDEC24!AE26</f>
        <v>0</v>
      </c>
      <c r="AF27" s="36">
        <f>MVTJANV24!AF26+MVTFEV24!AF26+MVTMARS24!AF26+MVTAVRIL24!AF26+MVTMAI24!AF26+MVTJUIN24!AF26+MVTJUIL24!AF26+MVTAOUT24!AF26+MVTSEPT24!AF26+MVTOCT24!AF26+MVTNOV24!AF26+MVTDEC24!AF26</f>
        <v>0</v>
      </c>
      <c r="AG27" s="36">
        <f>MVTJANV24!AG26+MVTFEV24!AG26+MVTMARS24!AG26+MVTAVRIL24!AG26+MVTMAI24!AG26+MVTJUIN24!AG26+MVTJUIL24!AG26+MVTAOUT24!AG26+MVTSEPT24!AG26+MVTOCT24!AG26+MVTNOV24!AG26+MVTDEC24!AG26</f>
        <v>0</v>
      </c>
      <c r="AH27" s="36">
        <f>MVTJANV24!AH26+MVTFEV24!AH26+MVTMARS24!AH26+MVTAVRIL24!AH26+MVTMAI24!AH26+MVTJUIN24!AH26+MVTJUIL24!AH26+MVTAOUT24!AH26+MVTSEPT24!AH26+MVTOCT24!AH26+MVTNOV24!AH26+MVTDEC24!AH26</f>
        <v>0</v>
      </c>
      <c r="AI27" s="36">
        <f>MVTJANV24!AI26+MVTFEV24!AI26+MVTMARS24!AI26+MVTAVRIL24!AI26+MVTMAI24!AI26+MVTJUIN24!AI26+MVTJUIL24!AI26+MVTAOUT24!AI26+MVTSEPT24!AI26+MVTOCT24!AI26+MVTNOV24!AI26+MVTDEC24!AI26</f>
        <v>0</v>
      </c>
      <c r="AJ27" s="36">
        <f>MVTJANV24!AJ26+MVTFEV24!AJ26+MVTMARS24!AJ26+MVTAVRIL24!AJ26+MVTMAI24!AJ26+MVTJUIN24!AJ26+MVTJUIL24!AJ26+MVTAOUT24!AJ26+MVTSEPT24!AJ26+MVTOCT24!AJ26+MVTNOV24!AJ26+MVTDEC24!AJ26</f>
        <v>0</v>
      </c>
      <c r="AK27" s="36">
        <f>MVTJANV24!AK26+MVTFEV24!AK26+MVTMARS24!AK26+MVTAVRIL24!AK26+MVTMAI24!AK26+MVTJUIN24!AK26+MVTJUIL24!AK26+MVTAOUT24!AK26+MVTSEPT24!AK26+MVTOCT24!AK26+MVTNOV24!AK26+MVTDEC24!AK26</f>
        <v>0</v>
      </c>
      <c r="AL27" s="143">
        <v>45627</v>
      </c>
      <c r="AM27" s="144">
        <f t="shared" si="2"/>
        <v>120000</v>
      </c>
      <c r="AN27" s="144"/>
      <c r="AP27" s="36"/>
    </row>
    <row r="28" spans="1:42" ht="15.75" x14ac:dyDescent="0.25">
      <c r="A28" s="1" t="s">
        <v>43</v>
      </c>
      <c r="B28" s="1" t="str">
        <f>VLOOKUP(A28,[19]LISTADHERENT!A$5:H$60,3,0)</f>
        <v>NKAMGANG JUSTIN DEJOLIE</v>
      </c>
      <c r="C28" s="36">
        <f>+MVTDEC23!C27</f>
        <v>700000</v>
      </c>
      <c r="D28" s="36">
        <f>+MVTDEC23!D27</f>
        <v>19031.484583758342</v>
      </c>
      <c r="E28" s="36">
        <f>VLOOKUP($A28,[24]HISTOJANV24!$A$6:$BA$38,48,0)</f>
        <v>0</v>
      </c>
      <c r="F28" s="36">
        <f>MVTDEC24!F27</f>
        <v>995824.17371512204</v>
      </c>
      <c r="G28" s="5">
        <f>MVTDEC24!G27</f>
        <v>995824.17371512204</v>
      </c>
      <c r="H28" s="36">
        <f>MVTDEC23!H27+MVTJANV24!H27+MVTFEV24!H27+MVTMARS24!H27+MVTAVRIL24!H27+MVTMAI24!H27+MVTJUIN24!H27+MVTJUIL24!H27+MVTAOUT24!H27+MVTSEPT24!H27+MVTOCT24!H27+MVTNOV24!H27+MVTDEC24!H27</f>
        <v>48792.689131363695</v>
      </c>
      <c r="I28" s="6">
        <f t="shared" si="0"/>
        <v>1044616.8628464857</v>
      </c>
      <c r="J28" s="36">
        <f>MVTJANV24!J27+MVTFEV24!J27+MVTMARS24!J27+MVTAVRIL24!J27+MVTMAI24!J27+MVTJUIN24!J27+MVTJUIL24!J27+MVTAOUT24!J27+MVTSEPT24!J27+MVTOCT24!J27+MVTNOV24!J27+MVTDEC24!J27</f>
        <v>0</v>
      </c>
      <c r="K28" s="36">
        <f>MVTJANV24!K27+MVTFEV24!K27+MVTMARS24!K27+MVTAVRIL24!K27+MVTMAI24!K27+MVTJUIN24!K27+MVTJUIL24!K27+MVTAOUT24!K27+MVTSEPT24!K27+MVTOCT24!K27+MVTNOV24!K27+MVTDEC24!K27</f>
        <v>300000</v>
      </c>
      <c r="L28" s="36">
        <f>MVTJANV24!L27+MVTFEV24!L27+MVTMARS24!L27+MVTAVRIL24!L27+MVTMAI24!L27+MVTJUIN24!L27+MVTJUIL24!L27+MVTAOUT24!L27+MVTSEPT24!L27+MVTOCT24!L27+MVTNOV24!L27+MVTDEC24!L27</f>
        <v>228000</v>
      </c>
      <c r="M28" s="36">
        <f>MVTJANV24!M27+MVTFEV24!M27+MVTMARS24!M27+MVTAVRIL24!M27+MVTMAI24!M27+MVTJUIN24!M27+MVTJUIL24!M27+MVTAOUT24!M27+MVTSEPT24!M27+MVTOCT24!M27+MVTNOV24!M27+MVTDEC24!M27</f>
        <v>12000</v>
      </c>
      <c r="N28" s="36">
        <f>MVTJANV24!N27+MVTFEV24!N27+MVTMARS24!N27+MVTAVRIL24!N27+MVTMAI24!N27+MVTJUIN24!N27+MVTJUIL24!N27+MVTAOUT24!N27+MVTSEPT24!N27+MVTOCT24!N27+MVTNOV24!N27+MVTDEC24!N27</f>
        <v>12000</v>
      </c>
      <c r="O28" s="36">
        <f>MVTJANV24!O27+MVTFEV24!O27+MVTMARS24!O27+MVTAVRIL24!O27+MVTMAI24!O27+MVTJUIN24!O27+MVTJUIL24!O27+MVTAOUT24!O27+MVTSEPT24!O27+MVTOCT24!O27+MVTNOV24!O27+MVTDEC24!O27</f>
        <v>48000</v>
      </c>
      <c r="P28" s="36">
        <f>MVTJANV24!P27+MVTFEV24!P27+MVTMARS24!P27+MVTAVRIL24!P27+MVTMAI24!P27+MVTJUIN24!P27+MVTJUIL24!P27+MVTAOUT24!P27+MVTSEPT24!P27+MVTOCT24!P27+MVTNOV24!P27+MVTDEC24!P27</f>
        <v>0</v>
      </c>
      <c r="Q28" s="36">
        <f>MVTJANV24!Q27+MVTFEV24!Q27+MVTMARS24!Q27+MVTAVRIL24!Q27+MVTMAI24!Q27+MVTJUIN24!Q27+MVTJUIL24!Q27+MVTAOUT24!Q27+MVTSEPT24!Q27+MVTOCT24!Q27+MVTNOV24!Q27+MVTDEC24!Q27</f>
        <v>0</v>
      </c>
      <c r="R28" s="36">
        <f>MVTJANV24!R27+MVTFEV24!R27+MVTMARS24!R27+MVTAVRIL24!R27+MVTMAI24!R27+MVTJUIN24!R27+MVTJUIL24!R27+MVTAOUT24!R27+MVTSEPT24!R27+MVTOCT24!R27+MVTNOV24!R27+MVTDEC24!R27</f>
        <v>0</v>
      </c>
      <c r="S28" s="36">
        <f>MVTDEC23!S27+MVTJANV24!S27+MVTFEV24!S27+MVTMARS24!S27+MVTAVRIL24!S27+MVTMAI24!S27+MVTJUIN24!S27+MVTJUIL24!S27+MVTAOUT24!S27+MVTSEPT24!S27+MVTOCT24!S27+MVTNOV24!S27+MVTDEC24!S27</f>
        <v>1000000</v>
      </c>
      <c r="T28" s="36">
        <f>MVTDEC23!T27+MVTJANV24!T27+MVTFEV24!T27+MVTMARS24!T27+MVTAVRIL24!T27+MVTMAI24!T27+MVTJUIN24!T27+MVTJUIL24!T27+MVTAOUT24!T27+MVTSEPT24!T27+MVTOCT24!T27+MVTNOV24!T27+MVTDEC24!T27</f>
        <v>60000</v>
      </c>
      <c r="U28" s="36"/>
      <c r="V28" s="36">
        <f>MVTJANV24!V27+MVTFEV24!V27+MVTMARS24!V27+MVTAVRIL24!V27+MVTMAI24!V27+MVTJUIN24!V27+MVTJUIL24!V27+MVTAOUT24!V27+MVTSEPT24!V27+MVTOCT24!V27+MVTNOV24!V27+MVTDEC24!V27</f>
        <v>0</v>
      </c>
      <c r="W28" s="36">
        <f t="shared" si="1"/>
        <v>1000000</v>
      </c>
      <c r="X28" s="36"/>
      <c r="Y28" s="36"/>
      <c r="Z28" s="36">
        <f>MVTJANV24!Z27+MVTFEV24!Z27+MVTMARS24!Z27+MVTAVRIL24!Z27+MVTMAI24!Z27+MVTJUIN24!Z27+MVTJUIL24!Z27+MVTAOUT24!Z27+MVTSEPT24!Z27+MVTOCT24!Z27+MVTNOV24!Z27+MVTDEC24!Z27</f>
        <v>0</v>
      </c>
      <c r="AA28" s="36">
        <f>MVTJANV24!AA27+MVTFEV24!AA27+MVTMARS24!AA27+MVTAVRIL24!AA27+MVTMAI24!AA27+MVTJUIN24!AA27+MVTJUIL24!AA27+MVTAOUT24!AA27+MVTSEPT24!AA27+MVTOCT24!AA27+MVTNOV24!AA27+MVTDEC24!AA27</f>
        <v>0</v>
      </c>
      <c r="AB28" s="36">
        <f>MVTJANV24!AB27+MVTFEV24!AB27+MVTMARS24!AB27+MVTAVRIL24!AB27+MVTMAI24!AB27+MVTJUIN24!AB27+MVTJUIL24!AB27+MVTAOUT24!AB27+MVTSEPT24!AB27+MVTOCT24!AB27+MVTNOV24!AB27+MVTDEC24!AB27</f>
        <v>0</v>
      </c>
      <c r="AC28" s="36">
        <f>MVTJANV24!AC27+MVTFEV24!AC27+MVTMARS24!AC27+MVTAVRIL24!AC27+MVTMAI24!AC27+MVTJUIN24!AC27+MVTJUIL24!AC27+MVTAOUT24!AC27+MVTSEPT24!AC27+MVTOCT24!AC27+MVTNOV24!AC27+MVTDEC24!AC27</f>
        <v>0</v>
      </c>
      <c r="AD28" s="36">
        <f>MVTJANV24!AD27+MVTFEV24!AD27+MVTMARS24!AD27+MVTAVRIL24!AD27+MVTMAI24!AD27+MVTJUIN24!AD27+MVTJUIL24!AD27+MVTAOUT24!AD27+MVTSEPT24!AD27+MVTOCT24!AD27+MVTNOV24!AD27+MVTDEC24!AD27</f>
        <v>0</v>
      </c>
      <c r="AE28" s="36">
        <f>MVTJANV24!AE27+MVTFEV24!AE27+MVTMARS24!AE27+MVTAVRIL24!AE27+MVTMAI24!AE27+MVTJUIN24!AE27+MVTJUIL24!AE27+MVTAOUT24!AE27+MVTSEPT24!AE27+MVTOCT24!AE27+MVTNOV24!AE27+MVTDEC24!AE27</f>
        <v>0</v>
      </c>
      <c r="AF28" s="36">
        <f>MVTJANV24!AF27+MVTFEV24!AF27+MVTMARS24!AF27+MVTAVRIL24!AF27+MVTMAI24!AF27+MVTJUIN24!AF27+MVTJUIL24!AF27+MVTAOUT24!AF27+MVTSEPT24!AF27+MVTOCT24!AF27+MVTNOV24!AF27+MVTDEC24!AF27</f>
        <v>0</v>
      </c>
      <c r="AG28" s="36">
        <f>MVTJANV24!AG27+MVTFEV24!AG27+MVTMARS24!AG27+MVTAVRIL24!AG27+MVTMAI24!AG27+MVTJUIN24!AG27+MVTJUIL24!AG27+MVTAOUT24!AG27+MVTSEPT24!AG27+MVTOCT24!AG27+MVTNOV24!AG27+MVTDEC24!AG27</f>
        <v>0</v>
      </c>
      <c r="AH28" s="36">
        <f>MVTJANV24!AH27+MVTFEV24!AH27+MVTMARS24!AH27+MVTAVRIL24!AH27+MVTMAI24!AH27+MVTJUIN24!AH27+MVTJUIL24!AH27+MVTAOUT24!AH27+MVTSEPT24!AH27+MVTOCT24!AH27+MVTNOV24!AH27+MVTDEC24!AH27</f>
        <v>0</v>
      </c>
      <c r="AI28" s="36">
        <f>MVTJANV24!AI27+MVTFEV24!AI27+MVTMARS24!AI27+MVTAVRIL24!AI27+MVTMAI24!AI27+MVTJUIN24!AI27+MVTJUIL24!AI27+MVTAOUT24!AI27+MVTSEPT24!AI27+MVTOCT24!AI27+MVTNOV24!AI27+MVTDEC24!AI27</f>
        <v>0</v>
      </c>
      <c r="AJ28" s="36">
        <f>MVTJANV24!AJ27+MVTFEV24!AJ27+MVTMARS24!AJ27+MVTAVRIL24!AJ27+MVTMAI24!AJ27+MVTJUIN24!AJ27+MVTJUIL24!AJ27+MVTAOUT24!AJ27+MVTSEPT24!AJ27+MVTOCT24!AJ27+MVTNOV24!AJ27+MVTDEC24!AJ27</f>
        <v>0</v>
      </c>
      <c r="AK28" s="36">
        <f>MVTJANV24!AK27+MVTFEV24!AK27+MVTMARS24!AK27+MVTAVRIL24!AK27+MVTMAI24!AK27+MVTJUIN24!AK27+MVTJUIL24!AK27+MVTAOUT24!AK27+MVTSEPT24!AK27+MVTOCT24!AK27+MVTNOV24!AK27+MVTDEC24!AK27</f>
        <v>0</v>
      </c>
      <c r="AL28" s="143">
        <v>45474</v>
      </c>
      <c r="AM28" s="144">
        <f t="shared" si="2"/>
        <v>60000</v>
      </c>
      <c r="AN28" s="144"/>
      <c r="AP28" s="36"/>
    </row>
    <row r="29" spans="1:42" ht="15.75" x14ac:dyDescent="0.25">
      <c r="A29" s="1" t="s">
        <v>172</v>
      </c>
      <c r="B29" s="1" t="str">
        <f>VLOOKUP(A29,[19]LISTADHERENT!A$5:H$60,3,0)</f>
        <v>NOUBE ETIENNE</v>
      </c>
      <c r="C29" s="36">
        <f>+MVTDEC23!C28</f>
        <v>666018.81693285913</v>
      </c>
      <c r="D29" s="36">
        <f>+MVTDEC23!D28</f>
        <v>0</v>
      </c>
      <c r="E29" s="36">
        <f>VLOOKUP($A29,[24]HISTOJANV24!$A$6:$BA$38,48,0)</f>
        <v>0</v>
      </c>
      <c r="F29" s="36">
        <f>MVTDEC24!F28</f>
        <v>897176.12513194664</v>
      </c>
      <c r="G29" s="5">
        <f>MVTDEC24!G28</f>
        <v>897176.12513194664</v>
      </c>
      <c r="H29" s="36">
        <f>MVTDEC23!H28+MVTJANV24!H28+MVTFEV24!H28+MVTMARS24!H28+MVTAVRIL24!H28+MVTMAI24!H28+MVTJUIN24!H28+MVTJUIL24!H28+MVTAOUT24!H28+MVTSEPT24!H28+MVTOCT24!H28+MVTNOV24!H28+MVTDEC24!H28</f>
        <v>3157.3081990875326</v>
      </c>
      <c r="I29" s="6">
        <f t="shared" si="0"/>
        <v>900333.43333103415</v>
      </c>
      <c r="J29" s="36">
        <f>MVTJANV24!J28+MVTFEV24!J28+MVTMARS24!J28+MVTAVRIL24!J28+MVTMAI24!J28+MVTJUIN24!J28+MVTJUIL24!J28+MVTAOUT24!J28+MVTSEPT24!J28+MVTOCT24!J28+MVTNOV24!J28+MVTDEC24!J28</f>
        <v>0</v>
      </c>
      <c r="K29" s="36">
        <f>MVTJANV24!K28+MVTFEV24!K28+MVTMARS24!K28+MVTAVRIL24!K28+MVTMAI24!K28+MVTJUIN24!K28+MVTJUIL24!K28+MVTAOUT24!K28+MVTSEPT24!K28+MVTOCT24!K28+MVTNOV24!K28+MVTDEC24!K28</f>
        <v>300000</v>
      </c>
      <c r="L29" s="36">
        <f>MVTJANV24!L28+MVTFEV24!L28+MVTMARS24!L28+MVTAVRIL24!L28+MVTMAI24!L28+MVTJUIN24!L28+MVTJUIL24!L28+MVTAOUT24!L28+MVTSEPT24!L28+MVTOCT24!L28+MVTNOV24!L28+MVTDEC24!L28</f>
        <v>228000</v>
      </c>
      <c r="M29" s="36">
        <f>MVTJANV24!M28+MVTFEV24!M28+MVTMARS24!M28+MVTAVRIL24!M28+MVTMAI24!M28+MVTJUIN24!M28+MVTJUIL24!M28+MVTAOUT24!M28+MVTSEPT24!M28+MVTOCT24!M28+MVTNOV24!M28+MVTDEC24!M28</f>
        <v>12000</v>
      </c>
      <c r="N29" s="36">
        <f>MVTJANV24!N28+MVTFEV24!N28+MVTMARS24!N28+MVTAVRIL24!N28+MVTMAI24!N28+MVTJUIN24!N28+MVTJUIL24!N28+MVTAOUT24!N28+MVTSEPT24!N28+MVTOCT24!N28+MVTNOV24!N28+MVTDEC24!N28</f>
        <v>12000</v>
      </c>
      <c r="O29" s="36">
        <f>MVTJANV24!O28+MVTFEV24!O28+MVTMARS24!O28+MVTAVRIL24!O28+MVTMAI24!O28+MVTJUIN24!O28+MVTJUIL24!O28+MVTAOUT24!O28+MVTSEPT24!O28+MVTOCT24!O28+MVTNOV24!O28+MVTDEC24!O28</f>
        <v>48000</v>
      </c>
      <c r="P29" s="36">
        <f>MVTJANV24!P28+MVTFEV24!P28+MVTMARS24!P28+MVTAVRIL24!P28+MVTMAI24!P28+MVTJUIN24!P28+MVTJUIL24!P28+MVTAOUT24!P28+MVTSEPT24!P28+MVTOCT24!P28+MVTNOV24!P28+MVTDEC24!P28</f>
        <v>0</v>
      </c>
      <c r="Q29" s="36">
        <f>MVTJANV24!Q28+MVTFEV24!Q28+MVTMARS24!Q28+MVTAVRIL24!Q28+MVTMAI24!Q28+MVTJUIN24!Q28+MVTJUIL24!Q28+MVTAOUT24!Q28+MVTSEPT24!Q28+MVTOCT24!Q28+MVTNOV24!Q28+MVTDEC24!Q28</f>
        <v>0</v>
      </c>
      <c r="R29" s="36">
        <f>MVTJANV24!R28+MVTFEV24!R28+MVTMARS24!R28+MVTAVRIL24!R28+MVTMAI24!R28+MVTJUIN24!R28+MVTJUIL24!R28+MVTAOUT24!R28+MVTSEPT24!R28+MVTOCT24!R28+MVTNOV24!R28+MVTDEC24!R28</f>
        <v>0</v>
      </c>
      <c r="S29" s="36">
        <f>MVTDEC23!S28+MVTJANV24!S28+MVTFEV24!S28+MVTMARS24!S28+MVTAVRIL24!S28+MVTMAI24!S28+MVTJUIN24!S28+MVTJUIL24!S28+MVTAOUT24!S28+MVTSEPT24!S28+MVTOCT24!S28+MVTNOV24!S28+MVTDEC24!S28</f>
        <v>50000</v>
      </c>
      <c r="T29" s="36">
        <f>MVTDEC23!T28+MVTJANV24!T28+MVTFEV24!T28+MVTMARS24!T28+MVTAVRIL24!T28+MVTMAI24!T28+MVTJUIN24!T28+MVTJUIL24!T28+MVTAOUT24!T28+MVTSEPT24!T28+MVTOCT24!T28+MVTNOV24!T28+MVTDEC24!T28</f>
        <v>1500</v>
      </c>
      <c r="U29" s="36"/>
      <c r="V29" s="36">
        <f>MVTJANV24!V28+MVTFEV24!V28+MVTMARS24!V28+MVTAVRIL24!V28+MVTMAI24!V28+MVTJUIN24!V28+MVTJUIL24!V28+MVTAOUT24!V28+MVTSEPT24!V28+MVTOCT24!V28+MVTNOV24!V28+MVTDEC24!V28</f>
        <v>0</v>
      </c>
      <c r="W29" s="36">
        <f t="shared" si="1"/>
        <v>50000</v>
      </c>
      <c r="X29" s="36"/>
      <c r="Y29" s="36"/>
      <c r="Z29" s="36">
        <f>MVTJANV24!Z28+MVTFEV24!Z28+MVTMARS24!Z28+MVTAVRIL24!Z28+MVTMAI24!Z28+MVTJUIN24!Z28+MVTJUIL24!Z28+MVTAOUT24!Z28+MVTSEPT24!Z28+MVTOCT24!Z28+MVTNOV24!Z28+MVTDEC24!Z28</f>
        <v>0</v>
      </c>
      <c r="AA29" s="36">
        <f>MVTJANV24!AA28+MVTFEV24!AA28+MVTMARS24!AA28+MVTAVRIL24!AA28+MVTMAI24!AA28+MVTJUIN24!AA28+MVTJUIL24!AA28+MVTAOUT24!AA28+MVTSEPT24!AA28+MVTOCT24!AA28+MVTNOV24!AA28+MVTDEC24!AA28</f>
        <v>0</v>
      </c>
      <c r="AB29" s="36">
        <f>MVTJANV24!AB28+MVTFEV24!AB28+MVTMARS24!AB28+MVTAVRIL24!AB28+MVTMAI24!AB28+MVTJUIN24!AB28+MVTJUIL24!AB28+MVTAOUT24!AB28+MVTSEPT24!AB28+MVTOCT24!AB28+MVTNOV24!AB28+MVTDEC24!AB28</f>
        <v>0</v>
      </c>
      <c r="AC29" s="36">
        <f>MVTJANV24!AC28+MVTFEV24!AC28+MVTMARS24!AC28+MVTAVRIL24!AC28+MVTMAI24!AC28+MVTJUIN24!AC28+MVTJUIL24!AC28+MVTAOUT24!AC28+MVTSEPT24!AC28+MVTOCT24!AC28+MVTNOV24!AC28+MVTDEC24!AC28</f>
        <v>0</v>
      </c>
      <c r="AD29" s="36">
        <f>MVTJANV24!AD28+MVTFEV24!AD28+MVTMARS24!AD28+MVTAVRIL24!AD28+MVTMAI24!AD28+MVTJUIN24!AD28+MVTJUIL24!AD28+MVTAOUT24!AD28+MVTSEPT24!AD28+MVTOCT24!AD28+MVTNOV24!AD28+MVTDEC24!AD28</f>
        <v>0</v>
      </c>
      <c r="AE29" s="36">
        <f>MVTJANV24!AE28+MVTFEV24!AE28+MVTMARS24!AE28+MVTAVRIL24!AE28+MVTMAI24!AE28+MVTJUIN24!AE28+MVTJUIL24!AE28+MVTAOUT24!AE28+MVTSEPT24!AE28+MVTOCT24!AE28+MVTNOV24!AE28+MVTDEC24!AE28</f>
        <v>0</v>
      </c>
      <c r="AF29" s="36">
        <f>MVTJANV24!AF28+MVTFEV24!AF28+MVTMARS24!AF28+MVTAVRIL24!AF28+MVTMAI24!AF28+MVTJUIN24!AF28+MVTJUIL24!AF28+MVTAOUT24!AF28+MVTSEPT24!AF28+MVTOCT24!AF28+MVTNOV24!AF28+MVTDEC24!AF28</f>
        <v>0</v>
      </c>
      <c r="AG29" s="36">
        <f>MVTJANV24!AG28+MVTFEV24!AG28+MVTMARS24!AG28+MVTAVRIL24!AG28+MVTMAI24!AG28+MVTJUIN24!AG28+MVTJUIL24!AG28+MVTAOUT24!AG28+MVTSEPT24!AG28+MVTOCT24!AG28+MVTNOV24!AG28+MVTDEC24!AG28</f>
        <v>0</v>
      </c>
      <c r="AH29" s="36">
        <f>MVTJANV24!AH28+MVTFEV24!AH28+MVTMARS24!AH28+MVTAVRIL24!AH28+MVTMAI24!AH28+MVTJUIN24!AH28+MVTJUIL24!AH28+MVTAOUT24!AH28+MVTSEPT24!AH28+MVTOCT24!AH28+MVTNOV24!AH28+MVTDEC24!AH28</f>
        <v>0</v>
      </c>
      <c r="AI29" s="36">
        <f>MVTJANV24!AI28+MVTFEV24!AI28+MVTMARS24!AI28+MVTAVRIL24!AI28+MVTMAI24!AI28+MVTJUIN24!AI28+MVTJUIL24!AI28+MVTAOUT24!AI28+MVTSEPT24!AI28+MVTOCT24!AI28+MVTNOV24!AI28+MVTDEC24!AI28</f>
        <v>0</v>
      </c>
      <c r="AJ29" s="36">
        <f>MVTJANV24!AJ28+MVTFEV24!AJ28+MVTMARS24!AJ28+MVTAVRIL24!AJ28+MVTMAI24!AJ28+MVTJUIN24!AJ28+MVTJUIL24!AJ28+MVTAOUT24!AJ28+MVTSEPT24!AJ28+MVTOCT24!AJ28+MVTNOV24!AJ28+MVTDEC24!AJ28</f>
        <v>0</v>
      </c>
      <c r="AK29" s="36">
        <f>MVTJANV24!AK28+MVTFEV24!AK28+MVTMARS24!AK28+MVTAVRIL24!AK28+MVTMAI24!AK28+MVTJUIN24!AK28+MVTJUIL24!AK28+MVTAOUT24!AK28+MVTSEPT24!AK28+MVTOCT24!AK28+MVTNOV24!AK28+MVTDEC24!AK28</f>
        <v>0</v>
      </c>
      <c r="AL29" s="143"/>
      <c r="AM29" s="144">
        <f t="shared" si="2"/>
        <v>1500</v>
      </c>
      <c r="AN29" s="144"/>
      <c r="AP29" s="36"/>
    </row>
    <row r="30" spans="1:42" ht="15.75" x14ac:dyDescent="0.25">
      <c r="A30" s="1" t="s">
        <v>45</v>
      </c>
      <c r="B30" s="1" t="str">
        <f>VLOOKUP(A30,[19]LISTADHERENT!A$5:H$60,3,0)</f>
        <v>PATEGO NJOSSU GUSTAVE</v>
      </c>
      <c r="C30" s="36">
        <f>+MVTDEC23!C29</f>
        <v>700000</v>
      </c>
      <c r="D30" s="36">
        <f>+MVTDEC23!D29</f>
        <v>43697.666300758487</v>
      </c>
      <c r="E30" s="36">
        <f>VLOOKUP($A30,[24]HISTOJANV24!$A$6:$BA$38,48,0)</f>
        <v>0</v>
      </c>
      <c r="F30" s="36">
        <f>MVTDEC24!F29</f>
        <v>1022151.3442374151</v>
      </c>
      <c r="G30" s="5">
        <f>MVTDEC24!G29</f>
        <v>1022151.3442374151</v>
      </c>
      <c r="H30" s="36">
        <f>MVTDEC23!H29+MVTJANV24!H29+MVTFEV24!H29+MVTMARS24!H29+MVTAVRIL24!H29+MVTMAI24!H29+MVTJUIN24!H29+MVTJUIL24!H29+MVTAOUT24!H29+MVTSEPT24!H29+MVTOCT24!H29+MVTNOV24!H29+MVTDEC24!H29</f>
        <v>50453.677936656612</v>
      </c>
      <c r="I30" s="6">
        <f t="shared" si="0"/>
        <v>1072605.0221740718</v>
      </c>
      <c r="J30" s="36">
        <f>MVTJANV24!J29+MVTFEV24!J29+MVTMARS24!J29+MVTAVRIL24!J29+MVTMAI24!J29+MVTJUIN24!J29+MVTJUIL24!J29+MVTAOUT24!J29+MVTSEPT24!J29+MVTOCT24!J29+MVTNOV24!J29+MVTDEC24!J29</f>
        <v>0</v>
      </c>
      <c r="K30" s="36">
        <f>MVTJANV24!K29+MVTFEV24!K29+MVTMARS24!K29+MVTAVRIL24!K29+MVTMAI24!K29+MVTJUIN24!K29+MVTJUIL24!K29+MVTAOUT24!K29+MVTSEPT24!K29+MVTOCT24!K29+MVTNOV24!K29+MVTDEC24!K29</f>
        <v>300000</v>
      </c>
      <c r="L30" s="36">
        <f>MVTJANV24!L29+MVTFEV24!L29+MVTMARS24!L29+MVTAVRIL24!L29+MVTMAI24!L29+MVTJUIN24!L29+MVTJUIL24!L29+MVTAOUT24!L29+MVTSEPT24!L29+MVTOCT24!L29+MVTNOV24!L29+MVTDEC24!L29</f>
        <v>228000</v>
      </c>
      <c r="M30" s="36">
        <f>MVTJANV24!M29+MVTFEV24!M29+MVTMARS24!M29+MVTAVRIL24!M29+MVTMAI24!M29+MVTJUIN24!M29+MVTJUIL24!M29+MVTAOUT24!M29+MVTSEPT24!M29+MVTOCT24!M29+MVTNOV24!M29+MVTDEC24!M29</f>
        <v>12000</v>
      </c>
      <c r="N30" s="36">
        <f>MVTJANV24!N29+MVTFEV24!N29+MVTMARS24!N29+MVTAVRIL24!N29+MVTMAI24!N29+MVTJUIN24!N29+MVTJUIL24!N29+MVTAOUT24!N29+MVTSEPT24!N29+MVTOCT24!N29+MVTNOV24!N29+MVTDEC24!N29</f>
        <v>12000</v>
      </c>
      <c r="O30" s="36">
        <f>MVTJANV24!O29+MVTFEV24!O29+MVTMARS24!O29+MVTAVRIL24!O29+MVTMAI24!O29+MVTJUIN24!O29+MVTJUIL24!O29+MVTAOUT24!O29+MVTSEPT24!O29+MVTOCT24!O29+MVTNOV24!O29+MVTDEC24!O29</f>
        <v>48000</v>
      </c>
      <c r="P30" s="36">
        <f>MVTJANV24!P29+MVTFEV24!P29+MVTMARS24!P29+MVTAVRIL24!P29+MVTMAI24!P29+MVTJUIN24!P29+MVTJUIL24!P29+MVTAOUT24!P29+MVTSEPT24!P29+MVTOCT24!P29+MVTNOV24!P29+MVTDEC24!P29</f>
        <v>0</v>
      </c>
      <c r="Q30" s="36">
        <f>MVTJANV24!Q29+MVTFEV24!Q29+MVTMARS24!Q29+MVTAVRIL24!Q29+MVTMAI24!Q29+MVTJUIN24!Q29+MVTJUIL24!Q29+MVTAOUT24!Q29+MVTSEPT24!Q29+MVTOCT24!Q29+MVTNOV24!Q29+MVTDEC24!Q29</f>
        <v>0</v>
      </c>
      <c r="R30" s="36">
        <f>MVTJANV24!R29+MVTFEV24!R29+MVTMARS24!R29+MVTAVRIL24!R29+MVTMAI24!R29+MVTJUIN24!R29+MVTJUIL24!R29+MVTAOUT24!R29+MVTSEPT24!R29+MVTOCT24!R29+MVTNOV24!R29+MVTDEC24!R29</f>
        <v>0</v>
      </c>
      <c r="S30" s="36">
        <f>MVTDEC23!S29+MVTJANV24!S29+MVTFEV24!S29+MVTMARS24!S29+MVTAVRIL24!S29+MVTMAI24!S29+MVTJUIN24!S29+MVTJUIL24!S29+MVTAOUT24!S29+MVTSEPT24!S29+MVTOCT24!S29+MVTNOV24!S29+MVTDEC24!S29</f>
        <v>0</v>
      </c>
      <c r="T30" s="36">
        <f>MVTDEC23!T29+MVTJANV24!T29+MVTFEV24!T29+MVTMARS24!T29+MVTAVRIL24!T29+MVTMAI24!T29+MVTJUIN24!T29+MVTJUIL24!T29+MVTAOUT24!T29+MVTSEPT24!T29+MVTOCT24!T29+MVTNOV24!T29+MVTDEC24!T29</f>
        <v>0</v>
      </c>
      <c r="U30" s="36"/>
      <c r="V30" s="36">
        <f>MVTJANV24!V29+MVTFEV24!V29+MVTMARS24!V29+MVTAVRIL24!V29+MVTMAI24!V29+MVTJUIN24!V29+MVTJUIL24!V29+MVTAOUT24!V29+MVTSEPT24!V29+MVTOCT24!V29+MVTNOV24!V29+MVTDEC24!V29</f>
        <v>0</v>
      </c>
      <c r="W30" s="36">
        <f t="shared" si="1"/>
        <v>0</v>
      </c>
      <c r="X30" s="36"/>
      <c r="Y30" s="36"/>
      <c r="Z30" s="36">
        <f>MVTJANV24!Z29+MVTFEV24!Z29+MVTMARS24!Z29+MVTAVRIL24!Z29+MVTMAI24!Z29+MVTJUIN24!Z29+MVTJUIL24!Z29+MVTAOUT24!Z29+MVTSEPT24!Z29+MVTOCT24!Z29+MVTNOV24!Z29+MVTDEC24!Z29</f>
        <v>0</v>
      </c>
      <c r="AA30" s="36">
        <f>MVTJANV24!AA29+MVTFEV24!AA29+MVTMARS24!AA29+MVTAVRIL24!AA29+MVTMAI24!AA29+MVTJUIN24!AA29+MVTJUIL24!AA29+MVTAOUT24!AA29+MVTSEPT24!AA29+MVTOCT24!AA29+MVTNOV24!AA29+MVTDEC24!AA29</f>
        <v>0</v>
      </c>
      <c r="AB30" s="36">
        <f>MVTJANV24!AB29+MVTFEV24!AB29+MVTMARS24!AB29+MVTAVRIL24!AB29+MVTMAI24!AB29+MVTJUIN24!AB29+MVTJUIL24!AB29+MVTAOUT24!AB29+MVTSEPT24!AB29+MVTOCT24!AB29+MVTNOV24!AB29+MVTDEC24!AB29</f>
        <v>0</v>
      </c>
      <c r="AC30" s="36">
        <f>MVTJANV24!AC29+MVTFEV24!AC29+MVTMARS24!AC29+MVTAVRIL24!AC29+MVTMAI24!AC29+MVTJUIN24!AC29+MVTJUIL24!AC29+MVTAOUT24!AC29+MVTSEPT24!AC29+MVTOCT24!AC29+MVTNOV24!AC29+MVTDEC24!AC29</f>
        <v>0</v>
      </c>
      <c r="AD30" s="36">
        <f>MVTJANV24!AD29+MVTFEV24!AD29+MVTMARS24!AD29+MVTAVRIL24!AD29+MVTMAI24!AD29+MVTJUIN24!AD29+MVTJUIL24!AD29+MVTAOUT24!AD29+MVTSEPT24!AD29+MVTOCT24!AD29+MVTNOV24!AD29+MVTDEC24!AD29</f>
        <v>0</v>
      </c>
      <c r="AE30" s="36">
        <f>MVTJANV24!AE29+MVTFEV24!AE29+MVTMARS24!AE29+MVTAVRIL24!AE29+MVTMAI24!AE29+MVTJUIN24!AE29+MVTJUIL24!AE29+MVTAOUT24!AE29+MVTSEPT24!AE29+MVTOCT24!AE29+MVTNOV24!AE29+MVTDEC24!AE29</f>
        <v>0</v>
      </c>
      <c r="AF30" s="36">
        <f>MVTJANV24!AF29+MVTFEV24!AF29+MVTMARS24!AF29+MVTAVRIL24!AF29+MVTMAI24!AF29+MVTJUIN24!AF29+MVTJUIL24!AF29+MVTAOUT24!AF29+MVTSEPT24!AF29+MVTOCT24!AF29+MVTNOV24!AF29+MVTDEC24!AF29</f>
        <v>0</v>
      </c>
      <c r="AG30" s="36">
        <f>MVTJANV24!AG29+MVTFEV24!AG29+MVTMARS24!AG29+MVTAVRIL24!AG29+MVTMAI24!AG29+MVTJUIN24!AG29+MVTJUIL24!AG29+MVTAOUT24!AG29+MVTSEPT24!AG29+MVTOCT24!AG29+MVTNOV24!AG29+MVTDEC24!AG29</f>
        <v>0</v>
      </c>
      <c r="AH30" s="36">
        <f>MVTJANV24!AH29+MVTFEV24!AH29+MVTMARS24!AH29+MVTAVRIL24!AH29+MVTMAI24!AH29+MVTJUIN24!AH29+MVTJUIL24!AH29+MVTAOUT24!AH29+MVTSEPT24!AH29+MVTOCT24!AH29+MVTNOV24!AH29+MVTDEC24!AH29</f>
        <v>0</v>
      </c>
      <c r="AI30" s="36">
        <f>MVTJANV24!AI29+MVTFEV24!AI29+MVTMARS24!AI29+MVTAVRIL24!AI29+MVTMAI24!AI29+MVTJUIN24!AI29+MVTJUIL24!AI29+MVTAOUT24!AI29+MVTSEPT24!AI29+MVTOCT24!AI29+MVTNOV24!AI29+MVTDEC24!AI29</f>
        <v>0</v>
      </c>
      <c r="AJ30" s="36">
        <f>MVTJANV24!AJ29+MVTFEV24!AJ29+MVTMARS24!AJ29+MVTAVRIL24!AJ29+MVTMAI24!AJ29+MVTJUIN24!AJ29+MVTJUIL24!AJ29+MVTAOUT24!AJ29+MVTSEPT24!AJ29+MVTOCT24!AJ29+MVTNOV24!AJ29+MVTDEC24!AJ29</f>
        <v>0</v>
      </c>
      <c r="AK30" s="36">
        <f>MVTJANV24!AK29+MVTFEV24!AK29+MVTMARS24!AK29+MVTAVRIL24!AK29+MVTMAI24!AK29+MVTJUIN24!AK29+MVTJUIL24!AK29+MVTAOUT24!AK29+MVTSEPT24!AK29+MVTOCT24!AK29+MVTNOV24!AK29+MVTDEC24!AK29</f>
        <v>0</v>
      </c>
      <c r="AL30" s="143"/>
      <c r="AM30" s="144">
        <f t="shared" si="2"/>
        <v>0</v>
      </c>
      <c r="AN30" s="144"/>
      <c r="AP30" s="36"/>
    </row>
    <row r="31" spans="1:42" ht="15.75" x14ac:dyDescent="0.25">
      <c r="A31" s="1" t="s">
        <v>312</v>
      </c>
      <c r="B31" s="1" t="str">
        <f>VLOOKUP(A31,[19]LISTADHERENT!A$5:H$60,3,0)</f>
        <v>SEUMO POLYCARPE</v>
      </c>
      <c r="C31" s="36">
        <f>+MVTDEC23!C30</f>
        <v>0</v>
      </c>
      <c r="D31" s="36">
        <f>+MVTDEC23!D30</f>
        <v>245500</v>
      </c>
      <c r="E31" s="36">
        <f>VLOOKUP($A31,[24]HISTOJANV24!$A$6:$BA$38,48,0)</f>
        <v>0</v>
      </c>
      <c r="F31" s="36">
        <f>MVTDEC24!F30</f>
        <v>926786.81046782702</v>
      </c>
      <c r="G31" s="5">
        <f>MVTDEC24!G30</f>
        <v>926786.81046782702</v>
      </c>
      <c r="H31" s="36">
        <f>MVTDEC23!H30+MVTJANV24!H30+MVTFEV24!H30+MVTMARS24!H30+MVTAVRIL24!H30+MVTMAI24!H30+MVTJUIN24!H30+MVTJUIL24!H30+MVTAOUT24!H30+MVTSEPT24!H30+MVTOCT24!H30+MVTNOV24!H30+MVTDEC24!H30</f>
        <v>3286.8104678270088</v>
      </c>
      <c r="I31" s="6">
        <f t="shared" si="0"/>
        <v>930073.62093565403</v>
      </c>
      <c r="J31" s="36">
        <f>MVTJANV24!J30+MVTFEV24!J30+MVTMARS24!J30+MVTAVRIL24!J30+MVTMAI24!J30+MVTJUIN24!J30+MVTJUIL24!J30+MVTAOUT24!J30+MVTSEPT24!J30+MVTOCT24!J30+MVTNOV24!J30+MVTDEC24!J30</f>
        <v>0</v>
      </c>
      <c r="K31" s="36">
        <f>MVTJANV24!K30+MVTFEV24!K30+MVTMARS24!K30+MVTAVRIL24!K30+MVTMAI24!K30+MVTJUIN24!K30+MVTJUIL24!K30+MVTAOUT24!K30+MVTSEPT24!K30+MVTOCT24!K30+MVTNOV24!K30+MVTDEC24!K30</f>
        <v>750000</v>
      </c>
      <c r="L31" s="36">
        <f>MVTJANV24!L30+MVTFEV24!L30+MVTMARS24!L30+MVTAVRIL24!L30+MVTMAI24!L30+MVTJUIN24!L30+MVTJUIL24!L30+MVTAOUT24!L30+MVTSEPT24!L30+MVTOCT24!L30+MVTNOV24!L30+MVTDEC24!L30</f>
        <v>678000</v>
      </c>
      <c r="M31" s="36">
        <f>MVTJANV24!M30+MVTFEV24!M30+MVTMARS24!M30+MVTAVRIL24!M30+MVTMAI24!M30+MVTJUIN24!M30+MVTJUIL24!M30+MVTAOUT24!M30+MVTSEPT24!M30+MVTOCT24!M30+MVTNOV24!M30+MVTDEC24!M30</f>
        <v>12000</v>
      </c>
      <c r="N31" s="36">
        <f>MVTJANV24!N30+MVTFEV24!N30+MVTMARS24!N30+MVTAVRIL24!N30+MVTMAI24!N30+MVTJUIN24!N30+MVTJUIL24!N30+MVTAOUT24!N30+MVTSEPT24!N30+MVTOCT24!N30+MVTNOV24!N30+MVTDEC24!N30</f>
        <v>12000</v>
      </c>
      <c r="O31" s="36">
        <f>MVTJANV24!O30+MVTFEV24!O30+MVTMARS24!O30+MVTAVRIL24!O30+MVTMAI24!O30+MVTJUIN24!O30+MVTJUIL24!O30+MVTAOUT24!O30+MVTSEPT24!O30+MVTOCT24!O30+MVTNOV24!O30+MVTDEC24!O30</f>
        <v>48000</v>
      </c>
      <c r="P31" s="36">
        <f>MVTJANV24!P30+MVTFEV24!P30+MVTMARS24!P30+MVTAVRIL24!P30+MVTMAI24!P30+MVTJUIN24!P30+MVTJUIL24!P30+MVTAOUT24!P30+MVTSEPT24!P30+MVTOCT24!P30+MVTNOV24!P30+MVTDEC24!P30</f>
        <v>0</v>
      </c>
      <c r="Q31" s="36">
        <f>MVTJANV24!Q30+MVTFEV24!Q30+MVTMARS24!Q30+MVTAVRIL24!Q30+MVTMAI24!Q30+MVTJUIN24!Q30+MVTJUIL24!Q30+MVTAOUT24!Q30+MVTSEPT24!Q30+MVTOCT24!Q30+MVTNOV24!Q30+MVTDEC24!Q30</f>
        <v>0</v>
      </c>
      <c r="R31" s="36">
        <f>MVTJANV24!R30+MVTFEV24!R30+MVTMARS24!R30+MVTAVRIL24!R30+MVTMAI24!R30+MVTJUIN24!R30+MVTJUIL24!R30+MVTAOUT24!R30+MVTSEPT24!R30+MVTOCT24!R30+MVTNOV24!R30+MVTDEC24!R30</f>
        <v>0</v>
      </c>
      <c r="S31" s="36">
        <f>MVTDEC23!S30+MVTJANV24!S30+MVTFEV24!S30+MVTMARS24!S30+MVTAVRIL24!S30+MVTMAI24!S30+MVTJUIN24!S30+MVTJUIL24!S30+MVTAOUT24!S30+MVTSEPT24!S30+MVTOCT24!S30+MVTNOV24!S30+MVTDEC24!S30</f>
        <v>0</v>
      </c>
      <c r="T31" s="36">
        <f>MVTDEC23!T30+MVTJANV24!T30+MVTFEV24!T30+MVTMARS24!T30+MVTAVRIL24!T30+MVTMAI24!T30+MVTJUIN24!T30+MVTJUIL24!T30+MVTAOUT24!T30+MVTSEPT24!T30+MVTOCT24!T30+MVTNOV24!T30+MVTDEC24!T30</f>
        <v>0</v>
      </c>
      <c r="U31" s="36"/>
      <c r="V31" s="36">
        <f>MVTJANV24!V30+MVTFEV24!V30+MVTMARS24!V30+MVTAVRIL24!V30+MVTMAI24!V30+MVTJUIN24!V30+MVTJUIL24!V30+MVTAOUT24!V30+MVTSEPT24!V30+MVTOCT24!V30+MVTNOV24!V30+MVTDEC24!V30</f>
        <v>0</v>
      </c>
      <c r="W31" s="36">
        <f t="shared" si="1"/>
        <v>0</v>
      </c>
      <c r="X31" s="36"/>
      <c r="Y31" s="36"/>
      <c r="Z31" s="36">
        <f>MVTJANV24!Z30+MVTFEV24!Z30+MVTMARS24!Z30+MVTAVRIL24!Z30+MVTMAI24!Z30+MVTJUIN24!Z30+MVTJUIL24!Z30+MVTAOUT24!Z30+MVTSEPT24!Z30+MVTOCT24!Z30+MVTNOV24!Z30+MVTDEC24!Z30</f>
        <v>0</v>
      </c>
      <c r="AA31" s="36">
        <f>MVTJANV24!AA30+MVTFEV24!AA30+MVTMARS24!AA30+MVTAVRIL24!AA30+MVTMAI24!AA30+MVTJUIN24!AA30+MVTJUIL24!AA30+MVTAOUT24!AA30+MVTSEPT24!AA30+MVTOCT24!AA30+MVTNOV24!AA30+MVTDEC24!AA30</f>
        <v>0</v>
      </c>
      <c r="AB31" s="36">
        <f>MVTJANV24!AB30+MVTFEV24!AB30+MVTMARS24!AB30+MVTAVRIL24!AB30+MVTMAI24!AB30+MVTJUIN24!AB30+MVTJUIL24!AB30+MVTAOUT24!AB30+MVTSEPT24!AB30+MVTOCT24!AB30+MVTNOV24!AB30+MVTDEC24!AB30</f>
        <v>0</v>
      </c>
      <c r="AC31" s="36">
        <f>MVTJANV24!AC30+MVTFEV24!AC30+MVTMARS24!AC30+MVTAVRIL24!AC30+MVTMAI24!AC30+MVTJUIN24!AC30+MVTJUIL24!AC30+MVTAOUT24!AC30+MVTSEPT24!AC30+MVTOCT24!AC30+MVTNOV24!AC30+MVTDEC24!AC30</f>
        <v>0</v>
      </c>
      <c r="AD31" s="36">
        <f>MVTJANV24!AD30+MVTFEV24!AD30+MVTMARS24!AD30+MVTAVRIL24!AD30+MVTMAI24!AD30+MVTJUIN24!AD30+MVTJUIL24!AD30+MVTAOUT24!AD30+MVTSEPT24!AD30+MVTOCT24!AD30+MVTNOV24!AD30+MVTDEC24!AD30</f>
        <v>0</v>
      </c>
      <c r="AE31" s="36">
        <f>MVTJANV24!AE30+MVTFEV24!AE30+MVTMARS24!AE30+MVTAVRIL24!AE30+MVTMAI24!AE30+MVTJUIN24!AE30+MVTJUIL24!AE30+MVTAOUT24!AE30+MVTSEPT24!AE30+MVTOCT24!AE30+MVTNOV24!AE30+MVTDEC24!AE30</f>
        <v>0</v>
      </c>
      <c r="AF31" s="36">
        <f>MVTJANV24!AF30+MVTFEV24!AF30+MVTMARS24!AF30+MVTAVRIL24!AF30+MVTMAI24!AF30+MVTJUIN24!AF30+MVTJUIL24!AF30+MVTAOUT24!AF30+MVTSEPT24!AF30+MVTOCT24!AF30+MVTNOV24!AF30+MVTDEC24!AF30</f>
        <v>0</v>
      </c>
      <c r="AG31" s="36">
        <f>MVTJANV24!AG30+MVTFEV24!AG30+MVTMARS24!AG30+MVTAVRIL24!AG30+MVTMAI24!AG30+MVTJUIN24!AG30+MVTJUIL24!AG30+MVTAOUT24!AG30+MVTSEPT24!AG30+MVTOCT24!AG30+MVTNOV24!AG30+MVTDEC24!AG30</f>
        <v>0</v>
      </c>
      <c r="AH31" s="36">
        <f>MVTJANV24!AH30+MVTFEV24!AH30+MVTMARS24!AH30+MVTAVRIL24!AH30+MVTMAI24!AH30+MVTJUIN24!AH30+MVTJUIL24!AH30+MVTAOUT24!AH30+MVTSEPT24!AH30+MVTOCT24!AH30+MVTNOV24!AH30+MVTDEC24!AH30</f>
        <v>0</v>
      </c>
      <c r="AI31" s="36">
        <f>MVTJANV24!AI30+MVTFEV24!AI30+MVTMARS24!AI30+MVTAVRIL24!AI30+MVTMAI24!AI30+MVTJUIN24!AI30+MVTJUIL24!AI30+MVTAOUT24!AI30+MVTSEPT24!AI30+MVTOCT24!AI30+MVTNOV24!AI30+MVTDEC24!AI30</f>
        <v>0</v>
      </c>
      <c r="AJ31" s="36">
        <f>MVTJANV24!AJ30+MVTFEV24!AJ30+MVTMARS24!AJ30+MVTAVRIL24!AJ30+MVTMAI24!AJ30+MVTJUIN24!AJ30+MVTJUIL24!AJ30+MVTAOUT24!AJ30+MVTSEPT24!AJ30+MVTOCT24!AJ30+MVTNOV24!AJ30+MVTDEC24!AJ30</f>
        <v>0</v>
      </c>
      <c r="AK31" s="36">
        <f>MVTJANV24!AK30+MVTFEV24!AK30+MVTMARS24!AK30+MVTAVRIL24!AK30+MVTMAI24!AK30+MVTJUIN24!AK30+MVTJUIL24!AK30+MVTAOUT24!AK30+MVTSEPT24!AK30+MVTOCT24!AK30+MVTNOV24!AK30+MVTDEC24!AK30</f>
        <v>0</v>
      </c>
      <c r="AL31" s="143"/>
      <c r="AM31" s="144">
        <f t="shared" si="2"/>
        <v>0</v>
      </c>
      <c r="AN31" s="144"/>
      <c r="AP31" s="36"/>
    </row>
    <row r="32" spans="1:42" ht="15.75" x14ac:dyDescent="0.25">
      <c r="A32" s="1" t="s">
        <v>81</v>
      </c>
      <c r="B32" s="1" t="str">
        <f>VLOOKUP(A32,[19]LISTADHERENT!A$5:H$60,3,0)</f>
        <v>SIME BRICE</v>
      </c>
      <c r="C32" s="36">
        <f>+MVTDEC23!C31</f>
        <v>700000</v>
      </c>
      <c r="D32" s="36">
        <f>+MVTDEC23!D31</f>
        <v>104364.15055016428</v>
      </c>
      <c r="E32" s="36">
        <f>VLOOKUP($A32,[24]HISTOJANV24!$A$6:$BA$38,48,0)</f>
        <v>0</v>
      </c>
      <c r="F32" s="36">
        <f>MVTDEC24!F31</f>
        <v>1086903.0311481347</v>
      </c>
      <c r="G32" s="5">
        <f>MVTDEC24!G31</f>
        <v>1086903.0311481347</v>
      </c>
      <c r="H32" s="36">
        <f>MVTDEC23!H31+MVTJANV24!H31+MVTFEV24!H31+MVTMARS24!H31+MVTAVRIL24!H31+MVTMAI24!H31+MVTJUIN24!H31+MVTJUIL24!H31+MVTAOUT24!H31+MVTSEPT24!H31+MVTOCT24!H31+MVTNOV24!H31+MVTDEC24!H31</f>
        <v>54538.880597970558</v>
      </c>
      <c r="I32" s="6">
        <f t="shared" si="0"/>
        <v>1141441.9117461052</v>
      </c>
      <c r="J32" s="36">
        <f>MVTJANV24!J31+MVTFEV24!J31+MVTMARS24!J31+MVTAVRIL24!J31+MVTMAI24!J31+MVTJUIN24!J31+MVTJUIL24!J31+MVTAOUT24!J31+MVTSEPT24!J31+MVTOCT24!J31+MVTNOV24!J31+MVTDEC24!J31</f>
        <v>0</v>
      </c>
      <c r="K32" s="36">
        <f>MVTJANV24!K31+MVTFEV24!K31+MVTMARS24!K31+MVTAVRIL24!K31+MVTMAI24!K31+MVTJUIN24!K31+MVTJUIL24!K31+MVTAOUT24!K31+MVTSEPT24!K31+MVTOCT24!K31+MVTNOV24!K31+MVTDEC24!K31</f>
        <v>300000</v>
      </c>
      <c r="L32" s="36">
        <f>MVTJANV24!L31+MVTFEV24!L31+MVTMARS24!L31+MVTAVRIL24!L31+MVTMAI24!L31+MVTJUIN24!L31+MVTJUIL24!L31+MVTAOUT24!L31+MVTSEPT24!L31+MVTOCT24!L31+MVTNOV24!L31+MVTDEC24!L31</f>
        <v>228000</v>
      </c>
      <c r="M32" s="36">
        <f>MVTJANV24!M31+MVTFEV24!M31+MVTMARS24!M31+MVTAVRIL24!M31+MVTMAI24!M31+MVTJUIN24!M31+MVTJUIL24!M31+MVTAOUT24!M31+MVTSEPT24!M31+MVTOCT24!M31+MVTNOV24!M31+MVTDEC24!M31</f>
        <v>12000</v>
      </c>
      <c r="N32" s="36">
        <f>MVTJANV24!N31+MVTFEV24!N31+MVTMARS24!N31+MVTAVRIL24!N31+MVTMAI24!N31+MVTJUIN24!N31+MVTJUIL24!N31+MVTAOUT24!N31+MVTSEPT24!N31+MVTOCT24!N31+MVTNOV24!N31+MVTDEC24!N31</f>
        <v>12000</v>
      </c>
      <c r="O32" s="36">
        <f>MVTJANV24!O31+MVTFEV24!O31+MVTMARS24!O31+MVTAVRIL24!O31+MVTMAI24!O31+MVTJUIN24!O31+MVTJUIL24!O31+MVTAOUT24!O31+MVTSEPT24!O31+MVTOCT24!O31+MVTNOV24!O31+MVTDEC24!O31</f>
        <v>48000</v>
      </c>
      <c r="P32" s="36">
        <f>MVTJANV24!P31+MVTFEV24!P31+MVTMARS24!P31+MVTAVRIL24!P31+MVTMAI24!P31+MVTJUIN24!P31+MVTJUIL24!P31+MVTAOUT24!P31+MVTSEPT24!P31+MVTOCT24!P31+MVTNOV24!P31+MVTDEC24!P31</f>
        <v>0</v>
      </c>
      <c r="Q32" s="36">
        <f>MVTJANV24!Q31+MVTFEV24!Q31+MVTMARS24!Q31+MVTAVRIL24!Q31+MVTMAI24!Q31+MVTJUIN24!Q31+MVTJUIL24!Q31+MVTAOUT24!Q31+MVTSEPT24!Q31+MVTOCT24!Q31+MVTNOV24!Q31+MVTDEC24!Q31</f>
        <v>0</v>
      </c>
      <c r="R32" s="36">
        <f>MVTJANV24!R31+MVTFEV24!R31+MVTMARS24!R31+MVTAVRIL24!R31+MVTMAI24!R31+MVTJUIN24!R31+MVTJUIL24!R31+MVTAOUT24!R31+MVTSEPT24!R31+MVTOCT24!R31+MVTNOV24!R31+MVTDEC24!R31</f>
        <v>0</v>
      </c>
      <c r="S32" s="36">
        <f>MVTDEC23!S31+MVTJANV24!S31+MVTFEV24!S31+MVTMARS24!S31+MVTAVRIL24!S31+MVTMAI24!S31+MVTJUIN24!S31+MVTJUIL24!S31+MVTAOUT24!S31+MVTSEPT24!S31+MVTOCT24!S31+MVTNOV24!S31+MVTDEC24!S31</f>
        <v>1000000</v>
      </c>
      <c r="T32" s="36">
        <f>MVTDEC23!T31+MVTJANV24!T31+MVTFEV24!T31+MVTMARS24!T31+MVTAVRIL24!T31+MVTMAI24!T31+MVTJUIN24!T31+MVTJUIL24!T31+MVTAOUT24!T31+MVTSEPT24!T31+MVTOCT24!T31+MVTNOV24!T31+MVTDEC24!T31</f>
        <v>60000</v>
      </c>
      <c r="U32" s="36"/>
      <c r="V32" s="36">
        <f>MVTJANV24!V31+MVTFEV24!V31+MVTMARS24!V31+MVTAVRIL24!V31+MVTMAI24!V31+MVTJUIN24!V31+MVTJUIL24!V31+MVTAOUT24!V31+MVTSEPT24!V31+MVTOCT24!V31+MVTNOV24!V31+MVTDEC24!V31</f>
        <v>0</v>
      </c>
      <c r="W32" s="36">
        <f t="shared" si="1"/>
        <v>1000000</v>
      </c>
      <c r="X32" s="36"/>
      <c r="Y32" s="36"/>
      <c r="Z32" s="36">
        <f>MVTJANV24!Z31+MVTFEV24!Z31+MVTMARS24!Z31+MVTAVRIL24!Z31+MVTMAI24!Z31+MVTJUIN24!Z31+MVTJUIL24!Z31+MVTAOUT24!Z31+MVTSEPT24!Z31+MVTOCT24!Z31+MVTNOV24!Z31+MVTDEC24!Z31</f>
        <v>0</v>
      </c>
      <c r="AA32" s="36">
        <f>MVTJANV24!AA31+MVTFEV24!AA31+MVTMARS24!AA31+MVTAVRIL24!AA31+MVTMAI24!AA31+MVTJUIN24!AA31+MVTJUIL24!AA31+MVTAOUT24!AA31+MVTSEPT24!AA31+MVTOCT24!AA31+MVTNOV24!AA31+MVTDEC24!AA31</f>
        <v>0</v>
      </c>
      <c r="AB32" s="36">
        <f>MVTJANV24!AB31+MVTFEV24!AB31+MVTMARS24!AB31+MVTAVRIL24!AB31+MVTMAI24!AB31+MVTJUIN24!AB31+MVTJUIL24!AB31+MVTAOUT24!AB31+MVTSEPT24!AB31+MVTOCT24!AB31+MVTNOV24!AB31+MVTDEC24!AB31</f>
        <v>0</v>
      </c>
      <c r="AC32" s="36">
        <f>MVTJANV24!AC31+MVTFEV24!AC31+MVTMARS24!AC31+MVTAVRIL24!AC31+MVTMAI24!AC31+MVTJUIN24!AC31+MVTJUIL24!AC31+MVTAOUT24!AC31+MVTSEPT24!AC31+MVTOCT24!AC31+MVTNOV24!AC31+MVTDEC24!AC31</f>
        <v>0</v>
      </c>
      <c r="AD32" s="36">
        <f>MVTJANV24!AD31+MVTFEV24!AD31+MVTMARS24!AD31+MVTAVRIL24!AD31+MVTMAI24!AD31+MVTJUIN24!AD31+MVTJUIL24!AD31+MVTAOUT24!AD31+MVTSEPT24!AD31+MVTOCT24!AD31+MVTNOV24!AD31+MVTDEC24!AD31</f>
        <v>0</v>
      </c>
      <c r="AE32" s="36">
        <f>MVTJANV24!AE31+MVTFEV24!AE31+MVTMARS24!AE31+MVTAVRIL24!AE31+MVTMAI24!AE31+MVTJUIN24!AE31+MVTJUIL24!AE31+MVTAOUT24!AE31+MVTSEPT24!AE31+MVTOCT24!AE31+MVTNOV24!AE31+MVTDEC24!AE31</f>
        <v>0</v>
      </c>
      <c r="AF32" s="36">
        <f>MVTJANV24!AF31+MVTFEV24!AF31+MVTMARS24!AF31+MVTAVRIL24!AF31+MVTMAI24!AF31+MVTJUIN24!AF31+MVTJUIL24!AF31+MVTAOUT24!AF31+MVTSEPT24!AF31+MVTOCT24!AF31+MVTNOV24!AF31+MVTDEC24!AF31</f>
        <v>0</v>
      </c>
      <c r="AG32" s="36">
        <f>MVTJANV24!AG31+MVTFEV24!AG31+MVTMARS24!AG31+MVTAVRIL24!AG31+MVTMAI24!AG31+MVTJUIN24!AG31+MVTJUIL24!AG31+MVTAOUT24!AG31+MVTSEPT24!AG31+MVTOCT24!AG31+MVTNOV24!AG31+MVTDEC24!AG31</f>
        <v>0</v>
      </c>
      <c r="AH32" s="36">
        <f>MVTJANV24!AH31+MVTFEV24!AH31+MVTMARS24!AH31+MVTAVRIL24!AH31+MVTMAI24!AH31+MVTJUIN24!AH31+MVTJUIL24!AH31+MVTAOUT24!AH31+MVTSEPT24!AH31+MVTOCT24!AH31+MVTNOV24!AH31+MVTDEC24!AH31</f>
        <v>0</v>
      </c>
      <c r="AI32" s="36">
        <f>MVTJANV24!AI31+MVTFEV24!AI31+MVTMARS24!AI31+MVTAVRIL24!AI31+MVTMAI24!AI31+MVTJUIN24!AI31+MVTJUIL24!AI31+MVTAOUT24!AI31+MVTSEPT24!AI31+MVTOCT24!AI31+MVTNOV24!AI31+MVTDEC24!AI31</f>
        <v>0</v>
      </c>
      <c r="AJ32" s="36">
        <f>MVTJANV24!AJ31+MVTFEV24!AJ31+MVTMARS24!AJ31+MVTAVRIL24!AJ31+MVTMAI24!AJ31+MVTJUIN24!AJ31+MVTJUIL24!AJ31+MVTAOUT24!AJ31+MVTSEPT24!AJ31+MVTOCT24!AJ31+MVTNOV24!AJ31+MVTDEC24!AJ31</f>
        <v>0</v>
      </c>
      <c r="AK32" s="36">
        <f>MVTJANV24!AK31+MVTFEV24!AK31+MVTMARS24!AK31+MVTAVRIL24!AK31+MVTMAI24!AK31+MVTJUIN24!AK31+MVTJUIL24!AK31+MVTAOUT24!AK31+MVTSEPT24!AK31+MVTOCT24!AK31+MVTNOV24!AK31+MVTDEC24!AK31</f>
        <v>0</v>
      </c>
      <c r="AL32" s="143">
        <v>45474</v>
      </c>
      <c r="AM32" s="144">
        <f t="shared" si="2"/>
        <v>60000</v>
      </c>
      <c r="AN32" s="144"/>
      <c r="AP32" s="36"/>
    </row>
    <row r="33" spans="1:42" ht="15.75" x14ac:dyDescent="0.25">
      <c r="A33" s="1" t="s">
        <v>49</v>
      </c>
      <c r="B33" s="1" t="str">
        <f>VLOOKUP(A33,[19]LISTADHERENT!A$5:H$60,3,0)</f>
        <v>SIMO PIERRE</v>
      </c>
      <c r="C33" s="36">
        <f>+MVTDEC23!C32</f>
        <v>700000</v>
      </c>
      <c r="D33" s="36">
        <f>+MVTDEC23!D32</f>
        <v>686.61218299972825</v>
      </c>
      <c r="E33" s="36">
        <f>VLOOKUP($A33,[24]HISTOJANV24!$A$6:$BA$38,48,0)</f>
        <v>0</v>
      </c>
      <c r="F33" s="36">
        <f>MVTDEC24!F32</f>
        <v>976243.98131057119</v>
      </c>
      <c r="G33" s="5">
        <f>MVTDEC24!G32</f>
        <v>976243.98131057119</v>
      </c>
      <c r="H33" s="36">
        <f>MVTDEC23!H32+MVTJANV24!H32+MVTFEV24!H32+MVTMARS24!H32+MVTAVRIL24!H32+MVTMAI24!H32+MVTJUIN24!H32+MVTJUIL24!H32+MVTAOUT24!H32+MVTSEPT24!H32+MVTOCT24!H32+MVTNOV24!H32+MVTDEC24!H32</f>
        <v>47557.369127571357</v>
      </c>
      <c r="I33" s="6">
        <f t="shared" si="0"/>
        <v>1023801.3504381425</v>
      </c>
      <c r="J33" s="36">
        <f>MVTJANV24!J32+MVTFEV24!J32+MVTMARS24!J32+MVTAVRIL24!J32+MVTMAI24!J32+MVTJUIN24!J32+MVTJUIL24!J32+MVTAOUT24!J32+MVTSEPT24!J32+MVTOCT24!J32+MVTNOV24!J32+MVTDEC24!J32</f>
        <v>0</v>
      </c>
      <c r="K33" s="36">
        <f>MVTJANV24!K32+MVTFEV24!K32+MVTMARS24!K32+MVTAVRIL24!K32+MVTMAI24!K32+MVTJUIN24!K32+MVTJUIL24!K32+MVTAOUT24!K32+MVTSEPT24!K32+MVTOCT24!K32+MVTNOV24!K32+MVTDEC24!K32</f>
        <v>300000</v>
      </c>
      <c r="L33" s="36">
        <f>MVTJANV24!L32+MVTFEV24!L32+MVTMARS24!L32+MVTAVRIL24!L32+MVTMAI24!L32+MVTJUIN24!L32+MVTJUIL24!L32+MVTAOUT24!L32+MVTSEPT24!L32+MVTOCT24!L32+MVTNOV24!L32+MVTDEC24!L32</f>
        <v>228000</v>
      </c>
      <c r="M33" s="36">
        <f>MVTJANV24!M32+MVTFEV24!M32+MVTMARS24!M32+MVTAVRIL24!M32+MVTMAI24!M32+MVTJUIN24!M32+MVTJUIL24!M32+MVTAOUT24!M32+MVTSEPT24!M32+MVTOCT24!M32+MVTNOV24!M32+MVTDEC24!M32</f>
        <v>12000</v>
      </c>
      <c r="N33" s="36">
        <f>MVTJANV24!N32+MVTFEV24!N32+MVTMARS24!N32+MVTAVRIL24!N32+MVTMAI24!N32+MVTJUIN24!N32+MVTJUIL24!N32+MVTAOUT24!N32+MVTSEPT24!N32+MVTOCT24!N32+MVTNOV24!N32+MVTDEC24!N32</f>
        <v>12000</v>
      </c>
      <c r="O33" s="36">
        <f>MVTJANV24!O32+MVTFEV24!O32+MVTMARS24!O32+MVTAVRIL24!O32+MVTMAI24!O32+MVTJUIN24!O32+MVTJUIL24!O32+MVTAOUT24!O32+MVTSEPT24!O32+MVTOCT24!O32+MVTNOV24!O32+MVTDEC24!O32</f>
        <v>48000</v>
      </c>
      <c r="P33" s="36">
        <f>MVTJANV24!P32+MVTFEV24!P32+MVTMARS24!P32+MVTAVRIL24!P32+MVTMAI24!P32+MVTJUIN24!P32+MVTJUIL24!P32+MVTAOUT24!P32+MVTSEPT24!P32+MVTOCT24!P32+MVTNOV24!P32+MVTDEC24!P32</f>
        <v>0</v>
      </c>
      <c r="Q33" s="36">
        <f>MVTJANV24!Q32+MVTFEV24!Q32+MVTMARS24!Q32+MVTAVRIL24!Q32+MVTMAI24!Q32+MVTJUIN24!Q32+MVTJUIL24!Q32+MVTAOUT24!Q32+MVTSEPT24!Q32+MVTOCT24!Q32+MVTNOV24!Q32+MVTDEC24!Q32</f>
        <v>0</v>
      </c>
      <c r="R33" s="36">
        <f>MVTJANV24!R32+MVTFEV24!R32+MVTMARS24!R32+MVTAVRIL24!R32+MVTMAI24!R32+MVTJUIN24!R32+MVTJUIL24!R32+MVTAOUT24!R32+MVTSEPT24!R32+MVTOCT24!R32+MVTNOV24!R32+MVTDEC24!R32</f>
        <v>0</v>
      </c>
      <c r="S33" s="36">
        <f>MVTDEC23!S32+MVTJANV24!S32+MVTFEV24!S32+MVTMARS24!S32+MVTAVRIL24!S32+MVTMAI24!S32+MVTJUIN24!S32+MVTJUIL24!S32+MVTAOUT24!S32+MVTSEPT24!S32+MVTOCT24!S32+MVTNOV24!S32+MVTDEC24!S32</f>
        <v>1250000</v>
      </c>
      <c r="T33" s="36">
        <f>MVTDEC23!T32+MVTJANV24!T32+MVTFEV24!T32+MVTMARS24!T32+MVTAVRIL24!T32+MVTMAI24!T32+MVTJUIN24!T32+MVTJUIL24!T32+MVTAOUT24!T32+MVTSEPT24!T32+MVTOCT24!T32+MVTNOV24!T32+MVTDEC24!T32</f>
        <v>45000</v>
      </c>
      <c r="U33" s="36"/>
      <c r="V33" s="36">
        <f>MVTJANV24!V32+MVTFEV24!V32+MVTMARS24!V32+MVTAVRIL24!V32+MVTMAI24!V32+MVTJUIN24!V32+MVTJUIL24!V32+MVTAOUT24!V32+MVTSEPT24!V32+MVTOCT24!V32+MVTNOV24!V32+MVTDEC24!V32</f>
        <v>250000</v>
      </c>
      <c r="W33" s="36">
        <f t="shared" si="1"/>
        <v>1000000</v>
      </c>
      <c r="X33" s="36"/>
      <c r="Y33" s="36"/>
      <c r="Z33" s="36">
        <f>MVTJANV24!Z32+MVTFEV24!Z32+MVTMARS24!Z32+MVTAVRIL24!Z32+MVTMAI24!Z32+MVTJUIN24!Z32+MVTJUIL24!Z32+MVTAOUT24!Z32+MVTSEPT24!Z32+MVTOCT24!Z32+MVTNOV24!Z32+MVTDEC24!Z32</f>
        <v>0</v>
      </c>
      <c r="AA33" s="36">
        <f>MVTJANV24!AA32+MVTFEV24!AA32+MVTMARS24!AA32+MVTAVRIL24!AA32+MVTMAI24!AA32+MVTJUIN24!AA32+MVTJUIL24!AA32+MVTAOUT24!AA32+MVTSEPT24!AA32+MVTOCT24!AA32+MVTNOV24!AA32+MVTDEC24!AA32</f>
        <v>0</v>
      </c>
      <c r="AB33" s="36">
        <f>MVTJANV24!AB32+MVTFEV24!AB32+MVTMARS24!AB32+MVTAVRIL24!AB32+MVTMAI24!AB32+MVTJUIN24!AB32+MVTJUIL24!AB32+MVTAOUT24!AB32+MVTSEPT24!AB32+MVTOCT24!AB32+MVTNOV24!AB32+MVTDEC24!AB32</f>
        <v>0</v>
      </c>
      <c r="AC33" s="36">
        <f>MVTJANV24!AC32+MVTFEV24!AC32+MVTMARS24!AC32+MVTAVRIL24!AC32+MVTMAI24!AC32+MVTJUIN24!AC32+MVTJUIL24!AC32+MVTAOUT24!AC32+MVTSEPT24!AC32+MVTOCT24!AC32+MVTNOV24!AC32+MVTDEC24!AC32</f>
        <v>0</v>
      </c>
      <c r="AD33" s="36">
        <f>MVTJANV24!AD32+MVTFEV24!AD32+MVTMARS24!AD32+MVTAVRIL24!AD32+MVTMAI24!AD32+MVTJUIN24!AD32+MVTJUIL24!AD32+MVTAOUT24!AD32+MVTSEPT24!AD32+MVTOCT24!AD32+MVTNOV24!AD32+MVTDEC24!AD32</f>
        <v>0</v>
      </c>
      <c r="AE33" s="36">
        <f>MVTJANV24!AE32+MVTFEV24!AE32+MVTMARS24!AE32+MVTAVRIL24!AE32+MVTMAI24!AE32+MVTJUIN24!AE32+MVTJUIL24!AE32+MVTAOUT24!AE32+MVTSEPT24!AE32+MVTOCT24!AE32+MVTNOV24!AE32+MVTDEC24!AE32</f>
        <v>0</v>
      </c>
      <c r="AF33" s="36">
        <f>MVTJANV24!AF32+MVTFEV24!AF32+MVTMARS24!AF32+MVTAVRIL24!AF32+MVTMAI24!AF32+MVTJUIN24!AF32+MVTJUIL24!AF32+MVTAOUT24!AF32+MVTSEPT24!AF32+MVTOCT24!AF32+MVTNOV24!AF32+MVTDEC24!AF32</f>
        <v>0</v>
      </c>
      <c r="AG33" s="36">
        <f>MVTJANV24!AG32+MVTFEV24!AG32+MVTMARS24!AG32+MVTAVRIL24!AG32+MVTMAI24!AG32+MVTJUIN24!AG32+MVTJUIL24!AG32+MVTAOUT24!AG32+MVTSEPT24!AG32+MVTOCT24!AG32+MVTNOV24!AG32+MVTDEC24!AG32</f>
        <v>0</v>
      </c>
      <c r="AH33" s="36">
        <f>MVTJANV24!AH32+MVTFEV24!AH32+MVTMARS24!AH32+MVTAVRIL24!AH32+MVTMAI24!AH32+MVTJUIN24!AH32+MVTJUIL24!AH32+MVTAOUT24!AH32+MVTSEPT24!AH32+MVTOCT24!AH32+MVTNOV24!AH32+MVTDEC24!AH32</f>
        <v>0</v>
      </c>
      <c r="AI33" s="36">
        <f>MVTJANV24!AI32+MVTFEV24!AI32+MVTMARS24!AI32+MVTAVRIL24!AI32+MVTMAI24!AI32+MVTJUIN24!AI32+MVTJUIL24!AI32+MVTAOUT24!AI32+MVTSEPT24!AI32+MVTOCT24!AI32+MVTNOV24!AI32+MVTDEC24!AI32</f>
        <v>0</v>
      </c>
      <c r="AJ33" s="36">
        <f>MVTJANV24!AJ32+MVTFEV24!AJ32+MVTMARS24!AJ32+MVTAVRIL24!AJ32+MVTMAI24!AJ32+MVTJUIN24!AJ32+MVTJUIL24!AJ32+MVTAOUT24!AJ32+MVTSEPT24!AJ32+MVTOCT24!AJ32+MVTNOV24!AJ32+MVTDEC24!AJ32</f>
        <v>0</v>
      </c>
      <c r="AK33" s="36">
        <f>MVTJANV24!AK32+MVTFEV24!AK32+MVTMARS24!AK32+MVTAVRIL24!AK32+MVTMAI24!AK32+MVTJUIN24!AK32+MVTJUIL24!AK32+MVTAOUT24!AK32+MVTSEPT24!AK32+MVTOCT24!AK32+MVTNOV24!AK32+MVTDEC24!AK32</f>
        <v>0</v>
      </c>
      <c r="AL33" s="143">
        <v>45474</v>
      </c>
      <c r="AM33" s="144">
        <f t="shared" si="2"/>
        <v>45000</v>
      </c>
      <c r="AN33" s="144"/>
      <c r="AP33" s="36"/>
    </row>
    <row r="34" spans="1:42" ht="15.75" x14ac:dyDescent="0.25">
      <c r="A34" s="1" t="s">
        <v>51</v>
      </c>
      <c r="B34" s="1" t="str">
        <f>VLOOKUP(A34,[19]LISTADHERENT!A$5:H$60,3,0)</f>
        <v>TCHOUAMOU MATHIEU</v>
      </c>
      <c r="C34" s="36">
        <f>+MVTDEC23!C33</f>
        <v>700000</v>
      </c>
      <c r="D34" s="36">
        <f>+MVTDEC23!D33</f>
        <v>975.80620651689242</v>
      </c>
      <c r="E34" s="36">
        <f>VLOOKUP($A34,[24]HISTOJANV24!$A$6:$BA$38,48,0)</f>
        <v>0</v>
      </c>
      <c r="F34" s="36">
        <f>MVTDEC24!F33</f>
        <v>976552.64928596013</v>
      </c>
      <c r="G34" s="5">
        <f>MVTDEC24!G33</f>
        <v>976552.64928596013</v>
      </c>
      <c r="H34" s="36">
        <f>MVTDEC23!H33+MVTJANV24!H33+MVTFEV24!H33+MVTMARS24!H33+MVTAVRIL24!H33+MVTMAI24!H33+MVTJUIN24!H33+MVTJUIL24!H33+MVTAOUT24!H33+MVTSEPT24!H33+MVTOCT24!H33+MVTNOV24!H33+MVTDEC24!H33</f>
        <v>47576.843079443228</v>
      </c>
      <c r="I34" s="6">
        <f t="shared" si="0"/>
        <v>1024129.4923654033</v>
      </c>
      <c r="J34" s="36">
        <f>MVTJANV24!J33+MVTFEV24!J33+MVTMARS24!J33+MVTAVRIL24!J33+MVTMAI24!J33+MVTJUIN24!J33+MVTJUIL24!J33+MVTAOUT24!J33+MVTSEPT24!J33+MVTOCT24!J33+MVTNOV24!J33+MVTDEC24!J33</f>
        <v>0</v>
      </c>
      <c r="K34" s="36">
        <f>MVTJANV24!K33+MVTFEV24!K33+MVTMARS24!K33+MVTAVRIL24!K33+MVTMAI24!K33+MVTJUIN24!K33+MVTJUIL24!K33+MVTAOUT24!K33+MVTSEPT24!K33+MVTOCT24!K33+MVTNOV24!K33+MVTDEC24!K33</f>
        <v>300000</v>
      </c>
      <c r="L34" s="36">
        <f>MVTJANV24!L33+MVTFEV24!L33+MVTMARS24!L33+MVTAVRIL24!L33+MVTMAI24!L33+MVTJUIN24!L33+MVTJUIL24!L33+MVTAOUT24!L33+MVTSEPT24!L33+MVTOCT24!L33+MVTNOV24!L33+MVTDEC24!L33</f>
        <v>228000</v>
      </c>
      <c r="M34" s="36">
        <f>MVTJANV24!M33+MVTFEV24!M33+MVTMARS24!M33+MVTAVRIL24!M33+MVTMAI24!M33+MVTJUIN24!M33+MVTJUIL24!M33+MVTAOUT24!M33+MVTSEPT24!M33+MVTOCT24!M33+MVTNOV24!M33+MVTDEC24!M33</f>
        <v>12000</v>
      </c>
      <c r="N34" s="36">
        <f>MVTJANV24!N33+MVTFEV24!N33+MVTMARS24!N33+MVTAVRIL24!N33+MVTMAI24!N33+MVTJUIN24!N33+MVTJUIL24!N33+MVTAOUT24!N33+MVTSEPT24!N33+MVTOCT24!N33+MVTNOV24!N33+MVTDEC24!N33</f>
        <v>12000</v>
      </c>
      <c r="O34" s="36">
        <f>MVTJANV24!O33+MVTFEV24!O33+MVTMARS24!O33+MVTAVRIL24!O33+MVTMAI24!O33+MVTJUIN24!O33+MVTJUIL24!O33+MVTAOUT24!O33+MVTSEPT24!O33+MVTOCT24!O33+MVTNOV24!O33+MVTDEC24!O33</f>
        <v>48000</v>
      </c>
      <c r="P34" s="36">
        <f>MVTJANV24!P33+MVTFEV24!P33+MVTMARS24!P33+MVTAVRIL24!P33+MVTMAI24!P33+MVTJUIN24!P33+MVTJUIL24!P33+MVTAOUT24!P33+MVTSEPT24!P33+MVTOCT24!P33+MVTNOV24!P33+MVTDEC24!P33</f>
        <v>0</v>
      </c>
      <c r="Q34" s="36">
        <f>MVTJANV24!Q33+MVTFEV24!Q33+MVTMARS24!Q33+MVTAVRIL24!Q33+MVTMAI24!Q33+MVTJUIN24!Q33+MVTJUIL24!Q33+MVTAOUT24!Q33+MVTSEPT24!Q33+MVTOCT24!Q33+MVTNOV24!Q33+MVTDEC24!Q33</f>
        <v>0</v>
      </c>
      <c r="R34" s="36">
        <f>MVTJANV24!R33+MVTFEV24!R33+MVTMARS24!R33+MVTAVRIL24!R33+MVTMAI24!R33+MVTJUIN24!R33+MVTJUIL24!R33+MVTAOUT24!R33+MVTSEPT24!R33+MVTOCT24!R33+MVTNOV24!R33+MVTDEC24!R33</f>
        <v>0</v>
      </c>
      <c r="S34" s="36">
        <f>MVTDEC23!S33+MVTJANV24!S33+MVTFEV24!S33+MVTMARS24!S33+MVTAVRIL24!S33+MVTMAI24!S33+MVTJUIN24!S33+MVTJUIL24!S33+MVTAOUT24!S33+MVTSEPT24!S33+MVTOCT24!S33+MVTNOV24!S33+MVTDEC24!S33</f>
        <v>1000000</v>
      </c>
      <c r="T34" s="36">
        <f>MVTDEC23!T33+MVTJANV24!T33+MVTFEV24!T33+MVTMARS24!T33+MVTAVRIL24!T33+MVTMAI24!T33+MVTJUIN24!T33+MVTJUIL24!T33+MVTAOUT24!T33+MVTSEPT24!T33+MVTOCT24!T33+MVTNOV24!T33+MVTDEC24!T33</f>
        <v>60000</v>
      </c>
      <c r="U34" s="36"/>
      <c r="V34" s="36">
        <f>MVTJANV24!V33+MVTFEV24!V33+MVTMARS24!V33+MVTAVRIL24!V33+MVTMAI24!V33+MVTJUIN24!V33+MVTJUIL24!V33+MVTAOUT24!V33+MVTSEPT24!V33+MVTOCT24!V33+MVTNOV24!V33+MVTDEC24!V33</f>
        <v>0</v>
      </c>
      <c r="W34" s="36">
        <f t="shared" si="1"/>
        <v>1000000</v>
      </c>
      <c r="X34" s="36"/>
      <c r="Y34" s="36"/>
      <c r="Z34" s="36">
        <f>MVTJANV24!Z33+MVTFEV24!Z33+MVTMARS24!Z33+MVTAVRIL24!Z33+MVTMAI24!Z33+MVTJUIN24!Z33+MVTJUIL24!Z33+MVTAOUT24!Z33+MVTSEPT24!Z33+MVTOCT24!Z33+MVTNOV24!Z33+MVTDEC24!Z33</f>
        <v>0</v>
      </c>
      <c r="AA34" s="36">
        <f>MVTJANV24!AA33+MVTFEV24!AA33+MVTMARS24!AA33+MVTAVRIL24!AA33+MVTMAI24!AA33+MVTJUIN24!AA33+MVTJUIL24!AA33+MVTAOUT24!AA33+MVTSEPT24!AA33+MVTOCT24!AA33+MVTNOV24!AA33+MVTDEC24!AA33</f>
        <v>0</v>
      </c>
      <c r="AB34" s="36">
        <f>MVTJANV24!AB33+MVTFEV24!AB33+MVTMARS24!AB33+MVTAVRIL24!AB33+MVTMAI24!AB33+MVTJUIN24!AB33+MVTJUIL24!AB33+MVTAOUT24!AB33+MVTSEPT24!AB33+MVTOCT24!AB33+MVTNOV24!AB33+MVTDEC24!AB33</f>
        <v>0</v>
      </c>
      <c r="AC34" s="36">
        <f>MVTJANV24!AC33+MVTFEV24!AC33+MVTMARS24!AC33+MVTAVRIL24!AC33+MVTMAI24!AC33+MVTJUIN24!AC33+MVTJUIL24!AC33+MVTAOUT24!AC33+MVTSEPT24!AC33+MVTOCT24!AC33+MVTNOV24!AC33+MVTDEC24!AC33</f>
        <v>0</v>
      </c>
      <c r="AD34" s="36">
        <f>MVTJANV24!AD33+MVTFEV24!AD33+MVTMARS24!AD33+MVTAVRIL24!AD33+MVTMAI24!AD33+MVTJUIN24!AD33+MVTJUIL24!AD33+MVTAOUT24!AD33+MVTSEPT24!AD33+MVTOCT24!AD33+MVTNOV24!AD33+MVTDEC24!AD33</f>
        <v>0</v>
      </c>
      <c r="AE34" s="36">
        <f>MVTJANV24!AE33+MVTFEV24!AE33+MVTMARS24!AE33+MVTAVRIL24!AE33+MVTMAI24!AE33+MVTJUIN24!AE33+MVTJUIL24!AE33+MVTAOUT24!AE33+MVTSEPT24!AE33+MVTOCT24!AE33+MVTNOV24!AE33+MVTDEC24!AE33</f>
        <v>0</v>
      </c>
      <c r="AF34" s="36">
        <f>MVTJANV24!AF33+MVTFEV24!AF33+MVTMARS24!AF33+MVTAVRIL24!AF33+MVTMAI24!AF33+MVTJUIN24!AF33+MVTJUIL24!AF33+MVTAOUT24!AF33+MVTSEPT24!AF33+MVTOCT24!AF33+MVTNOV24!AF33+MVTDEC24!AF33</f>
        <v>0</v>
      </c>
      <c r="AG34" s="36">
        <f>MVTJANV24!AG33+MVTFEV24!AG33+MVTMARS24!AG33+MVTAVRIL24!AG33+MVTMAI24!AG33+MVTJUIN24!AG33+MVTJUIL24!AG33+MVTAOUT24!AG33+MVTSEPT24!AG33+MVTOCT24!AG33+MVTNOV24!AG33+MVTDEC24!AG33</f>
        <v>0</v>
      </c>
      <c r="AH34" s="36">
        <f>MVTJANV24!AH33+MVTFEV24!AH33+MVTMARS24!AH33+MVTAVRIL24!AH33+MVTMAI24!AH33+MVTJUIN24!AH33+MVTJUIL24!AH33+MVTAOUT24!AH33+MVTSEPT24!AH33+MVTOCT24!AH33+MVTNOV24!AH33+MVTDEC24!AH33</f>
        <v>0</v>
      </c>
      <c r="AI34" s="36">
        <f>MVTJANV24!AI33+MVTFEV24!AI33+MVTMARS24!AI33+MVTAVRIL24!AI33+MVTMAI24!AI33+MVTJUIN24!AI33+MVTJUIL24!AI33+MVTAOUT24!AI33+MVTSEPT24!AI33+MVTOCT24!AI33+MVTNOV24!AI33+MVTDEC24!AI33</f>
        <v>0</v>
      </c>
      <c r="AJ34" s="36">
        <f>MVTJANV24!AJ33+MVTFEV24!AJ33+MVTMARS24!AJ33+MVTAVRIL24!AJ33+MVTMAI24!AJ33+MVTJUIN24!AJ33+MVTJUIL24!AJ33+MVTAOUT24!AJ33+MVTSEPT24!AJ33+MVTOCT24!AJ33+MVTNOV24!AJ33+MVTDEC24!AJ33</f>
        <v>0</v>
      </c>
      <c r="AK34" s="36">
        <f>MVTJANV24!AK33+MVTFEV24!AK33+MVTMARS24!AK33+MVTAVRIL24!AK33+MVTMAI24!AK33+MVTJUIN24!AK33+MVTJUIL24!AK33+MVTAOUT24!AK33+MVTSEPT24!AK33+MVTOCT24!AK33+MVTNOV24!AK33+MVTDEC24!AK33</f>
        <v>0</v>
      </c>
      <c r="AL34" s="143">
        <v>45474</v>
      </c>
      <c r="AM34" s="144">
        <f t="shared" si="2"/>
        <v>60000</v>
      </c>
      <c r="AN34" s="144"/>
      <c r="AO34" s="36"/>
      <c r="AP34" s="36"/>
    </row>
    <row r="35" spans="1:42" ht="15.75" x14ac:dyDescent="0.25">
      <c r="A35" s="1" t="s">
        <v>328</v>
      </c>
      <c r="B35" s="1" t="str">
        <f>VLOOKUP(A35,[19]LISTADHERENT!A$5:H$60,3,0)</f>
        <v>TCHOUATEU AUGUSTIN</v>
      </c>
      <c r="C35" s="36">
        <f>+MVTDEC23!C34</f>
        <v>0</v>
      </c>
      <c r="D35" s="36">
        <f>+MVTDEC23!D34</f>
        <v>0</v>
      </c>
      <c r="E35" s="36">
        <f>VLOOKUP($A35,[24]HISTOJANV24!$A$6:$BA$38,48,0)</f>
        <v>0</v>
      </c>
      <c r="F35" s="36">
        <f>MVTDEC24!F34</f>
        <v>633000</v>
      </c>
      <c r="G35" s="5">
        <f>MVTDEC24!G34</f>
        <v>0</v>
      </c>
      <c r="H35" s="36">
        <f>MVTDEC23!H34+MVTJANV24!H34+MVTFEV24!H34+MVTMARS24!H34+MVTAVRIL24!H34+MVTMAI24!H34+MVTJUIN24!H34+MVTJUIL24!H34+MVTAOUT24!H34+MVTSEPT24!H34+MVTOCT24!H34+MVTNOV24!H34+MVTDEC24!H34</f>
        <v>0</v>
      </c>
      <c r="I35" s="6">
        <f t="shared" si="0"/>
        <v>633000</v>
      </c>
      <c r="J35" s="36">
        <f>MVTJANV24!J34+MVTFEV24!J34+MVTMARS24!J34+MVTAVRIL24!J34+MVTMAI24!J34+MVTJUIN24!J34+MVTJUIL24!J34+MVTAOUT24!J34+MVTSEPT24!J34+MVTOCT24!J34+MVTNOV24!J34+MVTDEC24!J34</f>
        <v>0</v>
      </c>
      <c r="K35" s="36">
        <f>MVTJANV24!K34+MVTFEV24!K34+MVTMARS24!K34+MVTAVRIL24!K34+MVTMAI24!K34+MVTJUIN24!K34+MVTJUIL24!K34+MVTAOUT24!K34+MVTSEPT24!K34+MVTOCT24!K34+MVTNOV24!K34+MVTDEC24!K34</f>
        <v>705000</v>
      </c>
      <c r="L35" s="36">
        <f>MVTJANV24!L34+MVTFEV24!L34+MVTMARS24!L34+MVTAVRIL24!L34+MVTMAI24!L34+MVTJUIN24!L34+MVTJUIL24!L34+MVTAOUT24!L34+MVTSEPT24!L34+MVTOCT24!L34+MVTNOV24!L34+MVTDEC24!L34</f>
        <v>633000</v>
      </c>
      <c r="M35" s="36">
        <f>MVTJANV24!M34+MVTFEV24!M34+MVTMARS24!M34+MVTAVRIL24!M34+MVTMAI24!M34+MVTJUIN24!M34+MVTJUIL24!M34+MVTAOUT24!M34+MVTSEPT24!M34+MVTOCT24!M34+MVTNOV24!M34+MVTDEC24!M34</f>
        <v>12000</v>
      </c>
      <c r="N35" s="36">
        <f>MVTJANV24!N34+MVTFEV24!N34+MVTMARS24!N34+MVTAVRIL24!N34+MVTMAI24!N34+MVTJUIN24!N34+MVTJUIL24!N34+MVTAOUT24!N34+MVTSEPT24!N34+MVTOCT24!N34+MVTNOV24!N34+MVTDEC24!N34</f>
        <v>12000</v>
      </c>
      <c r="O35" s="36">
        <f>MVTJANV24!O34+MVTFEV24!O34+MVTMARS24!O34+MVTAVRIL24!O34+MVTMAI24!O34+MVTJUIN24!O34+MVTJUIL24!O34+MVTAOUT24!O34+MVTSEPT24!O34+MVTOCT24!O34+MVTNOV24!O34+MVTDEC24!O34</f>
        <v>48000</v>
      </c>
      <c r="P35" s="36">
        <f>MVTJANV24!P34+MVTFEV24!P34+MVTMARS24!P34+MVTAVRIL24!P34+MVTMAI24!P34+MVTJUIN24!P34+MVTJUIL24!P34+MVTAOUT24!P34+MVTSEPT24!P34+MVTOCT24!P34+MVTNOV24!P34+MVTDEC24!P34</f>
        <v>0</v>
      </c>
      <c r="Q35" s="36">
        <f>MVTJANV24!Q34+MVTFEV24!Q34+MVTMARS24!Q34+MVTAVRIL24!Q34+MVTMAI24!Q34+MVTJUIN24!Q34+MVTJUIL24!Q34+MVTAOUT24!Q34+MVTSEPT24!Q34+MVTOCT24!Q34+MVTNOV24!Q34+MVTDEC24!Q34</f>
        <v>25000</v>
      </c>
      <c r="R35" s="36">
        <f>MVTJANV24!R34+MVTFEV24!R34+MVTMARS24!R34+MVTAVRIL24!R34+MVTMAI24!R34+MVTJUIN24!R34+MVTJUIL24!R34+MVTAOUT24!R34+MVTSEPT24!R34+MVTOCT24!R34+MVTNOV24!R34+MVTDEC24!R34</f>
        <v>120000</v>
      </c>
      <c r="S35" s="36">
        <f>MVTDEC23!S34+MVTJANV24!S34+MVTFEV24!S34+MVTMARS24!S34+MVTAVRIL24!S34+MVTMAI24!S34+MVTJUIN24!S34+MVTJUIL24!S34+MVTAOUT24!S34+MVTSEPT24!S34+MVTOCT24!S34+MVTNOV24!S34+MVTDEC24!S34</f>
        <v>0</v>
      </c>
      <c r="T35" s="36">
        <f>MVTDEC23!T34+MVTJANV24!T34+MVTFEV24!T34+MVTMARS24!T34+MVTAVRIL24!T34+MVTMAI24!T34+MVTJUIN24!T34+MVTJUIL24!T34+MVTAOUT24!T34+MVTSEPT24!T34+MVTOCT24!T34+MVTNOV24!T34+MVTDEC24!T34</f>
        <v>0</v>
      </c>
      <c r="U35" s="36"/>
      <c r="V35" s="36">
        <f>MVTJANV24!V34+MVTFEV24!V34+MVTMARS24!V34+MVTAVRIL24!V34+MVTMAI24!V34+MVTJUIN24!V34+MVTJUIL24!V34+MVTAOUT24!V34+MVTSEPT24!V34+MVTOCT24!V34+MVTNOV24!V34+MVTDEC24!V34</f>
        <v>0</v>
      </c>
      <c r="W35" s="36">
        <f t="shared" si="1"/>
        <v>0</v>
      </c>
      <c r="X35" s="36"/>
      <c r="Y35" s="36"/>
      <c r="Z35" s="36">
        <f>MVTJANV24!Z34+MVTFEV24!Z34+MVTMARS24!Z34+MVTAVRIL24!Z34+MVTMAI24!Z34+MVTJUIN24!Z34+MVTJUIL24!Z34+MVTAOUT24!Z34+MVTSEPT24!Z34+MVTOCT24!Z34+MVTNOV24!Z34+MVTDEC24!Z34</f>
        <v>0</v>
      </c>
      <c r="AA35" s="36">
        <f>MVTJANV24!AA34+MVTFEV24!AA34+MVTMARS24!AA34+MVTAVRIL24!AA34+MVTMAI24!AA34+MVTJUIN24!AA34+MVTJUIL24!AA34+MVTAOUT24!AA34+MVTSEPT24!AA34+MVTOCT24!AA34+MVTNOV24!AA34+MVTDEC24!AA34</f>
        <v>0</v>
      </c>
      <c r="AB35" s="36">
        <f>MVTJANV24!AB34+MVTFEV24!AB34+MVTMARS24!AB34+MVTAVRIL24!AB34+MVTMAI24!AB34+MVTJUIN24!AB34+MVTJUIL24!AB34+MVTAOUT24!AB34+MVTSEPT24!AB34+MVTOCT24!AB34+MVTNOV24!AB34+MVTDEC24!AB34</f>
        <v>0</v>
      </c>
      <c r="AC35" s="36">
        <f>MVTJANV24!AC34+MVTFEV24!AC34+MVTMARS24!AC34+MVTAVRIL24!AC34+MVTMAI24!AC34+MVTJUIN24!AC34+MVTJUIL24!AC34+MVTAOUT24!AC34+MVTSEPT24!AC34+MVTOCT24!AC34+MVTNOV24!AC34+MVTDEC24!AC34</f>
        <v>0</v>
      </c>
      <c r="AD35" s="36">
        <f>MVTJANV24!AD34+MVTFEV24!AD34+MVTMARS24!AD34+MVTAVRIL24!AD34+MVTMAI24!AD34+MVTJUIN24!AD34+MVTJUIL24!AD34+MVTAOUT24!AD34+MVTSEPT24!AD34+MVTOCT24!AD34+MVTNOV24!AD34+MVTDEC24!AD34</f>
        <v>0</v>
      </c>
      <c r="AE35" s="36">
        <f>MVTJANV24!AE34+MVTFEV24!AE34+MVTMARS24!AE34+MVTAVRIL24!AE34+MVTMAI24!AE34+MVTJUIN24!AE34+MVTJUIL24!AE34+MVTAOUT24!AE34+MVTSEPT24!AE34+MVTOCT24!AE34+MVTNOV24!AE34+MVTDEC24!AE34</f>
        <v>0</v>
      </c>
      <c r="AF35" s="36">
        <f>MVTJANV24!AF34+MVTFEV24!AF34+MVTMARS24!AF34+MVTAVRIL24!AF34+MVTMAI24!AF34+MVTJUIN24!AF34+MVTJUIL24!AF34+MVTAOUT24!AF34+MVTSEPT24!AF34+MVTOCT24!AF34+MVTNOV24!AF34+MVTDEC24!AF34</f>
        <v>0</v>
      </c>
      <c r="AG35" s="36">
        <f>MVTJANV24!AG34+MVTFEV24!AG34+MVTMARS24!AG34+MVTAVRIL24!AG34+MVTMAI24!AG34+MVTJUIN24!AG34+MVTJUIL24!AG34+MVTAOUT24!AG34+MVTSEPT24!AG34+MVTOCT24!AG34+MVTNOV24!AG34+MVTDEC24!AG34</f>
        <v>0</v>
      </c>
      <c r="AH35" s="36">
        <f>MVTJANV24!AH34+MVTFEV24!AH34+MVTMARS24!AH34+MVTAVRIL24!AH34+MVTMAI24!AH34+MVTJUIN24!AH34+MVTJUIL24!AH34+MVTAOUT24!AH34+MVTSEPT24!AH34+MVTOCT24!AH34+MVTNOV24!AH34+MVTDEC24!AH34</f>
        <v>0</v>
      </c>
      <c r="AI35" s="36">
        <f>MVTJANV24!AI34+MVTFEV24!AI34+MVTMARS24!AI34+MVTAVRIL24!AI34+MVTMAI24!AI34+MVTJUIN24!AI34+MVTJUIL24!AI34+MVTAOUT24!AI34+MVTSEPT24!AI34+MVTOCT24!AI34+MVTNOV24!AI34+MVTDEC24!AI34</f>
        <v>0</v>
      </c>
      <c r="AJ35" s="36">
        <f>MVTJANV24!AJ34+MVTFEV24!AJ34+MVTMARS24!AJ34+MVTAVRIL24!AJ34+MVTMAI24!AJ34+MVTJUIN24!AJ34+MVTJUIL24!AJ34+MVTAOUT24!AJ34+MVTSEPT24!AJ34+MVTOCT24!AJ34+MVTNOV24!AJ34+MVTDEC24!AJ34</f>
        <v>0</v>
      </c>
      <c r="AK35" s="36">
        <f>MVTJANV24!AK34+MVTFEV24!AK34+MVTMARS24!AK34+MVTAVRIL24!AK34+MVTMAI24!AK34+MVTJUIN24!AK34+MVTJUIL24!AK34+MVTAOUT24!AK34+MVTSEPT24!AK34+MVTOCT24!AK34+MVTNOV24!AK34+MVTDEC24!AK34</f>
        <v>0</v>
      </c>
      <c r="AL35" s="143"/>
      <c r="AM35" s="144">
        <f t="shared" si="2"/>
        <v>0</v>
      </c>
      <c r="AN35" s="144"/>
      <c r="AP35" s="36"/>
    </row>
    <row r="36" spans="1:42" ht="15.75" x14ac:dyDescent="0.25">
      <c r="A36" s="1" t="s">
        <v>53</v>
      </c>
      <c r="B36" s="1" t="str">
        <f>VLOOKUP(A36,[19]LISTADHERENT!A$5:H$60,3,0)</f>
        <v>TCHOUTOU NANA CLAUDE</v>
      </c>
      <c r="C36" s="36">
        <f>+MVTDEC23!C35</f>
        <v>0</v>
      </c>
      <c r="D36" s="36">
        <f>+MVTDEC23!D35</f>
        <v>103000</v>
      </c>
      <c r="E36" s="36">
        <f>VLOOKUP($A36,[24]HISTOJANV24!$A$6:$BA$38,48,0)</f>
        <v>0</v>
      </c>
      <c r="F36" s="36">
        <f>MVTDEC24!F35</f>
        <v>328000</v>
      </c>
      <c r="G36" s="5">
        <f>MVTDEC24!G35</f>
        <v>0</v>
      </c>
      <c r="H36" s="36">
        <f>MVTDEC23!H35+MVTJANV24!H35+MVTFEV24!H35+MVTMARS24!H35+MVTAVRIL24!H35+MVTMAI24!H35+MVTJUIN24!H35+MVTJUIL24!H35+MVTAOUT24!H35+MVTSEPT24!H35+MVTOCT24!H35+MVTNOV24!H35+MVTDEC24!H35</f>
        <v>0</v>
      </c>
      <c r="I36" s="6">
        <f t="shared" si="0"/>
        <v>328000</v>
      </c>
      <c r="J36" s="36">
        <f>MVTJANV24!J35+MVTFEV24!J35+MVTMARS24!J35+MVTAVRIL24!J35+MVTMAI24!J35+MVTJUIN24!J35+MVTJUIL24!J35+MVTAOUT24!J35+MVTSEPT24!J35+MVTOCT24!J35+MVTNOV24!J35+MVTDEC24!J35</f>
        <v>0</v>
      </c>
      <c r="K36" s="36">
        <f>MVTJANV24!K35+MVTFEV24!K35+MVTMARS24!K35+MVTAVRIL24!K35+MVTMAI24!K35+MVTJUIN24!K35+MVTJUIL24!K35+MVTAOUT24!K35+MVTSEPT24!K35+MVTOCT24!K35+MVTNOV24!K35+MVTDEC24!K35</f>
        <v>297000</v>
      </c>
      <c r="L36" s="36">
        <f>MVTJANV24!L35+MVTFEV24!L35+MVTMARS24!L35+MVTAVRIL24!L35+MVTMAI24!L35+MVTJUIN24!L35+MVTJUIL24!L35+MVTAOUT24!L35+MVTSEPT24!L35+MVTOCT24!L35+MVTNOV24!L35+MVTDEC24!L35</f>
        <v>225000</v>
      </c>
      <c r="M36" s="36">
        <f>MVTJANV24!M35+MVTFEV24!M35+MVTMARS24!M35+MVTAVRIL24!M35+MVTMAI24!M35+MVTJUIN24!M35+MVTJUIL24!M35+MVTAOUT24!M35+MVTSEPT24!M35+MVTOCT24!M35+MVTNOV24!M35+MVTDEC24!M35</f>
        <v>12000</v>
      </c>
      <c r="N36" s="36">
        <f>MVTJANV24!N35+MVTFEV24!N35+MVTMARS24!N35+MVTAVRIL24!N35+MVTMAI24!N35+MVTJUIN24!N35+MVTJUIL24!N35+MVTAOUT24!N35+MVTSEPT24!N35+MVTOCT24!N35+MVTNOV24!N35+MVTDEC24!N35</f>
        <v>12000</v>
      </c>
      <c r="O36" s="36">
        <f>MVTJANV24!O35+MVTFEV24!O35+MVTMARS24!O35+MVTAVRIL24!O35+MVTMAI24!O35+MVTJUIN24!O35+MVTJUIL24!O35+MVTAOUT24!O35+MVTSEPT24!O35+MVTOCT24!O35+MVTNOV24!O35+MVTDEC24!O35</f>
        <v>48000</v>
      </c>
      <c r="P36" s="36">
        <f>MVTJANV24!P35+MVTFEV24!P35+MVTMARS24!P35+MVTAVRIL24!P35+MVTMAI24!P35+MVTJUIN24!P35+MVTJUIL24!P35+MVTAOUT24!P35+MVTSEPT24!P35+MVTOCT24!P35+MVTNOV24!P35+MVTDEC24!P35</f>
        <v>27000</v>
      </c>
      <c r="Q36" s="36">
        <f>MVTJANV24!Q35+MVTFEV24!Q35+MVTMARS24!Q35+MVTAVRIL24!Q35+MVTMAI24!Q35+MVTJUIN24!Q35+MVTJUIL24!Q35+MVTAOUT24!Q35+MVTSEPT24!Q35+MVTOCT24!Q35+MVTNOV24!Q35+MVTDEC24!Q35</f>
        <v>0</v>
      </c>
      <c r="R36" s="36">
        <f>MVTJANV24!R35+MVTFEV24!R35+MVTMARS24!R35+MVTAVRIL24!R35+MVTMAI24!R35+MVTJUIN24!R35+MVTJUIL24!R35+MVTAOUT24!R35+MVTSEPT24!R35+MVTOCT24!R35+MVTNOV24!R35+MVTDEC24!R35</f>
        <v>0</v>
      </c>
      <c r="S36" s="36">
        <f>MVTDEC23!S35+MVTJANV24!S35+MVTFEV24!S35+MVTMARS24!S35+MVTAVRIL24!S35+MVTMAI24!S35+MVTJUIN24!S35+MVTJUIL24!S35+MVTAOUT24!S35+MVTSEPT24!S35+MVTOCT24!S35+MVTNOV24!S35+MVTDEC24!S35</f>
        <v>0</v>
      </c>
      <c r="T36" s="36">
        <f>MVTDEC23!T35+MVTJANV24!T35+MVTFEV24!T35+MVTMARS24!T35+MVTAVRIL24!T35+MVTMAI24!T35+MVTJUIN24!T35+MVTJUIL24!T35+MVTAOUT24!T35+MVTSEPT24!T35+MVTOCT24!T35+MVTNOV24!T35+MVTDEC24!T35</f>
        <v>0</v>
      </c>
      <c r="U36" s="36"/>
      <c r="V36" s="36">
        <f>MVTJANV24!V35+MVTFEV24!V35+MVTMARS24!V35+MVTAVRIL24!V35+MVTMAI24!V35+MVTJUIN24!V35+MVTJUIL24!V35+MVTAOUT24!V35+MVTSEPT24!V35+MVTOCT24!V35+MVTNOV24!V35+MVTDEC24!V35</f>
        <v>0</v>
      </c>
      <c r="W36" s="36">
        <f t="shared" si="1"/>
        <v>0</v>
      </c>
      <c r="X36" s="36"/>
      <c r="Y36" s="36"/>
      <c r="Z36" s="36">
        <f>MVTJANV24!Z35+MVTFEV24!Z35+MVTMARS24!Z35+MVTAVRIL24!Z35+MVTMAI24!Z35+MVTJUIN24!Z35+MVTJUIL24!Z35+MVTAOUT24!Z35+MVTSEPT24!Z35+MVTOCT24!Z35+MVTNOV24!Z35+MVTDEC24!Z35</f>
        <v>0</v>
      </c>
      <c r="AA36" s="36">
        <f>MVTJANV24!AA35+MVTFEV24!AA35+MVTMARS24!AA35+MVTAVRIL24!AA35+MVTMAI24!AA35+MVTJUIN24!AA35+MVTJUIL24!AA35+MVTAOUT24!AA35+MVTSEPT24!AA35+MVTOCT24!AA35+MVTNOV24!AA35+MVTDEC24!AA35</f>
        <v>0</v>
      </c>
      <c r="AB36" s="36">
        <f>MVTJANV24!AB35+MVTFEV24!AB35+MVTMARS24!AB35+MVTAVRIL24!AB35+MVTMAI24!AB35+MVTJUIN24!AB35+MVTJUIL24!AB35+MVTAOUT24!AB35+MVTSEPT24!AB35+MVTOCT24!AB35+MVTNOV24!AB35+MVTDEC24!AB35</f>
        <v>0</v>
      </c>
      <c r="AC36" s="36">
        <f>MVTJANV24!AC35+MVTFEV24!AC35+MVTMARS24!AC35+MVTAVRIL24!AC35+MVTMAI24!AC35+MVTJUIN24!AC35+MVTJUIL24!AC35+MVTAOUT24!AC35+MVTSEPT24!AC35+MVTOCT24!AC35+MVTNOV24!AC35+MVTDEC24!AC35</f>
        <v>0</v>
      </c>
      <c r="AD36" s="36">
        <f>MVTJANV24!AD35+MVTFEV24!AD35+MVTMARS24!AD35+MVTAVRIL24!AD35+MVTMAI24!AD35+MVTJUIN24!AD35+MVTJUIL24!AD35+MVTAOUT24!AD35+MVTSEPT24!AD35+MVTOCT24!AD35+MVTNOV24!AD35+MVTDEC24!AD35</f>
        <v>0</v>
      </c>
      <c r="AE36" s="36">
        <f>MVTJANV24!AE35+MVTFEV24!AE35+MVTMARS24!AE35+MVTAVRIL24!AE35+MVTMAI24!AE35+MVTJUIN24!AE35+MVTJUIL24!AE35+MVTAOUT24!AE35+MVTSEPT24!AE35+MVTOCT24!AE35+MVTNOV24!AE35+MVTDEC24!AE35</f>
        <v>0</v>
      </c>
      <c r="AF36" s="36">
        <f>MVTJANV24!AF35+MVTFEV24!AF35+MVTMARS24!AF35+MVTAVRIL24!AF35+MVTMAI24!AF35+MVTJUIN24!AF35+MVTJUIL24!AF35+MVTAOUT24!AF35+MVTSEPT24!AF35+MVTOCT24!AF35+MVTNOV24!AF35+MVTDEC24!AF35</f>
        <v>0</v>
      </c>
      <c r="AG36" s="36">
        <f>MVTJANV24!AG35+MVTFEV24!AG35+MVTMARS24!AG35+MVTAVRIL24!AG35+MVTMAI24!AG35+MVTJUIN24!AG35+MVTJUIL24!AG35+MVTAOUT24!AG35+MVTSEPT24!AG35+MVTOCT24!AG35+MVTNOV24!AG35+MVTDEC24!AG35</f>
        <v>0</v>
      </c>
      <c r="AH36" s="36">
        <f>MVTJANV24!AH35+MVTFEV24!AH35+MVTMARS24!AH35+MVTAVRIL24!AH35+MVTMAI24!AH35+MVTJUIN24!AH35+MVTJUIL24!AH35+MVTAOUT24!AH35+MVTSEPT24!AH35+MVTOCT24!AH35+MVTNOV24!AH35+MVTDEC24!AH35</f>
        <v>0</v>
      </c>
      <c r="AI36" s="36">
        <f>MVTJANV24!AI35+MVTFEV24!AI35+MVTMARS24!AI35+MVTAVRIL24!AI35+MVTMAI24!AI35+MVTJUIN24!AI35+MVTJUIL24!AI35+MVTAOUT24!AI35+MVTSEPT24!AI35+MVTOCT24!AI35+MVTNOV24!AI35+MVTDEC24!AI35</f>
        <v>0</v>
      </c>
      <c r="AJ36" s="36">
        <f>MVTJANV24!AJ35+MVTFEV24!AJ35+MVTMARS24!AJ35+MVTAVRIL24!AJ35+MVTMAI24!AJ35+MVTJUIN24!AJ35+MVTJUIL24!AJ35+MVTAOUT24!AJ35+MVTSEPT24!AJ35+MVTOCT24!AJ35+MVTNOV24!AJ35+MVTDEC24!AJ35</f>
        <v>0</v>
      </c>
      <c r="AK36" s="36">
        <f>MVTJANV24!AK35+MVTFEV24!AK35+MVTMARS24!AK35+MVTAVRIL24!AK35+MVTMAI24!AK35+MVTJUIN24!AK35+MVTJUIL24!AK35+MVTAOUT24!AK35+MVTSEPT24!AK35+MVTOCT24!AK35+MVTNOV24!AK35+MVTDEC24!AK35</f>
        <v>0</v>
      </c>
      <c r="AL36" s="143"/>
      <c r="AM36" s="144">
        <f t="shared" si="2"/>
        <v>0</v>
      </c>
      <c r="AN36" s="144"/>
      <c r="AP36" s="36"/>
    </row>
    <row r="37" spans="1:42" ht="15.75" x14ac:dyDescent="0.25">
      <c r="A37" s="1" t="s">
        <v>313</v>
      </c>
      <c r="B37" s="1" t="str">
        <f>VLOOKUP(A37,[19]LISTADHERENT!A$5:H$60,3,0)</f>
        <v>YANTCHOU GERVAIS</v>
      </c>
      <c r="C37" s="36">
        <f>+MVTDEC23!C36</f>
        <v>698024.13813217054</v>
      </c>
      <c r="D37" s="36">
        <f>+MVTDEC23!D36</f>
        <v>0</v>
      </c>
      <c r="E37" s="36">
        <f>VLOOKUP($A37,[24]HISTOJANV24!$A$6:$BA$38,48,0)</f>
        <v>0</v>
      </c>
      <c r="F37" s="36">
        <f>MVTDEC24!F36</f>
        <v>1013599.0818186782</v>
      </c>
      <c r="G37" s="5">
        <f>MVTDEC24!G36</f>
        <v>1013599.0818186782</v>
      </c>
      <c r="H37" s="36">
        <f>MVTDEC23!H36+MVTJANV24!H36+MVTFEV24!H36+MVTMARS24!H36+MVTAVRIL24!H36+MVTMAI24!H36+MVTJUIN24!H36+MVTJUIL24!H36+MVTAOUT24!H36+MVTSEPT24!H36+MVTOCT24!H36+MVTNOV24!H36+MVTDEC24!H36</f>
        <v>47574.943686507613</v>
      </c>
      <c r="I37" s="6">
        <f t="shared" si="0"/>
        <v>1061174.0255051858</v>
      </c>
      <c r="J37" s="36">
        <f>MVTJANV24!J36+MVTFEV24!J36+MVTMARS24!J36+MVTAVRIL24!J36+MVTMAI24!J36+MVTJUIN24!J36+MVTJUIL24!J36+MVTAOUT24!J36+MVTSEPT24!J36+MVTOCT24!J36+MVTNOV24!J36+MVTDEC24!J36</f>
        <v>0</v>
      </c>
      <c r="K37" s="36">
        <f>MVTJANV24!K36+MVTFEV24!K36+MVTMARS24!K36+MVTAVRIL24!K36+MVTMAI24!K36+MVTJUIN24!K36+MVTJUIL24!K36+MVTAOUT24!K36+MVTSEPT24!K36+MVTOCT24!K36+MVTNOV24!K36+MVTDEC24!K36</f>
        <v>340000</v>
      </c>
      <c r="L37" s="36">
        <f>MVTJANV24!L36+MVTFEV24!L36+MVTMARS24!L36+MVTAVRIL24!L36+MVTMAI24!L36+MVTJUIN24!L36+MVTJUIL24!L36+MVTAOUT24!L36+MVTSEPT24!L36+MVTOCT24!L36+MVTNOV24!L36+MVTDEC24!L36</f>
        <v>268000</v>
      </c>
      <c r="M37" s="36">
        <f>MVTJANV24!M36+MVTFEV24!M36+MVTMARS24!M36+MVTAVRIL24!M36+MVTMAI24!M36+MVTJUIN24!M36+MVTJUIL24!M36+MVTAOUT24!M36+MVTSEPT24!M36+MVTOCT24!M36+MVTNOV24!M36+MVTDEC24!M36</f>
        <v>12000</v>
      </c>
      <c r="N37" s="36">
        <f>MVTJANV24!N36+MVTFEV24!N36+MVTMARS24!N36+MVTAVRIL24!N36+MVTMAI24!N36+MVTJUIN24!N36+MVTJUIL24!N36+MVTAOUT24!N36+MVTSEPT24!N36+MVTOCT24!N36+MVTNOV24!N36+MVTDEC24!N36</f>
        <v>12000</v>
      </c>
      <c r="O37" s="36">
        <f>MVTJANV24!O36+MVTFEV24!O36+MVTMARS24!O36+MVTAVRIL24!O36+MVTMAI24!O36+MVTJUIN24!O36+MVTJUIL24!O36+MVTAOUT24!O36+MVTSEPT24!O36+MVTOCT24!O36+MVTNOV24!O36+MVTDEC24!O36</f>
        <v>48000</v>
      </c>
      <c r="P37" s="36">
        <f>MVTJANV24!P36+MVTFEV24!P36+MVTMARS24!P36+MVTAVRIL24!P36+MVTMAI24!P36+MVTJUIN24!P36+MVTJUIL24!P36+MVTAOUT24!P36+MVTSEPT24!P36+MVTOCT24!P36+MVTNOV24!P36+MVTDEC24!P36</f>
        <v>0</v>
      </c>
      <c r="Q37" s="36">
        <f>MVTJANV24!Q36+MVTFEV24!Q36+MVTMARS24!Q36+MVTAVRIL24!Q36+MVTMAI24!Q36+MVTJUIN24!Q36+MVTJUIL24!Q36+MVTAOUT24!Q36+MVTSEPT24!Q36+MVTOCT24!Q36+MVTNOV24!Q36+MVTDEC24!Q36</f>
        <v>0</v>
      </c>
      <c r="R37" s="36">
        <f>MVTJANV24!R36+MVTFEV24!R36+MVTMARS24!R36+MVTAVRIL24!R36+MVTMAI24!R36+MVTJUIN24!R36+MVTJUIL24!R36+MVTAOUT24!R36+MVTSEPT24!R36+MVTOCT24!R36+MVTNOV24!R36+MVTDEC24!R36</f>
        <v>0</v>
      </c>
      <c r="S37" s="36">
        <f>MVTDEC23!S36+MVTJANV24!S36+MVTFEV24!S36+MVTMARS24!S36+MVTAVRIL24!S36+MVTMAI24!S36+MVTJUIN24!S36+MVTJUIL24!S36+MVTAOUT24!S36+MVTSEPT24!S36+MVTOCT24!S36+MVTNOV24!S36+MVTDEC24!S36</f>
        <v>700000</v>
      </c>
      <c r="T37" s="36">
        <f>MVTDEC23!T36+MVTJANV24!T36+MVTFEV24!T36+MVTMARS24!T36+MVTAVRIL24!T36+MVTMAI24!T36+MVTJUIN24!T36+MVTJUIL24!T36+MVTAOUT24!T36+MVTSEPT24!T36+MVTOCT24!T36+MVTNOV24!T36+MVTDEC24!T36</f>
        <v>84000</v>
      </c>
      <c r="U37" s="36"/>
      <c r="V37" s="36">
        <f>MVTJANV24!V36+MVTFEV24!V36+MVTMARS24!V36+MVTAVRIL24!V36+MVTMAI24!V36+MVTJUIN24!V36+MVTJUIL24!V36+MVTAOUT24!V36+MVTSEPT24!V36+MVTOCT24!V36+MVTNOV24!V36+MVTDEC24!V36</f>
        <v>0</v>
      </c>
      <c r="W37" s="36">
        <f t="shared" si="1"/>
        <v>700000</v>
      </c>
      <c r="X37" s="36"/>
      <c r="Y37" s="36"/>
      <c r="Z37" s="36">
        <f>MVTJANV24!Z36+MVTFEV24!Z36+MVTMARS24!Z36+MVTAVRIL24!Z36+MVTMAI24!Z36+MVTJUIN24!Z36+MVTJUIL24!Z36+MVTAOUT24!Z36+MVTSEPT24!Z36+MVTOCT24!Z36+MVTNOV24!Z36+MVTDEC24!Z36</f>
        <v>0</v>
      </c>
      <c r="AA37" s="36">
        <f>MVTJANV24!AA36+MVTFEV24!AA36+MVTMARS24!AA36+MVTAVRIL24!AA36+MVTMAI24!AA36+MVTJUIN24!AA36+MVTJUIL24!AA36+MVTAOUT24!AA36+MVTSEPT24!AA36+MVTOCT24!AA36+MVTNOV24!AA36+MVTDEC24!AA36</f>
        <v>0</v>
      </c>
      <c r="AB37" s="36">
        <f>MVTJANV24!AB36+MVTFEV24!AB36+MVTMARS24!AB36+MVTAVRIL24!AB36+MVTMAI24!AB36+MVTJUIN24!AB36+MVTJUIL24!AB36+MVTAOUT24!AB36+MVTSEPT24!AB36+MVTOCT24!AB36+MVTNOV24!AB36+MVTDEC24!AB36</f>
        <v>0</v>
      </c>
      <c r="AC37" s="36">
        <f>MVTJANV24!AC36+MVTFEV24!AC36+MVTMARS24!AC36+MVTAVRIL24!AC36+MVTMAI24!AC36+MVTJUIN24!AC36+MVTJUIL24!AC36+MVTAOUT24!AC36+MVTSEPT24!AC36+MVTOCT24!AC36+MVTNOV24!AC36+MVTDEC24!AC36</f>
        <v>0</v>
      </c>
      <c r="AD37" s="36">
        <f>MVTJANV24!AD36+MVTFEV24!AD36+MVTMARS24!AD36+MVTAVRIL24!AD36+MVTMAI24!AD36+MVTJUIN24!AD36+MVTJUIL24!AD36+MVTAOUT24!AD36+MVTSEPT24!AD36+MVTOCT24!AD36+MVTNOV24!AD36+MVTDEC24!AD36</f>
        <v>0</v>
      </c>
      <c r="AE37" s="36">
        <f>MVTJANV24!AE36+MVTFEV24!AE36+MVTMARS24!AE36+MVTAVRIL24!AE36+MVTMAI24!AE36+MVTJUIN24!AE36+MVTJUIL24!AE36+MVTAOUT24!AE36+MVTSEPT24!AE36+MVTOCT24!AE36+MVTNOV24!AE36+MVTDEC24!AE36</f>
        <v>0</v>
      </c>
      <c r="AF37" s="36">
        <f>MVTJANV24!AF36+MVTFEV24!AF36+MVTMARS24!AF36+MVTAVRIL24!AF36+MVTMAI24!AF36+MVTJUIN24!AF36+MVTJUIL24!AF36+MVTAOUT24!AF36+MVTSEPT24!AF36+MVTOCT24!AF36+MVTNOV24!AF36+MVTDEC24!AF36</f>
        <v>0</v>
      </c>
      <c r="AG37" s="36">
        <f>MVTJANV24!AG36+MVTFEV24!AG36+MVTMARS24!AG36+MVTAVRIL24!AG36+MVTMAI24!AG36+MVTJUIN24!AG36+MVTJUIL24!AG36+MVTAOUT24!AG36+MVTSEPT24!AG36+MVTOCT24!AG36+MVTNOV24!AG36+MVTDEC24!AG36</f>
        <v>0</v>
      </c>
      <c r="AH37" s="36">
        <f>MVTJANV24!AH36+MVTFEV24!AH36+MVTMARS24!AH36+MVTAVRIL24!AH36+MVTMAI24!AH36+MVTJUIN24!AH36+MVTJUIL24!AH36+MVTAOUT24!AH36+MVTSEPT24!AH36+MVTOCT24!AH36+MVTNOV24!AH36+MVTDEC24!AH36</f>
        <v>0</v>
      </c>
      <c r="AI37" s="36">
        <f>MVTJANV24!AI36+MVTFEV24!AI36+MVTMARS24!AI36+MVTAVRIL24!AI36+MVTMAI24!AI36+MVTJUIN24!AI36+MVTJUIL24!AI36+MVTAOUT24!AI36+MVTSEPT24!AI36+MVTOCT24!AI36+MVTNOV24!AI36+MVTDEC24!AI36</f>
        <v>0</v>
      </c>
      <c r="AJ37" s="36">
        <f>MVTJANV24!AJ36+MVTFEV24!AJ36+MVTMARS24!AJ36+MVTAVRIL24!AJ36+MVTMAI24!AJ36+MVTJUIN24!AJ36+MVTJUIL24!AJ36+MVTAOUT24!AJ36+MVTSEPT24!AJ36+MVTOCT24!AJ36+MVTNOV24!AJ36+MVTDEC24!AJ36</f>
        <v>0</v>
      </c>
      <c r="AK37" s="36">
        <f>MVTJANV24!AK36+MVTFEV24!AK36+MVTMARS24!AK36+MVTAVRIL24!AK36+MVTMAI24!AK36+MVTJUIN24!AK36+MVTJUIL24!AK36+MVTAOUT24!AK36+MVTSEPT24!AK36+MVTOCT24!AK36+MVTNOV24!AK36+MVTDEC24!AK36</f>
        <v>0</v>
      </c>
      <c r="AL37" s="143">
        <v>45474</v>
      </c>
      <c r="AM37" s="144">
        <f t="shared" si="2"/>
        <v>84000</v>
      </c>
      <c r="AN37" s="144"/>
      <c r="AP37" s="36"/>
    </row>
    <row r="38" spans="1:42" ht="15.75" x14ac:dyDescent="0.25">
      <c r="A38" s="1" t="s">
        <v>55</v>
      </c>
      <c r="B38" s="1" t="str">
        <f>VLOOKUP(A38,[19]LISTADHERENT!A$5:H$60,3,0)</f>
        <v>YEPMOU JEAN JACQUES</v>
      </c>
      <c r="C38" s="36">
        <f>+MVTDEC23!C37</f>
        <v>700000</v>
      </c>
      <c r="D38" s="36">
        <f>+MVTDEC23!D37</f>
        <v>1003326.8477058813</v>
      </c>
      <c r="E38" s="36">
        <f>VLOOKUP($A38,[24]HISTOJANV24!$A$6:$BA$38,48,0)</f>
        <v>0</v>
      </c>
      <c r="F38" s="36">
        <f>MVTDEC24!F37</f>
        <v>2046400.7147676253</v>
      </c>
      <c r="G38" s="5">
        <f>MVTDEC24!G37</f>
        <v>2046400.7147676253</v>
      </c>
      <c r="H38" s="36">
        <f>MVTDEC23!H37+MVTJANV24!H37+MVTFEV24!H37+MVTMARS24!H37+MVTAVRIL24!H37+MVTMAI24!H37+MVTJUIN24!H37+MVTJUIL24!H37+MVTAOUT24!H37+MVTSEPT24!H37+MVTOCT24!H37+MVTNOV24!H37+MVTDEC24!H37</f>
        <v>115073.86706174383</v>
      </c>
      <c r="I38" s="6">
        <f t="shared" si="0"/>
        <v>2161474.5818293691</v>
      </c>
      <c r="J38" s="36">
        <f>MVTJANV24!J37+MVTFEV24!J37+MVTMARS24!J37+MVTAVRIL24!J37+MVTMAI24!J37+MVTJUIN24!J37+MVTJUIL24!J37+MVTAOUT24!J37+MVTSEPT24!J37+MVTOCT24!J37+MVTNOV24!J37+MVTDEC24!J37</f>
        <v>0</v>
      </c>
      <c r="K38" s="36">
        <f>MVTJANV24!K37+MVTFEV24!K37+MVTMARS24!K37+MVTAVRIL24!K37+MVTMAI24!K37+MVTJUIN24!K37+MVTJUIL24!K37+MVTAOUT24!K37+MVTSEPT24!K37+MVTOCT24!K37+MVTNOV24!K37+MVTDEC24!K37</f>
        <v>300000</v>
      </c>
      <c r="L38" s="36">
        <f>MVTJANV24!L37+MVTFEV24!L37+MVTMARS24!L37+MVTAVRIL24!L37+MVTMAI24!L37+MVTJUIN24!L37+MVTJUIL24!L37+MVTAOUT24!L37+MVTSEPT24!L37+MVTOCT24!L37+MVTNOV24!L37+MVTDEC24!L37</f>
        <v>228000</v>
      </c>
      <c r="M38" s="36">
        <f>MVTJANV24!M37+MVTFEV24!M37+MVTMARS24!M37+MVTAVRIL24!M37+MVTMAI24!M37+MVTJUIN24!M37+MVTJUIL24!M37+MVTAOUT24!M37+MVTSEPT24!M37+MVTOCT24!M37+MVTNOV24!M37+MVTDEC24!M37</f>
        <v>12000</v>
      </c>
      <c r="N38" s="36">
        <f>MVTJANV24!N37+MVTFEV24!N37+MVTMARS24!N37+MVTAVRIL24!N37+MVTMAI24!N37+MVTJUIN24!N37+MVTJUIL24!N37+MVTAOUT24!N37+MVTSEPT24!N37+MVTOCT24!N37+MVTNOV24!N37+MVTDEC24!N37</f>
        <v>12000</v>
      </c>
      <c r="O38" s="36">
        <f>MVTJANV24!O37+MVTFEV24!O37+MVTMARS24!O37+MVTAVRIL24!O37+MVTMAI24!O37+MVTJUIN24!O37+MVTJUIL24!O37+MVTAOUT24!O37+MVTSEPT24!O37+MVTOCT24!O37+MVTNOV24!O37+MVTDEC24!O37</f>
        <v>48000</v>
      </c>
      <c r="P38" s="36">
        <f>MVTJANV24!P37+MVTFEV24!P37+MVTMARS24!P37+MVTAVRIL24!P37+MVTMAI24!P37+MVTJUIN24!P37+MVTJUIL24!P37+MVTAOUT24!P37+MVTSEPT24!P37+MVTOCT24!P37+MVTNOV24!P37+MVTDEC24!P37</f>
        <v>27000</v>
      </c>
      <c r="Q38" s="36">
        <f>MVTJANV24!Q37+MVTFEV24!Q37+MVTMARS24!Q37+MVTAVRIL24!Q37+MVTMAI24!Q37+MVTJUIN24!Q37+MVTJUIL24!Q37+MVTAOUT24!Q37+MVTSEPT24!Q37+MVTOCT24!Q37+MVTNOV24!Q37+MVTDEC24!Q37</f>
        <v>0</v>
      </c>
      <c r="R38" s="36">
        <f>MVTJANV24!R37+MVTFEV24!R37+MVTMARS24!R37+MVTAVRIL24!R37+MVTMAI24!R37+MVTJUIN24!R37+MVTJUIL24!R37+MVTAOUT24!R37+MVTSEPT24!R37+MVTOCT24!R37+MVTNOV24!R37+MVTDEC24!R37</f>
        <v>0</v>
      </c>
      <c r="S38" s="36">
        <f>MVTDEC23!S37+MVTJANV24!S37+MVTFEV24!S37+MVTMARS24!S37+MVTAVRIL24!S37+MVTMAI24!S37+MVTJUIN24!S37+MVTJUIL24!S37+MVTAOUT24!S37+MVTSEPT24!S37+MVTOCT24!S37+MVTNOV24!S37+MVTDEC24!S37</f>
        <v>0</v>
      </c>
      <c r="T38" s="36">
        <f>MVTDEC23!T37+MVTJANV24!T37+MVTFEV24!T37+MVTMARS24!T37+MVTAVRIL24!T37+MVTMAI24!T37+MVTJUIN24!T37+MVTJUIL24!T37+MVTAOUT24!T37+MVTSEPT24!T37+MVTOCT24!T37+MVTNOV24!T37+MVTDEC24!T37</f>
        <v>0</v>
      </c>
      <c r="U38" s="36"/>
      <c r="V38" s="36">
        <f>MVTJANV24!V37+MVTFEV24!V37+MVTMARS24!V37+MVTAVRIL24!V37+MVTMAI24!V37+MVTJUIN24!V37+MVTJUIL24!V37+MVTAOUT24!V37+MVTSEPT24!V37+MVTOCT24!V37+MVTNOV24!V37+MVTDEC24!V37</f>
        <v>0</v>
      </c>
      <c r="W38" s="36">
        <f t="shared" si="1"/>
        <v>0</v>
      </c>
      <c r="X38" s="36"/>
      <c r="Y38" s="36"/>
      <c r="Z38" s="36">
        <f>MVTJANV24!Z37+MVTFEV24!Z37+MVTMARS24!Z37+MVTAVRIL24!Z37+MVTMAI24!Z37+MVTJUIN24!Z37+MVTJUIL24!Z37+MVTAOUT24!Z37+MVTSEPT24!Z37+MVTOCT24!Z37+MVTNOV24!Z37+MVTDEC24!Z37</f>
        <v>0</v>
      </c>
      <c r="AA38" s="36">
        <f>MVTJANV24!AA37+MVTFEV24!AA37+MVTMARS24!AA37+MVTAVRIL24!AA37+MVTMAI24!AA37+MVTJUIN24!AA37+MVTJUIL24!AA37+MVTAOUT24!AA37+MVTSEPT24!AA37+MVTOCT24!AA37+MVTNOV24!AA37+MVTDEC24!AA37</f>
        <v>0</v>
      </c>
      <c r="AB38" s="36">
        <f>MVTJANV24!AB37+MVTFEV24!AB37+MVTMARS24!AB37+MVTAVRIL24!AB37+MVTMAI24!AB37+MVTJUIN24!AB37+MVTJUIL24!AB37+MVTAOUT24!AB37+MVTSEPT24!AB37+MVTOCT24!AB37+MVTNOV24!AB37+MVTDEC24!AB37</f>
        <v>0</v>
      </c>
      <c r="AC38" s="36">
        <f>MVTJANV24!AC37+MVTFEV24!AC37+MVTMARS24!AC37+MVTAVRIL24!AC37+MVTMAI24!AC37+MVTJUIN24!AC37+MVTJUIL24!AC37+MVTAOUT24!AC37+MVTSEPT24!AC37+MVTOCT24!AC37+MVTNOV24!AC37+MVTDEC24!AC37</f>
        <v>0</v>
      </c>
      <c r="AD38" s="36">
        <f>MVTJANV24!AD37+MVTFEV24!AD37+MVTMARS24!AD37+MVTAVRIL24!AD37+MVTMAI24!AD37+MVTJUIN24!AD37+MVTJUIL24!AD37+MVTAOUT24!AD37+MVTSEPT24!AD37+MVTOCT24!AD37+MVTNOV24!AD37+MVTDEC24!AD37</f>
        <v>0</v>
      </c>
      <c r="AE38" s="36">
        <f>MVTJANV24!AE37+MVTFEV24!AE37+MVTMARS24!AE37+MVTAVRIL24!AE37+MVTMAI24!AE37+MVTJUIN24!AE37+MVTJUIL24!AE37+MVTAOUT24!AE37+MVTSEPT24!AE37+MVTOCT24!AE37+MVTNOV24!AE37+MVTDEC24!AE37</f>
        <v>0</v>
      </c>
      <c r="AF38" s="36">
        <f>MVTJANV24!AF37+MVTFEV24!AF37+MVTMARS24!AF37+MVTAVRIL24!AF37+MVTMAI24!AF37+MVTJUIN24!AF37+MVTJUIL24!AF37+MVTAOUT24!AF37+MVTSEPT24!AF37+MVTOCT24!AF37+MVTNOV24!AF37+MVTDEC24!AF37</f>
        <v>0</v>
      </c>
      <c r="AG38" s="36">
        <f>MVTJANV24!AG37+MVTFEV24!AG37+MVTMARS24!AG37+MVTAVRIL24!AG37+MVTMAI24!AG37+MVTJUIN24!AG37+MVTJUIL24!AG37+MVTAOUT24!AG37+MVTSEPT24!AG37+MVTOCT24!AG37+MVTNOV24!AG37+MVTDEC24!AG37</f>
        <v>0</v>
      </c>
      <c r="AH38" s="36">
        <f>MVTJANV24!AH37+MVTFEV24!AH37+MVTMARS24!AH37+MVTAVRIL24!AH37+MVTMAI24!AH37+MVTJUIN24!AH37+MVTJUIL24!AH37+MVTAOUT24!AH37+MVTSEPT24!AH37+MVTOCT24!AH37+MVTNOV24!AH37+MVTDEC24!AH37</f>
        <v>0</v>
      </c>
      <c r="AI38" s="36">
        <f>MVTJANV24!AI37+MVTFEV24!AI37+MVTMARS24!AI37+MVTAVRIL24!AI37+MVTMAI24!AI37+MVTJUIN24!AI37+MVTJUIL24!AI37+MVTAOUT24!AI37+MVTSEPT24!AI37+MVTOCT24!AI37+MVTNOV24!AI37+MVTDEC24!AI37</f>
        <v>0</v>
      </c>
      <c r="AJ38" s="36">
        <f>MVTJANV24!AJ37+MVTFEV24!AJ37+MVTMARS24!AJ37+MVTAVRIL24!AJ37+MVTMAI24!AJ37+MVTJUIN24!AJ37+MVTJUIL24!AJ37+MVTAOUT24!AJ37+MVTSEPT24!AJ37+MVTOCT24!AJ37+MVTNOV24!AJ37+MVTDEC24!AJ37</f>
        <v>0</v>
      </c>
      <c r="AK38" s="36">
        <f>MVTJANV24!AK37+MVTFEV24!AK37+MVTMARS24!AK37+MVTAVRIL24!AK37+MVTMAI24!AK37+MVTJUIN24!AK37+MVTJUIL24!AK37+MVTAOUT24!AK37+MVTSEPT24!AK37+MVTOCT24!AK37+MVTNOV24!AK37+MVTDEC24!AK37</f>
        <v>0</v>
      </c>
      <c r="AL38" s="36"/>
      <c r="AM38" s="144">
        <f t="shared" si="2"/>
        <v>0</v>
      </c>
      <c r="AN38" s="36"/>
      <c r="AO38" s="36"/>
      <c r="AP38" s="36"/>
    </row>
    <row r="39" spans="1:42" ht="15.75" x14ac:dyDescent="0.25">
      <c r="A39" s="1" t="s">
        <v>329</v>
      </c>
      <c r="B39" s="1" t="str">
        <f>VLOOKUP(A39,[19]LISTADHERENT!A$5:H$60,3,0)</f>
        <v>YIALA ALAIN OSCAR</v>
      </c>
      <c r="C39" s="36">
        <f>+MVTDEC23!C38</f>
        <v>0</v>
      </c>
      <c r="D39" s="36">
        <f>+MVTDEC23!D38</f>
        <v>0</v>
      </c>
      <c r="E39" s="36">
        <f>VLOOKUP($A39,[24]HISTOJANV24!$A$6:$BA$38,48,0)</f>
        <v>0</v>
      </c>
      <c r="F39" s="36">
        <f>MVTDEC24!F38</f>
        <v>228000</v>
      </c>
      <c r="G39" s="5">
        <f>MVTDEC24!G38</f>
        <v>0</v>
      </c>
      <c r="H39" s="36">
        <f>MVTDEC23!H38+MVTJANV24!H38+MVTFEV24!H38+MVTMARS24!H38+MVTAVRIL24!H38+MVTMAI24!H38+MVTJUIN24!H38+MVTJUIL24!H38+MVTAOUT24!H38+MVTSEPT24!H38+MVTOCT24!H38+MVTNOV24!H38+MVTDEC24!H38</f>
        <v>0</v>
      </c>
      <c r="I39" s="6">
        <f t="shared" si="0"/>
        <v>228000</v>
      </c>
      <c r="J39" s="36">
        <f>MVTJANV24!J38+MVTFEV24!J38+MVTMARS24!J38+MVTAVRIL24!J38+MVTMAI24!J38+MVTJUIN24!J38+MVTJUIL24!J38+MVTAOUT24!J38+MVTSEPT24!J38+MVTOCT24!J38+MVTNOV24!J38+MVTDEC24!J38</f>
        <v>0</v>
      </c>
      <c r="K39" s="36">
        <f>MVTJANV24!K38+MVTFEV24!K38+MVTMARS24!K38+MVTAVRIL24!K38+MVTMAI24!K38+MVTJUIN24!K38+MVTJUIL24!K38+MVTAOUT24!K38+MVTSEPT24!K38+MVTOCT24!K38+MVTNOV24!K38+MVTDEC24!K38</f>
        <v>300000</v>
      </c>
      <c r="L39" s="36">
        <f>MVTJANV24!L38+MVTFEV24!L38+MVTMARS24!L38+MVTAVRIL24!L38+MVTMAI24!L38+MVTJUIN24!L38+MVTJUIL24!L38+MVTAOUT24!L38+MVTSEPT24!L38+MVTOCT24!L38+MVTNOV24!L38+MVTDEC24!L38</f>
        <v>228000</v>
      </c>
      <c r="M39" s="36">
        <f>MVTJANV24!M38+MVTFEV24!M38+MVTMARS24!M38+MVTAVRIL24!M38+MVTMAI24!M38+MVTJUIN24!M38+MVTJUIL24!M38+MVTAOUT24!M38+MVTSEPT24!M38+MVTOCT24!M38+MVTNOV24!M38+MVTDEC24!M38</f>
        <v>12000</v>
      </c>
      <c r="N39" s="36">
        <f>MVTJANV24!N38+MVTFEV24!N38+MVTMARS24!N38+MVTAVRIL24!N38+MVTMAI24!N38+MVTJUIN24!N38+MVTJUIL24!N38+MVTAOUT24!N38+MVTSEPT24!N38+MVTOCT24!N38+MVTNOV24!N38+MVTDEC24!N38</f>
        <v>12000</v>
      </c>
      <c r="O39" s="36">
        <f>MVTJANV24!O38+MVTFEV24!O38+MVTMARS24!O38+MVTAVRIL24!O38+MVTMAI24!O38+MVTJUIN24!O38+MVTJUIL24!O38+MVTAOUT24!O38+MVTSEPT24!O38+MVTOCT24!O38+MVTNOV24!O38+MVTDEC24!O38</f>
        <v>48000</v>
      </c>
      <c r="P39" s="36">
        <f>MVTJANV24!P38+MVTFEV24!P38+MVTMARS24!P38+MVTAVRIL24!P38+MVTMAI24!P38+MVTJUIN24!P38+MVTJUIL24!P38+MVTAOUT24!P38+MVTSEPT24!P38+MVTOCT24!P38+MVTNOV24!P38+MVTDEC24!P38</f>
        <v>6000</v>
      </c>
      <c r="Q39" s="36">
        <f>MVTJANV24!Q38+MVTFEV24!Q38+MVTMARS24!Q38+MVTAVRIL24!Q38+MVTMAI24!Q38+MVTJUIN24!Q38+MVTJUIL24!Q38+MVTAOUT24!Q38+MVTSEPT24!Q38+MVTOCT24!Q38+MVTNOV24!Q38+MVTDEC24!Q38</f>
        <v>25000</v>
      </c>
      <c r="R39" s="36">
        <f>MVTJANV24!R38+MVTFEV24!R38+MVTMARS24!R38+MVTAVRIL24!R38+MVTMAI24!R38+MVTJUIN24!R38+MVTJUIL24!R38+MVTAOUT24!R38+MVTSEPT24!R38+MVTOCT24!R38+MVTNOV24!R38+MVTDEC24!R38</f>
        <v>0</v>
      </c>
      <c r="S39" s="36">
        <f>MVTDEC23!S38+MVTJANV24!S38+MVTFEV24!S38+MVTMARS24!S38+MVTAVRIL24!S38+MVTMAI24!S38+MVTJUIN24!S38+MVTJUIL24!S38+MVTAOUT24!S38+MVTSEPT24!S38+MVTOCT24!S38+MVTNOV24!S38+MVTDEC24!S38</f>
        <v>0</v>
      </c>
      <c r="T39" s="36">
        <f>MVTDEC23!T38+MVTJANV24!T38+MVTFEV24!T38+MVTMARS24!T38+MVTAVRIL24!T38+MVTMAI24!T38+MVTJUIN24!T38+MVTJUIL24!T38+MVTAOUT24!T38+MVTSEPT24!T38+MVTOCT24!T38+MVTNOV24!T38+MVTDEC24!T38</f>
        <v>0</v>
      </c>
      <c r="U39" s="36"/>
      <c r="V39" s="36">
        <f>MVTJANV24!V38+MVTFEV24!V38+MVTMARS24!V38+MVTAVRIL24!V38+MVTMAI24!V38+MVTJUIN24!V38+MVTJUIL24!V38+MVTAOUT24!V38+MVTSEPT24!V38+MVTOCT24!V38+MVTNOV24!V38+MVTDEC24!V38</f>
        <v>0</v>
      </c>
      <c r="W39" s="36">
        <f t="shared" si="1"/>
        <v>0</v>
      </c>
      <c r="X39" s="36"/>
      <c r="Y39" s="36"/>
      <c r="Z39" s="36">
        <f>MVTJANV24!Z38+MVTFEV24!Z38+MVTMARS24!Z38+MVTAVRIL24!Z38+MVTMAI24!Z38+MVTJUIN24!Z38+MVTJUIL24!Z38+MVTAOUT24!Z38+MVTSEPT24!Z38+MVTOCT24!Z38+MVTNOV24!Z38+MVTDEC24!Z38</f>
        <v>0</v>
      </c>
      <c r="AA39" s="36">
        <f>MVTJANV24!AA38+MVTFEV24!AA38+MVTMARS24!AA38+MVTAVRIL24!AA38+MVTMAI24!AA38+MVTJUIN24!AA38+MVTJUIL24!AA38+MVTAOUT24!AA38+MVTSEPT24!AA38+MVTOCT24!AA38+MVTNOV24!AA38+MVTDEC24!AA38</f>
        <v>0</v>
      </c>
      <c r="AB39" s="36">
        <f>MVTJANV24!AB38+MVTFEV24!AB38+MVTMARS24!AB38+MVTAVRIL24!AB38+MVTMAI24!AB38+MVTJUIN24!AB38+MVTJUIL24!AB38+MVTAOUT24!AB38+MVTSEPT24!AB38+MVTOCT24!AB38+MVTNOV24!AB38+MVTDEC24!AB38</f>
        <v>0</v>
      </c>
      <c r="AC39" s="36">
        <f>MVTJANV24!AC38+MVTFEV24!AC38+MVTMARS24!AC38+MVTAVRIL24!AC38+MVTMAI24!AC38+MVTJUIN24!AC38+MVTJUIL24!AC38+MVTAOUT24!AC38+MVTSEPT24!AC38+MVTOCT24!AC38+MVTNOV24!AC38+MVTDEC24!AC38</f>
        <v>0</v>
      </c>
      <c r="AD39" s="36">
        <f>MVTJANV24!AD38+MVTFEV24!AD38+MVTMARS24!AD38+MVTAVRIL24!AD38+MVTMAI24!AD38+MVTJUIN24!AD38+MVTJUIL24!AD38+MVTAOUT24!AD38+MVTSEPT24!AD38+MVTOCT24!AD38+MVTNOV24!AD38+MVTDEC24!AD38</f>
        <v>0</v>
      </c>
      <c r="AE39" s="36">
        <f>MVTJANV24!AE38+MVTFEV24!AE38+MVTMARS24!AE38+MVTAVRIL24!AE38+MVTMAI24!AE38+MVTJUIN24!AE38+MVTJUIL24!AE38+MVTAOUT24!AE38+MVTSEPT24!AE38+MVTOCT24!AE38+MVTNOV24!AE38+MVTDEC24!AE38</f>
        <v>0</v>
      </c>
      <c r="AF39" s="36">
        <f>MVTJANV24!AF38+MVTFEV24!AF38+MVTMARS24!AF38+MVTAVRIL24!AF38+MVTMAI24!AF38+MVTJUIN24!AF38+MVTJUIL24!AF38+MVTAOUT24!AF38+MVTSEPT24!AF38+MVTOCT24!AF38+MVTNOV24!AF38+MVTDEC24!AF38</f>
        <v>0</v>
      </c>
      <c r="AG39" s="36">
        <f>MVTJANV24!AG38+MVTFEV24!AG38+MVTMARS24!AG38+MVTAVRIL24!AG38+MVTMAI24!AG38+MVTJUIN24!AG38+MVTJUIL24!AG38+MVTAOUT24!AG38+MVTSEPT24!AG38+MVTOCT24!AG38+MVTNOV24!AG38+MVTDEC24!AG38</f>
        <v>0</v>
      </c>
      <c r="AH39" s="36">
        <f>MVTJANV24!AH38+MVTFEV24!AH38+MVTMARS24!AH38+MVTAVRIL24!AH38+MVTMAI24!AH38+MVTJUIN24!AH38+MVTJUIL24!AH38+MVTAOUT24!AH38+MVTSEPT24!AH38+MVTOCT24!AH38+MVTNOV24!AH38+MVTDEC24!AH38</f>
        <v>0</v>
      </c>
      <c r="AI39" s="36">
        <f>MVTJANV24!AI38+MVTFEV24!AI38+MVTMARS24!AI38+MVTAVRIL24!AI38+MVTMAI24!AI38+MVTJUIN24!AI38+MVTJUIL24!AI38+MVTAOUT24!AI38+MVTSEPT24!AI38+MVTOCT24!AI38+MVTNOV24!AI38+MVTDEC24!AI38</f>
        <v>0</v>
      </c>
      <c r="AJ39" s="36">
        <f>MVTJANV24!AJ38+MVTFEV24!AJ38+MVTMARS24!AJ38+MVTAVRIL24!AJ38+MVTMAI24!AJ38+MVTJUIN24!AJ38+MVTJUIL24!AJ38+MVTAOUT24!AJ38+MVTSEPT24!AJ38+MVTOCT24!AJ38+MVTNOV24!AJ38+MVTDEC24!AJ38</f>
        <v>0</v>
      </c>
      <c r="AK39" s="36">
        <f>MVTJANV24!AK38+MVTFEV24!AK38+MVTMARS24!AK38+MVTAVRIL24!AK38+MVTMAI24!AK38+MVTJUIN24!AK38+MVTJUIL24!AK38+MVTAOUT24!AK38+MVTSEPT24!AK38+MVTOCT24!AK38+MVTNOV24!AK38+MVTDEC24!AK38</f>
        <v>0</v>
      </c>
      <c r="AM39" s="144">
        <f t="shared" si="2"/>
        <v>0</v>
      </c>
    </row>
    <row r="40" spans="1:42" ht="15.75" x14ac:dyDescent="0.25">
      <c r="A40" s="1" t="s">
        <v>56</v>
      </c>
      <c r="B40" s="1" t="str">
        <f>VLOOKUP(A40,[19]LISTADHERENT!A$5:H$60,3,0)</f>
        <v>YOUMBI EMMANUEL</v>
      </c>
      <c r="C40" s="36">
        <f>+MVTDEC23!C39</f>
        <v>700000</v>
      </c>
      <c r="D40" s="36">
        <f>+MVTDEC23!D39</f>
        <v>1157834.9698456018</v>
      </c>
      <c r="E40" s="36">
        <f>VLOOKUP($A40,[24]HISTOJANV24!$A$6:$BA$38,48,0)</f>
        <v>0</v>
      </c>
      <c r="F40" s="36">
        <f>MVTDEC24!F39</f>
        <v>2211313.2142100567</v>
      </c>
      <c r="G40" s="5">
        <f>MVTDEC24!G39</f>
        <v>2211313.2142100567</v>
      </c>
      <c r="H40" s="36">
        <f>MVTDEC23!H39+MVTJANV24!H39+MVTFEV24!H39+MVTMARS24!H39+MVTAVRIL24!H39+MVTMAI24!H39+MVTJUIN24!H39+MVTJUIL24!H39+MVTAOUT24!H39+MVTSEPT24!H39+MVTOCT24!H39+MVTNOV24!H39+MVTDEC24!H39</f>
        <v>125478.24436445507</v>
      </c>
      <c r="I40" s="6">
        <f t="shared" si="0"/>
        <v>2336791.4585745116</v>
      </c>
      <c r="J40" s="36">
        <f>MVTJANV24!J39+MVTFEV24!J39+MVTMARS24!J39+MVTAVRIL24!J39+MVTMAI24!J39+MVTJUIN24!J39+MVTJUIL24!J39+MVTAOUT24!J39+MVTSEPT24!J39+MVTOCT24!J39+MVTNOV24!J39+MVTDEC24!J39</f>
        <v>0</v>
      </c>
      <c r="K40" s="36">
        <f>MVTJANV24!K39+MVTFEV24!K39+MVTMARS24!K39+MVTAVRIL24!K39+MVTMAI24!K39+MVTJUIN24!K39+MVTJUIL24!K39+MVTAOUT24!K39+MVTSEPT24!K39+MVTOCT24!K39+MVTNOV24!K39+MVTDEC24!K39</f>
        <v>300000</v>
      </c>
      <c r="L40" s="36">
        <f>MVTJANV24!L39+MVTFEV24!L39+MVTMARS24!L39+MVTAVRIL24!L39+MVTMAI24!L39+MVTJUIN24!L39+MVTJUIL24!L39+MVTAOUT24!L39+MVTSEPT24!L39+MVTOCT24!L39+MVTNOV24!L39+MVTDEC24!L39</f>
        <v>228000</v>
      </c>
      <c r="M40" s="36">
        <f>MVTJANV24!M39+MVTFEV24!M39+MVTMARS24!M39+MVTAVRIL24!M39+MVTMAI24!M39+MVTJUIN24!M39+MVTJUIL24!M39+MVTAOUT24!M39+MVTSEPT24!M39+MVTOCT24!M39+MVTNOV24!M39+MVTDEC24!M39</f>
        <v>12000</v>
      </c>
      <c r="N40" s="36">
        <f>MVTJANV24!N39+MVTFEV24!N39+MVTMARS24!N39+MVTAVRIL24!N39+MVTMAI24!N39+MVTJUIN24!N39+MVTJUIL24!N39+MVTAOUT24!N39+MVTSEPT24!N39+MVTOCT24!N39+MVTNOV24!N39+MVTDEC24!N39</f>
        <v>12000</v>
      </c>
      <c r="O40" s="36">
        <f>MVTJANV24!O39+MVTFEV24!O39+MVTMARS24!O39+MVTAVRIL24!O39+MVTMAI24!O39+MVTJUIN24!O39+MVTJUIL24!O39+MVTAOUT24!O39+MVTSEPT24!O39+MVTOCT24!O39+MVTNOV24!O39+MVTDEC24!O39</f>
        <v>48000</v>
      </c>
      <c r="P40" s="36">
        <f>MVTJANV24!P39+MVTFEV24!P39+MVTMARS24!P39+MVTAVRIL24!P39+MVTMAI24!P39+MVTJUIN24!P39+MVTJUIL24!P39+MVTAOUT24!P39+MVTSEPT24!P39+MVTOCT24!P39+MVTNOV24!P39+MVTDEC24!P39</f>
        <v>0</v>
      </c>
      <c r="Q40" s="36">
        <f>MVTJANV24!Q39+MVTFEV24!Q39+MVTMARS24!Q39+MVTAVRIL24!Q39+MVTMAI24!Q39+MVTJUIN24!Q39+MVTJUIL24!Q39+MVTAOUT24!Q39+MVTSEPT24!Q39+MVTOCT24!Q39+MVTNOV24!Q39+MVTDEC24!Q39</f>
        <v>0</v>
      </c>
      <c r="R40" s="36">
        <f>MVTJANV24!R39+MVTFEV24!R39+MVTMARS24!R39+MVTAVRIL24!R39+MVTMAI24!R39+MVTJUIN24!R39+MVTJUIL24!R39+MVTAOUT24!R39+MVTSEPT24!R39+MVTOCT24!R39+MVTNOV24!R39+MVTDEC24!R39</f>
        <v>0</v>
      </c>
      <c r="S40" s="36">
        <f>MVTDEC23!S39+MVTJANV24!S39+MVTFEV24!S39+MVTMARS24!S39+MVTAVRIL24!S39+MVTMAI24!S39+MVTJUIN24!S39+MVTJUIL24!S39+MVTAOUT24!S39+MVTSEPT24!S39+MVTOCT24!S39+MVTNOV24!S39+MVTDEC24!S39</f>
        <v>0</v>
      </c>
      <c r="T40" s="36">
        <f>MVTDEC23!T39+MVTJANV24!T39+MVTFEV24!T39+MVTMARS24!T39+MVTAVRIL24!T39+MVTMAI24!T39+MVTJUIN24!T39+MVTJUIL24!T39+MVTAOUT24!T39+MVTSEPT24!T39+MVTOCT24!T39+MVTNOV24!T39+MVTDEC24!T39</f>
        <v>0</v>
      </c>
      <c r="U40" s="36"/>
      <c r="V40" s="36">
        <f>MVTJANV24!V39+MVTFEV24!V39+MVTMARS24!V39+MVTAVRIL24!V39+MVTMAI24!V39+MVTJUIN24!V39+MVTJUIL24!V39+MVTAOUT24!V39+MVTSEPT24!V39+MVTOCT24!V39+MVTNOV24!V39+MVTDEC24!V39</f>
        <v>0</v>
      </c>
      <c r="W40" s="36">
        <f t="shared" si="1"/>
        <v>0</v>
      </c>
      <c r="X40" s="36"/>
      <c r="Y40" s="36"/>
      <c r="Z40" s="36">
        <f>MVTJANV24!Z39+MVTFEV24!Z39+MVTMARS24!Z39+MVTAVRIL24!Z39+MVTMAI24!Z39+MVTJUIN24!Z39+MVTJUIL24!Z39+MVTAOUT24!Z39+MVTSEPT24!Z39+MVTOCT24!Z39+MVTNOV24!Z39+MVTDEC24!Z39</f>
        <v>0</v>
      </c>
      <c r="AA40" s="36">
        <f>MVTJANV24!AA39+MVTFEV24!AA39+MVTMARS24!AA39+MVTAVRIL24!AA39+MVTMAI24!AA39+MVTJUIN24!AA39+MVTJUIL24!AA39+MVTAOUT24!AA39+MVTSEPT24!AA39+MVTOCT24!AA39+MVTNOV24!AA39+MVTDEC24!AA39</f>
        <v>0</v>
      </c>
      <c r="AB40" s="36">
        <f>MVTJANV24!AB39+MVTFEV24!AB39+MVTMARS24!AB39+MVTAVRIL24!AB39+MVTMAI24!AB39+MVTJUIN24!AB39+MVTJUIL24!AB39+MVTAOUT24!AB39+MVTSEPT24!AB39+MVTOCT24!AB39+MVTNOV24!AB39+MVTDEC24!AB39</f>
        <v>0</v>
      </c>
      <c r="AC40" s="36">
        <f>MVTJANV24!AC39+MVTFEV24!AC39+MVTMARS24!AC39+MVTAVRIL24!AC39+MVTMAI24!AC39+MVTJUIN24!AC39+MVTJUIL24!AC39+MVTAOUT24!AC39+MVTSEPT24!AC39+MVTOCT24!AC39+MVTNOV24!AC39+MVTDEC24!AC39</f>
        <v>0</v>
      </c>
      <c r="AD40" s="36">
        <f>MVTJANV24!AD39+MVTFEV24!AD39+MVTMARS24!AD39+MVTAVRIL24!AD39+MVTMAI24!AD39+MVTJUIN24!AD39+MVTJUIL24!AD39+MVTAOUT24!AD39+MVTSEPT24!AD39+MVTOCT24!AD39+MVTNOV24!AD39+MVTDEC24!AD39</f>
        <v>0</v>
      </c>
      <c r="AE40" s="36">
        <f>MVTJANV24!AE39+MVTFEV24!AE39+MVTMARS24!AE39+MVTAVRIL24!AE39+MVTMAI24!AE39+MVTJUIN24!AE39+MVTJUIL24!AE39+MVTAOUT24!AE39+MVTSEPT24!AE39+MVTOCT24!AE39+MVTNOV24!AE39+MVTDEC24!AE39</f>
        <v>0</v>
      </c>
      <c r="AF40" s="36">
        <f>MVTJANV24!AF39+MVTFEV24!AF39+MVTMARS24!AF39+MVTAVRIL24!AF39+MVTMAI24!AF39+MVTJUIN24!AF39+MVTJUIL24!AF39+MVTAOUT24!AF39+MVTSEPT24!AF39+MVTOCT24!AF39+MVTNOV24!AF39+MVTDEC24!AF39</f>
        <v>0</v>
      </c>
      <c r="AG40" s="36">
        <f>MVTJANV24!AG39+MVTFEV24!AG39+MVTMARS24!AG39+MVTAVRIL24!AG39+MVTMAI24!AG39+MVTJUIN24!AG39+MVTJUIL24!AG39+MVTAOUT24!AG39+MVTSEPT24!AG39+MVTOCT24!AG39+MVTNOV24!AG39+MVTDEC24!AG39</f>
        <v>0</v>
      </c>
      <c r="AH40" s="36">
        <f>MVTJANV24!AH39+MVTFEV24!AH39+MVTMARS24!AH39+MVTAVRIL24!AH39+MVTMAI24!AH39+MVTJUIN24!AH39+MVTJUIL24!AH39+MVTAOUT24!AH39+MVTSEPT24!AH39+MVTOCT24!AH39+MVTNOV24!AH39+MVTDEC24!AH39</f>
        <v>0</v>
      </c>
      <c r="AI40" s="36">
        <f>MVTJANV24!AI39+MVTFEV24!AI39+MVTMARS24!AI39+MVTAVRIL24!AI39+MVTMAI24!AI39+MVTJUIN24!AI39+MVTJUIL24!AI39+MVTAOUT24!AI39+MVTSEPT24!AI39+MVTOCT24!AI39+MVTNOV24!AI39+MVTDEC24!AI39</f>
        <v>0</v>
      </c>
      <c r="AJ40" s="36">
        <f>MVTJANV24!AJ39+MVTFEV24!AJ39+MVTMARS24!AJ39+MVTAVRIL24!AJ39+MVTMAI24!AJ39+MVTJUIN24!AJ39+MVTJUIL24!AJ39+MVTAOUT24!AJ39+MVTSEPT24!AJ39+MVTOCT24!AJ39+MVTNOV24!AJ39+MVTDEC24!AJ39</f>
        <v>0</v>
      </c>
      <c r="AK40" s="36">
        <f>MVTJANV24!AK39+MVTFEV24!AK39+MVTMARS24!AK39+MVTAVRIL24!AK39+MVTMAI24!AK39+MVTJUIN24!AK39+MVTJUIL24!AK39+MVTAOUT24!AK39+MVTSEPT24!AK39+MVTOCT24!AK39+MVTNOV24!AK39+MVTDEC24!AK39</f>
        <v>0</v>
      </c>
      <c r="AM40" s="144">
        <f t="shared" si="2"/>
        <v>0</v>
      </c>
    </row>
    <row r="41" spans="1:42" ht="18" x14ac:dyDescent="0.25">
      <c r="A41" s="1"/>
      <c r="B41" s="1"/>
      <c r="C41" s="36">
        <f>+MVTDEC23!C40</f>
        <v>0</v>
      </c>
      <c r="D41" s="36">
        <f>+MVTDEC23!D40</f>
        <v>0</v>
      </c>
      <c r="E41" s="1"/>
      <c r="F41" s="1"/>
      <c r="G41" s="1"/>
      <c r="H41" s="36"/>
      <c r="I41" s="1"/>
      <c r="W41" s="36">
        <f t="shared" si="1"/>
        <v>0</v>
      </c>
      <c r="AL41" s="9"/>
      <c r="AM41" s="9"/>
      <c r="AN41" s="9"/>
      <c r="AO41" s="9"/>
      <c r="AP41" s="9"/>
    </row>
    <row r="42" spans="1:42" ht="18" x14ac:dyDescent="0.25">
      <c r="A42" s="1" t="s">
        <v>57</v>
      </c>
      <c r="B42" s="1"/>
      <c r="C42" s="9">
        <f t="shared" ref="C42:AP42" si="3">SUM(C7:C41)</f>
        <v>19518742.582153067</v>
      </c>
      <c r="D42" s="9">
        <f t="shared" si="3"/>
        <v>4710914.0731219202</v>
      </c>
      <c r="E42" s="9">
        <f t="shared" si="3"/>
        <v>0</v>
      </c>
      <c r="F42" s="9">
        <f t="shared" si="3"/>
        <v>34184656.655274987</v>
      </c>
      <c r="G42" s="9">
        <f t="shared" si="3"/>
        <v>32091439.524547949</v>
      </c>
      <c r="H42" s="36">
        <f t="shared" si="3"/>
        <v>1492499.9999999998</v>
      </c>
      <c r="I42" s="9">
        <f t="shared" si="3"/>
        <v>35677156.655274987</v>
      </c>
      <c r="J42" s="9">
        <f t="shared" si="3"/>
        <v>0</v>
      </c>
      <c r="K42" s="9">
        <f t="shared" si="3"/>
        <v>10766500</v>
      </c>
      <c r="L42" s="9">
        <f t="shared" si="3"/>
        <v>8462500</v>
      </c>
      <c r="M42" s="9">
        <f t="shared" si="3"/>
        <v>384000</v>
      </c>
      <c r="N42" s="9">
        <f t="shared" si="3"/>
        <v>384000</v>
      </c>
      <c r="O42" s="9">
        <f t="shared" si="3"/>
        <v>1536000</v>
      </c>
      <c r="P42" s="9">
        <f t="shared" si="3"/>
        <v>120000</v>
      </c>
      <c r="Q42" s="9">
        <f t="shared" si="3"/>
        <v>75000</v>
      </c>
      <c r="R42" s="9">
        <f t="shared" si="3"/>
        <v>120000</v>
      </c>
      <c r="S42" s="9">
        <f t="shared" si="3"/>
        <v>19263500</v>
      </c>
      <c r="T42" s="9">
        <f t="shared" si="3"/>
        <v>1492500</v>
      </c>
      <c r="U42" s="9">
        <f t="shared" si="3"/>
        <v>0</v>
      </c>
      <c r="V42" s="9">
        <f t="shared" si="3"/>
        <v>1750000</v>
      </c>
      <c r="W42" s="9">
        <f t="shared" si="3"/>
        <v>17513500</v>
      </c>
      <c r="X42" s="9">
        <f t="shared" si="3"/>
        <v>0</v>
      </c>
      <c r="Y42" s="9">
        <f t="shared" si="3"/>
        <v>0</v>
      </c>
      <c r="Z42" s="9">
        <f t="shared" si="3"/>
        <v>0</v>
      </c>
      <c r="AA42" s="9">
        <f t="shared" si="3"/>
        <v>0</v>
      </c>
      <c r="AB42" s="9">
        <f t="shared" si="3"/>
        <v>0</v>
      </c>
      <c r="AC42" s="9">
        <f t="shared" si="3"/>
        <v>0</v>
      </c>
      <c r="AD42" s="9">
        <f t="shared" si="3"/>
        <v>0</v>
      </c>
      <c r="AE42" s="9">
        <f t="shared" si="3"/>
        <v>0</v>
      </c>
      <c r="AF42" s="9">
        <f t="shared" si="3"/>
        <v>102000</v>
      </c>
      <c r="AG42" s="9">
        <f t="shared" si="3"/>
        <v>500000</v>
      </c>
      <c r="AH42" s="9">
        <f t="shared" si="3"/>
        <v>200000</v>
      </c>
      <c r="AI42" s="9">
        <f t="shared" si="3"/>
        <v>400000</v>
      </c>
      <c r="AJ42" s="9">
        <f t="shared" si="3"/>
        <v>0</v>
      </c>
      <c r="AK42" s="9">
        <f t="shared" si="3"/>
        <v>0</v>
      </c>
      <c r="AL42" s="9"/>
      <c r="AM42" s="9">
        <f t="shared" si="3"/>
        <v>1492500</v>
      </c>
      <c r="AN42" s="9">
        <f t="shared" si="3"/>
        <v>0</v>
      </c>
      <c r="AO42" s="9">
        <f t="shared" si="3"/>
        <v>0</v>
      </c>
      <c r="AP42" s="9">
        <f t="shared" si="3"/>
        <v>0</v>
      </c>
    </row>
    <row r="45" spans="1:42" x14ac:dyDescent="0.25">
      <c r="G45" s="2"/>
    </row>
  </sheetData>
  <autoFilter ref="A6:V40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6" topLeftCell="AD7" activePane="bottomRight" state="frozen"/>
      <selection activeCell="B43" sqref="B43"/>
      <selection pane="topRight" activeCell="B43" sqref="B43"/>
      <selection pane="bottomLeft" activeCell="B43" sqref="B43"/>
      <selection pane="bottomRight" activeCell="AE1" sqref="AE1:AE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6.85546875" bestFit="1" customWidth="1"/>
    <col min="7" max="8" width="18.28515625" customWidth="1"/>
    <col min="9" max="9" width="16.85546875" bestFit="1" customWidth="1"/>
    <col min="10" max="10" width="15" bestFit="1" customWidth="1"/>
    <col min="11" max="11" width="17.5703125" style="157" bestFit="1" customWidth="1"/>
    <col min="12" max="12" width="17.5703125" style="157" customWidth="1"/>
    <col min="13" max="13" width="15.7109375" style="2" customWidth="1"/>
    <col min="14" max="16" width="12.42578125" style="2" customWidth="1"/>
    <col min="17" max="17" width="16.85546875" style="2" bestFit="1" customWidth="1"/>
    <col min="18" max="18" width="16.85546875" style="2" customWidth="1"/>
    <col min="19" max="19" width="17" customWidth="1"/>
    <col min="20" max="20" width="15" customWidth="1"/>
    <col min="21" max="22" width="18.140625" customWidth="1"/>
    <col min="23" max="23" width="16.85546875" bestFit="1" customWidth="1"/>
    <col min="26" max="26" width="12.42578125" bestFit="1" customWidth="1"/>
    <col min="31" max="32" width="12.42578125" bestFit="1" customWidth="1"/>
    <col min="35" max="36" width="12.42578125" bestFit="1" customWidth="1"/>
    <col min="37" max="37" width="17.5703125" customWidth="1"/>
    <col min="38" max="38" width="12.42578125" style="2" bestFit="1" customWidth="1"/>
    <col min="39" max="39" width="17.140625" customWidth="1"/>
    <col min="40" max="40" width="12.42578125" bestFit="1" customWidth="1"/>
    <col min="42" max="42" width="18" customWidth="1"/>
  </cols>
  <sheetData>
    <row r="1" spans="1:42" ht="26.25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45"/>
    </row>
    <row r="2" spans="1:42" ht="26.25" x14ac:dyDescent="0.4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59"/>
    </row>
    <row r="3" spans="1:42" x14ac:dyDescent="0.2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/>
    </row>
    <row r="4" spans="1:42" ht="26.25" x14ac:dyDescent="0.4">
      <c r="C4" s="16"/>
      <c r="D4" s="16"/>
      <c r="E4" s="16"/>
      <c r="F4" s="16"/>
      <c r="G4" s="16"/>
      <c r="H4" s="16"/>
      <c r="I4" s="156"/>
      <c r="J4" s="160" t="s">
        <v>321</v>
      </c>
      <c r="K4" s="160"/>
      <c r="L4" s="160"/>
      <c r="M4" s="160"/>
      <c r="N4" s="160"/>
      <c r="O4" s="160"/>
      <c r="P4"/>
      <c r="Q4"/>
      <c r="R4"/>
      <c r="AJ4" s="104"/>
    </row>
    <row r="5" spans="1:42" x14ac:dyDescent="0.2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>
        <v>30</v>
      </c>
      <c r="AE5">
        <v>31</v>
      </c>
      <c r="AF5">
        <v>32</v>
      </c>
      <c r="AG5">
        <v>33</v>
      </c>
      <c r="AH5">
        <v>34</v>
      </c>
      <c r="AI5">
        <v>35</v>
      </c>
      <c r="AJ5">
        <v>36</v>
      </c>
      <c r="AK5">
        <v>37</v>
      </c>
      <c r="AL5">
        <v>38</v>
      </c>
      <c r="AM5">
        <v>39</v>
      </c>
      <c r="AN5">
        <v>40</v>
      </c>
      <c r="AO5">
        <v>41</v>
      </c>
      <c r="AP5">
        <v>42</v>
      </c>
    </row>
    <row r="6" spans="1:42" ht="57.75" x14ac:dyDescent="0.25">
      <c r="A6" s="1" t="s">
        <v>4</v>
      </c>
      <c r="B6" s="1" t="s">
        <v>5</v>
      </c>
      <c r="C6" s="4" t="s">
        <v>212</v>
      </c>
      <c r="D6" s="4" t="s">
        <v>325</v>
      </c>
      <c r="E6" s="4" t="s">
        <v>213</v>
      </c>
      <c r="F6" s="4" t="s">
        <v>214</v>
      </c>
      <c r="G6" s="4" t="s">
        <v>333</v>
      </c>
      <c r="H6" s="158" t="s">
        <v>331</v>
      </c>
      <c r="I6" s="4" t="s">
        <v>7</v>
      </c>
      <c r="J6" s="1" t="s">
        <v>8</v>
      </c>
      <c r="K6" s="4" t="s">
        <v>60</v>
      </c>
      <c r="L6" s="1" t="s">
        <v>9</v>
      </c>
      <c r="M6" s="4" t="s">
        <v>10</v>
      </c>
      <c r="N6" s="4" t="s">
        <v>11</v>
      </c>
      <c r="O6" s="4" t="s">
        <v>12</v>
      </c>
      <c r="P6" s="4" t="s">
        <v>72</v>
      </c>
      <c r="Q6" s="4" t="s">
        <v>73</v>
      </c>
      <c r="R6" s="4" t="s">
        <v>13</v>
      </c>
      <c r="S6" s="4" t="s">
        <v>61</v>
      </c>
      <c r="T6" s="4" t="s">
        <v>332</v>
      </c>
      <c r="U6" s="4" t="s">
        <v>83</v>
      </c>
      <c r="V6" s="4" t="s">
        <v>64</v>
      </c>
      <c r="W6" s="4" t="s">
        <v>334</v>
      </c>
      <c r="X6" s="4" t="s">
        <v>209</v>
      </c>
      <c r="Y6" s="4" t="s">
        <v>83</v>
      </c>
      <c r="Z6" s="4" t="s">
        <v>65</v>
      </c>
      <c r="AA6" s="4" t="s">
        <v>14</v>
      </c>
      <c r="AB6" s="4" t="s">
        <v>210</v>
      </c>
      <c r="AC6" s="4" t="s">
        <v>211</v>
      </c>
      <c r="AD6" s="83" t="s">
        <v>216</v>
      </c>
      <c r="AE6" s="4" t="s">
        <v>254</v>
      </c>
      <c r="AF6" s="83" t="s">
        <v>10</v>
      </c>
      <c r="AG6" s="83" t="s">
        <v>11</v>
      </c>
      <c r="AH6" s="83" t="s">
        <v>303</v>
      </c>
      <c r="AI6" s="83" t="s">
        <v>269</v>
      </c>
      <c r="AJ6" s="4" t="s">
        <v>65</v>
      </c>
      <c r="AK6" s="83" t="s">
        <v>274</v>
      </c>
      <c r="AL6" s="83" t="s">
        <v>322</v>
      </c>
      <c r="AM6" s="83" t="s">
        <v>335</v>
      </c>
      <c r="AN6" s="83" t="s">
        <v>323</v>
      </c>
      <c r="AO6" s="83" t="s">
        <v>210</v>
      </c>
      <c r="AP6" s="83" t="s">
        <v>326</v>
      </c>
    </row>
    <row r="7" spans="1:42" ht="15.75" x14ac:dyDescent="0.25">
      <c r="A7" s="1" t="s">
        <v>16</v>
      </c>
      <c r="B7" s="1" t="str">
        <f>VLOOKUP(A7,[19]LISTADHERENT!A$5:H$60,3,0)</f>
        <v>ASELBY</v>
      </c>
      <c r="C7" s="36">
        <f>+MVTDEC23!C6</f>
        <v>0</v>
      </c>
      <c r="D7" s="36">
        <f>+MVTDEC23!D6</f>
        <v>886523.25892224163</v>
      </c>
      <c r="E7" s="36">
        <f>VLOOKUP($A7,[24]HISTODEC24!$A$6:$BA$38,48,0)</f>
        <v>0</v>
      </c>
      <c r="F7" s="36">
        <f>MVTDEC24!F6</f>
        <v>946220.58968855068</v>
      </c>
      <c r="G7" s="5">
        <f>MVTDEC24!G6</f>
        <v>946220.58968855068</v>
      </c>
      <c r="H7" s="36">
        <f>MVTDEC23!H6+MVTJANV24!H6+MVTFEV24!H6+MVTMARS24!H6+MVTAVRIL24!H6+MVTMAI24!H6+MVTJUIN24!H6+MVTJUIL24!H6+MVTAOUT24!H6+MVTSEPT24!H6+MVTOCT24!H6+MVTNOV24!H6+MVTDEC24!H6</f>
        <v>59697.330766308987</v>
      </c>
      <c r="I7" s="6">
        <f>F7+H7</f>
        <v>1005917.9204548596</v>
      </c>
      <c r="J7" s="36">
        <f>MVTJANV24!J6+MVTFEV24!J6+MVTMARS24!J6+MVTAVRIL24!J6+MVTMAI24!J6+MVTJUIN24!J6+MVTJUIL24!J6+MVTAOUT24!J6+MVTSEPT24!J6+MVTOCT24!J6+MVTNOV24!J6+MVTDEC24!J6</f>
        <v>0</v>
      </c>
      <c r="K7" s="36">
        <f>MVTJANV24!K6+MVTFEV24!K6+MVTMARS24!K6+MVTAVRIL24!K6+MVTMAI24!K6+MVTJUIN24!K6+MVTJUIL24!K6+MVTAOUT24!K6+MVTSEPT24!K6+MVTOCT24!K6+MVTNOV24!K6+MVTDEC24!K6</f>
        <v>0</v>
      </c>
      <c r="L7" s="36">
        <f>MVTJANV24!L6+MVTFEV24!L6+MVTMARS24!L6+MVTAVRIL24!L6+MVTMAI24!L6+MVTJUIN24!L6+MVTJUIL24!L6+MVTAOUT24!L6+MVTSEPT24!L6+MVTOCT24!L6+MVTNOV24!L6+MVTDEC24!L6</f>
        <v>0</v>
      </c>
      <c r="M7" s="36">
        <f>MVTJANV24!M6+MVTFEV24!M6+MVTMARS24!M6+MVTAVRIL24!M6+MVTMAI24!M6+MVTJUIN24!M6+MVTJUIL24!M6+MVTAOUT24!M6+MVTSEPT24!M6+MVTOCT24!M6+MVTNOV24!M6+MVTDEC24!M6</f>
        <v>0</v>
      </c>
      <c r="N7" s="36">
        <f>MVTJANV24!N6+MVTFEV24!N6+MVTMARS24!N6+MVTAVRIL24!N6+MVTMAI24!N6+MVTJUIN24!N6+MVTJUIL24!N6+MVTAOUT24!N6+MVTSEPT24!N6+MVTOCT24!N6+MVTNOV24!N6+MVTDEC24!N6</f>
        <v>0</v>
      </c>
      <c r="O7" s="36">
        <f>MVTJANV24!O6+MVTFEV24!O6+MVTMARS24!O6+MVTAVRIL24!O6+MVTMAI24!O6+MVTJUIN24!O6+MVTJUIL24!O6+MVTAOUT24!O6+MVTSEPT24!O6+MVTOCT24!O6+MVTNOV24!O6+MVTDEC24!O6</f>
        <v>0</v>
      </c>
      <c r="P7" s="36">
        <f>MVTJANV24!P6+MVTFEV24!P6+MVTMARS24!P6+MVTAVRIL24!P6+MVTMAI24!P6+MVTJUIN24!P6+MVTJUIL24!P6+MVTAOUT24!P6+MVTSEPT24!P6+MVTOCT24!P6+MVTNOV24!P6+MVTDEC24!P6</f>
        <v>0</v>
      </c>
      <c r="Q7" s="36">
        <f>MVTJANV24!Q6+MVTFEV24!Q6+MVTMARS24!Q6+MVTAVRIL24!Q6+MVTMAI24!Q6+MVTJUIN24!Q6+MVTJUIL24!Q6+MVTAOUT24!Q6+MVTSEPT24!Q6+MVTOCT24!Q6+MVTNOV24!Q6+MVTDEC24!Q6</f>
        <v>0</v>
      </c>
      <c r="R7" s="36">
        <f>MVTJANV24!R6+MVTFEV24!R6+MVTMARS24!R6+MVTAVRIL24!R6+MVTMAI24!R6+MVTJUIN24!R6+MVTJUIL24!R6+MVTAOUT24!R6+MVTSEPT24!R6+MVTOCT24!R6+MVTNOV24!R6+MVTDEC24!R6</f>
        <v>0</v>
      </c>
      <c r="S7" s="36">
        <f>MVTDEC23!S6+MVTJANV24!S6+MVTFEV24!S6+MVTMARS24!S6+MVTAVRIL24!S6+MVTMAI24!S6+MVTJUIN24!S6+MVTJUIL24!S6+MVTAOUT24!S6+MVTSEPT24!S6+MVTOCT24!S6+MVTNOV24!S6+MVTDEC24!S6</f>
        <v>0</v>
      </c>
      <c r="T7" s="36">
        <f>MVTDEC23!T6+MVTJANV24!T6+MVTFEV24!T6+MVTMARS24!T6+MVTAVRIL24!T6+MVTMAI24!T6+MVTJUIN24!T6+MVTJUIL24!T6+MVTAOUT24!T6+MVTSEPT24!T6+MVTOCT24!T6+MVTNOV24!T6+MVTDEC24!T6</f>
        <v>0</v>
      </c>
      <c r="U7" s="36"/>
      <c r="V7" s="36">
        <f>MVTJANV24!V6+MVTFEV24!V6+MVTMARS24!V6+MVTAVRIL24!V6+MVTMAI24!V6+MVTJUIN24!V6+MVTJUIL24!V6+MVTAOUT24!V6+MVTSEPT24!V6+MVTOCT24!V6+MVTNOV24!V6+MVTDEC24!V6</f>
        <v>0</v>
      </c>
      <c r="W7" s="36">
        <f>S7-V7</f>
        <v>0</v>
      </c>
      <c r="X7" s="36"/>
      <c r="Y7" s="36"/>
      <c r="Z7" s="36">
        <f>MVTJANV24!Z6+MVTFEV24!Z6+MVTMARS24!Z6+MVTAVRIL24!Z6+MVTMAI24!Z6+MVTJUIN24!Z6+MVTJUIL24!Z6+MVTAOUT24!Z6+MVTSEPT24!Z6+MVTOCT24!Z6+MVTNOV24!Z6+MVTDEC24!Z6</f>
        <v>0</v>
      </c>
      <c r="AA7" s="36">
        <f>MVTJANV24!AA6+MVTFEV24!AA6+MVTMARS24!AA6+MVTAVRIL24!AA6+MVTMAI24!AA6+MVTJUIN24!AA6+MVTJUIL24!AA6+MVTAOUT24!AA6+MVTSEPT24!AA6+MVTOCT24!AA6+MVTNOV24!AA6+MVTDEC24!AA6</f>
        <v>0</v>
      </c>
      <c r="AB7" s="36">
        <f>MVTJANV24!AB6+MVTFEV24!AB6+MVTMARS24!AB6+MVTAVRIL24!AB6+MVTMAI24!AB6+MVTJUIN24!AB6+MVTJUIL24!AB6+MVTAOUT24!AB6+MVTSEPT24!AB6+MVTOCT24!AB6+MVTNOV24!AB6+MVTDEC24!AB6</f>
        <v>0</v>
      </c>
      <c r="AC7" s="36">
        <f>MVTJANV24!AC6+MVTFEV24!AC6+MVTMARS24!AC6+MVTAVRIL24!AC6+MVTMAI24!AC6+MVTJUIN24!AC6+MVTJUIL24!AC6+MVTAOUT24!AC6+MVTSEPT24!AC6+MVTOCT24!AC6+MVTNOV24!AC6+MVTDEC24!AC6</f>
        <v>0</v>
      </c>
      <c r="AD7" s="36">
        <f>MVTJANV24!AD6+MVTFEV24!AD6+MVTMARS24!AD6+MVTAVRIL24!AD6+MVTMAI24!AD6+MVTJUIN24!AD6+MVTJUIL24!AD6+MVTAOUT24!AD6+MVTSEPT24!AD6+MVTOCT24!AD6+MVTNOV24!AD6+MVTDEC24!AD6</f>
        <v>0</v>
      </c>
      <c r="AE7" s="36">
        <f>MVTJANV24!AE6+MVTFEV24!AE6+MVTMARS24!AE6+MVTAVRIL24!AE6+MVTMAI24!AE6+MVTJUIN24!AE6+MVTJUIL24!AE6+MVTAOUT24!AE6+MVTSEPT24!AE6+MVTOCT24!AE6+MVTNOV24!AE6+MVTDEC24!AE6</f>
        <v>0</v>
      </c>
      <c r="AF7" s="36">
        <f>MVTJANV24!AF6+MVTFEV24!AF6+MVTMARS24!AF6+MVTAVRIL24!AF6+MVTMAI24!AF6+MVTJUIN24!AF6+MVTJUIL24!AF6+MVTAOUT24!AF6+MVTSEPT24!AF6+MVTOCT24!AF6+MVTNOV24!AF6+MVTDEC24!AF6</f>
        <v>102000</v>
      </c>
      <c r="AG7" s="36">
        <f>MVTJANV24!AG6+MVTFEV24!AG6+MVTMARS24!AG6+MVTAVRIL24!AG6+MVTMAI24!AG6+MVTJUIN24!AG6+MVTJUIL24!AG6+MVTAOUT24!AG6+MVTSEPT24!AG6+MVTOCT24!AG6+MVTNOV24!AG6+MVTDEC24!AG6</f>
        <v>500000</v>
      </c>
      <c r="AH7" s="36">
        <f>MVTJANV24!AH6+MVTFEV24!AH6+MVTMARS24!AH6+MVTAVRIL24!AH6+MVTMAI24!AH6+MVTJUIN24!AH6+MVTJUIL24!AH6+MVTAOUT24!AH6+MVTSEPT24!AH6+MVTOCT24!AH6+MVTNOV24!AH6+MVTDEC24!AH6</f>
        <v>200000</v>
      </c>
      <c r="AI7" s="36">
        <f>MVTJANV24!AI6+MVTFEV24!AI6+MVTMARS24!AI6+MVTAVRIL24!AI6+MVTMAI24!AI6+MVTJUIN24!AI6+MVTJUIL24!AI6+MVTAOUT24!AI6+MVTSEPT24!AI6+MVTOCT24!AI6+MVTNOV24!AI6+MVTDEC24!AI6</f>
        <v>300000</v>
      </c>
      <c r="AJ7" s="36">
        <f>MVTJANV24!AJ6+MVTFEV24!AJ6+MVTMARS24!AJ6+MVTAVRIL24!AJ6+MVTMAI24!AJ6+MVTJUIN24!AJ6+MVTJUIL24!AJ6+MVTAOUT24!AJ6+MVTSEPT24!AJ6+MVTOCT24!AJ6+MVTNOV24!AJ6+MVTDEC24!AJ6</f>
        <v>0</v>
      </c>
      <c r="AK7" s="36">
        <f>MVTJANV24!AK6+MVTFEV24!AK6+MVTMARS24!AK6+MVTAVRIL24!AK6+MVTMAI24!AK6+MVTJUIN24!AK6+MVTJUIL24!AK6+MVTAOUT24!AK6+MVTSEPT24!AK6+MVTOCT24!AK6+MVTNOV24!AK6+MVTDEC24!AK6</f>
        <v>0</v>
      </c>
      <c r="AL7" s="143"/>
      <c r="AM7" s="144">
        <f>T7</f>
        <v>0</v>
      </c>
      <c r="AP7" s="36"/>
    </row>
    <row r="8" spans="1:42" ht="15.75" x14ac:dyDescent="0.25">
      <c r="A8" s="1" t="s">
        <v>17</v>
      </c>
      <c r="B8" s="1" t="str">
        <f>VLOOKUP(A8,[19]LISTADHERENT!A$5:H$60,3,0)</f>
        <v>BAKOP ACHILLE</v>
      </c>
      <c r="C8" s="36">
        <f>+MVTDEC23!C7</f>
        <v>678482.49636100209</v>
      </c>
      <c r="D8" s="36">
        <f>+MVTDEC23!D7</f>
        <v>0</v>
      </c>
      <c r="E8" s="36">
        <f>VLOOKUP($A8,[24]HISTODEC24!$A$6:$BA$38,48,0)</f>
        <v>0</v>
      </c>
      <c r="F8" s="36">
        <f>MVTDEC24!F7</f>
        <v>928791.19348721951</v>
      </c>
      <c r="G8" s="5">
        <f>MVTDEC24!G7</f>
        <v>928791.19348721951</v>
      </c>
      <c r="H8" s="36">
        <f>MVTDEC23!H7+MVTJANV24!H7+MVTFEV24!H7+MVTMARS24!H7+MVTAVRIL24!H7+MVTMAI24!H7+MVTJUIN24!H7+MVTJUIL24!H7+MVTAOUT24!H7+MVTSEPT24!H7+MVTOCT24!H7+MVTNOV24!H7+MVTDEC24!H7</f>
        <v>3308.6971262174293</v>
      </c>
      <c r="I8" s="6">
        <f t="shared" ref="I8:I40" si="0">F8+H8</f>
        <v>932099.89061343693</v>
      </c>
      <c r="J8" s="36">
        <f>MVTJANV24!J7+MVTFEV24!J7+MVTMARS24!J7+MVTAVRIL24!J7+MVTMAI24!J7+MVTJUIN24!J7+MVTJUIL24!J7+MVTAOUT24!J7+MVTSEPT24!J7+MVTOCT24!J7+MVTNOV24!J7+MVTDEC24!J7</f>
        <v>0</v>
      </c>
      <c r="K8" s="36">
        <f>MVTJANV24!K7+MVTFEV24!K7+MVTMARS24!K7+MVTAVRIL24!K7+MVTMAI24!K7+MVTJUIN24!K7+MVTJUIL24!K7+MVTAOUT24!K7+MVTSEPT24!K7+MVTOCT24!K7+MVTNOV24!K7+MVTDEC24!K7</f>
        <v>319000</v>
      </c>
      <c r="L8" s="36">
        <f>MVTJANV24!L7+MVTFEV24!L7+MVTMARS24!L7+MVTAVRIL24!L7+MVTMAI24!L7+MVTJUIN24!L7+MVTJUIL24!L7+MVTAOUT24!L7+MVTSEPT24!L7+MVTOCT24!L7+MVTNOV24!L7+MVTDEC24!L7</f>
        <v>247000</v>
      </c>
      <c r="M8" s="36">
        <f>MVTJANV24!M7+MVTFEV24!M7+MVTMARS24!M7+MVTAVRIL24!M7+MVTMAI24!M7+MVTJUIN24!M7+MVTJUIL24!M7+MVTAOUT24!M7+MVTSEPT24!M7+MVTOCT24!M7+MVTNOV24!M7+MVTDEC24!M7</f>
        <v>12000</v>
      </c>
      <c r="N8" s="36">
        <f>MVTJANV24!N7+MVTFEV24!N7+MVTMARS24!N7+MVTAVRIL24!N7+MVTMAI24!N7+MVTJUIN24!N7+MVTJUIL24!N7+MVTAOUT24!N7+MVTSEPT24!N7+MVTOCT24!N7+MVTNOV24!N7+MVTDEC24!N7</f>
        <v>12000</v>
      </c>
      <c r="O8" s="36">
        <f>MVTJANV24!O7+MVTFEV24!O7+MVTMARS24!O7+MVTAVRIL24!O7+MVTMAI24!O7+MVTJUIN24!O7+MVTJUIL24!O7+MVTAOUT24!O7+MVTSEPT24!O7+MVTOCT24!O7+MVTNOV24!O7+MVTDEC24!O7</f>
        <v>48000</v>
      </c>
      <c r="P8" s="36">
        <f>MVTJANV24!P7+MVTFEV24!P7+MVTMARS24!P7+MVTAVRIL24!P7+MVTMAI24!P7+MVTJUIN24!P7+MVTJUIL24!P7+MVTAOUT24!P7+MVTSEPT24!P7+MVTOCT24!P7+MVTNOV24!P7+MVTDEC24!P7</f>
        <v>27000</v>
      </c>
      <c r="Q8" s="36">
        <f>MVTJANV24!Q7+MVTFEV24!Q7+MVTMARS24!Q7+MVTAVRIL24!Q7+MVTMAI24!Q7+MVTJUIN24!Q7+MVTJUIL24!Q7+MVTAOUT24!Q7+MVTSEPT24!Q7+MVTOCT24!Q7+MVTNOV24!Q7+MVTDEC24!Q7</f>
        <v>0</v>
      </c>
      <c r="R8" s="36">
        <f>MVTJANV24!R7+MVTFEV24!R7+MVTMARS24!R7+MVTAVRIL24!R7+MVTMAI24!R7+MVTJUIN24!R7+MVTJUIL24!R7+MVTAOUT24!R7+MVTSEPT24!R7+MVTOCT24!R7+MVTNOV24!R7+MVTDEC24!R7</f>
        <v>0</v>
      </c>
      <c r="S8" s="36">
        <f>MVTDEC23!S7+MVTJANV24!S7+MVTFEV24!S7+MVTMARS24!S7+MVTAVRIL24!S7+MVTMAI24!S7+MVTJUIN24!S7+MVTJUIL24!S7+MVTAOUT24!S7+MVTSEPT24!S7+MVTOCT24!S7+MVTNOV24!S7+MVTDEC24!S7</f>
        <v>600000</v>
      </c>
      <c r="T8" s="36">
        <f>MVTDEC23!T7+MVTJANV24!T7+MVTFEV24!T7+MVTMARS24!T7+MVTAVRIL24!T7+MVTMAI24!T7+MVTJUIN24!T7+MVTJUIL24!T7+MVTAOUT24!T7+MVTSEPT24!T7+MVTOCT24!T7+MVTNOV24!T7+MVTDEC24!T7</f>
        <v>54000</v>
      </c>
      <c r="U8" s="36"/>
      <c r="V8" s="36">
        <f>MVTJANV24!V7+MVTFEV24!V7+MVTMARS24!V7+MVTAVRIL24!V7+MVTMAI24!V7+MVTJUIN24!V7+MVTJUIL24!V7+MVTAOUT24!V7+MVTSEPT24!V7+MVTOCT24!V7+MVTNOV24!V7+MVTDEC24!V7</f>
        <v>0</v>
      </c>
      <c r="W8" s="36">
        <f t="shared" ref="W8:W41" si="1">S8-V8</f>
        <v>600000</v>
      </c>
      <c r="X8" s="36"/>
      <c r="Y8" s="36"/>
      <c r="Z8" s="36">
        <f>MVTJANV24!Z7+MVTFEV24!Z7+MVTMARS24!Z7+MVTAVRIL24!Z7+MVTMAI24!Z7+MVTJUIN24!Z7+MVTJUIL24!Z7+MVTAOUT24!Z7+MVTSEPT24!Z7+MVTOCT24!Z7+MVTNOV24!Z7+MVTDEC24!Z7</f>
        <v>0</v>
      </c>
      <c r="AA8" s="36">
        <f>MVTJANV24!AA7+MVTFEV24!AA7+MVTMARS24!AA7+MVTAVRIL24!AA7+MVTMAI24!AA7+MVTJUIN24!AA7+MVTJUIL24!AA7+MVTAOUT24!AA7+MVTSEPT24!AA7+MVTOCT24!AA7+MVTNOV24!AA7+MVTDEC24!AA7</f>
        <v>0</v>
      </c>
      <c r="AB8" s="36">
        <f>MVTJANV24!AB7+MVTFEV24!AB7+MVTMARS24!AB7+MVTAVRIL24!AB7+MVTMAI24!AB7+MVTJUIN24!AB7+MVTJUIL24!AB7+MVTAOUT24!AB7+MVTSEPT24!AB7+MVTOCT24!AB7+MVTNOV24!AB7+MVTDEC24!AB7</f>
        <v>0</v>
      </c>
      <c r="AC8" s="36">
        <f>MVTJANV24!AC7+MVTFEV24!AC7+MVTMARS24!AC7+MVTAVRIL24!AC7+MVTMAI24!AC7+MVTJUIN24!AC7+MVTJUIL24!AC7+MVTAOUT24!AC7+MVTSEPT24!AC7+MVTOCT24!AC7+MVTNOV24!AC7+MVTDEC24!AC7</f>
        <v>0</v>
      </c>
      <c r="AD8" s="36">
        <f>MVTJANV24!AD7+MVTFEV24!AD7+MVTMARS24!AD7+MVTAVRIL24!AD7+MVTMAI24!AD7+MVTJUIN24!AD7+MVTJUIL24!AD7+MVTAOUT24!AD7+MVTSEPT24!AD7+MVTOCT24!AD7+MVTNOV24!AD7+MVTDEC24!AD7</f>
        <v>0</v>
      </c>
      <c r="AE8" s="36">
        <f>MVTJANV24!AE7+MVTFEV24!AE7+MVTMARS24!AE7+MVTAVRIL24!AE7+MVTMAI24!AE7+MVTJUIN24!AE7+MVTJUIL24!AE7+MVTAOUT24!AE7+MVTSEPT24!AE7+MVTOCT24!AE7+MVTNOV24!AE7+MVTDEC24!AE7</f>
        <v>0</v>
      </c>
      <c r="AF8" s="36">
        <f>MVTJANV24!AF7+MVTFEV24!AF7+MVTMARS24!AF7+MVTAVRIL24!AF7+MVTMAI24!AF7+MVTJUIN24!AF7+MVTJUIL24!AF7+MVTAOUT24!AF7+MVTSEPT24!AF7+MVTOCT24!AF7+MVTNOV24!AF7+MVTDEC24!AF7</f>
        <v>0</v>
      </c>
      <c r="AG8" s="36">
        <f>MVTJANV24!AG7+MVTFEV24!AG7+MVTMARS24!AG7+MVTAVRIL24!AG7+MVTMAI24!AG7+MVTJUIN24!AG7+MVTJUIL24!AG7+MVTAOUT24!AG7+MVTSEPT24!AG7+MVTOCT24!AG7+MVTNOV24!AG7+MVTDEC24!AG7</f>
        <v>0</v>
      </c>
      <c r="AH8" s="36">
        <f>MVTJANV24!AH7+MVTFEV24!AH7+MVTMARS24!AH7+MVTAVRIL24!AH7+MVTMAI24!AH7+MVTJUIN24!AH7+MVTJUIL24!AH7+MVTAOUT24!AH7+MVTSEPT24!AH7+MVTOCT24!AH7+MVTNOV24!AH7+MVTDEC24!AH7</f>
        <v>0</v>
      </c>
      <c r="AI8" s="36">
        <f>MVTJANV24!AI7+MVTFEV24!AI7+MVTMARS24!AI7+MVTAVRIL24!AI7+MVTMAI24!AI7+MVTJUIN24!AI7+MVTJUIL24!AI7+MVTAOUT24!AI7+MVTSEPT24!AI7+MVTOCT24!AI7+MVTNOV24!AI7+MVTDEC24!AI7</f>
        <v>0</v>
      </c>
      <c r="AJ8" s="36">
        <f>MVTJANV24!AJ7+MVTFEV24!AJ7+MVTMARS24!AJ7+MVTAVRIL24!AJ7+MVTMAI24!AJ7+MVTJUIN24!AJ7+MVTJUIL24!AJ7+MVTAOUT24!AJ7+MVTSEPT24!AJ7+MVTOCT24!AJ7+MVTNOV24!AJ7+MVTDEC24!AJ7</f>
        <v>0</v>
      </c>
      <c r="AK8" s="36">
        <f>MVTJANV24!AK7+MVTFEV24!AK7+MVTMARS24!AK7+MVTAVRIL24!AK7+MVTMAI24!AK7+MVTJUIN24!AK7+MVTJUIL24!AK7+MVTAOUT24!AK7+MVTSEPT24!AK7+MVTOCT24!AK7+MVTNOV24!AK7+MVTDEC24!AK7</f>
        <v>0</v>
      </c>
      <c r="AL8" s="143">
        <v>45474</v>
      </c>
      <c r="AM8" s="144">
        <f t="shared" ref="AM8:AM40" si="2">T8</f>
        <v>54000</v>
      </c>
      <c r="AP8" s="36"/>
    </row>
    <row r="9" spans="1:42" ht="15.75" x14ac:dyDescent="0.25">
      <c r="A9" s="1" t="s">
        <v>19</v>
      </c>
      <c r="B9" s="1" t="str">
        <f>VLOOKUP(A9,[19]LISTADHERENT!A$5:H$60,3,0)</f>
        <v>BOUTCHOUANG WILLIAM</v>
      </c>
      <c r="C9" s="36">
        <f>+MVTDEC23!C8</f>
        <v>700000</v>
      </c>
      <c r="D9" s="36">
        <f>+MVTDEC23!D8</f>
        <v>33.12626320522395</v>
      </c>
      <c r="E9" s="36">
        <f>VLOOKUP($A9,[24]HISTODEC24!$A$6:$BA$38,48,0)</f>
        <v>0</v>
      </c>
      <c r="F9" s="36">
        <f>MVTDEC24!F8</f>
        <v>972533.31236524263</v>
      </c>
      <c r="G9" s="5">
        <f>MVTDEC24!G8</f>
        <v>972533.31236524263</v>
      </c>
      <c r="H9" s="36">
        <f>MVTDEC23!H8+MVTJANV24!H8+MVTFEV24!H8+MVTMARS24!H8+MVTAVRIL24!H8+MVTMAI24!H8+MVTJUIN24!H8+MVTJUIL24!H8+MVTAOUT24!H8+MVTSEPT24!H8+MVTOCT24!H8+MVTNOV24!H8+MVTDEC24!H8</f>
        <v>47500.186102037449</v>
      </c>
      <c r="I9" s="6">
        <f t="shared" si="0"/>
        <v>1020033.4984672801</v>
      </c>
      <c r="J9" s="36">
        <f>MVTJANV24!J8+MVTFEV24!J8+MVTMARS24!J8+MVTAVRIL24!J8+MVTMAI24!J8+MVTJUIN24!J8+MVTJUIL24!J8+MVTAOUT24!J8+MVTSEPT24!J8+MVTOCT24!J8+MVTNOV24!J8+MVTDEC24!J8</f>
        <v>0</v>
      </c>
      <c r="K9" s="36">
        <f>MVTJANV24!K8+MVTFEV24!K8+MVTMARS24!K8+MVTAVRIL24!K8+MVTMAI24!K8+MVTJUIN24!K8+MVTJUIL24!K8+MVTAOUT24!K8+MVTSEPT24!K8+MVTOCT24!K8+MVTNOV24!K8+MVTDEC24!K8</f>
        <v>297000</v>
      </c>
      <c r="L9" s="36">
        <f>MVTJANV24!L8+MVTFEV24!L8+MVTMARS24!L8+MVTAVRIL24!L8+MVTMAI24!L8+MVTJUIN24!L8+MVTJUIL24!L8+MVTAOUT24!L8+MVTSEPT24!L8+MVTOCT24!L8+MVTNOV24!L8+MVTDEC24!L8</f>
        <v>225000</v>
      </c>
      <c r="M9" s="36">
        <f>MVTJANV24!M8+MVTFEV24!M8+MVTMARS24!M8+MVTAVRIL24!M8+MVTMAI24!M8+MVTJUIN24!M8+MVTJUIL24!M8+MVTAOUT24!M8+MVTSEPT24!M8+MVTOCT24!M8+MVTNOV24!M8+MVTDEC24!M8</f>
        <v>12000</v>
      </c>
      <c r="N9" s="36">
        <f>MVTJANV24!N8+MVTFEV24!N8+MVTMARS24!N8+MVTAVRIL24!N8+MVTMAI24!N8+MVTJUIN24!N8+MVTJUIL24!N8+MVTAOUT24!N8+MVTSEPT24!N8+MVTOCT24!N8+MVTNOV24!N8+MVTDEC24!N8</f>
        <v>12000</v>
      </c>
      <c r="O9" s="36">
        <f>MVTJANV24!O8+MVTFEV24!O8+MVTMARS24!O8+MVTAVRIL24!O8+MVTMAI24!O8+MVTJUIN24!O8+MVTJUIL24!O8+MVTAOUT24!O8+MVTSEPT24!O8+MVTOCT24!O8+MVTNOV24!O8+MVTDEC24!O8</f>
        <v>48000</v>
      </c>
      <c r="P9" s="36">
        <f>MVTJANV24!P8+MVTFEV24!P8+MVTMARS24!P8+MVTAVRIL24!P8+MVTMAI24!P8+MVTJUIN24!P8+MVTJUIL24!P8+MVTAOUT24!P8+MVTSEPT24!P8+MVTOCT24!P8+MVTNOV24!P8+MVTDEC24!P8</f>
        <v>0</v>
      </c>
      <c r="Q9" s="36">
        <f>MVTJANV24!Q8+MVTFEV24!Q8+MVTMARS24!Q8+MVTAVRIL24!Q8+MVTMAI24!Q8+MVTJUIN24!Q8+MVTJUIL24!Q8+MVTAOUT24!Q8+MVTSEPT24!Q8+MVTOCT24!Q8+MVTNOV24!Q8+MVTDEC24!Q8</f>
        <v>0</v>
      </c>
      <c r="R9" s="36">
        <f>MVTJANV24!R8+MVTFEV24!R8+MVTMARS24!R8+MVTAVRIL24!R8+MVTMAI24!R8+MVTJUIN24!R8+MVTJUIL24!R8+MVTAOUT24!R8+MVTSEPT24!R8+MVTOCT24!R8+MVTNOV24!R8+MVTDEC24!R8</f>
        <v>0</v>
      </c>
      <c r="S9" s="36">
        <f>MVTDEC23!S8+MVTJANV24!S8+MVTFEV24!S8+MVTMARS24!S8+MVTAVRIL24!S8+MVTMAI24!S8+MVTJUIN24!S8+MVTJUIL24!S8+MVTAOUT24!S8+MVTSEPT24!S8+MVTOCT24!S8+MVTNOV24!S8+MVTDEC24!S8</f>
        <v>500000</v>
      </c>
      <c r="T9" s="36">
        <f>MVTDEC23!T8+MVTJANV24!T8+MVTFEV24!T8+MVTMARS24!T8+MVTAVRIL24!T8+MVTMAI24!T8+MVTJUIN24!T8+MVTJUIL24!T8+MVTAOUT24!T8+MVTSEPT24!T8+MVTOCT24!T8+MVTNOV24!T8+MVTDEC24!T8</f>
        <v>40000</v>
      </c>
      <c r="U9" s="36"/>
      <c r="V9" s="36">
        <f>MVTJANV24!V8+MVTFEV24!V8+MVTMARS24!V8+MVTAVRIL24!V8+MVTMAI24!V8+MVTJUIN24!V8+MVTJUIL24!V8+MVTAOUT24!V8+MVTSEPT24!V8+MVTOCT24!V8+MVTNOV24!V8+MVTDEC24!V8</f>
        <v>0</v>
      </c>
      <c r="W9" s="36">
        <f t="shared" si="1"/>
        <v>500000</v>
      </c>
      <c r="X9" s="36"/>
      <c r="Y9" s="36"/>
      <c r="Z9" s="36">
        <f>MVTJANV24!Z8+MVTFEV24!Z8+MVTMARS24!Z8+MVTAVRIL24!Z8+MVTMAI24!Z8+MVTJUIN24!Z8+MVTJUIL24!Z8+MVTAOUT24!Z8+MVTSEPT24!Z8+MVTOCT24!Z8+MVTNOV24!Z8+MVTDEC24!Z8</f>
        <v>0</v>
      </c>
      <c r="AA9" s="36">
        <f>MVTJANV24!AA8+MVTFEV24!AA8+MVTMARS24!AA8+MVTAVRIL24!AA8+MVTMAI24!AA8+MVTJUIN24!AA8+MVTJUIL24!AA8+MVTAOUT24!AA8+MVTSEPT24!AA8+MVTOCT24!AA8+MVTNOV24!AA8+MVTDEC24!AA8</f>
        <v>0</v>
      </c>
      <c r="AB9" s="36">
        <f>MVTJANV24!AB8+MVTFEV24!AB8+MVTMARS24!AB8+MVTAVRIL24!AB8+MVTMAI24!AB8+MVTJUIN24!AB8+MVTJUIL24!AB8+MVTAOUT24!AB8+MVTSEPT24!AB8+MVTOCT24!AB8+MVTNOV24!AB8+MVTDEC24!AB8</f>
        <v>0</v>
      </c>
      <c r="AC9" s="36">
        <f>MVTJANV24!AC8+MVTFEV24!AC8+MVTMARS24!AC8+MVTAVRIL24!AC8+MVTMAI24!AC8+MVTJUIN24!AC8+MVTJUIL24!AC8+MVTAOUT24!AC8+MVTSEPT24!AC8+MVTOCT24!AC8+MVTNOV24!AC8+MVTDEC24!AC8</f>
        <v>0</v>
      </c>
      <c r="AD9" s="36">
        <f>MVTJANV24!AD8+MVTFEV24!AD8+MVTMARS24!AD8+MVTAVRIL24!AD8+MVTMAI24!AD8+MVTJUIN24!AD8+MVTJUIL24!AD8+MVTAOUT24!AD8+MVTSEPT24!AD8+MVTOCT24!AD8+MVTNOV24!AD8+MVTDEC24!AD8</f>
        <v>0</v>
      </c>
      <c r="AE9" s="36">
        <f>MVTJANV24!AE8+MVTFEV24!AE8+MVTMARS24!AE8+MVTAVRIL24!AE8+MVTMAI24!AE8+MVTJUIN24!AE8+MVTJUIL24!AE8+MVTAOUT24!AE8+MVTSEPT24!AE8+MVTOCT24!AE8+MVTNOV24!AE8+MVTDEC24!AE8</f>
        <v>0</v>
      </c>
      <c r="AF9" s="36">
        <f>MVTJANV24!AF8+MVTFEV24!AF8+MVTMARS24!AF8+MVTAVRIL24!AF8+MVTMAI24!AF8+MVTJUIN24!AF8+MVTJUIL24!AF8+MVTAOUT24!AF8+MVTSEPT24!AF8+MVTOCT24!AF8+MVTNOV24!AF8+MVTDEC24!AF8</f>
        <v>0</v>
      </c>
      <c r="AG9" s="36">
        <f>MVTJANV24!AG8+MVTFEV24!AG8+MVTMARS24!AG8+MVTAVRIL24!AG8+MVTMAI24!AG8+MVTJUIN24!AG8+MVTJUIL24!AG8+MVTAOUT24!AG8+MVTSEPT24!AG8+MVTOCT24!AG8+MVTNOV24!AG8+MVTDEC24!AG8</f>
        <v>0</v>
      </c>
      <c r="AH9" s="36">
        <f>MVTJANV24!AH8+MVTFEV24!AH8+MVTMARS24!AH8+MVTAVRIL24!AH8+MVTMAI24!AH8+MVTJUIN24!AH8+MVTJUIL24!AH8+MVTAOUT24!AH8+MVTSEPT24!AH8+MVTOCT24!AH8+MVTNOV24!AH8+MVTDEC24!AH8</f>
        <v>0</v>
      </c>
      <c r="AI9" s="36">
        <f>MVTJANV24!AI8+MVTFEV24!AI8+MVTMARS24!AI8+MVTAVRIL24!AI8+MVTMAI24!AI8+MVTJUIN24!AI8+MVTJUIL24!AI8+MVTAOUT24!AI8+MVTSEPT24!AI8+MVTOCT24!AI8+MVTNOV24!AI8+MVTDEC24!AI8</f>
        <v>0</v>
      </c>
      <c r="AJ9" s="36">
        <f>MVTJANV24!AJ8+MVTFEV24!AJ8+MVTMARS24!AJ8+MVTAVRIL24!AJ8+MVTMAI24!AJ8+MVTJUIN24!AJ8+MVTJUIL24!AJ8+MVTAOUT24!AJ8+MVTSEPT24!AJ8+MVTOCT24!AJ8+MVTNOV24!AJ8+MVTDEC24!AJ8</f>
        <v>0</v>
      </c>
      <c r="AK9" s="36">
        <f>MVTJANV24!AK8+MVTFEV24!AK8+MVTMARS24!AK8+MVTAVRIL24!AK8+MVTMAI24!AK8+MVTJUIN24!AK8+MVTJUIL24!AK8+MVTAOUT24!AK8+MVTSEPT24!AK8+MVTOCT24!AK8+MVTNOV24!AK8+MVTDEC24!AK8</f>
        <v>0</v>
      </c>
      <c r="AL9" s="143">
        <v>45352</v>
      </c>
      <c r="AM9" s="144">
        <f t="shared" si="2"/>
        <v>40000</v>
      </c>
      <c r="AN9" s="144"/>
      <c r="AP9" s="36"/>
    </row>
    <row r="10" spans="1:42" ht="15.75" x14ac:dyDescent="0.25">
      <c r="A10" s="1" t="s">
        <v>23</v>
      </c>
      <c r="B10" s="1" t="str">
        <f>VLOOKUP(A10,[19]LISTADHERENT!A$5:H$60,3,0)</f>
        <v xml:space="preserve">DJOMO JEAN PAUL </v>
      </c>
      <c r="C10" s="36">
        <f>+MVTDEC23!C9</f>
        <v>700000</v>
      </c>
      <c r="D10" s="36">
        <f>+MVTDEC23!D9</f>
        <v>53357.826243040035</v>
      </c>
      <c r="E10" s="36">
        <f>VLOOKUP($A10,[24]HISTODEC24!$A$6:$BA$38,48,0)</f>
        <v>0</v>
      </c>
      <c r="F10" s="36">
        <f>MVTDEC24!F9</f>
        <v>1029962.0068681776</v>
      </c>
      <c r="G10" s="5">
        <f>MVTDEC24!G9</f>
        <v>1029962.0068681776</v>
      </c>
      <c r="H10" s="36">
        <f>MVTDEC23!H9+MVTJANV24!H9+MVTFEV24!H9+MVTMARS24!H9+MVTAVRIL24!H9+MVTMAI24!H9+MVTJUIN24!H9+MVTJUIL24!H9+MVTAOUT24!H9+MVTSEPT24!H9+MVTOCT24!H9+MVTNOV24!H9+MVTDEC24!H9</f>
        <v>51104.180625137582</v>
      </c>
      <c r="I10" s="6">
        <f t="shared" si="0"/>
        <v>1081066.1874933152</v>
      </c>
      <c r="J10" s="36">
        <f>MVTJANV24!J9+MVTFEV24!J9+MVTMARS24!J9+MVTAVRIL24!J9+MVTMAI24!J9+MVTJUIN24!J9+MVTJUIL24!J9+MVTAOUT24!J9+MVTSEPT24!J9+MVTOCT24!J9+MVTNOV24!J9+MVTDEC24!J9</f>
        <v>0</v>
      </c>
      <c r="K10" s="36">
        <f>MVTJANV24!K9+MVTFEV24!K9+MVTMARS24!K9+MVTAVRIL24!K9+MVTMAI24!K9+MVTJUIN24!K9+MVTJUIL24!K9+MVTAOUT24!K9+MVTSEPT24!K9+MVTOCT24!K9+MVTNOV24!K9+MVTDEC24!K9</f>
        <v>297500</v>
      </c>
      <c r="L10" s="36">
        <f>MVTJANV24!L9+MVTFEV24!L9+MVTMARS24!L9+MVTAVRIL24!L9+MVTMAI24!L9+MVTJUIN24!L9+MVTJUIL24!L9+MVTAOUT24!L9+MVTSEPT24!L9+MVTOCT24!L9+MVTNOV24!L9+MVTDEC24!L9</f>
        <v>225500</v>
      </c>
      <c r="M10" s="36">
        <f>MVTJANV24!M9+MVTFEV24!M9+MVTMARS24!M9+MVTAVRIL24!M9+MVTMAI24!M9+MVTJUIN24!M9+MVTJUIL24!M9+MVTAOUT24!M9+MVTSEPT24!M9+MVTOCT24!M9+MVTNOV24!M9+MVTDEC24!M9</f>
        <v>12000</v>
      </c>
      <c r="N10" s="36">
        <f>MVTJANV24!N9+MVTFEV24!N9+MVTMARS24!N9+MVTAVRIL24!N9+MVTMAI24!N9+MVTJUIN24!N9+MVTJUIL24!N9+MVTAOUT24!N9+MVTSEPT24!N9+MVTOCT24!N9+MVTNOV24!N9+MVTDEC24!N9</f>
        <v>12000</v>
      </c>
      <c r="O10" s="36">
        <f>MVTJANV24!O9+MVTFEV24!O9+MVTMARS24!O9+MVTAVRIL24!O9+MVTMAI24!O9+MVTJUIN24!O9+MVTJUIL24!O9+MVTAOUT24!O9+MVTSEPT24!O9+MVTOCT24!O9+MVTNOV24!O9+MVTDEC24!O9</f>
        <v>48000</v>
      </c>
      <c r="P10" s="36">
        <f>MVTJANV24!P9+MVTFEV24!P9+MVTMARS24!P9+MVTAVRIL24!P9+MVTMAI24!P9+MVTJUIN24!P9+MVTJUIL24!P9+MVTAOUT24!P9+MVTSEPT24!P9+MVTOCT24!P9+MVTNOV24!P9+MVTDEC24!P9</f>
        <v>0</v>
      </c>
      <c r="Q10" s="36">
        <f>MVTJANV24!Q9+MVTFEV24!Q9+MVTMARS24!Q9+MVTAVRIL24!Q9+MVTMAI24!Q9+MVTJUIN24!Q9+MVTJUIL24!Q9+MVTAOUT24!Q9+MVTSEPT24!Q9+MVTOCT24!Q9+MVTNOV24!Q9+MVTDEC24!Q9</f>
        <v>0</v>
      </c>
      <c r="R10" s="36">
        <f>MVTJANV24!R9+MVTFEV24!R9+MVTMARS24!R9+MVTAVRIL24!R9+MVTMAI24!R9+MVTJUIN24!R9+MVTJUIL24!R9+MVTAOUT24!R9+MVTSEPT24!R9+MVTOCT24!R9+MVTNOV24!R9+MVTDEC24!R9</f>
        <v>0</v>
      </c>
      <c r="S10" s="36">
        <f>MVTDEC23!S9+MVTJANV24!S9+MVTFEV24!S9+MVTMARS24!S9+MVTAVRIL24!S9+MVTMAI24!S9+MVTJUIN24!S9+MVTJUIL24!S9+MVTAOUT24!S9+MVTSEPT24!S9+MVTOCT24!S9+MVTNOV24!S9+MVTDEC24!S9</f>
        <v>1000000</v>
      </c>
      <c r="T10" s="36">
        <f>MVTDEC23!T9+MVTJANV24!T9+MVTFEV24!T9+MVTMARS24!T9+MVTAVRIL24!T9+MVTMAI24!T9+MVTJUIN24!T9+MVTJUIL24!T9+MVTAOUT24!T9+MVTSEPT24!T9+MVTOCT24!T9+MVTNOV24!T9+MVTDEC24!T9</f>
        <v>120000</v>
      </c>
      <c r="U10" s="36"/>
      <c r="V10" s="36">
        <f>MVTJANV24!V9+MVTFEV24!V9+MVTMARS24!V9+MVTAVRIL24!V9+MVTMAI24!V9+MVTJUIN24!V9+MVTJUIL24!V9+MVTAOUT24!V9+MVTSEPT24!V9+MVTOCT24!V9+MVTNOV24!V9+MVTDEC24!V9</f>
        <v>0</v>
      </c>
      <c r="W10" s="36">
        <f t="shared" si="1"/>
        <v>1000000</v>
      </c>
      <c r="X10" s="36"/>
      <c r="Y10" s="36"/>
      <c r="Z10" s="36">
        <f>MVTJANV24!Z9+MVTFEV24!Z9+MVTMARS24!Z9+MVTAVRIL24!Z9+MVTMAI24!Z9+MVTJUIN24!Z9+MVTJUIL24!Z9+MVTAOUT24!Z9+MVTSEPT24!Z9+MVTOCT24!Z9+MVTNOV24!Z9+MVTDEC24!Z9</f>
        <v>0</v>
      </c>
      <c r="AA10" s="36">
        <f>MVTJANV24!AA9+MVTFEV24!AA9+MVTMARS24!AA9+MVTAVRIL24!AA9+MVTMAI24!AA9+MVTJUIN24!AA9+MVTJUIL24!AA9+MVTAOUT24!AA9+MVTSEPT24!AA9+MVTOCT24!AA9+MVTNOV24!AA9+MVTDEC24!AA9</f>
        <v>0</v>
      </c>
      <c r="AB10" s="36">
        <f>MVTJANV24!AB9+MVTFEV24!AB9+MVTMARS24!AB9+MVTAVRIL24!AB9+MVTMAI24!AB9+MVTJUIN24!AB9+MVTJUIL24!AB9+MVTAOUT24!AB9+MVTSEPT24!AB9+MVTOCT24!AB9+MVTNOV24!AB9+MVTDEC24!AB9</f>
        <v>0</v>
      </c>
      <c r="AC10" s="36">
        <f>MVTJANV24!AC9+MVTFEV24!AC9+MVTMARS24!AC9+MVTAVRIL24!AC9+MVTMAI24!AC9+MVTJUIN24!AC9+MVTJUIL24!AC9+MVTAOUT24!AC9+MVTSEPT24!AC9+MVTOCT24!AC9+MVTNOV24!AC9+MVTDEC24!AC9</f>
        <v>0</v>
      </c>
      <c r="AD10" s="36">
        <f>MVTJANV24!AD9+MVTFEV24!AD9+MVTMARS24!AD9+MVTAVRIL24!AD9+MVTMAI24!AD9+MVTJUIN24!AD9+MVTJUIL24!AD9+MVTAOUT24!AD9+MVTSEPT24!AD9+MVTOCT24!AD9+MVTNOV24!AD9+MVTDEC24!AD9</f>
        <v>0</v>
      </c>
      <c r="AE10" s="36">
        <f>MVTJANV24!AE9+MVTFEV24!AE9+MVTMARS24!AE9+MVTAVRIL24!AE9+MVTMAI24!AE9+MVTJUIN24!AE9+MVTJUIL24!AE9+MVTAOUT24!AE9+MVTSEPT24!AE9+MVTOCT24!AE9+MVTNOV24!AE9+MVTDEC24!AE9</f>
        <v>0</v>
      </c>
      <c r="AF10" s="36">
        <f>MVTJANV24!AF9+MVTFEV24!AF9+MVTMARS24!AF9+MVTAVRIL24!AF9+MVTMAI24!AF9+MVTJUIN24!AF9+MVTJUIL24!AF9+MVTAOUT24!AF9+MVTSEPT24!AF9+MVTOCT24!AF9+MVTNOV24!AF9+MVTDEC24!AF9</f>
        <v>0</v>
      </c>
      <c r="AG10" s="36">
        <f>MVTJANV24!AG9+MVTFEV24!AG9+MVTMARS24!AG9+MVTAVRIL24!AG9+MVTMAI24!AG9+MVTJUIN24!AG9+MVTJUIL24!AG9+MVTAOUT24!AG9+MVTSEPT24!AG9+MVTOCT24!AG9+MVTNOV24!AG9+MVTDEC24!AG9</f>
        <v>0</v>
      </c>
      <c r="AH10" s="36">
        <f>MVTJANV24!AH9+MVTFEV24!AH9+MVTMARS24!AH9+MVTAVRIL24!AH9+MVTMAI24!AH9+MVTJUIN24!AH9+MVTJUIL24!AH9+MVTAOUT24!AH9+MVTSEPT24!AH9+MVTOCT24!AH9+MVTNOV24!AH9+MVTDEC24!AH9</f>
        <v>0</v>
      </c>
      <c r="AI10" s="36">
        <f>MVTJANV24!AI9+MVTFEV24!AI9+MVTMARS24!AI9+MVTAVRIL24!AI9+MVTMAI24!AI9+MVTJUIN24!AI9+MVTJUIL24!AI9+MVTAOUT24!AI9+MVTSEPT24!AI9+MVTOCT24!AI9+MVTNOV24!AI9+MVTDEC24!AI9</f>
        <v>0</v>
      </c>
      <c r="AJ10" s="36">
        <f>MVTJANV24!AJ9+MVTFEV24!AJ9+MVTMARS24!AJ9+MVTAVRIL24!AJ9+MVTMAI24!AJ9+MVTJUIN24!AJ9+MVTJUIL24!AJ9+MVTAOUT24!AJ9+MVTSEPT24!AJ9+MVTOCT24!AJ9+MVTNOV24!AJ9+MVTDEC24!AJ9</f>
        <v>0</v>
      </c>
      <c r="AK10" s="36">
        <f>MVTJANV24!AK9+MVTFEV24!AK9+MVTMARS24!AK9+MVTAVRIL24!AK9+MVTMAI24!AK9+MVTJUIN24!AK9+MVTJUIL24!AK9+MVTAOUT24!AK9+MVTSEPT24!AK9+MVTOCT24!AK9+MVTNOV24!AK9+MVTDEC24!AK9</f>
        <v>0</v>
      </c>
      <c r="AL10" s="143">
        <v>45627</v>
      </c>
      <c r="AM10" s="144">
        <f t="shared" si="2"/>
        <v>120000</v>
      </c>
      <c r="AN10" s="144"/>
      <c r="AP10" s="36"/>
    </row>
    <row r="11" spans="1:42" ht="15.75" x14ac:dyDescent="0.25">
      <c r="A11" s="1" t="s">
        <v>154</v>
      </c>
      <c r="B11" s="1" t="str">
        <f>VLOOKUP(A11,[19]LISTADHERENT!A$5:H$60,3,0)</f>
        <v>DJOMOU TCHAPDA</v>
      </c>
      <c r="C11" s="36">
        <f>+MVTDEC23!C10</f>
        <v>700000</v>
      </c>
      <c r="D11" s="36">
        <f>+MVTDEC23!D10</f>
        <v>294.67929590542917</v>
      </c>
      <c r="E11" s="36">
        <f>VLOOKUP($A11,[24]HISTODEC24!$A$6:$BA$38,48,0)</f>
        <v>0</v>
      </c>
      <c r="F11" s="36">
        <f>MVTDEC24!F10</f>
        <v>969805.20622596238</v>
      </c>
      <c r="G11" s="5">
        <f>MVTDEC24!G10</f>
        <v>969805.20622596238</v>
      </c>
      <c r="H11" s="36">
        <f>MVTDEC23!H10+MVTJANV24!H10+MVTFEV24!H10+MVTMARS24!H10+MVTAVRIL24!H10+MVTMAI24!H10+MVTJUIN24!H10+MVTJUIL24!H10+MVTAOUT24!H10+MVTSEPT24!H10+MVTOCT24!H10+MVTNOV24!H10+MVTDEC24!H10</f>
        <v>47510.526930057073</v>
      </c>
      <c r="I11" s="6">
        <f t="shared" si="0"/>
        <v>1017315.7331560195</v>
      </c>
      <c r="J11" s="36">
        <f>MVTJANV24!J10+MVTFEV24!J10+MVTMARS24!J10+MVTAVRIL24!J10+MVTMAI24!J10+MVTJUIN24!J10+MVTJUIL24!J10+MVTAOUT24!J10+MVTSEPT24!J10+MVTOCT24!J10+MVTNOV24!J10+MVTDEC24!J10</f>
        <v>0</v>
      </c>
      <c r="K11" s="36">
        <f>MVTJANV24!K10+MVTFEV24!K10+MVTMARS24!K10+MVTAVRIL24!K10+MVTMAI24!K10+MVTJUIN24!K10+MVTJUIL24!K10+MVTAOUT24!K10+MVTSEPT24!K10+MVTOCT24!K10+MVTNOV24!K10+MVTDEC24!K10</f>
        <v>294000</v>
      </c>
      <c r="L11" s="36">
        <f>MVTJANV24!L10+MVTFEV24!L10+MVTMARS24!L10+MVTAVRIL24!L10+MVTMAI24!L10+MVTJUIN24!L10+MVTJUIL24!L10+MVTAOUT24!L10+MVTSEPT24!L10+MVTOCT24!L10+MVTNOV24!L10+MVTDEC24!L10</f>
        <v>222000</v>
      </c>
      <c r="M11" s="36">
        <f>MVTJANV24!M10+MVTFEV24!M10+MVTMARS24!M10+MVTAVRIL24!M10+MVTMAI24!M10+MVTJUIN24!M10+MVTJUIL24!M10+MVTAOUT24!M10+MVTSEPT24!M10+MVTOCT24!M10+MVTNOV24!M10+MVTDEC24!M10</f>
        <v>12000</v>
      </c>
      <c r="N11" s="36">
        <f>MVTJANV24!N10+MVTFEV24!N10+MVTMARS24!N10+MVTAVRIL24!N10+MVTMAI24!N10+MVTJUIN24!N10+MVTJUIL24!N10+MVTAOUT24!N10+MVTSEPT24!N10+MVTOCT24!N10+MVTNOV24!N10+MVTDEC24!N10</f>
        <v>12000</v>
      </c>
      <c r="O11" s="36">
        <f>MVTJANV24!O10+MVTFEV24!O10+MVTMARS24!O10+MVTAVRIL24!O10+MVTMAI24!O10+MVTJUIN24!O10+MVTJUIL24!O10+MVTAOUT24!O10+MVTSEPT24!O10+MVTOCT24!O10+MVTNOV24!O10+MVTDEC24!O10</f>
        <v>48000</v>
      </c>
      <c r="P11" s="36">
        <f>MVTJANV24!P10+MVTFEV24!P10+MVTMARS24!P10+MVTAVRIL24!P10+MVTMAI24!P10+MVTJUIN24!P10+MVTJUIL24!P10+MVTAOUT24!P10+MVTSEPT24!P10+MVTOCT24!P10+MVTNOV24!P10+MVTDEC24!P10</f>
        <v>3000</v>
      </c>
      <c r="Q11" s="36">
        <f>MVTJANV24!Q10+MVTFEV24!Q10+MVTMARS24!Q10+MVTAVRIL24!Q10+MVTMAI24!Q10+MVTJUIN24!Q10+MVTJUIL24!Q10+MVTAOUT24!Q10+MVTSEPT24!Q10+MVTOCT24!Q10+MVTNOV24!Q10+MVTDEC24!Q10</f>
        <v>0</v>
      </c>
      <c r="R11" s="36">
        <f>MVTJANV24!R10+MVTFEV24!R10+MVTMARS24!R10+MVTAVRIL24!R10+MVTMAI24!R10+MVTJUIN24!R10+MVTJUIL24!R10+MVTAOUT24!R10+MVTSEPT24!R10+MVTOCT24!R10+MVTNOV24!R10+MVTDEC24!R10</f>
        <v>0</v>
      </c>
      <c r="S11" s="36">
        <f>MVTDEC23!S10+MVTJANV24!S10+MVTFEV24!S10+MVTMARS24!S10+MVTAVRIL24!S10+MVTMAI24!S10+MVTJUIN24!S10+MVTJUIL24!S10+MVTAOUT24!S10+MVTSEPT24!S10+MVTOCT24!S10+MVTNOV24!S10+MVTDEC24!S10</f>
        <v>1000000</v>
      </c>
      <c r="T11" s="36">
        <f>MVTDEC23!T10+MVTJANV24!T10+MVTFEV24!T10+MVTMARS24!T10+MVTAVRIL24!T10+MVTMAI24!T10+MVTJUIN24!T10+MVTJUIL24!T10+MVTAOUT24!T10+MVTSEPT24!T10+MVTOCT24!T10+MVTNOV24!T10+MVTDEC24!T10</f>
        <v>120000</v>
      </c>
      <c r="U11" s="36"/>
      <c r="V11" s="36">
        <f>MVTJANV24!V10+MVTFEV24!V10+MVTMARS24!V10+MVTAVRIL24!V10+MVTMAI24!V10+MVTJUIN24!V10+MVTJUIL24!V10+MVTAOUT24!V10+MVTSEPT24!V10+MVTOCT24!V10+MVTNOV24!V10+MVTDEC24!V10</f>
        <v>0</v>
      </c>
      <c r="W11" s="36">
        <f t="shared" si="1"/>
        <v>1000000</v>
      </c>
      <c r="X11" s="36"/>
      <c r="Y11" s="36"/>
      <c r="Z11" s="36">
        <f>MVTJANV24!Z10+MVTFEV24!Z10+MVTMARS24!Z10+MVTAVRIL24!Z10+MVTMAI24!Z10+MVTJUIN24!Z10+MVTJUIL24!Z10+MVTAOUT24!Z10+MVTSEPT24!Z10+MVTOCT24!Z10+MVTNOV24!Z10+MVTDEC24!Z10</f>
        <v>0</v>
      </c>
      <c r="AA11" s="36">
        <f>MVTJANV24!AA10+MVTFEV24!AA10+MVTMARS24!AA10+MVTAVRIL24!AA10+MVTMAI24!AA10+MVTJUIN24!AA10+MVTJUIL24!AA10+MVTAOUT24!AA10+MVTSEPT24!AA10+MVTOCT24!AA10+MVTNOV24!AA10+MVTDEC24!AA10</f>
        <v>0</v>
      </c>
      <c r="AB11" s="36">
        <f>MVTJANV24!AB10+MVTFEV24!AB10+MVTMARS24!AB10+MVTAVRIL24!AB10+MVTMAI24!AB10+MVTJUIN24!AB10+MVTJUIL24!AB10+MVTAOUT24!AB10+MVTSEPT24!AB10+MVTOCT24!AB10+MVTNOV24!AB10+MVTDEC24!AB10</f>
        <v>0</v>
      </c>
      <c r="AC11" s="36">
        <f>MVTJANV24!AC10+MVTFEV24!AC10+MVTMARS24!AC10+MVTAVRIL24!AC10+MVTMAI24!AC10+MVTJUIN24!AC10+MVTJUIL24!AC10+MVTAOUT24!AC10+MVTSEPT24!AC10+MVTOCT24!AC10+MVTNOV24!AC10+MVTDEC24!AC10</f>
        <v>0</v>
      </c>
      <c r="AD11" s="36">
        <f>MVTJANV24!AD10+MVTFEV24!AD10+MVTMARS24!AD10+MVTAVRIL24!AD10+MVTMAI24!AD10+MVTJUIN24!AD10+MVTJUIL24!AD10+MVTAOUT24!AD10+MVTSEPT24!AD10+MVTOCT24!AD10+MVTNOV24!AD10+MVTDEC24!AD10</f>
        <v>0</v>
      </c>
      <c r="AE11" s="36">
        <f>MVTJANV24!AE10+MVTFEV24!AE10+MVTMARS24!AE10+MVTAVRIL24!AE10+MVTMAI24!AE10+MVTJUIN24!AE10+MVTJUIL24!AE10+MVTAOUT24!AE10+MVTSEPT24!AE10+MVTOCT24!AE10+MVTNOV24!AE10+MVTDEC24!AE10</f>
        <v>0</v>
      </c>
      <c r="AF11" s="36">
        <f>MVTJANV24!AF10+MVTFEV24!AF10+MVTMARS24!AF10+MVTAVRIL24!AF10+MVTMAI24!AF10+MVTJUIN24!AF10+MVTJUIL24!AF10+MVTAOUT24!AF10+MVTSEPT24!AF10+MVTOCT24!AF10+MVTNOV24!AF10+MVTDEC24!AF10</f>
        <v>0</v>
      </c>
      <c r="AG11" s="36">
        <f>MVTJANV24!AG10+MVTFEV24!AG10+MVTMARS24!AG10+MVTAVRIL24!AG10+MVTMAI24!AG10+MVTJUIN24!AG10+MVTJUIL24!AG10+MVTAOUT24!AG10+MVTSEPT24!AG10+MVTOCT24!AG10+MVTNOV24!AG10+MVTDEC24!AG10</f>
        <v>0</v>
      </c>
      <c r="AH11" s="36">
        <f>MVTJANV24!AH10+MVTFEV24!AH10+MVTMARS24!AH10+MVTAVRIL24!AH10+MVTMAI24!AH10+MVTJUIN24!AH10+MVTJUIL24!AH10+MVTAOUT24!AH10+MVTSEPT24!AH10+MVTOCT24!AH10+MVTNOV24!AH10+MVTDEC24!AH10</f>
        <v>0</v>
      </c>
      <c r="AI11" s="36">
        <f>MVTJANV24!AI10+MVTFEV24!AI10+MVTMARS24!AI10+MVTAVRIL24!AI10+MVTMAI24!AI10+MVTJUIN24!AI10+MVTJUIL24!AI10+MVTAOUT24!AI10+MVTSEPT24!AI10+MVTOCT24!AI10+MVTNOV24!AI10+MVTDEC24!AI10</f>
        <v>0</v>
      </c>
      <c r="AJ11" s="36">
        <f>MVTJANV24!AJ10+MVTFEV24!AJ10+MVTMARS24!AJ10+MVTAVRIL24!AJ10+MVTMAI24!AJ10+MVTJUIN24!AJ10+MVTJUIL24!AJ10+MVTAOUT24!AJ10+MVTSEPT24!AJ10+MVTOCT24!AJ10+MVTNOV24!AJ10+MVTDEC24!AJ10</f>
        <v>0</v>
      </c>
      <c r="AK11" s="36">
        <f>MVTJANV24!AK10+MVTFEV24!AK10+MVTMARS24!AK10+MVTAVRIL24!AK10+MVTMAI24!AK10+MVTJUIN24!AK10+MVTJUIL24!AK10+MVTAOUT24!AK10+MVTSEPT24!AK10+MVTOCT24!AK10+MVTNOV24!AK10+MVTDEC24!AK10</f>
        <v>0</v>
      </c>
      <c r="AL11" s="143">
        <v>45627</v>
      </c>
      <c r="AM11" s="144">
        <f t="shared" si="2"/>
        <v>120000</v>
      </c>
      <c r="AN11" s="144"/>
      <c r="AP11" s="36"/>
    </row>
    <row r="12" spans="1:42" ht="15.75" x14ac:dyDescent="0.25">
      <c r="A12" s="1" t="s">
        <v>24</v>
      </c>
      <c r="B12" s="1" t="str">
        <f>VLOOKUP(A12,[19]LISTADHERENT!A$5:H$60,3,0)</f>
        <v>DJOUKWE NANGUEN GUY BLAISE</v>
      </c>
      <c r="C12" s="36">
        <f>+MVTDEC23!C11</f>
        <v>700000</v>
      </c>
      <c r="D12" s="36">
        <f>+MVTDEC23!D11</f>
        <v>2196.7678974067676</v>
      </c>
      <c r="E12" s="36">
        <f>VLOOKUP($A12,[24]HISTODEC24!$A$6:$BA$38,48,0)</f>
        <v>0</v>
      </c>
      <c r="F12" s="36">
        <f>MVTDEC24!F11</f>
        <v>987855.82895949238</v>
      </c>
      <c r="G12" s="5">
        <f>MVTDEC24!G11</f>
        <v>987855.82895949238</v>
      </c>
      <c r="H12" s="36">
        <f>MVTDEC23!H11+MVTJANV24!H11+MVTFEV24!H11+MVTMARS24!H11+MVTAVRIL24!H11+MVTMAI24!H11+MVTJUIN24!H11+MVTJUIL24!H11+MVTAOUT24!H11+MVTSEPT24!H11+MVTOCT24!H11+MVTNOV24!H11+MVTDEC24!H11</f>
        <v>47659.061062085508</v>
      </c>
      <c r="I12" s="6">
        <f t="shared" si="0"/>
        <v>1035514.8900215779</v>
      </c>
      <c r="J12" s="36">
        <f>MVTJANV24!J11+MVTFEV24!J11+MVTMARS24!J11+MVTAVRIL24!J11+MVTMAI24!J11+MVTJUIN24!J11+MVTJUIL24!J11+MVTAOUT24!J11+MVTSEPT24!J11+MVTOCT24!J11+MVTNOV24!J11+MVTDEC24!J11</f>
        <v>0</v>
      </c>
      <c r="K12" s="36">
        <f>MVTJANV24!K11+MVTFEV24!K11+MVTMARS24!K11+MVTAVRIL24!K11+MVTMAI24!K11+MVTJUIN24!K11+MVTJUIL24!K11+MVTAOUT24!K11+MVTSEPT24!K11+MVTOCT24!K11+MVTNOV24!K11+MVTDEC24!K11</f>
        <v>310000</v>
      </c>
      <c r="L12" s="36">
        <f>MVTJANV24!L11+MVTFEV24!L11+MVTMARS24!L11+MVTAVRIL24!L11+MVTMAI24!L11+MVTJUIN24!L11+MVTJUIL24!L11+MVTAOUT24!L11+MVTSEPT24!L11+MVTOCT24!L11+MVTNOV24!L11+MVTDEC24!L11</f>
        <v>238000</v>
      </c>
      <c r="M12" s="36">
        <f>MVTJANV24!M11+MVTFEV24!M11+MVTMARS24!M11+MVTAVRIL24!M11+MVTMAI24!M11+MVTJUIN24!M11+MVTJUIL24!M11+MVTAOUT24!M11+MVTSEPT24!M11+MVTOCT24!M11+MVTNOV24!M11+MVTDEC24!M11</f>
        <v>12000</v>
      </c>
      <c r="N12" s="36">
        <f>MVTJANV24!N11+MVTFEV24!N11+MVTMARS24!N11+MVTAVRIL24!N11+MVTMAI24!N11+MVTJUIN24!N11+MVTJUIL24!N11+MVTAOUT24!N11+MVTSEPT24!N11+MVTOCT24!N11+MVTNOV24!N11+MVTDEC24!N11</f>
        <v>12000</v>
      </c>
      <c r="O12" s="36">
        <f>MVTJANV24!O11+MVTFEV24!O11+MVTMARS24!O11+MVTAVRIL24!O11+MVTMAI24!O11+MVTJUIN24!O11+MVTJUIL24!O11+MVTAOUT24!O11+MVTSEPT24!O11+MVTOCT24!O11+MVTNOV24!O11+MVTDEC24!O11</f>
        <v>48000</v>
      </c>
      <c r="P12" s="36">
        <f>MVTJANV24!P11+MVTFEV24!P11+MVTMARS24!P11+MVTAVRIL24!P11+MVTMAI24!P11+MVTJUIN24!P11+MVTJUIL24!P11+MVTAOUT24!P11+MVTSEPT24!P11+MVTOCT24!P11+MVTNOV24!P11+MVTDEC24!P11</f>
        <v>0</v>
      </c>
      <c r="Q12" s="36">
        <f>MVTJANV24!Q11+MVTFEV24!Q11+MVTMARS24!Q11+MVTAVRIL24!Q11+MVTMAI24!Q11+MVTJUIN24!Q11+MVTJUIL24!Q11+MVTAOUT24!Q11+MVTSEPT24!Q11+MVTOCT24!Q11+MVTNOV24!Q11+MVTDEC24!Q11</f>
        <v>0</v>
      </c>
      <c r="R12" s="36">
        <f>MVTJANV24!R11+MVTFEV24!R11+MVTMARS24!R11+MVTAVRIL24!R11+MVTMAI24!R11+MVTJUIN24!R11+MVTJUIL24!R11+MVTAOUT24!R11+MVTSEPT24!R11+MVTOCT24!R11+MVTNOV24!R11+MVTDEC24!R11</f>
        <v>0</v>
      </c>
      <c r="S12" s="36">
        <f>MVTDEC23!S11+MVTJANV24!S11+MVTFEV24!S11+MVTMARS24!S11+MVTAVRIL24!S11+MVTMAI24!S11+MVTJUIN24!S11+MVTJUIL24!S11+MVTAOUT24!S11+MVTSEPT24!S11+MVTOCT24!S11+MVTNOV24!S11+MVTDEC24!S11</f>
        <v>2000000</v>
      </c>
      <c r="T12" s="36">
        <f>MVTDEC23!T11+MVTJANV24!T11+MVTFEV24!T11+MVTMARS24!T11+MVTAVRIL24!T11+MVTMAI24!T11+MVTJUIN24!T11+MVTJUIL24!T11+MVTAOUT24!T11+MVTSEPT24!T11+MVTOCT24!T11+MVTNOV24!T11+MVTDEC24!T11</f>
        <v>40000</v>
      </c>
      <c r="U12" s="36"/>
      <c r="V12" s="36">
        <f>MVTJANV24!V11+MVTFEV24!V11+MVTMARS24!V11+MVTAVRIL24!V11+MVTMAI24!V11+MVTJUIN24!V11+MVTJUIL24!V11+MVTAOUT24!V11+MVTSEPT24!V11+MVTOCT24!V11+MVTNOV24!V11+MVTDEC24!V11</f>
        <v>1000000</v>
      </c>
      <c r="W12" s="36">
        <f t="shared" si="1"/>
        <v>1000000</v>
      </c>
      <c r="X12" s="36"/>
      <c r="Y12" s="36"/>
      <c r="Z12" s="36">
        <f>MVTJANV24!Z11+MVTFEV24!Z11+MVTMARS24!Z11+MVTAVRIL24!Z11+MVTMAI24!Z11+MVTJUIN24!Z11+MVTJUIL24!Z11+MVTAOUT24!Z11+MVTSEPT24!Z11+MVTOCT24!Z11+MVTNOV24!Z11+MVTDEC24!Z11</f>
        <v>0</v>
      </c>
      <c r="AA12" s="36">
        <f>MVTJANV24!AA11+MVTFEV24!AA11+MVTMARS24!AA11+MVTAVRIL24!AA11+MVTMAI24!AA11+MVTJUIN24!AA11+MVTJUIL24!AA11+MVTAOUT24!AA11+MVTSEPT24!AA11+MVTOCT24!AA11+MVTNOV24!AA11+MVTDEC24!AA11</f>
        <v>0</v>
      </c>
      <c r="AB12" s="36">
        <f>MVTJANV24!AB11+MVTFEV24!AB11+MVTMARS24!AB11+MVTAVRIL24!AB11+MVTMAI24!AB11+MVTJUIN24!AB11+MVTJUIL24!AB11+MVTAOUT24!AB11+MVTSEPT24!AB11+MVTOCT24!AB11+MVTNOV24!AB11+MVTDEC24!AB11</f>
        <v>0</v>
      </c>
      <c r="AC12" s="36">
        <f>MVTJANV24!AC11+MVTFEV24!AC11+MVTMARS24!AC11+MVTAVRIL24!AC11+MVTMAI24!AC11+MVTJUIN24!AC11+MVTJUIL24!AC11+MVTAOUT24!AC11+MVTSEPT24!AC11+MVTOCT24!AC11+MVTNOV24!AC11+MVTDEC24!AC11</f>
        <v>0</v>
      </c>
      <c r="AD12" s="36">
        <f>MVTJANV24!AD11+MVTFEV24!AD11+MVTMARS24!AD11+MVTAVRIL24!AD11+MVTMAI24!AD11+MVTJUIN24!AD11+MVTJUIL24!AD11+MVTAOUT24!AD11+MVTSEPT24!AD11+MVTOCT24!AD11+MVTNOV24!AD11+MVTDEC24!AD11</f>
        <v>0</v>
      </c>
      <c r="AE12" s="36">
        <f>MVTJANV24!AE11+MVTFEV24!AE11+MVTMARS24!AE11+MVTAVRIL24!AE11+MVTMAI24!AE11+MVTJUIN24!AE11+MVTJUIL24!AE11+MVTAOUT24!AE11+MVTSEPT24!AE11+MVTOCT24!AE11+MVTNOV24!AE11+MVTDEC24!AE11</f>
        <v>0</v>
      </c>
      <c r="AF12" s="36">
        <f>MVTJANV24!AF11+MVTFEV24!AF11+MVTMARS24!AF11+MVTAVRIL24!AF11+MVTMAI24!AF11+MVTJUIN24!AF11+MVTJUIL24!AF11+MVTAOUT24!AF11+MVTSEPT24!AF11+MVTOCT24!AF11+MVTNOV24!AF11+MVTDEC24!AF11</f>
        <v>0</v>
      </c>
      <c r="AG12" s="36">
        <f>MVTJANV24!AG11+MVTFEV24!AG11+MVTMARS24!AG11+MVTAVRIL24!AG11+MVTMAI24!AG11+MVTJUIN24!AG11+MVTJUIL24!AG11+MVTAOUT24!AG11+MVTSEPT24!AG11+MVTOCT24!AG11+MVTNOV24!AG11+MVTDEC24!AG11</f>
        <v>0</v>
      </c>
      <c r="AH12" s="36">
        <f>MVTJANV24!AH11+MVTFEV24!AH11+MVTMARS24!AH11+MVTAVRIL24!AH11+MVTMAI24!AH11+MVTJUIN24!AH11+MVTJUIL24!AH11+MVTAOUT24!AH11+MVTSEPT24!AH11+MVTOCT24!AH11+MVTNOV24!AH11+MVTDEC24!AH11</f>
        <v>0</v>
      </c>
      <c r="AI12" s="36">
        <f>MVTJANV24!AI11+MVTFEV24!AI11+MVTMARS24!AI11+MVTAVRIL24!AI11+MVTMAI24!AI11+MVTJUIN24!AI11+MVTJUIL24!AI11+MVTAOUT24!AI11+MVTSEPT24!AI11+MVTOCT24!AI11+MVTNOV24!AI11+MVTDEC24!AI11</f>
        <v>0</v>
      </c>
      <c r="AJ12" s="36">
        <f>MVTJANV24!AJ11+MVTFEV24!AJ11+MVTMARS24!AJ11+MVTAVRIL24!AJ11+MVTMAI24!AJ11+MVTJUIN24!AJ11+MVTJUIL24!AJ11+MVTAOUT24!AJ11+MVTSEPT24!AJ11+MVTOCT24!AJ11+MVTNOV24!AJ11+MVTDEC24!AJ11</f>
        <v>0</v>
      </c>
      <c r="AK12" s="36">
        <f>MVTJANV24!AK11+MVTFEV24!AK11+MVTMARS24!AK11+MVTAVRIL24!AK11+MVTMAI24!AK11+MVTJUIN24!AK11+MVTJUIL24!AK11+MVTAOUT24!AK11+MVTSEPT24!AK11+MVTOCT24!AK11+MVTNOV24!AK11+MVTDEC24!AK11</f>
        <v>0</v>
      </c>
      <c r="AL12" s="143">
        <v>45352</v>
      </c>
      <c r="AM12" s="144">
        <f t="shared" si="2"/>
        <v>40000</v>
      </c>
      <c r="AN12" s="144"/>
      <c r="AP12" s="36"/>
    </row>
    <row r="13" spans="1:42" ht="15.75" x14ac:dyDescent="0.25">
      <c r="A13" s="1" t="s">
        <v>25</v>
      </c>
      <c r="B13" s="1" t="str">
        <f>VLOOKUP(A13,[19]LISTADHERENT!A$5:H$60,3,0)</f>
        <v>DJUOMBESSY ANTOINE</v>
      </c>
      <c r="C13" s="36">
        <f>+MVTDEC23!C12</f>
        <v>700000</v>
      </c>
      <c r="D13" s="36">
        <f>+MVTDEC23!D12</f>
        <v>14513.277451620379</v>
      </c>
      <c r="E13" s="36">
        <f>VLOOKUP($A13,[24]HISTODEC24!$A$6:$BA$38,48,0)</f>
        <v>0</v>
      </c>
      <c r="F13" s="36">
        <f>MVTDEC24!F12</f>
        <v>1011100.1474133957</v>
      </c>
      <c r="G13" s="5">
        <f>MVTDEC24!G12</f>
        <v>1011100.1474133957</v>
      </c>
      <c r="H13" s="36">
        <f>MVTDEC23!H12+MVTJANV24!H12+MVTFEV24!H12+MVTMARS24!H12+MVTAVRIL24!H12+MVTMAI24!H12+MVTJUIN24!H12+MVTJUIL24!H12+MVTAOUT24!H12+MVTSEPT24!H12+MVTOCT24!H12+MVTNOV24!H12+MVTDEC24!H12</f>
        <v>48586.869961775206</v>
      </c>
      <c r="I13" s="6">
        <f t="shared" si="0"/>
        <v>1059687.017375171</v>
      </c>
      <c r="J13" s="36">
        <f>MVTJANV24!J12+MVTFEV24!J12+MVTMARS24!J12+MVTAVRIL24!J12+MVTMAI24!J12+MVTJUIN24!J12+MVTJUIL24!J12+MVTAOUT24!J12+MVTSEPT24!J12+MVTOCT24!J12+MVTNOV24!J12+MVTDEC24!J12</f>
        <v>0</v>
      </c>
      <c r="K13" s="36">
        <f>MVTJANV24!K12+MVTFEV24!K12+MVTMARS24!K12+MVTAVRIL24!K12+MVTMAI24!K12+MVTJUIN24!K12+MVTJUIL24!K12+MVTAOUT24!K12+MVTSEPT24!K12+MVTOCT24!K12+MVTNOV24!K12+MVTDEC24!K12</f>
        <v>320000</v>
      </c>
      <c r="L13" s="36">
        <f>MVTJANV24!L12+MVTFEV24!L12+MVTMARS24!L12+MVTAVRIL24!L12+MVTMAI24!L12+MVTJUIN24!L12+MVTJUIL24!L12+MVTAOUT24!L12+MVTSEPT24!L12+MVTOCT24!L12+MVTNOV24!L12+MVTDEC24!L12</f>
        <v>248000</v>
      </c>
      <c r="M13" s="36">
        <f>MVTJANV24!M12+MVTFEV24!M12+MVTMARS24!M12+MVTAVRIL24!M12+MVTMAI24!M12+MVTJUIN24!M12+MVTJUIL24!M12+MVTAOUT24!M12+MVTSEPT24!M12+MVTOCT24!M12+MVTNOV24!M12+MVTDEC24!M12</f>
        <v>12000</v>
      </c>
      <c r="N13" s="36">
        <f>MVTJANV24!N12+MVTFEV24!N12+MVTMARS24!N12+MVTAVRIL24!N12+MVTMAI24!N12+MVTJUIN24!N12+MVTJUIL24!N12+MVTAOUT24!N12+MVTSEPT24!N12+MVTOCT24!N12+MVTNOV24!N12+MVTDEC24!N12</f>
        <v>12000</v>
      </c>
      <c r="O13" s="36">
        <f>MVTJANV24!O12+MVTFEV24!O12+MVTMARS24!O12+MVTAVRIL24!O12+MVTMAI24!O12+MVTJUIN24!O12+MVTJUIL24!O12+MVTAOUT24!O12+MVTSEPT24!O12+MVTOCT24!O12+MVTNOV24!O12+MVTDEC24!O12</f>
        <v>48000</v>
      </c>
      <c r="P13" s="36">
        <f>MVTJANV24!P12+MVTFEV24!P12+MVTMARS24!P12+MVTAVRIL24!P12+MVTMAI24!P12+MVTJUIN24!P12+MVTJUIL24!P12+MVTAOUT24!P12+MVTSEPT24!P12+MVTOCT24!P12+MVTNOV24!P12+MVTDEC24!P12</f>
        <v>0</v>
      </c>
      <c r="Q13" s="36">
        <f>MVTJANV24!Q12+MVTFEV24!Q12+MVTMARS24!Q12+MVTAVRIL24!Q12+MVTMAI24!Q12+MVTJUIN24!Q12+MVTJUIL24!Q12+MVTAOUT24!Q12+MVTSEPT24!Q12+MVTOCT24!Q12+MVTNOV24!Q12+MVTDEC24!Q12</f>
        <v>0</v>
      </c>
      <c r="R13" s="36">
        <f>MVTJANV24!R12+MVTFEV24!R12+MVTMARS24!R12+MVTAVRIL24!R12+MVTMAI24!R12+MVTJUIN24!R12+MVTJUIL24!R12+MVTAOUT24!R12+MVTSEPT24!R12+MVTOCT24!R12+MVTNOV24!R12+MVTDEC24!R12</f>
        <v>0</v>
      </c>
      <c r="S13" s="36">
        <f>MVTDEC23!S12+MVTJANV24!S12+MVTFEV24!S12+MVTMARS24!S12+MVTAVRIL24!S12+MVTMAI24!S12+MVTJUIN24!S12+MVTJUIL24!S12+MVTAOUT24!S12+MVTSEPT24!S12+MVTOCT24!S12+MVTNOV24!S12+MVTDEC24!S12</f>
        <v>1000000</v>
      </c>
      <c r="T13" s="36">
        <f>MVTDEC23!T12+MVTJANV24!T12+MVTFEV24!T12+MVTMARS24!T12+MVTAVRIL24!T12+MVTMAI24!T12+MVTJUIN24!T12+MVTJUIL24!T12+MVTAOUT24!T12+MVTSEPT24!T12+MVTOCT24!T12+MVTNOV24!T12+MVTDEC24!T12</f>
        <v>60000</v>
      </c>
      <c r="U13" s="36"/>
      <c r="V13" s="36">
        <f>MVTJANV24!V12+MVTFEV24!V12+MVTMARS24!V12+MVTAVRIL24!V12+MVTMAI24!V12+MVTJUIN24!V12+MVTJUIL24!V12+MVTAOUT24!V12+MVTSEPT24!V12+MVTOCT24!V12+MVTNOV24!V12+MVTDEC24!V12</f>
        <v>0</v>
      </c>
      <c r="W13" s="36">
        <f t="shared" si="1"/>
        <v>1000000</v>
      </c>
      <c r="X13" s="36"/>
      <c r="Y13" s="36"/>
      <c r="Z13" s="36">
        <f>MVTJANV24!Z12+MVTFEV24!Z12+MVTMARS24!Z12+MVTAVRIL24!Z12+MVTMAI24!Z12+MVTJUIN24!Z12+MVTJUIL24!Z12+MVTAOUT24!Z12+MVTSEPT24!Z12+MVTOCT24!Z12+MVTNOV24!Z12+MVTDEC24!Z12</f>
        <v>0</v>
      </c>
      <c r="AA13" s="36">
        <f>MVTJANV24!AA12+MVTFEV24!AA12+MVTMARS24!AA12+MVTAVRIL24!AA12+MVTMAI24!AA12+MVTJUIN24!AA12+MVTJUIL24!AA12+MVTAOUT24!AA12+MVTSEPT24!AA12+MVTOCT24!AA12+MVTNOV24!AA12+MVTDEC24!AA12</f>
        <v>0</v>
      </c>
      <c r="AB13" s="36">
        <f>MVTJANV24!AB12+MVTFEV24!AB12+MVTMARS24!AB12+MVTAVRIL24!AB12+MVTMAI24!AB12+MVTJUIN24!AB12+MVTJUIL24!AB12+MVTAOUT24!AB12+MVTSEPT24!AB12+MVTOCT24!AB12+MVTNOV24!AB12+MVTDEC24!AB12</f>
        <v>0</v>
      </c>
      <c r="AC13" s="36">
        <f>MVTJANV24!AC12+MVTFEV24!AC12+MVTMARS24!AC12+MVTAVRIL24!AC12+MVTMAI24!AC12+MVTJUIN24!AC12+MVTJUIL24!AC12+MVTAOUT24!AC12+MVTSEPT24!AC12+MVTOCT24!AC12+MVTNOV24!AC12+MVTDEC24!AC12</f>
        <v>0</v>
      </c>
      <c r="AD13" s="36">
        <f>MVTJANV24!AD12+MVTFEV24!AD12+MVTMARS24!AD12+MVTAVRIL24!AD12+MVTMAI24!AD12+MVTJUIN24!AD12+MVTJUIL24!AD12+MVTAOUT24!AD12+MVTSEPT24!AD12+MVTOCT24!AD12+MVTNOV24!AD12+MVTDEC24!AD12</f>
        <v>0</v>
      </c>
      <c r="AE13" s="36">
        <f>MVTJANV24!AE12+MVTFEV24!AE12+MVTMARS24!AE12+MVTAVRIL24!AE12+MVTMAI24!AE12+MVTJUIN24!AE12+MVTJUIL24!AE12+MVTAOUT24!AE12+MVTSEPT24!AE12+MVTOCT24!AE12+MVTNOV24!AE12+MVTDEC24!AE12</f>
        <v>0</v>
      </c>
      <c r="AF13" s="36">
        <f>MVTJANV24!AF12+MVTFEV24!AF12+MVTMARS24!AF12+MVTAVRIL24!AF12+MVTMAI24!AF12+MVTJUIN24!AF12+MVTJUIL24!AF12+MVTAOUT24!AF12+MVTSEPT24!AF12+MVTOCT24!AF12+MVTNOV24!AF12+MVTDEC24!AF12</f>
        <v>0</v>
      </c>
      <c r="AG13" s="36">
        <f>MVTJANV24!AG12+MVTFEV24!AG12+MVTMARS24!AG12+MVTAVRIL24!AG12+MVTMAI24!AG12+MVTJUIN24!AG12+MVTJUIL24!AG12+MVTAOUT24!AG12+MVTSEPT24!AG12+MVTOCT24!AG12+MVTNOV24!AG12+MVTDEC24!AG12</f>
        <v>0</v>
      </c>
      <c r="AH13" s="36">
        <f>MVTJANV24!AH12+MVTFEV24!AH12+MVTMARS24!AH12+MVTAVRIL24!AH12+MVTMAI24!AH12+MVTJUIN24!AH12+MVTJUIL24!AH12+MVTAOUT24!AH12+MVTSEPT24!AH12+MVTOCT24!AH12+MVTNOV24!AH12+MVTDEC24!AH12</f>
        <v>0</v>
      </c>
      <c r="AI13" s="36">
        <f>MVTJANV24!AI12+MVTFEV24!AI12+MVTMARS24!AI12+MVTAVRIL24!AI12+MVTMAI24!AI12+MVTJUIN24!AI12+MVTJUIL24!AI12+MVTAOUT24!AI12+MVTSEPT24!AI12+MVTOCT24!AI12+MVTNOV24!AI12+MVTDEC24!AI12</f>
        <v>0</v>
      </c>
      <c r="AJ13" s="36">
        <f>MVTJANV24!AJ12+MVTFEV24!AJ12+MVTMARS24!AJ12+MVTAVRIL24!AJ12+MVTMAI24!AJ12+MVTJUIN24!AJ12+MVTJUIL24!AJ12+MVTAOUT24!AJ12+MVTSEPT24!AJ12+MVTOCT24!AJ12+MVTNOV24!AJ12+MVTDEC24!AJ12</f>
        <v>0</v>
      </c>
      <c r="AK13" s="36">
        <f>MVTJANV24!AK12+MVTFEV24!AK12+MVTMARS24!AK12+MVTAVRIL24!AK12+MVTMAI24!AK12+MVTJUIN24!AK12+MVTJUIL24!AK12+MVTAOUT24!AK12+MVTSEPT24!AK12+MVTOCT24!AK12+MVTNOV24!AK12+MVTDEC24!AK12</f>
        <v>0</v>
      </c>
      <c r="AL13" s="143">
        <v>45474</v>
      </c>
      <c r="AM13" s="144">
        <f t="shared" si="2"/>
        <v>60000</v>
      </c>
      <c r="AN13" s="144"/>
      <c r="AP13" s="36"/>
    </row>
    <row r="14" spans="1:42" ht="15.75" x14ac:dyDescent="0.25">
      <c r="A14" s="1" t="s">
        <v>79</v>
      </c>
      <c r="B14" s="1" t="str">
        <f>VLOOKUP(A14,[19]LISTADHERENT!A$5:H$60,3,0)</f>
        <v>DOMOU FABIEN</v>
      </c>
      <c r="C14" s="36">
        <f>+MVTDEC23!C13</f>
        <v>700000</v>
      </c>
      <c r="D14" s="36">
        <f>+MVTDEC23!D13</f>
        <v>41.235805909789633</v>
      </c>
      <c r="E14" s="36">
        <f>VLOOKUP($A14,[24]HISTODEC24!$A$6:$BA$38,48,0)</f>
        <v>0</v>
      </c>
      <c r="F14" s="36">
        <f>MVTDEC24!F13</f>
        <v>975555.14612214814</v>
      </c>
      <c r="G14" s="5">
        <f>MVTDEC24!G13</f>
        <v>975555.14612214814</v>
      </c>
      <c r="H14" s="36">
        <f>MVTDEC23!H13+MVTJANV24!H13+MVTFEV24!H13+MVTMARS24!H13+MVTAVRIL24!H13+MVTMAI24!H13+MVTJUIN24!H13+MVTJUIL24!H13+MVTAOUT24!H13+MVTSEPT24!H13+MVTOCT24!H13+MVTNOV24!H13+MVTDEC24!H13</f>
        <v>47513.910316238274</v>
      </c>
      <c r="I14" s="6">
        <f t="shared" si="0"/>
        <v>1023069.0564383864</v>
      </c>
      <c r="J14" s="36">
        <f>MVTJANV24!J13+MVTFEV24!J13+MVTMARS24!J13+MVTAVRIL24!J13+MVTMAI24!J13+MVTJUIN24!J13+MVTJUIL24!J13+MVTAOUT24!J13+MVTSEPT24!J13+MVTOCT24!J13+MVTNOV24!J13+MVTDEC24!J13</f>
        <v>0</v>
      </c>
      <c r="K14" s="36">
        <f>MVTJANV24!K13+MVTFEV24!K13+MVTMARS24!K13+MVTAVRIL24!K13+MVTMAI24!K13+MVTJUIN24!K13+MVTJUIL24!K13+MVTAOUT24!K13+MVTSEPT24!K13+MVTOCT24!K13+MVTNOV24!K13+MVTDEC24!K13</f>
        <v>300000</v>
      </c>
      <c r="L14" s="36">
        <f>MVTJANV24!L13+MVTFEV24!L13+MVTMARS24!L13+MVTAVRIL24!L13+MVTMAI24!L13+MVTJUIN24!L13+MVTJUIL24!L13+MVTAOUT24!L13+MVTSEPT24!L13+MVTOCT24!L13+MVTNOV24!L13+MVTDEC24!L13</f>
        <v>228000</v>
      </c>
      <c r="M14" s="36">
        <f>MVTJANV24!M13+MVTFEV24!M13+MVTMARS24!M13+MVTAVRIL24!M13+MVTMAI24!M13+MVTJUIN24!M13+MVTJUIL24!M13+MVTAOUT24!M13+MVTSEPT24!M13+MVTOCT24!M13+MVTNOV24!M13+MVTDEC24!M13</f>
        <v>12000</v>
      </c>
      <c r="N14" s="36">
        <f>MVTJANV24!N13+MVTFEV24!N13+MVTMARS24!N13+MVTAVRIL24!N13+MVTMAI24!N13+MVTJUIN24!N13+MVTJUIL24!N13+MVTAOUT24!N13+MVTSEPT24!N13+MVTOCT24!N13+MVTNOV24!N13+MVTDEC24!N13</f>
        <v>12000</v>
      </c>
      <c r="O14" s="36">
        <f>MVTJANV24!O13+MVTFEV24!O13+MVTMARS24!O13+MVTAVRIL24!O13+MVTMAI24!O13+MVTJUIN24!O13+MVTJUIL24!O13+MVTAOUT24!O13+MVTSEPT24!O13+MVTOCT24!O13+MVTNOV24!O13+MVTDEC24!O13</f>
        <v>48000</v>
      </c>
      <c r="P14" s="36">
        <f>MVTJANV24!P13+MVTFEV24!P13+MVTMARS24!P13+MVTAVRIL24!P13+MVTMAI24!P13+MVTJUIN24!P13+MVTJUIL24!P13+MVTAOUT24!P13+MVTSEPT24!P13+MVTOCT24!P13+MVTNOV24!P13+MVTDEC24!P13</f>
        <v>0</v>
      </c>
      <c r="Q14" s="36">
        <f>MVTJANV24!Q13+MVTFEV24!Q13+MVTMARS24!Q13+MVTAVRIL24!Q13+MVTMAI24!Q13+MVTJUIN24!Q13+MVTJUIL24!Q13+MVTAOUT24!Q13+MVTSEPT24!Q13+MVTOCT24!Q13+MVTNOV24!Q13+MVTDEC24!Q13</f>
        <v>0</v>
      </c>
      <c r="R14" s="36">
        <f>MVTJANV24!R13+MVTFEV24!R13+MVTMARS24!R13+MVTAVRIL24!R13+MVTMAI24!R13+MVTJUIN24!R13+MVTJUIL24!R13+MVTAOUT24!R13+MVTSEPT24!R13+MVTOCT24!R13+MVTNOV24!R13+MVTDEC24!R13</f>
        <v>0</v>
      </c>
      <c r="S14" s="36">
        <f>MVTDEC23!S13+MVTJANV24!S13+MVTFEV24!S13+MVTMARS24!S13+MVTAVRIL24!S13+MVTMAI24!S13+MVTJUIN24!S13+MVTJUIL24!S13+MVTAOUT24!S13+MVTSEPT24!S13+MVTOCT24!S13+MVTNOV24!S13+MVTDEC24!S13</f>
        <v>1000000</v>
      </c>
      <c r="T14" s="36">
        <f>MVTDEC23!T13+MVTJANV24!T13+MVTFEV24!T13+MVTMARS24!T13+MVTAVRIL24!T13+MVTMAI24!T13+MVTJUIN24!T13+MVTJUIL24!T13+MVTAOUT24!T13+MVTSEPT24!T13+MVTOCT24!T13+MVTNOV24!T13+MVTDEC24!T13</f>
        <v>120000</v>
      </c>
      <c r="U14" s="36"/>
      <c r="V14" s="36">
        <f>MVTJANV24!V13+MVTFEV24!V13+MVTMARS24!V13+MVTAVRIL24!V13+MVTMAI24!V13+MVTJUIN24!V13+MVTJUIL24!V13+MVTAOUT24!V13+MVTSEPT24!V13+MVTOCT24!V13+MVTNOV24!V13+MVTDEC24!V13</f>
        <v>0</v>
      </c>
      <c r="W14" s="36">
        <f t="shared" si="1"/>
        <v>1000000</v>
      </c>
      <c r="X14" s="36"/>
      <c r="Y14" s="36"/>
      <c r="Z14" s="36">
        <f>MVTJANV24!Z13+MVTFEV24!Z13+MVTMARS24!Z13+MVTAVRIL24!Z13+MVTMAI24!Z13+MVTJUIN24!Z13+MVTJUIL24!Z13+MVTAOUT24!Z13+MVTSEPT24!Z13+MVTOCT24!Z13+MVTNOV24!Z13+MVTDEC24!Z13</f>
        <v>0</v>
      </c>
      <c r="AA14" s="36">
        <f>MVTJANV24!AA13+MVTFEV24!AA13+MVTMARS24!AA13+MVTAVRIL24!AA13+MVTMAI24!AA13+MVTJUIN24!AA13+MVTJUIL24!AA13+MVTAOUT24!AA13+MVTSEPT24!AA13+MVTOCT24!AA13+MVTNOV24!AA13+MVTDEC24!AA13</f>
        <v>0</v>
      </c>
      <c r="AB14" s="36">
        <f>MVTJANV24!AB13+MVTFEV24!AB13+MVTMARS24!AB13+MVTAVRIL24!AB13+MVTMAI24!AB13+MVTJUIN24!AB13+MVTJUIL24!AB13+MVTAOUT24!AB13+MVTSEPT24!AB13+MVTOCT24!AB13+MVTNOV24!AB13+MVTDEC24!AB13</f>
        <v>0</v>
      </c>
      <c r="AC14" s="36">
        <f>MVTJANV24!AC13+MVTFEV24!AC13+MVTMARS24!AC13+MVTAVRIL24!AC13+MVTMAI24!AC13+MVTJUIN24!AC13+MVTJUIL24!AC13+MVTAOUT24!AC13+MVTSEPT24!AC13+MVTOCT24!AC13+MVTNOV24!AC13+MVTDEC24!AC13</f>
        <v>0</v>
      </c>
      <c r="AD14" s="36">
        <f>MVTJANV24!AD13+MVTFEV24!AD13+MVTMARS24!AD13+MVTAVRIL24!AD13+MVTMAI24!AD13+MVTJUIN24!AD13+MVTJUIL24!AD13+MVTAOUT24!AD13+MVTSEPT24!AD13+MVTOCT24!AD13+MVTNOV24!AD13+MVTDEC24!AD13</f>
        <v>0</v>
      </c>
      <c r="AE14" s="36">
        <f>MVTJANV24!AE13+MVTFEV24!AE13+MVTMARS24!AE13+MVTAVRIL24!AE13+MVTMAI24!AE13+MVTJUIN24!AE13+MVTJUIL24!AE13+MVTAOUT24!AE13+MVTSEPT24!AE13+MVTOCT24!AE13+MVTNOV24!AE13+MVTDEC24!AE13</f>
        <v>0</v>
      </c>
      <c r="AF14" s="36">
        <f>MVTJANV24!AF13+MVTFEV24!AF13+MVTMARS24!AF13+MVTAVRIL24!AF13+MVTMAI24!AF13+MVTJUIN24!AF13+MVTJUIL24!AF13+MVTAOUT24!AF13+MVTSEPT24!AF13+MVTOCT24!AF13+MVTNOV24!AF13+MVTDEC24!AF13</f>
        <v>0</v>
      </c>
      <c r="AG14" s="36">
        <f>MVTJANV24!AG13+MVTFEV24!AG13+MVTMARS24!AG13+MVTAVRIL24!AG13+MVTMAI24!AG13+MVTJUIN24!AG13+MVTJUIL24!AG13+MVTAOUT24!AG13+MVTSEPT24!AG13+MVTOCT24!AG13+MVTNOV24!AG13+MVTDEC24!AG13</f>
        <v>0</v>
      </c>
      <c r="AH14" s="36">
        <f>MVTJANV24!AH13+MVTFEV24!AH13+MVTMARS24!AH13+MVTAVRIL24!AH13+MVTMAI24!AH13+MVTJUIN24!AH13+MVTJUIL24!AH13+MVTAOUT24!AH13+MVTSEPT24!AH13+MVTOCT24!AH13+MVTNOV24!AH13+MVTDEC24!AH13</f>
        <v>0</v>
      </c>
      <c r="AI14" s="36">
        <f>MVTJANV24!AI13+MVTFEV24!AI13+MVTMARS24!AI13+MVTAVRIL24!AI13+MVTMAI24!AI13+MVTJUIN24!AI13+MVTJUIL24!AI13+MVTAOUT24!AI13+MVTSEPT24!AI13+MVTOCT24!AI13+MVTNOV24!AI13+MVTDEC24!AI13</f>
        <v>0</v>
      </c>
      <c r="AJ14" s="36">
        <f>MVTJANV24!AJ13+MVTFEV24!AJ13+MVTMARS24!AJ13+MVTAVRIL24!AJ13+MVTMAI24!AJ13+MVTJUIN24!AJ13+MVTJUIL24!AJ13+MVTAOUT24!AJ13+MVTSEPT24!AJ13+MVTOCT24!AJ13+MVTNOV24!AJ13+MVTDEC24!AJ13</f>
        <v>0</v>
      </c>
      <c r="AK14" s="36">
        <f>MVTJANV24!AK13+MVTFEV24!AK13+MVTMARS24!AK13+MVTAVRIL24!AK13+MVTMAI24!AK13+MVTJUIN24!AK13+MVTJUIL24!AK13+MVTAOUT24!AK13+MVTSEPT24!AK13+MVTOCT24!AK13+MVTNOV24!AK13+MVTDEC24!AK13</f>
        <v>0</v>
      </c>
      <c r="AL14" s="143">
        <v>45627</v>
      </c>
      <c r="AM14" s="144">
        <f t="shared" si="2"/>
        <v>120000</v>
      </c>
      <c r="AN14" s="144"/>
      <c r="AP14" s="36"/>
    </row>
    <row r="15" spans="1:42" ht="15.75" x14ac:dyDescent="0.25">
      <c r="A15" s="1" t="s">
        <v>26</v>
      </c>
      <c r="B15" s="1" t="str">
        <f>VLOOKUP(A15,[19]LISTADHERENT!A$5:H$60,3,0)</f>
        <v>DONHOU DAVID</v>
      </c>
      <c r="C15" s="36">
        <f>+MVTDEC23!C14</f>
        <v>700000</v>
      </c>
      <c r="D15" s="36">
        <f>+MVTDEC23!D14</f>
        <v>518031.2910165739</v>
      </c>
      <c r="E15" s="36">
        <f>VLOOKUP($A15,[24]HISTODEC24!$A$6:$BA$38,48,0)</f>
        <v>0</v>
      </c>
      <c r="F15" s="36">
        <f>MVTDEC24!F14</f>
        <v>1528425.9823482623</v>
      </c>
      <c r="G15" s="5">
        <f>MVTDEC24!G14</f>
        <v>1528425.9823482623</v>
      </c>
      <c r="H15" s="36">
        <f>MVTDEC23!H14+MVTJANV24!H14+MVTFEV24!H14+MVTMARS24!H14+MVTAVRIL24!H14+MVTMAI24!H14+MVTJUIN24!H14+MVTJUIL24!H14+MVTAOUT24!H14+MVTSEPT24!H14+MVTOCT24!H14+MVTNOV24!H14+MVTDEC24!H14</f>
        <v>82394.691331688126</v>
      </c>
      <c r="I15" s="6">
        <f t="shared" si="0"/>
        <v>1610820.6736799504</v>
      </c>
      <c r="J15" s="36">
        <f>MVTJANV24!J14+MVTFEV24!J14+MVTMARS24!J14+MVTAVRIL24!J14+MVTMAI24!J14+MVTJUIN24!J14+MVTJUIL24!J14+MVTAOUT24!J14+MVTSEPT24!J14+MVTOCT24!J14+MVTNOV24!J14+MVTDEC24!J14</f>
        <v>0</v>
      </c>
      <c r="K15" s="36">
        <f>MVTJANV24!K14+MVTFEV24!K14+MVTMARS24!K14+MVTAVRIL24!K14+MVTMAI24!K14+MVTJUIN24!K14+MVTJUIL24!K14+MVTAOUT24!K14+MVTSEPT24!K14+MVTOCT24!K14+MVTNOV24!K14+MVTDEC24!K14</f>
        <v>300000</v>
      </c>
      <c r="L15" s="36">
        <f>MVTJANV24!L14+MVTFEV24!L14+MVTMARS24!L14+MVTAVRIL24!L14+MVTMAI24!L14+MVTJUIN24!L14+MVTJUIL24!L14+MVTAOUT24!L14+MVTSEPT24!L14+MVTOCT24!L14+MVTNOV24!L14+MVTDEC24!L14</f>
        <v>228000</v>
      </c>
      <c r="M15" s="36">
        <f>MVTJANV24!M14+MVTFEV24!M14+MVTMARS24!M14+MVTAVRIL24!M14+MVTMAI24!M14+MVTJUIN24!M14+MVTJUIL24!M14+MVTAOUT24!M14+MVTSEPT24!M14+MVTOCT24!M14+MVTNOV24!M14+MVTDEC24!M14</f>
        <v>12000</v>
      </c>
      <c r="N15" s="36">
        <f>MVTJANV24!N14+MVTFEV24!N14+MVTMARS24!N14+MVTAVRIL24!N14+MVTMAI24!N14+MVTJUIN24!N14+MVTJUIL24!N14+MVTAOUT24!N14+MVTSEPT24!N14+MVTOCT24!N14+MVTNOV24!N14+MVTDEC24!N14</f>
        <v>12000</v>
      </c>
      <c r="O15" s="36">
        <f>MVTJANV24!O14+MVTFEV24!O14+MVTMARS24!O14+MVTAVRIL24!O14+MVTMAI24!O14+MVTJUIN24!O14+MVTJUIL24!O14+MVTAOUT24!O14+MVTSEPT24!O14+MVTOCT24!O14+MVTNOV24!O14+MVTDEC24!O14</f>
        <v>48000</v>
      </c>
      <c r="P15" s="36">
        <f>MVTJANV24!P14+MVTFEV24!P14+MVTMARS24!P14+MVTAVRIL24!P14+MVTMAI24!P14+MVTJUIN24!P14+MVTJUIL24!P14+MVTAOUT24!P14+MVTSEPT24!P14+MVTOCT24!P14+MVTNOV24!P14+MVTDEC24!P14</f>
        <v>0</v>
      </c>
      <c r="Q15" s="36">
        <f>MVTJANV24!Q14+MVTFEV24!Q14+MVTMARS24!Q14+MVTAVRIL24!Q14+MVTMAI24!Q14+MVTJUIN24!Q14+MVTJUIL24!Q14+MVTAOUT24!Q14+MVTSEPT24!Q14+MVTOCT24!Q14+MVTNOV24!Q14+MVTDEC24!Q14</f>
        <v>0</v>
      </c>
      <c r="R15" s="36">
        <f>MVTJANV24!R14+MVTFEV24!R14+MVTMARS24!R14+MVTAVRIL24!R14+MVTMAI24!R14+MVTJUIN24!R14+MVTJUIL24!R14+MVTAOUT24!R14+MVTSEPT24!R14+MVTOCT24!R14+MVTNOV24!R14+MVTDEC24!R14</f>
        <v>0</v>
      </c>
      <c r="S15" s="36">
        <f>MVTDEC23!S14+MVTJANV24!S14+MVTFEV24!S14+MVTMARS24!S14+MVTAVRIL24!S14+MVTMAI24!S14+MVTJUIN24!S14+MVTJUIL24!S14+MVTAOUT24!S14+MVTSEPT24!S14+MVTOCT24!S14+MVTNOV24!S14+MVTDEC24!S14</f>
        <v>0</v>
      </c>
      <c r="T15" s="36">
        <f>MVTDEC23!T14+MVTJANV24!T14+MVTFEV24!T14+MVTMARS24!T14+MVTAVRIL24!T14+MVTMAI24!T14+MVTJUIN24!T14+MVTJUIL24!T14+MVTAOUT24!T14+MVTSEPT24!T14+MVTOCT24!T14+MVTNOV24!T14+MVTDEC24!T14</f>
        <v>0</v>
      </c>
      <c r="U15" s="36"/>
      <c r="V15" s="36">
        <f>MVTJANV24!V14+MVTFEV24!V14+MVTMARS24!V14+MVTAVRIL24!V14+MVTMAI24!V14+MVTJUIN24!V14+MVTJUIL24!V14+MVTAOUT24!V14+MVTSEPT24!V14+MVTOCT24!V14+MVTNOV24!V14+MVTDEC24!V14</f>
        <v>0</v>
      </c>
      <c r="W15" s="36">
        <f t="shared" si="1"/>
        <v>0</v>
      </c>
      <c r="X15" s="36"/>
      <c r="Y15" s="36"/>
      <c r="Z15" s="36">
        <f>MVTJANV24!Z14+MVTFEV24!Z14+MVTMARS24!Z14+MVTAVRIL24!Z14+MVTMAI24!Z14+MVTJUIN24!Z14+MVTJUIL24!Z14+MVTAOUT24!Z14+MVTSEPT24!Z14+MVTOCT24!Z14+MVTNOV24!Z14+MVTDEC24!Z14</f>
        <v>0</v>
      </c>
      <c r="AA15" s="36">
        <f>MVTJANV24!AA14+MVTFEV24!AA14+MVTMARS24!AA14+MVTAVRIL24!AA14+MVTMAI24!AA14+MVTJUIN24!AA14+MVTJUIL24!AA14+MVTAOUT24!AA14+MVTSEPT24!AA14+MVTOCT24!AA14+MVTNOV24!AA14+MVTDEC24!AA14</f>
        <v>0</v>
      </c>
      <c r="AB15" s="36">
        <f>MVTJANV24!AB14+MVTFEV24!AB14+MVTMARS24!AB14+MVTAVRIL24!AB14+MVTMAI24!AB14+MVTJUIN24!AB14+MVTJUIL24!AB14+MVTAOUT24!AB14+MVTSEPT24!AB14+MVTOCT24!AB14+MVTNOV24!AB14+MVTDEC24!AB14</f>
        <v>0</v>
      </c>
      <c r="AC15" s="36">
        <f>MVTJANV24!AC14+MVTFEV24!AC14+MVTMARS24!AC14+MVTAVRIL24!AC14+MVTMAI24!AC14+MVTJUIN24!AC14+MVTJUIL24!AC14+MVTAOUT24!AC14+MVTSEPT24!AC14+MVTOCT24!AC14+MVTNOV24!AC14+MVTDEC24!AC14</f>
        <v>0</v>
      </c>
      <c r="AD15" s="36">
        <f>MVTJANV24!AD14+MVTFEV24!AD14+MVTMARS24!AD14+MVTAVRIL24!AD14+MVTMAI24!AD14+MVTJUIN24!AD14+MVTJUIL24!AD14+MVTAOUT24!AD14+MVTSEPT24!AD14+MVTOCT24!AD14+MVTNOV24!AD14+MVTDEC24!AD14</f>
        <v>0</v>
      </c>
      <c r="AE15" s="36">
        <f>MVTJANV24!AE14+MVTFEV24!AE14+MVTMARS24!AE14+MVTAVRIL24!AE14+MVTMAI24!AE14+MVTJUIN24!AE14+MVTJUIL24!AE14+MVTAOUT24!AE14+MVTSEPT24!AE14+MVTOCT24!AE14+MVTNOV24!AE14+MVTDEC24!AE14</f>
        <v>0</v>
      </c>
      <c r="AF15" s="36">
        <f>MVTJANV24!AF14+MVTFEV24!AF14+MVTMARS24!AF14+MVTAVRIL24!AF14+MVTMAI24!AF14+MVTJUIN24!AF14+MVTJUIL24!AF14+MVTAOUT24!AF14+MVTSEPT24!AF14+MVTOCT24!AF14+MVTNOV24!AF14+MVTDEC24!AF14</f>
        <v>0</v>
      </c>
      <c r="AG15" s="36">
        <f>MVTJANV24!AG14+MVTFEV24!AG14+MVTMARS24!AG14+MVTAVRIL24!AG14+MVTMAI24!AG14+MVTJUIN24!AG14+MVTJUIL24!AG14+MVTAOUT24!AG14+MVTSEPT24!AG14+MVTOCT24!AG14+MVTNOV24!AG14+MVTDEC24!AG14</f>
        <v>0</v>
      </c>
      <c r="AH15" s="36">
        <f>MVTJANV24!AH14+MVTFEV24!AH14+MVTMARS24!AH14+MVTAVRIL24!AH14+MVTMAI24!AH14+MVTJUIN24!AH14+MVTJUIL24!AH14+MVTAOUT24!AH14+MVTSEPT24!AH14+MVTOCT24!AH14+MVTNOV24!AH14+MVTDEC24!AH14</f>
        <v>0</v>
      </c>
      <c r="AI15" s="36">
        <f>MVTJANV24!AI14+MVTFEV24!AI14+MVTMARS24!AI14+MVTAVRIL24!AI14+MVTMAI24!AI14+MVTJUIN24!AI14+MVTJUIL24!AI14+MVTAOUT24!AI14+MVTSEPT24!AI14+MVTOCT24!AI14+MVTNOV24!AI14+MVTDEC24!AI14</f>
        <v>0</v>
      </c>
      <c r="AJ15" s="36">
        <f>MVTJANV24!AJ14+MVTFEV24!AJ14+MVTMARS24!AJ14+MVTAVRIL24!AJ14+MVTMAI24!AJ14+MVTJUIN24!AJ14+MVTJUIL24!AJ14+MVTAOUT24!AJ14+MVTSEPT24!AJ14+MVTOCT24!AJ14+MVTNOV24!AJ14+MVTDEC24!AJ14</f>
        <v>0</v>
      </c>
      <c r="AK15" s="36">
        <f>MVTJANV24!AK14+MVTFEV24!AK14+MVTMARS24!AK14+MVTAVRIL24!AK14+MVTMAI24!AK14+MVTJUIN24!AK14+MVTJUIL24!AK14+MVTAOUT24!AK14+MVTSEPT24!AK14+MVTOCT24!AK14+MVTNOV24!AK14+MVTDEC24!AK14</f>
        <v>0</v>
      </c>
      <c r="AL15" s="143"/>
      <c r="AM15" s="144">
        <f t="shared" si="2"/>
        <v>0</v>
      </c>
      <c r="AN15" s="144"/>
      <c r="AP15" s="36"/>
    </row>
    <row r="16" spans="1:42" ht="14.25" customHeight="1" x14ac:dyDescent="0.25">
      <c r="A16" s="1" t="s">
        <v>28</v>
      </c>
      <c r="B16" s="1" t="str">
        <f>VLOOKUP(A16,[19]LISTADHERENT!A$5:H$60,3,0)</f>
        <v>HENGUE PAUL OMER</v>
      </c>
      <c r="C16" s="36">
        <f>+MVTDEC23!C15</f>
        <v>700000</v>
      </c>
      <c r="D16" s="36">
        <f>+MVTDEC23!D15</f>
        <v>57899.603500921949</v>
      </c>
      <c r="E16" s="36">
        <f>VLOOKUP($A16,[24]HISTODEC24!$A$6:$BA$38,48,0)</f>
        <v>0</v>
      </c>
      <c r="F16" s="36">
        <f>MVTDEC24!F15</f>
        <v>1037309.6215381094</v>
      </c>
      <c r="G16" s="5">
        <f>MVTDEC24!G15</f>
        <v>1037309.6215381094</v>
      </c>
      <c r="H16" s="36">
        <f>MVTDEC23!H15+MVTJANV24!H15+MVTFEV24!H15+MVTMARS24!H15+MVTAVRIL24!H15+MVTMAI24!H15+MVTJUIN24!H15+MVTJUIL24!H15+MVTAOUT24!H15+MVTSEPT24!H15+MVTOCT24!H15+MVTNOV24!H15+MVTDEC24!H15</f>
        <v>51410.018037187321</v>
      </c>
      <c r="I16" s="6">
        <f t="shared" si="0"/>
        <v>1088719.6395752968</v>
      </c>
      <c r="J16" s="36">
        <f>MVTJANV24!J15+MVTFEV24!J15+MVTMARS24!J15+MVTAVRIL24!J15+MVTMAI24!J15+MVTJUIN24!J15+MVTJUIL24!J15+MVTAOUT24!J15+MVTSEPT24!J15+MVTOCT24!J15+MVTNOV24!J15+MVTDEC24!J15</f>
        <v>0</v>
      </c>
      <c r="K16" s="36">
        <f>MVTJANV24!K15+MVTFEV24!K15+MVTMARS24!K15+MVTAVRIL24!K15+MVTMAI24!K15+MVTJUIN24!K15+MVTJUIL24!K15+MVTAOUT24!K15+MVTSEPT24!K15+MVTOCT24!K15+MVTNOV24!K15+MVTDEC24!K15</f>
        <v>300000</v>
      </c>
      <c r="L16" s="36">
        <f>MVTJANV24!L15+MVTFEV24!L15+MVTMARS24!L15+MVTAVRIL24!L15+MVTMAI24!L15+MVTJUIN24!L15+MVTJUIL24!L15+MVTAOUT24!L15+MVTSEPT24!L15+MVTOCT24!L15+MVTNOV24!L15+MVTDEC24!L15</f>
        <v>228000</v>
      </c>
      <c r="M16" s="36">
        <f>MVTJANV24!M15+MVTFEV24!M15+MVTMARS24!M15+MVTAVRIL24!M15+MVTMAI24!M15+MVTJUIN24!M15+MVTJUIL24!M15+MVTAOUT24!M15+MVTSEPT24!M15+MVTOCT24!M15+MVTNOV24!M15+MVTDEC24!M15</f>
        <v>12000</v>
      </c>
      <c r="N16" s="36">
        <f>MVTJANV24!N15+MVTFEV24!N15+MVTMARS24!N15+MVTAVRIL24!N15+MVTMAI24!N15+MVTJUIN24!N15+MVTJUIL24!N15+MVTAOUT24!N15+MVTSEPT24!N15+MVTOCT24!N15+MVTNOV24!N15+MVTDEC24!N15</f>
        <v>12000</v>
      </c>
      <c r="O16" s="36">
        <f>MVTJANV24!O15+MVTFEV24!O15+MVTMARS24!O15+MVTAVRIL24!O15+MVTMAI24!O15+MVTJUIN24!O15+MVTJUIL24!O15+MVTAOUT24!O15+MVTSEPT24!O15+MVTOCT24!O15+MVTNOV24!O15+MVTDEC24!O15</f>
        <v>48000</v>
      </c>
      <c r="P16" s="36">
        <f>MVTJANV24!P15+MVTFEV24!P15+MVTMARS24!P15+MVTAVRIL24!P15+MVTMAI24!P15+MVTJUIN24!P15+MVTJUIL24!P15+MVTAOUT24!P15+MVTSEPT24!P15+MVTOCT24!P15+MVTNOV24!P15+MVTDEC24!P15</f>
        <v>0</v>
      </c>
      <c r="Q16" s="36">
        <f>MVTJANV24!Q15+MVTFEV24!Q15+MVTMARS24!Q15+MVTAVRIL24!Q15+MVTMAI24!Q15+MVTJUIN24!Q15+MVTJUIL24!Q15+MVTAOUT24!Q15+MVTSEPT24!Q15+MVTOCT24!Q15+MVTNOV24!Q15+MVTDEC24!Q15</f>
        <v>0</v>
      </c>
      <c r="R16" s="36">
        <f>MVTJANV24!R15+MVTFEV24!R15+MVTMARS24!R15+MVTAVRIL24!R15+MVTMAI24!R15+MVTJUIN24!R15+MVTJUIL24!R15+MVTAOUT24!R15+MVTSEPT24!R15+MVTOCT24!R15+MVTNOV24!R15+MVTDEC24!R15</f>
        <v>0</v>
      </c>
      <c r="S16" s="36">
        <f>MVTDEC23!S15+MVTJANV24!S15+MVTFEV24!S15+MVTMARS24!S15+MVTAVRIL24!S15+MVTMAI24!S15+MVTJUIN24!S15+MVTJUIL24!S15+MVTAOUT24!S15+MVTSEPT24!S15+MVTOCT24!S15+MVTNOV24!S15+MVTDEC24!S15</f>
        <v>0</v>
      </c>
      <c r="T16" s="36">
        <f>MVTDEC23!T15+MVTJANV24!T15+MVTFEV24!T15+MVTMARS24!T15+MVTAVRIL24!T15+MVTMAI24!T15+MVTJUIN24!T15+MVTJUIL24!T15+MVTAOUT24!T15+MVTSEPT24!T15+MVTOCT24!T15+MVTNOV24!T15+MVTDEC24!T15</f>
        <v>0</v>
      </c>
      <c r="U16" s="36"/>
      <c r="V16" s="36">
        <f>MVTJANV24!V15+MVTFEV24!V15+MVTMARS24!V15+MVTAVRIL24!V15+MVTMAI24!V15+MVTJUIN24!V15+MVTJUIL24!V15+MVTAOUT24!V15+MVTSEPT24!V15+MVTOCT24!V15+MVTNOV24!V15+MVTDEC24!V15</f>
        <v>0</v>
      </c>
      <c r="W16" s="36">
        <f t="shared" si="1"/>
        <v>0</v>
      </c>
      <c r="X16" s="36"/>
      <c r="Y16" s="36"/>
      <c r="Z16" s="36">
        <f>MVTJANV24!Z15+MVTFEV24!Z15+MVTMARS24!Z15+MVTAVRIL24!Z15+MVTMAI24!Z15+MVTJUIN24!Z15+MVTJUIL24!Z15+MVTAOUT24!Z15+MVTSEPT24!Z15+MVTOCT24!Z15+MVTNOV24!Z15+MVTDEC24!Z15</f>
        <v>0</v>
      </c>
      <c r="AA16" s="36">
        <f>MVTJANV24!AA15+MVTFEV24!AA15+MVTMARS24!AA15+MVTAVRIL24!AA15+MVTMAI24!AA15+MVTJUIN24!AA15+MVTJUIL24!AA15+MVTAOUT24!AA15+MVTSEPT24!AA15+MVTOCT24!AA15+MVTNOV24!AA15+MVTDEC24!AA15</f>
        <v>0</v>
      </c>
      <c r="AB16" s="36">
        <f>MVTJANV24!AB15+MVTFEV24!AB15+MVTMARS24!AB15+MVTAVRIL24!AB15+MVTMAI24!AB15+MVTJUIN24!AB15+MVTJUIL24!AB15+MVTAOUT24!AB15+MVTSEPT24!AB15+MVTOCT24!AB15+MVTNOV24!AB15+MVTDEC24!AB15</f>
        <v>0</v>
      </c>
      <c r="AC16" s="36">
        <f>MVTJANV24!AC15+MVTFEV24!AC15+MVTMARS24!AC15+MVTAVRIL24!AC15+MVTMAI24!AC15+MVTJUIN24!AC15+MVTJUIL24!AC15+MVTAOUT24!AC15+MVTSEPT24!AC15+MVTOCT24!AC15+MVTNOV24!AC15+MVTDEC24!AC15</f>
        <v>0</v>
      </c>
      <c r="AD16" s="36">
        <f>MVTJANV24!AD15+MVTFEV24!AD15+MVTMARS24!AD15+MVTAVRIL24!AD15+MVTMAI24!AD15+MVTJUIN24!AD15+MVTJUIL24!AD15+MVTAOUT24!AD15+MVTSEPT24!AD15+MVTOCT24!AD15+MVTNOV24!AD15+MVTDEC24!AD15</f>
        <v>0</v>
      </c>
      <c r="AE16" s="36">
        <f>MVTJANV24!AE15+MVTFEV24!AE15+MVTMARS24!AE15+MVTAVRIL24!AE15+MVTMAI24!AE15+MVTJUIN24!AE15+MVTJUIL24!AE15+MVTAOUT24!AE15+MVTSEPT24!AE15+MVTOCT24!AE15+MVTNOV24!AE15+MVTDEC24!AE15</f>
        <v>0</v>
      </c>
      <c r="AF16" s="36">
        <f>MVTJANV24!AF15+MVTFEV24!AF15+MVTMARS24!AF15+MVTAVRIL24!AF15+MVTMAI24!AF15+MVTJUIN24!AF15+MVTJUIL24!AF15+MVTAOUT24!AF15+MVTSEPT24!AF15+MVTOCT24!AF15+MVTNOV24!AF15+MVTDEC24!AF15</f>
        <v>0</v>
      </c>
      <c r="AG16" s="36">
        <f>MVTJANV24!AG15+MVTFEV24!AG15+MVTMARS24!AG15+MVTAVRIL24!AG15+MVTMAI24!AG15+MVTJUIN24!AG15+MVTJUIL24!AG15+MVTAOUT24!AG15+MVTSEPT24!AG15+MVTOCT24!AG15+MVTNOV24!AG15+MVTDEC24!AG15</f>
        <v>0</v>
      </c>
      <c r="AH16" s="36">
        <f>MVTJANV24!AH15+MVTFEV24!AH15+MVTMARS24!AH15+MVTAVRIL24!AH15+MVTMAI24!AH15+MVTJUIN24!AH15+MVTJUIL24!AH15+MVTAOUT24!AH15+MVTSEPT24!AH15+MVTOCT24!AH15+MVTNOV24!AH15+MVTDEC24!AH15</f>
        <v>0</v>
      </c>
      <c r="AI16" s="36">
        <f>MVTJANV24!AI15+MVTFEV24!AI15+MVTMARS24!AI15+MVTAVRIL24!AI15+MVTMAI24!AI15+MVTJUIN24!AI15+MVTJUIL24!AI15+MVTAOUT24!AI15+MVTSEPT24!AI15+MVTOCT24!AI15+MVTNOV24!AI15+MVTDEC24!AI15</f>
        <v>0</v>
      </c>
      <c r="AJ16" s="36">
        <f>MVTJANV24!AJ15+MVTFEV24!AJ15+MVTMARS24!AJ15+MVTAVRIL24!AJ15+MVTMAI24!AJ15+MVTJUIN24!AJ15+MVTJUIL24!AJ15+MVTAOUT24!AJ15+MVTSEPT24!AJ15+MVTOCT24!AJ15+MVTNOV24!AJ15+MVTDEC24!AJ15</f>
        <v>0</v>
      </c>
      <c r="AK16" s="36">
        <f>MVTJANV24!AK15+MVTFEV24!AK15+MVTMARS24!AK15+MVTAVRIL24!AK15+MVTMAI24!AK15+MVTJUIN24!AK15+MVTJUIL24!AK15+MVTAOUT24!AK15+MVTSEPT24!AK15+MVTOCT24!AK15+MVTNOV24!AK15+MVTDEC24!AK15</f>
        <v>0</v>
      </c>
      <c r="AL16" s="143"/>
      <c r="AM16" s="144">
        <f t="shared" si="2"/>
        <v>0</v>
      </c>
      <c r="AN16" s="144"/>
      <c r="AP16" s="36"/>
    </row>
    <row r="17" spans="1:42" ht="15.75" x14ac:dyDescent="0.25">
      <c r="A17" s="1" t="s">
        <v>29</v>
      </c>
      <c r="B17" s="1" t="str">
        <f>VLOOKUP(A17,[19]LISTADHERENT!A$5:H$60,3,0)</f>
        <v>HOTCHO BENJAMIN</v>
      </c>
      <c r="C17" s="36">
        <f>+MVTDEC23!C16</f>
        <v>700000</v>
      </c>
      <c r="D17" s="36">
        <f>+MVTDEC23!D16</f>
        <v>29661.208104101592</v>
      </c>
      <c r="E17" s="36">
        <f>VLOOKUP($A17,[24]HISTODEC24!$A$6:$BA$38,48,0)</f>
        <v>0</v>
      </c>
      <c r="F17" s="36">
        <f>MVTDEC24!F16</f>
        <v>1147858.7065070483</v>
      </c>
      <c r="G17" s="5">
        <f>MVTDEC24!G16</f>
        <v>1147858.7065070483</v>
      </c>
      <c r="H17" s="36">
        <f>MVTDEC23!H16+MVTJANV24!H16+MVTFEV24!H16+MVTMARS24!H16+MVTAVRIL24!H16+MVTMAI24!H16+MVTJUIN24!H16+MVTJUIL24!H16+MVTAOUT24!H16+MVTSEPT24!H16+MVTOCT24!H16+MVTNOV24!H16+MVTDEC24!H16</f>
        <v>50197.498402946847</v>
      </c>
      <c r="I17" s="6">
        <f t="shared" si="0"/>
        <v>1198056.2049099952</v>
      </c>
      <c r="J17" s="36">
        <f>MVTJANV24!J16+MVTFEV24!J16+MVTMARS24!J16+MVTAVRIL24!J16+MVTMAI24!J16+MVTJUIN24!J16+MVTJUIL24!J16+MVTAOUT24!J16+MVTSEPT24!J16+MVTOCT24!J16+MVTNOV24!J16+MVTDEC24!J16</f>
        <v>0</v>
      </c>
      <c r="K17" s="36">
        <f>MVTJANV24!K16+MVTFEV24!K16+MVTMARS24!K16+MVTAVRIL24!K16+MVTMAI24!K16+MVTJUIN24!K16+MVTJUIL24!K16+MVTAOUT24!K16+MVTSEPT24!K16+MVTOCT24!K16+MVTNOV24!K16+MVTDEC24!K16</f>
        <v>440000</v>
      </c>
      <c r="L17" s="36">
        <f>MVTJANV24!L16+MVTFEV24!L16+MVTMARS24!L16+MVTAVRIL24!L16+MVTMAI24!L16+MVTJUIN24!L16+MVTJUIL24!L16+MVTAOUT24!L16+MVTSEPT24!L16+MVTOCT24!L16+MVTNOV24!L16+MVTDEC24!L16</f>
        <v>368000</v>
      </c>
      <c r="M17" s="36">
        <f>MVTJANV24!M16+MVTFEV24!M16+MVTMARS24!M16+MVTAVRIL24!M16+MVTMAI24!M16+MVTJUIN24!M16+MVTJUIL24!M16+MVTAOUT24!M16+MVTSEPT24!M16+MVTOCT24!M16+MVTNOV24!M16+MVTDEC24!M16</f>
        <v>12000</v>
      </c>
      <c r="N17" s="36">
        <f>MVTJANV24!N16+MVTFEV24!N16+MVTMARS24!N16+MVTAVRIL24!N16+MVTMAI24!N16+MVTJUIN24!N16+MVTJUIL24!N16+MVTAOUT24!N16+MVTSEPT24!N16+MVTOCT24!N16+MVTNOV24!N16+MVTDEC24!N16</f>
        <v>12000</v>
      </c>
      <c r="O17" s="36">
        <f>MVTJANV24!O16+MVTFEV24!O16+MVTMARS24!O16+MVTAVRIL24!O16+MVTMAI24!O16+MVTJUIN24!O16+MVTJUIL24!O16+MVTAOUT24!O16+MVTSEPT24!O16+MVTOCT24!O16+MVTNOV24!O16+MVTDEC24!O16</f>
        <v>48000</v>
      </c>
      <c r="P17" s="36">
        <f>MVTJANV24!P16+MVTFEV24!P16+MVTMARS24!P16+MVTAVRIL24!P16+MVTMAI24!P16+MVTJUIN24!P16+MVTJUIL24!P16+MVTAOUT24!P16+MVTSEPT24!P16+MVTOCT24!P16+MVTNOV24!P16+MVTDEC24!P16</f>
        <v>0</v>
      </c>
      <c r="Q17" s="36">
        <f>MVTJANV24!Q16+MVTFEV24!Q16+MVTMARS24!Q16+MVTAVRIL24!Q16+MVTMAI24!Q16+MVTJUIN24!Q16+MVTJUIL24!Q16+MVTAOUT24!Q16+MVTSEPT24!Q16+MVTOCT24!Q16+MVTNOV24!Q16+MVTDEC24!Q16</f>
        <v>0</v>
      </c>
      <c r="R17" s="36">
        <f>MVTJANV24!R16+MVTFEV24!R16+MVTMARS24!R16+MVTAVRIL24!R16+MVTMAI24!R16+MVTJUIN24!R16+MVTJUIL24!R16+MVTAOUT24!R16+MVTSEPT24!R16+MVTOCT24!R16+MVTNOV24!R16+MVTDEC24!R16</f>
        <v>0</v>
      </c>
      <c r="S17" s="36">
        <f>MVTDEC23!S16+MVTJANV24!S16+MVTFEV24!S16+MVTMARS24!S16+MVTAVRIL24!S16+MVTMAI24!S16+MVTJUIN24!S16+MVTJUIL24!S16+MVTAOUT24!S16+MVTSEPT24!S16+MVTOCT24!S16+MVTNOV24!S16+MVTDEC24!S16</f>
        <v>363500</v>
      </c>
      <c r="T17" s="36">
        <f>MVTDEC23!T16+MVTJANV24!T16+MVTFEV24!T16+MVTMARS24!T16+MVTAVRIL24!T16+MVTMAI24!T16+MVTJUIN24!T16+MVTJUIL24!T16+MVTAOUT24!T16+MVTSEPT24!T16+MVTOCT24!T16+MVTNOV24!T16+MVTDEC24!T16</f>
        <v>0</v>
      </c>
      <c r="U17" s="36"/>
      <c r="V17" s="36">
        <f>MVTJANV24!V16+MVTFEV24!V16+MVTMARS24!V16+MVTAVRIL24!V16+MVTMAI24!V16+MVTJUIN24!V16+MVTJUIL24!V16+MVTAOUT24!V16+MVTSEPT24!V16+MVTOCT24!V16+MVTNOV24!V16+MVTDEC24!V16</f>
        <v>0</v>
      </c>
      <c r="W17" s="36">
        <f t="shared" si="1"/>
        <v>363500</v>
      </c>
      <c r="X17" s="36"/>
      <c r="Y17" s="36"/>
      <c r="Z17" s="36">
        <f>MVTJANV24!Z16+MVTFEV24!Z16+MVTMARS24!Z16+MVTAVRIL24!Z16+MVTMAI24!Z16+MVTJUIN24!Z16+MVTJUIL24!Z16+MVTAOUT24!Z16+MVTSEPT24!Z16+MVTOCT24!Z16+MVTNOV24!Z16+MVTDEC24!Z16</f>
        <v>0</v>
      </c>
      <c r="AA17" s="36">
        <f>MVTJANV24!AA16+MVTFEV24!AA16+MVTMARS24!AA16+MVTAVRIL24!AA16+MVTMAI24!AA16+MVTJUIN24!AA16+MVTJUIL24!AA16+MVTAOUT24!AA16+MVTSEPT24!AA16+MVTOCT24!AA16+MVTNOV24!AA16+MVTDEC24!AA16</f>
        <v>0</v>
      </c>
      <c r="AB17" s="36">
        <f>MVTJANV24!AB16+MVTFEV24!AB16+MVTMARS24!AB16+MVTAVRIL24!AB16+MVTMAI24!AB16+MVTJUIN24!AB16+MVTJUIL24!AB16+MVTAOUT24!AB16+MVTSEPT24!AB16+MVTOCT24!AB16+MVTNOV24!AB16+MVTDEC24!AB16</f>
        <v>0</v>
      </c>
      <c r="AC17" s="36">
        <f>MVTJANV24!AC16+MVTFEV24!AC16+MVTMARS24!AC16+MVTAVRIL24!AC16+MVTMAI24!AC16+MVTJUIN24!AC16+MVTJUIL24!AC16+MVTAOUT24!AC16+MVTSEPT24!AC16+MVTOCT24!AC16+MVTNOV24!AC16+MVTDEC24!AC16</f>
        <v>0</v>
      </c>
      <c r="AD17" s="36">
        <f>MVTJANV24!AD16+MVTFEV24!AD16+MVTMARS24!AD16+MVTAVRIL24!AD16+MVTMAI24!AD16+MVTJUIN24!AD16+MVTJUIL24!AD16+MVTAOUT24!AD16+MVTSEPT24!AD16+MVTOCT24!AD16+MVTNOV24!AD16+MVTDEC24!AD16</f>
        <v>0</v>
      </c>
      <c r="AE17" s="36">
        <f>MVTJANV24!AE16+MVTFEV24!AE16+MVTMARS24!AE16+MVTAVRIL24!AE16+MVTMAI24!AE16+MVTJUIN24!AE16+MVTJUIL24!AE16+MVTAOUT24!AE16+MVTSEPT24!AE16+MVTOCT24!AE16+MVTNOV24!AE16+MVTDEC24!AE16</f>
        <v>0</v>
      </c>
      <c r="AF17" s="36">
        <f>MVTJANV24!AF16+MVTFEV24!AF16+MVTMARS24!AF16+MVTAVRIL24!AF16+MVTMAI24!AF16+MVTJUIN24!AF16+MVTJUIL24!AF16+MVTAOUT24!AF16+MVTSEPT24!AF16+MVTOCT24!AF16+MVTNOV24!AF16+MVTDEC24!AF16</f>
        <v>0</v>
      </c>
      <c r="AG17" s="36">
        <f>MVTJANV24!AG16+MVTFEV24!AG16+MVTMARS24!AG16+MVTAVRIL24!AG16+MVTMAI24!AG16+MVTJUIN24!AG16+MVTJUIL24!AG16+MVTAOUT24!AG16+MVTSEPT24!AG16+MVTOCT24!AG16+MVTNOV24!AG16+MVTDEC24!AG16</f>
        <v>0</v>
      </c>
      <c r="AH17" s="36">
        <f>MVTJANV24!AH16+MVTFEV24!AH16+MVTMARS24!AH16+MVTAVRIL24!AH16+MVTMAI24!AH16+MVTJUIN24!AH16+MVTJUIL24!AH16+MVTAOUT24!AH16+MVTSEPT24!AH16+MVTOCT24!AH16+MVTNOV24!AH16+MVTDEC24!AH16</f>
        <v>0</v>
      </c>
      <c r="AI17" s="36">
        <f>MVTJANV24!AI16+MVTFEV24!AI16+MVTMARS24!AI16+MVTAVRIL24!AI16+MVTMAI24!AI16+MVTJUIN24!AI16+MVTJUIL24!AI16+MVTAOUT24!AI16+MVTSEPT24!AI16+MVTOCT24!AI16+MVTNOV24!AI16+MVTDEC24!AI16</f>
        <v>0</v>
      </c>
      <c r="AJ17" s="36">
        <f>MVTJANV24!AJ16+MVTFEV24!AJ16+MVTMARS24!AJ16+MVTAVRIL24!AJ16+MVTMAI24!AJ16+MVTJUIN24!AJ16+MVTJUIL24!AJ16+MVTAOUT24!AJ16+MVTSEPT24!AJ16+MVTOCT24!AJ16+MVTNOV24!AJ16+MVTDEC24!AJ16</f>
        <v>0</v>
      </c>
      <c r="AK17" s="36">
        <f>MVTJANV24!AK16+MVTFEV24!AK16+MVTMARS24!AK16+MVTAVRIL24!AK16+MVTMAI24!AK16+MVTJUIN24!AK16+MVTJUIL24!AK16+MVTAOUT24!AK16+MVTSEPT24!AK16+MVTOCT24!AK16+MVTNOV24!AK16+MVTDEC24!AK16</f>
        <v>0</v>
      </c>
      <c r="AL17" s="143"/>
      <c r="AM17" s="144">
        <f t="shared" si="2"/>
        <v>0</v>
      </c>
      <c r="AN17" s="144"/>
      <c r="AP17" s="36"/>
    </row>
    <row r="18" spans="1:42" ht="15.75" x14ac:dyDescent="0.25">
      <c r="A18" s="1" t="s">
        <v>33</v>
      </c>
      <c r="B18" s="1" t="str">
        <f>VLOOKUP(A18,[19]LISTADHERENT!A$5:H$60,3,0)</f>
        <v>KOUAMOU MOISE</v>
      </c>
      <c r="C18" s="36">
        <f>+MVTDEC23!C17</f>
        <v>700000</v>
      </c>
      <c r="D18" s="36">
        <f>+MVTDEC23!D17</f>
        <v>9267.5051528789336</v>
      </c>
      <c r="E18" s="36">
        <f>VLOOKUP($A18,[24]HISTODEC24!$A$6:$BA$38,48,0)</f>
        <v>0</v>
      </c>
      <c r="F18" s="36">
        <f>MVTDEC24!F17</f>
        <v>985402.7005255461</v>
      </c>
      <c r="G18" s="5">
        <f>MVTDEC24!G17</f>
        <v>985402.7005255461</v>
      </c>
      <c r="H18" s="36">
        <f>MVTDEC23!H17+MVTJANV24!H17+MVTFEV24!H17+MVTMARS24!H17+MVTAVRIL24!H17+MVTMAI24!H17+MVTJUIN24!H17+MVTJUIL24!H17+MVTAOUT24!H17+MVTSEPT24!H17+MVTOCT24!H17+MVTNOV24!H17+MVTDEC24!H17</f>
        <v>48135.1953726672</v>
      </c>
      <c r="I18" s="6">
        <f t="shared" si="0"/>
        <v>1033537.8958982133</v>
      </c>
      <c r="J18" s="36">
        <f>MVTJANV24!J17+MVTFEV24!J17+MVTMARS24!J17+MVTAVRIL24!J17+MVTMAI24!J17+MVTJUIN24!J17+MVTJUIL24!J17+MVTAOUT24!J17+MVTSEPT24!J17+MVTOCT24!J17+MVTNOV24!J17+MVTDEC24!J17</f>
        <v>0</v>
      </c>
      <c r="K18" s="36">
        <f>MVTJANV24!K17+MVTFEV24!K17+MVTMARS24!K17+MVTAVRIL24!K17+MVTMAI24!K17+MVTJUIN24!K17+MVTJUIL24!K17+MVTAOUT24!K17+MVTSEPT24!K17+MVTOCT24!K17+MVTNOV24!K17+MVTDEC24!K17</f>
        <v>300000</v>
      </c>
      <c r="L18" s="36">
        <f>MVTJANV24!L17+MVTFEV24!L17+MVTMARS24!L17+MVTAVRIL24!L17+MVTMAI24!L17+MVTJUIN24!L17+MVTJUIL24!L17+MVTAOUT24!L17+MVTSEPT24!L17+MVTOCT24!L17+MVTNOV24!L17+MVTDEC24!L17</f>
        <v>228000</v>
      </c>
      <c r="M18" s="36">
        <f>MVTJANV24!M17+MVTFEV24!M17+MVTMARS24!M17+MVTAVRIL24!M17+MVTMAI24!M17+MVTJUIN24!M17+MVTJUIL24!M17+MVTAOUT24!M17+MVTSEPT24!M17+MVTOCT24!M17+MVTNOV24!M17+MVTDEC24!M17</f>
        <v>12000</v>
      </c>
      <c r="N18" s="36">
        <f>MVTJANV24!N17+MVTFEV24!N17+MVTMARS24!N17+MVTAVRIL24!N17+MVTMAI24!N17+MVTJUIN24!N17+MVTJUIL24!N17+MVTAOUT24!N17+MVTSEPT24!N17+MVTOCT24!N17+MVTNOV24!N17+MVTDEC24!N17</f>
        <v>12000</v>
      </c>
      <c r="O18" s="36">
        <f>MVTJANV24!O17+MVTFEV24!O17+MVTMARS24!O17+MVTAVRIL24!O17+MVTMAI24!O17+MVTJUIN24!O17+MVTJUIL24!O17+MVTAOUT24!O17+MVTSEPT24!O17+MVTOCT24!O17+MVTNOV24!O17+MVTDEC24!O17</f>
        <v>48000</v>
      </c>
      <c r="P18" s="36">
        <f>MVTJANV24!P17+MVTFEV24!P17+MVTMARS24!P17+MVTAVRIL24!P17+MVTMAI24!P17+MVTJUIN24!P17+MVTJUIL24!P17+MVTAOUT24!P17+MVTSEPT24!P17+MVTOCT24!P17+MVTNOV24!P17+MVTDEC24!P17</f>
        <v>0</v>
      </c>
      <c r="Q18" s="36">
        <f>MVTJANV24!Q17+MVTFEV24!Q17+MVTMARS24!Q17+MVTAVRIL24!Q17+MVTMAI24!Q17+MVTJUIN24!Q17+MVTJUIL24!Q17+MVTAOUT24!Q17+MVTSEPT24!Q17+MVTOCT24!Q17+MVTNOV24!Q17+MVTDEC24!Q17</f>
        <v>0</v>
      </c>
      <c r="R18" s="36">
        <f>MVTJANV24!R17+MVTFEV24!R17+MVTMARS24!R17+MVTAVRIL24!R17+MVTMAI24!R17+MVTJUIN24!R17+MVTJUIL24!R17+MVTAOUT24!R17+MVTSEPT24!R17+MVTOCT24!R17+MVTNOV24!R17+MVTDEC24!R17</f>
        <v>0</v>
      </c>
      <c r="S18" s="36">
        <f>MVTDEC23!S17+MVTJANV24!S17+MVTFEV24!S17+MVTMARS24!S17+MVTAVRIL24!S17+MVTMAI24!S17+MVTJUIN24!S17+MVTJUIL24!S17+MVTAOUT24!S17+MVTSEPT24!S17+MVTOCT24!S17+MVTNOV24!S17+MVTDEC24!S17</f>
        <v>1000000</v>
      </c>
      <c r="T18" s="36">
        <f>MVTDEC23!T17+MVTJANV24!T17+MVTFEV24!T17+MVTMARS24!T17+MVTAVRIL24!T17+MVTMAI24!T17+MVTJUIN24!T17+MVTJUIL24!T17+MVTAOUT24!T17+MVTSEPT24!T17+MVTOCT24!T17+MVTNOV24!T17+MVTDEC24!T17</f>
        <v>110000</v>
      </c>
      <c r="U18" s="36"/>
      <c r="V18" s="36">
        <f>MVTJANV24!V17+MVTFEV24!V17+MVTMARS24!V17+MVTAVRIL24!V17+MVTMAI24!V17+MVTJUIN24!V17+MVTJUIL24!V17+MVTAOUT24!V17+MVTSEPT24!V17+MVTOCT24!V17+MVTNOV24!V17+MVTDEC24!V17</f>
        <v>500000</v>
      </c>
      <c r="W18" s="36">
        <f t="shared" si="1"/>
        <v>500000</v>
      </c>
      <c r="X18" s="36"/>
      <c r="Y18" s="36"/>
      <c r="Z18" s="36">
        <f>MVTJANV24!Z17+MVTFEV24!Z17+MVTMARS24!Z17+MVTAVRIL24!Z17+MVTMAI24!Z17+MVTJUIN24!Z17+MVTJUIL24!Z17+MVTAOUT24!Z17+MVTSEPT24!Z17+MVTOCT24!Z17+MVTNOV24!Z17+MVTDEC24!Z17</f>
        <v>0</v>
      </c>
      <c r="AA18" s="36">
        <f>MVTJANV24!AA17+MVTFEV24!AA17+MVTMARS24!AA17+MVTAVRIL24!AA17+MVTMAI24!AA17+MVTJUIN24!AA17+MVTJUIL24!AA17+MVTAOUT24!AA17+MVTSEPT24!AA17+MVTOCT24!AA17+MVTNOV24!AA17+MVTDEC24!AA17</f>
        <v>0</v>
      </c>
      <c r="AB18" s="36">
        <f>MVTJANV24!AB17+MVTFEV24!AB17+MVTMARS24!AB17+MVTAVRIL24!AB17+MVTMAI24!AB17+MVTJUIN24!AB17+MVTJUIL24!AB17+MVTAOUT24!AB17+MVTSEPT24!AB17+MVTOCT24!AB17+MVTNOV24!AB17+MVTDEC24!AB17</f>
        <v>0</v>
      </c>
      <c r="AC18" s="36">
        <f>MVTJANV24!AC17+MVTFEV24!AC17+MVTMARS24!AC17+MVTAVRIL24!AC17+MVTMAI24!AC17+MVTJUIN24!AC17+MVTJUIL24!AC17+MVTAOUT24!AC17+MVTSEPT24!AC17+MVTOCT24!AC17+MVTNOV24!AC17+MVTDEC24!AC17</f>
        <v>0</v>
      </c>
      <c r="AD18" s="36">
        <f>MVTJANV24!AD17+MVTFEV24!AD17+MVTMARS24!AD17+MVTAVRIL24!AD17+MVTMAI24!AD17+MVTJUIN24!AD17+MVTJUIL24!AD17+MVTAOUT24!AD17+MVTSEPT24!AD17+MVTOCT24!AD17+MVTNOV24!AD17+MVTDEC24!AD17</f>
        <v>0</v>
      </c>
      <c r="AE18" s="36">
        <f>MVTJANV24!AE17+MVTFEV24!AE17+MVTMARS24!AE17+MVTAVRIL24!AE17+MVTMAI24!AE17+MVTJUIN24!AE17+MVTJUIL24!AE17+MVTAOUT24!AE17+MVTSEPT24!AE17+MVTOCT24!AE17+MVTNOV24!AE17+MVTDEC24!AE17</f>
        <v>0</v>
      </c>
      <c r="AF18" s="36">
        <f>MVTJANV24!AF17+MVTFEV24!AF17+MVTMARS24!AF17+MVTAVRIL24!AF17+MVTMAI24!AF17+MVTJUIN24!AF17+MVTJUIL24!AF17+MVTAOUT24!AF17+MVTSEPT24!AF17+MVTOCT24!AF17+MVTNOV24!AF17+MVTDEC24!AF17</f>
        <v>0</v>
      </c>
      <c r="AG18" s="36">
        <f>MVTJANV24!AG17+MVTFEV24!AG17+MVTMARS24!AG17+MVTAVRIL24!AG17+MVTMAI24!AG17+MVTJUIN24!AG17+MVTJUIL24!AG17+MVTAOUT24!AG17+MVTSEPT24!AG17+MVTOCT24!AG17+MVTNOV24!AG17+MVTDEC24!AG17</f>
        <v>0</v>
      </c>
      <c r="AH18" s="36">
        <f>MVTJANV24!AH17+MVTFEV24!AH17+MVTMARS24!AH17+MVTAVRIL24!AH17+MVTMAI24!AH17+MVTJUIN24!AH17+MVTJUIL24!AH17+MVTAOUT24!AH17+MVTSEPT24!AH17+MVTOCT24!AH17+MVTNOV24!AH17+MVTDEC24!AH17</f>
        <v>0</v>
      </c>
      <c r="AI18" s="36">
        <f>MVTJANV24!AI17+MVTFEV24!AI17+MVTMARS24!AI17+MVTAVRIL24!AI17+MVTMAI24!AI17+MVTJUIN24!AI17+MVTJUIL24!AI17+MVTAOUT24!AI17+MVTSEPT24!AI17+MVTOCT24!AI17+MVTNOV24!AI17+MVTDEC24!AI17</f>
        <v>100000</v>
      </c>
      <c r="AJ18" s="36">
        <f>MVTJANV24!AJ17+MVTFEV24!AJ17+MVTMARS24!AJ17+MVTAVRIL24!AJ17+MVTMAI24!AJ17+MVTJUIN24!AJ17+MVTJUIL24!AJ17+MVTAOUT24!AJ17+MVTSEPT24!AJ17+MVTOCT24!AJ17+MVTNOV24!AJ17+MVTDEC24!AJ17</f>
        <v>0</v>
      </c>
      <c r="AK18" s="36">
        <f>MVTJANV24!AK17+MVTFEV24!AK17+MVTMARS24!AK17+MVTAVRIL24!AK17+MVTMAI24!AK17+MVTJUIN24!AK17+MVTJUIL24!AK17+MVTAOUT24!AK17+MVTSEPT24!AK17+MVTOCT24!AK17+MVTNOV24!AK17+MVTDEC24!AK17</f>
        <v>0</v>
      </c>
      <c r="AL18" s="143">
        <v>45627</v>
      </c>
      <c r="AM18" s="144">
        <f t="shared" si="2"/>
        <v>110000</v>
      </c>
      <c r="AN18" s="144"/>
      <c r="AP18" s="36"/>
    </row>
    <row r="19" spans="1:42" ht="15.75" x14ac:dyDescent="0.25">
      <c r="A19" s="1" t="s">
        <v>35</v>
      </c>
      <c r="B19" s="1" t="str">
        <f>VLOOKUP(A19,[19]LISTADHERENT!A$5:H$60,3,0)</f>
        <v>KOUATCHO MESSACK</v>
      </c>
      <c r="C19" s="36">
        <f>+MVTDEC23!C18</f>
        <v>700000</v>
      </c>
      <c r="D19" s="36">
        <f>+MVTDEC23!D18</f>
        <v>24428.628065245139</v>
      </c>
      <c r="E19" s="36">
        <f>VLOOKUP($A19,[24]HISTODEC24!$A$6:$BA$38,48,0)</f>
        <v>0</v>
      </c>
      <c r="F19" s="36">
        <f>MVTDEC24!F18</f>
        <v>1031662.7641973695</v>
      </c>
      <c r="G19" s="5">
        <f>MVTDEC24!G18</f>
        <v>1031662.7641973695</v>
      </c>
      <c r="H19" s="36">
        <f>MVTDEC23!H18+MVTJANV24!H18+MVTFEV24!H18+MVTMARS24!H18+MVTAVRIL24!H18+MVTMAI24!H18+MVTJUIN24!H18+MVTJUIL24!H18+MVTAOUT24!H18+MVTSEPT24!H18+MVTOCT24!H18+MVTNOV24!H18+MVTDEC24!H18</f>
        <v>49234.136132124244</v>
      </c>
      <c r="I19" s="6">
        <f t="shared" si="0"/>
        <v>1080896.9003294937</v>
      </c>
      <c r="J19" s="36">
        <f>MVTJANV24!J18+MVTFEV24!J18+MVTMARS24!J18+MVTAVRIL24!J18+MVTMAI24!J18+MVTJUIN24!J18+MVTJUIL24!J18+MVTAOUT24!J18+MVTSEPT24!J18+MVTOCT24!J18+MVTNOV24!J18+MVTDEC24!J18</f>
        <v>0</v>
      </c>
      <c r="K19" s="36">
        <f>MVTJANV24!K18+MVTFEV24!K18+MVTMARS24!K18+MVTAVRIL24!K18+MVTMAI24!K18+MVTJUIN24!K18+MVTJUIL24!K18+MVTAOUT24!K18+MVTSEPT24!K18+MVTOCT24!K18+MVTNOV24!K18+MVTDEC24!K18</f>
        <v>330000</v>
      </c>
      <c r="L19" s="36">
        <f>MVTJANV24!L18+MVTFEV24!L18+MVTMARS24!L18+MVTAVRIL24!L18+MVTMAI24!L18+MVTJUIN24!L18+MVTJUIL24!L18+MVTAOUT24!L18+MVTSEPT24!L18+MVTOCT24!L18+MVTNOV24!L18+MVTDEC24!L18</f>
        <v>258000</v>
      </c>
      <c r="M19" s="36">
        <f>MVTJANV24!M18+MVTFEV24!M18+MVTMARS24!M18+MVTAVRIL24!M18+MVTMAI24!M18+MVTJUIN24!M18+MVTJUIL24!M18+MVTAOUT24!M18+MVTSEPT24!M18+MVTOCT24!M18+MVTNOV24!M18+MVTDEC24!M18</f>
        <v>12000</v>
      </c>
      <c r="N19" s="36">
        <f>MVTJANV24!N18+MVTFEV24!N18+MVTMARS24!N18+MVTAVRIL24!N18+MVTMAI24!N18+MVTJUIN24!N18+MVTJUIL24!N18+MVTAOUT24!N18+MVTSEPT24!N18+MVTOCT24!N18+MVTNOV24!N18+MVTDEC24!N18</f>
        <v>12000</v>
      </c>
      <c r="O19" s="36">
        <f>MVTJANV24!O18+MVTFEV24!O18+MVTMARS24!O18+MVTAVRIL24!O18+MVTMAI24!O18+MVTJUIN24!O18+MVTJUIL24!O18+MVTAOUT24!O18+MVTSEPT24!O18+MVTOCT24!O18+MVTNOV24!O18+MVTDEC24!O18</f>
        <v>48000</v>
      </c>
      <c r="P19" s="36">
        <f>MVTJANV24!P18+MVTFEV24!P18+MVTMARS24!P18+MVTAVRIL24!P18+MVTMAI24!P18+MVTJUIN24!P18+MVTJUIL24!P18+MVTAOUT24!P18+MVTSEPT24!P18+MVTOCT24!P18+MVTNOV24!P18+MVTDEC24!P18</f>
        <v>0</v>
      </c>
      <c r="Q19" s="36">
        <f>MVTJANV24!Q18+MVTFEV24!Q18+MVTMARS24!Q18+MVTAVRIL24!Q18+MVTMAI24!Q18+MVTJUIN24!Q18+MVTJUIL24!Q18+MVTAOUT24!Q18+MVTSEPT24!Q18+MVTOCT24!Q18+MVTNOV24!Q18+MVTDEC24!Q18</f>
        <v>0</v>
      </c>
      <c r="R19" s="36">
        <f>MVTJANV24!R18+MVTFEV24!R18+MVTMARS24!R18+MVTAVRIL24!R18+MVTMAI24!R18+MVTJUIN24!R18+MVTJUIL24!R18+MVTAOUT24!R18+MVTSEPT24!R18+MVTOCT24!R18+MVTNOV24!R18+MVTDEC24!R18</f>
        <v>0</v>
      </c>
      <c r="S19" s="36">
        <f>MVTDEC23!S18+MVTJANV24!S18+MVTFEV24!S18+MVTMARS24!S18+MVTAVRIL24!S18+MVTMAI24!S18+MVTJUIN24!S18+MVTJUIL24!S18+MVTAOUT24!S18+MVTSEPT24!S18+MVTOCT24!S18+MVTNOV24!S18+MVTDEC24!S18</f>
        <v>1000000</v>
      </c>
      <c r="T19" s="36">
        <f>MVTDEC23!T18+MVTJANV24!T18+MVTFEV24!T18+MVTMARS24!T18+MVTAVRIL24!T18+MVTMAI24!T18+MVTJUIN24!T18+MVTJUIL24!T18+MVTAOUT24!T18+MVTSEPT24!T18+MVTOCT24!T18+MVTNOV24!T18+MVTDEC24!T18</f>
        <v>50000</v>
      </c>
      <c r="U19" s="36"/>
      <c r="V19" s="36">
        <f>MVTJANV24!V18+MVTFEV24!V18+MVTMARS24!V18+MVTAVRIL24!V18+MVTMAI24!V18+MVTJUIN24!V18+MVTJUIL24!V18+MVTAOUT24!V18+MVTSEPT24!V18+MVTOCT24!V18+MVTNOV24!V18+MVTDEC24!V18</f>
        <v>0</v>
      </c>
      <c r="W19" s="36">
        <f t="shared" si="1"/>
        <v>1000000</v>
      </c>
      <c r="X19" s="36"/>
      <c r="Y19" s="36"/>
      <c r="Z19" s="36">
        <f>MVTJANV24!Z18+MVTFEV24!Z18+MVTMARS24!Z18+MVTAVRIL24!Z18+MVTMAI24!Z18+MVTJUIN24!Z18+MVTJUIL24!Z18+MVTAOUT24!Z18+MVTSEPT24!Z18+MVTOCT24!Z18+MVTNOV24!Z18+MVTDEC24!Z18</f>
        <v>0</v>
      </c>
      <c r="AA19" s="36">
        <f>MVTJANV24!AA18+MVTFEV24!AA18+MVTMARS24!AA18+MVTAVRIL24!AA18+MVTMAI24!AA18+MVTJUIN24!AA18+MVTJUIL24!AA18+MVTAOUT24!AA18+MVTSEPT24!AA18+MVTOCT24!AA18+MVTNOV24!AA18+MVTDEC24!AA18</f>
        <v>0</v>
      </c>
      <c r="AB19" s="36">
        <f>MVTJANV24!AB18+MVTFEV24!AB18+MVTMARS24!AB18+MVTAVRIL24!AB18+MVTMAI24!AB18+MVTJUIN24!AB18+MVTJUIL24!AB18+MVTAOUT24!AB18+MVTSEPT24!AB18+MVTOCT24!AB18+MVTNOV24!AB18+MVTDEC24!AB18</f>
        <v>0</v>
      </c>
      <c r="AC19" s="36">
        <f>MVTJANV24!AC18+MVTFEV24!AC18+MVTMARS24!AC18+MVTAVRIL24!AC18+MVTMAI24!AC18+MVTJUIN24!AC18+MVTJUIL24!AC18+MVTAOUT24!AC18+MVTSEPT24!AC18+MVTOCT24!AC18+MVTNOV24!AC18+MVTDEC24!AC18</f>
        <v>0</v>
      </c>
      <c r="AD19" s="36">
        <f>MVTJANV24!AD18+MVTFEV24!AD18+MVTMARS24!AD18+MVTAVRIL24!AD18+MVTMAI24!AD18+MVTJUIN24!AD18+MVTJUIL24!AD18+MVTAOUT24!AD18+MVTSEPT24!AD18+MVTOCT24!AD18+MVTNOV24!AD18+MVTDEC24!AD18</f>
        <v>0</v>
      </c>
      <c r="AE19" s="36">
        <f>MVTJANV24!AE18+MVTFEV24!AE18+MVTMARS24!AE18+MVTAVRIL24!AE18+MVTMAI24!AE18+MVTJUIN24!AE18+MVTJUIL24!AE18+MVTAOUT24!AE18+MVTSEPT24!AE18+MVTOCT24!AE18+MVTNOV24!AE18+MVTDEC24!AE18</f>
        <v>0</v>
      </c>
      <c r="AF19" s="36">
        <f>MVTJANV24!AF18+MVTFEV24!AF18+MVTMARS24!AF18+MVTAVRIL24!AF18+MVTMAI24!AF18+MVTJUIN24!AF18+MVTJUIL24!AF18+MVTAOUT24!AF18+MVTSEPT24!AF18+MVTOCT24!AF18+MVTNOV24!AF18+MVTDEC24!AF18</f>
        <v>0</v>
      </c>
      <c r="AG19" s="36">
        <f>MVTJANV24!AG18+MVTFEV24!AG18+MVTMARS24!AG18+MVTAVRIL24!AG18+MVTMAI24!AG18+MVTJUIN24!AG18+MVTJUIL24!AG18+MVTAOUT24!AG18+MVTSEPT24!AG18+MVTOCT24!AG18+MVTNOV24!AG18+MVTDEC24!AG18</f>
        <v>0</v>
      </c>
      <c r="AH19" s="36">
        <f>MVTJANV24!AH18+MVTFEV24!AH18+MVTMARS24!AH18+MVTAVRIL24!AH18+MVTMAI24!AH18+MVTJUIN24!AH18+MVTJUIL24!AH18+MVTAOUT24!AH18+MVTSEPT24!AH18+MVTOCT24!AH18+MVTNOV24!AH18+MVTDEC24!AH18</f>
        <v>0</v>
      </c>
      <c r="AI19" s="36">
        <f>MVTJANV24!AI18+MVTFEV24!AI18+MVTMARS24!AI18+MVTAVRIL24!AI18+MVTMAI24!AI18+MVTJUIN24!AI18+MVTJUIL24!AI18+MVTAOUT24!AI18+MVTSEPT24!AI18+MVTOCT24!AI18+MVTNOV24!AI18+MVTDEC24!AI18</f>
        <v>0</v>
      </c>
      <c r="AJ19" s="36">
        <f>MVTJANV24!AJ18+MVTFEV24!AJ18+MVTMARS24!AJ18+MVTAVRIL24!AJ18+MVTMAI24!AJ18+MVTJUIN24!AJ18+MVTJUIL24!AJ18+MVTAOUT24!AJ18+MVTSEPT24!AJ18+MVTOCT24!AJ18+MVTNOV24!AJ18+MVTDEC24!AJ18</f>
        <v>0</v>
      </c>
      <c r="AK19" s="36">
        <f>MVTJANV24!AK18+MVTFEV24!AK18+MVTMARS24!AK18+MVTAVRIL24!AK18+MVTMAI24!AK18+MVTJUIN24!AK18+MVTJUIL24!AK18+MVTAOUT24!AK18+MVTSEPT24!AK18+MVTOCT24!AK18+MVTNOV24!AK18+MVTDEC24!AK18</f>
        <v>0</v>
      </c>
      <c r="AL19" s="143">
        <v>45352</v>
      </c>
      <c r="AM19" s="144">
        <f t="shared" si="2"/>
        <v>50000</v>
      </c>
      <c r="AN19" s="144"/>
      <c r="AP19" s="36"/>
    </row>
    <row r="20" spans="1:42" ht="15.75" x14ac:dyDescent="0.25">
      <c r="A20" s="1" t="s">
        <v>36</v>
      </c>
      <c r="B20" s="1" t="str">
        <f>VLOOKUP(A20,[19]LISTADHERENT!A$5:H$60,3,0)</f>
        <v>LOWE JEAN</v>
      </c>
      <c r="C20" s="36">
        <f>+MVTDEC23!C19</f>
        <v>676217.13072703336</v>
      </c>
      <c r="D20" s="36">
        <f>+MVTDEC23!D19</f>
        <v>0</v>
      </c>
      <c r="E20" s="36"/>
      <c r="F20" s="36">
        <f>MVTDEC24!F19</f>
        <v>676217.13072703336</v>
      </c>
      <c r="G20" s="5">
        <f>MVTDEC24!G19</f>
        <v>0</v>
      </c>
      <c r="H20" s="36">
        <f>MVTDEC23!H19+MVTJANV24!H19+MVTFEV24!H19+MVTMARS24!H19+MVTAVRIL24!H19+MVTMAI24!H19+MVTJUIN24!H19+MVTJUIL24!H19+MVTAOUT24!H19+MVTSEPT24!H19+MVTOCT24!H19+MVTNOV24!H19+MVTDEC24!H19</f>
        <v>0</v>
      </c>
      <c r="I20" s="6">
        <f t="shared" si="0"/>
        <v>676217.13072703336</v>
      </c>
      <c r="J20" s="36">
        <f>MVTJANV24!J19+MVTFEV24!J19+MVTMARS24!J19+MVTAVRIL24!J19+MVTMAI24!J19+MVTJUIN24!J19+MVTJUIL24!J19+MVTAOUT24!J19+MVTSEPT24!J19+MVTOCT24!J19+MVTNOV24!J19+MVTDEC24!J19</f>
        <v>0</v>
      </c>
      <c r="K20" s="36">
        <f>MVTJANV24!K19+MVTFEV24!K19+MVTMARS24!K19+MVTAVRIL24!K19+MVTMAI24!K19+MVTJUIN24!K19+MVTJUIL24!K19+MVTAOUT24!K19+MVTSEPT24!K19+MVTOCT24!K19+MVTNOV24!K19+MVTDEC24!K19</f>
        <v>0</v>
      </c>
      <c r="L20" s="36">
        <f>MVTJANV24!L19+MVTFEV24!L19+MVTMARS24!L19+MVTAVRIL24!L19+MVTMAI24!L19+MVTJUIN24!L19+MVTJUIL24!L19+MVTAOUT24!L19+MVTSEPT24!L19+MVTOCT24!L19+MVTNOV24!L19+MVTDEC24!L19</f>
        <v>0</v>
      </c>
      <c r="M20" s="36">
        <f>MVTJANV24!M19+MVTFEV24!M19+MVTMARS24!M19+MVTAVRIL24!M19+MVTMAI24!M19+MVTJUIN24!M19+MVTJUIL24!M19+MVTAOUT24!M19+MVTSEPT24!M19+MVTOCT24!M19+MVTNOV24!M19+MVTDEC24!M19</f>
        <v>0</v>
      </c>
      <c r="N20" s="36">
        <f>MVTJANV24!N19+MVTFEV24!N19+MVTMARS24!N19+MVTAVRIL24!N19+MVTMAI24!N19+MVTJUIN24!N19+MVTJUIL24!N19+MVTAOUT24!N19+MVTSEPT24!N19+MVTOCT24!N19+MVTNOV24!N19+MVTDEC24!N19</f>
        <v>0</v>
      </c>
      <c r="O20" s="36">
        <f>MVTJANV24!O19+MVTFEV24!O19+MVTMARS24!O19+MVTAVRIL24!O19+MVTMAI24!O19+MVTJUIN24!O19+MVTJUIL24!O19+MVTAOUT24!O19+MVTSEPT24!O19+MVTOCT24!O19+MVTNOV24!O19+MVTDEC24!O19</f>
        <v>0</v>
      </c>
      <c r="P20" s="36">
        <f>MVTJANV24!P19+MVTFEV24!P19+MVTMARS24!P19+MVTAVRIL24!P19+MVTMAI24!P19+MVTJUIN24!P19+MVTJUIL24!P19+MVTAOUT24!P19+MVTSEPT24!P19+MVTOCT24!P19+MVTNOV24!P19+MVTDEC24!P19</f>
        <v>0</v>
      </c>
      <c r="Q20" s="36">
        <f>MVTJANV24!Q19+MVTFEV24!Q19+MVTMARS24!Q19+MVTAVRIL24!Q19+MVTMAI24!Q19+MVTJUIN24!Q19+MVTJUIL24!Q19+MVTAOUT24!Q19+MVTSEPT24!Q19+MVTOCT24!Q19+MVTNOV24!Q19+MVTDEC24!Q19</f>
        <v>0</v>
      </c>
      <c r="R20" s="36">
        <f>MVTJANV24!R19+MVTFEV24!R19+MVTMARS24!R19+MVTAVRIL24!R19+MVTMAI24!R19+MVTJUIN24!R19+MVTJUIL24!R19+MVTAOUT24!R19+MVTSEPT24!R19+MVTOCT24!R19+MVTNOV24!R19+MVTDEC24!R19</f>
        <v>0</v>
      </c>
      <c r="S20" s="36">
        <f>MVTDEC23!S19+MVTJANV24!S19+MVTFEV24!S19+MVTMARS24!S19+MVTAVRIL24!S19+MVTMAI24!S19+MVTJUIN24!S19+MVTJUIL24!S19+MVTAOUT24!S19+MVTSEPT24!S19+MVTOCT24!S19+MVTNOV24!S19+MVTDEC24!S19</f>
        <v>0</v>
      </c>
      <c r="T20" s="36">
        <f>MVTDEC23!T19+MVTJANV24!T19+MVTFEV24!T19+MVTMARS24!T19+MVTAVRIL24!T19+MVTMAI24!T19+MVTJUIN24!T19+MVTJUIL24!T19+MVTAOUT24!T19+MVTSEPT24!T19+MVTOCT24!T19+MVTNOV24!T19+MVTDEC24!T19</f>
        <v>0</v>
      </c>
      <c r="U20" s="36"/>
      <c r="V20" s="36">
        <f>MVTJANV24!V19+MVTFEV24!V19+MVTMARS24!V19+MVTAVRIL24!V19+MVTMAI24!V19+MVTJUIN24!V19+MVTJUIL24!V19+MVTAOUT24!V19+MVTSEPT24!V19+MVTOCT24!V19+MVTNOV24!V19+MVTDEC24!V19</f>
        <v>0</v>
      </c>
      <c r="W20" s="36">
        <f t="shared" si="1"/>
        <v>0</v>
      </c>
      <c r="X20" s="36"/>
      <c r="Y20" s="36"/>
      <c r="Z20" s="36">
        <f>MVTJANV24!Z19+MVTFEV24!Z19+MVTMARS24!Z19+MVTAVRIL24!Z19+MVTMAI24!Z19+MVTJUIN24!Z19+MVTJUIL24!Z19+MVTAOUT24!Z19+MVTSEPT24!Z19+MVTOCT24!Z19+MVTNOV24!Z19+MVTDEC24!Z19</f>
        <v>0</v>
      </c>
      <c r="AA20" s="36">
        <f>MVTJANV24!AA19+MVTFEV24!AA19+MVTMARS24!AA19+MVTAVRIL24!AA19+MVTMAI24!AA19+MVTJUIN24!AA19+MVTJUIL24!AA19+MVTAOUT24!AA19+MVTSEPT24!AA19+MVTOCT24!AA19+MVTNOV24!AA19+MVTDEC24!AA19</f>
        <v>0</v>
      </c>
      <c r="AB20" s="36">
        <f>MVTJANV24!AB19+MVTFEV24!AB19+MVTMARS24!AB19+MVTAVRIL24!AB19+MVTMAI24!AB19+MVTJUIN24!AB19+MVTJUIL24!AB19+MVTAOUT24!AB19+MVTSEPT24!AB19+MVTOCT24!AB19+MVTNOV24!AB19+MVTDEC24!AB19</f>
        <v>0</v>
      </c>
      <c r="AC20" s="36">
        <f>MVTJANV24!AC19+MVTFEV24!AC19+MVTMARS24!AC19+MVTAVRIL24!AC19+MVTMAI24!AC19+MVTJUIN24!AC19+MVTJUIL24!AC19+MVTAOUT24!AC19+MVTSEPT24!AC19+MVTOCT24!AC19+MVTNOV24!AC19+MVTDEC24!AC19</f>
        <v>0</v>
      </c>
      <c r="AD20" s="36">
        <f>MVTJANV24!AD19+MVTFEV24!AD19+MVTMARS24!AD19+MVTAVRIL24!AD19+MVTMAI24!AD19+MVTJUIN24!AD19+MVTJUIL24!AD19+MVTAOUT24!AD19+MVTSEPT24!AD19+MVTOCT24!AD19+MVTNOV24!AD19+MVTDEC24!AD19</f>
        <v>0</v>
      </c>
      <c r="AE20" s="36">
        <f>MVTJANV24!AE19+MVTFEV24!AE19+MVTMARS24!AE19+MVTAVRIL24!AE19+MVTMAI24!AE19+MVTJUIN24!AE19+MVTJUIL24!AE19+MVTAOUT24!AE19+MVTSEPT24!AE19+MVTOCT24!AE19+MVTNOV24!AE19+MVTDEC24!AE19</f>
        <v>0</v>
      </c>
      <c r="AF20" s="36">
        <f>MVTJANV24!AF19+MVTFEV24!AF19+MVTMARS24!AF19+MVTAVRIL24!AF19+MVTMAI24!AF19+MVTJUIN24!AF19+MVTJUIL24!AF19+MVTAOUT24!AF19+MVTSEPT24!AF19+MVTOCT24!AF19+MVTNOV24!AF19+MVTDEC24!AF19</f>
        <v>0</v>
      </c>
      <c r="AG20" s="36">
        <f>MVTJANV24!AG19+MVTFEV24!AG19+MVTMARS24!AG19+MVTAVRIL24!AG19+MVTMAI24!AG19+MVTJUIN24!AG19+MVTJUIL24!AG19+MVTAOUT24!AG19+MVTSEPT24!AG19+MVTOCT24!AG19+MVTNOV24!AG19+MVTDEC24!AG19</f>
        <v>0</v>
      </c>
      <c r="AH20" s="36">
        <f>MVTJANV24!AH19+MVTFEV24!AH19+MVTMARS24!AH19+MVTAVRIL24!AH19+MVTMAI24!AH19+MVTJUIN24!AH19+MVTJUIL24!AH19+MVTAOUT24!AH19+MVTSEPT24!AH19+MVTOCT24!AH19+MVTNOV24!AH19+MVTDEC24!AH19</f>
        <v>0</v>
      </c>
      <c r="AI20" s="36">
        <f>MVTJANV24!AI19+MVTFEV24!AI19+MVTMARS24!AI19+MVTAVRIL24!AI19+MVTMAI24!AI19+MVTJUIN24!AI19+MVTJUIL24!AI19+MVTAOUT24!AI19+MVTSEPT24!AI19+MVTOCT24!AI19+MVTNOV24!AI19+MVTDEC24!AI19</f>
        <v>0</v>
      </c>
      <c r="AJ20" s="36">
        <f>MVTJANV24!AJ19+MVTFEV24!AJ19+MVTMARS24!AJ19+MVTAVRIL24!AJ19+MVTMAI24!AJ19+MVTJUIN24!AJ19+MVTJUIL24!AJ19+MVTAOUT24!AJ19+MVTSEPT24!AJ19+MVTOCT24!AJ19+MVTNOV24!AJ19+MVTDEC24!AJ19</f>
        <v>0</v>
      </c>
      <c r="AK20" s="36">
        <f>MVTJANV24!AK19+MVTFEV24!AK19+MVTMARS24!AK19+MVTAVRIL24!AK19+MVTMAI24!AK19+MVTJUIN24!AK19+MVTJUIL24!AK19+MVTAOUT24!AK19+MVTSEPT24!AK19+MVTOCT24!AK19+MVTNOV24!AK19+MVTDEC24!AK19</f>
        <v>0</v>
      </c>
      <c r="AL20" s="143"/>
      <c r="AM20" s="144">
        <f t="shared" si="2"/>
        <v>0</v>
      </c>
      <c r="AN20" s="144"/>
      <c r="AP20" s="36"/>
    </row>
    <row r="21" spans="1:42" ht="15.75" x14ac:dyDescent="0.25">
      <c r="A21" s="1" t="s">
        <v>330</v>
      </c>
      <c r="B21" s="1" t="str">
        <f>VLOOKUP(A21,[19]LISTADHERENT!A$5:H$60,3,0)</f>
        <v>MASSEUNGOUE DAGOBERT</v>
      </c>
      <c r="C21" s="36">
        <f>+MVTDEC23!C20</f>
        <v>0</v>
      </c>
      <c r="D21" s="36">
        <f>+MVTDEC23!D20</f>
        <v>0</v>
      </c>
      <c r="E21" s="36">
        <f>VLOOKUP($A21,[24]HISTOJANV24!$A$6:$BA$38,48,0)</f>
        <v>0</v>
      </c>
      <c r="F21" s="36">
        <f>MVTDEC24!F20</f>
        <v>228000</v>
      </c>
      <c r="G21" s="5">
        <f>MVTDEC24!G20</f>
        <v>0</v>
      </c>
      <c r="H21" s="36">
        <f>MVTDEC23!H20+MVTJANV24!H20+MVTFEV24!H20+MVTMARS24!H20+MVTAVRIL24!H20+MVTMAI24!H20+MVTJUIN24!H20+MVTJUIL24!H20+MVTAOUT24!H20+MVTSEPT24!H20+MVTOCT24!H20+MVTNOV24!H20+MVTDEC24!H20</f>
        <v>0</v>
      </c>
      <c r="I21" s="6">
        <f t="shared" si="0"/>
        <v>228000</v>
      </c>
      <c r="J21" s="36">
        <f>MVTJANV24!J20+MVTFEV24!J20+MVTMARS24!J20+MVTAVRIL24!J20+MVTMAI24!J20+MVTJUIN24!J20+MVTJUIL24!J20+MVTAOUT24!J20+MVTSEPT24!J20+MVTOCT24!J20+MVTNOV24!J20+MVTDEC24!J20</f>
        <v>0</v>
      </c>
      <c r="K21" s="36">
        <f>MVTJANV24!K20+MVTFEV24!K20+MVTMARS24!K20+MVTAVRIL24!K20+MVTMAI24!K20+MVTJUIN24!K20+MVTJUIL24!K20+MVTAOUT24!K20+MVTSEPT24!K20+MVTOCT24!K20+MVTNOV24!K20+MVTDEC24!K20</f>
        <v>300000</v>
      </c>
      <c r="L21" s="36">
        <f>MVTJANV24!L20+MVTFEV24!L20+MVTMARS24!L20+MVTAVRIL24!L20+MVTMAI24!L20+MVTJUIN24!L20+MVTJUIL24!L20+MVTAOUT24!L20+MVTSEPT24!L20+MVTOCT24!L20+MVTNOV24!L20+MVTDEC24!L20</f>
        <v>228000</v>
      </c>
      <c r="M21" s="36">
        <f>MVTJANV24!M20+MVTFEV24!M20+MVTMARS24!M20+MVTAVRIL24!M20+MVTMAI24!M20+MVTJUIN24!M20+MVTJUIL24!M20+MVTAOUT24!M20+MVTSEPT24!M20+MVTOCT24!M20+MVTNOV24!M20+MVTDEC24!M20</f>
        <v>12000</v>
      </c>
      <c r="N21" s="36">
        <f>MVTJANV24!N20+MVTFEV24!N20+MVTMARS24!N20+MVTAVRIL24!N20+MVTMAI24!N20+MVTJUIN24!N20+MVTJUIL24!N20+MVTAOUT24!N20+MVTSEPT24!N20+MVTOCT24!N20+MVTNOV24!N20+MVTDEC24!N20</f>
        <v>12000</v>
      </c>
      <c r="O21" s="36">
        <f>MVTJANV24!O20+MVTFEV24!O20+MVTMARS24!O20+MVTAVRIL24!O20+MVTMAI24!O20+MVTJUIN24!O20+MVTJUIL24!O20+MVTAOUT24!O20+MVTSEPT24!O20+MVTOCT24!O20+MVTNOV24!O20+MVTDEC24!O20</f>
        <v>48000</v>
      </c>
      <c r="P21" s="36">
        <f>MVTJANV24!P20+MVTFEV24!P20+MVTMARS24!P20+MVTAVRIL24!P20+MVTMAI24!P20+MVTJUIN24!P20+MVTJUIL24!P20+MVTAOUT24!P20+MVTSEPT24!P20+MVTOCT24!P20+MVTNOV24!P20+MVTDEC24!P20</f>
        <v>0</v>
      </c>
      <c r="Q21" s="36">
        <f>MVTJANV24!Q20+MVTFEV24!Q20+MVTMARS24!Q20+MVTAVRIL24!Q20+MVTMAI24!Q20+MVTJUIN24!Q20+MVTJUIL24!Q20+MVTAOUT24!Q20+MVTSEPT24!Q20+MVTOCT24!Q20+MVTNOV24!Q20+MVTDEC24!Q20</f>
        <v>25000</v>
      </c>
      <c r="R21" s="36">
        <f>MVTJANV24!R20+MVTFEV24!R20+MVTMARS24!R20+MVTAVRIL24!R20+MVTMAI24!R20+MVTJUIN24!R20+MVTJUIL24!R20+MVTAOUT24!R20+MVTSEPT24!R20+MVTOCT24!R20+MVTNOV24!R20+MVTDEC24!R20</f>
        <v>0</v>
      </c>
      <c r="S21" s="36">
        <f>MVTDEC23!S20+MVTJANV24!S20+MVTFEV24!S20+MVTMARS24!S20+MVTAVRIL24!S20+MVTMAI24!S20+MVTJUIN24!S20+MVTJUIL24!S20+MVTAOUT24!S20+MVTSEPT24!S20+MVTOCT24!S20+MVTNOV24!S20+MVTDEC24!S20</f>
        <v>0</v>
      </c>
      <c r="T21" s="36">
        <f>MVTDEC23!T20+MVTJANV24!T20+MVTFEV24!T20+MVTMARS24!T20+MVTAVRIL24!T20+MVTMAI24!T20+MVTJUIN24!T20+MVTJUIL24!T20+MVTAOUT24!T20+MVTSEPT24!T20+MVTOCT24!T20+MVTNOV24!T20+MVTDEC24!T20</f>
        <v>0</v>
      </c>
      <c r="U21" s="36"/>
      <c r="V21" s="36">
        <f>MVTJANV24!V20+MVTFEV24!V20+MVTMARS24!V20+MVTAVRIL24!V20+MVTMAI24!V20+MVTJUIN24!V20+MVTJUIL24!V20+MVTAOUT24!V20+MVTSEPT24!V20+MVTOCT24!V20+MVTNOV24!V20+MVTDEC24!V20</f>
        <v>0</v>
      </c>
      <c r="W21" s="36">
        <f t="shared" si="1"/>
        <v>0</v>
      </c>
      <c r="X21" s="36"/>
      <c r="Y21" s="36"/>
      <c r="Z21" s="36">
        <f>MVTJANV24!Z20+MVTFEV24!Z20+MVTMARS24!Z20+MVTAVRIL24!Z20+MVTMAI24!Z20+MVTJUIN24!Z20+MVTJUIL24!Z20+MVTAOUT24!Z20+MVTSEPT24!Z20+MVTOCT24!Z20+MVTNOV24!Z20+MVTDEC24!Z20</f>
        <v>0</v>
      </c>
      <c r="AA21" s="36">
        <f>MVTJANV24!AA20+MVTFEV24!AA20+MVTMARS24!AA20+MVTAVRIL24!AA20+MVTMAI24!AA20+MVTJUIN24!AA20+MVTJUIL24!AA20+MVTAOUT24!AA20+MVTSEPT24!AA20+MVTOCT24!AA20+MVTNOV24!AA20+MVTDEC24!AA20</f>
        <v>0</v>
      </c>
      <c r="AB21" s="36">
        <f>MVTJANV24!AB20+MVTFEV24!AB20+MVTMARS24!AB20+MVTAVRIL24!AB20+MVTMAI24!AB20+MVTJUIN24!AB20+MVTJUIL24!AB20+MVTAOUT24!AB20+MVTSEPT24!AB20+MVTOCT24!AB20+MVTNOV24!AB20+MVTDEC24!AB20</f>
        <v>0</v>
      </c>
      <c r="AC21" s="36">
        <f>MVTJANV24!AC20+MVTFEV24!AC20+MVTMARS24!AC20+MVTAVRIL24!AC20+MVTMAI24!AC20+MVTJUIN24!AC20+MVTJUIL24!AC20+MVTAOUT24!AC20+MVTSEPT24!AC20+MVTOCT24!AC20+MVTNOV24!AC20+MVTDEC24!AC20</f>
        <v>0</v>
      </c>
      <c r="AD21" s="36">
        <f>MVTJANV24!AD20+MVTFEV24!AD20+MVTMARS24!AD20+MVTAVRIL24!AD20+MVTMAI24!AD20+MVTJUIN24!AD20+MVTJUIL24!AD20+MVTAOUT24!AD20+MVTSEPT24!AD20+MVTOCT24!AD20+MVTNOV24!AD20+MVTDEC24!AD20</f>
        <v>0</v>
      </c>
      <c r="AE21" s="36">
        <f>MVTJANV24!AE20+MVTFEV24!AE20+MVTMARS24!AE20+MVTAVRIL24!AE20+MVTMAI24!AE20+MVTJUIN24!AE20+MVTJUIL24!AE20+MVTAOUT24!AE20+MVTSEPT24!AE20+MVTOCT24!AE20+MVTNOV24!AE20+MVTDEC24!AE20</f>
        <v>0</v>
      </c>
      <c r="AF21" s="36">
        <f>MVTJANV24!AF20+MVTFEV24!AF20+MVTMARS24!AF20+MVTAVRIL24!AF20+MVTMAI24!AF20+MVTJUIN24!AF20+MVTJUIL24!AF20+MVTAOUT24!AF20+MVTSEPT24!AF20+MVTOCT24!AF20+MVTNOV24!AF20+MVTDEC24!AF20</f>
        <v>0</v>
      </c>
      <c r="AG21" s="36">
        <f>MVTJANV24!AG20+MVTFEV24!AG20+MVTMARS24!AG20+MVTAVRIL24!AG20+MVTMAI24!AG20+MVTJUIN24!AG20+MVTJUIL24!AG20+MVTAOUT24!AG20+MVTSEPT24!AG20+MVTOCT24!AG20+MVTNOV24!AG20+MVTDEC24!AG20</f>
        <v>0</v>
      </c>
      <c r="AH21" s="36">
        <f>MVTJANV24!AH20+MVTFEV24!AH20+MVTMARS24!AH20+MVTAVRIL24!AH20+MVTMAI24!AH20+MVTJUIN24!AH20+MVTJUIL24!AH20+MVTAOUT24!AH20+MVTSEPT24!AH20+MVTOCT24!AH20+MVTNOV24!AH20+MVTDEC24!AH20</f>
        <v>0</v>
      </c>
      <c r="AI21" s="36">
        <f>MVTJANV24!AI20+MVTFEV24!AI20+MVTMARS24!AI20+MVTAVRIL24!AI20+MVTMAI24!AI20+MVTJUIN24!AI20+MVTJUIL24!AI20+MVTAOUT24!AI20+MVTSEPT24!AI20+MVTOCT24!AI20+MVTNOV24!AI20+MVTDEC24!AI20</f>
        <v>0</v>
      </c>
      <c r="AJ21" s="36">
        <f>MVTJANV24!AJ20+MVTFEV24!AJ20+MVTMARS24!AJ20+MVTAVRIL24!AJ20+MVTMAI24!AJ20+MVTJUIN24!AJ20+MVTJUIL24!AJ20+MVTAOUT24!AJ20+MVTSEPT24!AJ20+MVTOCT24!AJ20+MVTNOV24!AJ20+MVTDEC24!AJ20</f>
        <v>0</v>
      </c>
      <c r="AK21" s="36">
        <f>MVTJANV24!AK20+MVTFEV24!AK20+MVTMARS24!AK20+MVTAVRIL24!AK20+MVTMAI24!AK20+MVTJUIN24!AK20+MVTJUIL24!AK20+MVTAOUT24!AK20+MVTSEPT24!AK20+MVTOCT24!AK20+MVTNOV24!AK20+MVTDEC24!AK20</f>
        <v>0</v>
      </c>
      <c r="AL21" s="143"/>
      <c r="AM21" s="144">
        <f t="shared" si="2"/>
        <v>0</v>
      </c>
      <c r="AN21" s="144"/>
      <c r="AP21" s="36"/>
    </row>
    <row r="22" spans="1:42" ht="15.75" x14ac:dyDescent="0.25">
      <c r="A22" s="1" t="s">
        <v>75</v>
      </c>
      <c r="B22" s="1" t="str">
        <f>VLOOKUP(A22,[19]LISTADHERENT!A$5:H$60,3,0)</f>
        <v>MBOGNING TUGMA GUY</v>
      </c>
      <c r="C22" s="36">
        <f>+MVTDEC23!C21</f>
        <v>700000</v>
      </c>
      <c r="D22" s="36">
        <f>+MVTDEC23!D21</f>
        <v>31709.397241182596</v>
      </c>
      <c r="E22" s="36">
        <f>VLOOKUP($A22,[24]HISTOJANV24!$A$6:$BA$38,48,0)</f>
        <v>0</v>
      </c>
      <c r="F22" s="36">
        <f>MVTDEC24!F21</f>
        <v>1008355.800629583</v>
      </c>
      <c r="G22" s="5">
        <f>MVTDEC24!G21</f>
        <v>1008355.800629583</v>
      </c>
      <c r="H22" s="36">
        <f>MVTDEC23!H21+MVTJANV24!H21+MVTFEV24!H21+MVTMARS24!H21+MVTAVRIL24!H21+MVTMAI24!H21+MVTJUIN24!H21+MVTJUIL24!H21+MVTAOUT24!H21+MVTSEPT24!H21+MVTOCT24!H21+MVTNOV24!H21+MVTDEC24!H21</f>
        <v>49646.403388400482</v>
      </c>
      <c r="I22" s="6">
        <f t="shared" si="0"/>
        <v>1058002.2040179835</v>
      </c>
      <c r="J22" s="36">
        <f>MVTJANV24!J21+MVTFEV24!J21+MVTMARS24!J21+MVTAVRIL24!J21+MVTMAI24!J21+MVTJUIN24!J21+MVTJUIL24!J21+MVTAOUT24!J21+MVTSEPT24!J21+MVTOCT24!J21+MVTNOV24!J21+MVTDEC24!J21</f>
        <v>0</v>
      </c>
      <c r="K22" s="36">
        <f>MVTJANV24!K21+MVTFEV24!K21+MVTMARS24!K21+MVTAVRIL24!K21+MVTMAI24!K21+MVTJUIN24!K21+MVTJUIL24!K21+MVTAOUT24!K21+MVTSEPT24!K21+MVTOCT24!K21+MVTNOV24!K21+MVTDEC24!K21</f>
        <v>299000</v>
      </c>
      <c r="L22" s="36">
        <f>MVTJANV24!L21+MVTFEV24!L21+MVTMARS24!L21+MVTAVRIL24!L21+MVTMAI24!L21+MVTJUIN24!L21+MVTJUIL24!L21+MVTAOUT24!L21+MVTSEPT24!L21+MVTOCT24!L21+MVTNOV24!L21+MVTDEC24!L21</f>
        <v>227000</v>
      </c>
      <c r="M22" s="36">
        <f>MVTJANV24!M21+MVTFEV24!M21+MVTMARS24!M21+MVTAVRIL24!M21+MVTMAI24!M21+MVTJUIN24!M21+MVTJUIL24!M21+MVTAOUT24!M21+MVTSEPT24!M21+MVTOCT24!M21+MVTNOV24!M21+MVTDEC24!M21</f>
        <v>12000</v>
      </c>
      <c r="N22" s="36">
        <f>MVTJANV24!N21+MVTFEV24!N21+MVTMARS24!N21+MVTAVRIL24!N21+MVTMAI24!N21+MVTJUIN24!N21+MVTJUIL24!N21+MVTAOUT24!N21+MVTSEPT24!N21+MVTOCT24!N21+MVTNOV24!N21+MVTDEC24!N21</f>
        <v>12000</v>
      </c>
      <c r="O22" s="36">
        <f>MVTJANV24!O21+MVTFEV24!O21+MVTMARS24!O21+MVTAVRIL24!O21+MVTMAI24!O21+MVTJUIN24!O21+MVTJUIL24!O21+MVTAOUT24!O21+MVTSEPT24!O21+MVTOCT24!O21+MVTNOV24!O21+MVTDEC24!O21</f>
        <v>48000</v>
      </c>
      <c r="P22" s="36">
        <f>MVTJANV24!P21+MVTFEV24!P21+MVTMARS24!P21+MVTAVRIL24!P21+MVTMAI24!P21+MVTJUIN24!P21+MVTJUIL24!P21+MVTAOUT24!P21+MVTSEPT24!P21+MVTOCT24!P21+MVTNOV24!P21+MVTDEC24!P21</f>
        <v>0</v>
      </c>
      <c r="Q22" s="36">
        <f>MVTJANV24!Q21+MVTFEV24!Q21+MVTMARS24!Q21+MVTAVRIL24!Q21+MVTMAI24!Q21+MVTJUIN24!Q21+MVTJUIL24!Q21+MVTAOUT24!Q21+MVTSEPT24!Q21+MVTOCT24!Q21+MVTNOV24!Q21+MVTDEC24!Q21</f>
        <v>0</v>
      </c>
      <c r="R22" s="36">
        <f>MVTJANV24!R21+MVTFEV24!R21+MVTMARS24!R21+MVTAVRIL24!R21+MVTMAI24!R21+MVTJUIN24!R21+MVTJUIL24!R21+MVTAOUT24!R21+MVTSEPT24!R21+MVTOCT24!R21+MVTNOV24!R21+MVTDEC24!R21</f>
        <v>0</v>
      </c>
      <c r="S22" s="36">
        <f>MVTDEC23!S21+MVTJANV24!S21+MVTFEV24!S21+MVTMARS24!S21+MVTAVRIL24!S21+MVTMAI24!S21+MVTJUIN24!S21+MVTJUIL24!S21+MVTAOUT24!S21+MVTSEPT24!S21+MVTOCT24!S21+MVTNOV24!S21+MVTDEC24!S21</f>
        <v>1000000</v>
      </c>
      <c r="T22" s="36">
        <f>MVTDEC23!T21+MVTJANV24!T21+MVTFEV24!T21+MVTMARS24!T21+MVTAVRIL24!T21+MVTMAI24!T21+MVTJUIN24!T21+MVTJUIL24!T21+MVTAOUT24!T21+MVTSEPT24!T21+MVTOCT24!T21+MVTNOV24!T21+MVTDEC24!T21</f>
        <v>60000</v>
      </c>
      <c r="U22" s="36"/>
      <c r="V22" s="36">
        <f>MVTJANV24!V21+MVTFEV24!V21+MVTMARS24!V21+MVTAVRIL24!V21+MVTMAI24!V21+MVTJUIN24!V21+MVTJUIL24!V21+MVTAOUT24!V21+MVTSEPT24!V21+MVTOCT24!V21+MVTNOV24!V21+MVTDEC24!V21</f>
        <v>0</v>
      </c>
      <c r="W22" s="36">
        <f t="shared" si="1"/>
        <v>1000000</v>
      </c>
      <c r="X22" s="36"/>
      <c r="Y22" s="36"/>
      <c r="Z22" s="36">
        <f>MVTJANV24!Z21+MVTFEV24!Z21+MVTMARS24!Z21+MVTAVRIL24!Z21+MVTMAI24!Z21+MVTJUIN24!Z21+MVTJUIL24!Z21+MVTAOUT24!Z21+MVTSEPT24!Z21+MVTOCT24!Z21+MVTNOV24!Z21+MVTDEC24!Z21</f>
        <v>0</v>
      </c>
      <c r="AA22" s="36">
        <f>MVTJANV24!AA21+MVTFEV24!AA21+MVTMARS24!AA21+MVTAVRIL24!AA21+MVTMAI24!AA21+MVTJUIN24!AA21+MVTJUIL24!AA21+MVTAOUT24!AA21+MVTSEPT24!AA21+MVTOCT24!AA21+MVTNOV24!AA21+MVTDEC24!AA21</f>
        <v>0</v>
      </c>
      <c r="AB22" s="36">
        <f>MVTJANV24!AB21+MVTFEV24!AB21+MVTMARS24!AB21+MVTAVRIL24!AB21+MVTMAI24!AB21+MVTJUIN24!AB21+MVTJUIL24!AB21+MVTAOUT24!AB21+MVTSEPT24!AB21+MVTOCT24!AB21+MVTNOV24!AB21+MVTDEC24!AB21</f>
        <v>0</v>
      </c>
      <c r="AC22" s="36">
        <f>MVTJANV24!AC21+MVTFEV24!AC21+MVTMARS24!AC21+MVTAVRIL24!AC21+MVTMAI24!AC21+MVTJUIN24!AC21+MVTJUIL24!AC21+MVTAOUT24!AC21+MVTSEPT24!AC21+MVTOCT24!AC21+MVTNOV24!AC21+MVTDEC24!AC21</f>
        <v>0</v>
      </c>
      <c r="AD22" s="36">
        <f>MVTJANV24!AD21+MVTFEV24!AD21+MVTMARS24!AD21+MVTAVRIL24!AD21+MVTMAI24!AD21+MVTJUIN24!AD21+MVTJUIL24!AD21+MVTAOUT24!AD21+MVTSEPT24!AD21+MVTOCT24!AD21+MVTNOV24!AD21+MVTDEC24!AD21</f>
        <v>0</v>
      </c>
      <c r="AE22" s="36">
        <f>MVTJANV24!AE21+MVTFEV24!AE21+MVTMARS24!AE21+MVTAVRIL24!AE21+MVTMAI24!AE21+MVTJUIN24!AE21+MVTJUIL24!AE21+MVTAOUT24!AE21+MVTSEPT24!AE21+MVTOCT24!AE21+MVTNOV24!AE21+MVTDEC24!AE21</f>
        <v>0</v>
      </c>
      <c r="AF22" s="36">
        <f>MVTJANV24!AF21+MVTFEV24!AF21+MVTMARS24!AF21+MVTAVRIL24!AF21+MVTMAI24!AF21+MVTJUIN24!AF21+MVTJUIL24!AF21+MVTAOUT24!AF21+MVTSEPT24!AF21+MVTOCT24!AF21+MVTNOV24!AF21+MVTDEC24!AF21</f>
        <v>0</v>
      </c>
      <c r="AG22" s="36">
        <f>MVTJANV24!AG21+MVTFEV24!AG21+MVTMARS24!AG21+MVTAVRIL24!AG21+MVTMAI24!AG21+MVTJUIN24!AG21+MVTJUIL24!AG21+MVTAOUT24!AG21+MVTSEPT24!AG21+MVTOCT24!AG21+MVTNOV24!AG21+MVTDEC24!AG21</f>
        <v>0</v>
      </c>
      <c r="AH22" s="36">
        <f>MVTJANV24!AH21+MVTFEV24!AH21+MVTMARS24!AH21+MVTAVRIL24!AH21+MVTMAI24!AH21+MVTJUIN24!AH21+MVTJUIL24!AH21+MVTAOUT24!AH21+MVTSEPT24!AH21+MVTOCT24!AH21+MVTNOV24!AH21+MVTDEC24!AH21</f>
        <v>0</v>
      </c>
      <c r="AI22" s="36">
        <f>MVTJANV24!AI21+MVTFEV24!AI21+MVTMARS24!AI21+MVTAVRIL24!AI21+MVTMAI24!AI21+MVTJUIN24!AI21+MVTJUIL24!AI21+MVTAOUT24!AI21+MVTSEPT24!AI21+MVTOCT24!AI21+MVTNOV24!AI21+MVTDEC24!AI21</f>
        <v>0</v>
      </c>
      <c r="AJ22" s="36">
        <f>MVTJANV24!AJ21+MVTFEV24!AJ21+MVTMARS24!AJ21+MVTAVRIL24!AJ21+MVTMAI24!AJ21+MVTJUIN24!AJ21+MVTJUIL24!AJ21+MVTAOUT24!AJ21+MVTSEPT24!AJ21+MVTOCT24!AJ21+MVTNOV24!AJ21+MVTDEC24!AJ21</f>
        <v>0</v>
      </c>
      <c r="AK22" s="36">
        <f>MVTJANV24!AK21+MVTFEV24!AK21+MVTMARS24!AK21+MVTAVRIL24!AK21+MVTMAI24!AK21+MVTJUIN24!AK21+MVTJUIL24!AK21+MVTAOUT24!AK21+MVTSEPT24!AK21+MVTOCT24!AK21+MVTNOV24!AK21+MVTDEC24!AK21</f>
        <v>0</v>
      </c>
      <c r="AL22" s="143">
        <v>45352</v>
      </c>
      <c r="AM22" s="144">
        <f t="shared" si="2"/>
        <v>60000</v>
      </c>
      <c r="AN22" s="144"/>
      <c r="AP22" s="36"/>
    </row>
    <row r="23" spans="1:42" ht="15.75" x14ac:dyDescent="0.25">
      <c r="A23" s="1" t="s">
        <v>50</v>
      </c>
      <c r="B23" s="1" t="str">
        <f>VLOOKUP(A23,[19]LISTADHERENT!A$5:H$60,3,0)</f>
        <v>NANGUEN MARTIN</v>
      </c>
      <c r="C23" s="36">
        <f>+MVTDEC23!C22</f>
        <v>700000</v>
      </c>
      <c r="D23" s="36">
        <f>+MVTDEC23!D22</f>
        <v>1150.3620808817795</v>
      </c>
      <c r="E23" s="36">
        <f>VLOOKUP($A23,[24]HISTOJANV24!$A$6:$BA$38,48,0)</f>
        <v>0</v>
      </c>
      <c r="F23" s="36">
        <f>MVTDEC24!F22</f>
        <v>976738.95952735876</v>
      </c>
      <c r="G23" s="5">
        <f>MVTDEC24!G22</f>
        <v>976738.95952735876</v>
      </c>
      <c r="H23" s="36">
        <f>MVTDEC23!H22+MVTJANV24!H22+MVTFEV24!H22+MVTMARS24!H22+MVTAVRIL24!H22+MVTMAI24!H22+MVTJUIN24!H22+MVTJUIL24!H22+MVTAOUT24!H22+MVTSEPT24!H22+MVTOCT24!H22+MVTNOV24!H22+MVTDEC24!H22</f>
        <v>47588.597446476793</v>
      </c>
      <c r="I23" s="6">
        <f t="shared" si="0"/>
        <v>1024327.5569738356</v>
      </c>
      <c r="J23" s="36">
        <f>MVTJANV24!J22+MVTFEV24!J22+MVTMARS24!J22+MVTAVRIL24!J22+MVTMAI24!J22+MVTJUIN24!J22+MVTJUIL24!J22+MVTAOUT24!J22+MVTSEPT24!J22+MVTOCT24!J22+MVTNOV24!J22+MVTDEC24!J22</f>
        <v>0</v>
      </c>
      <c r="K23" s="36">
        <f>MVTJANV24!K22+MVTFEV24!K22+MVTMARS24!K22+MVTAVRIL24!K22+MVTMAI24!K22+MVTJUIN24!K22+MVTJUIL24!K22+MVTAOUT24!K22+MVTSEPT24!K22+MVTOCT24!K22+MVTNOV24!K22+MVTDEC24!K22</f>
        <v>300000</v>
      </c>
      <c r="L23" s="36">
        <f>MVTJANV24!L22+MVTFEV24!L22+MVTMARS24!L22+MVTAVRIL24!L22+MVTMAI24!L22+MVTJUIN24!L22+MVTJUIL24!L22+MVTAOUT24!L22+MVTSEPT24!L22+MVTOCT24!L22+MVTNOV24!L22+MVTDEC24!L22</f>
        <v>228000</v>
      </c>
      <c r="M23" s="36">
        <f>MVTJANV24!M22+MVTFEV24!M22+MVTMARS24!M22+MVTAVRIL24!M22+MVTMAI24!M22+MVTJUIN24!M22+MVTJUIL24!M22+MVTAOUT24!M22+MVTSEPT24!M22+MVTOCT24!M22+MVTNOV24!M22+MVTDEC24!M22</f>
        <v>12000</v>
      </c>
      <c r="N23" s="36">
        <f>MVTJANV24!N22+MVTFEV24!N22+MVTMARS24!N22+MVTAVRIL24!N22+MVTMAI24!N22+MVTJUIN24!N22+MVTJUIL24!N22+MVTAOUT24!N22+MVTSEPT24!N22+MVTOCT24!N22+MVTNOV24!N22+MVTDEC24!N22</f>
        <v>12000</v>
      </c>
      <c r="O23" s="36">
        <f>MVTJANV24!O22+MVTFEV24!O22+MVTMARS24!O22+MVTAVRIL24!O22+MVTMAI24!O22+MVTJUIN24!O22+MVTJUIL24!O22+MVTAOUT24!O22+MVTSEPT24!O22+MVTOCT24!O22+MVTNOV24!O22+MVTDEC24!O22</f>
        <v>48000</v>
      </c>
      <c r="P23" s="36">
        <f>MVTJANV24!P22+MVTFEV24!P22+MVTMARS24!P22+MVTAVRIL24!P22+MVTMAI24!P22+MVTJUIN24!P22+MVTJUIL24!P22+MVTAOUT24!P22+MVTSEPT24!P22+MVTOCT24!P22+MVTNOV24!P22+MVTDEC24!P22</f>
        <v>0</v>
      </c>
      <c r="Q23" s="36">
        <f>MVTJANV24!Q22+MVTFEV24!Q22+MVTMARS24!Q22+MVTAVRIL24!Q22+MVTMAI24!Q22+MVTJUIN24!Q22+MVTJUIL24!Q22+MVTAOUT24!Q22+MVTSEPT24!Q22+MVTOCT24!Q22+MVTNOV24!Q22+MVTDEC24!Q22</f>
        <v>0</v>
      </c>
      <c r="R23" s="36">
        <f>MVTJANV24!R22+MVTFEV24!R22+MVTMARS24!R22+MVTAVRIL24!R22+MVTMAI24!R22+MVTJUIN24!R22+MVTJUIL24!R22+MVTAOUT24!R22+MVTSEPT24!R22+MVTOCT24!R22+MVTNOV24!R22+MVTDEC24!R22</f>
        <v>0</v>
      </c>
      <c r="S23" s="36">
        <f>MVTDEC23!S22+MVTJANV24!S22+MVTFEV24!S22+MVTMARS24!S22+MVTAVRIL24!S22+MVTMAI24!S22+MVTJUIN24!S22+MVTJUIL24!S22+MVTAOUT24!S22+MVTSEPT24!S22+MVTOCT24!S22+MVTNOV24!S22+MVTDEC24!S22</f>
        <v>300000</v>
      </c>
      <c r="T23" s="36">
        <f>MVTDEC23!T22+MVTJANV24!T22+MVTFEV24!T22+MVTMARS24!T22+MVTAVRIL24!T22+MVTMAI24!T22+MVTJUIN24!T22+MVTJUIL24!T22+MVTAOUT24!T22+MVTSEPT24!T22+MVTOCT24!T22+MVTNOV24!T22+MVTDEC24!T22</f>
        <v>18000</v>
      </c>
      <c r="U23" s="36"/>
      <c r="V23" s="36">
        <f>MVTJANV24!V22+MVTFEV24!V22+MVTMARS24!V22+MVTAVRIL24!V22+MVTMAI24!V22+MVTJUIN24!V22+MVTJUIL24!V22+MVTAOUT24!V22+MVTSEPT24!V22+MVTOCT24!V22+MVTNOV24!V22+MVTDEC24!V22</f>
        <v>0</v>
      </c>
      <c r="W23" s="36">
        <f t="shared" si="1"/>
        <v>300000</v>
      </c>
      <c r="X23" s="36"/>
      <c r="Y23" s="36"/>
      <c r="Z23" s="36">
        <f>MVTJANV24!Z22+MVTFEV24!Z22+MVTMARS24!Z22+MVTAVRIL24!Z22+MVTMAI24!Z22+MVTJUIN24!Z22+MVTJUIL24!Z22+MVTAOUT24!Z22+MVTSEPT24!Z22+MVTOCT24!Z22+MVTNOV24!Z22+MVTDEC24!Z22</f>
        <v>0</v>
      </c>
      <c r="AA23" s="36">
        <f>MVTJANV24!AA22+MVTFEV24!AA22+MVTMARS24!AA22+MVTAVRIL24!AA22+MVTMAI24!AA22+MVTJUIN24!AA22+MVTJUIL24!AA22+MVTAOUT24!AA22+MVTSEPT24!AA22+MVTOCT24!AA22+MVTNOV24!AA22+MVTDEC24!AA22</f>
        <v>0</v>
      </c>
      <c r="AB23" s="36">
        <f>MVTJANV24!AB22+MVTFEV24!AB22+MVTMARS24!AB22+MVTAVRIL24!AB22+MVTMAI24!AB22+MVTJUIN24!AB22+MVTJUIL24!AB22+MVTAOUT24!AB22+MVTSEPT24!AB22+MVTOCT24!AB22+MVTNOV24!AB22+MVTDEC24!AB22</f>
        <v>0</v>
      </c>
      <c r="AC23" s="36">
        <f>MVTJANV24!AC22+MVTFEV24!AC22+MVTMARS24!AC22+MVTAVRIL24!AC22+MVTMAI24!AC22+MVTJUIN24!AC22+MVTJUIL24!AC22+MVTAOUT24!AC22+MVTSEPT24!AC22+MVTOCT24!AC22+MVTNOV24!AC22+MVTDEC24!AC22</f>
        <v>0</v>
      </c>
      <c r="AD23" s="36">
        <f>MVTJANV24!AD22+MVTFEV24!AD22+MVTMARS24!AD22+MVTAVRIL24!AD22+MVTMAI24!AD22+MVTJUIN24!AD22+MVTJUIL24!AD22+MVTAOUT24!AD22+MVTSEPT24!AD22+MVTOCT24!AD22+MVTNOV24!AD22+MVTDEC24!AD22</f>
        <v>0</v>
      </c>
      <c r="AE23" s="36">
        <f>MVTJANV24!AE22+MVTFEV24!AE22+MVTMARS24!AE22+MVTAVRIL24!AE22+MVTMAI24!AE22+MVTJUIN24!AE22+MVTJUIL24!AE22+MVTAOUT24!AE22+MVTSEPT24!AE22+MVTOCT24!AE22+MVTNOV24!AE22+MVTDEC24!AE22</f>
        <v>0</v>
      </c>
      <c r="AF23" s="36">
        <f>MVTJANV24!AF22+MVTFEV24!AF22+MVTMARS24!AF22+MVTAVRIL24!AF22+MVTMAI24!AF22+MVTJUIN24!AF22+MVTJUIL24!AF22+MVTAOUT24!AF22+MVTSEPT24!AF22+MVTOCT24!AF22+MVTNOV24!AF22+MVTDEC24!AF22</f>
        <v>0</v>
      </c>
      <c r="AG23" s="36">
        <f>MVTJANV24!AG22+MVTFEV24!AG22+MVTMARS24!AG22+MVTAVRIL24!AG22+MVTMAI24!AG22+MVTJUIN24!AG22+MVTJUIL24!AG22+MVTAOUT24!AG22+MVTSEPT24!AG22+MVTOCT24!AG22+MVTNOV24!AG22+MVTDEC24!AG22</f>
        <v>0</v>
      </c>
      <c r="AH23" s="36">
        <f>MVTJANV24!AH22+MVTFEV24!AH22+MVTMARS24!AH22+MVTAVRIL24!AH22+MVTMAI24!AH22+MVTJUIN24!AH22+MVTJUIL24!AH22+MVTAOUT24!AH22+MVTSEPT24!AH22+MVTOCT24!AH22+MVTNOV24!AH22+MVTDEC24!AH22</f>
        <v>0</v>
      </c>
      <c r="AI23" s="36">
        <f>MVTJANV24!AI22+MVTFEV24!AI22+MVTMARS24!AI22+MVTAVRIL24!AI22+MVTMAI24!AI22+MVTJUIN24!AI22+MVTJUIL24!AI22+MVTAOUT24!AI22+MVTSEPT24!AI22+MVTOCT24!AI22+MVTNOV24!AI22+MVTDEC24!AI22</f>
        <v>0</v>
      </c>
      <c r="AJ23" s="36">
        <f>MVTJANV24!AJ22+MVTFEV24!AJ22+MVTMARS24!AJ22+MVTAVRIL24!AJ22+MVTMAI24!AJ22+MVTJUIN24!AJ22+MVTJUIL24!AJ22+MVTAOUT24!AJ22+MVTSEPT24!AJ22+MVTOCT24!AJ22+MVTNOV24!AJ22+MVTDEC24!AJ22</f>
        <v>0</v>
      </c>
      <c r="AK23" s="36">
        <f>MVTJANV24!AK22+MVTFEV24!AK22+MVTMARS24!AK22+MVTAVRIL24!AK22+MVTMAI24!AK22+MVTJUIN24!AK22+MVTJUIL24!AK22+MVTAOUT24!AK22+MVTSEPT24!AK22+MVTOCT24!AK22+MVTNOV24!AK22+MVTDEC24!AK22</f>
        <v>0</v>
      </c>
      <c r="AL23" s="143">
        <v>45474</v>
      </c>
      <c r="AM23" s="144">
        <f t="shared" si="2"/>
        <v>18000</v>
      </c>
      <c r="AN23" s="144"/>
      <c r="AP23" s="36"/>
    </row>
    <row r="24" spans="1:42" ht="15.75" x14ac:dyDescent="0.25">
      <c r="A24" s="1" t="s">
        <v>37</v>
      </c>
      <c r="B24" s="1" t="str">
        <f>VLOOKUP(A24,[19]LISTADHERENT!A$5:H$60,3,0)</f>
        <v>NANKAM APPOLINAIRE</v>
      </c>
      <c r="C24" s="36">
        <f>+MVTDEC23!C23</f>
        <v>700000</v>
      </c>
      <c r="D24" s="36">
        <f>+MVTDEC23!D23</f>
        <v>100402.23439018801</v>
      </c>
      <c r="E24" s="36">
        <f>VLOOKUP($A24,[24]HISTOJANV24!$A$6:$BA$38,48,0)</f>
        <v>0</v>
      </c>
      <c r="F24" s="36">
        <f>MVTDEC24!F23</f>
        <v>1082674.3246731949</v>
      </c>
      <c r="G24" s="5">
        <f>MVTDEC24!G23</f>
        <v>1082674.3246731949</v>
      </c>
      <c r="H24" s="36">
        <f>MVTDEC23!H23+MVTJANV24!H23+MVTFEV24!H23+MVTMARS24!H23+MVTAVRIL24!H23+MVTMAI24!H23+MVTJUIN24!H23+MVTJUIL24!H23+MVTAOUT24!H23+MVTSEPT24!H23+MVTOCT24!H23+MVTNOV24!H23+MVTDEC24!H23</f>
        <v>54272.090283006881</v>
      </c>
      <c r="I24" s="6">
        <f t="shared" si="0"/>
        <v>1136946.4149562018</v>
      </c>
      <c r="J24" s="36">
        <f>MVTJANV24!J23+MVTFEV24!J23+MVTMARS24!J23+MVTAVRIL24!J23+MVTMAI24!J23+MVTJUIN24!J23+MVTJUIL24!J23+MVTAOUT24!J23+MVTSEPT24!J23+MVTOCT24!J23+MVTNOV24!J23+MVTDEC24!J23</f>
        <v>0</v>
      </c>
      <c r="K24" s="36">
        <f>MVTJANV24!K23+MVTFEV24!K23+MVTMARS24!K23+MVTAVRIL24!K23+MVTMAI24!K23+MVTJUIN24!K23+MVTJUIL24!K23+MVTAOUT24!K23+MVTSEPT24!K23+MVTOCT24!K23+MVTNOV24!K23+MVTDEC24!K23</f>
        <v>300000</v>
      </c>
      <c r="L24" s="36">
        <f>MVTJANV24!L23+MVTFEV24!L23+MVTMARS24!L23+MVTAVRIL24!L23+MVTMAI24!L23+MVTJUIN24!L23+MVTJUIL24!L23+MVTAOUT24!L23+MVTSEPT24!L23+MVTOCT24!L23+MVTNOV24!L23+MVTDEC24!L23</f>
        <v>228000</v>
      </c>
      <c r="M24" s="36">
        <f>MVTJANV24!M23+MVTFEV24!M23+MVTMARS24!M23+MVTAVRIL24!M23+MVTMAI24!M23+MVTJUIN24!M23+MVTJUIL24!M23+MVTAOUT24!M23+MVTSEPT24!M23+MVTOCT24!M23+MVTNOV24!M23+MVTDEC24!M23</f>
        <v>12000</v>
      </c>
      <c r="N24" s="36">
        <f>MVTJANV24!N23+MVTFEV24!N23+MVTMARS24!N23+MVTAVRIL24!N23+MVTMAI24!N23+MVTJUIN24!N23+MVTJUIL24!N23+MVTAOUT24!N23+MVTSEPT24!N23+MVTOCT24!N23+MVTNOV24!N23+MVTDEC24!N23</f>
        <v>12000</v>
      </c>
      <c r="O24" s="36">
        <f>MVTJANV24!O23+MVTFEV24!O23+MVTMARS24!O23+MVTAVRIL24!O23+MVTMAI24!O23+MVTJUIN24!O23+MVTJUIL24!O23+MVTAOUT24!O23+MVTSEPT24!O23+MVTOCT24!O23+MVTNOV24!O23+MVTDEC24!O23</f>
        <v>48000</v>
      </c>
      <c r="P24" s="36">
        <f>MVTJANV24!P23+MVTFEV24!P23+MVTMARS24!P23+MVTAVRIL24!P23+MVTMAI24!P23+MVTJUIN24!P23+MVTJUIL24!P23+MVTAOUT24!P23+MVTSEPT24!P23+MVTOCT24!P23+MVTNOV24!P23+MVTDEC24!P23</f>
        <v>0</v>
      </c>
      <c r="Q24" s="36">
        <f>MVTJANV24!Q23+MVTFEV24!Q23+MVTMARS24!Q23+MVTAVRIL24!Q23+MVTMAI24!Q23+MVTJUIN24!Q23+MVTJUIL24!Q23+MVTAOUT24!Q23+MVTSEPT24!Q23+MVTOCT24!Q23+MVTNOV24!Q23+MVTDEC24!Q23</f>
        <v>0</v>
      </c>
      <c r="R24" s="36">
        <f>MVTJANV24!R23+MVTFEV24!R23+MVTMARS24!R23+MVTAVRIL24!R23+MVTMAI24!R23+MVTJUIN24!R23+MVTJUIL24!R23+MVTAOUT24!R23+MVTSEPT24!R23+MVTOCT24!R23+MVTNOV24!R23+MVTDEC24!R23</f>
        <v>0</v>
      </c>
      <c r="S24" s="36">
        <f>MVTDEC23!S23+MVTJANV24!S23+MVTFEV24!S23+MVTMARS24!S23+MVTAVRIL24!S23+MVTMAI24!S23+MVTJUIN24!S23+MVTJUIL24!S23+MVTAOUT24!S23+MVTSEPT24!S23+MVTOCT24!S23+MVTNOV24!S23+MVTDEC24!S23</f>
        <v>1000000</v>
      </c>
      <c r="T24" s="36">
        <f>MVTDEC23!T23+MVTJANV24!T23+MVTFEV24!T23+MVTMARS24!T23+MVTAVRIL24!T23+MVTMAI24!T23+MVTJUIN24!T23+MVTJUIL24!T23+MVTAOUT24!T23+MVTSEPT24!T23+MVTOCT24!T23+MVTNOV24!T23+MVTDEC24!T23</f>
        <v>120000</v>
      </c>
      <c r="U24" s="36"/>
      <c r="V24" s="36">
        <f>MVTJANV24!V23+MVTFEV24!V23+MVTMARS24!V23+MVTAVRIL24!V23+MVTMAI24!V23+MVTJUIN24!V23+MVTJUIL24!V23+MVTAOUT24!V23+MVTSEPT24!V23+MVTOCT24!V23+MVTNOV24!V23+MVTDEC24!V23</f>
        <v>0</v>
      </c>
      <c r="W24" s="36">
        <f t="shared" si="1"/>
        <v>1000000</v>
      </c>
      <c r="X24" s="36"/>
      <c r="Y24" s="36"/>
      <c r="Z24" s="36">
        <f>MVTJANV24!Z23+MVTFEV24!Z23+MVTMARS24!Z23+MVTAVRIL24!Z23+MVTMAI24!Z23+MVTJUIN24!Z23+MVTJUIL24!Z23+MVTAOUT24!Z23+MVTSEPT24!Z23+MVTOCT24!Z23+MVTNOV24!Z23+MVTDEC24!Z23</f>
        <v>0</v>
      </c>
      <c r="AA24" s="36">
        <f>MVTJANV24!AA23+MVTFEV24!AA23+MVTMARS24!AA23+MVTAVRIL24!AA23+MVTMAI24!AA23+MVTJUIN24!AA23+MVTJUIL24!AA23+MVTAOUT24!AA23+MVTSEPT24!AA23+MVTOCT24!AA23+MVTNOV24!AA23+MVTDEC24!AA23</f>
        <v>0</v>
      </c>
      <c r="AB24" s="36">
        <f>MVTJANV24!AB23+MVTFEV24!AB23+MVTMARS24!AB23+MVTAVRIL24!AB23+MVTMAI24!AB23+MVTJUIN24!AB23+MVTJUIL24!AB23+MVTAOUT24!AB23+MVTSEPT24!AB23+MVTOCT24!AB23+MVTNOV24!AB23+MVTDEC24!AB23</f>
        <v>0</v>
      </c>
      <c r="AC24" s="36">
        <f>MVTJANV24!AC23+MVTFEV24!AC23+MVTMARS24!AC23+MVTAVRIL24!AC23+MVTMAI24!AC23+MVTJUIN24!AC23+MVTJUIL24!AC23+MVTAOUT24!AC23+MVTSEPT24!AC23+MVTOCT24!AC23+MVTNOV24!AC23+MVTDEC24!AC23</f>
        <v>0</v>
      </c>
      <c r="AD24" s="36">
        <f>MVTJANV24!AD23+MVTFEV24!AD23+MVTMARS24!AD23+MVTAVRIL24!AD23+MVTMAI24!AD23+MVTJUIN24!AD23+MVTJUIL24!AD23+MVTAOUT24!AD23+MVTSEPT24!AD23+MVTOCT24!AD23+MVTNOV24!AD23+MVTDEC24!AD23</f>
        <v>0</v>
      </c>
      <c r="AE24" s="36">
        <f>MVTJANV24!AE23+MVTFEV24!AE23+MVTMARS24!AE23+MVTAVRIL24!AE23+MVTMAI24!AE23+MVTJUIN24!AE23+MVTJUIL24!AE23+MVTAOUT24!AE23+MVTSEPT24!AE23+MVTOCT24!AE23+MVTNOV24!AE23+MVTDEC24!AE23</f>
        <v>0</v>
      </c>
      <c r="AF24" s="36">
        <f>MVTJANV24!AF23+MVTFEV24!AF23+MVTMARS24!AF23+MVTAVRIL24!AF23+MVTMAI24!AF23+MVTJUIN24!AF23+MVTJUIL24!AF23+MVTAOUT24!AF23+MVTSEPT24!AF23+MVTOCT24!AF23+MVTNOV24!AF23+MVTDEC24!AF23</f>
        <v>0</v>
      </c>
      <c r="AG24" s="36">
        <f>MVTJANV24!AG23+MVTFEV24!AG23+MVTMARS24!AG23+MVTAVRIL24!AG23+MVTMAI24!AG23+MVTJUIN24!AG23+MVTJUIL24!AG23+MVTAOUT24!AG23+MVTSEPT24!AG23+MVTOCT24!AG23+MVTNOV24!AG23+MVTDEC24!AG23</f>
        <v>0</v>
      </c>
      <c r="AH24" s="36">
        <f>MVTJANV24!AH23+MVTFEV24!AH23+MVTMARS24!AH23+MVTAVRIL24!AH23+MVTMAI24!AH23+MVTJUIN24!AH23+MVTJUIL24!AH23+MVTAOUT24!AH23+MVTSEPT24!AH23+MVTOCT24!AH23+MVTNOV24!AH23+MVTDEC24!AH23</f>
        <v>0</v>
      </c>
      <c r="AI24" s="36">
        <f>MVTJANV24!AI23+MVTFEV24!AI23+MVTMARS24!AI23+MVTAVRIL24!AI23+MVTMAI24!AI23+MVTJUIN24!AI23+MVTJUIL24!AI23+MVTAOUT24!AI23+MVTSEPT24!AI23+MVTOCT24!AI23+MVTNOV24!AI23+MVTDEC24!AI23</f>
        <v>0</v>
      </c>
      <c r="AJ24" s="36">
        <f>MVTJANV24!AJ23+MVTFEV24!AJ23+MVTMARS24!AJ23+MVTAVRIL24!AJ23+MVTMAI24!AJ23+MVTJUIN24!AJ23+MVTJUIL24!AJ23+MVTAOUT24!AJ23+MVTSEPT24!AJ23+MVTOCT24!AJ23+MVTNOV24!AJ23+MVTDEC24!AJ23</f>
        <v>0</v>
      </c>
      <c r="AK24" s="36">
        <f>MVTJANV24!AK23+MVTFEV24!AK23+MVTMARS24!AK23+MVTAVRIL24!AK23+MVTMAI24!AK23+MVTJUIN24!AK23+MVTJUIL24!AK23+MVTAOUT24!AK23+MVTSEPT24!AK23+MVTOCT24!AK23+MVTNOV24!AK23+MVTDEC24!AK23</f>
        <v>0</v>
      </c>
      <c r="AL24" s="143">
        <v>45627</v>
      </c>
      <c r="AM24" s="144">
        <f t="shared" si="2"/>
        <v>120000</v>
      </c>
      <c r="AN24" s="144"/>
      <c r="AP24" s="36"/>
    </row>
    <row r="25" spans="1:42" ht="15.75" x14ac:dyDescent="0.25">
      <c r="A25" s="1" t="s">
        <v>38</v>
      </c>
      <c r="B25" s="1" t="str">
        <f>VLOOKUP(A25,[19]LISTADHERENT!A$5:H$60,3,0)</f>
        <v>NDJOMO ETIENNE</v>
      </c>
      <c r="C25" s="36">
        <f>+MVTDEC23!C24</f>
        <v>700000</v>
      </c>
      <c r="D25" s="36">
        <f>+MVTDEC23!D24</f>
        <v>224970.61781197961</v>
      </c>
      <c r="E25" s="36">
        <f>VLOOKUP($A25,[24]HISTOJANV24!$A$6:$BA$38,48,0)</f>
        <v>0</v>
      </c>
      <c r="F25" s="36">
        <f>MVTDEC24!F24</f>
        <v>1255827.8441992993</v>
      </c>
      <c r="G25" s="5">
        <f>MVTDEC24!G24</f>
        <v>1255827.8441992993</v>
      </c>
      <c r="H25" s="36">
        <f>MVTDEC23!H24+MVTJANV24!H24+MVTFEV24!H24+MVTMARS24!H24+MVTAVRIL24!H24+MVTMAI24!H24+MVTJUIN24!H24+MVTJUIL24!H24+MVTAOUT24!H24+MVTSEPT24!H24+MVTOCT24!H24+MVTNOV24!H24+MVTDEC24!H24</f>
        <v>62857.226387319744</v>
      </c>
      <c r="I25" s="6">
        <f t="shared" si="0"/>
        <v>1318685.0705866192</v>
      </c>
      <c r="J25" s="36">
        <f>MVTJANV24!J24+MVTFEV24!J24+MVTMARS24!J24+MVTAVRIL24!J24+MVTMAI24!J24+MVTJUIN24!J24+MVTJUIL24!J24+MVTAOUT24!J24+MVTSEPT24!J24+MVTOCT24!J24+MVTNOV24!J24+MVTDEC24!J24</f>
        <v>0</v>
      </c>
      <c r="K25" s="36">
        <f>MVTJANV24!K24+MVTFEV24!K24+MVTMARS24!K24+MVTAVRIL24!K24+MVTMAI24!K24+MVTJUIN24!K24+MVTJUIL24!K24+MVTAOUT24!K24+MVTSEPT24!K24+MVTOCT24!K24+MVTNOV24!K24+MVTDEC24!K24</f>
        <v>340000</v>
      </c>
      <c r="L25" s="36">
        <f>MVTJANV24!L24+MVTFEV24!L24+MVTMARS24!L24+MVTAVRIL24!L24+MVTMAI24!L24+MVTJUIN24!L24+MVTJUIL24!L24+MVTAOUT24!L24+MVTSEPT24!L24+MVTOCT24!L24+MVTNOV24!L24+MVTDEC24!L24</f>
        <v>268000</v>
      </c>
      <c r="M25" s="36">
        <f>MVTJANV24!M24+MVTFEV24!M24+MVTMARS24!M24+MVTAVRIL24!M24+MVTMAI24!M24+MVTJUIN24!M24+MVTJUIL24!M24+MVTAOUT24!M24+MVTSEPT24!M24+MVTOCT24!M24+MVTNOV24!M24+MVTDEC24!M24</f>
        <v>12000</v>
      </c>
      <c r="N25" s="36">
        <f>MVTJANV24!N24+MVTFEV24!N24+MVTMARS24!N24+MVTAVRIL24!N24+MVTMAI24!N24+MVTJUIN24!N24+MVTJUIL24!N24+MVTAOUT24!N24+MVTSEPT24!N24+MVTOCT24!N24+MVTNOV24!N24+MVTDEC24!N24</f>
        <v>12000</v>
      </c>
      <c r="O25" s="36">
        <f>MVTJANV24!O24+MVTFEV24!O24+MVTMARS24!O24+MVTAVRIL24!O24+MVTMAI24!O24+MVTJUIN24!O24+MVTJUIL24!O24+MVTAOUT24!O24+MVTSEPT24!O24+MVTOCT24!O24+MVTNOV24!O24+MVTDEC24!O24</f>
        <v>48000</v>
      </c>
      <c r="P25" s="36">
        <f>MVTJANV24!P24+MVTFEV24!P24+MVTMARS24!P24+MVTAVRIL24!P24+MVTMAI24!P24+MVTJUIN24!P24+MVTJUIL24!P24+MVTAOUT24!P24+MVTSEPT24!P24+MVTOCT24!P24+MVTNOV24!P24+MVTDEC24!P24</f>
        <v>0</v>
      </c>
      <c r="Q25" s="36">
        <f>MVTJANV24!Q24+MVTFEV24!Q24+MVTMARS24!Q24+MVTAVRIL24!Q24+MVTMAI24!Q24+MVTJUIN24!Q24+MVTJUIL24!Q24+MVTAOUT24!Q24+MVTSEPT24!Q24+MVTOCT24!Q24+MVTNOV24!Q24+MVTDEC24!Q24</f>
        <v>0</v>
      </c>
      <c r="R25" s="36">
        <f>MVTJANV24!R24+MVTFEV24!R24+MVTMARS24!R24+MVTAVRIL24!R24+MVTMAI24!R24+MVTJUIN24!R24+MVTJUIL24!R24+MVTAOUT24!R24+MVTSEPT24!R24+MVTOCT24!R24+MVTNOV24!R24+MVTDEC24!R24</f>
        <v>0</v>
      </c>
      <c r="S25" s="36">
        <f>MVTDEC23!S24+MVTJANV24!S24+MVTFEV24!S24+MVTMARS24!S24+MVTAVRIL24!S24+MVTMAI24!S24+MVTJUIN24!S24+MVTJUIL24!S24+MVTAOUT24!S24+MVTSEPT24!S24+MVTOCT24!S24+MVTNOV24!S24+MVTDEC24!S24</f>
        <v>500000</v>
      </c>
      <c r="T25" s="36">
        <f>MVTDEC23!T24+MVTJANV24!T24+MVTFEV24!T24+MVTMARS24!T24+MVTAVRIL24!T24+MVTMAI24!T24+MVTJUIN24!T24+MVTJUIL24!T24+MVTAOUT24!T24+MVTSEPT24!T24+MVTOCT24!T24+MVTNOV24!T24+MVTDEC24!T24</f>
        <v>30000</v>
      </c>
      <c r="U25" s="36"/>
      <c r="V25" s="36">
        <f>MVTJANV24!V24+MVTFEV24!V24+MVTMARS24!V24+MVTAVRIL24!V24+MVTMAI24!V24+MVTJUIN24!V24+MVTJUIL24!V24+MVTAOUT24!V24+MVTSEPT24!V24+MVTOCT24!V24+MVTNOV24!V24+MVTDEC24!V24</f>
        <v>0</v>
      </c>
      <c r="W25" s="36">
        <f t="shared" si="1"/>
        <v>500000</v>
      </c>
      <c r="X25" s="36"/>
      <c r="Y25" s="36"/>
      <c r="Z25" s="36">
        <f>MVTJANV24!Z24+MVTFEV24!Z24+MVTMARS24!Z24+MVTAVRIL24!Z24+MVTMAI24!Z24+MVTJUIN24!Z24+MVTJUIL24!Z24+MVTAOUT24!Z24+MVTSEPT24!Z24+MVTOCT24!Z24+MVTNOV24!Z24+MVTDEC24!Z24</f>
        <v>0</v>
      </c>
      <c r="AA25" s="36">
        <f>MVTJANV24!AA24+MVTFEV24!AA24+MVTMARS24!AA24+MVTAVRIL24!AA24+MVTMAI24!AA24+MVTJUIN24!AA24+MVTJUIL24!AA24+MVTAOUT24!AA24+MVTSEPT24!AA24+MVTOCT24!AA24+MVTNOV24!AA24+MVTDEC24!AA24</f>
        <v>0</v>
      </c>
      <c r="AB25" s="36">
        <f>MVTJANV24!AB24+MVTFEV24!AB24+MVTMARS24!AB24+MVTAVRIL24!AB24+MVTMAI24!AB24+MVTJUIN24!AB24+MVTJUIL24!AB24+MVTAOUT24!AB24+MVTSEPT24!AB24+MVTOCT24!AB24+MVTNOV24!AB24+MVTDEC24!AB24</f>
        <v>0</v>
      </c>
      <c r="AC25" s="36">
        <f>MVTJANV24!AC24+MVTFEV24!AC24+MVTMARS24!AC24+MVTAVRIL24!AC24+MVTMAI24!AC24+MVTJUIN24!AC24+MVTJUIL24!AC24+MVTAOUT24!AC24+MVTSEPT24!AC24+MVTOCT24!AC24+MVTNOV24!AC24+MVTDEC24!AC24</f>
        <v>0</v>
      </c>
      <c r="AD25" s="36">
        <f>MVTJANV24!AD24+MVTFEV24!AD24+MVTMARS24!AD24+MVTAVRIL24!AD24+MVTMAI24!AD24+MVTJUIN24!AD24+MVTJUIL24!AD24+MVTAOUT24!AD24+MVTSEPT24!AD24+MVTOCT24!AD24+MVTNOV24!AD24+MVTDEC24!AD24</f>
        <v>0</v>
      </c>
      <c r="AE25" s="36">
        <f>MVTJANV24!AE24+MVTFEV24!AE24+MVTMARS24!AE24+MVTAVRIL24!AE24+MVTMAI24!AE24+MVTJUIN24!AE24+MVTJUIL24!AE24+MVTAOUT24!AE24+MVTSEPT24!AE24+MVTOCT24!AE24+MVTNOV24!AE24+MVTDEC24!AE24</f>
        <v>0</v>
      </c>
      <c r="AF25" s="36">
        <f>MVTJANV24!AF24+MVTFEV24!AF24+MVTMARS24!AF24+MVTAVRIL24!AF24+MVTMAI24!AF24+MVTJUIN24!AF24+MVTJUIL24!AF24+MVTAOUT24!AF24+MVTSEPT24!AF24+MVTOCT24!AF24+MVTNOV24!AF24+MVTDEC24!AF24</f>
        <v>0</v>
      </c>
      <c r="AG25" s="36">
        <f>MVTJANV24!AG24+MVTFEV24!AG24+MVTMARS24!AG24+MVTAVRIL24!AG24+MVTMAI24!AG24+MVTJUIN24!AG24+MVTJUIL24!AG24+MVTAOUT24!AG24+MVTSEPT24!AG24+MVTOCT24!AG24+MVTNOV24!AG24+MVTDEC24!AG24</f>
        <v>0</v>
      </c>
      <c r="AH25" s="36">
        <f>MVTJANV24!AH24+MVTFEV24!AH24+MVTMARS24!AH24+MVTAVRIL24!AH24+MVTMAI24!AH24+MVTJUIN24!AH24+MVTJUIL24!AH24+MVTAOUT24!AH24+MVTSEPT24!AH24+MVTOCT24!AH24+MVTNOV24!AH24+MVTDEC24!AH24</f>
        <v>0</v>
      </c>
      <c r="AI25" s="36">
        <f>MVTJANV24!AI24+MVTFEV24!AI24+MVTMARS24!AI24+MVTAVRIL24!AI24+MVTMAI24!AI24+MVTJUIN24!AI24+MVTJUIL24!AI24+MVTAOUT24!AI24+MVTSEPT24!AI24+MVTOCT24!AI24+MVTNOV24!AI24+MVTDEC24!AI24</f>
        <v>0</v>
      </c>
      <c r="AJ25" s="36">
        <f>MVTJANV24!AJ24+MVTFEV24!AJ24+MVTMARS24!AJ24+MVTAVRIL24!AJ24+MVTMAI24!AJ24+MVTJUIN24!AJ24+MVTJUIL24!AJ24+MVTAOUT24!AJ24+MVTSEPT24!AJ24+MVTOCT24!AJ24+MVTNOV24!AJ24+MVTDEC24!AJ24</f>
        <v>0</v>
      </c>
      <c r="AK25" s="36">
        <f>MVTJANV24!AK24+MVTFEV24!AK24+MVTMARS24!AK24+MVTAVRIL24!AK24+MVTMAI24!AK24+MVTJUIN24!AK24+MVTJUIL24!AK24+MVTAOUT24!AK24+MVTSEPT24!AK24+MVTOCT24!AK24+MVTNOV24!AK24+MVTDEC24!AK24</f>
        <v>0</v>
      </c>
      <c r="AL25" s="143">
        <v>45474</v>
      </c>
      <c r="AM25" s="144">
        <f t="shared" si="2"/>
        <v>30000</v>
      </c>
      <c r="AN25" s="144"/>
      <c r="AP25" s="36"/>
    </row>
    <row r="26" spans="1:42" ht="15.75" x14ac:dyDescent="0.25">
      <c r="A26" s="1" t="s">
        <v>39</v>
      </c>
      <c r="B26" s="1" t="str">
        <f>VLOOKUP(A26,[19]LISTADHERENT!A$5:H$60,3,0)</f>
        <v>NGONDIEP CLAUDE</v>
      </c>
      <c r="C26" s="36">
        <f>+MVTDEC23!C25</f>
        <v>700000</v>
      </c>
      <c r="D26" s="36">
        <f>+MVTDEC23!D25</f>
        <v>57632.732271146844</v>
      </c>
      <c r="E26" s="36">
        <f>VLOOKUP($A26,[24]HISTOJANV24!$A$6:$BA$38,48,0)</f>
        <v>0</v>
      </c>
      <c r="F26" s="36">
        <f>MVTDEC24!F25</f>
        <v>1067141.7950432156</v>
      </c>
      <c r="G26" s="5">
        <f>MVTDEC24!G25</f>
        <v>1067141.7950432156</v>
      </c>
      <c r="H26" s="36">
        <f>MVTDEC23!H25+MVTJANV24!H25+MVTFEV24!H25+MVTMARS24!H25+MVTAVRIL24!H25+MVTMAI24!H25+MVTJUIN24!H25+MVTJUIL24!H25+MVTAOUT24!H25+MVTSEPT24!H25+MVTOCT24!H25+MVTNOV24!H25+MVTDEC24!H25</f>
        <v>51509.062772068915</v>
      </c>
      <c r="I26" s="6">
        <f t="shared" si="0"/>
        <v>1118650.8578152845</v>
      </c>
      <c r="J26" s="36">
        <f>MVTJANV24!J25+MVTFEV24!J25+MVTMARS24!J25+MVTAVRIL24!J25+MVTMAI24!J25+MVTJUIN24!J25+MVTJUIL24!J25+MVTAOUT24!J25+MVTSEPT24!J25+MVTOCT24!J25+MVTNOV24!J25+MVTDEC24!J25</f>
        <v>0</v>
      </c>
      <c r="K26" s="36">
        <f>MVTJANV24!K25+MVTFEV24!K25+MVTMARS24!K25+MVTAVRIL24!K25+MVTMAI24!K25+MVTJUIN24!K25+MVTJUIL24!K25+MVTAOUT24!K25+MVTSEPT24!K25+MVTOCT24!K25+MVTNOV24!K25+MVTDEC24!K25</f>
        <v>330000</v>
      </c>
      <c r="L26" s="36">
        <f>MVTJANV24!L25+MVTFEV24!L25+MVTMARS24!L25+MVTAVRIL24!L25+MVTMAI24!L25+MVTJUIN24!L25+MVTJUIL24!L25+MVTAOUT24!L25+MVTSEPT24!L25+MVTOCT24!L25+MVTNOV24!L25+MVTDEC24!L25</f>
        <v>258000</v>
      </c>
      <c r="M26" s="36">
        <f>MVTJANV24!M25+MVTFEV24!M25+MVTMARS24!M25+MVTAVRIL24!M25+MVTMAI24!M25+MVTJUIN24!M25+MVTJUIL24!M25+MVTAOUT24!M25+MVTSEPT24!M25+MVTOCT24!M25+MVTNOV24!M25+MVTDEC24!M25</f>
        <v>12000</v>
      </c>
      <c r="N26" s="36">
        <f>MVTJANV24!N25+MVTFEV24!N25+MVTMARS24!N25+MVTAVRIL24!N25+MVTMAI24!N25+MVTJUIN24!N25+MVTJUIL24!N25+MVTAOUT24!N25+MVTSEPT24!N25+MVTOCT24!N25+MVTNOV24!N25+MVTDEC24!N25</f>
        <v>12000</v>
      </c>
      <c r="O26" s="36">
        <f>MVTJANV24!O25+MVTFEV24!O25+MVTMARS24!O25+MVTAVRIL24!O25+MVTMAI24!O25+MVTJUIN24!O25+MVTJUIL24!O25+MVTAOUT24!O25+MVTSEPT24!O25+MVTOCT24!O25+MVTNOV24!O25+MVTDEC24!O25</f>
        <v>48000</v>
      </c>
      <c r="P26" s="36">
        <f>MVTJANV24!P25+MVTFEV24!P25+MVTMARS24!P25+MVTAVRIL24!P25+MVTMAI24!P25+MVTJUIN24!P25+MVTJUIL24!P25+MVTAOUT24!P25+MVTSEPT24!P25+MVTOCT24!P25+MVTNOV24!P25+MVTDEC24!P25</f>
        <v>27000</v>
      </c>
      <c r="Q26" s="36">
        <f>MVTJANV24!Q25+MVTFEV24!Q25+MVTMARS24!Q25+MVTAVRIL24!Q25+MVTMAI24!Q25+MVTJUIN24!Q25+MVTJUIL24!Q25+MVTAOUT24!Q25+MVTSEPT24!Q25+MVTOCT24!Q25+MVTNOV24!Q25+MVTDEC24!Q25</f>
        <v>0</v>
      </c>
      <c r="R26" s="36">
        <f>MVTJANV24!R25+MVTFEV24!R25+MVTMARS24!R25+MVTAVRIL24!R25+MVTMAI24!R25+MVTJUIN24!R25+MVTJUIL24!R25+MVTAOUT24!R25+MVTSEPT24!R25+MVTOCT24!R25+MVTNOV24!R25+MVTDEC24!R25</f>
        <v>0</v>
      </c>
      <c r="S26" s="36">
        <f>MVTDEC23!S25+MVTJANV24!S25+MVTFEV24!S25+MVTMARS24!S25+MVTAVRIL24!S25+MVTMAI24!S25+MVTJUIN24!S25+MVTJUIL24!S25+MVTAOUT24!S25+MVTSEPT24!S25+MVTOCT24!S25+MVTNOV24!S25+MVTDEC24!S25</f>
        <v>1000000</v>
      </c>
      <c r="T26" s="36">
        <f>MVTDEC23!T25+MVTJANV24!T25+MVTFEV24!T25+MVTMARS24!T25+MVTAVRIL24!T25+MVTMAI24!T25+MVTJUIN24!T25+MVTJUIL24!T25+MVTAOUT24!T25+MVTSEPT24!T25+MVTOCT24!T25+MVTNOV24!T25+MVTDEC24!T25</f>
        <v>120000</v>
      </c>
      <c r="U26" s="36"/>
      <c r="V26" s="36">
        <f>MVTJANV24!V25+MVTFEV24!V25+MVTMARS24!V25+MVTAVRIL24!V25+MVTMAI24!V25+MVTJUIN24!V25+MVTJUIL24!V25+MVTAOUT24!V25+MVTSEPT24!V25+MVTOCT24!V25+MVTNOV24!V25+MVTDEC24!V25</f>
        <v>0</v>
      </c>
      <c r="W26" s="36">
        <f t="shared" si="1"/>
        <v>1000000</v>
      </c>
      <c r="X26" s="36"/>
      <c r="Y26" s="36"/>
      <c r="Z26" s="36">
        <f>MVTJANV24!Z25+MVTFEV24!Z25+MVTMARS24!Z25+MVTAVRIL24!Z25+MVTMAI24!Z25+MVTJUIN24!Z25+MVTJUIL24!Z25+MVTAOUT24!Z25+MVTSEPT24!Z25+MVTOCT24!Z25+MVTNOV24!Z25+MVTDEC24!Z25</f>
        <v>0</v>
      </c>
      <c r="AA26" s="36">
        <f>MVTJANV24!AA25+MVTFEV24!AA25+MVTMARS24!AA25+MVTAVRIL24!AA25+MVTMAI24!AA25+MVTJUIN24!AA25+MVTJUIL24!AA25+MVTAOUT24!AA25+MVTSEPT24!AA25+MVTOCT24!AA25+MVTNOV24!AA25+MVTDEC24!AA25</f>
        <v>0</v>
      </c>
      <c r="AB26" s="36">
        <f>MVTJANV24!AB25+MVTFEV24!AB25+MVTMARS24!AB25+MVTAVRIL24!AB25+MVTMAI24!AB25+MVTJUIN24!AB25+MVTJUIL24!AB25+MVTAOUT24!AB25+MVTSEPT24!AB25+MVTOCT24!AB25+MVTNOV24!AB25+MVTDEC24!AB25</f>
        <v>0</v>
      </c>
      <c r="AC26" s="36">
        <f>MVTJANV24!AC25+MVTFEV24!AC25+MVTMARS24!AC25+MVTAVRIL24!AC25+MVTMAI24!AC25+MVTJUIN24!AC25+MVTJUIL24!AC25+MVTAOUT24!AC25+MVTSEPT24!AC25+MVTOCT24!AC25+MVTNOV24!AC25+MVTDEC24!AC25</f>
        <v>0</v>
      </c>
      <c r="AD26" s="36">
        <f>MVTJANV24!AD25+MVTFEV24!AD25+MVTMARS24!AD25+MVTAVRIL24!AD25+MVTMAI24!AD25+MVTJUIN24!AD25+MVTJUIL24!AD25+MVTAOUT24!AD25+MVTSEPT24!AD25+MVTOCT24!AD25+MVTNOV24!AD25+MVTDEC24!AD25</f>
        <v>0</v>
      </c>
      <c r="AE26" s="36">
        <f>MVTJANV24!AE25+MVTFEV24!AE25+MVTMARS24!AE25+MVTAVRIL24!AE25+MVTMAI24!AE25+MVTJUIN24!AE25+MVTJUIL24!AE25+MVTAOUT24!AE25+MVTSEPT24!AE25+MVTOCT24!AE25+MVTNOV24!AE25+MVTDEC24!AE25</f>
        <v>0</v>
      </c>
      <c r="AF26" s="36">
        <f>MVTJANV24!AF25+MVTFEV24!AF25+MVTMARS24!AF25+MVTAVRIL24!AF25+MVTMAI24!AF25+MVTJUIN24!AF25+MVTJUIL24!AF25+MVTAOUT24!AF25+MVTSEPT24!AF25+MVTOCT24!AF25+MVTNOV24!AF25+MVTDEC24!AF25</f>
        <v>0</v>
      </c>
      <c r="AG26" s="36">
        <f>MVTJANV24!AG25+MVTFEV24!AG25+MVTMARS24!AG25+MVTAVRIL24!AG25+MVTMAI24!AG25+MVTJUIN24!AG25+MVTJUIL24!AG25+MVTAOUT24!AG25+MVTSEPT24!AG25+MVTOCT24!AG25+MVTNOV24!AG25+MVTDEC24!AG25</f>
        <v>0</v>
      </c>
      <c r="AH26" s="36">
        <f>MVTJANV24!AH25+MVTFEV24!AH25+MVTMARS24!AH25+MVTAVRIL24!AH25+MVTMAI24!AH25+MVTJUIN24!AH25+MVTJUIL24!AH25+MVTAOUT24!AH25+MVTSEPT24!AH25+MVTOCT24!AH25+MVTNOV24!AH25+MVTDEC24!AH25</f>
        <v>0</v>
      </c>
      <c r="AI26" s="36">
        <f>MVTJANV24!AI25+MVTFEV24!AI25+MVTMARS24!AI25+MVTAVRIL24!AI25+MVTMAI24!AI25+MVTJUIN24!AI25+MVTJUIL24!AI25+MVTAOUT24!AI25+MVTSEPT24!AI25+MVTOCT24!AI25+MVTNOV24!AI25+MVTDEC24!AI25</f>
        <v>0</v>
      </c>
      <c r="AJ26" s="36">
        <f>MVTJANV24!AJ25+MVTFEV24!AJ25+MVTMARS24!AJ25+MVTAVRIL24!AJ25+MVTMAI24!AJ25+MVTJUIN24!AJ25+MVTJUIL24!AJ25+MVTAOUT24!AJ25+MVTSEPT24!AJ25+MVTOCT24!AJ25+MVTNOV24!AJ25+MVTDEC24!AJ25</f>
        <v>0</v>
      </c>
      <c r="AK26" s="36">
        <f>MVTJANV24!AK25+MVTFEV24!AK25+MVTMARS24!AK25+MVTAVRIL24!AK25+MVTMAI24!AK25+MVTJUIN24!AK25+MVTJUIL24!AK25+MVTAOUT24!AK25+MVTSEPT24!AK25+MVTOCT24!AK25+MVTNOV24!AK25+MVTDEC24!AK25</f>
        <v>0</v>
      </c>
      <c r="AL26" s="143">
        <v>45627</v>
      </c>
      <c r="AM26" s="144">
        <f t="shared" si="2"/>
        <v>120000</v>
      </c>
      <c r="AN26" s="144"/>
      <c r="AP26" s="36"/>
    </row>
    <row r="27" spans="1:42" ht="15.75" x14ac:dyDescent="0.25">
      <c r="A27" s="1" t="s">
        <v>41</v>
      </c>
      <c r="B27" s="1" t="str">
        <f>VLOOKUP(A27,[19]LISTADHERENT!A$5:H$60,3,0)</f>
        <v>NGUIEMEGNI MATHIEU BLAISE</v>
      </c>
      <c r="C27" s="36">
        <f>+MVTDEC23!C26</f>
        <v>700000</v>
      </c>
      <c r="D27" s="36">
        <f>+MVTDEC23!D26</f>
        <v>20382.784231808502</v>
      </c>
      <c r="E27" s="36">
        <f>VLOOKUP($A27,[24]HISTOJANV24!$A$6:$BA$38,48,0)</f>
        <v>0</v>
      </c>
      <c r="F27" s="36">
        <f>MVTDEC24!F26</f>
        <v>995266.46813543816</v>
      </c>
      <c r="G27" s="5">
        <f>MVTDEC24!G26</f>
        <v>995266.46813543816</v>
      </c>
      <c r="H27" s="36">
        <f>MVTDEC23!H26+MVTJANV24!H26+MVTFEV24!H26+MVTMARS24!H26+MVTAVRIL24!H26+MVTMAI24!H26+MVTJUIN24!H26+MVTJUIL24!H26+MVTAOUT24!H26+MVTSEPT24!H26+MVTOCT24!H26+MVTNOV24!H26+MVTDEC24!H26</f>
        <v>48883.683903629586</v>
      </c>
      <c r="I27" s="6">
        <f t="shared" si="0"/>
        <v>1044150.1520390677</v>
      </c>
      <c r="J27" s="36">
        <f>MVTJANV24!J26+MVTFEV24!J26+MVTMARS24!J26+MVTAVRIL24!J26+MVTMAI24!J26+MVTJUIN24!J26+MVTJUIL24!J26+MVTAOUT24!J26+MVTSEPT24!J26+MVTOCT24!J26+MVTNOV24!J26+MVTDEC24!J26</f>
        <v>0</v>
      </c>
      <c r="K27" s="36">
        <f>MVTJANV24!K26+MVTFEV24!K26+MVTMARS24!K26+MVTAVRIL24!K26+MVTMAI24!K26+MVTJUIN24!K26+MVTJUIL24!K26+MVTAOUT24!K26+MVTSEPT24!K26+MVTOCT24!K26+MVTNOV24!K26+MVTDEC24!K26</f>
        <v>298000</v>
      </c>
      <c r="L27" s="36">
        <f>MVTJANV24!L26+MVTFEV24!L26+MVTMARS24!L26+MVTAVRIL24!L26+MVTMAI24!L26+MVTJUIN24!L26+MVTJUIL24!L26+MVTAOUT24!L26+MVTSEPT24!L26+MVTOCT24!L26+MVTNOV24!L26+MVTDEC24!L26</f>
        <v>226000</v>
      </c>
      <c r="M27" s="36">
        <f>MVTJANV24!M26+MVTFEV24!M26+MVTMARS24!M26+MVTAVRIL24!M26+MVTMAI24!M26+MVTJUIN24!M26+MVTJUIL24!M26+MVTAOUT24!M26+MVTSEPT24!M26+MVTOCT24!M26+MVTNOV24!M26+MVTDEC24!M26</f>
        <v>12000</v>
      </c>
      <c r="N27" s="36">
        <f>MVTJANV24!N26+MVTFEV24!N26+MVTMARS24!N26+MVTAVRIL24!N26+MVTMAI24!N26+MVTJUIN24!N26+MVTJUIL24!N26+MVTAOUT24!N26+MVTSEPT24!N26+MVTOCT24!N26+MVTNOV24!N26+MVTDEC24!N26</f>
        <v>12000</v>
      </c>
      <c r="O27" s="36">
        <f>MVTJANV24!O26+MVTFEV24!O26+MVTMARS24!O26+MVTAVRIL24!O26+MVTMAI24!O26+MVTJUIN24!O26+MVTJUIL24!O26+MVTAOUT24!O26+MVTSEPT24!O26+MVTOCT24!O26+MVTNOV24!O26+MVTDEC24!O26</f>
        <v>48000</v>
      </c>
      <c r="P27" s="36">
        <f>MVTJANV24!P26+MVTFEV24!P26+MVTMARS24!P26+MVTAVRIL24!P26+MVTMAI24!P26+MVTJUIN24!P26+MVTJUIL24!P26+MVTAOUT24!P26+MVTSEPT24!P26+MVTOCT24!P26+MVTNOV24!P26+MVTDEC24!P26</f>
        <v>3000</v>
      </c>
      <c r="Q27" s="36">
        <f>MVTJANV24!Q26+MVTFEV24!Q26+MVTMARS24!Q26+MVTAVRIL24!Q26+MVTMAI24!Q26+MVTJUIN24!Q26+MVTJUIL24!Q26+MVTAOUT24!Q26+MVTSEPT24!Q26+MVTOCT24!Q26+MVTNOV24!Q26+MVTDEC24!Q26</f>
        <v>0</v>
      </c>
      <c r="R27" s="36">
        <f>MVTJANV24!R26+MVTFEV24!R26+MVTMARS24!R26+MVTAVRIL24!R26+MVTMAI24!R26+MVTJUIN24!R26+MVTJUIL24!R26+MVTAOUT24!R26+MVTSEPT24!R26+MVTOCT24!R26+MVTNOV24!R26+MVTDEC24!R26</f>
        <v>0</v>
      </c>
      <c r="S27" s="36">
        <f>MVTDEC23!S26+MVTJANV24!S26+MVTFEV24!S26+MVTMARS24!S26+MVTAVRIL24!S26+MVTMAI24!S26+MVTJUIN24!S26+MVTJUIL24!S26+MVTAOUT24!S26+MVTSEPT24!S26+MVTOCT24!S26+MVTNOV24!S26+MVTDEC24!S26</f>
        <v>1000000</v>
      </c>
      <c r="T27" s="36">
        <f>MVTDEC23!T26+MVTJANV24!T26+MVTFEV24!T26+MVTMARS24!T26+MVTAVRIL24!T26+MVTMAI24!T26+MVTJUIN24!T26+MVTJUIL24!T26+MVTAOUT24!T26+MVTSEPT24!T26+MVTOCT24!T26+MVTNOV24!T26+MVTDEC24!T26</f>
        <v>120000</v>
      </c>
      <c r="U27" s="36"/>
      <c r="V27" s="36">
        <f>MVTJANV24!V26+MVTFEV24!V26+MVTMARS24!V26+MVTAVRIL24!V26+MVTMAI24!V26+MVTJUIN24!V26+MVTJUIL24!V26+MVTAOUT24!V26+MVTSEPT24!V26+MVTOCT24!V26+MVTNOV24!V26+MVTDEC24!V26</f>
        <v>0</v>
      </c>
      <c r="W27" s="36">
        <f t="shared" si="1"/>
        <v>1000000</v>
      </c>
      <c r="X27" s="36"/>
      <c r="Y27" s="36"/>
      <c r="Z27" s="36">
        <f>MVTJANV24!Z26+MVTFEV24!Z26+MVTMARS24!Z26+MVTAVRIL24!Z26+MVTMAI24!Z26+MVTJUIN24!Z26+MVTJUIL24!Z26+MVTAOUT24!Z26+MVTSEPT24!Z26+MVTOCT24!Z26+MVTNOV24!Z26+MVTDEC24!Z26</f>
        <v>0</v>
      </c>
      <c r="AA27" s="36">
        <f>MVTJANV24!AA26+MVTFEV24!AA26+MVTMARS24!AA26+MVTAVRIL24!AA26+MVTMAI24!AA26+MVTJUIN24!AA26+MVTJUIL24!AA26+MVTAOUT24!AA26+MVTSEPT24!AA26+MVTOCT24!AA26+MVTNOV24!AA26+MVTDEC24!AA26</f>
        <v>0</v>
      </c>
      <c r="AB27" s="36">
        <f>MVTJANV24!AB26+MVTFEV24!AB26+MVTMARS24!AB26+MVTAVRIL24!AB26+MVTMAI24!AB26+MVTJUIN24!AB26+MVTJUIL24!AB26+MVTAOUT24!AB26+MVTSEPT24!AB26+MVTOCT24!AB26+MVTNOV24!AB26+MVTDEC24!AB26</f>
        <v>0</v>
      </c>
      <c r="AC27" s="36">
        <f>MVTJANV24!AC26+MVTFEV24!AC26+MVTMARS24!AC26+MVTAVRIL24!AC26+MVTMAI24!AC26+MVTJUIN24!AC26+MVTJUIL24!AC26+MVTAOUT24!AC26+MVTSEPT24!AC26+MVTOCT24!AC26+MVTNOV24!AC26+MVTDEC24!AC26</f>
        <v>0</v>
      </c>
      <c r="AD27" s="36">
        <f>MVTJANV24!AD26+MVTFEV24!AD26+MVTMARS24!AD26+MVTAVRIL24!AD26+MVTMAI24!AD26+MVTJUIN24!AD26+MVTJUIL24!AD26+MVTAOUT24!AD26+MVTSEPT24!AD26+MVTOCT24!AD26+MVTNOV24!AD26+MVTDEC24!AD26</f>
        <v>0</v>
      </c>
      <c r="AE27" s="36">
        <f>MVTJANV24!AE26+MVTFEV24!AE26+MVTMARS24!AE26+MVTAVRIL24!AE26+MVTMAI24!AE26+MVTJUIN24!AE26+MVTJUIL24!AE26+MVTAOUT24!AE26+MVTSEPT24!AE26+MVTOCT24!AE26+MVTNOV24!AE26+MVTDEC24!AE26</f>
        <v>0</v>
      </c>
      <c r="AF27" s="36">
        <f>MVTJANV24!AF26+MVTFEV24!AF26+MVTMARS24!AF26+MVTAVRIL24!AF26+MVTMAI24!AF26+MVTJUIN24!AF26+MVTJUIL24!AF26+MVTAOUT24!AF26+MVTSEPT24!AF26+MVTOCT24!AF26+MVTNOV24!AF26+MVTDEC24!AF26</f>
        <v>0</v>
      </c>
      <c r="AG27" s="36">
        <f>MVTJANV24!AG26+MVTFEV24!AG26+MVTMARS24!AG26+MVTAVRIL24!AG26+MVTMAI24!AG26+MVTJUIN24!AG26+MVTJUIL24!AG26+MVTAOUT24!AG26+MVTSEPT24!AG26+MVTOCT24!AG26+MVTNOV24!AG26+MVTDEC24!AG26</f>
        <v>0</v>
      </c>
      <c r="AH27" s="36">
        <f>MVTJANV24!AH26+MVTFEV24!AH26+MVTMARS24!AH26+MVTAVRIL24!AH26+MVTMAI24!AH26+MVTJUIN24!AH26+MVTJUIL24!AH26+MVTAOUT24!AH26+MVTSEPT24!AH26+MVTOCT24!AH26+MVTNOV24!AH26+MVTDEC24!AH26</f>
        <v>0</v>
      </c>
      <c r="AI27" s="36">
        <f>MVTJANV24!AI26+MVTFEV24!AI26+MVTMARS24!AI26+MVTAVRIL24!AI26+MVTMAI24!AI26+MVTJUIN24!AI26+MVTJUIL24!AI26+MVTAOUT24!AI26+MVTSEPT24!AI26+MVTOCT24!AI26+MVTNOV24!AI26+MVTDEC24!AI26</f>
        <v>0</v>
      </c>
      <c r="AJ27" s="36">
        <f>MVTJANV24!AJ26+MVTFEV24!AJ26+MVTMARS24!AJ26+MVTAVRIL24!AJ26+MVTMAI24!AJ26+MVTJUIN24!AJ26+MVTJUIL24!AJ26+MVTAOUT24!AJ26+MVTSEPT24!AJ26+MVTOCT24!AJ26+MVTNOV24!AJ26+MVTDEC24!AJ26</f>
        <v>0</v>
      </c>
      <c r="AK27" s="36">
        <f>MVTJANV24!AK26+MVTFEV24!AK26+MVTMARS24!AK26+MVTAVRIL24!AK26+MVTMAI24!AK26+MVTJUIN24!AK26+MVTJUIL24!AK26+MVTAOUT24!AK26+MVTSEPT24!AK26+MVTOCT24!AK26+MVTNOV24!AK26+MVTDEC24!AK26</f>
        <v>0</v>
      </c>
      <c r="AL27" s="143">
        <v>45627</v>
      </c>
      <c r="AM27" s="144">
        <f t="shared" si="2"/>
        <v>120000</v>
      </c>
      <c r="AN27" s="144"/>
      <c r="AP27" s="36"/>
    </row>
    <row r="28" spans="1:42" ht="15.75" x14ac:dyDescent="0.25">
      <c r="A28" s="1" t="s">
        <v>43</v>
      </c>
      <c r="B28" s="1" t="str">
        <f>VLOOKUP(A28,[19]LISTADHERENT!A$5:H$60,3,0)</f>
        <v>NKAMGANG JUSTIN DEJOLIE</v>
      </c>
      <c r="C28" s="36">
        <f>+MVTDEC23!C27</f>
        <v>700000</v>
      </c>
      <c r="D28" s="36">
        <f>+MVTDEC23!D27</f>
        <v>19031.484583758342</v>
      </c>
      <c r="E28" s="36">
        <f>VLOOKUP($A28,[24]HISTOJANV24!$A$6:$BA$38,48,0)</f>
        <v>0</v>
      </c>
      <c r="F28" s="36">
        <f>MVTDEC24!F27</f>
        <v>995824.17371512204</v>
      </c>
      <c r="G28" s="5">
        <f>MVTDEC24!G27</f>
        <v>995824.17371512204</v>
      </c>
      <c r="H28" s="36">
        <f>MVTDEC23!H27+MVTJANV24!H27+MVTFEV24!H27+MVTMARS24!H27+MVTAVRIL24!H27+MVTMAI24!H27+MVTJUIN24!H27+MVTJUIL24!H27+MVTAOUT24!H27+MVTSEPT24!H27+MVTOCT24!H27+MVTNOV24!H27+MVTDEC24!H27</f>
        <v>48792.689131363695</v>
      </c>
      <c r="I28" s="6">
        <f t="shared" si="0"/>
        <v>1044616.8628464857</v>
      </c>
      <c r="J28" s="36">
        <f>MVTJANV24!J27+MVTFEV24!J27+MVTMARS24!J27+MVTAVRIL24!J27+MVTMAI24!J27+MVTJUIN24!J27+MVTJUIL24!J27+MVTAOUT24!J27+MVTSEPT24!J27+MVTOCT24!J27+MVTNOV24!J27+MVTDEC24!J27</f>
        <v>0</v>
      </c>
      <c r="K28" s="36">
        <f>MVTJANV24!K27+MVTFEV24!K27+MVTMARS24!K27+MVTAVRIL24!K27+MVTMAI24!K27+MVTJUIN24!K27+MVTJUIL24!K27+MVTAOUT24!K27+MVTSEPT24!K27+MVTOCT24!K27+MVTNOV24!K27+MVTDEC24!K27</f>
        <v>300000</v>
      </c>
      <c r="L28" s="36">
        <f>MVTJANV24!L27+MVTFEV24!L27+MVTMARS24!L27+MVTAVRIL24!L27+MVTMAI24!L27+MVTJUIN24!L27+MVTJUIL24!L27+MVTAOUT24!L27+MVTSEPT24!L27+MVTOCT24!L27+MVTNOV24!L27+MVTDEC24!L27</f>
        <v>228000</v>
      </c>
      <c r="M28" s="36">
        <f>MVTJANV24!M27+MVTFEV24!M27+MVTMARS24!M27+MVTAVRIL24!M27+MVTMAI24!M27+MVTJUIN24!M27+MVTJUIL24!M27+MVTAOUT24!M27+MVTSEPT24!M27+MVTOCT24!M27+MVTNOV24!M27+MVTDEC24!M27</f>
        <v>12000</v>
      </c>
      <c r="N28" s="36">
        <f>MVTJANV24!N27+MVTFEV24!N27+MVTMARS24!N27+MVTAVRIL24!N27+MVTMAI24!N27+MVTJUIN24!N27+MVTJUIL24!N27+MVTAOUT24!N27+MVTSEPT24!N27+MVTOCT24!N27+MVTNOV24!N27+MVTDEC24!N27</f>
        <v>12000</v>
      </c>
      <c r="O28" s="36">
        <f>MVTJANV24!O27+MVTFEV24!O27+MVTMARS24!O27+MVTAVRIL24!O27+MVTMAI24!O27+MVTJUIN24!O27+MVTJUIL24!O27+MVTAOUT24!O27+MVTSEPT24!O27+MVTOCT24!O27+MVTNOV24!O27+MVTDEC24!O27</f>
        <v>48000</v>
      </c>
      <c r="P28" s="36">
        <f>MVTJANV24!P27+MVTFEV24!P27+MVTMARS24!P27+MVTAVRIL24!P27+MVTMAI24!P27+MVTJUIN24!P27+MVTJUIL24!P27+MVTAOUT24!P27+MVTSEPT24!P27+MVTOCT24!P27+MVTNOV24!P27+MVTDEC24!P27</f>
        <v>0</v>
      </c>
      <c r="Q28" s="36">
        <f>MVTJANV24!Q27+MVTFEV24!Q27+MVTMARS24!Q27+MVTAVRIL24!Q27+MVTMAI24!Q27+MVTJUIN24!Q27+MVTJUIL24!Q27+MVTAOUT24!Q27+MVTSEPT24!Q27+MVTOCT24!Q27+MVTNOV24!Q27+MVTDEC24!Q27</f>
        <v>0</v>
      </c>
      <c r="R28" s="36">
        <f>MVTJANV24!R27+MVTFEV24!R27+MVTMARS24!R27+MVTAVRIL24!R27+MVTMAI24!R27+MVTJUIN24!R27+MVTJUIL24!R27+MVTAOUT24!R27+MVTSEPT24!R27+MVTOCT24!R27+MVTNOV24!R27+MVTDEC24!R27</f>
        <v>0</v>
      </c>
      <c r="S28" s="36">
        <f>MVTDEC23!S27+MVTJANV24!S27+MVTFEV24!S27+MVTMARS24!S27+MVTAVRIL24!S27+MVTMAI24!S27+MVTJUIN24!S27+MVTJUIL24!S27+MVTAOUT24!S27+MVTSEPT24!S27+MVTOCT24!S27+MVTNOV24!S27+MVTDEC24!S27</f>
        <v>1000000</v>
      </c>
      <c r="T28" s="36">
        <f>MVTDEC23!T27+MVTJANV24!T27+MVTFEV24!T27+MVTMARS24!T27+MVTAVRIL24!T27+MVTMAI24!T27+MVTJUIN24!T27+MVTJUIL24!T27+MVTAOUT24!T27+MVTSEPT24!T27+MVTOCT24!T27+MVTNOV24!T27+MVTDEC24!T27</f>
        <v>60000</v>
      </c>
      <c r="U28" s="36"/>
      <c r="V28" s="36">
        <f>MVTJANV24!V27+MVTFEV24!V27+MVTMARS24!V27+MVTAVRIL24!V27+MVTMAI24!V27+MVTJUIN24!V27+MVTJUIL24!V27+MVTAOUT24!V27+MVTSEPT24!V27+MVTOCT24!V27+MVTNOV24!V27+MVTDEC24!V27</f>
        <v>0</v>
      </c>
      <c r="W28" s="36">
        <f t="shared" si="1"/>
        <v>1000000</v>
      </c>
      <c r="X28" s="36"/>
      <c r="Y28" s="36"/>
      <c r="Z28" s="36">
        <f>MVTJANV24!Z27+MVTFEV24!Z27+MVTMARS24!Z27+MVTAVRIL24!Z27+MVTMAI24!Z27+MVTJUIN24!Z27+MVTJUIL24!Z27+MVTAOUT24!Z27+MVTSEPT24!Z27+MVTOCT24!Z27+MVTNOV24!Z27+MVTDEC24!Z27</f>
        <v>0</v>
      </c>
      <c r="AA28" s="36">
        <f>MVTJANV24!AA27+MVTFEV24!AA27+MVTMARS24!AA27+MVTAVRIL24!AA27+MVTMAI24!AA27+MVTJUIN24!AA27+MVTJUIL24!AA27+MVTAOUT24!AA27+MVTSEPT24!AA27+MVTOCT24!AA27+MVTNOV24!AA27+MVTDEC24!AA27</f>
        <v>0</v>
      </c>
      <c r="AB28" s="36">
        <f>MVTJANV24!AB27+MVTFEV24!AB27+MVTMARS24!AB27+MVTAVRIL24!AB27+MVTMAI24!AB27+MVTJUIN24!AB27+MVTJUIL24!AB27+MVTAOUT24!AB27+MVTSEPT24!AB27+MVTOCT24!AB27+MVTNOV24!AB27+MVTDEC24!AB27</f>
        <v>0</v>
      </c>
      <c r="AC28" s="36">
        <f>MVTJANV24!AC27+MVTFEV24!AC27+MVTMARS24!AC27+MVTAVRIL24!AC27+MVTMAI24!AC27+MVTJUIN24!AC27+MVTJUIL24!AC27+MVTAOUT24!AC27+MVTSEPT24!AC27+MVTOCT24!AC27+MVTNOV24!AC27+MVTDEC24!AC27</f>
        <v>0</v>
      </c>
      <c r="AD28" s="36">
        <f>MVTJANV24!AD27+MVTFEV24!AD27+MVTMARS24!AD27+MVTAVRIL24!AD27+MVTMAI24!AD27+MVTJUIN24!AD27+MVTJUIL24!AD27+MVTAOUT24!AD27+MVTSEPT24!AD27+MVTOCT24!AD27+MVTNOV24!AD27+MVTDEC24!AD27</f>
        <v>0</v>
      </c>
      <c r="AE28" s="36">
        <f>MVTJANV24!AE27+MVTFEV24!AE27+MVTMARS24!AE27+MVTAVRIL24!AE27+MVTMAI24!AE27+MVTJUIN24!AE27+MVTJUIL24!AE27+MVTAOUT24!AE27+MVTSEPT24!AE27+MVTOCT24!AE27+MVTNOV24!AE27+MVTDEC24!AE27</f>
        <v>0</v>
      </c>
      <c r="AF28" s="36">
        <f>MVTJANV24!AF27+MVTFEV24!AF27+MVTMARS24!AF27+MVTAVRIL24!AF27+MVTMAI24!AF27+MVTJUIN24!AF27+MVTJUIL24!AF27+MVTAOUT24!AF27+MVTSEPT24!AF27+MVTOCT24!AF27+MVTNOV24!AF27+MVTDEC24!AF27</f>
        <v>0</v>
      </c>
      <c r="AG28" s="36">
        <f>MVTJANV24!AG27+MVTFEV24!AG27+MVTMARS24!AG27+MVTAVRIL24!AG27+MVTMAI24!AG27+MVTJUIN24!AG27+MVTJUIL24!AG27+MVTAOUT24!AG27+MVTSEPT24!AG27+MVTOCT24!AG27+MVTNOV24!AG27+MVTDEC24!AG27</f>
        <v>0</v>
      </c>
      <c r="AH28" s="36">
        <f>MVTJANV24!AH27+MVTFEV24!AH27+MVTMARS24!AH27+MVTAVRIL24!AH27+MVTMAI24!AH27+MVTJUIN24!AH27+MVTJUIL24!AH27+MVTAOUT24!AH27+MVTSEPT24!AH27+MVTOCT24!AH27+MVTNOV24!AH27+MVTDEC24!AH27</f>
        <v>0</v>
      </c>
      <c r="AI28" s="36">
        <f>MVTJANV24!AI27+MVTFEV24!AI27+MVTMARS24!AI27+MVTAVRIL24!AI27+MVTMAI24!AI27+MVTJUIN24!AI27+MVTJUIL24!AI27+MVTAOUT24!AI27+MVTSEPT24!AI27+MVTOCT24!AI27+MVTNOV24!AI27+MVTDEC24!AI27</f>
        <v>0</v>
      </c>
      <c r="AJ28" s="36">
        <f>MVTJANV24!AJ27+MVTFEV24!AJ27+MVTMARS24!AJ27+MVTAVRIL24!AJ27+MVTMAI24!AJ27+MVTJUIN24!AJ27+MVTJUIL24!AJ27+MVTAOUT24!AJ27+MVTSEPT24!AJ27+MVTOCT24!AJ27+MVTNOV24!AJ27+MVTDEC24!AJ27</f>
        <v>0</v>
      </c>
      <c r="AK28" s="36">
        <f>MVTJANV24!AK27+MVTFEV24!AK27+MVTMARS24!AK27+MVTAVRIL24!AK27+MVTMAI24!AK27+MVTJUIN24!AK27+MVTJUIL24!AK27+MVTAOUT24!AK27+MVTSEPT24!AK27+MVTOCT24!AK27+MVTNOV24!AK27+MVTDEC24!AK27</f>
        <v>0</v>
      </c>
      <c r="AL28" s="143">
        <v>45474</v>
      </c>
      <c r="AM28" s="144">
        <f t="shared" si="2"/>
        <v>60000</v>
      </c>
      <c r="AN28" s="144"/>
      <c r="AP28" s="36"/>
    </row>
    <row r="29" spans="1:42" ht="15.75" x14ac:dyDescent="0.25">
      <c r="A29" s="1" t="s">
        <v>172</v>
      </c>
      <c r="B29" s="1" t="str">
        <f>VLOOKUP(A29,[19]LISTADHERENT!A$5:H$60,3,0)</f>
        <v>NOUBE ETIENNE</v>
      </c>
      <c r="C29" s="36">
        <f>+MVTDEC23!C28</f>
        <v>666018.81693285913</v>
      </c>
      <c r="D29" s="36">
        <f>+MVTDEC23!D28</f>
        <v>0</v>
      </c>
      <c r="E29" s="36">
        <f>VLOOKUP($A29,[24]HISTOJANV24!$A$6:$BA$38,48,0)</f>
        <v>0</v>
      </c>
      <c r="F29" s="36">
        <f>MVTDEC24!F28</f>
        <v>897176.12513194664</v>
      </c>
      <c r="G29" s="5">
        <f>MVTDEC24!G28</f>
        <v>897176.12513194664</v>
      </c>
      <c r="H29" s="36">
        <f>MVTDEC23!H28+MVTJANV24!H28+MVTFEV24!H28+MVTMARS24!H28+MVTAVRIL24!H28+MVTMAI24!H28+MVTJUIN24!H28+MVTJUIL24!H28+MVTAOUT24!H28+MVTSEPT24!H28+MVTOCT24!H28+MVTNOV24!H28+MVTDEC24!H28</f>
        <v>3157.3081990875326</v>
      </c>
      <c r="I29" s="6">
        <f t="shared" si="0"/>
        <v>900333.43333103415</v>
      </c>
      <c r="J29" s="36">
        <f>MVTJANV24!J28+MVTFEV24!J28+MVTMARS24!J28+MVTAVRIL24!J28+MVTMAI24!J28+MVTJUIN24!J28+MVTJUIL24!J28+MVTAOUT24!J28+MVTSEPT24!J28+MVTOCT24!J28+MVTNOV24!J28+MVTDEC24!J28</f>
        <v>0</v>
      </c>
      <c r="K29" s="36">
        <f>MVTJANV24!K28+MVTFEV24!K28+MVTMARS24!K28+MVTAVRIL24!K28+MVTMAI24!K28+MVTJUIN24!K28+MVTJUIL24!K28+MVTAOUT24!K28+MVTSEPT24!K28+MVTOCT24!K28+MVTNOV24!K28+MVTDEC24!K28</f>
        <v>300000</v>
      </c>
      <c r="L29" s="36">
        <f>MVTJANV24!L28+MVTFEV24!L28+MVTMARS24!L28+MVTAVRIL24!L28+MVTMAI24!L28+MVTJUIN24!L28+MVTJUIL24!L28+MVTAOUT24!L28+MVTSEPT24!L28+MVTOCT24!L28+MVTNOV24!L28+MVTDEC24!L28</f>
        <v>228000</v>
      </c>
      <c r="M29" s="36">
        <f>MVTJANV24!M28+MVTFEV24!M28+MVTMARS24!M28+MVTAVRIL24!M28+MVTMAI24!M28+MVTJUIN24!M28+MVTJUIL24!M28+MVTAOUT24!M28+MVTSEPT24!M28+MVTOCT24!M28+MVTNOV24!M28+MVTDEC24!M28</f>
        <v>12000</v>
      </c>
      <c r="N29" s="36">
        <f>MVTJANV24!N28+MVTFEV24!N28+MVTMARS24!N28+MVTAVRIL24!N28+MVTMAI24!N28+MVTJUIN24!N28+MVTJUIL24!N28+MVTAOUT24!N28+MVTSEPT24!N28+MVTOCT24!N28+MVTNOV24!N28+MVTDEC24!N28</f>
        <v>12000</v>
      </c>
      <c r="O29" s="36">
        <f>MVTJANV24!O28+MVTFEV24!O28+MVTMARS24!O28+MVTAVRIL24!O28+MVTMAI24!O28+MVTJUIN24!O28+MVTJUIL24!O28+MVTAOUT24!O28+MVTSEPT24!O28+MVTOCT24!O28+MVTNOV24!O28+MVTDEC24!O28</f>
        <v>48000</v>
      </c>
      <c r="P29" s="36">
        <f>MVTJANV24!P28+MVTFEV24!P28+MVTMARS24!P28+MVTAVRIL24!P28+MVTMAI24!P28+MVTJUIN24!P28+MVTJUIL24!P28+MVTAOUT24!P28+MVTSEPT24!P28+MVTOCT24!P28+MVTNOV24!P28+MVTDEC24!P28</f>
        <v>0</v>
      </c>
      <c r="Q29" s="36">
        <f>MVTJANV24!Q28+MVTFEV24!Q28+MVTMARS24!Q28+MVTAVRIL24!Q28+MVTMAI24!Q28+MVTJUIN24!Q28+MVTJUIL24!Q28+MVTAOUT24!Q28+MVTSEPT24!Q28+MVTOCT24!Q28+MVTNOV24!Q28+MVTDEC24!Q28</f>
        <v>0</v>
      </c>
      <c r="R29" s="36">
        <f>MVTJANV24!R28+MVTFEV24!R28+MVTMARS24!R28+MVTAVRIL24!R28+MVTMAI24!R28+MVTJUIN24!R28+MVTJUIL24!R28+MVTAOUT24!R28+MVTSEPT24!R28+MVTOCT24!R28+MVTNOV24!R28+MVTDEC24!R28</f>
        <v>0</v>
      </c>
      <c r="S29" s="36">
        <f>MVTDEC23!S28+MVTJANV24!S28+MVTFEV24!S28+MVTMARS24!S28+MVTAVRIL24!S28+MVTMAI24!S28+MVTJUIN24!S28+MVTJUIL24!S28+MVTAOUT24!S28+MVTSEPT24!S28+MVTOCT24!S28+MVTNOV24!S28+MVTDEC24!S28</f>
        <v>50000</v>
      </c>
      <c r="T29" s="36">
        <f>MVTDEC23!T28+MVTJANV24!T28+MVTFEV24!T28+MVTMARS24!T28+MVTAVRIL24!T28+MVTMAI24!T28+MVTJUIN24!T28+MVTJUIL24!T28+MVTAOUT24!T28+MVTSEPT24!T28+MVTOCT24!T28+MVTNOV24!T28+MVTDEC24!T28</f>
        <v>1500</v>
      </c>
      <c r="U29" s="36"/>
      <c r="V29" s="36">
        <f>MVTJANV24!V28+MVTFEV24!V28+MVTMARS24!V28+MVTAVRIL24!V28+MVTMAI24!V28+MVTJUIN24!V28+MVTJUIL24!V28+MVTAOUT24!V28+MVTSEPT24!V28+MVTOCT24!V28+MVTNOV24!V28+MVTDEC24!V28</f>
        <v>0</v>
      </c>
      <c r="W29" s="36">
        <f t="shared" si="1"/>
        <v>50000</v>
      </c>
      <c r="X29" s="36"/>
      <c r="Y29" s="36"/>
      <c r="Z29" s="36">
        <f>MVTJANV24!Z28+MVTFEV24!Z28+MVTMARS24!Z28+MVTAVRIL24!Z28+MVTMAI24!Z28+MVTJUIN24!Z28+MVTJUIL24!Z28+MVTAOUT24!Z28+MVTSEPT24!Z28+MVTOCT24!Z28+MVTNOV24!Z28+MVTDEC24!Z28</f>
        <v>0</v>
      </c>
      <c r="AA29" s="36">
        <f>MVTJANV24!AA28+MVTFEV24!AA28+MVTMARS24!AA28+MVTAVRIL24!AA28+MVTMAI24!AA28+MVTJUIN24!AA28+MVTJUIL24!AA28+MVTAOUT24!AA28+MVTSEPT24!AA28+MVTOCT24!AA28+MVTNOV24!AA28+MVTDEC24!AA28</f>
        <v>0</v>
      </c>
      <c r="AB29" s="36">
        <f>MVTJANV24!AB28+MVTFEV24!AB28+MVTMARS24!AB28+MVTAVRIL24!AB28+MVTMAI24!AB28+MVTJUIN24!AB28+MVTJUIL24!AB28+MVTAOUT24!AB28+MVTSEPT24!AB28+MVTOCT24!AB28+MVTNOV24!AB28+MVTDEC24!AB28</f>
        <v>0</v>
      </c>
      <c r="AC29" s="36">
        <f>MVTJANV24!AC28+MVTFEV24!AC28+MVTMARS24!AC28+MVTAVRIL24!AC28+MVTMAI24!AC28+MVTJUIN24!AC28+MVTJUIL24!AC28+MVTAOUT24!AC28+MVTSEPT24!AC28+MVTOCT24!AC28+MVTNOV24!AC28+MVTDEC24!AC28</f>
        <v>0</v>
      </c>
      <c r="AD29" s="36">
        <f>MVTJANV24!AD28+MVTFEV24!AD28+MVTMARS24!AD28+MVTAVRIL24!AD28+MVTMAI24!AD28+MVTJUIN24!AD28+MVTJUIL24!AD28+MVTAOUT24!AD28+MVTSEPT24!AD28+MVTOCT24!AD28+MVTNOV24!AD28+MVTDEC24!AD28</f>
        <v>0</v>
      </c>
      <c r="AE29" s="36">
        <f>MVTJANV24!AE28+MVTFEV24!AE28+MVTMARS24!AE28+MVTAVRIL24!AE28+MVTMAI24!AE28+MVTJUIN24!AE28+MVTJUIL24!AE28+MVTAOUT24!AE28+MVTSEPT24!AE28+MVTOCT24!AE28+MVTNOV24!AE28+MVTDEC24!AE28</f>
        <v>0</v>
      </c>
      <c r="AF29" s="36">
        <f>MVTJANV24!AF28+MVTFEV24!AF28+MVTMARS24!AF28+MVTAVRIL24!AF28+MVTMAI24!AF28+MVTJUIN24!AF28+MVTJUIL24!AF28+MVTAOUT24!AF28+MVTSEPT24!AF28+MVTOCT24!AF28+MVTNOV24!AF28+MVTDEC24!AF28</f>
        <v>0</v>
      </c>
      <c r="AG29" s="36">
        <f>MVTJANV24!AG28+MVTFEV24!AG28+MVTMARS24!AG28+MVTAVRIL24!AG28+MVTMAI24!AG28+MVTJUIN24!AG28+MVTJUIL24!AG28+MVTAOUT24!AG28+MVTSEPT24!AG28+MVTOCT24!AG28+MVTNOV24!AG28+MVTDEC24!AG28</f>
        <v>0</v>
      </c>
      <c r="AH29" s="36">
        <f>MVTJANV24!AH28+MVTFEV24!AH28+MVTMARS24!AH28+MVTAVRIL24!AH28+MVTMAI24!AH28+MVTJUIN24!AH28+MVTJUIL24!AH28+MVTAOUT24!AH28+MVTSEPT24!AH28+MVTOCT24!AH28+MVTNOV24!AH28+MVTDEC24!AH28</f>
        <v>0</v>
      </c>
      <c r="AI29" s="36">
        <f>MVTJANV24!AI28+MVTFEV24!AI28+MVTMARS24!AI28+MVTAVRIL24!AI28+MVTMAI24!AI28+MVTJUIN24!AI28+MVTJUIL24!AI28+MVTAOUT24!AI28+MVTSEPT24!AI28+MVTOCT24!AI28+MVTNOV24!AI28+MVTDEC24!AI28</f>
        <v>0</v>
      </c>
      <c r="AJ29" s="36">
        <f>MVTJANV24!AJ28+MVTFEV24!AJ28+MVTMARS24!AJ28+MVTAVRIL24!AJ28+MVTMAI24!AJ28+MVTJUIN24!AJ28+MVTJUIL24!AJ28+MVTAOUT24!AJ28+MVTSEPT24!AJ28+MVTOCT24!AJ28+MVTNOV24!AJ28+MVTDEC24!AJ28</f>
        <v>0</v>
      </c>
      <c r="AK29" s="36">
        <f>MVTJANV24!AK28+MVTFEV24!AK28+MVTMARS24!AK28+MVTAVRIL24!AK28+MVTMAI24!AK28+MVTJUIN24!AK28+MVTJUIL24!AK28+MVTAOUT24!AK28+MVTSEPT24!AK28+MVTOCT24!AK28+MVTNOV24!AK28+MVTDEC24!AK28</f>
        <v>0</v>
      </c>
      <c r="AL29" s="143"/>
      <c r="AM29" s="144">
        <f t="shared" si="2"/>
        <v>1500</v>
      </c>
      <c r="AN29" s="144"/>
      <c r="AP29" s="36"/>
    </row>
    <row r="30" spans="1:42" ht="15.75" x14ac:dyDescent="0.25">
      <c r="A30" s="1" t="s">
        <v>45</v>
      </c>
      <c r="B30" s="1" t="str">
        <f>VLOOKUP(A30,[19]LISTADHERENT!A$5:H$60,3,0)</f>
        <v>PATEGO NJOSSU GUSTAVE</v>
      </c>
      <c r="C30" s="36">
        <f>+MVTDEC23!C29</f>
        <v>700000</v>
      </c>
      <c r="D30" s="36">
        <f>+MVTDEC23!D29</f>
        <v>43697.666300758487</v>
      </c>
      <c r="E30" s="36">
        <f>VLOOKUP($A30,[24]HISTOJANV24!$A$6:$BA$38,48,0)</f>
        <v>0</v>
      </c>
      <c r="F30" s="36">
        <f>MVTDEC24!F29</f>
        <v>1022151.3442374151</v>
      </c>
      <c r="G30" s="5">
        <f>MVTDEC24!G29</f>
        <v>1022151.3442374151</v>
      </c>
      <c r="H30" s="36">
        <f>MVTDEC23!H29+MVTJANV24!H29+MVTFEV24!H29+MVTMARS24!H29+MVTAVRIL24!H29+MVTMAI24!H29+MVTJUIN24!H29+MVTJUIL24!H29+MVTAOUT24!H29+MVTSEPT24!H29+MVTOCT24!H29+MVTNOV24!H29+MVTDEC24!H29</f>
        <v>50453.677936656612</v>
      </c>
      <c r="I30" s="6">
        <f t="shared" si="0"/>
        <v>1072605.0221740718</v>
      </c>
      <c r="J30" s="36">
        <f>MVTJANV24!J29+MVTFEV24!J29+MVTMARS24!J29+MVTAVRIL24!J29+MVTMAI24!J29+MVTJUIN24!J29+MVTJUIL24!J29+MVTAOUT24!J29+MVTSEPT24!J29+MVTOCT24!J29+MVTNOV24!J29+MVTDEC24!J29</f>
        <v>0</v>
      </c>
      <c r="K30" s="36">
        <f>MVTJANV24!K29+MVTFEV24!K29+MVTMARS24!K29+MVTAVRIL24!K29+MVTMAI24!K29+MVTJUIN24!K29+MVTJUIL24!K29+MVTAOUT24!K29+MVTSEPT24!K29+MVTOCT24!K29+MVTNOV24!K29+MVTDEC24!K29</f>
        <v>300000</v>
      </c>
      <c r="L30" s="36">
        <f>MVTJANV24!L29+MVTFEV24!L29+MVTMARS24!L29+MVTAVRIL24!L29+MVTMAI24!L29+MVTJUIN24!L29+MVTJUIL24!L29+MVTAOUT24!L29+MVTSEPT24!L29+MVTOCT24!L29+MVTNOV24!L29+MVTDEC24!L29</f>
        <v>228000</v>
      </c>
      <c r="M30" s="36">
        <f>MVTJANV24!M29+MVTFEV24!M29+MVTMARS24!M29+MVTAVRIL24!M29+MVTMAI24!M29+MVTJUIN24!M29+MVTJUIL24!M29+MVTAOUT24!M29+MVTSEPT24!M29+MVTOCT24!M29+MVTNOV24!M29+MVTDEC24!M29</f>
        <v>12000</v>
      </c>
      <c r="N30" s="36">
        <f>MVTJANV24!N29+MVTFEV24!N29+MVTMARS24!N29+MVTAVRIL24!N29+MVTMAI24!N29+MVTJUIN24!N29+MVTJUIL24!N29+MVTAOUT24!N29+MVTSEPT24!N29+MVTOCT24!N29+MVTNOV24!N29+MVTDEC24!N29</f>
        <v>12000</v>
      </c>
      <c r="O30" s="36">
        <f>MVTJANV24!O29+MVTFEV24!O29+MVTMARS24!O29+MVTAVRIL24!O29+MVTMAI24!O29+MVTJUIN24!O29+MVTJUIL24!O29+MVTAOUT24!O29+MVTSEPT24!O29+MVTOCT24!O29+MVTNOV24!O29+MVTDEC24!O29</f>
        <v>48000</v>
      </c>
      <c r="P30" s="36">
        <f>MVTJANV24!P29+MVTFEV24!P29+MVTMARS24!P29+MVTAVRIL24!P29+MVTMAI24!P29+MVTJUIN24!P29+MVTJUIL24!P29+MVTAOUT24!P29+MVTSEPT24!P29+MVTOCT24!P29+MVTNOV24!P29+MVTDEC24!P29</f>
        <v>0</v>
      </c>
      <c r="Q30" s="36">
        <f>MVTJANV24!Q29+MVTFEV24!Q29+MVTMARS24!Q29+MVTAVRIL24!Q29+MVTMAI24!Q29+MVTJUIN24!Q29+MVTJUIL24!Q29+MVTAOUT24!Q29+MVTSEPT24!Q29+MVTOCT24!Q29+MVTNOV24!Q29+MVTDEC24!Q29</f>
        <v>0</v>
      </c>
      <c r="R30" s="36">
        <f>MVTJANV24!R29+MVTFEV24!R29+MVTMARS24!R29+MVTAVRIL24!R29+MVTMAI24!R29+MVTJUIN24!R29+MVTJUIL24!R29+MVTAOUT24!R29+MVTSEPT24!R29+MVTOCT24!R29+MVTNOV24!R29+MVTDEC24!R29</f>
        <v>0</v>
      </c>
      <c r="S30" s="36">
        <f>MVTDEC23!S29+MVTJANV24!S29+MVTFEV24!S29+MVTMARS24!S29+MVTAVRIL24!S29+MVTMAI24!S29+MVTJUIN24!S29+MVTJUIL24!S29+MVTAOUT24!S29+MVTSEPT24!S29+MVTOCT24!S29+MVTNOV24!S29+MVTDEC24!S29</f>
        <v>0</v>
      </c>
      <c r="T30" s="36">
        <f>MVTDEC23!T29+MVTJANV24!T29+MVTFEV24!T29+MVTMARS24!T29+MVTAVRIL24!T29+MVTMAI24!T29+MVTJUIN24!T29+MVTJUIL24!T29+MVTAOUT24!T29+MVTSEPT24!T29+MVTOCT24!T29+MVTNOV24!T29+MVTDEC24!T29</f>
        <v>0</v>
      </c>
      <c r="U30" s="36"/>
      <c r="V30" s="36">
        <f>MVTJANV24!V29+MVTFEV24!V29+MVTMARS24!V29+MVTAVRIL24!V29+MVTMAI24!V29+MVTJUIN24!V29+MVTJUIL24!V29+MVTAOUT24!V29+MVTSEPT24!V29+MVTOCT24!V29+MVTNOV24!V29+MVTDEC24!V29</f>
        <v>0</v>
      </c>
      <c r="W30" s="36">
        <f t="shared" si="1"/>
        <v>0</v>
      </c>
      <c r="X30" s="36"/>
      <c r="Y30" s="36"/>
      <c r="Z30" s="36">
        <f>MVTJANV24!Z29+MVTFEV24!Z29+MVTMARS24!Z29+MVTAVRIL24!Z29+MVTMAI24!Z29+MVTJUIN24!Z29+MVTJUIL24!Z29+MVTAOUT24!Z29+MVTSEPT24!Z29+MVTOCT24!Z29+MVTNOV24!Z29+MVTDEC24!Z29</f>
        <v>0</v>
      </c>
      <c r="AA30" s="36">
        <f>MVTJANV24!AA29+MVTFEV24!AA29+MVTMARS24!AA29+MVTAVRIL24!AA29+MVTMAI24!AA29+MVTJUIN24!AA29+MVTJUIL24!AA29+MVTAOUT24!AA29+MVTSEPT24!AA29+MVTOCT24!AA29+MVTNOV24!AA29+MVTDEC24!AA29</f>
        <v>0</v>
      </c>
      <c r="AB30" s="36">
        <f>MVTJANV24!AB29+MVTFEV24!AB29+MVTMARS24!AB29+MVTAVRIL24!AB29+MVTMAI24!AB29+MVTJUIN24!AB29+MVTJUIL24!AB29+MVTAOUT24!AB29+MVTSEPT24!AB29+MVTOCT24!AB29+MVTNOV24!AB29+MVTDEC24!AB29</f>
        <v>0</v>
      </c>
      <c r="AC30" s="36">
        <f>MVTJANV24!AC29+MVTFEV24!AC29+MVTMARS24!AC29+MVTAVRIL24!AC29+MVTMAI24!AC29+MVTJUIN24!AC29+MVTJUIL24!AC29+MVTAOUT24!AC29+MVTSEPT24!AC29+MVTOCT24!AC29+MVTNOV24!AC29+MVTDEC24!AC29</f>
        <v>0</v>
      </c>
      <c r="AD30" s="36">
        <f>MVTJANV24!AD29+MVTFEV24!AD29+MVTMARS24!AD29+MVTAVRIL24!AD29+MVTMAI24!AD29+MVTJUIN24!AD29+MVTJUIL24!AD29+MVTAOUT24!AD29+MVTSEPT24!AD29+MVTOCT24!AD29+MVTNOV24!AD29+MVTDEC24!AD29</f>
        <v>0</v>
      </c>
      <c r="AE30" s="36">
        <f>MVTJANV24!AE29+MVTFEV24!AE29+MVTMARS24!AE29+MVTAVRIL24!AE29+MVTMAI24!AE29+MVTJUIN24!AE29+MVTJUIL24!AE29+MVTAOUT24!AE29+MVTSEPT24!AE29+MVTOCT24!AE29+MVTNOV24!AE29+MVTDEC24!AE29</f>
        <v>0</v>
      </c>
      <c r="AF30" s="36">
        <f>MVTJANV24!AF29+MVTFEV24!AF29+MVTMARS24!AF29+MVTAVRIL24!AF29+MVTMAI24!AF29+MVTJUIN24!AF29+MVTJUIL24!AF29+MVTAOUT24!AF29+MVTSEPT24!AF29+MVTOCT24!AF29+MVTNOV24!AF29+MVTDEC24!AF29</f>
        <v>0</v>
      </c>
      <c r="AG30" s="36">
        <f>MVTJANV24!AG29+MVTFEV24!AG29+MVTMARS24!AG29+MVTAVRIL24!AG29+MVTMAI24!AG29+MVTJUIN24!AG29+MVTJUIL24!AG29+MVTAOUT24!AG29+MVTSEPT24!AG29+MVTOCT24!AG29+MVTNOV24!AG29+MVTDEC24!AG29</f>
        <v>0</v>
      </c>
      <c r="AH30" s="36">
        <f>MVTJANV24!AH29+MVTFEV24!AH29+MVTMARS24!AH29+MVTAVRIL24!AH29+MVTMAI24!AH29+MVTJUIN24!AH29+MVTJUIL24!AH29+MVTAOUT24!AH29+MVTSEPT24!AH29+MVTOCT24!AH29+MVTNOV24!AH29+MVTDEC24!AH29</f>
        <v>0</v>
      </c>
      <c r="AI30" s="36">
        <f>MVTJANV24!AI29+MVTFEV24!AI29+MVTMARS24!AI29+MVTAVRIL24!AI29+MVTMAI24!AI29+MVTJUIN24!AI29+MVTJUIL24!AI29+MVTAOUT24!AI29+MVTSEPT24!AI29+MVTOCT24!AI29+MVTNOV24!AI29+MVTDEC24!AI29</f>
        <v>0</v>
      </c>
      <c r="AJ30" s="36">
        <f>MVTJANV24!AJ29+MVTFEV24!AJ29+MVTMARS24!AJ29+MVTAVRIL24!AJ29+MVTMAI24!AJ29+MVTJUIN24!AJ29+MVTJUIL24!AJ29+MVTAOUT24!AJ29+MVTSEPT24!AJ29+MVTOCT24!AJ29+MVTNOV24!AJ29+MVTDEC24!AJ29</f>
        <v>0</v>
      </c>
      <c r="AK30" s="36">
        <f>MVTJANV24!AK29+MVTFEV24!AK29+MVTMARS24!AK29+MVTAVRIL24!AK29+MVTMAI24!AK29+MVTJUIN24!AK29+MVTJUIL24!AK29+MVTAOUT24!AK29+MVTSEPT24!AK29+MVTOCT24!AK29+MVTNOV24!AK29+MVTDEC24!AK29</f>
        <v>0</v>
      </c>
      <c r="AL30" s="143"/>
      <c r="AM30" s="144">
        <f t="shared" si="2"/>
        <v>0</v>
      </c>
      <c r="AN30" s="144"/>
      <c r="AP30" s="36"/>
    </row>
    <row r="31" spans="1:42" ht="15.75" x14ac:dyDescent="0.25">
      <c r="A31" s="1" t="s">
        <v>312</v>
      </c>
      <c r="B31" s="1" t="str">
        <f>VLOOKUP(A31,[19]LISTADHERENT!A$5:H$60,3,0)</f>
        <v>SEUMO POLYCARPE</v>
      </c>
      <c r="C31" s="36">
        <f>+MVTDEC23!C30</f>
        <v>0</v>
      </c>
      <c r="D31" s="36">
        <f>+MVTDEC23!D30</f>
        <v>245500</v>
      </c>
      <c r="E31" s="36">
        <f>VLOOKUP($A31,[24]HISTOJANV24!$A$6:$BA$38,48,0)</f>
        <v>0</v>
      </c>
      <c r="F31" s="36">
        <f>MVTDEC24!F30</f>
        <v>926786.81046782702</v>
      </c>
      <c r="G31" s="5">
        <f>MVTDEC24!G30</f>
        <v>926786.81046782702</v>
      </c>
      <c r="H31" s="36">
        <f>MVTDEC23!H30+MVTJANV24!H30+MVTFEV24!H30+MVTMARS24!H30+MVTAVRIL24!H30+MVTMAI24!H30+MVTJUIN24!H30+MVTJUIL24!H30+MVTAOUT24!H30+MVTSEPT24!H30+MVTOCT24!H30+MVTNOV24!H30+MVTDEC24!H30</f>
        <v>3286.8104678270088</v>
      </c>
      <c r="I31" s="6">
        <f t="shared" si="0"/>
        <v>930073.62093565403</v>
      </c>
      <c r="J31" s="36">
        <f>MVTJANV24!J30+MVTFEV24!J30+MVTMARS24!J30+MVTAVRIL24!J30+MVTMAI24!J30+MVTJUIN24!J30+MVTJUIL24!J30+MVTAOUT24!J30+MVTSEPT24!J30+MVTOCT24!J30+MVTNOV24!J30+MVTDEC24!J30</f>
        <v>0</v>
      </c>
      <c r="K31" s="36">
        <f>MVTJANV24!K30+MVTFEV24!K30+MVTMARS24!K30+MVTAVRIL24!K30+MVTMAI24!K30+MVTJUIN24!K30+MVTJUIL24!K30+MVTAOUT24!K30+MVTSEPT24!K30+MVTOCT24!K30+MVTNOV24!K30+MVTDEC24!K30</f>
        <v>750000</v>
      </c>
      <c r="L31" s="36">
        <f>MVTJANV24!L30+MVTFEV24!L30+MVTMARS24!L30+MVTAVRIL24!L30+MVTMAI24!L30+MVTJUIN24!L30+MVTJUIL24!L30+MVTAOUT24!L30+MVTSEPT24!L30+MVTOCT24!L30+MVTNOV24!L30+MVTDEC24!L30</f>
        <v>678000</v>
      </c>
      <c r="M31" s="36">
        <f>MVTJANV24!M30+MVTFEV24!M30+MVTMARS24!M30+MVTAVRIL24!M30+MVTMAI24!M30+MVTJUIN24!M30+MVTJUIL24!M30+MVTAOUT24!M30+MVTSEPT24!M30+MVTOCT24!M30+MVTNOV24!M30+MVTDEC24!M30</f>
        <v>12000</v>
      </c>
      <c r="N31" s="36">
        <f>MVTJANV24!N30+MVTFEV24!N30+MVTMARS24!N30+MVTAVRIL24!N30+MVTMAI24!N30+MVTJUIN24!N30+MVTJUIL24!N30+MVTAOUT24!N30+MVTSEPT24!N30+MVTOCT24!N30+MVTNOV24!N30+MVTDEC24!N30</f>
        <v>12000</v>
      </c>
      <c r="O31" s="36">
        <f>MVTJANV24!O30+MVTFEV24!O30+MVTMARS24!O30+MVTAVRIL24!O30+MVTMAI24!O30+MVTJUIN24!O30+MVTJUIL24!O30+MVTAOUT24!O30+MVTSEPT24!O30+MVTOCT24!O30+MVTNOV24!O30+MVTDEC24!O30</f>
        <v>48000</v>
      </c>
      <c r="P31" s="36">
        <f>MVTJANV24!P30+MVTFEV24!P30+MVTMARS24!P30+MVTAVRIL24!P30+MVTMAI24!P30+MVTJUIN24!P30+MVTJUIL24!P30+MVTAOUT24!P30+MVTSEPT24!P30+MVTOCT24!P30+MVTNOV24!P30+MVTDEC24!P30</f>
        <v>0</v>
      </c>
      <c r="Q31" s="36">
        <f>MVTJANV24!Q30+MVTFEV24!Q30+MVTMARS24!Q30+MVTAVRIL24!Q30+MVTMAI24!Q30+MVTJUIN24!Q30+MVTJUIL24!Q30+MVTAOUT24!Q30+MVTSEPT24!Q30+MVTOCT24!Q30+MVTNOV24!Q30+MVTDEC24!Q30</f>
        <v>0</v>
      </c>
      <c r="R31" s="36">
        <f>MVTJANV24!R30+MVTFEV24!R30+MVTMARS24!R30+MVTAVRIL24!R30+MVTMAI24!R30+MVTJUIN24!R30+MVTJUIL24!R30+MVTAOUT24!R30+MVTSEPT24!R30+MVTOCT24!R30+MVTNOV24!R30+MVTDEC24!R30</f>
        <v>0</v>
      </c>
      <c r="S31" s="36">
        <f>MVTDEC23!S30+MVTJANV24!S30+MVTFEV24!S30+MVTMARS24!S30+MVTAVRIL24!S30+MVTMAI24!S30+MVTJUIN24!S30+MVTJUIL24!S30+MVTAOUT24!S30+MVTSEPT24!S30+MVTOCT24!S30+MVTNOV24!S30+MVTDEC24!S30</f>
        <v>0</v>
      </c>
      <c r="T31" s="36">
        <f>MVTDEC23!T30+MVTJANV24!T30+MVTFEV24!T30+MVTMARS24!T30+MVTAVRIL24!T30+MVTMAI24!T30+MVTJUIN24!T30+MVTJUIL24!T30+MVTAOUT24!T30+MVTSEPT24!T30+MVTOCT24!T30+MVTNOV24!T30+MVTDEC24!T30</f>
        <v>0</v>
      </c>
      <c r="U31" s="36"/>
      <c r="V31" s="36">
        <f>MVTJANV24!V30+MVTFEV24!V30+MVTMARS24!V30+MVTAVRIL24!V30+MVTMAI24!V30+MVTJUIN24!V30+MVTJUIL24!V30+MVTAOUT24!V30+MVTSEPT24!V30+MVTOCT24!V30+MVTNOV24!V30+MVTDEC24!V30</f>
        <v>0</v>
      </c>
      <c r="W31" s="36">
        <f t="shared" si="1"/>
        <v>0</v>
      </c>
      <c r="X31" s="36"/>
      <c r="Y31" s="36"/>
      <c r="Z31" s="36">
        <f>MVTJANV24!Z30+MVTFEV24!Z30+MVTMARS24!Z30+MVTAVRIL24!Z30+MVTMAI24!Z30+MVTJUIN24!Z30+MVTJUIL24!Z30+MVTAOUT24!Z30+MVTSEPT24!Z30+MVTOCT24!Z30+MVTNOV24!Z30+MVTDEC24!Z30</f>
        <v>0</v>
      </c>
      <c r="AA31" s="36">
        <f>MVTJANV24!AA30+MVTFEV24!AA30+MVTMARS24!AA30+MVTAVRIL24!AA30+MVTMAI24!AA30+MVTJUIN24!AA30+MVTJUIL24!AA30+MVTAOUT24!AA30+MVTSEPT24!AA30+MVTOCT24!AA30+MVTNOV24!AA30+MVTDEC24!AA30</f>
        <v>0</v>
      </c>
      <c r="AB31" s="36">
        <f>MVTJANV24!AB30+MVTFEV24!AB30+MVTMARS24!AB30+MVTAVRIL24!AB30+MVTMAI24!AB30+MVTJUIN24!AB30+MVTJUIL24!AB30+MVTAOUT24!AB30+MVTSEPT24!AB30+MVTOCT24!AB30+MVTNOV24!AB30+MVTDEC24!AB30</f>
        <v>0</v>
      </c>
      <c r="AC31" s="36">
        <f>MVTJANV24!AC30+MVTFEV24!AC30+MVTMARS24!AC30+MVTAVRIL24!AC30+MVTMAI24!AC30+MVTJUIN24!AC30+MVTJUIL24!AC30+MVTAOUT24!AC30+MVTSEPT24!AC30+MVTOCT24!AC30+MVTNOV24!AC30+MVTDEC24!AC30</f>
        <v>0</v>
      </c>
      <c r="AD31" s="36">
        <f>MVTJANV24!AD30+MVTFEV24!AD30+MVTMARS24!AD30+MVTAVRIL24!AD30+MVTMAI24!AD30+MVTJUIN24!AD30+MVTJUIL24!AD30+MVTAOUT24!AD30+MVTSEPT24!AD30+MVTOCT24!AD30+MVTNOV24!AD30+MVTDEC24!AD30</f>
        <v>0</v>
      </c>
      <c r="AE31" s="36">
        <f>MVTJANV24!AE30+MVTFEV24!AE30+MVTMARS24!AE30+MVTAVRIL24!AE30+MVTMAI24!AE30+MVTJUIN24!AE30+MVTJUIL24!AE30+MVTAOUT24!AE30+MVTSEPT24!AE30+MVTOCT24!AE30+MVTNOV24!AE30+MVTDEC24!AE30</f>
        <v>0</v>
      </c>
      <c r="AF31" s="36">
        <f>MVTJANV24!AF30+MVTFEV24!AF30+MVTMARS24!AF30+MVTAVRIL24!AF30+MVTMAI24!AF30+MVTJUIN24!AF30+MVTJUIL24!AF30+MVTAOUT24!AF30+MVTSEPT24!AF30+MVTOCT24!AF30+MVTNOV24!AF30+MVTDEC24!AF30</f>
        <v>0</v>
      </c>
      <c r="AG31" s="36">
        <f>MVTJANV24!AG30+MVTFEV24!AG30+MVTMARS24!AG30+MVTAVRIL24!AG30+MVTMAI24!AG30+MVTJUIN24!AG30+MVTJUIL24!AG30+MVTAOUT24!AG30+MVTSEPT24!AG30+MVTOCT24!AG30+MVTNOV24!AG30+MVTDEC24!AG30</f>
        <v>0</v>
      </c>
      <c r="AH31" s="36">
        <f>MVTJANV24!AH30+MVTFEV24!AH30+MVTMARS24!AH30+MVTAVRIL24!AH30+MVTMAI24!AH30+MVTJUIN24!AH30+MVTJUIL24!AH30+MVTAOUT24!AH30+MVTSEPT24!AH30+MVTOCT24!AH30+MVTNOV24!AH30+MVTDEC24!AH30</f>
        <v>0</v>
      </c>
      <c r="AI31" s="36">
        <f>MVTJANV24!AI30+MVTFEV24!AI30+MVTMARS24!AI30+MVTAVRIL24!AI30+MVTMAI24!AI30+MVTJUIN24!AI30+MVTJUIL24!AI30+MVTAOUT24!AI30+MVTSEPT24!AI30+MVTOCT24!AI30+MVTNOV24!AI30+MVTDEC24!AI30</f>
        <v>0</v>
      </c>
      <c r="AJ31" s="36">
        <f>MVTJANV24!AJ30+MVTFEV24!AJ30+MVTMARS24!AJ30+MVTAVRIL24!AJ30+MVTMAI24!AJ30+MVTJUIN24!AJ30+MVTJUIL24!AJ30+MVTAOUT24!AJ30+MVTSEPT24!AJ30+MVTOCT24!AJ30+MVTNOV24!AJ30+MVTDEC24!AJ30</f>
        <v>0</v>
      </c>
      <c r="AK31" s="36">
        <f>MVTJANV24!AK30+MVTFEV24!AK30+MVTMARS24!AK30+MVTAVRIL24!AK30+MVTMAI24!AK30+MVTJUIN24!AK30+MVTJUIL24!AK30+MVTAOUT24!AK30+MVTSEPT24!AK30+MVTOCT24!AK30+MVTNOV24!AK30+MVTDEC24!AK30</f>
        <v>0</v>
      </c>
      <c r="AL31" s="143"/>
      <c r="AM31" s="144">
        <f t="shared" si="2"/>
        <v>0</v>
      </c>
      <c r="AN31" s="144"/>
      <c r="AP31" s="36"/>
    </row>
    <row r="32" spans="1:42" ht="15.75" x14ac:dyDescent="0.25">
      <c r="A32" s="1" t="s">
        <v>81</v>
      </c>
      <c r="B32" s="1" t="str">
        <f>VLOOKUP(A32,[19]LISTADHERENT!A$5:H$60,3,0)</f>
        <v>SIME BRICE</v>
      </c>
      <c r="C32" s="36">
        <f>+MVTDEC23!C31</f>
        <v>700000</v>
      </c>
      <c r="D32" s="36">
        <f>+MVTDEC23!D31</f>
        <v>104364.15055016428</v>
      </c>
      <c r="E32" s="36">
        <f>VLOOKUP($A32,[24]HISTOJANV24!$A$6:$BA$38,48,0)</f>
        <v>0</v>
      </c>
      <c r="F32" s="36">
        <f>MVTDEC24!F31</f>
        <v>1086903.0311481347</v>
      </c>
      <c r="G32" s="5">
        <f>MVTDEC24!G31</f>
        <v>1086903.0311481347</v>
      </c>
      <c r="H32" s="36">
        <f>MVTDEC23!H31+MVTJANV24!H31+MVTFEV24!H31+MVTMARS24!H31+MVTAVRIL24!H31+MVTMAI24!H31+MVTJUIN24!H31+MVTJUIL24!H31+MVTAOUT24!H31+MVTSEPT24!H31+MVTOCT24!H31+MVTNOV24!H31+MVTDEC24!H31</f>
        <v>54538.880597970558</v>
      </c>
      <c r="I32" s="6">
        <f t="shared" si="0"/>
        <v>1141441.9117461052</v>
      </c>
      <c r="J32" s="36">
        <f>MVTJANV24!J31+MVTFEV24!J31+MVTMARS24!J31+MVTAVRIL24!J31+MVTMAI24!J31+MVTJUIN24!J31+MVTJUIL24!J31+MVTAOUT24!J31+MVTSEPT24!J31+MVTOCT24!J31+MVTNOV24!J31+MVTDEC24!J31</f>
        <v>0</v>
      </c>
      <c r="K32" s="36">
        <f>MVTJANV24!K31+MVTFEV24!K31+MVTMARS24!K31+MVTAVRIL24!K31+MVTMAI24!K31+MVTJUIN24!K31+MVTJUIL24!K31+MVTAOUT24!K31+MVTSEPT24!K31+MVTOCT24!K31+MVTNOV24!K31+MVTDEC24!K31</f>
        <v>300000</v>
      </c>
      <c r="L32" s="36">
        <f>MVTJANV24!L31+MVTFEV24!L31+MVTMARS24!L31+MVTAVRIL24!L31+MVTMAI24!L31+MVTJUIN24!L31+MVTJUIL24!L31+MVTAOUT24!L31+MVTSEPT24!L31+MVTOCT24!L31+MVTNOV24!L31+MVTDEC24!L31</f>
        <v>228000</v>
      </c>
      <c r="M32" s="36">
        <f>MVTJANV24!M31+MVTFEV24!M31+MVTMARS24!M31+MVTAVRIL24!M31+MVTMAI24!M31+MVTJUIN24!M31+MVTJUIL24!M31+MVTAOUT24!M31+MVTSEPT24!M31+MVTOCT24!M31+MVTNOV24!M31+MVTDEC24!M31</f>
        <v>12000</v>
      </c>
      <c r="N32" s="36">
        <f>MVTJANV24!N31+MVTFEV24!N31+MVTMARS24!N31+MVTAVRIL24!N31+MVTMAI24!N31+MVTJUIN24!N31+MVTJUIL24!N31+MVTAOUT24!N31+MVTSEPT24!N31+MVTOCT24!N31+MVTNOV24!N31+MVTDEC24!N31</f>
        <v>12000</v>
      </c>
      <c r="O32" s="36">
        <f>MVTJANV24!O31+MVTFEV24!O31+MVTMARS24!O31+MVTAVRIL24!O31+MVTMAI24!O31+MVTJUIN24!O31+MVTJUIL24!O31+MVTAOUT24!O31+MVTSEPT24!O31+MVTOCT24!O31+MVTNOV24!O31+MVTDEC24!O31</f>
        <v>48000</v>
      </c>
      <c r="P32" s="36">
        <f>MVTJANV24!P31+MVTFEV24!P31+MVTMARS24!P31+MVTAVRIL24!P31+MVTMAI24!P31+MVTJUIN24!P31+MVTJUIL24!P31+MVTAOUT24!P31+MVTSEPT24!P31+MVTOCT24!P31+MVTNOV24!P31+MVTDEC24!P31</f>
        <v>0</v>
      </c>
      <c r="Q32" s="36">
        <f>MVTJANV24!Q31+MVTFEV24!Q31+MVTMARS24!Q31+MVTAVRIL24!Q31+MVTMAI24!Q31+MVTJUIN24!Q31+MVTJUIL24!Q31+MVTAOUT24!Q31+MVTSEPT24!Q31+MVTOCT24!Q31+MVTNOV24!Q31+MVTDEC24!Q31</f>
        <v>0</v>
      </c>
      <c r="R32" s="36">
        <f>MVTJANV24!R31+MVTFEV24!R31+MVTMARS24!R31+MVTAVRIL24!R31+MVTMAI24!R31+MVTJUIN24!R31+MVTJUIL24!R31+MVTAOUT24!R31+MVTSEPT24!R31+MVTOCT24!R31+MVTNOV24!R31+MVTDEC24!R31</f>
        <v>0</v>
      </c>
      <c r="S32" s="36">
        <f>MVTDEC23!S31+MVTJANV24!S31+MVTFEV24!S31+MVTMARS24!S31+MVTAVRIL24!S31+MVTMAI24!S31+MVTJUIN24!S31+MVTJUIL24!S31+MVTAOUT24!S31+MVTSEPT24!S31+MVTOCT24!S31+MVTNOV24!S31+MVTDEC24!S31</f>
        <v>1000000</v>
      </c>
      <c r="T32" s="36">
        <f>MVTDEC23!T31+MVTJANV24!T31+MVTFEV24!T31+MVTMARS24!T31+MVTAVRIL24!T31+MVTMAI24!T31+MVTJUIN24!T31+MVTJUIL24!T31+MVTAOUT24!T31+MVTSEPT24!T31+MVTOCT24!T31+MVTNOV24!T31+MVTDEC24!T31</f>
        <v>60000</v>
      </c>
      <c r="U32" s="36"/>
      <c r="V32" s="36">
        <f>MVTJANV24!V31+MVTFEV24!V31+MVTMARS24!V31+MVTAVRIL24!V31+MVTMAI24!V31+MVTJUIN24!V31+MVTJUIL24!V31+MVTAOUT24!V31+MVTSEPT24!V31+MVTOCT24!V31+MVTNOV24!V31+MVTDEC24!V31</f>
        <v>0</v>
      </c>
      <c r="W32" s="36">
        <f t="shared" si="1"/>
        <v>1000000</v>
      </c>
      <c r="X32" s="36"/>
      <c r="Y32" s="36"/>
      <c r="Z32" s="36">
        <f>MVTJANV24!Z31+MVTFEV24!Z31+MVTMARS24!Z31+MVTAVRIL24!Z31+MVTMAI24!Z31+MVTJUIN24!Z31+MVTJUIL24!Z31+MVTAOUT24!Z31+MVTSEPT24!Z31+MVTOCT24!Z31+MVTNOV24!Z31+MVTDEC24!Z31</f>
        <v>0</v>
      </c>
      <c r="AA32" s="36">
        <f>MVTJANV24!AA31+MVTFEV24!AA31+MVTMARS24!AA31+MVTAVRIL24!AA31+MVTMAI24!AA31+MVTJUIN24!AA31+MVTJUIL24!AA31+MVTAOUT24!AA31+MVTSEPT24!AA31+MVTOCT24!AA31+MVTNOV24!AA31+MVTDEC24!AA31</f>
        <v>0</v>
      </c>
      <c r="AB32" s="36">
        <f>MVTJANV24!AB31+MVTFEV24!AB31+MVTMARS24!AB31+MVTAVRIL24!AB31+MVTMAI24!AB31+MVTJUIN24!AB31+MVTJUIL24!AB31+MVTAOUT24!AB31+MVTSEPT24!AB31+MVTOCT24!AB31+MVTNOV24!AB31+MVTDEC24!AB31</f>
        <v>0</v>
      </c>
      <c r="AC32" s="36">
        <f>MVTJANV24!AC31+MVTFEV24!AC31+MVTMARS24!AC31+MVTAVRIL24!AC31+MVTMAI24!AC31+MVTJUIN24!AC31+MVTJUIL24!AC31+MVTAOUT24!AC31+MVTSEPT24!AC31+MVTOCT24!AC31+MVTNOV24!AC31+MVTDEC24!AC31</f>
        <v>0</v>
      </c>
      <c r="AD32" s="36">
        <f>MVTJANV24!AD31+MVTFEV24!AD31+MVTMARS24!AD31+MVTAVRIL24!AD31+MVTMAI24!AD31+MVTJUIN24!AD31+MVTJUIL24!AD31+MVTAOUT24!AD31+MVTSEPT24!AD31+MVTOCT24!AD31+MVTNOV24!AD31+MVTDEC24!AD31</f>
        <v>0</v>
      </c>
      <c r="AE32" s="36">
        <f>MVTJANV24!AE31+MVTFEV24!AE31+MVTMARS24!AE31+MVTAVRIL24!AE31+MVTMAI24!AE31+MVTJUIN24!AE31+MVTJUIL24!AE31+MVTAOUT24!AE31+MVTSEPT24!AE31+MVTOCT24!AE31+MVTNOV24!AE31+MVTDEC24!AE31</f>
        <v>0</v>
      </c>
      <c r="AF32" s="36">
        <f>MVTJANV24!AF31+MVTFEV24!AF31+MVTMARS24!AF31+MVTAVRIL24!AF31+MVTMAI24!AF31+MVTJUIN24!AF31+MVTJUIL24!AF31+MVTAOUT24!AF31+MVTSEPT24!AF31+MVTOCT24!AF31+MVTNOV24!AF31+MVTDEC24!AF31</f>
        <v>0</v>
      </c>
      <c r="AG32" s="36">
        <f>MVTJANV24!AG31+MVTFEV24!AG31+MVTMARS24!AG31+MVTAVRIL24!AG31+MVTMAI24!AG31+MVTJUIN24!AG31+MVTJUIL24!AG31+MVTAOUT24!AG31+MVTSEPT24!AG31+MVTOCT24!AG31+MVTNOV24!AG31+MVTDEC24!AG31</f>
        <v>0</v>
      </c>
      <c r="AH32" s="36">
        <f>MVTJANV24!AH31+MVTFEV24!AH31+MVTMARS24!AH31+MVTAVRIL24!AH31+MVTMAI24!AH31+MVTJUIN24!AH31+MVTJUIL24!AH31+MVTAOUT24!AH31+MVTSEPT24!AH31+MVTOCT24!AH31+MVTNOV24!AH31+MVTDEC24!AH31</f>
        <v>0</v>
      </c>
      <c r="AI32" s="36">
        <f>MVTJANV24!AI31+MVTFEV24!AI31+MVTMARS24!AI31+MVTAVRIL24!AI31+MVTMAI24!AI31+MVTJUIN24!AI31+MVTJUIL24!AI31+MVTAOUT24!AI31+MVTSEPT24!AI31+MVTOCT24!AI31+MVTNOV24!AI31+MVTDEC24!AI31</f>
        <v>0</v>
      </c>
      <c r="AJ32" s="36">
        <f>MVTJANV24!AJ31+MVTFEV24!AJ31+MVTMARS24!AJ31+MVTAVRIL24!AJ31+MVTMAI24!AJ31+MVTJUIN24!AJ31+MVTJUIL24!AJ31+MVTAOUT24!AJ31+MVTSEPT24!AJ31+MVTOCT24!AJ31+MVTNOV24!AJ31+MVTDEC24!AJ31</f>
        <v>0</v>
      </c>
      <c r="AK32" s="36">
        <f>MVTJANV24!AK31+MVTFEV24!AK31+MVTMARS24!AK31+MVTAVRIL24!AK31+MVTMAI24!AK31+MVTJUIN24!AK31+MVTJUIL24!AK31+MVTAOUT24!AK31+MVTSEPT24!AK31+MVTOCT24!AK31+MVTNOV24!AK31+MVTDEC24!AK31</f>
        <v>0</v>
      </c>
      <c r="AL32" s="143">
        <v>45474</v>
      </c>
      <c r="AM32" s="144">
        <f t="shared" si="2"/>
        <v>60000</v>
      </c>
      <c r="AN32" s="144"/>
      <c r="AP32" s="36"/>
    </row>
    <row r="33" spans="1:42" ht="15.75" x14ac:dyDescent="0.25">
      <c r="A33" s="1" t="s">
        <v>49</v>
      </c>
      <c r="B33" s="1" t="str">
        <f>VLOOKUP(A33,[19]LISTADHERENT!A$5:H$60,3,0)</f>
        <v>SIMO PIERRE</v>
      </c>
      <c r="C33" s="36">
        <f>+MVTDEC23!C32</f>
        <v>700000</v>
      </c>
      <c r="D33" s="36">
        <f>+MVTDEC23!D32</f>
        <v>686.61218299972825</v>
      </c>
      <c r="E33" s="36">
        <f>VLOOKUP($A33,[24]HISTOJANV24!$A$6:$BA$38,48,0)</f>
        <v>0</v>
      </c>
      <c r="F33" s="36">
        <f>MVTDEC24!F32</f>
        <v>976243.98131057119</v>
      </c>
      <c r="G33" s="5">
        <f>MVTDEC24!G32</f>
        <v>976243.98131057119</v>
      </c>
      <c r="H33" s="36">
        <f>MVTDEC23!H32+MVTJANV24!H32+MVTFEV24!H32+MVTMARS24!H32+MVTAVRIL24!H32+MVTMAI24!H32+MVTJUIN24!H32+MVTJUIL24!H32+MVTAOUT24!H32+MVTSEPT24!H32+MVTOCT24!H32+MVTNOV24!H32+MVTDEC24!H32</f>
        <v>47557.369127571357</v>
      </c>
      <c r="I33" s="6">
        <f t="shared" si="0"/>
        <v>1023801.3504381425</v>
      </c>
      <c r="J33" s="36">
        <f>MVTJANV24!J32+MVTFEV24!J32+MVTMARS24!J32+MVTAVRIL24!J32+MVTMAI24!J32+MVTJUIN24!J32+MVTJUIL24!J32+MVTAOUT24!J32+MVTSEPT24!J32+MVTOCT24!J32+MVTNOV24!J32+MVTDEC24!J32</f>
        <v>0</v>
      </c>
      <c r="K33" s="36">
        <f>MVTJANV24!K32+MVTFEV24!K32+MVTMARS24!K32+MVTAVRIL24!K32+MVTMAI24!K32+MVTJUIN24!K32+MVTJUIL24!K32+MVTAOUT24!K32+MVTSEPT24!K32+MVTOCT24!K32+MVTNOV24!K32+MVTDEC24!K32</f>
        <v>300000</v>
      </c>
      <c r="L33" s="36">
        <f>MVTJANV24!L32+MVTFEV24!L32+MVTMARS24!L32+MVTAVRIL24!L32+MVTMAI24!L32+MVTJUIN24!L32+MVTJUIL24!L32+MVTAOUT24!L32+MVTSEPT24!L32+MVTOCT24!L32+MVTNOV24!L32+MVTDEC24!L32</f>
        <v>228000</v>
      </c>
      <c r="M33" s="36">
        <f>MVTJANV24!M32+MVTFEV24!M32+MVTMARS24!M32+MVTAVRIL24!M32+MVTMAI24!M32+MVTJUIN24!M32+MVTJUIL24!M32+MVTAOUT24!M32+MVTSEPT24!M32+MVTOCT24!M32+MVTNOV24!M32+MVTDEC24!M32</f>
        <v>12000</v>
      </c>
      <c r="N33" s="36">
        <f>MVTJANV24!N32+MVTFEV24!N32+MVTMARS24!N32+MVTAVRIL24!N32+MVTMAI24!N32+MVTJUIN24!N32+MVTJUIL24!N32+MVTAOUT24!N32+MVTSEPT24!N32+MVTOCT24!N32+MVTNOV24!N32+MVTDEC24!N32</f>
        <v>12000</v>
      </c>
      <c r="O33" s="36">
        <f>MVTJANV24!O32+MVTFEV24!O32+MVTMARS24!O32+MVTAVRIL24!O32+MVTMAI24!O32+MVTJUIN24!O32+MVTJUIL24!O32+MVTAOUT24!O32+MVTSEPT24!O32+MVTOCT24!O32+MVTNOV24!O32+MVTDEC24!O32</f>
        <v>48000</v>
      </c>
      <c r="P33" s="36">
        <f>MVTJANV24!P32+MVTFEV24!P32+MVTMARS24!P32+MVTAVRIL24!P32+MVTMAI24!P32+MVTJUIN24!P32+MVTJUIL24!P32+MVTAOUT24!P32+MVTSEPT24!P32+MVTOCT24!P32+MVTNOV24!P32+MVTDEC24!P32</f>
        <v>0</v>
      </c>
      <c r="Q33" s="36">
        <f>MVTJANV24!Q32+MVTFEV24!Q32+MVTMARS24!Q32+MVTAVRIL24!Q32+MVTMAI24!Q32+MVTJUIN24!Q32+MVTJUIL24!Q32+MVTAOUT24!Q32+MVTSEPT24!Q32+MVTOCT24!Q32+MVTNOV24!Q32+MVTDEC24!Q32</f>
        <v>0</v>
      </c>
      <c r="R33" s="36">
        <f>MVTJANV24!R32+MVTFEV24!R32+MVTMARS24!R32+MVTAVRIL24!R32+MVTMAI24!R32+MVTJUIN24!R32+MVTJUIL24!R32+MVTAOUT24!R32+MVTSEPT24!R32+MVTOCT24!R32+MVTNOV24!R32+MVTDEC24!R32</f>
        <v>0</v>
      </c>
      <c r="S33" s="36">
        <f>MVTDEC23!S32+MVTJANV24!S32+MVTFEV24!S32+MVTMARS24!S32+MVTAVRIL24!S32+MVTMAI24!S32+MVTJUIN24!S32+MVTJUIL24!S32+MVTAOUT24!S32+MVTSEPT24!S32+MVTOCT24!S32+MVTNOV24!S32+MVTDEC24!S32</f>
        <v>1250000</v>
      </c>
      <c r="T33" s="36">
        <f>MVTDEC23!T32+MVTJANV24!T32+MVTFEV24!T32+MVTMARS24!T32+MVTAVRIL24!T32+MVTMAI24!T32+MVTJUIN24!T32+MVTJUIL24!T32+MVTAOUT24!T32+MVTSEPT24!T32+MVTOCT24!T32+MVTNOV24!T32+MVTDEC24!T32</f>
        <v>45000</v>
      </c>
      <c r="U33" s="36"/>
      <c r="V33" s="36">
        <f>MVTJANV24!V32+MVTFEV24!V32+MVTMARS24!V32+MVTAVRIL24!V32+MVTMAI24!V32+MVTJUIN24!V32+MVTJUIL24!V32+MVTAOUT24!V32+MVTSEPT24!V32+MVTOCT24!V32+MVTNOV24!V32+MVTDEC24!V32</f>
        <v>250000</v>
      </c>
      <c r="W33" s="36">
        <f t="shared" si="1"/>
        <v>1000000</v>
      </c>
      <c r="X33" s="36"/>
      <c r="Y33" s="36"/>
      <c r="Z33" s="36">
        <f>MVTJANV24!Z32+MVTFEV24!Z32+MVTMARS24!Z32+MVTAVRIL24!Z32+MVTMAI24!Z32+MVTJUIN24!Z32+MVTJUIL24!Z32+MVTAOUT24!Z32+MVTSEPT24!Z32+MVTOCT24!Z32+MVTNOV24!Z32+MVTDEC24!Z32</f>
        <v>0</v>
      </c>
      <c r="AA33" s="36">
        <f>MVTJANV24!AA32+MVTFEV24!AA32+MVTMARS24!AA32+MVTAVRIL24!AA32+MVTMAI24!AA32+MVTJUIN24!AA32+MVTJUIL24!AA32+MVTAOUT24!AA32+MVTSEPT24!AA32+MVTOCT24!AA32+MVTNOV24!AA32+MVTDEC24!AA32</f>
        <v>0</v>
      </c>
      <c r="AB33" s="36">
        <f>MVTJANV24!AB32+MVTFEV24!AB32+MVTMARS24!AB32+MVTAVRIL24!AB32+MVTMAI24!AB32+MVTJUIN24!AB32+MVTJUIL24!AB32+MVTAOUT24!AB32+MVTSEPT24!AB32+MVTOCT24!AB32+MVTNOV24!AB32+MVTDEC24!AB32</f>
        <v>0</v>
      </c>
      <c r="AC33" s="36">
        <f>MVTJANV24!AC32+MVTFEV24!AC32+MVTMARS24!AC32+MVTAVRIL24!AC32+MVTMAI24!AC32+MVTJUIN24!AC32+MVTJUIL24!AC32+MVTAOUT24!AC32+MVTSEPT24!AC32+MVTOCT24!AC32+MVTNOV24!AC32+MVTDEC24!AC32</f>
        <v>0</v>
      </c>
      <c r="AD33" s="36">
        <f>MVTJANV24!AD32+MVTFEV24!AD32+MVTMARS24!AD32+MVTAVRIL24!AD32+MVTMAI24!AD32+MVTJUIN24!AD32+MVTJUIL24!AD32+MVTAOUT24!AD32+MVTSEPT24!AD32+MVTOCT24!AD32+MVTNOV24!AD32+MVTDEC24!AD32</f>
        <v>0</v>
      </c>
      <c r="AE33" s="36">
        <f>MVTJANV24!AE32+MVTFEV24!AE32+MVTMARS24!AE32+MVTAVRIL24!AE32+MVTMAI24!AE32+MVTJUIN24!AE32+MVTJUIL24!AE32+MVTAOUT24!AE32+MVTSEPT24!AE32+MVTOCT24!AE32+MVTNOV24!AE32+MVTDEC24!AE32</f>
        <v>0</v>
      </c>
      <c r="AF33" s="36">
        <f>MVTJANV24!AF32+MVTFEV24!AF32+MVTMARS24!AF32+MVTAVRIL24!AF32+MVTMAI24!AF32+MVTJUIN24!AF32+MVTJUIL24!AF32+MVTAOUT24!AF32+MVTSEPT24!AF32+MVTOCT24!AF32+MVTNOV24!AF32+MVTDEC24!AF32</f>
        <v>0</v>
      </c>
      <c r="AG33" s="36">
        <f>MVTJANV24!AG32+MVTFEV24!AG32+MVTMARS24!AG32+MVTAVRIL24!AG32+MVTMAI24!AG32+MVTJUIN24!AG32+MVTJUIL24!AG32+MVTAOUT24!AG32+MVTSEPT24!AG32+MVTOCT24!AG32+MVTNOV24!AG32+MVTDEC24!AG32</f>
        <v>0</v>
      </c>
      <c r="AH33" s="36">
        <f>MVTJANV24!AH32+MVTFEV24!AH32+MVTMARS24!AH32+MVTAVRIL24!AH32+MVTMAI24!AH32+MVTJUIN24!AH32+MVTJUIL24!AH32+MVTAOUT24!AH32+MVTSEPT24!AH32+MVTOCT24!AH32+MVTNOV24!AH32+MVTDEC24!AH32</f>
        <v>0</v>
      </c>
      <c r="AI33" s="36">
        <f>MVTJANV24!AI32+MVTFEV24!AI32+MVTMARS24!AI32+MVTAVRIL24!AI32+MVTMAI24!AI32+MVTJUIN24!AI32+MVTJUIL24!AI32+MVTAOUT24!AI32+MVTSEPT24!AI32+MVTOCT24!AI32+MVTNOV24!AI32+MVTDEC24!AI32</f>
        <v>0</v>
      </c>
      <c r="AJ33" s="36">
        <f>MVTJANV24!AJ32+MVTFEV24!AJ32+MVTMARS24!AJ32+MVTAVRIL24!AJ32+MVTMAI24!AJ32+MVTJUIN24!AJ32+MVTJUIL24!AJ32+MVTAOUT24!AJ32+MVTSEPT24!AJ32+MVTOCT24!AJ32+MVTNOV24!AJ32+MVTDEC24!AJ32</f>
        <v>0</v>
      </c>
      <c r="AK33" s="36">
        <f>MVTJANV24!AK32+MVTFEV24!AK32+MVTMARS24!AK32+MVTAVRIL24!AK32+MVTMAI24!AK32+MVTJUIN24!AK32+MVTJUIL24!AK32+MVTAOUT24!AK32+MVTSEPT24!AK32+MVTOCT24!AK32+MVTNOV24!AK32+MVTDEC24!AK32</f>
        <v>0</v>
      </c>
      <c r="AL33" s="143">
        <v>45474</v>
      </c>
      <c r="AM33" s="144">
        <f t="shared" si="2"/>
        <v>45000</v>
      </c>
      <c r="AN33" s="144"/>
      <c r="AP33" s="36"/>
    </row>
    <row r="34" spans="1:42" ht="15.75" x14ac:dyDescent="0.25">
      <c r="A34" s="1" t="s">
        <v>51</v>
      </c>
      <c r="B34" s="1" t="str">
        <f>VLOOKUP(A34,[19]LISTADHERENT!A$5:H$60,3,0)</f>
        <v>TCHOUAMOU MATHIEU</v>
      </c>
      <c r="C34" s="36">
        <f>+MVTDEC23!C33</f>
        <v>700000</v>
      </c>
      <c r="D34" s="36">
        <f>+MVTDEC23!D33</f>
        <v>975.80620651689242</v>
      </c>
      <c r="E34" s="36">
        <f>VLOOKUP($A34,[24]HISTOJANV24!$A$6:$BA$38,48,0)</f>
        <v>0</v>
      </c>
      <c r="F34" s="36">
        <f>MVTDEC24!F33</f>
        <v>976552.64928596013</v>
      </c>
      <c r="G34" s="5">
        <f>MVTDEC24!G33</f>
        <v>976552.64928596013</v>
      </c>
      <c r="H34" s="36">
        <f>MVTDEC23!H33+MVTJANV24!H33+MVTFEV24!H33+MVTMARS24!H33+MVTAVRIL24!H33+MVTMAI24!H33+MVTJUIN24!H33+MVTJUIL24!H33+MVTAOUT24!H33+MVTSEPT24!H33+MVTOCT24!H33+MVTNOV24!H33+MVTDEC24!H33</f>
        <v>47576.843079443228</v>
      </c>
      <c r="I34" s="6">
        <f t="shared" si="0"/>
        <v>1024129.4923654033</v>
      </c>
      <c r="J34" s="36">
        <f>MVTJANV24!J33+MVTFEV24!J33+MVTMARS24!J33+MVTAVRIL24!J33+MVTMAI24!J33+MVTJUIN24!J33+MVTJUIL24!J33+MVTAOUT24!J33+MVTSEPT24!J33+MVTOCT24!J33+MVTNOV24!J33+MVTDEC24!J33</f>
        <v>0</v>
      </c>
      <c r="K34" s="36">
        <f>MVTJANV24!K33+MVTFEV24!K33+MVTMARS24!K33+MVTAVRIL24!K33+MVTMAI24!K33+MVTJUIN24!K33+MVTJUIL24!K33+MVTAOUT24!K33+MVTSEPT24!K33+MVTOCT24!K33+MVTNOV24!K33+MVTDEC24!K33</f>
        <v>300000</v>
      </c>
      <c r="L34" s="36">
        <f>MVTJANV24!L33+MVTFEV24!L33+MVTMARS24!L33+MVTAVRIL24!L33+MVTMAI24!L33+MVTJUIN24!L33+MVTJUIL24!L33+MVTAOUT24!L33+MVTSEPT24!L33+MVTOCT24!L33+MVTNOV24!L33+MVTDEC24!L33</f>
        <v>228000</v>
      </c>
      <c r="M34" s="36">
        <f>MVTJANV24!M33+MVTFEV24!M33+MVTMARS24!M33+MVTAVRIL24!M33+MVTMAI24!M33+MVTJUIN24!M33+MVTJUIL24!M33+MVTAOUT24!M33+MVTSEPT24!M33+MVTOCT24!M33+MVTNOV24!M33+MVTDEC24!M33</f>
        <v>12000</v>
      </c>
      <c r="N34" s="36">
        <f>MVTJANV24!N33+MVTFEV24!N33+MVTMARS24!N33+MVTAVRIL24!N33+MVTMAI24!N33+MVTJUIN24!N33+MVTJUIL24!N33+MVTAOUT24!N33+MVTSEPT24!N33+MVTOCT24!N33+MVTNOV24!N33+MVTDEC24!N33</f>
        <v>12000</v>
      </c>
      <c r="O34" s="36">
        <f>MVTJANV24!O33+MVTFEV24!O33+MVTMARS24!O33+MVTAVRIL24!O33+MVTMAI24!O33+MVTJUIN24!O33+MVTJUIL24!O33+MVTAOUT24!O33+MVTSEPT24!O33+MVTOCT24!O33+MVTNOV24!O33+MVTDEC24!O33</f>
        <v>48000</v>
      </c>
      <c r="P34" s="36">
        <f>MVTJANV24!P33+MVTFEV24!P33+MVTMARS24!P33+MVTAVRIL24!P33+MVTMAI24!P33+MVTJUIN24!P33+MVTJUIL24!P33+MVTAOUT24!P33+MVTSEPT24!P33+MVTOCT24!P33+MVTNOV24!P33+MVTDEC24!P33</f>
        <v>0</v>
      </c>
      <c r="Q34" s="36">
        <f>MVTJANV24!Q33+MVTFEV24!Q33+MVTMARS24!Q33+MVTAVRIL24!Q33+MVTMAI24!Q33+MVTJUIN24!Q33+MVTJUIL24!Q33+MVTAOUT24!Q33+MVTSEPT24!Q33+MVTOCT24!Q33+MVTNOV24!Q33+MVTDEC24!Q33</f>
        <v>0</v>
      </c>
      <c r="R34" s="36">
        <f>MVTJANV24!R33+MVTFEV24!R33+MVTMARS24!R33+MVTAVRIL24!R33+MVTMAI24!R33+MVTJUIN24!R33+MVTJUIL24!R33+MVTAOUT24!R33+MVTSEPT24!R33+MVTOCT24!R33+MVTNOV24!R33+MVTDEC24!R33</f>
        <v>0</v>
      </c>
      <c r="S34" s="36">
        <f>MVTDEC23!S33+MVTJANV24!S33+MVTFEV24!S33+MVTMARS24!S33+MVTAVRIL24!S33+MVTMAI24!S33+MVTJUIN24!S33+MVTJUIL24!S33+MVTAOUT24!S33+MVTSEPT24!S33+MVTOCT24!S33+MVTNOV24!S33+MVTDEC24!S33</f>
        <v>1000000</v>
      </c>
      <c r="T34" s="36">
        <f>MVTDEC23!T33+MVTJANV24!T33+MVTFEV24!T33+MVTMARS24!T33+MVTAVRIL24!T33+MVTMAI24!T33+MVTJUIN24!T33+MVTJUIL24!T33+MVTAOUT24!T33+MVTSEPT24!T33+MVTOCT24!T33+MVTNOV24!T33+MVTDEC24!T33</f>
        <v>60000</v>
      </c>
      <c r="U34" s="36"/>
      <c r="V34" s="36">
        <f>MVTJANV24!V33+MVTFEV24!V33+MVTMARS24!V33+MVTAVRIL24!V33+MVTMAI24!V33+MVTJUIN24!V33+MVTJUIL24!V33+MVTAOUT24!V33+MVTSEPT24!V33+MVTOCT24!V33+MVTNOV24!V33+MVTDEC24!V33</f>
        <v>0</v>
      </c>
      <c r="W34" s="36">
        <f t="shared" si="1"/>
        <v>1000000</v>
      </c>
      <c r="X34" s="36"/>
      <c r="Y34" s="36"/>
      <c r="Z34" s="36">
        <f>MVTJANV24!Z33+MVTFEV24!Z33+MVTMARS24!Z33+MVTAVRIL24!Z33+MVTMAI24!Z33+MVTJUIN24!Z33+MVTJUIL24!Z33+MVTAOUT24!Z33+MVTSEPT24!Z33+MVTOCT24!Z33+MVTNOV24!Z33+MVTDEC24!Z33</f>
        <v>0</v>
      </c>
      <c r="AA34" s="36">
        <f>MVTJANV24!AA33+MVTFEV24!AA33+MVTMARS24!AA33+MVTAVRIL24!AA33+MVTMAI24!AA33+MVTJUIN24!AA33+MVTJUIL24!AA33+MVTAOUT24!AA33+MVTSEPT24!AA33+MVTOCT24!AA33+MVTNOV24!AA33+MVTDEC24!AA33</f>
        <v>0</v>
      </c>
      <c r="AB34" s="36">
        <f>MVTJANV24!AB33+MVTFEV24!AB33+MVTMARS24!AB33+MVTAVRIL24!AB33+MVTMAI24!AB33+MVTJUIN24!AB33+MVTJUIL24!AB33+MVTAOUT24!AB33+MVTSEPT24!AB33+MVTOCT24!AB33+MVTNOV24!AB33+MVTDEC24!AB33</f>
        <v>0</v>
      </c>
      <c r="AC34" s="36">
        <f>MVTJANV24!AC33+MVTFEV24!AC33+MVTMARS24!AC33+MVTAVRIL24!AC33+MVTMAI24!AC33+MVTJUIN24!AC33+MVTJUIL24!AC33+MVTAOUT24!AC33+MVTSEPT24!AC33+MVTOCT24!AC33+MVTNOV24!AC33+MVTDEC24!AC33</f>
        <v>0</v>
      </c>
      <c r="AD34" s="36">
        <f>MVTJANV24!AD33+MVTFEV24!AD33+MVTMARS24!AD33+MVTAVRIL24!AD33+MVTMAI24!AD33+MVTJUIN24!AD33+MVTJUIL24!AD33+MVTAOUT24!AD33+MVTSEPT24!AD33+MVTOCT24!AD33+MVTNOV24!AD33+MVTDEC24!AD33</f>
        <v>0</v>
      </c>
      <c r="AE34" s="36">
        <f>MVTJANV24!AE33+MVTFEV24!AE33+MVTMARS24!AE33+MVTAVRIL24!AE33+MVTMAI24!AE33+MVTJUIN24!AE33+MVTJUIL24!AE33+MVTAOUT24!AE33+MVTSEPT24!AE33+MVTOCT24!AE33+MVTNOV24!AE33+MVTDEC24!AE33</f>
        <v>0</v>
      </c>
      <c r="AF34" s="36">
        <f>MVTJANV24!AF33+MVTFEV24!AF33+MVTMARS24!AF33+MVTAVRIL24!AF33+MVTMAI24!AF33+MVTJUIN24!AF33+MVTJUIL24!AF33+MVTAOUT24!AF33+MVTSEPT24!AF33+MVTOCT24!AF33+MVTNOV24!AF33+MVTDEC24!AF33</f>
        <v>0</v>
      </c>
      <c r="AG34" s="36">
        <f>MVTJANV24!AG33+MVTFEV24!AG33+MVTMARS24!AG33+MVTAVRIL24!AG33+MVTMAI24!AG33+MVTJUIN24!AG33+MVTJUIL24!AG33+MVTAOUT24!AG33+MVTSEPT24!AG33+MVTOCT24!AG33+MVTNOV24!AG33+MVTDEC24!AG33</f>
        <v>0</v>
      </c>
      <c r="AH34" s="36">
        <f>MVTJANV24!AH33+MVTFEV24!AH33+MVTMARS24!AH33+MVTAVRIL24!AH33+MVTMAI24!AH33+MVTJUIN24!AH33+MVTJUIL24!AH33+MVTAOUT24!AH33+MVTSEPT24!AH33+MVTOCT24!AH33+MVTNOV24!AH33+MVTDEC24!AH33</f>
        <v>0</v>
      </c>
      <c r="AI34" s="36">
        <f>MVTJANV24!AI33+MVTFEV24!AI33+MVTMARS24!AI33+MVTAVRIL24!AI33+MVTMAI24!AI33+MVTJUIN24!AI33+MVTJUIL24!AI33+MVTAOUT24!AI33+MVTSEPT24!AI33+MVTOCT24!AI33+MVTNOV24!AI33+MVTDEC24!AI33</f>
        <v>0</v>
      </c>
      <c r="AJ34" s="36">
        <f>MVTJANV24!AJ33+MVTFEV24!AJ33+MVTMARS24!AJ33+MVTAVRIL24!AJ33+MVTMAI24!AJ33+MVTJUIN24!AJ33+MVTJUIL24!AJ33+MVTAOUT24!AJ33+MVTSEPT24!AJ33+MVTOCT24!AJ33+MVTNOV24!AJ33+MVTDEC24!AJ33</f>
        <v>0</v>
      </c>
      <c r="AK34" s="36">
        <f>MVTJANV24!AK33+MVTFEV24!AK33+MVTMARS24!AK33+MVTAVRIL24!AK33+MVTMAI24!AK33+MVTJUIN24!AK33+MVTJUIL24!AK33+MVTAOUT24!AK33+MVTSEPT24!AK33+MVTOCT24!AK33+MVTNOV24!AK33+MVTDEC24!AK33</f>
        <v>0</v>
      </c>
      <c r="AL34" s="143">
        <v>45474</v>
      </c>
      <c r="AM34" s="144">
        <f t="shared" si="2"/>
        <v>60000</v>
      </c>
      <c r="AN34" s="144"/>
      <c r="AO34" s="36"/>
      <c r="AP34" s="36"/>
    </row>
    <row r="35" spans="1:42" ht="15.75" x14ac:dyDescent="0.25">
      <c r="A35" s="1" t="s">
        <v>328</v>
      </c>
      <c r="B35" s="1" t="str">
        <f>VLOOKUP(A35,[19]LISTADHERENT!A$5:H$60,3,0)</f>
        <v>TCHOUATEU AUGUSTIN</v>
      </c>
      <c r="C35" s="36">
        <f>+MVTDEC23!C34</f>
        <v>0</v>
      </c>
      <c r="D35" s="36">
        <f>+MVTDEC23!D34</f>
        <v>0</v>
      </c>
      <c r="E35" s="36">
        <f>VLOOKUP($A35,[24]HISTOJANV24!$A$6:$BA$38,48,0)</f>
        <v>0</v>
      </c>
      <c r="F35" s="36">
        <f>MVTDEC24!F34</f>
        <v>633000</v>
      </c>
      <c r="G35" s="5">
        <f>MVTDEC24!G34</f>
        <v>0</v>
      </c>
      <c r="H35" s="36">
        <f>MVTDEC23!H34+MVTJANV24!H34+MVTFEV24!H34+MVTMARS24!H34+MVTAVRIL24!H34+MVTMAI24!H34+MVTJUIN24!H34+MVTJUIL24!H34+MVTAOUT24!H34+MVTSEPT24!H34+MVTOCT24!H34+MVTNOV24!H34+MVTDEC24!H34</f>
        <v>0</v>
      </c>
      <c r="I35" s="6">
        <f t="shared" si="0"/>
        <v>633000</v>
      </c>
      <c r="J35" s="36">
        <f>MVTJANV24!J34+MVTFEV24!J34+MVTMARS24!J34+MVTAVRIL24!J34+MVTMAI24!J34+MVTJUIN24!J34+MVTJUIL24!J34+MVTAOUT24!J34+MVTSEPT24!J34+MVTOCT24!J34+MVTNOV24!J34+MVTDEC24!J34</f>
        <v>0</v>
      </c>
      <c r="K35" s="36">
        <f>MVTJANV24!K34+MVTFEV24!K34+MVTMARS24!K34+MVTAVRIL24!K34+MVTMAI24!K34+MVTJUIN24!K34+MVTJUIL24!K34+MVTAOUT24!K34+MVTSEPT24!K34+MVTOCT24!K34+MVTNOV24!K34+MVTDEC24!K34</f>
        <v>705000</v>
      </c>
      <c r="L35" s="36">
        <f>MVTJANV24!L34+MVTFEV24!L34+MVTMARS24!L34+MVTAVRIL24!L34+MVTMAI24!L34+MVTJUIN24!L34+MVTJUIL24!L34+MVTAOUT24!L34+MVTSEPT24!L34+MVTOCT24!L34+MVTNOV24!L34+MVTDEC24!L34</f>
        <v>633000</v>
      </c>
      <c r="M35" s="36">
        <f>MVTJANV24!M34+MVTFEV24!M34+MVTMARS24!M34+MVTAVRIL24!M34+MVTMAI24!M34+MVTJUIN24!M34+MVTJUIL24!M34+MVTAOUT24!M34+MVTSEPT24!M34+MVTOCT24!M34+MVTNOV24!M34+MVTDEC24!M34</f>
        <v>12000</v>
      </c>
      <c r="N35" s="36">
        <f>MVTJANV24!N34+MVTFEV24!N34+MVTMARS24!N34+MVTAVRIL24!N34+MVTMAI24!N34+MVTJUIN24!N34+MVTJUIL24!N34+MVTAOUT24!N34+MVTSEPT24!N34+MVTOCT24!N34+MVTNOV24!N34+MVTDEC24!N34</f>
        <v>12000</v>
      </c>
      <c r="O35" s="36">
        <f>MVTJANV24!O34+MVTFEV24!O34+MVTMARS24!O34+MVTAVRIL24!O34+MVTMAI24!O34+MVTJUIN24!O34+MVTJUIL24!O34+MVTAOUT24!O34+MVTSEPT24!O34+MVTOCT24!O34+MVTNOV24!O34+MVTDEC24!O34</f>
        <v>48000</v>
      </c>
      <c r="P35" s="36">
        <f>MVTJANV24!P34+MVTFEV24!P34+MVTMARS24!P34+MVTAVRIL24!P34+MVTMAI24!P34+MVTJUIN24!P34+MVTJUIL24!P34+MVTAOUT24!P34+MVTSEPT24!P34+MVTOCT24!P34+MVTNOV24!P34+MVTDEC24!P34</f>
        <v>0</v>
      </c>
      <c r="Q35" s="36">
        <f>MVTJANV24!Q34+MVTFEV24!Q34+MVTMARS24!Q34+MVTAVRIL24!Q34+MVTMAI24!Q34+MVTJUIN24!Q34+MVTJUIL24!Q34+MVTAOUT24!Q34+MVTSEPT24!Q34+MVTOCT24!Q34+MVTNOV24!Q34+MVTDEC24!Q34</f>
        <v>25000</v>
      </c>
      <c r="R35" s="36">
        <f>MVTJANV24!R34+MVTFEV24!R34+MVTMARS24!R34+MVTAVRIL24!R34+MVTMAI24!R34+MVTJUIN24!R34+MVTJUIL24!R34+MVTAOUT24!R34+MVTSEPT24!R34+MVTOCT24!R34+MVTNOV24!R34+MVTDEC24!R34</f>
        <v>120000</v>
      </c>
      <c r="S35" s="36">
        <f>MVTDEC23!S34+MVTJANV24!S34+MVTFEV24!S34+MVTMARS24!S34+MVTAVRIL24!S34+MVTMAI24!S34+MVTJUIN24!S34+MVTJUIL24!S34+MVTAOUT24!S34+MVTSEPT24!S34+MVTOCT24!S34+MVTNOV24!S34+MVTDEC24!S34</f>
        <v>0</v>
      </c>
      <c r="T35" s="36">
        <f>MVTDEC23!T34+MVTJANV24!T34+MVTFEV24!T34+MVTMARS24!T34+MVTAVRIL24!T34+MVTMAI24!T34+MVTJUIN24!T34+MVTJUIL24!T34+MVTAOUT24!T34+MVTSEPT24!T34+MVTOCT24!T34+MVTNOV24!T34+MVTDEC24!T34</f>
        <v>0</v>
      </c>
      <c r="U35" s="36"/>
      <c r="V35" s="36">
        <f>MVTJANV24!V34+MVTFEV24!V34+MVTMARS24!V34+MVTAVRIL24!V34+MVTMAI24!V34+MVTJUIN24!V34+MVTJUIL24!V34+MVTAOUT24!V34+MVTSEPT24!V34+MVTOCT24!V34+MVTNOV24!V34+MVTDEC24!V34</f>
        <v>0</v>
      </c>
      <c r="W35" s="36">
        <f t="shared" si="1"/>
        <v>0</v>
      </c>
      <c r="X35" s="36"/>
      <c r="Y35" s="36"/>
      <c r="Z35" s="36">
        <f>MVTJANV24!Z34+MVTFEV24!Z34+MVTMARS24!Z34+MVTAVRIL24!Z34+MVTMAI24!Z34+MVTJUIN24!Z34+MVTJUIL24!Z34+MVTAOUT24!Z34+MVTSEPT24!Z34+MVTOCT24!Z34+MVTNOV24!Z34+MVTDEC24!Z34</f>
        <v>0</v>
      </c>
      <c r="AA35" s="36">
        <f>MVTJANV24!AA34+MVTFEV24!AA34+MVTMARS24!AA34+MVTAVRIL24!AA34+MVTMAI24!AA34+MVTJUIN24!AA34+MVTJUIL24!AA34+MVTAOUT24!AA34+MVTSEPT24!AA34+MVTOCT24!AA34+MVTNOV24!AA34+MVTDEC24!AA34</f>
        <v>0</v>
      </c>
      <c r="AB35" s="36">
        <f>MVTJANV24!AB34+MVTFEV24!AB34+MVTMARS24!AB34+MVTAVRIL24!AB34+MVTMAI24!AB34+MVTJUIN24!AB34+MVTJUIL24!AB34+MVTAOUT24!AB34+MVTSEPT24!AB34+MVTOCT24!AB34+MVTNOV24!AB34+MVTDEC24!AB34</f>
        <v>0</v>
      </c>
      <c r="AC35" s="36">
        <f>MVTJANV24!AC34+MVTFEV24!AC34+MVTMARS24!AC34+MVTAVRIL24!AC34+MVTMAI24!AC34+MVTJUIN24!AC34+MVTJUIL24!AC34+MVTAOUT24!AC34+MVTSEPT24!AC34+MVTOCT24!AC34+MVTNOV24!AC34+MVTDEC24!AC34</f>
        <v>0</v>
      </c>
      <c r="AD35" s="36">
        <f>MVTJANV24!AD34+MVTFEV24!AD34+MVTMARS24!AD34+MVTAVRIL24!AD34+MVTMAI24!AD34+MVTJUIN24!AD34+MVTJUIL24!AD34+MVTAOUT24!AD34+MVTSEPT24!AD34+MVTOCT24!AD34+MVTNOV24!AD34+MVTDEC24!AD34</f>
        <v>0</v>
      </c>
      <c r="AE35" s="36">
        <f>MVTJANV24!AE34+MVTFEV24!AE34+MVTMARS24!AE34+MVTAVRIL24!AE34+MVTMAI24!AE34+MVTJUIN24!AE34+MVTJUIL24!AE34+MVTAOUT24!AE34+MVTSEPT24!AE34+MVTOCT24!AE34+MVTNOV24!AE34+MVTDEC24!AE34</f>
        <v>0</v>
      </c>
      <c r="AF35" s="36">
        <f>MVTJANV24!AF34+MVTFEV24!AF34+MVTMARS24!AF34+MVTAVRIL24!AF34+MVTMAI24!AF34+MVTJUIN24!AF34+MVTJUIL24!AF34+MVTAOUT24!AF34+MVTSEPT24!AF34+MVTOCT24!AF34+MVTNOV24!AF34+MVTDEC24!AF34</f>
        <v>0</v>
      </c>
      <c r="AG35" s="36">
        <f>MVTJANV24!AG34+MVTFEV24!AG34+MVTMARS24!AG34+MVTAVRIL24!AG34+MVTMAI24!AG34+MVTJUIN24!AG34+MVTJUIL24!AG34+MVTAOUT24!AG34+MVTSEPT24!AG34+MVTOCT24!AG34+MVTNOV24!AG34+MVTDEC24!AG34</f>
        <v>0</v>
      </c>
      <c r="AH35" s="36">
        <f>MVTJANV24!AH34+MVTFEV24!AH34+MVTMARS24!AH34+MVTAVRIL24!AH34+MVTMAI24!AH34+MVTJUIN24!AH34+MVTJUIL24!AH34+MVTAOUT24!AH34+MVTSEPT24!AH34+MVTOCT24!AH34+MVTNOV24!AH34+MVTDEC24!AH34</f>
        <v>0</v>
      </c>
      <c r="AI35" s="36">
        <f>MVTJANV24!AI34+MVTFEV24!AI34+MVTMARS24!AI34+MVTAVRIL24!AI34+MVTMAI24!AI34+MVTJUIN24!AI34+MVTJUIL24!AI34+MVTAOUT24!AI34+MVTSEPT24!AI34+MVTOCT24!AI34+MVTNOV24!AI34+MVTDEC24!AI34</f>
        <v>0</v>
      </c>
      <c r="AJ35" s="36">
        <f>MVTJANV24!AJ34+MVTFEV24!AJ34+MVTMARS24!AJ34+MVTAVRIL24!AJ34+MVTMAI24!AJ34+MVTJUIN24!AJ34+MVTJUIL24!AJ34+MVTAOUT24!AJ34+MVTSEPT24!AJ34+MVTOCT24!AJ34+MVTNOV24!AJ34+MVTDEC24!AJ34</f>
        <v>0</v>
      </c>
      <c r="AK35" s="36">
        <f>MVTJANV24!AK34+MVTFEV24!AK34+MVTMARS24!AK34+MVTAVRIL24!AK34+MVTMAI24!AK34+MVTJUIN24!AK34+MVTJUIL24!AK34+MVTAOUT24!AK34+MVTSEPT24!AK34+MVTOCT24!AK34+MVTNOV24!AK34+MVTDEC24!AK34</f>
        <v>0</v>
      </c>
      <c r="AL35" s="143"/>
      <c r="AM35" s="144">
        <f t="shared" si="2"/>
        <v>0</v>
      </c>
      <c r="AN35" s="144"/>
      <c r="AP35" s="36"/>
    </row>
    <row r="36" spans="1:42" ht="15.75" x14ac:dyDescent="0.25">
      <c r="A36" s="1" t="s">
        <v>53</v>
      </c>
      <c r="B36" s="1" t="str">
        <f>VLOOKUP(A36,[19]LISTADHERENT!A$5:H$60,3,0)</f>
        <v>TCHOUTOU NANA CLAUDE</v>
      </c>
      <c r="C36" s="36">
        <f>+MVTDEC23!C35</f>
        <v>0</v>
      </c>
      <c r="D36" s="36">
        <f>+MVTDEC23!D35</f>
        <v>103000</v>
      </c>
      <c r="E36" s="36">
        <f>VLOOKUP($A36,[24]HISTOJANV24!$A$6:$BA$38,48,0)</f>
        <v>0</v>
      </c>
      <c r="F36" s="36">
        <f>MVTDEC24!F35</f>
        <v>328000</v>
      </c>
      <c r="G36" s="5">
        <f>MVTDEC24!G35</f>
        <v>0</v>
      </c>
      <c r="H36" s="36">
        <f>MVTDEC23!H35+MVTJANV24!H35+MVTFEV24!H35+MVTMARS24!H35+MVTAVRIL24!H35+MVTMAI24!H35+MVTJUIN24!H35+MVTJUIL24!H35+MVTAOUT24!H35+MVTSEPT24!H35+MVTOCT24!H35+MVTNOV24!H35+MVTDEC24!H35</f>
        <v>0</v>
      </c>
      <c r="I36" s="6">
        <f t="shared" si="0"/>
        <v>328000</v>
      </c>
      <c r="J36" s="36">
        <f>MVTJANV24!J35+MVTFEV24!J35+MVTMARS24!J35+MVTAVRIL24!J35+MVTMAI24!J35+MVTJUIN24!J35+MVTJUIL24!J35+MVTAOUT24!J35+MVTSEPT24!J35+MVTOCT24!J35+MVTNOV24!J35+MVTDEC24!J35</f>
        <v>0</v>
      </c>
      <c r="K36" s="36">
        <f>MVTJANV24!K35+MVTFEV24!K35+MVTMARS24!K35+MVTAVRIL24!K35+MVTMAI24!K35+MVTJUIN24!K35+MVTJUIL24!K35+MVTAOUT24!K35+MVTSEPT24!K35+MVTOCT24!K35+MVTNOV24!K35+MVTDEC24!K35</f>
        <v>297000</v>
      </c>
      <c r="L36" s="36">
        <f>MVTJANV24!L35+MVTFEV24!L35+MVTMARS24!L35+MVTAVRIL24!L35+MVTMAI24!L35+MVTJUIN24!L35+MVTJUIL24!L35+MVTAOUT24!L35+MVTSEPT24!L35+MVTOCT24!L35+MVTNOV24!L35+MVTDEC24!L35</f>
        <v>225000</v>
      </c>
      <c r="M36" s="36">
        <f>MVTJANV24!M35+MVTFEV24!M35+MVTMARS24!M35+MVTAVRIL24!M35+MVTMAI24!M35+MVTJUIN24!M35+MVTJUIL24!M35+MVTAOUT24!M35+MVTSEPT24!M35+MVTOCT24!M35+MVTNOV24!M35+MVTDEC24!M35</f>
        <v>12000</v>
      </c>
      <c r="N36" s="36">
        <f>MVTJANV24!N35+MVTFEV24!N35+MVTMARS24!N35+MVTAVRIL24!N35+MVTMAI24!N35+MVTJUIN24!N35+MVTJUIL24!N35+MVTAOUT24!N35+MVTSEPT24!N35+MVTOCT24!N35+MVTNOV24!N35+MVTDEC24!N35</f>
        <v>12000</v>
      </c>
      <c r="O36" s="36">
        <f>MVTJANV24!O35+MVTFEV24!O35+MVTMARS24!O35+MVTAVRIL24!O35+MVTMAI24!O35+MVTJUIN24!O35+MVTJUIL24!O35+MVTAOUT24!O35+MVTSEPT24!O35+MVTOCT24!O35+MVTNOV24!O35+MVTDEC24!O35</f>
        <v>48000</v>
      </c>
      <c r="P36" s="36">
        <f>MVTJANV24!P35+MVTFEV24!P35+MVTMARS24!P35+MVTAVRIL24!P35+MVTMAI24!P35+MVTJUIN24!P35+MVTJUIL24!P35+MVTAOUT24!P35+MVTSEPT24!P35+MVTOCT24!P35+MVTNOV24!P35+MVTDEC24!P35</f>
        <v>27000</v>
      </c>
      <c r="Q36" s="36">
        <f>MVTJANV24!Q35+MVTFEV24!Q35+MVTMARS24!Q35+MVTAVRIL24!Q35+MVTMAI24!Q35+MVTJUIN24!Q35+MVTJUIL24!Q35+MVTAOUT24!Q35+MVTSEPT24!Q35+MVTOCT24!Q35+MVTNOV24!Q35+MVTDEC24!Q35</f>
        <v>0</v>
      </c>
      <c r="R36" s="36">
        <f>MVTJANV24!R35+MVTFEV24!R35+MVTMARS24!R35+MVTAVRIL24!R35+MVTMAI24!R35+MVTJUIN24!R35+MVTJUIL24!R35+MVTAOUT24!R35+MVTSEPT24!R35+MVTOCT24!R35+MVTNOV24!R35+MVTDEC24!R35</f>
        <v>0</v>
      </c>
      <c r="S36" s="36">
        <f>MVTDEC23!S35+MVTJANV24!S35+MVTFEV24!S35+MVTMARS24!S35+MVTAVRIL24!S35+MVTMAI24!S35+MVTJUIN24!S35+MVTJUIL24!S35+MVTAOUT24!S35+MVTSEPT24!S35+MVTOCT24!S35+MVTNOV24!S35+MVTDEC24!S35</f>
        <v>0</v>
      </c>
      <c r="T36" s="36">
        <f>MVTDEC23!T35+MVTJANV24!T35+MVTFEV24!T35+MVTMARS24!T35+MVTAVRIL24!T35+MVTMAI24!T35+MVTJUIN24!T35+MVTJUIL24!T35+MVTAOUT24!T35+MVTSEPT24!T35+MVTOCT24!T35+MVTNOV24!T35+MVTDEC24!T35</f>
        <v>0</v>
      </c>
      <c r="U36" s="36"/>
      <c r="V36" s="36">
        <f>MVTJANV24!V35+MVTFEV24!V35+MVTMARS24!V35+MVTAVRIL24!V35+MVTMAI24!V35+MVTJUIN24!V35+MVTJUIL24!V35+MVTAOUT24!V35+MVTSEPT24!V35+MVTOCT24!V35+MVTNOV24!V35+MVTDEC24!V35</f>
        <v>0</v>
      </c>
      <c r="W36" s="36">
        <f t="shared" si="1"/>
        <v>0</v>
      </c>
      <c r="X36" s="36"/>
      <c r="Y36" s="36"/>
      <c r="Z36" s="36">
        <f>MVTJANV24!Z35+MVTFEV24!Z35+MVTMARS24!Z35+MVTAVRIL24!Z35+MVTMAI24!Z35+MVTJUIN24!Z35+MVTJUIL24!Z35+MVTAOUT24!Z35+MVTSEPT24!Z35+MVTOCT24!Z35+MVTNOV24!Z35+MVTDEC24!Z35</f>
        <v>0</v>
      </c>
      <c r="AA36" s="36">
        <f>MVTJANV24!AA35+MVTFEV24!AA35+MVTMARS24!AA35+MVTAVRIL24!AA35+MVTMAI24!AA35+MVTJUIN24!AA35+MVTJUIL24!AA35+MVTAOUT24!AA35+MVTSEPT24!AA35+MVTOCT24!AA35+MVTNOV24!AA35+MVTDEC24!AA35</f>
        <v>0</v>
      </c>
      <c r="AB36" s="36">
        <f>MVTJANV24!AB35+MVTFEV24!AB35+MVTMARS24!AB35+MVTAVRIL24!AB35+MVTMAI24!AB35+MVTJUIN24!AB35+MVTJUIL24!AB35+MVTAOUT24!AB35+MVTSEPT24!AB35+MVTOCT24!AB35+MVTNOV24!AB35+MVTDEC24!AB35</f>
        <v>0</v>
      </c>
      <c r="AC36" s="36">
        <f>MVTJANV24!AC35+MVTFEV24!AC35+MVTMARS24!AC35+MVTAVRIL24!AC35+MVTMAI24!AC35+MVTJUIN24!AC35+MVTJUIL24!AC35+MVTAOUT24!AC35+MVTSEPT24!AC35+MVTOCT24!AC35+MVTNOV24!AC35+MVTDEC24!AC35</f>
        <v>0</v>
      </c>
      <c r="AD36" s="36">
        <f>MVTJANV24!AD35+MVTFEV24!AD35+MVTMARS24!AD35+MVTAVRIL24!AD35+MVTMAI24!AD35+MVTJUIN24!AD35+MVTJUIL24!AD35+MVTAOUT24!AD35+MVTSEPT24!AD35+MVTOCT24!AD35+MVTNOV24!AD35+MVTDEC24!AD35</f>
        <v>0</v>
      </c>
      <c r="AE36" s="36">
        <f>MVTJANV24!AE35+MVTFEV24!AE35+MVTMARS24!AE35+MVTAVRIL24!AE35+MVTMAI24!AE35+MVTJUIN24!AE35+MVTJUIL24!AE35+MVTAOUT24!AE35+MVTSEPT24!AE35+MVTOCT24!AE35+MVTNOV24!AE35+MVTDEC24!AE35</f>
        <v>0</v>
      </c>
      <c r="AF36" s="36">
        <f>MVTJANV24!AF35+MVTFEV24!AF35+MVTMARS24!AF35+MVTAVRIL24!AF35+MVTMAI24!AF35+MVTJUIN24!AF35+MVTJUIL24!AF35+MVTAOUT24!AF35+MVTSEPT24!AF35+MVTOCT24!AF35+MVTNOV24!AF35+MVTDEC24!AF35</f>
        <v>0</v>
      </c>
      <c r="AG36" s="36">
        <f>MVTJANV24!AG35+MVTFEV24!AG35+MVTMARS24!AG35+MVTAVRIL24!AG35+MVTMAI24!AG35+MVTJUIN24!AG35+MVTJUIL24!AG35+MVTAOUT24!AG35+MVTSEPT24!AG35+MVTOCT24!AG35+MVTNOV24!AG35+MVTDEC24!AG35</f>
        <v>0</v>
      </c>
      <c r="AH36" s="36">
        <f>MVTJANV24!AH35+MVTFEV24!AH35+MVTMARS24!AH35+MVTAVRIL24!AH35+MVTMAI24!AH35+MVTJUIN24!AH35+MVTJUIL24!AH35+MVTAOUT24!AH35+MVTSEPT24!AH35+MVTOCT24!AH35+MVTNOV24!AH35+MVTDEC24!AH35</f>
        <v>0</v>
      </c>
      <c r="AI36" s="36">
        <f>MVTJANV24!AI35+MVTFEV24!AI35+MVTMARS24!AI35+MVTAVRIL24!AI35+MVTMAI24!AI35+MVTJUIN24!AI35+MVTJUIL24!AI35+MVTAOUT24!AI35+MVTSEPT24!AI35+MVTOCT24!AI35+MVTNOV24!AI35+MVTDEC24!AI35</f>
        <v>0</v>
      </c>
      <c r="AJ36" s="36">
        <f>MVTJANV24!AJ35+MVTFEV24!AJ35+MVTMARS24!AJ35+MVTAVRIL24!AJ35+MVTMAI24!AJ35+MVTJUIN24!AJ35+MVTJUIL24!AJ35+MVTAOUT24!AJ35+MVTSEPT24!AJ35+MVTOCT24!AJ35+MVTNOV24!AJ35+MVTDEC24!AJ35</f>
        <v>0</v>
      </c>
      <c r="AK36" s="36">
        <f>MVTJANV24!AK35+MVTFEV24!AK35+MVTMARS24!AK35+MVTAVRIL24!AK35+MVTMAI24!AK35+MVTJUIN24!AK35+MVTJUIL24!AK35+MVTAOUT24!AK35+MVTSEPT24!AK35+MVTOCT24!AK35+MVTNOV24!AK35+MVTDEC24!AK35</f>
        <v>0</v>
      </c>
      <c r="AL36" s="143"/>
      <c r="AM36" s="144">
        <f t="shared" si="2"/>
        <v>0</v>
      </c>
      <c r="AN36" s="144"/>
      <c r="AP36" s="36"/>
    </row>
    <row r="37" spans="1:42" ht="15.75" x14ac:dyDescent="0.25">
      <c r="A37" s="1" t="s">
        <v>313</v>
      </c>
      <c r="B37" s="1" t="str">
        <f>VLOOKUP(A37,[19]LISTADHERENT!A$5:H$60,3,0)</f>
        <v>YANTCHOU GERVAIS</v>
      </c>
      <c r="C37" s="36">
        <f>+MVTDEC23!C36</f>
        <v>698024.13813217054</v>
      </c>
      <c r="D37" s="36">
        <f>+MVTDEC23!D36</f>
        <v>0</v>
      </c>
      <c r="E37" s="36">
        <f>VLOOKUP($A37,[24]HISTOJANV24!$A$6:$BA$38,48,0)</f>
        <v>0</v>
      </c>
      <c r="F37" s="36">
        <f>MVTDEC24!F36</f>
        <v>1013599.0818186782</v>
      </c>
      <c r="G37" s="5">
        <f>MVTDEC24!G36</f>
        <v>1013599.0818186782</v>
      </c>
      <c r="H37" s="36">
        <f>MVTDEC23!H36+MVTJANV24!H36+MVTFEV24!H36+MVTMARS24!H36+MVTAVRIL24!H36+MVTMAI24!H36+MVTJUIN24!H36+MVTJUIL24!H36+MVTAOUT24!H36+MVTSEPT24!H36+MVTOCT24!H36+MVTNOV24!H36+MVTDEC24!H36</f>
        <v>47574.943686507613</v>
      </c>
      <c r="I37" s="6">
        <f t="shared" si="0"/>
        <v>1061174.0255051858</v>
      </c>
      <c r="J37" s="36">
        <f>MVTJANV24!J36+MVTFEV24!J36+MVTMARS24!J36+MVTAVRIL24!J36+MVTMAI24!J36+MVTJUIN24!J36+MVTJUIL24!J36+MVTAOUT24!J36+MVTSEPT24!J36+MVTOCT24!J36+MVTNOV24!J36+MVTDEC24!J36</f>
        <v>0</v>
      </c>
      <c r="K37" s="36">
        <f>MVTJANV24!K36+MVTFEV24!K36+MVTMARS24!K36+MVTAVRIL24!K36+MVTMAI24!K36+MVTJUIN24!K36+MVTJUIL24!K36+MVTAOUT24!K36+MVTSEPT24!K36+MVTOCT24!K36+MVTNOV24!K36+MVTDEC24!K36</f>
        <v>340000</v>
      </c>
      <c r="L37" s="36">
        <f>MVTJANV24!L36+MVTFEV24!L36+MVTMARS24!L36+MVTAVRIL24!L36+MVTMAI24!L36+MVTJUIN24!L36+MVTJUIL24!L36+MVTAOUT24!L36+MVTSEPT24!L36+MVTOCT24!L36+MVTNOV24!L36+MVTDEC24!L36</f>
        <v>268000</v>
      </c>
      <c r="M37" s="36">
        <f>MVTJANV24!M36+MVTFEV24!M36+MVTMARS24!M36+MVTAVRIL24!M36+MVTMAI24!M36+MVTJUIN24!M36+MVTJUIL24!M36+MVTAOUT24!M36+MVTSEPT24!M36+MVTOCT24!M36+MVTNOV24!M36+MVTDEC24!M36</f>
        <v>12000</v>
      </c>
      <c r="N37" s="36">
        <f>MVTJANV24!N36+MVTFEV24!N36+MVTMARS24!N36+MVTAVRIL24!N36+MVTMAI24!N36+MVTJUIN24!N36+MVTJUIL24!N36+MVTAOUT24!N36+MVTSEPT24!N36+MVTOCT24!N36+MVTNOV24!N36+MVTDEC24!N36</f>
        <v>12000</v>
      </c>
      <c r="O37" s="36">
        <f>MVTJANV24!O36+MVTFEV24!O36+MVTMARS24!O36+MVTAVRIL24!O36+MVTMAI24!O36+MVTJUIN24!O36+MVTJUIL24!O36+MVTAOUT24!O36+MVTSEPT24!O36+MVTOCT24!O36+MVTNOV24!O36+MVTDEC24!O36</f>
        <v>48000</v>
      </c>
      <c r="P37" s="36">
        <f>MVTJANV24!P36+MVTFEV24!P36+MVTMARS24!P36+MVTAVRIL24!P36+MVTMAI24!P36+MVTJUIN24!P36+MVTJUIL24!P36+MVTAOUT24!P36+MVTSEPT24!P36+MVTOCT24!P36+MVTNOV24!P36+MVTDEC24!P36</f>
        <v>0</v>
      </c>
      <c r="Q37" s="36">
        <f>MVTJANV24!Q36+MVTFEV24!Q36+MVTMARS24!Q36+MVTAVRIL24!Q36+MVTMAI24!Q36+MVTJUIN24!Q36+MVTJUIL24!Q36+MVTAOUT24!Q36+MVTSEPT24!Q36+MVTOCT24!Q36+MVTNOV24!Q36+MVTDEC24!Q36</f>
        <v>0</v>
      </c>
      <c r="R37" s="36">
        <f>MVTJANV24!R36+MVTFEV24!R36+MVTMARS24!R36+MVTAVRIL24!R36+MVTMAI24!R36+MVTJUIN24!R36+MVTJUIL24!R36+MVTAOUT24!R36+MVTSEPT24!R36+MVTOCT24!R36+MVTNOV24!R36+MVTDEC24!R36</f>
        <v>0</v>
      </c>
      <c r="S37" s="36">
        <f>MVTDEC23!S36+MVTJANV24!S36+MVTFEV24!S36+MVTMARS24!S36+MVTAVRIL24!S36+MVTMAI24!S36+MVTJUIN24!S36+MVTJUIL24!S36+MVTAOUT24!S36+MVTSEPT24!S36+MVTOCT24!S36+MVTNOV24!S36+MVTDEC24!S36</f>
        <v>700000</v>
      </c>
      <c r="T37" s="36">
        <f>MVTDEC23!T36+MVTJANV24!T36+MVTFEV24!T36+MVTMARS24!T36+MVTAVRIL24!T36+MVTMAI24!T36+MVTJUIN24!T36+MVTJUIL24!T36+MVTAOUT24!T36+MVTSEPT24!T36+MVTOCT24!T36+MVTNOV24!T36+MVTDEC24!T36</f>
        <v>84000</v>
      </c>
      <c r="U37" s="36"/>
      <c r="V37" s="36">
        <f>MVTJANV24!V36+MVTFEV24!V36+MVTMARS24!V36+MVTAVRIL24!V36+MVTMAI24!V36+MVTJUIN24!V36+MVTJUIL24!V36+MVTAOUT24!V36+MVTSEPT24!V36+MVTOCT24!V36+MVTNOV24!V36+MVTDEC24!V36</f>
        <v>0</v>
      </c>
      <c r="W37" s="36">
        <f t="shared" si="1"/>
        <v>700000</v>
      </c>
      <c r="X37" s="36"/>
      <c r="Y37" s="36"/>
      <c r="Z37" s="36">
        <f>MVTJANV24!Z36+MVTFEV24!Z36+MVTMARS24!Z36+MVTAVRIL24!Z36+MVTMAI24!Z36+MVTJUIN24!Z36+MVTJUIL24!Z36+MVTAOUT24!Z36+MVTSEPT24!Z36+MVTOCT24!Z36+MVTNOV24!Z36+MVTDEC24!Z36</f>
        <v>0</v>
      </c>
      <c r="AA37" s="36">
        <f>MVTJANV24!AA36+MVTFEV24!AA36+MVTMARS24!AA36+MVTAVRIL24!AA36+MVTMAI24!AA36+MVTJUIN24!AA36+MVTJUIL24!AA36+MVTAOUT24!AA36+MVTSEPT24!AA36+MVTOCT24!AA36+MVTNOV24!AA36+MVTDEC24!AA36</f>
        <v>0</v>
      </c>
      <c r="AB37" s="36">
        <f>MVTJANV24!AB36+MVTFEV24!AB36+MVTMARS24!AB36+MVTAVRIL24!AB36+MVTMAI24!AB36+MVTJUIN24!AB36+MVTJUIL24!AB36+MVTAOUT24!AB36+MVTSEPT24!AB36+MVTOCT24!AB36+MVTNOV24!AB36+MVTDEC24!AB36</f>
        <v>0</v>
      </c>
      <c r="AC37" s="36">
        <f>MVTJANV24!AC36+MVTFEV24!AC36+MVTMARS24!AC36+MVTAVRIL24!AC36+MVTMAI24!AC36+MVTJUIN24!AC36+MVTJUIL24!AC36+MVTAOUT24!AC36+MVTSEPT24!AC36+MVTOCT24!AC36+MVTNOV24!AC36+MVTDEC24!AC36</f>
        <v>0</v>
      </c>
      <c r="AD37" s="36">
        <f>MVTJANV24!AD36+MVTFEV24!AD36+MVTMARS24!AD36+MVTAVRIL24!AD36+MVTMAI24!AD36+MVTJUIN24!AD36+MVTJUIL24!AD36+MVTAOUT24!AD36+MVTSEPT24!AD36+MVTOCT24!AD36+MVTNOV24!AD36+MVTDEC24!AD36</f>
        <v>0</v>
      </c>
      <c r="AE37" s="36">
        <f>MVTJANV24!AE36+MVTFEV24!AE36+MVTMARS24!AE36+MVTAVRIL24!AE36+MVTMAI24!AE36+MVTJUIN24!AE36+MVTJUIL24!AE36+MVTAOUT24!AE36+MVTSEPT24!AE36+MVTOCT24!AE36+MVTNOV24!AE36+MVTDEC24!AE36</f>
        <v>0</v>
      </c>
      <c r="AF37" s="36">
        <f>MVTJANV24!AF36+MVTFEV24!AF36+MVTMARS24!AF36+MVTAVRIL24!AF36+MVTMAI24!AF36+MVTJUIN24!AF36+MVTJUIL24!AF36+MVTAOUT24!AF36+MVTSEPT24!AF36+MVTOCT24!AF36+MVTNOV24!AF36+MVTDEC24!AF36</f>
        <v>0</v>
      </c>
      <c r="AG37" s="36">
        <f>MVTJANV24!AG36+MVTFEV24!AG36+MVTMARS24!AG36+MVTAVRIL24!AG36+MVTMAI24!AG36+MVTJUIN24!AG36+MVTJUIL24!AG36+MVTAOUT24!AG36+MVTSEPT24!AG36+MVTOCT24!AG36+MVTNOV24!AG36+MVTDEC24!AG36</f>
        <v>0</v>
      </c>
      <c r="AH37" s="36">
        <f>MVTJANV24!AH36+MVTFEV24!AH36+MVTMARS24!AH36+MVTAVRIL24!AH36+MVTMAI24!AH36+MVTJUIN24!AH36+MVTJUIL24!AH36+MVTAOUT24!AH36+MVTSEPT24!AH36+MVTOCT24!AH36+MVTNOV24!AH36+MVTDEC24!AH36</f>
        <v>0</v>
      </c>
      <c r="AI37" s="36">
        <f>MVTJANV24!AI36+MVTFEV24!AI36+MVTMARS24!AI36+MVTAVRIL24!AI36+MVTMAI24!AI36+MVTJUIN24!AI36+MVTJUIL24!AI36+MVTAOUT24!AI36+MVTSEPT24!AI36+MVTOCT24!AI36+MVTNOV24!AI36+MVTDEC24!AI36</f>
        <v>0</v>
      </c>
      <c r="AJ37" s="36">
        <f>MVTJANV24!AJ36+MVTFEV24!AJ36+MVTMARS24!AJ36+MVTAVRIL24!AJ36+MVTMAI24!AJ36+MVTJUIN24!AJ36+MVTJUIL24!AJ36+MVTAOUT24!AJ36+MVTSEPT24!AJ36+MVTOCT24!AJ36+MVTNOV24!AJ36+MVTDEC24!AJ36</f>
        <v>0</v>
      </c>
      <c r="AK37" s="36">
        <f>MVTJANV24!AK36+MVTFEV24!AK36+MVTMARS24!AK36+MVTAVRIL24!AK36+MVTMAI24!AK36+MVTJUIN24!AK36+MVTJUIL24!AK36+MVTAOUT24!AK36+MVTSEPT24!AK36+MVTOCT24!AK36+MVTNOV24!AK36+MVTDEC24!AK36</f>
        <v>0</v>
      </c>
      <c r="AL37" s="143">
        <v>45474</v>
      </c>
      <c r="AM37" s="144">
        <f t="shared" si="2"/>
        <v>84000</v>
      </c>
      <c r="AN37" s="144"/>
      <c r="AP37" s="36"/>
    </row>
    <row r="38" spans="1:42" ht="15.75" x14ac:dyDescent="0.25">
      <c r="A38" s="1" t="s">
        <v>55</v>
      </c>
      <c r="B38" s="1" t="str">
        <f>VLOOKUP(A38,[19]LISTADHERENT!A$5:H$60,3,0)</f>
        <v>YEPMOU JEAN JACQUES</v>
      </c>
      <c r="C38" s="36">
        <f>+MVTDEC23!C37</f>
        <v>700000</v>
      </c>
      <c r="D38" s="36">
        <f>+MVTDEC23!D37</f>
        <v>1003326.8477058813</v>
      </c>
      <c r="E38" s="36">
        <f>VLOOKUP($A38,[24]HISTOJANV24!$A$6:$BA$38,48,0)</f>
        <v>0</v>
      </c>
      <c r="F38" s="36">
        <f>MVTDEC24!F37</f>
        <v>2046400.7147676253</v>
      </c>
      <c r="G38" s="5">
        <f>MVTDEC24!G37</f>
        <v>2046400.7147676253</v>
      </c>
      <c r="H38" s="36">
        <f>MVTDEC23!H37+MVTJANV24!H37+MVTFEV24!H37+MVTMARS24!H37+MVTAVRIL24!H37+MVTMAI24!H37+MVTJUIN24!H37+MVTJUIL24!H37+MVTAOUT24!H37+MVTSEPT24!H37+MVTOCT24!H37+MVTNOV24!H37+MVTDEC24!H37</f>
        <v>115073.86706174383</v>
      </c>
      <c r="I38" s="6">
        <f t="shared" si="0"/>
        <v>2161474.5818293691</v>
      </c>
      <c r="J38" s="36">
        <f>MVTJANV24!J37+MVTFEV24!J37+MVTMARS24!J37+MVTAVRIL24!J37+MVTMAI24!J37+MVTJUIN24!J37+MVTJUIL24!J37+MVTAOUT24!J37+MVTSEPT24!J37+MVTOCT24!J37+MVTNOV24!J37+MVTDEC24!J37</f>
        <v>0</v>
      </c>
      <c r="K38" s="36">
        <f>MVTJANV24!K37+MVTFEV24!K37+MVTMARS24!K37+MVTAVRIL24!K37+MVTMAI24!K37+MVTJUIN24!K37+MVTJUIL24!K37+MVTAOUT24!K37+MVTSEPT24!K37+MVTOCT24!K37+MVTNOV24!K37+MVTDEC24!K37</f>
        <v>300000</v>
      </c>
      <c r="L38" s="36">
        <f>MVTJANV24!L37+MVTFEV24!L37+MVTMARS24!L37+MVTAVRIL24!L37+MVTMAI24!L37+MVTJUIN24!L37+MVTJUIL24!L37+MVTAOUT24!L37+MVTSEPT24!L37+MVTOCT24!L37+MVTNOV24!L37+MVTDEC24!L37</f>
        <v>228000</v>
      </c>
      <c r="M38" s="36">
        <f>MVTJANV24!M37+MVTFEV24!M37+MVTMARS24!M37+MVTAVRIL24!M37+MVTMAI24!M37+MVTJUIN24!M37+MVTJUIL24!M37+MVTAOUT24!M37+MVTSEPT24!M37+MVTOCT24!M37+MVTNOV24!M37+MVTDEC24!M37</f>
        <v>12000</v>
      </c>
      <c r="N38" s="36">
        <f>MVTJANV24!N37+MVTFEV24!N37+MVTMARS24!N37+MVTAVRIL24!N37+MVTMAI24!N37+MVTJUIN24!N37+MVTJUIL24!N37+MVTAOUT24!N37+MVTSEPT24!N37+MVTOCT24!N37+MVTNOV24!N37+MVTDEC24!N37</f>
        <v>12000</v>
      </c>
      <c r="O38" s="36">
        <f>MVTJANV24!O37+MVTFEV24!O37+MVTMARS24!O37+MVTAVRIL24!O37+MVTMAI24!O37+MVTJUIN24!O37+MVTJUIL24!O37+MVTAOUT24!O37+MVTSEPT24!O37+MVTOCT24!O37+MVTNOV24!O37+MVTDEC24!O37</f>
        <v>48000</v>
      </c>
      <c r="P38" s="36">
        <f>MVTJANV24!P37+MVTFEV24!P37+MVTMARS24!P37+MVTAVRIL24!P37+MVTMAI24!P37+MVTJUIN24!P37+MVTJUIL24!P37+MVTAOUT24!P37+MVTSEPT24!P37+MVTOCT24!P37+MVTNOV24!P37+MVTDEC24!P37</f>
        <v>27000</v>
      </c>
      <c r="Q38" s="36">
        <f>MVTJANV24!Q37+MVTFEV24!Q37+MVTMARS24!Q37+MVTAVRIL24!Q37+MVTMAI24!Q37+MVTJUIN24!Q37+MVTJUIL24!Q37+MVTAOUT24!Q37+MVTSEPT24!Q37+MVTOCT24!Q37+MVTNOV24!Q37+MVTDEC24!Q37</f>
        <v>0</v>
      </c>
      <c r="R38" s="36">
        <f>MVTJANV24!R37+MVTFEV24!R37+MVTMARS24!R37+MVTAVRIL24!R37+MVTMAI24!R37+MVTJUIN24!R37+MVTJUIL24!R37+MVTAOUT24!R37+MVTSEPT24!R37+MVTOCT24!R37+MVTNOV24!R37+MVTDEC24!R37</f>
        <v>0</v>
      </c>
      <c r="S38" s="36">
        <f>MVTDEC23!S37+MVTJANV24!S37+MVTFEV24!S37+MVTMARS24!S37+MVTAVRIL24!S37+MVTMAI24!S37+MVTJUIN24!S37+MVTJUIL24!S37+MVTAOUT24!S37+MVTSEPT24!S37+MVTOCT24!S37+MVTNOV24!S37+MVTDEC24!S37</f>
        <v>0</v>
      </c>
      <c r="T38" s="36">
        <f>MVTDEC23!T37+MVTJANV24!T37+MVTFEV24!T37+MVTMARS24!T37+MVTAVRIL24!T37+MVTMAI24!T37+MVTJUIN24!T37+MVTJUIL24!T37+MVTAOUT24!T37+MVTSEPT24!T37+MVTOCT24!T37+MVTNOV24!T37+MVTDEC24!T37</f>
        <v>0</v>
      </c>
      <c r="U38" s="36"/>
      <c r="V38" s="36">
        <f>MVTJANV24!V37+MVTFEV24!V37+MVTMARS24!V37+MVTAVRIL24!V37+MVTMAI24!V37+MVTJUIN24!V37+MVTJUIL24!V37+MVTAOUT24!V37+MVTSEPT24!V37+MVTOCT24!V37+MVTNOV24!V37+MVTDEC24!V37</f>
        <v>0</v>
      </c>
      <c r="W38" s="36">
        <f t="shared" si="1"/>
        <v>0</v>
      </c>
      <c r="X38" s="36"/>
      <c r="Y38" s="36"/>
      <c r="Z38" s="36">
        <f>MVTJANV24!Z37+MVTFEV24!Z37+MVTMARS24!Z37+MVTAVRIL24!Z37+MVTMAI24!Z37+MVTJUIN24!Z37+MVTJUIL24!Z37+MVTAOUT24!Z37+MVTSEPT24!Z37+MVTOCT24!Z37+MVTNOV24!Z37+MVTDEC24!Z37</f>
        <v>0</v>
      </c>
      <c r="AA38" s="36">
        <f>MVTJANV24!AA37+MVTFEV24!AA37+MVTMARS24!AA37+MVTAVRIL24!AA37+MVTMAI24!AA37+MVTJUIN24!AA37+MVTJUIL24!AA37+MVTAOUT24!AA37+MVTSEPT24!AA37+MVTOCT24!AA37+MVTNOV24!AA37+MVTDEC24!AA37</f>
        <v>0</v>
      </c>
      <c r="AB38" s="36">
        <f>MVTJANV24!AB37+MVTFEV24!AB37+MVTMARS24!AB37+MVTAVRIL24!AB37+MVTMAI24!AB37+MVTJUIN24!AB37+MVTJUIL24!AB37+MVTAOUT24!AB37+MVTSEPT24!AB37+MVTOCT24!AB37+MVTNOV24!AB37+MVTDEC24!AB37</f>
        <v>0</v>
      </c>
      <c r="AC38" s="36">
        <f>MVTJANV24!AC37+MVTFEV24!AC37+MVTMARS24!AC37+MVTAVRIL24!AC37+MVTMAI24!AC37+MVTJUIN24!AC37+MVTJUIL24!AC37+MVTAOUT24!AC37+MVTSEPT24!AC37+MVTOCT24!AC37+MVTNOV24!AC37+MVTDEC24!AC37</f>
        <v>0</v>
      </c>
      <c r="AD38" s="36">
        <f>MVTJANV24!AD37+MVTFEV24!AD37+MVTMARS24!AD37+MVTAVRIL24!AD37+MVTMAI24!AD37+MVTJUIN24!AD37+MVTJUIL24!AD37+MVTAOUT24!AD37+MVTSEPT24!AD37+MVTOCT24!AD37+MVTNOV24!AD37+MVTDEC24!AD37</f>
        <v>0</v>
      </c>
      <c r="AE38" s="36">
        <f>MVTJANV24!AE37+MVTFEV24!AE37+MVTMARS24!AE37+MVTAVRIL24!AE37+MVTMAI24!AE37+MVTJUIN24!AE37+MVTJUIL24!AE37+MVTAOUT24!AE37+MVTSEPT24!AE37+MVTOCT24!AE37+MVTNOV24!AE37+MVTDEC24!AE37</f>
        <v>0</v>
      </c>
      <c r="AF38" s="36">
        <f>MVTJANV24!AF37+MVTFEV24!AF37+MVTMARS24!AF37+MVTAVRIL24!AF37+MVTMAI24!AF37+MVTJUIN24!AF37+MVTJUIL24!AF37+MVTAOUT24!AF37+MVTSEPT24!AF37+MVTOCT24!AF37+MVTNOV24!AF37+MVTDEC24!AF37</f>
        <v>0</v>
      </c>
      <c r="AG38" s="36">
        <f>MVTJANV24!AG37+MVTFEV24!AG37+MVTMARS24!AG37+MVTAVRIL24!AG37+MVTMAI24!AG37+MVTJUIN24!AG37+MVTJUIL24!AG37+MVTAOUT24!AG37+MVTSEPT24!AG37+MVTOCT24!AG37+MVTNOV24!AG37+MVTDEC24!AG37</f>
        <v>0</v>
      </c>
      <c r="AH38" s="36">
        <f>MVTJANV24!AH37+MVTFEV24!AH37+MVTMARS24!AH37+MVTAVRIL24!AH37+MVTMAI24!AH37+MVTJUIN24!AH37+MVTJUIL24!AH37+MVTAOUT24!AH37+MVTSEPT24!AH37+MVTOCT24!AH37+MVTNOV24!AH37+MVTDEC24!AH37</f>
        <v>0</v>
      </c>
      <c r="AI38" s="36">
        <f>MVTJANV24!AI37+MVTFEV24!AI37+MVTMARS24!AI37+MVTAVRIL24!AI37+MVTMAI24!AI37+MVTJUIN24!AI37+MVTJUIL24!AI37+MVTAOUT24!AI37+MVTSEPT24!AI37+MVTOCT24!AI37+MVTNOV24!AI37+MVTDEC24!AI37</f>
        <v>0</v>
      </c>
      <c r="AJ38" s="36">
        <f>MVTJANV24!AJ37+MVTFEV24!AJ37+MVTMARS24!AJ37+MVTAVRIL24!AJ37+MVTMAI24!AJ37+MVTJUIN24!AJ37+MVTJUIL24!AJ37+MVTAOUT24!AJ37+MVTSEPT24!AJ37+MVTOCT24!AJ37+MVTNOV24!AJ37+MVTDEC24!AJ37</f>
        <v>0</v>
      </c>
      <c r="AK38" s="36">
        <f>MVTJANV24!AK37+MVTFEV24!AK37+MVTMARS24!AK37+MVTAVRIL24!AK37+MVTMAI24!AK37+MVTJUIN24!AK37+MVTJUIL24!AK37+MVTAOUT24!AK37+MVTSEPT24!AK37+MVTOCT24!AK37+MVTNOV24!AK37+MVTDEC24!AK37</f>
        <v>0</v>
      </c>
      <c r="AL38" s="36"/>
      <c r="AM38" s="144">
        <f t="shared" si="2"/>
        <v>0</v>
      </c>
      <c r="AN38" s="36"/>
      <c r="AO38" s="36"/>
      <c r="AP38" s="36"/>
    </row>
    <row r="39" spans="1:42" ht="15.75" x14ac:dyDescent="0.25">
      <c r="A39" s="1" t="s">
        <v>329</v>
      </c>
      <c r="B39" s="1" t="str">
        <f>VLOOKUP(A39,[19]LISTADHERENT!A$5:H$60,3,0)</f>
        <v>YIALA ALAIN OSCAR</v>
      </c>
      <c r="C39" s="36">
        <f>+MVTDEC23!C38</f>
        <v>0</v>
      </c>
      <c r="D39" s="36">
        <f>+MVTDEC23!D38</f>
        <v>0</v>
      </c>
      <c r="E39" s="36">
        <f>VLOOKUP($A39,[24]HISTOJANV24!$A$6:$BA$38,48,0)</f>
        <v>0</v>
      </c>
      <c r="F39" s="36">
        <f>MVTDEC24!F38</f>
        <v>228000</v>
      </c>
      <c r="G39" s="5">
        <f>MVTDEC24!G38</f>
        <v>0</v>
      </c>
      <c r="H39" s="36">
        <f>MVTDEC23!H38+MVTJANV24!H38+MVTFEV24!H38+MVTMARS24!H38+MVTAVRIL24!H38+MVTMAI24!H38+MVTJUIN24!H38+MVTJUIL24!H38+MVTAOUT24!H38+MVTSEPT24!H38+MVTOCT24!H38+MVTNOV24!H38+MVTDEC24!H38</f>
        <v>0</v>
      </c>
      <c r="I39" s="6">
        <f t="shared" si="0"/>
        <v>228000</v>
      </c>
      <c r="J39" s="36">
        <f>MVTJANV24!J38+MVTFEV24!J38+MVTMARS24!J38+MVTAVRIL24!J38+MVTMAI24!J38+MVTJUIN24!J38+MVTJUIL24!J38+MVTAOUT24!J38+MVTSEPT24!J38+MVTOCT24!J38+MVTNOV24!J38+MVTDEC24!J38</f>
        <v>0</v>
      </c>
      <c r="K39" s="36">
        <f>MVTJANV24!K38+MVTFEV24!K38+MVTMARS24!K38+MVTAVRIL24!K38+MVTMAI24!K38+MVTJUIN24!K38+MVTJUIL24!K38+MVTAOUT24!K38+MVTSEPT24!K38+MVTOCT24!K38+MVTNOV24!K38+MVTDEC24!K38</f>
        <v>300000</v>
      </c>
      <c r="L39" s="36">
        <f>MVTJANV24!L38+MVTFEV24!L38+MVTMARS24!L38+MVTAVRIL24!L38+MVTMAI24!L38+MVTJUIN24!L38+MVTJUIL24!L38+MVTAOUT24!L38+MVTSEPT24!L38+MVTOCT24!L38+MVTNOV24!L38+MVTDEC24!L38</f>
        <v>228000</v>
      </c>
      <c r="M39" s="36">
        <f>MVTJANV24!M38+MVTFEV24!M38+MVTMARS24!M38+MVTAVRIL24!M38+MVTMAI24!M38+MVTJUIN24!M38+MVTJUIL24!M38+MVTAOUT24!M38+MVTSEPT24!M38+MVTOCT24!M38+MVTNOV24!M38+MVTDEC24!M38</f>
        <v>12000</v>
      </c>
      <c r="N39" s="36">
        <f>MVTJANV24!N38+MVTFEV24!N38+MVTMARS24!N38+MVTAVRIL24!N38+MVTMAI24!N38+MVTJUIN24!N38+MVTJUIL24!N38+MVTAOUT24!N38+MVTSEPT24!N38+MVTOCT24!N38+MVTNOV24!N38+MVTDEC24!N38</f>
        <v>12000</v>
      </c>
      <c r="O39" s="36">
        <f>MVTJANV24!O38+MVTFEV24!O38+MVTMARS24!O38+MVTAVRIL24!O38+MVTMAI24!O38+MVTJUIN24!O38+MVTJUIL24!O38+MVTAOUT24!O38+MVTSEPT24!O38+MVTOCT24!O38+MVTNOV24!O38+MVTDEC24!O38</f>
        <v>48000</v>
      </c>
      <c r="P39" s="36">
        <f>MVTJANV24!P38+MVTFEV24!P38+MVTMARS24!P38+MVTAVRIL24!P38+MVTMAI24!P38+MVTJUIN24!P38+MVTJUIL24!P38+MVTAOUT24!P38+MVTSEPT24!P38+MVTOCT24!P38+MVTNOV24!P38+MVTDEC24!P38</f>
        <v>6000</v>
      </c>
      <c r="Q39" s="36">
        <f>MVTJANV24!Q38+MVTFEV24!Q38+MVTMARS24!Q38+MVTAVRIL24!Q38+MVTMAI24!Q38+MVTJUIN24!Q38+MVTJUIL24!Q38+MVTAOUT24!Q38+MVTSEPT24!Q38+MVTOCT24!Q38+MVTNOV24!Q38+MVTDEC24!Q38</f>
        <v>25000</v>
      </c>
      <c r="R39" s="36">
        <f>MVTJANV24!R38+MVTFEV24!R38+MVTMARS24!R38+MVTAVRIL24!R38+MVTMAI24!R38+MVTJUIN24!R38+MVTJUIL24!R38+MVTAOUT24!R38+MVTSEPT24!R38+MVTOCT24!R38+MVTNOV24!R38+MVTDEC24!R38</f>
        <v>0</v>
      </c>
      <c r="S39" s="36">
        <f>MVTDEC23!S38+MVTJANV24!S38+MVTFEV24!S38+MVTMARS24!S38+MVTAVRIL24!S38+MVTMAI24!S38+MVTJUIN24!S38+MVTJUIL24!S38+MVTAOUT24!S38+MVTSEPT24!S38+MVTOCT24!S38+MVTNOV24!S38+MVTDEC24!S38</f>
        <v>0</v>
      </c>
      <c r="T39" s="36">
        <f>MVTDEC23!T38+MVTJANV24!T38+MVTFEV24!T38+MVTMARS24!T38+MVTAVRIL24!T38+MVTMAI24!T38+MVTJUIN24!T38+MVTJUIL24!T38+MVTAOUT24!T38+MVTSEPT24!T38+MVTOCT24!T38+MVTNOV24!T38+MVTDEC24!T38</f>
        <v>0</v>
      </c>
      <c r="U39" s="36"/>
      <c r="V39" s="36">
        <f>MVTJANV24!V38+MVTFEV24!V38+MVTMARS24!V38+MVTAVRIL24!V38+MVTMAI24!V38+MVTJUIN24!V38+MVTJUIL24!V38+MVTAOUT24!V38+MVTSEPT24!V38+MVTOCT24!V38+MVTNOV24!V38+MVTDEC24!V38</f>
        <v>0</v>
      </c>
      <c r="W39" s="36">
        <f t="shared" si="1"/>
        <v>0</v>
      </c>
      <c r="X39" s="36"/>
      <c r="Y39" s="36"/>
      <c r="Z39" s="36">
        <f>MVTJANV24!Z38+MVTFEV24!Z38+MVTMARS24!Z38+MVTAVRIL24!Z38+MVTMAI24!Z38+MVTJUIN24!Z38+MVTJUIL24!Z38+MVTAOUT24!Z38+MVTSEPT24!Z38+MVTOCT24!Z38+MVTNOV24!Z38+MVTDEC24!Z38</f>
        <v>0</v>
      </c>
      <c r="AA39" s="36">
        <f>MVTJANV24!AA38+MVTFEV24!AA38+MVTMARS24!AA38+MVTAVRIL24!AA38+MVTMAI24!AA38+MVTJUIN24!AA38+MVTJUIL24!AA38+MVTAOUT24!AA38+MVTSEPT24!AA38+MVTOCT24!AA38+MVTNOV24!AA38+MVTDEC24!AA38</f>
        <v>0</v>
      </c>
      <c r="AB39" s="36">
        <f>MVTJANV24!AB38+MVTFEV24!AB38+MVTMARS24!AB38+MVTAVRIL24!AB38+MVTMAI24!AB38+MVTJUIN24!AB38+MVTJUIL24!AB38+MVTAOUT24!AB38+MVTSEPT24!AB38+MVTOCT24!AB38+MVTNOV24!AB38+MVTDEC24!AB38</f>
        <v>0</v>
      </c>
      <c r="AC39" s="36">
        <f>MVTJANV24!AC38+MVTFEV24!AC38+MVTMARS24!AC38+MVTAVRIL24!AC38+MVTMAI24!AC38+MVTJUIN24!AC38+MVTJUIL24!AC38+MVTAOUT24!AC38+MVTSEPT24!AC38+MVTOCT24!AC38+MVTNOV24!AC38+MVTDEC24!AC38</f>
        <v>0</v>
      </c>
      <c r="AD39" s="36">
        <f>MVTJANV24!AD38+MVTFEV24!AD38+MVTMARS24!AD38+MVTAVRIL24!AD38+MVTMAI24!AD38+MVTJUIN24!AD38+MVTJUIL24!AD38+MVTAOUT24!AD38+MVTSEPT24!AD38+MVTOCT24!AD38+MVTNOV24!AD38+MVTDEC24!AD38</f>
        <v>0</v>
      </c>
      <c r="AE39" s="36">
        <f>MVTJANV24!AE38+MVTFEV24!AE38+MVTMARS24!AE38+MVTAVRIL24!AE38+MVTMAI24!AE38+MVTJUIN24!AE38+MVTJUIL24!AE38+MVTAOUT24!AE38+MVTSEPT24!AE38+MVTOCT24!AE38+MVTNOV24!AE38+MVTDEC24!AE38</f>
        <v>0</v>
      </c>
      <c r="AF39" s="36">
        <f>MVTJANV24!AF38+MVTFEV24!AF38+MVTMARS24!AF38+MVTAVRIL24!AF38+MVTMAI24!AF38+MVTJUIN24!AF38+MVTJUIL24!AF38+MVTAOUT24!AF38+MVTSEPT24!AF38+MVTOCT24!AF38+MVTNOV24!AF38+MVTDEC24!AF38</f>
        <v>0</v>
      </c>
      <c r="AG39" s="36">
        <f>MVTJANV24!AG38+MVTFEV24!AG38+MVTMARS24!AG38+MVTAVRIL24!AG38+MVTMAI24!AG38+MVTJUIN24!AG38+MVTJUIL24!AG38+MVTAOUT24!AG38+MVTSEPT24!AG38+MVTOCT24!AG38+MVTNOV24!AG38+MVTDEC24!AG38</f>
        <v>0</v>
      </c>
      <c r="AH39" s="36">
        <f>MVTJANV24!AH38+MVTFEV24!AH38+MVTMARS24!AH38+MVTAVRIL24!AH38+MVTMAI24!AH38+MVTJUIN24!AH38+MVTJUIL24!AH38+MVTAOUT24!AH38+MVTSEPT24!AH38+MVTOCT24!AH38+MVTNOV24!AH38+MVTDEC24!AH38</f>
        <v>0</v>
      </c>
      <c r="AI39" s="36">
        <f>MVTJANV24!AI38+MVTFEV24!AI38+MVTMARS24!AI38+MVTAVRIL24!AI38+MVTMAI24!AI38+MVTJUIN24!AI38+MVTJUIL24!AI38+MVTAOUT24!AI38+MVTSEPT24!AI38+MVTOCT24!AI38+MVTNOV24!AI38+MVTDEC24!AI38</f>
        <v>0</v>
      </c>
      <c r="AJ39" s="36">
        <f>MVTJANV24!AJ38+MVTFEV24!AJ38+MVTMARS24!AJ38+MVTAVRIL24!AJ38+MVTMAI24!AJ38+MVTJUIN24!AJ38+MVTJUIL24!AJ38+MVTAOUT24!AJ38+MVTSEPT24!AJ38+MVTOCT24!AJ38+MVTNOV24!AJ38+MVTDEC24!AJ38</f>
        <v>0</v>
      </c>
      <c r="AK39" s="36">
        <f>MVTJANV24!AK38+MVTFEV24!AK38+MVTMARS24!AK38+MVTAVRIL24!AK38+MVTMAI24!AK38+MVTJUIN24!AK38+MVTJUIL24!AK38+MVTAOUT24!AK38+MVTSEPT24!AK38+MVTOCT24!AK38+MVTNOV24!AK38+MVTDEC24!AK38</f>
        <v>0</v>
      </c>
      <c r="AM39" s="144">
        <f t="shared" si="2"/>
        <v>0</v>
      </c>
    </row>
    <row r="40" spans="1:42" ht="15.75" x14ac:dyDescent="0.25">
      <c r="A40" s="1" t="s">
        <v>56</v>
      </c>
      <c r="B40" s="1" t="str">
        <f>VLOOKUP(A40,[19]LISTADHERENT!A$5:H$60,3,0)</f>
        <v>YOUMBI EMMANUEL</v>
      </c>
      <c r="C40" s="36">
        <f>+MVTDEC23!C39</f>
        <v>700000</v>
      </c>
      <c r="D40" s="36">
        <f>+MVTDEC23!D39</f>
        <v>1157834.9698456018</v>
      </c>
      <c r="E40" s="36">
        <f>VLOOKUP($A40,[24]HISTOJANV24!$A$6:$BA$38,48,0)</f>
        <v>0</v>
      </c>
      <c r="F40" s="36">
        <f>MVTDEC24!F39</f>
        <v>2211313.2142100567</v>
      </c>
      <c r="G40" s="5">
        <f>MVTDEC24!G39</f>
        <v>2211313.2142100567</v>
      </c>
      <c r="H40" s="36">
        <f>MVTDEC23!H39+MVTJANV24!H39+MVTFEV24!H39+MVTMARS24!H39+MVTAVRIL24!H39+MVTMAI24!H39+MVTJUIN24!H39+MVTJUIL24!H39+MVTAOUT24!H39+MVTSEPT24!H39+MVTOCT24!H39+MVTNOV24!H39+MVTDEC24!H39</f>
        <v>125478.24436445507</v>
      </c>
      <c r="I40" s="6">
        <f t="shared" si="0"/>
        <v>2336791.4585745116</v>
      </c>
      <c r="J40" s="36">
        <f>MVTJANV24!J39+MVTFEV24!J39+MVTMARS24!J39+MVTAVRIL24!J39+MVTMAI24!J39+MVTJUIN24!J39+MVTJUIL24!J39+MVTAOUT24!J39+MVTSEPT24!J39+MVTOCT24!J39+MVTNOV24!J39+MVTDEC24!J39</f>
        <v>0</v>
      </c>
      <c r="K40" s="36">
        <f>MVTJANV24!K39+MVTFEV24!K39+MVTMARS24!K39+MVTAVRIL24!K39+MVTMAI24!K39+MVTJUIN24!K39+MVTJUIL24!K39+MVTAOUT24!K39+MVTSEPT24!K39+MVTOCT24!K39+MVTNOV24!K39+MVTDEC24!K39</f>
        <v>300000</v>
      </c>
      <c r="L40" s="36">
        <f>MVTJANV24!L39+MVTFEV24!L39+MVTMARS24!L39+MVTAVRIL24!L39+MVTMAI24!L39+MVTJUIN24!L39+MVTJUIL24!L39+MVTAOUT24!L39+MVTSEPT24!L39+MVTOCT24!L39+MVTNOV24!L39+MVTDEC24!L39</f>
        <v>228000</v>
      </c>
      <c r="M40" s="36">
        <f>MVTJANV24!M39+MVTFEV24!M39+MVTMARS24!M39+MVTAVRIL24!M39+MVTMAI24!M39+MVTJUIN24!M39+MVTJUIL24!M39+MVTAOUT24!M39+MVTSEPT24!M39+MVTOCT24!M39+MVTNOV24!M39+MVTDEC24!M39</f>
        <v>12000</v>
      </c>
      <c r="N40" s="36">
        <f>MVTJANV24!N39+MVTFEV24!N39+MVTMARS24!N39+MVTAVRIL24!N39+MVTMAI24!N39+MVTJUIN24!N39+MVTJUIL24!N39+MVTAOUT24!N39+MVTSEPT24!N39+MVTOCT24!N39+MVTNOV24!N39+MVTDEC24!N39</f>
        <v>12000</v>
      </c>
      <c r="O40" s="36">
        <f>MVTJANV24!O39+MVTFEV24!O39+MVTMARS24!O39+MVTAVRIL24!O39+MVTMAI24!O39+MVTJUIN24!O39+MVTJUIL24!O39+MVTAOUT24!O39+MVTSEPT24!O39+MVTOCT24!O39+MVTNOV24!O39+MVTDEC24!O39</f>
        <v>48000</v>
      </c>
      <c r="P40" s="36">
        <f>MVTJANV24!P39+MVTFEV24!P39+MVTMARS24!P39+MVTAVRIL24!P39+MVTMAI24!P39+MVTJUIN24!P39+MVTJUIL24!P39+MVTAOUT24!P39+MVTSEPT24!P39+MVTOCT24!P39+MVTNOV24!P39+MVTDEC24!P39</f>
        <v>0</v>
      </c>
      <c r="Q40" s="36">
        <f>MVTJANV24!Q39+MVTFEV24!Q39+MVTMARS24!Q39+MVTAVRIL24!Q39+MVTMAI24!Q39+MVTJUIN24!Q39+MVTJUIL24!Q39+MVTAOUT24!Q39+MVTSEPT24!Q39+MVTOCT24!Q39+MVTNOV24!Q39+MVTDEC24!Q39</f>
        <v>0</v>
      </c>
      <c r="R40" s="36">
        <f>MVTJANV24!R39+MVTFEV24!R39+MVTMARS24!R39+MVTAVRIL24!R39+MVTMAI24!R39+MVTJUIN24!R39+MVTJUIL24!R39+MVTAOUT24!R39+MVTSEPT24!R39+MVTOCT24!R39+MVTNOV24!R39+MVTDEC24!R39</f>
        <v>0</v>
      </c>
      <c r="S40" s="36">
        <f>MVTDEC23!S39+MVTJANV24!S39+MVTFEV24!S39+MVTMARS24!S39+MVTAVRIL24!S39+MVTMAI24!S39+MVTJUIN24!S39+MVTJUIL24!S39+MVTAOUT24!S39+MVTSEPT24!S39+MVTOCT24!S39+MVTNOV24!S39+MVTDEC24!S39</f>
        <v>0</v>
      </c>
      <c r="T40" s="36">
        <f>MVTDEC23!T39+MVTJANV24!T39+MVTFEV24!T39+MVTMARS24!T39+MVTAVRIL24!T39+MVTMAI24!T39+MVTJUIN24!T39+MVTJUIL24!T39+MVTAOUT24!T39+MVTSEPT24!T39+MVTOCT24!T39+MVTNOV24!T39+MVTDEC24!T39</f>
        <v>0</v>
      </c>
      <c r="U40" s="36"/>
      <c r="V40" s="36">
        <f>MVTJANV24!V39+MVTFEV24!V39+MVTMARS24!V39+MVTAVRIL24!V39+MVTMAI24!V39+MVTJUIN24!V39+MVTJUIL24!V39+MVTAOUT24!V39+MVTSEPT24!V39+MVTOCT24!V39+MVTNOV24!V39+MVTDEC24!V39</f>
        <v>0</v>
      </c>
      <c r="W40" s="36">
        <f t="shared" si="1"/>
        <v>0</v>
      </c>
      <c r="X40" s="36"/>
      <c r="Y40" s="36"/>
      <c r="Z40" s="36">
        <f>MVTJANV24!Z39+MVTFEV24!Z39+MVTMARS24!Z39+MVTAVRIL24!Z39+MVTMAI24!Z39+MVTJUIN24!Z39+MVTJUIL24!Z39+MVTAOUT24!Z39+MVTSEPT24!Z39+MVTOCT24!Z39+MVTNOV24!Z39+MVTDEC24!Z39</f>
        <v>0</v>
      </c>
      <c r="AA40" s="36">
        <f>MVTJANV24!AA39+MVTFEV24!AA39+MVTMARS24!AA39+MVTAVRIL24!AA39+MVTMAI24!AA39+MVTJUIN24!AA39+MVTJUIL24!AA39+MVTAOUT24!AA39+MVTSEPT24!AA39+MVTOCT24!AA39+MVTNOV24!AA39+MVTDEC24!AA39</f>
        <v>0</v>
      </c>
      <c r="AB40" s="36">
        <f>MVTJANV24!AB39+MVTFEV24!AB39+MVTMARS24!AB39+MVTAVRIL24!AB39+MVTMAI24!AB39+MVTJUIN24!AB39+MVTJUIL24!AB39+MVTAOUT24!AB39+MVTSEPT24!AB39+MVTOCT24!AB39+MVTNOV24!AB39+MVTDEC24!AB39</f>
        <v>0</v>
      </c>
      <c r="AC40" s="36">
        <f>MVTJANV24!AC39+MVTFEV24!AC39+MVTMARS24!AC39+MVTAVRIL24!AC39+MVTMAI24!AC39+MVTJUIN24!AC39+MVTJUIL24!AC39+MVTAOUT24!AC39+MVTSEPT24!AC39+MVTOCT24!AC39+MVTNOV24!AC39+MVTDEC24!AC39</f>
        <v>0</v>
      </c>
      <c r="AD40" s="36">
        <f>MVTJANV24!AD39+MVTFEV24!AD39+MVTMARS24!AD39+MVTAVRIL24!AD39+MVTMAI24!AD39+MVTJUIN24!AD39+MVTJUIL24!AD39+MVTAOUT24!AD39+MVTSEPT24!AD39+MVTOCT24!AD39+MVTNOV24!AD39+MVTDEC24!AD39</f>
        <v>0</v>
      </c>
      <c r="AE40" s="36">
        <f>MVTJANV24!AE39+MVTFEV24!AE39+MVTMARS24!AE39+MVTAVRIL24!AE39+MVTMAI24!AE39+MVTJUIN24!AE39+MVTJUIL24!AE39+MVTAOUT24!AE39+MVTSEPT24!AE39+MVTOCT24!AE39+MVTNOV24!AE39+MVTDEC24!AE39</f>
        <v>0</v>
      </c>
      <c r="AF40" s="36">
        <f>MVTJANV24!AF39+MVTFEV24!AF39+MVTMARS24!AF39+MVTAVRIL24!AF39+MVTMAI24!AF39+MVTJUIN24!AF39+MVTJUIL24!AF39+MVTAOUT24!AF39+MVTSEPT24!AF39+MVTOCT24!AF39+MVTNOV24!AF39+MVTDEC24!AF39</f>
        <v>0</v>
      </c>
      <c r="AG40" s="36">
        <f>MVTJANV24!AG39+MVTFEV24!AG39+MVTMARS24!AG39+MVTAVRIL24!AG39+MVTMAI24!AG39+MVTJUIN24!AG39+MVTJUIL24!AG39+MVTAOUT24!AG39+MVTSEPT24!AG39+MVTOCT24!AG39+MVTNOV24!AG39+MVTDEC24!AG39</f>
        <v>0</v>
      </c>
      <c r="AH40" s="36">
        <f>MVTJANV24!AH39+MVTFEV24!AH39+MVTMARS24!AH39+MVTAVRIL24!AH39+MVTMAI24!AH39+MVTJUIN24!AH39+MVTJUIL24!AH39+MVTAOUT24!AH39+MVTSEPT24!AH39+MVTOCT24!AH39+MVTNOV24!AH39+MVTDEC24!AH39</f>
        <v>0</v>
      </c>
      <c r="AI40" s="36">
        <f>MVTJANV24!AI39+MVTFEV24!AI39+MVTMARS24!AI39+MVTAVRIL24!AI39+MVTMAI24!AI39+MVTJUIN24!AI39+MVTJUIL24!AI39+MVTAOUT24!AI39+MVTSEPT24!AI39+MVTOCT24!AI39+MVTNOV24!AI39+MVTDEC24!AI39</f>
        <v>0</v>
      </c>
      <c r="AJ40" s="36">
        <f>MVTJANV24!AJ39+MVTFEV24!AJ39+MVTMARS24!AJ39+MVTAVRIL24!AJ39+MVTMAI24!AJ39+MVTJUIN24!AJ39+MVTJUIL24!AJ39+MVTAOUT24!AJ39+MVTSEPT24!AJ39+MVTOCT24!AJ39+MVTNOV24!AJ39+MVTDEC24!AJ39</f>
        <v>0</v>
      </c>
      <c r="AK40" s="36">
        <f>MVTJANV24!AK39+MVTFEV24!AK39+MVTMARS24!AK39+MVTAVRIL24!AK39+MVTMAI24!AK39+MVTJUIN24!AK39+MVTJUIL24!AK39+MVTAOUT24!AK39+MVTSEPT24!AK39+MVTOCT24!AK39+MVTNOV24!AK39+MVTDEC24!AK39</f>
        <v>0</v>
      </c>
      <c r="AM40" s="144">
        <f t="shared" si="2"/>
        <v>0</v>
      </c>
    </row>
    <row r="41" spans="1:42" ht="18" x14ac:dyDescent="0.25">
      <c r="A41" s="1"/>
      <c r="B41" s="1"/>
      <c r="C41" s="36">
        <f>+MVTDEC23!C40</f>
        <v>0</v>
      </c>
      <c r="D41" s="36">
        <f>+MVTDEC23!D40</f>
        <v>0</v>
      </c>
      <c r="E41" s="1"/>
      <c r="F41" s="1"/>
      <c r="G41" s="1"/>
      <c r="H41" s="36"/>
      <c r="I41" s="1"/>
      <c r="W41" s="36">
        <f t="shared" si="1"/>
        <v>0</v>
      </c>
      <c r="AL41" s="9"/>
      <c r="AM41" s="9"/>
      <c r="AN41" s="9"/>
      <c r="AO41" s="9"/>
      <c r="AP41" s="9"/>
    </row>
    <row r="42" spans="1:42" ht="18" x14ac:dyDescent="0.25">
      <c r="A42" s="1" t="s">
        <v>57</v>
      </c>
      <c r="B42" s="1"/>
      <c r="C42" s="9">
        <f t="shared" ref="C42:AP42" si="3">SUM(C7:C41)</f>
        <v>19518742.582153067</v>
      </c>
      <c r="D42" s="9">
        <f t="shared" si="3"/>
        <v>4710914.0731219202</v>
      </c>
      <c r="E42" s="9">
        <f t="shared" si="3"/>
        <v>0</v>
      </c>
      <c r="F42" s="9">
        <f t="shared" si="3"/>
        <v>34184656.655274987</v>
      </c>
      <c r="G42" s="9">
        <f t="shared" si="3"/>
        <v>32091439.524547949</v>
      </c>
      <c r="H42" s="36">
        <f t="shared" si="3"/>
        <v>1492499.9999999998</v>
      </c>
      <c r="I42" s="9">
        <f t="shared" si="3"/>
        <v>35677156.655274987</v>
      </c>
      <c r="J42" s="9">
        <f t="shared" si="3"/>
        <v>0</v>
      </c>
      <c r="K42" s="9">
        <f t="shared" si="3"/>
        <v>10766500</v>
      </c>
      <c r="L42" s="9">
        <f t="shared" si="3"/>
        <v>8462500</v>
      </c>
      <c r="M42" s="9">
        <f t="shared" si="3"/>
        <v>384000</v>
      </c>
      <c r="N42" s="9">
        <f t="shared" si="3"/>
        <v>384000</v>
      </c>
      <c r="O42" s="9">
        <f t="shared" si="3"/>
        <v>1536000</v>
      </c>
      <c r="P42" s="9">
        <f t="shared" si="3"/>
        <v>120000</v>
      </c>
      <c r="Q42" s="9">
        <f t="shared" si="3"/>
        <v>75000</v>
      </c>
      <c r="R42" s="9">
        <f t="shared" si="3"/>
        <v>120000</v>
      </c>
      <c r="S42" s="9">
        <f t="shared" si="3"/>
        <v>19263500</v>
      </c>
      <c r="T42" s="9">
        <f t="shared" si="3"/>
        <v>1492500</v>
      </c>
      <c r="U42" s="9">
        <f t="shared" si="3"/>
        <v>0</v>
      </c>
      <c r="V42" s="9">
        <f t="shared" si="3"/>
        <v>1750000</v>
      </c>
      <c r="W42" s="9">
        <f t="shared" si="3"/>
        <v>17513500</v>
      </c>
      <c r="X42" s="9">
        <f t="shared" si="3"/>
        <v>0</v>
      </c>
      <c r="Y42" s="9">
        <f t="shared" si="3"/>
        <v>0</v>
      </c>
      <c r="Z42" s="9">
        <f t="shared" si="3"/>
        <v>0</v>
      </c>
      <c r="AA42" s="9">
        <f t="shared" si="3"/>
        <v>0</v>
      </c>
      <c r="AB42" s="9">
        <f t="shared" si="3"/>
        <v>0</v>
      </c>
      <c r="AC42" s="9">
        <f t="shared" si="3"/>
        <v>0</v>
      </c>
      <c r="AD42" s="9">
        <f t="shared" si="3"/>
        <v>0</v>
      </c>
      <c r="AE42" s="9">
        <f t="shared" si="3"/>
        <v>0</v>
      </c>
      <c r="AF42" s="9">
        <f t="shared" si="3"/>
        <v>102000</v>
      </c>
      <c r="AG42" s="9">
        <f t="shared" si="3"/>
        <v>500000</v>
      </c>
      <c r="AH42" s="9">
        <f t="shared" si="3"/>
        <v>200000</v>
      </c>
      <c r="AI42" s="9">
        <f t="shared" si="3"/>
        <v>400000</v>
      </c>
      <c r="AJ42" s="9">
        <f t="shared" si="3"/>
        <v>0</v>
      </c>
      <c r="AK42" s="9">
        <f t="shared" si="3"/>
        <v>0</v>
      </c>
      <c r="AL42" s="9"/>
      <c r="AM42" s="9">
        <f t="shared" si="3"/>
        <v>1492500</v>
      </c>
      <c r="AN42" s="9">
        <f t="shared" si="3"/>
        <v>0</v>
      </c>
      <c r="AO42" s="9">
        <f t="shared" si="3"/>
        <v>0</v>
      </c>
      <c r="AP42" s="9">
        <f t="shared" si="3"/>
        <v>0</v>
      </c>
    </row>
    <row r="45" spans="1:42" x14ac:dyDescent="0.25">
      <c r="G45" s="2"/>
    </row>
  </sheetData>
  <autoFilter ref="A6:V40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50"/>
  <sheetViews>
    <sheetView zoomScaleNormal="100" zoomScaleSheetLayoutView="106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U27" sqref="U27:U2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" customWidth="1"/>
    <col min="6" max="6" width="16.85546875" bestFit="1" customWidth="1"/>
    <col min="7" max="7" width="15.28515625" customWidth="1"/>
    <col min="8" max="8" width="15" bestFit="1" customWidth="1"/>
    <col min="9" max="10" width="15.28515625" customWidth="1"/>
    <col min="11" max="11" width="16.85546875" bestFit="1" customWidth="1"/>
    <col min="12" max="15" width="16.85546875" customWidth="1"/>
    <col min="16" max="20" width="20.7109375" customWidth="1"/>
    <col min="21" max="21" width="17.5703125" style="110" bestFit="1" customWidth="1"/>
    <col min="22" max="22" width="16.5703125" customWidth="1"/>
    <col min="23" max="23" width="12.42578125" bestFit="1" customWidth="1"/>
    <col min="24" max="24" width="15" bestFit="1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2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7" thickBot="1" x14ac:dyDescent="0.45">
      <c r="A4" s="164" t="s">
        <v>315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</row>
    <row r="5" spans="1:26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25">
      <c r="A6" s="1" t="s">
        <v>16</v>
      </c>
      <c r="B6" s="1" t="str">
        <f>VLOOKUP($A6,[15]LISTADHERENT!A$5:H$60,3,0)</f>
        <v>ASELBY</v>
      </c>
      <c r="C6" s="6">
        <v>584177.00555049011</v>
      </c>
      <c r="D6" s="6">
        <v>0</v>
      </c>
      <c r="E6" s="6">
        <v>0</v>
      </c>
      <c r="F6" s="6">
        <v>584177.00555049011</v>
      </c>
      <c r="G6" s="6">
        <v>100621.45354347058</v>
      </c>
      <c r="H6" s="6">
        <v>0</v>
      </c>
      <c r="I6" s="43"/>
      <c r="J6" s="43"/>
      <c r="K6" s="43">
        <v>100621.45354347058</v>
      </c>
      <c r="L6" s="43"/>
      <c r="M6" s="43"/>
      <c r="N6" s="43"/>
      <c r="O6" s="43">
        <v>0</v>
      </c>
      <c r="P6" s="43"/>
      <c r="Q6" s="43"/>
      <c r="R6" s="43">
        <v>0</v>
      </c>
      <c r="S6" s="43"/>
      <c r="T6" s="43"/>
      <c r="U6" s="43">
        <f>VLOOKUP($A6,'[17]EPARGNE 2023'!$A$5:$BF$47,4,0)</f>
        <v>816543.52134848095</v>
      </c>
      <c r="V6" s="44">
        <v>0</v>
      </c>
      <c r="W6" s="43">
        <v>0</v>
      </c>
      <c r="X6" s="11">
        <v>670000</v>
      </c>
      <c r="Y6" s="2" t="s">
        <v>1</v>
      </c>
      <c r="Z6" s="2"/>
    </row>
    <row r="7" spans="1:26" x14ac:dyDescent="0.25">
      <c r="A7" s="1" t="s">
        <v>17</v>
      </c>
      <c r="B7" s="1" t="s">
        <v>101</v>
      </c>
      <c r="C7" s="6"/>
      <c r="D7" s="6"/>
      <c r="E7" s="6"/>
      <c r="F7" s="6"/>
      <c r="G7" s="6"/>
      <c r="H7" s="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>
        <f>VLOOKUP($A7,'[17]EPARGNE 2023'!$A$5:$BF$47,4,0)</f>
        <v>0</v>
      </c>
      <c r="V7" s="44">
        <v>600000</v>
      </c>
      <c r="W7" s="43"/>
      <c r="X7" s="11"/>
      <c r="Y7" s="2" t="s">
        <v>101</v>
      </c>
      <c r="Z7" s="2"/>
    </row>
    <row r="8" spans="1:26" x14ac:dyDescent="0.25">
      <c r="A8" s="1" t="s">
        <v>19</v>
      </c>
      <c r="B8" s="1" t="s">
        <v>102</v>
      </c>
      <c r="C8" s="6">
        <v>570000</v>
      </c>
      <c r="D8" s="6">
        <v>-258.93850559103885</v>
      </c>
      <c r="E8" s="6">
        <v>0</v>
      </c>
      <c r="F8" s="6">
        <v>570000</v>
      </c>
      <c r="G8" s="6">
        <v>101033.24644490756</v>
      </c>
      <c r="H8" s="6">
        <v>36000</v>
      </c>
      <c r="I8" s="43"/>
      <c r="J8" s="43"/>
      <c r="K8" s="43">
        <v>136774.30793931652</v>
      </c>
      <c r="L8" s="43"/>
      <c r="M8" s="43">
        <v>20000</v>
      </c>
      <c r="N8" s="43">
        <v>30000</v>
      </c>
      <c r="O8" s="43">
        <v>50000</v>
      </c>
      <c r="P8" s="43">
        <v>86774.307939316524</v>
      </c>
      <c r="Q8" s="43">
        <v>70000</v>
      </c>
      <c r="R8" s="43">
        <v>0</v>
      </c>
      <c r="S8" s="43">
        <v>86774.307939316524</v>
      </c>
      <c r="T8" s="43">
        <v>40000</v>
      </c>
      <c r="U8" s="43">
        <f>VLOOKUP($A8,'[17]EPARGNE 2023'!$A$5:$BF$47,4,0)</f>
        <v>7023.6611389458412</v>
      </c>
      <c r="V8" s="44">
        <v>600000</v>
      </c>
      <c r="W8" s="43">
        <v>0</v>
      </c>
      <c r="X8" s="11"/>
      <c r="Y8" s="2" t="s">
        <v>102</v>
      </c>
      <c r="Z8" s="2"/>
    </row>
    <row r="9" spans="1:26" x14ac:dyDescent="0.25">
      <c r="A9" s="1" t="s">
        <v>23</v>
      </c>
      <c r="B9" s="1" t="s">
        <v>93</v>
      </c>
      <c r="C9" s="6">
        <v>570000</v>
      </c>
      <c r="D9" s="6">
        <v>1714.0012148400419</v>
      </c>
      <c r="E9" s="6">
        <v>0</v>
      </c>
      <c r="F9" s="6">
        <v>570000</v>
      </c>
      <c r="G9" s="6">
        <v>112808.07385996425</v>
      </c>
      <c r="H9" s="6">
        <v>133500</v>
      </c>
      <c r="I9" s="43"/>
      <c r="J9" s="43"/>
      <c r="K9" s="43">
        <v>248022.07507480431</v>
      </c>
      <c r="L9" s="43"/>
      <c r="M9" s="43">
        <v>20000</v>
      </c>
      <c r="N9" s="43">
        <v>30000</v>
      </c>
      <c r="O9" s="43">
        <v>50000</v>
      </c>
      <c r="P9" s="43">
        <v>198022.07507480431</v>
      </c>
      <c r="Q9" s="43">
        <v>0</v>
      </c>
      <c r="R9" s="43">
        <v>1000000</v>
      </c>
      <c r="S9" s="43">
        <v>-801977.92492519575</v>
      </c>
      <c r="T9" s="43">
        <v>50000</v>
      </c>
      <c r="U9" s="43">
        <f>VLOOKUP($A9,'[17]EPARGNE 2023'!$A$5:$BF$47,4,0)</f>
        <v>4809.8069585817866</v>
      </c>
      <c r="V9" s="44">
        <v>600000</v>
      </c>
      <c r="W9" s="43">
        <v>0</v>
      </c>
      <c r="X9" s="11"/>
      <c r="Y9" s="2" t="s">
        <v>93</v>
      </c>
      <c r="Z9" s="2"/>
    </row>
    <row r="10" spans="1:26" x14ac:dyDescent="0.25">
      <c r="A10" s="1" t="s">
        <v>154</v>
      </c>
      <c r="B10" s="1" t="s">
        <v>179</v>
      </c>
      <c r="C10" s="6">
        <v>570000</v>
      </c>
      <c r="D10" s="6">
        <v>359</v>
      </c>
      <c r="E10" s="6">
        <v>0</v>
      </c>
      <c r="F10" s="6">
        <v>570000</v>
      </c>
      <c r="G10" s="6">
        <v>101199.66843219555</v>
      </c>
      <c r="H10" s="6">
        <v>37000</v>
      </c>
      <c r="I10" s="43"/>
      <c r="J10" s="43"/>
      <c r="K10" s="43">
        <v>138558.66843219555</v>
      </c>
      <c r="L10" s="43"/>
      <c r="M10" s="43">
        <v>20000</v>
      </c>
      <c r="N10" s="43">
        <v>30000</v>
      </c>
      <c r="O10" s="43">
        <v>50000</v>
      </c>
      <c r="P10" s="43">
        <v>88558.668432195554</v>
      </c>
      <c r="Q10" s="43">
        <v>113000</v>
      </c>
      <c r="R10" s="43">
        <v>0</v>
      </c>
      <c r="S10" s="43">
        <v>88558.668432195554</v>
      </c>
      <c r="T10" s="43">
        <v>0</v>
      </c>
      <c r="U10" s="43">
        <f>VLOOKUP($A10,'[17]EPARGNE 2023'!$A$5:$BF$47,4,0)</f>
        <v>48710.412466726033</v>
      </c>
      <c r="V10" s="44">
        <v>600000</v>
      </c>
      <c r="W10" s="43">
        <v>0</v>
      </c>
      <c r="X10" s="11"/>
      <c r="Y10" s="2" t="s">
        <v>179</v>
      </c>
      <c r="Z10" s="2"/>
    </row>
    <row r="11" spans="1:26" x14ac:dyDescent="0.25">
      <c r="A11" s="1" t="s">
        <v>24</v>
      </c>
      <c r="B11" s="1" t="s">
        <v>104</v>
      </c>
      <c r="C11" s="6">
        <v>570000</v>
      </c>
      <c r="D11" s="6">
        <v>110412.64212220861</v>
      </c>
      <c r="E11" s="6">
        <v>0</v>
      </c>
      <c r="F11" s="6">
        <v>570000</v>
      </c>
      <c r="G11" s="6">
        <v>120957.07512329261</v>
      </c>
      <c r="H11" s="6">
        <v>41000</v>
      </c>
      <c r="I11" s="43"/>
      <c r="J11" s="43"/>
      <c r="K11" s="43">
        <v>272369.71724550123</v>
      </c>
      <c r="L11" s="43"/>
      <c r="M11" s="43">
        <v>20000</v>
      </c>
      <c r="N11" s="43">
        <v>30000</v>
      </c>
      <c r="O11" s="43">
        <v>50000</v>
      </c>
      <c r="P11" s="43">
        <v>222369.71724550123</v>
      </c>
      <c r="Q11" s="43">
        <v>70000</v>
      </c>
      <c r="R11" s="43">
        <v>1000000</v>
      </c>
      <c r="S11" s="43">
        <v>-777630.28275449877</v>
      </c>
      <c r="T11" s="43">
        <v>20000</v>
      </c>
      <c r="U11" s="43">
        <f>VLOOKUP($A11,'[17]EPARGNE 2023'!$A$5:$BF$47,4,0)</f>
        <v>4750.0783119258704</v>
      </c>
      <c r="V11" s="44">
        <v>600000</v>
      </c>
      <c r="W11" s="43">
        <v>0</v>
      </c>
      <c r="X11" s="11"/>
      <c r="Y11" s="2" t="s">
        <v>104</v>
      </c>
      <c r="Z11" s="2"/>
    </row>
    <row r="12" spans="1:26" x14ac:dyDescent="0.25">
      <c r="A12" s="1" t="s">
        <v>25</v>
      </c>
      <c r="B12" s="1" t="s">
        <v>89</v>
      </c>
      <c r="C12" s="6">
        <v>570000</v>
      </c>
      <c r="D12" s="6">
        <v>18508.84987508686</v>
      </c>
      <c r="E12" s="6">
        <v>0</v>
      </c>
      <c r="F12" s="6">
        <v>570000</v>
      </c>
      <c r="G12" s="6">
        <v>104359.28960396376</v>
      </c>
      <c r="H12" s="6">
        <v>39000</v>
      </c>
      <c r="I12" s="43"/>
      <c r="J12" s="43"/>
      <c r="K12" s="43">
        <v>161868.13947905062</v>
      </c>
      <c r="L12" s="43"/>
      <c r="M12" s="43">
        <v>20000</v>
      </c>
      <c r="N12" s="43">
        <v>30000</v>
      </c>
      <c r="O12" s="43">
        <v>50000</v>
      </c>
      <c r="P12" s="43">
        <v>111868.13947905062</v>
      </c>
      <c r="Q12" s="43">
        <v>70000</v>
      </c>
      <c r="R12" s="43">
        <v>0</v>
      </c>
      <c r="S12" s="43">
        <v>111868.13947905062</v>
      </c>
      <c r="T12" s="43">
        <v>60000</v>
      </c>
      <c r="U12" s="43">
        <f>VLOOKUP($A12,'[17]EPARGNE 2023'!$A$5:$BF$47,4,0)</f>
        <v>10718.850200936431</v>
      </c>
      <c r="V12" s="44">
        <v>600000</v>
      </c>
      <c r="W12" s="43">
        <v>0</v>
      </c>
      <c r="X12" s="11"/>
      <c r="Y12" s="2" t="s">
        <v>89</v>
      </c>
      <c r="Z12" s="2"/>
    </row>
    <row r="13" spans="1:26" x14ac:dyDescent="0.25">
      <c r="A13" s="1" t="s">
        <v>79</v>
      </c>
      <c r="B13" s="1" t="s">
        <v>70</v>
      </c>
      <c r="C13" s="6">
        <v>570000</v>
      </c>
      <c r="D13" s="6">
        <v>6527.0543220352411</v>
      </c>
      <c r="E13" s="6">
        <v>0</v>
      </c>
      <c r="F13" s="6">
        <v>570000</v>
      </c>
      <c r="G13" s="6">
        <v>107032.61386127467</v>
      </c>
      <c r="H13" s="6">
        <v>96000</v>
      </c>
      <c r="I13" s="43"/>
      <c r="J13" s="43"/>
      <c r="K13" s="43">
        <v>209559.6681833099</v>
      </c>
      <c r="L13" s="43"/>
      <c r="M13" s="43">
        <v>20000</v>
      </c>
      <c r="N13" s="43">
        <v>30000</v>
      </c>
      <c r="O13" s="43">
        <v>50000</v>
      </c>
      <c r="P13" s="43">
        <v>159559.6681833099</v>
      </c>
      <c r="Q13" s="43">
        <v>90000</v>
      </c>
      <c r="R13" s="43">
        <v>1000000</v>
      </c>
      <c r="S13" s="43">
        <v>-840440.33181669004</v>
      </c>
      <c r="T13" s="43">
        <v>115000</v>
      </c>
      <c r="U13" s="43">
        <f>VLOOKUP($A13,'[17]EPARGNE 2023'!$A$5:$BF$47,4,0)</f>
        <v>584.0460014406126</v>
      </c>
      <c r="V13" s="44">
        <v>600000</v>
      </c>
      <c r="W13" s="43">
        <v>0</v>
      </c>
      <c r="X13" s="11"/>
      <c r="Y13" s="2" t="s">
        <v>70</v>
      </c>
      <c r="Z13" s="2"/>
    </row>
    <row r="14" spans="1:26" x14ac:dyDescent="0.25">
      <c r="A14" s="1" t="s">
        <v>26</v>
      </c>
      <c r="B14" s="1" t="s">
        <v>105</v>
      </c>
      <c r="C14" s="6">
        <v>570000</v>
      </c>
      <c r="D14" s="6">
        <v>253289.50601995771</v>
      </c>
      <c r="E14" s="6">
        <v>0</v>
      </c>
      <c r="F14" s="6">
        <v>570000</v>
      </c>
      <c r="G14" s="6">
        <v>148674.9398531277</v>
      </c>
      <c r="H14" s="6">
        <v>91000</v>
      </c>
      <c r="I14" s="43"/>
      <c r="J14" s="43"/>
      <c r="K14" s="43">
        <v>492964.44587308541</v>
      </c>
      <c r="L14" s="43"/>
      <c r="M14" s="43">
        <v>20000</v>
      </c>
      <c r="N14" s="43">
        <v>30000</v>
      </c>
      <c r="O14" s="43">
        <v>50000</v>
      </c>
      <c r="P14" s="43">
        <v>442964.44587308541</v>
      </c>
      <c r="Q14" s="43">
        <v>70000</v>
      </c>
      <c r="R14" s="43">
        <v>0</v>
      </c>
      <c r="S14" s="43">
        <v>442964.44587308541</v>
      </c>
      <c r="T14" s="43">
        <v>0</v>
      </c>
      <c r="U14" s="43">
        <f>VLOOKUP($A14,'[17]EPARGNE 2023'!$A$5:$BF$47,4,0)</f>
        <v>458343.17855274049</v>
      </c>
      <c r="V14" s="44">
        <v>600000</v>
      </c>
      <c r="W14" s="43">
        <v>0</v>
      </c>
      <c r="X14" s="11"/>
      <c r="Y14" s="2" t="s">
        <v>105</v>
      </c>
      <c r="Z14" s="2"/>
    </row>
    <row r="15" spans="1:26" ht="14.25" customHeight="1" x14ac:dyDescent="0.25">
      <c r="A15" s="1" t="s">
        <v>28</v>
      </c>
      <c r="B15" s="1" t="s">
        <v>106</v>
      </c>
      <c r="C15" s="6">
        <v>570000</v>
      </c>
      <c r="D15" s="6">
        <v>3435.9669399686391</v>
      </c>
      <c r="E15" s="6">
        <v>0</v>
      </c>
      <c r="F15" s="6">
        <v>570000</v>
      </c>
      <c r="G15" s="6">
        <v>101669.6747074126</v>
      </c>
      <c r="H15" s="6">
        <v>36000</v>
      </c>
      <c r="I15" s="43"/>
      <c r="J15" s="43"/>
      <c r="K15" s="43">
        <v>141105.64164738124</v>
      </c>
      <c r="L15" s="43"/>
      <c r="M15" s="43">
        <v>20000</v>
      </c>
      <c r="N15" s="43">
        <v>30000</v>
      </c>
      <c r="O15" s="43">
        <v>50000</v>
      </c>
      <c r="P15" s="43">
        <v>91105.641647381242</v>
      </c>
      <c r="Q15" s="43">
        <v>70000</v>
      </c>
      <c r="R15" s="43">
        <v>0</v>
      </c>
      <c r="S15" s="43">
        <v>91105.641647381242</v>
      </c>
      <c r="T15" s="43">
        <v>0</v>
      </c>
      <c r="U15" s="43">
        <f>VLOOKUP($A15,'[17]EPARGNE 2023'!$A$5:$BF$47,4,0)</f>
        <v>51112.01036672492</v>
      </c>
      <c r="V15" s="44">
        <v>600000</v>
      </c>
      <c r="W15" s="43">
        <v>0</v>
      </c>
      <c r="X15" s="11"/>
      <c r="Y15" s="2" t="s">
        <v>106</v>
      </c>
      <c r="Z15" s="2"/>
    </row>
    <row r="16" spans="1:26" x14ac:dyDescent="0.25">
      <c r="A16" s="1" t="s">
        <v>29</v>
      </c>
      <c r="B16" s="1" t="s">
        <v>92</v>
      </c>
      <c r="C16" s="6">
        <v>570000</v>
      </c>
      <c r="D16" s="6">
        <v>17580.420303784544</v>
      </c>
      <c r="E16" s="6">
        <v>500000</v>
      </c>
      <c r="F16" s="6">
        <v>70000</v>
      </c>
      <c r="G16" s="6">
        <v>118799.34917766026</v>
      </c>
      <c r="H16" s="6">
        <v>576000</v>
      </c>
      <c r="I16" s="43"/>
      <c r="J16" s="43"/>
      <c r="K16" s="43">
        <v>712379.76948144473</v>
      </c>
      <c r="L16" s="43"/>
      <c r="M16" s="43">
        <v>20000</v>
      </c>
      <c r="N16" s="43">
        <v>30000</v>
      </c>
      <c r="O16" s="43">
        <v>50000</v>
      </c>
      <c r="P16" s="43">
        <v>662379.76948144473</v>
      </c>
      <c r="Q16" s="43">
        <v>70000</v>
      </c>
      <c r="R16" s="43">
        <v>1000000</v>
      </c>
      <c r="S16" s="43">
        <v>-837620.23051855527</v>
      </c>
      <c r="T16" s="43">
        <v>100000</v>
      </c>
      <c r="U16" s="43">
        <f>VLOOKUP($A16,'[17]EPARGNE 2023'!$A$5:$BF$47,4,0)</f>
        <v>16229.566345777828</v>
      </c>
      <c r="V16" s="44">
        <v>600000</v>
      </c>
      <c r="W16" s="43">
        <v>0</v>
      </c>
      <c r="X16" s="11"/>
      <c r="Y16" s="2" t="s">
        <v>92</v>
      </c>
      <c r="Z16" s="2"/>
    </row>
    <row r="17" spans="1:26" s="14" customFormat="1" ht="13.5" customHeight="1" x14ac:dyDescent="0.25">
      <c r="A17" s="1" t="s">
        <v>33</v>
      </c>
      <c r="B17" s="1" t="s">
        <v>109</v>
      </c>
      <c r="C17" s="6">
        <v>570000</v>
      </c>
      <c r="D17" s="6">
        <v>5406.5483426781138</v>
      </c>
      <c r="E17" s="6">
        <v>0</v>
      </c>
      <c r="F17" s="6">
        <v>570000</v>
      </c>
      <c r="G17" s="6">
        <v>102009.09711394762</v>
      </c>
      <c r="H17" s="6">
        <v>36000</v>
      </c>
      <c r="I17" s="46"/>
      <c r="J17" s="43"/>
      <c r="K17" s="43">
        <v>143415.64545662573</v>
      </c>
      <c r="L17" s="46"/>
      <c r="M17" s="43">
        <v>20000</v>
      </c>
      <c r="N17" s="43">
        <v>30000</v>
      </c>
      <c r="O17" s="43">
        <v>50000</v>
      </c>
      <c r="P17" s="43">
        <v>93415.645456625731</v>
      </c>
      <c r="Q17" s="43">
        <v>70000</v>
      </c>
      <c r="R17" s="43">
        <v>0</v>
      </c>
      <c r="S17" s="43">
        <v>93415.645456625731</v>
      </c>
      <c r="T17" s="43"/>
      <c r="U17" s="43">
        <f>VLOOKUP($A17,'[17]EPARGNE 2023'!$A$5:$BF$47,4,0)</f>
        <v>53292.832106360001</v>
      </c>
      <c r="V17" s="44">
        <v>600000</v>
      </c>
      <c r="W17" s="43">
        <v>0</v>
      </c>
      <c r="X17" s="11"/>
      <c r="Y17" s="11" t="s">
        <v>109</v>
      </c>
      <c r="Z17" s="11"/>
    </row>
    <row r="18" spans="1:26" s="14" customFormat="1" x14ac:dyDescent="0.25">
      <c r="A18" s="1" t="s">
        <v>35</v>
      </c>
      <c r="B18" s="1" t="s">
        <v>91</v>
      </c>
      <c r="C18" s="6">
        <v>570000</v>
      </c>
      <c r="D18" s="6">
        <v>8241.6184045160044</v>
      </c>
      <c r="E18" s="6">
        <v>0</v>
      </c>
      <c r="F18" s="6">
        <v>570000</v>
      </c>
      <c r="G18" s="6">
        <v>102529.39845502379</v>
      </c>
      <c r="H18" s="6">
        <v>36000</v>
      </c>
      <c r="I18" s="46"/>
      <c r="J18" s="43"/>
      <c r="K18" s="43">
        <v>146771.01685953978</v>
      </c>
      <c r="L18" s="46"/>
      <c r="M18" s="43">
        <v>20000</v>
      </c>
      <c r="N18" s="43">
        <v>30000</v>
      </c>
      <c r="O18" s="43">
        <v>50000</v>
      </c>
      <c r="P18" s="43">
        <v>96771.016859539784</v>
      </c>
      <c r="Q18" s="43">
        <v>70000</v>
      </c>
      <c r="R18" s="43">
        <v>1000000</v>
      </c>
      <c r="S18" s="43">
        <v>-903228.98314046022</v>
      </c>
      <c r="T18" s="43">
        <v>50000</v>
      </c>
      <c r="U18" s="43">
        <f>VLOOKUP($A18,'[17]EPARGNE 2023'!$A$5:$BF$47,4,0)</f>
        <v>6459.0432257176144</v>
      </c>
      <c r="V18" s="44">
        <v>600000</v>
      </c>
      <c r="W18" s="43">
        <v>0</v>
      </c>
      <c r="X18" s="11"/>
      <c r="Y18" s="11" t="s">
        <v>91</v>
      </c>
      <c r="Z18" s="11"/>
    </row>
    <row r="19" spans="1:26" x14ac:dyDescent="0.25">
      <c r="A19" s="1" t="s">
        <v>36</v>
      </c>
      <c r="B19" s="1" t="s">
        <v>110</v>
      </c>
      <c r="C19" s="6">
        <v>570000</v>
      </c>
      <c r="D19" s="6">
        <v>393.95927050459431</v>
      </c>
      <c r="E19" s="6">
        <v>0</v>
      </c>
      <c r="F19" s="6">
        <v>570000</v>
      </c>
      <c r="G19" s="6">
        <v>101145.70469407149</v>
      </c>
      <c r="H19" s="6">
        <v>36000</v>
      </c>
      <c r="I19" s="43"/>
      <c r="J19" s="43"/>
      <c r="K19" s="43">
        <v>137539.66396457609</v>
      </c>
      <c r="L19" s="43"/>
      <c r="M19" s="43">
        <v>20000</v>
      </c>
      <c r="N19" s="43">
        <v>30000</v>
      </c>
      <c r="O19" s="43">
        <v>50000</v>
      </c>
      <c r="P19" s="43">
        <v>17539.663964576088</v>
      </c>
      <c r="Q19" s="43">
        <v>0</v>
      </c>
      <c r="R19" s="43">
        <v>1000000</v>
      </c>
      <c r="S19" s="43">
        <v>-996848.50995100092</v>
      </c>
      <c r="T19" s="43">
        <v>47000</v>
      </c>
      <c r="U19" s="43">
        <f>VLOOKUP($A19,'[17]EPARGNE 2023'!$A$5:$BF$47,4,0)</f>
        <v>746.1759009861853</v>
      </c>
      <c r="V19" s="44">
        <v>600000</v>
      </c>
      <c r="W19" s="43">
        <v>14388.173915576999</v>
      </c>
      <c r="X19" s="11">
        <v>1070000</v>
      </c>
      <c r="Y19" s="2" t="s">
        <v>110</v>
      </c>
      <c r="Z19" s="2"/>
    </row>
    <row r="20" spans="1:26" x14ac:dyDescent="0.25">
      <c r="A20" s="1" t="s">
        <v>75</v>
      </c>
      <c r="B20" s="1" t="s">
        <v>76</v>
      </c>
      <c r="C20" s="6">
        <v>570000</v>
      </c>
      <c r="D20" s="6">
        <v>112.46348617674084</v>
      </c>
      <c r="E20" s="6">
        <v>0</v>
      </c>
      <c r="F20" s="6">
        <v>570000</v>
      </c>
      <c r="G20" s="6">
        <v>101097.2185080075</v>
      </c>
      <c r="H20" s="6">
        <v>36000</v>
      </c>
      <c r="I20" s="43"/>
      <c r="J20" s="43"/>
      <c r="K20" s="43">
        <v>137209.68199418424</v>
      </c>
      <c r="L20" s="43"/>
      <c r="M20" s="43">
        <v>20000</v>
      </c>
      <c r="N20" s="43">
        <v>30000</v>
      </c>
      <c r="O20" s="43">
        <v>50000</v>
      </c>
      <c r="P20" s="43">
        <v>87209.68199418424</v>
      </c>
      <c r="Q20" s="43">
        <v>70000</v>
      </c>
      <c r="R20" s="43">
        <v>1000000</v>
      </c>
      <c r="S20" s="43">
        <v>-912790.31800581573</v>
      </c>
      <c r="T20" s="43"/>
      <c r="U20" s="43">
        <f>VLOOKUP($A20,'[17]EPARGNE 2023'!$A$5:$BF$47,4,0)</f>
        <v>47746</v>
      </c>
      <c r="V20" s="44">
        <v>600000</v>
      </c>
      <c r="W20" s="43">
        <v>0</v>
      </c>
      <c r="X20" s="11"/>
      <c r="Y20" s="2" t="s">
        <v>76</v>
      </c>
      <c r="Z20" s="2"/>
    </row>
    <row r="21" spans="1:26" x14ac:dyDescent="0.25">
      <c r="A21" s="1" t="s">
        <v>50</v>
      </c>
      <c r="B21" s="1" t="s">
        <v>97</v>
      </c>
      <c r="C21" s="6">
        <v>570000</v>
      </c>
      <c r="D21" s="6">
        <v>30757.615134780004</v>
      </c>
      <c r="E21" s="6">
        <v>0</v>
      </c>
      <c r="F21" s="6">
        <v>570000</v>
      </c>
      <c r="G21" s="6">
        <v>106375.68663264174</v>
      </c>
      <c r="H21" s="6">
        <v>36000</v>
      </c>
      <c r="I21" s="43"/>
      <c r="J21" s="43"/>
      <c r="K21" s="43">
        <v>173133.30176742174</v>
      </c>
      <c r="L21" s="43"/>
      <c r="M21" s="43">
        <v>20000</v>
      </c>
      <c r="N21" s="43">
        <v>30000</v>
      </c>
      <c r="O21" s="43">
        <v>50000</v>
      </c>
      <c r="P21" s="43">
        <v>123133.30176742174</v>
      </c>
      <c r="Q21" s="43">
        <v>70000</v>
      </c>
      <c r="R21" s="43">
        <v>500000</v>
      </c>
      <c r="S21" s="43">
        <v>-376866.69823257823</v>
      </c>
      <c r="T21" s="43"/>
      <c r="U21" s="43">
        <f>VLOOKUP($A21,'[17]EPARGNE 2023'!$A$5:$BF$47,4,0)</f>
        <v>51342.559108640766</v>
      </c>
      <c r="V21" s="44">
        <v>600000</v>
      </c>
      <c r="W21" s="43">
        <v>0</v>
      </c>
      <c r="X21" s="11"/>
      <c r="Y21" s="2" t="s">
        <v>97</v>
      </c>
      <c r="Z21" s="2"/>
    </row>
    <row r="22" spans="1:26" x14ac:dyDescent="0.25">
      <c r="A22" s="1" t="s">
        <v>37</v>
      </c>
      <c r="B22" s="1" t="s">
        <v>111</v>
      </c>
      <c r="C22" s="6">
        <v>570000</v>
      </c>
      <c r="D22" s="6">
        <v>84601.912290623644</v>
      </c>
      <c r="E22" s="6">
        <v>0</v>
      </c>
      <c r="F22" s="6">
        <v>570000</v>
      </c>
      <c r="G22" s="6">
        <v>115650.08701706305</v>
      </c>
      <c r="H22" s="6">
        <v>36000</v>
      </c>
      <c r="I22" s="43"/>
      <c r="J22" s="43"/>
      <c r="K22" s="43">
        <v>236251.9993076867</v>
      </c>
      <c r="L22" s="43"/>
      <c r="M22" s="43">
        <v>20000</v>
      </c>
      <c r="N22" s="43">
        <v>30000</v>
      </c>
      <c r="O22" s="43">
        <v>50000</v>
      </c>
      <c r="P22" s="43">
        <v>186251.9993076867</v>
      </c>
      <c r="Q22" s="43">
        <v>70000</v>
      </c>
      <c r="R22" s="43">
        <v>1000000</v>
      </c>
      <c r="S22" s="43">
        <v>-813748.0006923133</v>
      </c>
      <c r="T22" s="43"/>
      <c r="U22" s="43">
        <f>VLOOKUP($A22,'[17]EPARGNE 2023'!$A$5:$BF$47,4,0)</f>
        <v>140918.4930248888</v>
      </c>
      <c r="V22" s="44">
        <v>600000</v>
      </c>
      <c r="W22" s="43">
        <v>0</v>
      </c>
      <c r="X22" s="11"/>
      <c r="Y22" s="2" t="s">
        <v>111</v>
      </c>
      <c r="Z22" s="2"/>
    </row>
    <row r="23" spans="1:26" x14ac:dyDescent="0.25">
      <c r="A23" s="1" t="s">
        <v>38</v>
      </c>
      <c r="B23" s="1" t="s">
        <v>98</v>
      </c>
      <c r="C23" s="6">
        <v>570000</v>
      </c>
      <c r="D23" s="6">
        <v>101446.16753987665</v>
      </c>
      <c r="E23" s="6">
        <v>0</v>
      </c>
      <c r="F23" s="6">
        <v>570000</v>
      </c>
      <c r="G23" s="6">
        <v>135575.41062087758</v>
      </c>
      <c r="H23" s="6">
        <v>256000</v>
      </c>
      <c r="I23" s="43"/>
      <c r="J23" s="43"/>
      <c r="K23" s="43">
        <v>493021.57816075423</v>
      </c>
      <c r="L23" s="43"/>
      <c r="M23" s="43">
        <v>20000</v>
      </c>
      <c r="N23" s="43">
        <v>30000</v>
      </c>
      <c r="O23" s="43">
        <v>50000</v>
      </c>
      <c r="P23" s="43">
        <v>443021.57816075423</v>
      </c>
      <c r="Q23" s="43">
        <v>70000</v>
      </c>
      <c r="R23" s="43">
        <v>570000</v>
      </c>
      <c r="S23" s="43">
        <v>-126978.42183924577</v>
      </c>
      <c r="T23" s="43">
        <v>100000</v>
      </c>
      <c r="U23" s="43">
        <f>VLOOKUP($A23,'[17]EPARGNE 2023'!$A$5:$BF$47,4,0)</f>
        <v>283210.4580118584</v>
      </c>
      <c r="V23" s="44">
        <v>600000</v>
      </c>
      <c r="W23" s="43">
        <v>0</v>
      </c>
      <c r="X23" s="11"/>
      <c r="Y23" s="2" t="s">
        <v>98</v>
      </c>
      <c r="Z23" s="2"/>
    </row>
    <row r="24" spans="1:26" x14ac:dyDescent="0.25">
      <c r="A24" s="1" t="s">
        <v>39</v>
      </c>
      <c r="B24" s="1" t="s">
        <v>113</v>
      </c>
      <c r="C24" s="6">
        <v>570000</v>
      </c>
      <c r="D24" s="6">
        <v>2927.3714496080356</v>
      </c>
      <c r="E24" s="6">
        <v>0</v>
      </c>
      <c r="F24" s="6">
        <v>570000</v>
      </c>
      <c r="G24" s="6">
        <v>112073.41472061852</v>
      </c>
      <c r="H24" s="6">
        <v>173000</v>
      </c>
      <c r="I24" s="43"/>
      <c r="J24" s="43"/>
      <c r="K24" s="43">
        <v>288000.78617022652</v>
      </c>
      <c r="L24" s="43"/>
      <c r="M24" s="43">
        <v>20000</v>
      </c>
      <c r="N24" s="43">
        <v>30000</v>
      </c>
      <c r="O24" s="43">
        <v>50000</v>
      </c>
      <c r="P24" s="43">
        <v>238000.78617022652</v>
      </c>
      <c r="Q24" s="43">
        <v>90000</v>
      </c>
      <c r="R24" s="43">
        <v>1000000</v>
      </c>
      <c r="S24" s="43">
        <v>-761999.21382977348</v>
      </c>
      <c r="T24" s="43">
        <v>150000</v>
      </c>
      <c r="U24" s="43">
        <f>VLOOKUP($A24,'[17]EPARGNE 2023'!$A$5:$BF$47,4,0)</f>
        <v>39787.038443138823</v>
      </c>
      <c r="V24" s="44">
        <v>600000</v>
      </c>
      <c r="W24" s="43">
        <v>0</v>
      </c>
      <c r="X24" s="11"/>
      <c r="Y24" s="2" t="s">
        <v>113</v>
      </c>
      <c r="Z24" s="2"/>
    </row>
    <row r="25" spans="1:26" x14ac:dyDescent="0.25">
      <c r="A25" s="1" t="s">
        <v>41</v>
      </c>
      <c r="B25" s="1" t="s">
        <v>96</v>
      </c>
      <c r="C25" s="6">
        <v>570000</v>
      </c>
      <c r="D25" s="6">
        <v>3871.4174531366152</v>
      </c>
      <c r="E25" s="6">
        <v>0</v>
      </c>
      <c r="F25" s="6">
        <v>570000</v>
      </c>
      <c r="G25" s="6">
        <v>105375.57226410179</v>
      </c>
      <c r="H25" s="6">
        <v>98000</v>
      </c>
      <c r="I25" s="43"/>
      <c r="J25" s="43"/>
      <c r="K25" s="43">
        <v>207246.98971723841</v>
      </c>
      <c r="L25" s="43"/>
      <c r="M25" s="43">
        <v>20000</v>
      </c>
      <c r="N25" s="43">
        <v>30000</v>
      </c>
      <c r="O25" s="43">
        <v>50000</v>
      </c>
      <c r="P25" s="43">
        <v>157246.98971723841</v>
      </c>
      <c r="Q25" s="43">
        <v>140000</v>
      </c>
      <c r="R25" s="43">
        <v>1000000</v>
      </c>
      <c r="S25" s="43">
        <v>-842753.01028276165</v>
      </c>
      <c r="T25" s="43">
        <v>100000</v>
      </c>
      <c r="U25" s="43">
        <f>VLOOKUP($A25,'[17]EPARGNE 2023'!$A$5:$BF$47,4,0)</f>
        <v>13695.736143450369</v>
      </c>
      <c r="V25" s="44">
        <v>600000</v>
      </c>
      <c r="W25" s="43">
        <v>0</v>
      </c>
      <c r="X25" s="11"/>
      <c r="Y25" s="2" t="s">
        <v>96</v>
      </c>
      <c r="Z25" s="2"/>
    </row>
    <row r="26" spans="1:26" x14ac:dyDescent="0.25">
      <c r="A26" s="1" t="s">
        <v>43</v>
      </c>
      <c r="B26" s="1" t="s">
        <v>100</v>
      </c>
      <c r="C26" s="6">
        <v>570000</v>
      </c>
      <c r="D26" s="6">
        <v>11084.67996724385</v>
      </c>
      <c r="E26" s="6">
        <v>0</v>
      </c>
      <c r="F26" s="6">
        <v>570000</v>
      </c>
      <c r="G26" s="6">
        <v>102987.12577999645</v>
      </c>
      <c r="H26" s="6">
        <v>36000</v>
      </c>
      <c r="I26" s="43"/>
      <c r="J26" s="43"/>
      <c r="K26" s="43">
        <v>150071.80574724032</v>
      </c>
      <c r="L26" s="43"/>
      <c r="M26" s="43">
        <v>20000</v>
      </c>
      <c r="N26" s="43">
        <v>30000</v>
      </c>
      <c r="O26" s="43">
        <v>50000</v>
      </c>
      <c r="P26" s="43">
        <v>100071.80574724032</v>
      </c>
      <c r="Q26" s="43">
        <v>73000</v>
      </c>
      <c r="R26" s="43">
        <v>1000000</v>
      </c>
      <c r="S26" s="43">
        <v>-899928.19425275968</v>
      </c>
      <c r="T26" s="43">
        <v>59000</v>
      </c>
      <c r="U26" s="43">
        <f>VLOOKUP($A26,'[17]EPARGNE 2023'!$A$5:$BF$47,4,0)</f>
        <v>575.28052728832699</v>
      </c>
      <c r="V26" s="44">
        <v>600000</v>
      </c>
      <c r="W26" s="43">
        <v>0</v>
      </c>
      <c r="X26" s="11"/>
      <c r="Y26" s="2" t="s">
        <v>100</v>
      </c>
      <c r="Z26" s="2"/>
    </row>
    <row r="27" spans="1:26" x14ac:dyDescent="0.25">
      <c r="A27" s="1" t="s">
        <v>44</v>
      </c>
      <c r="B27" s="1" t="s">
        <v>87</v>
      </c>
      <c r="C27" s="6">
        <v>570000</v>
      </c>
      <c r="D27" s="6">
        <v>12062.781121595937</v>
      </c>
      <c r="E27" s="6">
        <v>0</v>
      </c>
      <c r="F27" s="6">
        <v>570000</v>
      </c>
      <c r="G27" s="6">
        <v>136133.00730978616</v>
      </c>
      <c r="H27" s="6">
        <v>439000</v>
      </c>
      <c r="I27" s="43"/>
      <c r="J27" s="43"/>
      <c r="K27" s="43">
        <v>587195.78843138204</v>
      </c>
      <c r="L27" s="43"/>
      <c r="M27" s="43">
        <v>20000</v>
      </c>
      <c r="N27" s="43">
        <v>30000</v>
      </c>
      <c r="O27" s="43">
        <v>50000</v>
      </c>
      <c r="P27" s="43">
        <v>537195.78843138204</v>
      </c>
      <c r="Q27" s="43">
        <v>70000</v>
      </c>
      <c r="R27" s="43">
        <v>0</v>
      </c>
      <c r="S27" s="43">
        <v>537195.78843138204</v>
      </c>
      <c r="T27" s="43">
        <v>70000</v>
      </c>
      <c r="U27" s="43"/>
      <c r="V27" s="44">
        <v>600000</v>
      </c>
      <c r="W27" s="43">
        <v>0</v>
      </c>
      <c r="X27" s="11"/>
      <c r="Y27" s="2"/>
      <c r="Z27" s="2"/>
    </row>
    <row r="28" spans="1:26" x14ac:dyDescent="0.25">
      <c r="A28" s="1"/>
      <c r="B28" s="1"/>
      <c r="C28" s="6"/>
      <c r="D28" s="6"/>
      <c r="E28" s="6"/>
      <c r="F28" s="6"/>
      <c r="G28" s="6"/>
      <c r="H28" s="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4"/>
      <c r="W28" s="43"/>
      <c r="X28" s="11"/>
      <c r="Y28" s="2" t="s">
        <v>316</v>
      </c>
      <c r="Z28" s="2"/>
    </row>
    <row r="29" spans="1:26" s="14" customFormat="1" x14ac:dyDescent="0.25">
      <c r="A29" s="1" t="s">
        <v>45</v>
      </c>
      <c r="B29" s="1" t="s">
        <v>116</v>
      </c>
      <c r="C29" s="6">
        <v>570000</v>
      </c>
      <c r="D29" s="6">
        <v>21819.131591268466</v>
      </c>
      <c r="E29" s="6">
        <v>0</v>
      </c>
      <c r="F29" s="6">
        <v>570000</v>
      </c>
      <c r="G29" s="6">
        <v>104836.07929089954</v>
      </c>
      <c r="H29" s="6">
        <v>36000</v>
      </c>
      <c r="I29" s="46"/>
      <c r="J29" s="46"/>
      <c r="K29" s="43">
        <v>162655.210882168</v>
      </c>
      <c r="L29" s="46"/>
      <c r="M29" s="43">
        <v>20000</v>
      </c>
      <c r="N29" s="43">
        <v>30000</v>
      </c>
      <c r="O29" s="43">
        <v>50000</v>
      </c>
      <c r="P29" s="43">
        <v>112655.210882168</v>
      </c>
      <c r="Q29" s="43">
        <v>70000</v>
      </c>
      <c r="R29" s="43">
        <v>0</v>
      </c>
      <c r="S29" s="43">
        <v>112655.210882168</v>
      </c>
      <c r="T29" s="43">
        <v>50000</v>
      </c>
      <c r="U29" s="43">
        <f>VLOOKUP($A29,'[17]EPARGNE 2023'!$A$5:$BF$47,4,0)</f>
        <v>21451.962695348077</v>
      </c>
      <c r="V29" s="44">
        <v>600000</v>
      </c>
      <c r="W29" s="43">
        <v>0</v>
      </c>
      <c r="X29" s="11"/>
      <c r="Y29" s="11" t="s">
        <v>116</v>
      </c>
      <c r="Z29" s="11"/>
    </row>
    <row r="30" spans="1:26" s="14" customFormat="1" x14ac:dyDescent="0.25">
      <c r="A30" s="1"/>
      <c r="B30" s="1"/>
      <c r="C30" s="6"/>
      <c r="D30" s="6"/>
      <c r="E30" s="6"/>
      <c r="F30" s="6"/>
      <c r="G30" s="6"/>
      <c r="H30" s="6"/>
      <c r="I30" s="46"/>
      <c r="J30" s="46"/>
      <c r="K30" s="43"/>
      <c r="L30" s="46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3"/>
      <c r="X30" s="11"/>
      <c r="Y30" s="11" t="s">
        <v>317</v>
      </c>
      <c r="Z30" s="11"/>
    </row>
    <row r="31" spans="1:26" ht="14.25" customHeight="1" x14ac:dyDescent="0.25">
      <c r="A31" s="1" t="s">
        <v>81</v>
      </c>
      <c r="B31" s="1" t="s">
        <v>118</v>
      </c>
      <c r="C31" s="6">
        <v>570000</v>
      </c>
      <c r="D31" s="6">
        <v>277025.72796184535</v>
      </c>
      <c r="E31" s="6">
        <v>0</v>
      </c>
      <c r="F31" s="6">
        <v>570000</v>
      </c>
      <c r="G31" s="6">
        <v>148542.9147221345</v>
      </c>
      <c r="H31" s="6">
        <v>33000</v>
      </c>
      <c r="I31" s="43"/>
      <c r="J31" s="43"/>
      <c r="K31" s="43">
        <v>458568.64268397982</v>
      </c>
      <c r="L31" s="43"/>
      <c r="M31" s="43">
        <v>20000</v>
      </c>
      <c r="N31" s="43">
        <v>30000</v>
      </c>
      <c r="O31" s="43">
        <v>50000</v>
      </c>
      <c r="P31" s="43">
        <v>408568.64268397982</v>
      </c>
      <c r="Q31" s="43">
        <v>170000</v>
      </c>
      <c r="R31" s="43">
        <v>0</v>
      </c>
      <c r="S31" s="43">
        <v>308568.64268397982</v>
      </c>
      <c r="T31" s="43">
        <v>50000</v>
      </c>
      <c r="U31" s="43">
        <f>VLOOKUP($A31,'[17]EPARGNE 2023'!$A$5:$BF$47,4,0)</f>
        <v>200752.48017057346</v>
      </c>
      <c r="V31" s="44">
        <v>600000</v>
      </c>
      <c r="W31" s="43">
        <v>0</v>
      </c>
      <c r="X31" s="11"/>
      <c r="Y31" s="2" t="s">
        <v>118</v>
      </c>
      <c r="Z31" s="2"/>
    </row>
    <row r="32" spans="1:26" x14ac:dyDescent="0.25">
      <c r="A32" s="1" t="s">
        <v>49</v>
      </c>
      <c r="B32" s="1" t="s">
        <v>121</v>
      </c>
      <c r="C32" s="6">
        <v>570000</v>
      </c>
      <c r="D32" s="6">
        <v>38450.871244281065</v>
      </c>
      <c r="E32" s="6">
        <v>0</v>
      </c>
      <c r="F32" s="6">
        <v>570000</v>
      </c>
      <c r="G32" s="6">
        <v>120400.32467551006</v>
      </c>
      <c r="H32" s="6">
        <v>173000</v>
      </c>
      <c r="I32" s="43"/>
      <c r="J32" s="43"/>
      <c r="K32" s="43">
        <v>331851.19591979112</v>
      </c>
      <c r="L32" s="43"/>
      <c r="M32" s="43">
        <v>20000</v>
      </c>
      <c r="N32" s="43">
        <v>30000</v>
      </c>
      <c r="O32" s="43">
        <v>50000</v>
      </c>
      <c r="P32" s="43">
        <v>281851.19591979112</v>
      </c>
      <c r="Q32" s="43">
        <v>70000</v>
      </c>
      <c r="R32" s="43">
        <v>1000000</v>
      </c>
      <c r="S32" s="43">
        <v>-718148.80408020888</v>
      </c>
      <c r="T32" s="43">
        <v>100000</v>
      </c>
      <c r="U32" s="43">
        <f>VLOOKUP($A32,'[17]EPARGNE 2023'!$A$5:$BF$47,4,0)</f>
        <v>103606.47183067317</v>
      </c>
      <c r="V32" s="44">
        <v>600000</v>
      </c>
      <c r="W32" s="43">
        <v>0</v>
      </c>
      <c r="X32" s="11"/>
      <c r="Y32" s="2" t="s">
        <v>121</v>
      </c>
      <c r="Z32" s="2"/>
    </row>
    <row r="33" spans="1:26" x14ac:dyDescent="0.25">
      <c r="A33" s="1" t="s">
        <v>51</v>
      </c>
      <c r="B33" s="1" t="s">
        <v>122</v>
      </c>
      <c r="C33" s="6">
        <v>570000</v>
      </c>
      <c r="D33" s="6">
        <v>6233.7835378004966</v>
      </c>
      <c r="E33" s="6">
        <v>0</v>
      </c>
      <c r="F33" s="6">
        <v>570000</v>
      </c>
      <c r="G33" s="6">
        <v>102151.58407759845</v>
      </c>
      <c r="H33" s="6">
        <v>36000</v>
      </c>
      <c r="I33" s="43"/>
      <c r="J33" s="43"/>
      <c r="K33" s="43">
        <v>144385.36761539895</v>
      </c>
      <c r="L33" s="43"/>
      <c r="M33" s="43">
        <v>20000</v>
      </c>
      <c r="N33" s="43">
        <v>30000</v>
      </c>
      <c r="O33" s="43">
        <v>50000</v>
      </c>
      <c r="P33" s="43">
        <v>94385.367615398951</v>
      </c>
      <c r="Q33" s="43">
        <v>70000</v>
      </c>
      <c r="R33" s="43">
        <v>1000000</v>
      </c>
      <c r="S33" s="43">
        <v>-905614.63238460105</v>
      </c>
      <c r="T33" s="43">
        <v>40000</v>
      </c>
      <c r="U33" s="43">
        <f>VLOOKUP($A33,'[17]EPARGNE 2023'!$A$5:$BF$47,4,0)</f>
        <v>4207.8699443503283</v>
      </c>
      <c r="V33" s="44">
        <v>600000</v>
      </c>
      <c r="W33" s="43">
        <v>0</v>
      </c>
      <c r="X33" s="11"/>
      <c r="Y33" s="2" t="s">
        <v>122</v>
      </c>
      <c r="Z33" s="2"/>
    </row>
    <row r="34" spans="1:26" x14ac:dyDescent="0.25">
      <c r="A34" s="1"/>
      <c r="B34" s="1"/>
      <c r="C34" s="6"/>
      <c r="D34" s="6"/>
      <c r="E34" s="6"/>
      <c r="F34" s="6"/>
      <c r="G34" s="6"/>
      <c r="H34" s="6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3"/>
      <c r="X34" s="11"/>
      <c r="Y34" s="2" t="s">
        <v>124</v>
      </c>
      <c r="Z34" s="2"/>
    </row>
    <row r="35" spans="1:26" x14ac:dyDescent="0.25">
      <c r="A35" s="1"/>
      <c r="B35" s="1"/>
      <c r="C35" s="6"/>
      <c r="D35" s="6"/>
      <c r="E35" s="6"/>
      <c r="F35" s="6"/>
      <c r="G35" s="6"/>
      <c r="H35" s="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3"/>
      <c r="X35" s="11"/>
      <c r="Y35" s="2" t="s">
        <v>318</v>
      </c>
      <c r="Z35" s="2"/>
    </row>
    <row r="36" spans="1:26" s="14" customFormat="1" ht="13.5" customHeight="1" x14ac:dyDescent="0.25">
      <c r="A36" s="1" t="s">
        <v>55</v>
      </c>
      <c r="B36" s="1" t="s">
        <v>126</v>
      </c>
      <c r="C36" s="6">
        <v>570000</v>
      </c>
      <c r="D36" s="6">
        <v>811081.29717838136</v>
      </c>
      <c r="E36" s="6">
        <v>0</v>
      </c>
      <c r="F36" s="6">
        <v>570000</v>
      </c>
      <c r="G36" s="6">
        <v>240782.38593028119</v>
      </c>
      <c r="H36" s="6">
        <v>36000</v>
      </c>
      <c r="I36" s="46"/>
      <c r="J36" s="46"/>
      <c r="K36" s="43">
        <v>1087863.6831086625</v>
      </c>
      <c r="L36" s="46"/>
      <c r="M36" s="43">
        <v>20000</v>
      </c>
      <c r="N36" s="43">
        <v>30000</v>
      </c>
      <c r="O36" s="43">
        <v>50000</v>
      </c>
      <c r="P36" s="43">
        <v>1007863.6831086625</v>
      </c>
      <c r="Q36" s="43">
        <v>70000</v>
      </c>
      <c r="R36" s="43">
        <v>0</v>
      </c>
      <c r="S36" s="43">
        <v>1007863.6831086625</v>
      </c>
      <c r="T36" s="43"/>
      <c r="U36" s="43">
        <f>VLOOKUP($A36,'[17]EPARGNE 2023'!$A$5:$BF$47,4,0)</f>
        <v>914734.42229355336</v>
      </c>
      <c r="V36" s="44">
        <v>600000</v>
      </c>
      <c r="W36" s="43">
        <v>0</v>
      </c>
      <c r="X36" s="11"/>
      <c r="Y36" s="14" t="s">
        <v>126</v>
      </c>
    </row>
    <row r="37" spans="1:26" x14ac:dyDescent="0.25">
      <c r="A37" s="1" t="s">
        <v>56</v>
      </c>
      <c r="B37" s="1" t="s">
        <v>127</v>
      </c>
      <c r="C37" s="6">
        <v>570000</v>
      </c>
      <c r="D37" s="6">
        <v>913245.29452405358</v>
      </c>
      <c r="E37" s="6">
        <v>0</v>
      </c>
      <c r="F37" s="6">
        <v>570000</v>
      </c>
      <c r="G37" s="6">
        <v>258379.60358017083</v>
      </c>
      <c r="H37" s="6">
        <v>36000</v>
      </c>
      <c r="I37" s="43"/>
      <c r="J37" s="43"/>
      <c r="K37" s="43">
        <v>1207624.8981042244</v>
      </c>
      <c r="L37" s="43"/>
      <c r="M37" s="43">
        <v>20000</v>
      </c>
      <c r="N37" s="43">
        <v>30000</v>
      </c>
      <c r="O37" s="43">
        <v>50000</v>
      </c>
      <c r="P37" s="43">
        <v>1157624.8981042244</v>
      </c>
      <c r="Q37" s="43">
        <v>70000</v>
      </c>
      <c r="R37" s="43">
        <v>0</v>
      </c>
      <c r="S37" s="43">
        <v>1157624.8981042244</v>
      </c>
      <c r="T37" s="43"/>
      <c r="U37" s="43">
        <f>VLOOKUP($A37,'[17]EPARGNE 2023'!$A$5:$BF$47,4,0)</f>
        <v>1057774.2356918815</v>
      </c>
      <c r="V37" s="44">
        <v>600000</v>
      </c>
      <c r="W37" s="43">
        <v>0</v>
      </c>
      <c r="X37" s="11"/>
      <c r="Y37" t="s">
        <v>127</v>
      </c>
    </row>
    <row r="38" spans="1:26" x14ac:dyDescent="0.25">
      <c r="A38" s="133"/>
      <c r="B38" s="1"/>
      <c r="C38" s="130"/>
      <c r="D38" s="130"/>
      <c r="E38" s="6"/>
      <c r="F38" s="6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43"/>
      <c r="T38" s="130"/>
      <c r="U38" s="130"/>
      <c r="V38" s="134"/>
      <c r="W38" s="43"/>
    </row>
    <row r="39" spans="1:26" ht="18.75" thickBot="1" x14ac:dyDescent="0.3">
      <c r="A39" s="53" t="s">
        <v>57</v>
      </c>
      <c r="B39" s="68"/>
      <c r="C39" s="73">
        <v>15404177.005550491</v>
      </c>
      <c r="D39" s="73">
        <v>2740331.1427906612</v>
      </c>
      <c r="E39" s="73">
        <v>500000</v>
      </c>
      <c r="F39" s="73">
        <v>14904177.005550491</v>
      </c>
      <c r="G39" s="73">
        <v>3313199.9999999995</v>
      </c>
      <c r="H39" s="73">
        <v>2653500</v>
      </c>
      <c r="I39" s="73">
        <v>0</v>
      </c>
      <c r="J39" s="73">
        <v>0</v>
      </c>
      <c r="K39" s="73">
        <v>8707031.1427906603</v>
      </c>
      <c r="L39" s="73">
        <v>0</v>
      </c>
      <c r="M39" s="73">
        <v>520000</v>
      </c>
      <c r="N39" s="73">
        <v>780000</v>
      </c>
      <c r="O39" s="73">
        <v>1300000</v>
      </c>
      <c r="P39" s="73">
        <v>7206409.689247191</v>
      </c>
      <c r="Q39" s="73">
        <v>1936000</v>
      </c>
      <c r="R39" s="73">
        <v>14070000</v>
      </c>
      <c r="S39" s="73">
        <v>-7477978.4846683871</v>
      </c>
      <c r="T39" s="73">
        <v>1201000</v>
      </c>
      <c r="U39" s="73">
        <v>4361560</v>
      </c>
      <c r="V39" s="73">
        <v>16200000</v>
      </c>
      <c r="W39" s="73">
        <v>14388.173915576999</v>
      </c>
      <c r="X39" s="73">
        <v>1740000</v>
      </c>
    </row>
    <row r="40" spans="1:26" ht="15.75" thickTop="1" x14ac:dyDescent="0.25">
      <c r="G40" t="s">
        <v>311</v>
      </c>
    </row>
    <row r="41" spans="1:26" x14ac:dyDescent="0.25">
      <c r="E41" s="6">
        <v>30000</v>
      </c>
      <c r="F41" s="6"/>
      <c r="G41" s="6"/>
      <c r="H41" s="6"/>
      <c r="I41" s="6"/>
      <c r="J41" s="6"/>
      <c r="K41" s="6"/>
      <c r="L41" s="6"/>
    </row>
    <row r="42" spans="1:26" x14ac:dyDescent="0.25">
      <c r="F42" s="6">
        <v>23000</v>
      </c>
      <c r="G42" s="6">
        <v>2000</v>
      </c>
      <c r="H42" s="6">
        <v>25000</v>
      </c>
      <c r="I42" s="6"/>
      <c r="J42" s="6"/>
      <c r="K42" s="6"/>
      <c r="L42" s="6"/>
      <c r="O42" s="2"/>
    </row>
    <row r="43" spans="1:26" x14ac:dyDescent="0.25">
      <c r="E43" t="s">
        <v>308</v>
      </c>
      <c r="F43" s="6">
        <v>500</v>
      </c>
      <c r="G43" s="6">
        <v>500</v>
      </c>
      <c r="H43" s="6">
        <v>1000</v>
      </c>
      <c r="I43" s="6"/>
      <c r="J43" s="6"/>
      <c r="K43" s="6"/>
      <c r="L43" s="6"/>
    </row>
    <row r="44" spans="1:26" x14ac:dyDescent="0.25">
      <c r="A44" s="1" t="s">
        <v>17</v>
      </c>
      <c r="B44" s="1" t="s">
        <v>101</v>
      </c>
      <c r="C44" s="6">
        <v>216000</v>
      </c>
      <c r="E44" t="s">
        <v>309</v>
      </c>
      <c r="F44" s="6">
        <v>1000</v>
      </c>
      <c r="G44" s="6"/>
      <c r="H44" s="6">
        <v>1000</v>
      </c>
      <c r="I44" s="6"/>
      <c r="J44" s="6"/>
      <c r="K44" s="6"/>
      <c r="L44" s="6"/>
    </row>
    <row r="45" spans="1:26" x14ac:dyDescent="0.25">
      <c r="A45" s="1" t="s">
        <v>301</v>
      </c>
      <c r="B45" s="1" t="s">
        <v>319</v>
      </c>
      <c r="C45" s="6">
        <v>80000</v>
      </c>
      <c r="E45" t="s">
        <v>310</v>
      </c>
      <c r="F45" s="6">
        <v>3000</v>
      </c>
      <c r="G45" s="6">
        <v>6000</v>
      </c>
      <c r="H45" s="6">
        <v>9000</v>
      </c>
      <c r="I45" s="6">
        <v>108000</v>
      </c>
      <c r="J45" s="6"/>
      <c r="K45" s="6"/>
      <c r="L45" s="6"/>
    </row>
    <row r="46" spans="1:26" x14ac:dyDescent="0.25">
      <c r="A46" s="1" t="s">
        <v>300</v>
      </c>
      <c r="B46" s="1" t="s">
        <v>320</v>
      </c>
      <c r="C46" s="6">
        <v>480000</v>
      </c>
      <c r="E46" t="s">
        <v>12</v>
      </c>
      <c r="F46" s="6">
        <v>2500</v>
      </c>
      <c r="G46" s="6">
        <v>1500</v>
      </c>
      <c r="H46" s="6">
        <v>4000</v>
      </c>
      <c r="I46" s="6">
        <v>104000</v>
      </c>
      <c r="J46" s="6"/>
      <c r="K46" s="6"/>
      <c r="L46" s="6"/>
    </row>
    <row r="47" spans="1:26" x14ac:dyDescent="0.25">
      <c r="A47" s="1" t="s">
        <v>40</v>
      </c>
      <c r="B47" s="1" t="s">
        <v>114</v>
      </c>
      <c r="C47" s="6">
        <v>257467</v>
      </c>
    </row>
    <row r="48" spans="1:26" x14ac:dyDescent="0.25">
      <c r="A48" s="1" t="s">
        <v>80</v>
      </c>
      <c r="B48" s="1" t="s">
        <v>112</v>
      </c>
      <c r="C48" s="6">
        <v>80000</v>
      </c>
      <c r="F48" s="6">
        <v>30000</v>
      </c>
      <c r="G48" s="6">
        <v>10000</v>
      </c>
      <c r="H48" s="6">
        <v>40000</v>
      </c>
      <c r="I48" s="6"/>
      <c r="J48" s="6"/>
      <c r="K48" s="6"/>
    </row>
    <row r="50" spans="1:21" ht="18" x14ac:dyDescent="0.25">
      <c r="A50" s="1" t="s">
        <v>57</v>
      </c>
      <c r="B50" s="1"/>
      <c r="C50" s="9">
        <v>1113467</v>
      </c>
      <c r="L50" s="110"/>
      <c r="M50" s="110"/>
      <c r="N50" s="2"/>
      <c r="O50" s="2"/>
      <c r="P50" s="2"/>
      <c r="Q50" s="2"/>
      <c r="R50" s="2"/>
      <c r="S50" s="2"/>
      <c r="T50" s="2"/>
      <c r="U50"/>
    </row>
  </sheetData>
  <autoFilter ref="A5:U39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50"/>
  <sheetViews>
    <sheetView zoomScaleNormal="100" zoomScaleSheetLayoutView="106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U27" sqref="U27:U2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" customWidth="1"/>
    <col min="6" max="6" width="16.85546875" bestFit="1" customWidth="1"/>
    <col min="7" max="7" width="15.28515625" customWidth="1"/>
    <col min="8" max="8" width="15" bestFit="1" customWidth="1"/>
    <col min="9" max="10" width="15.28515625" customWidth="1"/>
    <col min="11" max="11" width="16.85546875" bestFit="1" customWidth="1"/>
    <col min="12" max="15" width="16.85546875" customWidth="1"/>
    <col min="16" max="20" width="20.7109375" customWidth="1"/>
    <col min="21" max="21" width="17.5703125" style="110" bestFit="1" customWidth="1"/>
    <col min="22" max="22" width="16.5703125" customWidth="1"/>
    <col min="23" max="23" width="12.42578125" bestFit="1" customWidth="1"/>
    <col min="24" max="24" width="15" bestFit="1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2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7" thickBot="1" x14ac:dyDescent="0.45">
      <c r="A4" s="164" t="s">
        <v>315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</row>
    <row r="5" spans="1:26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25">
      <c r="A6" s="1" t="s">
        <v>16</v>
      </c>
      <c r="B6" s="1" t="str">
        <f>VLOOKUP($A6,[15]LISTADHERENT!A$5:H$60,3,0)</f>
        <v>ASELBY</v>
      </c>
      <c r="C6" s="6">
        <v>584177.00555049011</v>
      </c>
      <c r="D6" s="6">
        <v>0</v>
      </c>
      <c r="E6" s="6">
        <v>0</v>
      </c>
      <c r="F6" s="6">
        <v>584177.00555049011</v>
      </c>
      <c r="G6" s="6">
        <v>100621.45354347058</v>
      </c>
      <c r="H6" s="6">
        <v>0</v>
      </c>
      <c r="I6" s="43"/>
      <c r="J6" s="43"/>
      <c r="K6" s="43">
        <v>100621.45354347058</v>
      </c>
      <c r="L6" s="43"/>
      <c r="M6" s="43"/>
      <c r="N6" s="43"/>
      <c r="O6" s="43">
        <v>0</v>
      </c>
      <c r="P6" s="43"/>
      <c r="Q6" s="43"/>
      <c r="R6" s="43">
        <v>0</v>
      </c>
      <c r="S6" s="43"/>
      <c r="T6" s="43"/>
      <c r="U6" s="43">
        <f>VLOOKUP($A6,'[17]EPARGNE 2023'!$A$5:$BF$47,4,0)</f>
        <v>816543.52134848095</v>
      </c>
      <c r="V6" s="44">
        <v>0</v>
      </c>
      <c r="W6" s="43">
        <v>0</v>
      </c>
      <c r="X6" s="11">
        <v>670000</v>
      </c>
      <c r="Y6" s="2" t="s">
        <v>1</v>
      </c>
      <c r="Z6" s="2"/>
    </row>
    <row r="7" spans="1:26" x14ac:dyDescent="0.25">
      <c r="A7" s="1" t="s">
        <v>17</v>
      </c>
      <c r="B7" s="1" t="s">
        <v>101</v>
      </c>
      <c r="C7" s="6"/>
      <c r="D7" s="6"/>
      <c r="E7" s="6"/>
      <c r="F7" s="6"/>
      <c r="G7" s="6"/>
      <c r="H7" s="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>
        <f>VLOOKUP($A7,'[17]EPARGNE 2023'!$A$5:$BF$47,4,0)</f>
        <v>0</v>
      </c>
      <c r="V7" s="44">
        <v>600000</v>
      </c>
      <c r="W7" s="43"/>
      <c r="X7" s="11"/>
      <c r="Y7" s="2" t="s">
        <v>101</v>
      </c>
      <c r="Z7" s="2"/>
    </row>
    <row r="8" spans="1:26" x14ac:dyDescent="0.25">
      <c r="A8" s="1" t="s">
        <v>19</v>
      </c>
      <c r="B8" s="1" t="s">
        <v>102</v>
      </c>
      <c r="C8" s="6">
        <v>570000</v>
      </c>
      <c r="D8" s="6">
        <v>-258.93850559103885</v>
      </c>
      <c r="E8" s="6">
        <v>0</v>
      </c>
      <c r="F8" s="6">
        <v>570000</v>
      </c>
      <c r="G8" s="6">
        <v>101033.24644490756</v>
      </c>
      <c r="H8" s="6">
        <v>36000</v>
      </c>
      <c r="I8" s="43"/>
      <c r="J8" s="43"/>
      <c r="K8" s="43">
        <v>136774.30793931652</v>
      </c>
      <c r="L8" s="43"/>
      <c r="M8" s="43">
        <v>20000</v>
      </c>
      <c r="N8" s="43">
        <v>30000</v>
      </c>
      <c r="O8" s="43">
        <v>50000</v>
      </c>
      <c r="P8" s="43">
        <v>86774.307939316524</v>
      </c>
      <c r="Q8" s="43">
        <v>70000</v>
      </c>
      <c r="R8" s="43">
        <v>0</v>
      </c>
      <c r="S8" s="43">
        <v>86774.307939316524</v>
      </c>
      <c r="T8" s="43">
        <v>40000</v>
      </c>
      <c r="U8" s="43">
        <f>VLOOKUP($A8,'[17]EPARGNE 2023'!$A$5:$BF$47,4,0)</f>
        <v>7023.6611389458412</v>
      </c>
      <c r="V8" s="44">
        <v>600000</v>
      </c>
      <c r="W8" s="43">
        <v>0</v>
      </c>
      <c r="X8" s="11"/>
      <c r="Y8" s="2" t="s">
        <v>102</v>
      </c>
      <c r="Z8" s="2"/>
    </row>
    <row r="9" spans="1:26" x14ac:dyDescent="0.25">
      <c r="A9" s="1" t="s">
        <v>23</v>
      </c>
      <c r="B9" s="1" t="s">
        <v>93</v>
      </c>
      <c r="C9" s="6">
        <v>570000</v>
      </c>
      <c r="D9" s="6">
        <v>1714.0012148400419</v>
      </c>
      <c r="E9" s="6">
        <v>0</v>
      </c>
      <c r="F9" s="6">
        <v>570000</v>
      </c>
      <c r="G9" s="6">
        <v>112808.07385996425</v>
      </c>
      <c r="H9" s="6">
        <v>133500</v>
      </c>
      <c r="I9" s="43"/>
      <c r="J9" s="43"/>
      <c r="K9" s="43">
        <v>248022.07507480431</v>
      </c>
      <c r="L9" s="43"/>
      <c r="M9" s="43">
        <v>20000</v>
      </c>
      <c r="N9" s="43">
        <v>30000</v>
      </c>
      <c r="O9" s="43">
        <v>50000</v>
      </c>
      <c r="P9" s="43">
        <v>198022.07507480431</v>
      </c>
      <c r="Q9" s="43">
        <v>0</v>
      </c>
      <c r="R9" s="43">
        <v>1000000</v>
      </c>
      <c r="S9" s="43">
        <v>-801977.92492519575</v>
      </c>
      <c r="T9" s="43">
        <v>50000</v>
      </c>
      <c r="U9" s="43">
        <f>VLOOKUP($A9,'[17]EPARGNE 2023'!$A$5:$BF$47,4,0)</f>
        <v>4809.8069585817866</v>
      </c>
      <c r="V9" s="44">
        <v>600000</v>
      </c>
      <c r="W9" s="43">
        <v>0</v>
      </c>
      <c r="X9" s="11"/>
      <c r="Y9" s="2" t="s">
        <v>93</v>
      </c>
      <c r="Z9" s="2"/>
    </row>
    <row r="10" spans="1:26" x14ac:dyDescent="0.25">
      <c r="A10" s="1" t="s">
        <v>154</v>
      </c>
      <c r="B10" s="1" t="s">
        <v>179</v>
      </c>
      <c r="C10" s="6">
        <v>570000</v>
      </c>
      <c r="D10" s="6">
        <v>359</v>
      </c>
      <c r="E10" s="6">
        <v>0</v>
      </c>
      <c r="F10" s="6">
        <v>570000</v>
      </c>
      <c r="G10" s="6">
        <v>101199.66843219555</v>
      </c>
      <c r="H10" s="6">
        <v>37000</v>
      </c>
      <c r="I10" s="43"/>
      <c r="J10" s="43"/>
      <c r="K10" s="43">
        <v>138558.66843219555</v>
      </c>
      <c r="L10" s="43"/>
      <c r="M10" s="43">
        <v>20000</v>
      </c>
      <c r="N10" s="43">
        <v>30000</v>
      </c>
      <c r="O10" s="43">
        <v>50000</v>
      </c>
      <c r="P10" s="43">
        <v>88558.668432195554</v>
      </c>
      <c r="Q10" s="43">
        <v>113000</v>
      </c>
      <c r="R10" s="43">
        <v>0</v>
      </c>
      <c r="S10" s="43">
        <v>88558.668432195554</v>
      </c>
      <c r="T10" s="43">
        <v>0</v>
      </c>
      <c r="U10" s="43">
        <f>VLOOKUP($A10,'[17]EPARGNE 2023'!$A$5:$BF$47,4,0)</f>
        <v>48710.412466726033</v>
      </c>
      <c r="V10" s="44">
        <v>600000</v>
      </c>
      <c r="W10" s="43">
        <v>0</v>
      </c>
      <c r="X10" s="11"/>
      <c r="Y10" s="2" t="s">
        <v>179</v>
      </c>
      <c r="Z10" s="2"/>
    </row>
    <row r="11" spans="1:26" x14ac:dyDescent="0.25">
      <c r="A11" s="1" t="s">
        <v>24</v>
      </c>
      <c r="B11" s="1" t="s">
        <v>104</v>
      </c>
      <c r="C11" s="6">
        <v>570000</v>
      </c>
      <c r="D11" s="6">
        <v>110412.64212220861</v>
      </c>
      <c r="E11" s="6">
        <v>0</v>
      </c>
      <c r="F11" s="6">
        <v>570000</v>
      </c>
      <c r="G11" s="6">
        <v>120957.07512329261</v>
      </c>
      <c r="H11" s="6">
        <v>41000</v>
      </c>
      <c r="I11" s="43"/>
      <c r="J11" s="43"/>
      <c r="K11" s="43">
        <v>272369.71724550123</v>
      </c>
      <c r="L11" s="43"/>
      <c r="M11" s="43">
        <v>20000</v>
      </c>
      <c r="N11" s="43">
        <v>30000</v>
      </c>
      <c r="O11" s="43">
        <v>50000</v>
      </c>
      <c r="P11" s="43">
        <v>222369.71724550123</v>
      </c>
      <c r="Q11" s="43">
        <v>70000</v>
      </c>
      <c r="R11" s="43">
        <v>1000000</v>
      </c>
      <c r="S11" s="43">
        <v>-777630.28275449877</v>
      </c>
      <c r="T11" s="43">
        <v>20000</v>
      </c>
      <c r="U11" s="43">
        <f>VLOOKUP($A11,'[17]EPARGNE 2023'!$A$5:$BF$47,4,0)</f>
        <v>4750.0783119258704</v>
      </c>
      <c r="V11" s="44">
        <v>600000</v>
      </c>
      <c r="W11" s="43">
        <v>0</v>
      </c>
      <c r="X11" s="11"/>
      <c r="Y11" s="2" t="s">
        <v>104</v>
      </c>
      <c r="Z11" s="2"/>
    </row>
    <row r="12" spans="1:26" x14ac:dyDescent="0.25">
      <c r="A12" s="1" t="s">
        <v>25</v>
      </c>
      <c r="B12" s="1" t="s">
        <v>89</v>
      </c>
      <c r="C12" s="6">
        <v>570000</v>
      </c>
      <c r="D12" s="6">
        <v>18508.84987508686</v>
      </c>
      <c r="E12" s="6">
        <v>0</v>
      </c>
      <c r="F12" s="6">
        <v>570000</v>
      </c>
      <c r="G12" s="6">
        <v>104359.28960396376</v>
      </c>
      <c r="H12" s="6">
        <v>39000</v>
      </c>
      <c r="I12" s="43"/>
      <c r="J12" s="43"/>
      <c r="K12" s="43">
        <v>161868.13947905062</v>
      </c>
      <c r="L12" s="43"/>
      <c r="M12" s="43">
        <v>20000</v>
      </c>
      <c r="N12" s="43">
        <v>30000</v>
      </c>
      <c r="O12" s="43">
        <v>50000</v>
      </c>
      <c r="P12" s="43">
        <v>111868.13947905062</v>
      </c>
      <c r="Q12" s="43">
        <v>70000</v>
      </c>
      <c r="R12" s="43">
        <v>0</v>
      </c>
      <c r="S12" s="43">
        <v>111868.13947905062</v>
      </c>
      <c r="T12" s="43">
        <v>60000</v>
      </c>
      <c r="U12" s="43">
        <f>VLOOKUP($A12,'[17]EPARGNE 2023'!$A$5:$BF$47,4,0)</f>
        <v>10718.850200936431</v>
      </c>
      <c r="V12" s="44">
        <v>600000</v>
      </c>
      <c r="W12" s="43">
        <v>0</v>
      </c>
      <c r="X12" s="11"/>
      <c r="Y12" s="2" t="s">
        <v>89</v>
      </c>
      <c r="Z12" s="2"/>
    </row>
    <row r="13" spans="1:26" x14ac:dyDescent="0.25">
      <c r="A13" s="1" t="s">
        <v>79</v>
      </c>
      <c r="B13" s="1" t="s">
        <v>70</v>
      </c>
      <c r="C13" s="6">
        <v>570000</v>
      </c>
      <c r="D13" s="6">
        <v>6527.0543220352411</v>
      </c>
      <c r="E13" s="6">
        <v>0</v>
      </c>
      <c r="F13" s="6">
        <v>570000</v>
      </c>
      <c r="G13" s="6">
        <v>107032.61386127467</v>
      </c>
      <c r="H13" s="6">
        <v>96000</v>
      </c>
      <c r="I13" s="43"/>
      <c r="J13" s="43"/>
      <c r="K13" s="43">
        <v>209559.6681833099</v>
      </c>
      <c r="L13" s="43"/>
      <c r="M13" s="43">
        <v>20000</v>
      </c>
      <c r="N13" s="43">
        <v>30000</v>
      </c>
      <c r="O13" s="43">
        <v>50000</v>
      </c>
      <c r="P13" s="43">
        <v>159559.6681833099</v>
      </c>
      <c r="Q13" s="43">
        <v>90000</v>
      </c>
      <c r="R13" s="43">
        <v>1000000</v>
      </c>
      <c r="S13" s="43">
        <v>-840440.33181669004</v>
      </c>
      <c r="T13" s="43">
        <v>115000</v>
      </c>
      <c r="U13" s="43">
        <f>VLOOKUP($A13,'[17]EPARGNE 2023'!$A$5:$BF$47,4,0)</f>
        <v>584.0460014406126</v>
      </c>
      <c r="V13" s="44">
        <v>600000</v>
      </c>
      <c r="W13" s="43">
        <v>0</v>
      </c>
      <c r="X13" s="11"/>
      <c r="Y13" s="2" t="s">
        <v>70</v>
      </c>
      <c r="Z13" s="2"/>
    </row>
    <row r="14" spans="1:26" x14ac:dyDescent="0.25">
      <c r="A14" s="1" t="s">
        <v>26</v>
      </c>
      <c r="B14" s="1" t="s">
        <v>105</v>
      </c>
      <c r="C14" s="6">
        <v>570000</v>
      </c>
      <c r="D14" s="6">
        <v>253289.50601995771</v>
      </c>
      <c r="E14" s="6">
        <v>0</v>
      </c>
      <c r="F14" s="6">
        <v>570000</v>
      </c>
      <c r="G14" s="6">
        <v>148674.9398531277</v>
      </c>
      <c r="H14" s="6">
        <v>91000</v>
      </c>
      <c r="I14" s="43"/>
      <c r="J14" s="43"/>
      <c r="K14" s="43">
        <v>492964.44587308541</v>
      </c>
      <c r="L14" s="43"/>
      <c r="M14" s="43">
        <v>20000</v>
      </c>
      <c r="N14" s="43">
        <v>30000</v>
      </c>
      <c r="O14" s="43">
        <v>50000</v>
      </c>
      <c r="P14" s="43">
        <v>442964.44587308541</v>
      </c>
      <c r="Q14" s="43">
        <v>70000</v>
      </c>
      <c r="R14" s="43">
        <v>0</v>
      </c>
      <c r="S14" s="43">
        <v>442964.44587308541</v>
      </c>
      <c r="T14" s="43">
        <v>0</v>
      </c>
      <c r="U14" s="43">
        <f>VLOOKUP($A14,'[17]EPARGNE 2023'!$A$5:$BF$47,4,0)</f>
        <v>458343.17855274049</v>
      </c>
      <c r="V14" s="44">
        <v>600000</v>
      </c>
      <c r="W14" s="43">
        <v>0</v>
      </c>
      <c r="X14" s="11"/>
      <c r="Y14" s="2" t="s">
        <v>105</v>
      </c>
      <c r="Z14" s="2"/>
    </row>
    <row r="15" spans="1:26" ht="14.25" customHeight="1" x14ac:dyDescent="0.25">
      <c r="A15" s="1" t="s">
        <v>28</v>
      </c>
      <c r="B15" s="1" t="s">
        <v>106</v>
      </c>
      <c r="C15" s="6">
        <v>570000</v>
      </c>
      <c r="D15" s="6">
        <v>3435.9669399686391</v>
      </c>
      <c r="E15" s="6">
        <v>0</v>
      </c>
      <c r="F15" s="6">
        <v>570000</v>
      </c>
      <c r="G15" s="6">
        <v>101669.6747074126</v>
      </c>
      <c r="H15" s="6">
        <v>36000</v>
      </c>
      <c r="I15" s="43"/>
      <c r="J15" s="43"/>
      <c r="K15" s="43">
        <v>141105.64164738124</v>
      </c>
      <c r="L15" s="43"/>
      <c r="M15" s="43">
        <v>20000</v>
      </c>
      <c r="N15" s="43">
        <v>30000</v>
      </c>
      <c r="O15" s="43">
        <v>50000</v>
      </c>
      <c r="P15" s="43">
        <v>91105.641647381242</v>
      </c>
      <c r="Q15" s="43">
        <v>70000</v>
      </c>
      <c r="R15" s="43">
        <v>0</v>
      </c>
      <c r="S15" s="43">
        <v>91105.641647381242</v>
      </c>
      <c r="T15" s="43">
        <v>0</v>
      </c>
      <c r="U15" s="43">
        <f>VLOOKUP($A15,'[17]EPARGNE 2023'!$A$5:$BF$47,4,0)</f>
        <v>51112.01036672492</v>
      </c>
      <c r="V15" s="44">
        <v>600000</v>
      </c>
      <c r="W15" s="43">
        <v>0</v>
      </c>
      <c r="X15" s="11"/>
      <c r="Y15" s="2" t="s">
        <v>106</v>
      </c>
      <c r="Z15" s="2"/>
    </row>
    <row r="16" spans="1:26" x14ac:dyDescent="0.25">
      <c r="A16" s="1" t="s">
        <v>29</v>
      </c>
      <c r="B16" s="1" t="s">
        <v>92</v>
      </c>
      <c r="C16" s="6">
        <v>570000</v>
      </c>
      <c r="D16" s="6">
        <v>17580.420303784544</v>
      </c>
      <c r="E16" s="6">
        <v>500000</v>
      </c>
      <c r="F16" s="6">
        <v>70000</v>
      </c>
      <c r="G16" s="6">
        <v>118799.34917766026</v>
      </c>
      <c r="H16" s="6">
        <v>576000</v>
      </c>
      <c r="I16" s="43"/>
      <c r="J16" s="43"/>
      <c r="K16" s="43">
        <v>712379.76948144473</v>
      </c>
      <c r="L16" s="43"/>
      <c r="M16" s="43">
        <v>20000</v>
      </c>
      <c r="N16" s="43">
        <v>30000</v>
      </c>
      <c r="O16" s="43">
        <v>50000</v>
      </c>
      <c r="P16" s="43">
        <v>662379.76948144473</v>
      </c>
      <c r="Q16" s="43">
        <v>70000</v>
      </c>
      <c r="R16" s="43">
        <v>1000000</v>
      </c>
      <c r="S16" s="43">
        <v>-837620.23051855527</v>
      </c>
      <c r="T16" s="43">
        <v>100000</v>
      </c>
      <c r="U16" s="43">
        <f>VLOOKUP($A16,'[17]EPARGNE 2023'!$A$5:$BF$47,4,0)</f>
        <v>16229.566345777828</v>
      </c>
      <c r="V16" s="44">
        <v>600000</v>
      </c>
      <c r="W16" s="43">
        <v>0</v>
      </c>
      <c r="X16" s="11"/>
      <c r="Y16" s="2" t="s">
        <v>92</v>
      </c>
      <c r="Z16" s="2"/>
    </row>
    <row r="17" spans="1:26" s="14" customFormat="1" ht="13.5" customHeight="1" x14ac:dyDescent="0.25">
      <c r="A17" s="1" t="s">
        <v>33</v>
      </c>
      <c r="B17" s="1" t="s">
        <v>109</v>
      </c>
      <c r="C17" s="6">
        <v>570000</v>
      </c>
      <c r="D17" s="6">
        <v>5406.5483426781138</v>
      </c>
      <c r="E17" s="6">
        <v>0</v>
      </c>
      <c r="F17" s="6">
        <v>570000</v>
      </c>
      <c r="G17" s="6">
        <v>102009.09711394762</v>
      </c>
      <c r="H17" s="6">
        <v>36000</v>
      </c>
      <c r="I17" s="46"/>
      <c r="J17" s="43"/>
      <c r="K17" s="43">
        <v>143415.64545662573</v>
      </c>
      <c r="L17" s="46"/>
      <c r="M17" s="43">
        <v>20000</v>
      </c>
      <c r="N17" s="43">
        <v>30000</v>
      </c>
      <c r="O17" s="43">
        <v>50000</v>
      </c>
      <c r="P17" s="43">
        <v>93415.645456625731</v>
      </c>
      <c r="Q17" s="43">
        <v>70000</v>
      </c>
      <c r="R17" s="43">
        <v>0</v>
      </c>
      <c r="S17" s="43">
        <v>93415.645456625731</v>
      </c>
      <c r="T17" s="43"/>
      <c r="U17" s="43">
        <f>VLOOKUP($A17,'[17]EPARGNE 2023'!$A$5:$BF$47,4,0)</f>
        <v>53292.832106360001</v>
      </c>
      <c r="V17" s="44">
        <v>600000</v>
      </c>
      <c r="W17" s="43">
        <v>0</v>
      </c>
      <c r="X17" s="11"/>
      <c r="Y17" s="11" t="s">
        <v>109</v>
      </c>
      <c r="Z17" s="11"/>
    </row>
    <row r="18" spans="1:26" s="14" customFormat="1" x14ac:dyDescent="0.25">
      <c r="A18" s="1" t="s">
        <v>35</v>
      </c>
      <c r="B18" s="1" t="s">
        <v>91</v>
      </c>
      <c r="C18" s="6">
        <v>570000</v>
      </c>
      <c r="D18" s="6">
        <v>8241.6184045160044</v>
      </c>
      <c r="E18" s="6">
        <v>0</v>
      </c>
      <c r="F18" s="6">
        <v>570000</v>
      </c>
      <c r="G18" s="6">
        <v>102529.39845502379</v>
      </c>
      <c r="H18" s="6">
        <v>36000</v>
      </c>
      <c r="I18" s="46"/>
      <c r="J18" s="43"/>
      <c r="K18" s="43">
        <v>146771.01685953978</v>
      </c>
      <c r="L18" s="46"/>
      <c r="M18" s="43">
        <v>20000</v>
      </c>
      <c r="N18" s="43">
        <v>30000</v>
      </c>
      <c r="O18" s="43">
        <v>50000</v>
      </c>
      <c r="P18" s="43">
        <v>96771.016859539784</v>
      </c>
      <c r="Q18" s="43">
        <v>70000</v>
      </c>
      <c r="R18" s="43">
        <v>1000000</v>
      </c>
      <c r="S18" s="43">
        <v>-903228.98314046022</v>
      </c>
      <c r="T18" s="43">
        <v>50000</v>
      </c>
      <c r="U18" s="43">
        <f>VLOOKUP($A18,'[17]EPARGNE 2023'!$A$5:$BF$47,4,0)</f>
        <v>6459.0432257176144</v>
      </c>
      <c r="V18" s="44">
        <v>600000</v>
      </c>
      <c r="W18" s="43">
        <v>0</v>
      </c>
      <c r="X18" s="11"/>
      <c r="Y18" s="11" t="s">
        <v>91</v>
      </c>
      <c r="Z18" s="11"/>
    </row>
    <row r="19" spans="1:26" x14ac:dyDescent="0.25">
      <c r="A19" s="1" t="s">
        <v>36</v>
      </c>
      <c r="B19" s="1" t="s">
        <v>110</v>
      </c>
      <c r="C19" s="6">
        <v>570000</v>
      </c>
      <c r="D19" s="6">
        <v>393.95927050459431</v>
      </c>
      <c r="E19" s="6">
        <v>0</v>
      </c>
      <c r="F19" s="6">
        <v>570000</v>
      </c>
      <c r="G19" s="6">
        <v>101145.70469407149</v>
      </c>
      <c r="H19" s="6">
        <v>36000</v>
      </c>
      <c r="I19" s="43"/>
      <c r="J19" s="43"/>
      <c r="K19" s="43">
        <v>137539.66396457609</v>
      </c>
      <c r="L19" s="43"/>
      <c r="M19" s="43">
        <v>20000</v>
      </c>
      <c r="N19" s="43">
        <v>30000</v>
      </c>
      <c r="O19" s="43">
        <v>50000</v>
      </c>
      <c r="P19" s="43">
        <v>17539.663964576088</v>
      </c>
      <c r="Q19" s="43">
        <v>0</v>
      </c>
      <c r="R19" s="43">
        <v>1000000</v>
      </c>
      <c r="S19" s="43">
        <v>-996848.50995100092</v>
      </c>
      <c r="T19" s="43">
        <v>47000</v>
      </c>
      <c r="U19" s="43">
        <f>VLOOKUP($A19,'[17]EPARGNE 2023'!$A$5:$BF$47,4,0)</f>
        <v>746.1759009861853</v>
      </c>
      <c r="V19" s="44">
        <v>600000</v>
      </c>
      <c r="W19" s="43">
        <v>14388.173915576999</v>
      </c>
      <c r="X19" s="11">
        <v>1070000</v>
      </c>
      <c r="Y19" s="2" t="s">
        <v>110</v>
      </c>
      <c r="Z19" s="2"/>
    </row>
    <row r="20" spans="1:26" x14ac:dyDescent="0.25">
      <c r="A20" s="1" t="s">
        <v>75</v>
      </c>
      <c r="B20" s="1" t="s">
        <v>76</v>
      </c>
      <c r="C20" s="6">
        <v>570000</v>
      </c>
      <c r="D20" s="6">
        <v>112.46348617674084</v>
      </c>
      <c r="E20" s="6">
        <v>0</v>
      </c>
      <c r="F20" s="6">
        <v>570000</v>
      </c>
      <c r="G20" s="6">
        <v>101097.2185080075</v>
      </c>
      <c r="H20" s="6">
        <v>36000</v>
      </c>
      <c r="I20" s="43"/>
      <c r="J20" s="43"/>
      <c r="K20" s="43">
        <v>137209.68199418424</v>
      </c>
      <c r="L20" s="43"/>
      <c r="M20" s="43">
        <v>20000</v>
      </c>
      <c r="N20" s="43">
        <v>30000</v>
      </c>
      <c r="O20" s="43">
        <v>50000</v>
      </c>
      <c r="P20" s="43">
        <v>87209.68199418424</v>
      </c>
      <c r="Q20" s="43">
        <v>70000</v>
      </c>
      <c r="R20" s="43">
        <v>1000000</v>
      </c>
      <c r="S20" s="43">
        <v>-912790.31800581573</v>
      </c>
      <c r="T20" s="43"/>
      <c r="U20" s="43">
        <f>VLOOKUP($A20,'[17]EPARGNE 2023'!$A$5:$BF$47,4,0)</f>
        <v>47746</v>
      </c>
      <c r="V20" s="44">
        <v>600000</v>
      </c>
      <c r="W20" s="43">
        <v>0</v>
      </c>
      <c r="X20" s="11"/>
      <c r="Y20" s="2" t="s">
        <v>76</v>
      </c>
      <c r="Z20" s="2"/>
    </row>
    <row r="21" spans="1:26" x14ac:dyDescent="0.25">
      <c r="A21" s="1" t="s">
        <v>50</v>
      </c>
      <c r="B21" s="1" t="s">
        <v>97</v>
      </c>
      <c r="C21" s="6">
        <v>570000</v>
      </c>
      <c r="D21" s="6">
        <v>30757.615134780004</v>
      </c>
      <c r="E21" s="6">
        <v>0</v>
      </c>
      <c r="F21" s="6">
        <v>570000</v>
      </c>
      <c r="G21" s="6">
        <v>106375.68663264174</v>
      </c>
      <c r="H21" s="6">
        <v>36000</v>
      </c>
      <c r="I21" s="43"/>
      <c r="J21" s="43"/>
      <c r="K21" s="43">
        <v>173133.30176742174</v>
      </c>
      <c r="L21" s="43"/>
      <c r="M21" s="43">
        <v>20000</v>
      </c>
      <c r="N21" s="43">
        <v>30000</v>
      </c>
      <c r="O21" s="43">
        <v>50000</v>
      </c>
      <c r="P21" s="43">
        <v>123133.30176742174</v>
      </c>
      <c r="Q21" s="43">
        <v>70000</v>
      </c>
      <c r="R21" s="43">
        <v>500000</v>
      </c>
      <c r="S21" s="43">
        <v>-376866.69823257823</v>
      </c>
      <c r="T21" s="43"/>
      <c r="U21" s="43">
        <f>VLOOKUP($A21,'[17]EPARGNE 2023'!$A$5:$BF$47,4,0)</f>
        <v>51342.559108640766</v>
      </c>
      <c r="V21" s="44">
        <v>600000</v>
      </c>
      <c r="W21" s="43">
        <v>0</v>
      </c>
      <c r="X21" s="11"/>
      <c r="Y21" s="2" t="s">
        <v>97</v>
      </c>
      <c r="Z21" s="2"/>
    </row>
    <row r="22" spans="1:26" x14ac:dyDescent="0.25">
      <c r="A22" s="1" t="s">
        <v>37</v>
      </c>
      <c r="B22" s="1" t="s">
        <v>111</v>
      </c>
      <c r="C22" s="6">
        <v>570000</v>
      </c>
      <c r="D22" s="6">
        <v>84601.912290623644</v>
      </c>
      <c r="E22" s="6">
        <v>0</v>
      </c>
      <c r="F22" s="6">
        <v>570000</v>
      </c>
      <c r="G22" s="6">
        <v>115650.08701706305</v>
      </c>
      <c r="H22" s="6">
        <v>36000</v>
      </c>
      <c r="I22" s="43"/>
      <c r="J22" s="43"/>
      <c r="K22" s="43">
        <v>236251.9993076867</v>
      </c>
      <c r="L22" s="43"/>
      <c r="M22" s="43">
        <v>20000</v>
      </c>
      <c r="N22" s="43">
        <v>30000</v>
      </c>
      <c r="O22" s="43">
        <v>50000</v>
      </c>
      <c r="P22" s="43">
        <v>186251.9993076867</v>
      </c>
      <c r="Q22" s="43">
        <v>70000</v>
      </c>
      <c r="R22" s="43">
        <v>1000000</v>
      </c>
      <c r="S22" s="43">
        <v>-813748.0006923133</v>
      </c>
      <c r="T22" s="43"/>
      <c r="U22" s="43">
        <f>VLOOKUP($A22,'[17]EPARGNE 2023'!$A$5:$BF$47,4,0)</f>
        <v>140918.4930248888</v>
      </c>
      <c r="V22" s="44">
        <v>600000</v>
      </c>
      <c r="W22" s="43">
        <v>0</v>
      </c>
      <c r="X22" s="11"/>
      <c r="Y22" s="2" t="s">
        <v>111</v>
      </c>
      <c r="Z22" s="2"/>
    </row>
    <row r="23" spans="1:26" x14ac:dyDescent="0.25">
      <c r="A23" s="1" t="s">
        <v>38</v>
      </c>
      <c r="B23" s="1" t="s">
        <v>98</v>
      </c>
      <c r="C23" s="6">
        <v>570000</v>
      </c>
      <c r="D23" s="6">
        <v>101446.16753987665</v>
      </c>
      <c r="E23" s="6">
        <v>0</v>
      </c>
      <c r="F23" s="6">
        <v>570000</v>
      </c>
      <c r="G23" s="6">
        <v>135575.41062087758</v>
      </c>
      <c r="H23" s="6">
        <v>256000</v>
      </c>
      <c r="I23" s="43"/>
      <c r="J23" s="43"/>
      <c r="K23" s="43">
        <v>493021.57816075423</v>
      </c>
      <c r="L23" s="43"/>
      <c r="M23" s="43">
        <v>20000</v>
      </c>
      <c r="N23" s="43">
        <v>30000</v>
      </c>
      <c r="O23" s="43">
        <v>50000</v>
      </c>
      <c r="P23" s="43">
        <v>443021.57816075423</v>
      </c>
      <c r="Q23" s="43">
        <v>70000</v>
      </c>
      <c r="R23" s="43">
        <v>570000</v>
      </c>
      <c r="S23" s="43">
        <v>-126978.42183924577</v>
      </c>
      <c r="T23" s="43">
        <v>100000</v>
      </c>
      <c r="U23" s="43">
        <f>VLOOKUP($A23,'[17]EPARGNE 2023'!$A$5:$BF$47,4,0)</f>
        <v>283210.4580118584</v>
      </c>
      <c r="V23" s="44">
        <v>600000</v>
      </c>
      <c r="W23" s="43">
        <v>0</v>
      </c>
      <c r="X23" s="11"/>
      <c r="Y23" s="2" t="s">
        <v>98</v>
      </c>
      <c r="Z23" s="2"/>
    </row>
    <row r="24" spans="1:26" x14ac:dyDescent="0.25">
      <c r="A24" s="1" t="s">
        <v>39</v>
      </c>
      <c r="B24" s="1" t="s">
        <v>113</v>
      </c>
      <c r="C24" s="6">
        <v>570000</v>
      </c>
      <c r="D24" s="6">
        <v>2927.3714496080356</v>
      </c>
      <c r="E24" s="6">
        <v>0</v>
      </c>
      <c r="F24" s="6">
        <v>570000</v>
      </c>
      <c r="G24" s="6">
        <v>112073.41472061852</v>
      </c>
      <c r="H24" s="6">
        <v>173000</v>
      </c>
      <c r="I24" s="43"/>
      <c r="J24" s="43"/>
      <c r="K24" s="43">
        <v>288000.78617022652</v>
      </c>
      <c r="L24" s="43"/>
      <c r="M24" s="43">
        <v>20000</v>
      </c>
      <c r="N24" s="43">
        <v>30000</v>
      </c>
      <c r="O24" s="43">
        <v>50000</v>
      </c>
      <c r="P24" s="43">
        <v>238000.78617022652</v>
      </c>
      <c r="Q24" s="43">
        <v>90000</v>
      </c>
      <c r="R24" s="43">
        <v>1000000</v>
      </c>
      <c r="S24" s="43">
        <v>-761999.21382977348</v>
      </c>
      <c r="T24" s="43">
        <v>150000</v>
      </c>
      <c r="U24" s="43">
        <f>VLOOKUP($A24,'[17]EPARGNE 2023'!$A$5:$BF$47,4,0)</f>
        <v>39787.038443138823</v>
      </c>
      <c r="V24" s="44">
        <v>600000</v>
      </c>
      <c r="W24" s="43">
        <v>0</v>
      </c>
      <c r="X24" s="11"/>
      <c r="Y24" s="2" t="s">
        <v>113</v>
      </c>
      <c r="Z24" s="2"/>
    </row>
    <row r="25" spans="1:26" x14ac:dyDescent="0.25">
      <c r="A25" s="1" t="s">
        <v>41</v>
      </c>
      <c r="B25" s="1" t="s">
        <v>96</v>
      </c>
      <c r="C25" s="6">
        <v>570000</v>
      </c>
      <c r="D25" s="6">
        <v>3871.4174531366152</v>
      </c>
      <c r="E25" s="6">
        <v>0</v>
      </c>
      <c r="F25" s="6">
        <v>570000</v>
      </c>
      <c r="G25" s="6">
        <v>105375.57226410179</v>
      </c>
      <c r="H25" s="6">
        <v>98000</v>
      </c>
      <c r="I25" s="43"/>
      <c r="J25" s="43"/>
      <c r="K25" s="43">
        <v>207246.98971723841</v>
      </c>
      <c r="L25" s="43"/>
      <c r="M25" s="43">
        <v>20000</v>
      </c>
      <c r="N25" s="43">
        <v>30000</v>
      </c>
      <c r="O25" s="43">
        <v>50000</v>
      </c>
      <c r="P25" s="43">
        <v>157246.98971723841</v>
      </c>
      <c r="Q25" s="43">
        <v>140000</v>
      </c>
      <c r="R25" s="43">
        <v>1000000</v>
      </c>
      <c r="S25" s="43">
        <v>-842753.01028276165</v>
      </c>
      <c r="T25" s="43">
        <v>100000</v>
      </c>
      <c r="U25" s="43">
        <f>VLOOKUP($A25,'[17]EPARGNE 2023'!$A$5:$BF$47,4,0)</f>
        <v>13695.736143450369</v>
      </c>
      <c r="V25" s="44">
        <v>600000</v>
      </c>
      <c r="W25" s="43">
        <v>0</v>
      </c>
      <c r="X25" s="11"/>
      <c r="Y25" s="2" t="s">
        <v>96</v>
      </c>
      <c r="Z25" s="2"/>
    </row>
    <row r="26" spans="1:26" x14ac:dyDescent="0.25">
      <c r="A26" s="1" t="s">
        <v>43</v>
      </c>
      <c r="B26" s="1" t="s">
        <v>100</v>
      </c>
      <c r="C26" s="6">
        <v>570000</v>
      </c>
      <c r="D26" s="6">
        <v>11084.67996724385</v>
      </c>
      <c r="E26" s="6">
        <v>0</v>
      </c>
      <c r="F26" s="6">
        <v>570000</v>
      </c>
      <c r="G26" s="6">
        <v>102987.12577999645</v>
      </c>
      <c r="H26" s="6">
        <v>36000</v>
      </c>
      <c r="I26" s="43"/>
      <c r="J26" s="43"/>
      <c r="K26" s="43">
        <v>150071.80574724032</v>
      </c>
      <c r="L26" s="43"/>
      <c r="M26" s="43">
        <v>20000</v>
      </c>
      <c r="N26" s="43">
        <v>30000</v>
      </c>
      <c r="O26" s="43">
        <v>50000</v>
      </c>
      <c r="P26" s="43">
        <v>100071.80574724032</v>
      </c>
      <c r="Q26" s="43">
        <v>73000</v>
      </c>
      <c r="R26" s="43">
        <v>1000000</v>
      </c>
      <c r="S26" s="43">
        <v>-899928.19425275968</v>
      </c>
      <c r="T26" s="43">
        <v>59000</v>
      </c>
      <c r="U26" s="43">
        <f>VLOOKUP($A26,'[17]EPARGNE 2023'!$A$5:$BF$47,4,0)</f>
        <v>575.28052728832699</v>
      </c>
      <c r="V26" s="44">
        <v>600000</v>
      </c>
      <c r="W26" s="43">
        <v>0</v>
      </c>
      <c r="X26" s="11"/>
      <c r="Y26" s="2" t="s">
        <v>100</v>
      </c>
      <c r="Z26" s="2"/>
    </row>
    <row r="27" spans="1:26" x14ac:dyDescent="0.25">
      <c r="A27" s="1" t="s">
        <v>44</v>
      </c>
      <c r="B27" s="1" t="s">
        <v>87</v>
      </c>
      <c r="C27" s="6">
        <v>570000</v>
      </c>
      <c r="D27" s="6">
        <v>12062.781121595937</v>
      </c>
      <c r="E27" s="6">
        <v>0</v>
      </c>
      <c r="F27" s="6">
        <v>570000</v>
      </c>
      <c r="G27" s="6">
        <v>136133.00730978616</v>
      </c>
      <c r="H27" s="6">
        <v>439000</v>
      </c>
      <c r="I27" s="43"/>
      <c r="J27" s="43"/>
      <c r="K27" s="43">
        <v>587195.78843138204</v>
      </c>
      <c r="L27" s="43"/>
      <c r="M27" s="43">
        <v>20000</v>
      </c>
      <c r="N27" s="43">
        <v>30000</v>
      </c>
      <c r="O27" s="43">
        <v>50000</v>
      </c>
      <c r="P27" s="43">
        <v>537195.78843138204</v>
      </c>
      <c r="Q27" s="43">
        <v>70000</v>
      </c>
      <c r="R27" s="43">
        <v>0</v>
      </c>
      <c r="S27" s="43">
        <v>537195.78843138204</v>
      </c>
      <c r="T27" s="43">
        <v>70000</v>
      </c>
      <c r="U27" s="43"/>
      <c r="V27" s="44">
        <v>600000</v>
      </c>
      <c r="W27" s="43">
        <v>0</v>
      </c>
      <c r="X27" s="11"/>
      <c r="Y27" s="2"/>
      <c r="Z27" s="2"/>
    </row>
    <row r="28" spans="1:26" x14ac:dyDescent="0.25">
      <c r="A28" s="1"/>
      <c r="B28" s="1"/>
      <c r="C28" s="6"/>
      <c r="D28" s="6"/>
      <c r="E28" s="6"/>
      <c r="F28" s="6"/>
      <c r="G28" s="6"/>
      <c r="H28" s="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4"/>
      <c r="W28" s="43"/>
      <c r="X28" s="11"/>
      <c r="Y28" s="2" t="s">
        <v>316</v>
      </c>
      <c r="Z28" s="2"/>
    </row>
    <row r="29" spans="1:26" s="14" customFormat="1" x14ac:dyDescent="0.25">
      <c r="A29" s="1" t="s">
        <v>45</v>
      </c>
      <c r="B29" s="1" t="s">
        <v>116</v>
      </c>
      <c r="C29" s="6">
        <v>570000</v>
      </c>
      <c r="D29" s="6">
        <v>21819.131591268466</v>
      </c>
      <c r="E29" s="6">
        <v>0</v>
      </c>
      <c r="F29" s="6">
        <v>570000</v>
      </c>
      <c r="G29" s="6">
        <v>104836.07929089954</v>
      </c>
      <c r="H29" s="6">
        <v>36000</v>
      </c>
      <c r="I29" s="46"/>
      <c r="J29" s="46"/>
      <c r="K29" s="43">
        <v>162655.210882168</v>
      </c>
      <c r="L29" s="46"/>
      <c r="M29" s="43">
        <v>20000</v>
      </c>
      <c r="N29" s="43">
        <v>30000</v>
      </c>
      <c r="O29" s="43">
        <v>50000</v>
      </c>
      <c r="P29" s="43">
        <v>112655.210882168</v>
      </c>
      <c r="Q29" s="43">
        <v>70000</v>
      </c>
      <c r="R29" s="43">
        <v>0</v>
      </c>
      <c r="S29" s="43">
        <v>112655.210882168</v>
      </c>
      <c r="T29" s="43">
        <v>50000</v>
      </c>
      <c r="U29" s="43">
        <f>VLOOKUP($A29,'[17]EPARGNE 2023'!$A$5:$BF$47,4,0)</f>
        <v>21451.962695348077</v>
      </c>
      <c r="V29" s="44">
        <v>600000</v>
      </c>
      <c r="W29" s="43">
        <v>0</v>
      </c>
      <c r="X29" s="11"/>
      <c r="Y29" s="11" t="s">
        <v>116</v>
      </c>
      <c r="Z29" s="11"/>
    </row>
    <row r="30" spans="1:26" s="14" customFormat="1" x14ac:dyDescent="0.25">
      <c r="A30" s="1"/>
      <c r="B30" s="1"/>
      <c r="C30" s="6"/>
      <c r="D30" s="6"/>
      <c r="E30" s="6"/>
      <c r="F30" s="6"/>
      <c r="G30" s="6"/>
      <c r="H30" s="6"/>
      <c r="I30" s="46"/>
      <c r="J30" s="46"/>
      <c r="K30" s="43"/>
      <c r="L30" s="46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3"/>
      <c r="X30" s="11"/>
      <c r="Y30" s="11" t="s">
        <v>317</v>
      </c>
      <c r="Z30" s="11"/>
    </row>
    <row r="31" spans="1:26" ht="14.25" customHeight="1" x14ac:dyDescent="0.25">
      <c r="A31" s="1" t="s">
        <v>81</v>
      </c>
      <c r="B31" s="1" t="s">
        <v>118</v>
      </c>
      <c r="C31" s="6">
        <v>570000</v>
      </c>
      <c r="D31" s="6">
        <v>277025.72796184535</v>
      </c>
      <c r="E31" s="6">
        <v>0</v>
      </c>
      <c r="F31" s="6">
        <v>570000</v>
      </c>
      <c r="G31" s="6">
        <v>148542.9147221345</v>
      </c>
      <c r="H31" s="6">
        <v>33000</v>
      </c>
      <c r="I31" s="43"/>
      <c r="J31" s="43"/>
      <c r="K31" s="43">
        <v>458568.64268397982</v>
      </c>
      <c r="L31" s="43"/>
      <c r="M31" s="43">
        <v>20000</v>
      </c>
      <c r="N31" s="43">
        <v>30000</v>
      </c>
      <c r="O31" s="43">
        <v>50000</v>
      </c>
      <c r="P31" s="43">
        <v>408568.64268397982</v>
      </c>
      <c r="Q31" s="43">
        <v>170000</v>
      </c>
      <c r="R31" s="43">
        <v>0</v>
      </c>
      <c r="S31" s="43">
        <v>308568.64268397982</v>
      </c>
      <c r="T31" s="43">
        <v>50000</v>
      </c>
      <c r="U31" s="43">
        <f>VLOOKUP($A31,'[17]EPARGNE 2023'!$A$5:$BF$47,4,0)</f>
        <v>200752.48017057346</v>
      </c>
      <c r="V31" s="44">
        <v>600000</v>
      </c>
      <c r="W31" s="43">
        <v>0</v>
      </c>
      <c r="X31" s="11"/>
      <c r="Y31" s="2" t="s">
        <v>118</v>
      </c>
      <c r="Z31" s="2"/>
    </row>
    <row r="32" spans="1:26" x14ac:dyDescent="0.25">
      <c r="A32" s="1" t="s">
        <v>49</v>
      </c>
      <c r="B32" s="1" t="s">
        <v>121</v>
      </c>
      <c r="C32" s="6">
        <v>570000</v>
      </c>
      <c r="D32" s="6">
        <v>38450.871244281065</v>
      </c>
      <c r="E32" s="6">
        <v>0</v>
      </c>
      <c r="F32" s="6">
        <v>570000</v>
      </c>
      <c r="G32" s="6">
        <v>120400.32467551006</v>
      </c>
      <c r="H32" s="6">
        <v>173000</v>
      </c>
      <c r="I32" s="43"/>
      <c r="J32" s="43"/>
      <c r="K32" s="43">
        <v>331851.19591979112</v>
      </c>
      <c r="L32" s="43"/>
      <c r="M32" s="43">
        <v>20000</v>
      </c>
      <c r="N32" s="43">
        <v>30000</v>
      </c>
      <c r="O32" s="43">
        <v>50000</v>
      </c>
      <c r="P32" s="43">
        <v>281851.19591979112</v>
      </c>
      <c r="Q32" s="43">
        <v>70000</v>
      </c>
      <c r="R32" s="43">
        <v>1000000</v>
      </c>
      <c r="S32" s="43">
        <v>-718148.80408020888</v>
      </c>
      <c r="T32" s="43">
        <v>100000</v>
      </c>
      <c r="U32" s="43">
        <f>VLOOKUP($A32,'[17]EPARGNE 2023'!$A$5:$BF$47,4,0)</f>
        <v>103606.47183067317</v>
      </c>
      <c r="V32" s="44">
        <v>600000</v>
      </c>
      <c r="W32" s="43">
        <v>0</v>
      </c>
      <c r="X32" s="11"/>
      <c r="Y32" s="2" t="s">
        <v>121</v>
      </c>
      <c r="Z32" s="2"/>
    </row>
    <row r="33" spans="1:26" x14ac:dyDescent="0.25">
      <c r="A33" s="1" t="s">
        <v>51</v>
      </c>
      <c r="B33" s="1" t="s">
        <v>122</v>
      </c>
      <c r="C33" s="6">
        <v>570000</v>
      </c>
      <c r="D33" s="6">
        <v>6233.7835378004966</v>
      </c>
      <c r="E33" s="6">
        <v>0</v>
      </c>
      <c r="F33" s="6">
        <v>570000</v>
      </c>
      <c r="G33" s="6">
        <v>102151.58407759845</v>
      </c>
      <c r="H33" s="6">
        <v>36000</v>
      </c>
      <c r="I33" s="43"/>
      <c r="J33" s="43"/>
      <c r="K33" s="43">
        <v>144385.36761539895</v>
      </c>
      <c r="L33" s="43"/>
      <c r="M33" s="43">
        <v>20000</v>
      </c>
      <c r="N33" s="43">
        <v>30000</v>
      </c>
      <c r="O33" s="43">
        <v>50000</v>
      </c>
      <c r="P33" s="43">
        <v>94385.367615398951</v>
      </c>
      <c r="Q33" s="43">
        <v>70000</v>
      </c>
      <c r="R33" s="43">
        <v>1000000</v>
      </c>
      <c r="S33" s="43">
        <v>-905614.63238460105</v>
      </c>
      <c r="T33" s="43">
        <v>40000</v>
      </c>
      <c r="U33" s="43">
        <f>VLOOKUP($A33,'[17]EPARGNE 2023'!$A$5:$BF$47,4,0)</f>
        <v>4207.8699443503283</v>
      </c>
      <c r="V33" s="44">
        <v>600000</v>
      </c>
      <c r="W33" s="43">
        <v>0</v>
      </c>
      <c r="X33" s="11"/>
      <c r="Y33" s="2" t="s">
        <v>122</v>
      </c>
      <c r="Z33" s="2"/>
    </row>
    <row r="34" spans="1:26" x14ac:dyDescent="0.25">
      <c r="A34" s="1"/>
      <c r="B34" s="1"/>
      <c r="C34" s="6"/>
      <c r="D34" s="6"/>
      <c r="E34" s="6"/>
      <c r="F34" s="6"/>
      <c r="G34" s="6"/>
      <c r="H34" s="6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3"/>
      <c r="X34" s="11"/>
      <c r="Y34" s="2" t="s">
        <v>124</v>
      </c>
      <c r="Z34" s="2"/>
    </row>
    <row r="35" spans="1:26" x14ac:dyDescent="0.25">
      <c r="A35" s="1"/>
      <c r="B35" s="1"/>
      <c r="C35" s="6"/>
      <c r="D35" s="6"/>
      <c r="E35" s="6"/>
      <c r="F35" s="6"/>
      <c r="G35" s="6"/>
      <c r="H35" s="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3"/>
      <c r="X35" s="11"/>
      <c r="Y35" s="2" t="s">
        <v>318</v>
      </c>
      <c r="Z35" s="2"/>
    </row>
    <row r="36" spans="1:26" s="14" customFormat="1" ht="13.5" customHeight="1" x14ac:dyDescent="0.25">
      <c r="A36" s="1" t="s">
        <v>55</v>
      </c>
      <c r="B36" s="1" t="s">
        <v>126</v>
      </c>
      <c r="C36" s="6">
        <v>570000</v>
      </c>
      <c r="D36" s="6">
        <v>811081.29717838136</v>
      </c>
      <c r="E36" s="6">
        <v>0</v>
      </c>
      <c r="F36" s="6">
        <v>570000</v>
      </c>
      <c r="G36" s="6">
        <v>240782.38593028119</v>
      </c>
      <c r="H36" s="6">
        <v>36000</v>
      </c>
      <c r="I36" s="46"/>
      <c r="J36" s="46"/>
      <c r="K36" s="43">
        <v>1087863.6831086625</v>
      </c>
      <c r="L36" s="46"/>
      <c r="M36" s="43">
        <v>20000</v>
      </c>
      <c r="N36" s="43">
        <v>30000</v>
      </c>
      <c r="O36" s="43">
        <v>50000</v>
      </c>
      <c r="P36" s="43">
        <v>1007863.6831086625</v>
      </c>
      <c r="Q36" s="43">
        <v>70000</v>
      </c>
      <c r="R36" s="43">
        <v>0</v>
      </c>
      <c r="S36" s="43">
        <v>1007863.6831086625</v>
      </c>
      <c r="T36" s="43"/>
      <c r="U36" s="43">
        <f>VLOOKUP($A36,'[17]EPARGNE 2023'!$A$5:$BF$47,4,0)</f>
        <v>914734.42229355336</v>
      </c>
      <c r="V36" s="44">
        <v>600000</v>
      </c>
      <c r="W36" s="43">
        <v>0</v>
      </c>
      <c r="X36" s="11"/>
      <c r="Y36" s="14" t="s">
        <v>126</v>
      </c>
    </row>
    <row r="37" spans="1:26" x14ac:dyDescent="0.25">
      <c r="A37" s="1" t="s">
        <v>56</v>
      </c>
      <c r="B37" s="1" t="s">
        <v>127</v>
      </c>
      <c r="C37" s="6">
        <v>570000</v>
      </c>
      <c r="D37" s="6">
        <v>913245.29452405358</v>
      </c>
      <c r="E37" s="6">
        <v>0</v>
      </c>
      <c r="F37" s="6">
        <v>570000</v>
      </c>
      <c r="G37" s="6">
        <v>258379.60358017083</v>
      </c>
      <c r="H37" s="6">
        <v>36000</v>
      </c>
      <c r="I37" s="43"/>
      <c r="J37" s="43"/>
      <c r="K37" s="43">
        <v>1207624.8981042244</v>
      </c>
      <c r="L37" s="43"/>
      <c r="M37" s="43">
        <v>20000</v>
      </c>
      <c r="N37" s="43">
        <v>30000</v>
      </c>
      <c r="O37" s="43">
        <v>50000</v>
      </c>
      <c r="P37" s="43">
        <v>1157624.8981042244</v>
      </c>
      <c r="Q37" s="43">
        <v>70000</v>
      </c>
      <c r="R37" s="43">
        <v>0</v>
      </c>
      <c r="S37" s="43">
        <v>1157624.8981042244</v>
      </c>
      <c r="T37" s="43"/>
      <c r="U37" s="43">
        <f>VLOOKUP($A37,'[17]EPARGNE 2023'!$A$5:$BF$47,4,0)</f>
        <v>1057774.2356918815</v>
      </c>
      <c r="V37" s="44">
        <v>600000</v>
      </c>
      <c r="W37" s="43">
        <v>0</v>
      </c>
      <c r="X37" s="11"/>
      <c r="Y37" t="s">
        <v>127</v>
      </c>
    </row>
    <row r="38" spans="1:26" x14ac:dyDescent="0.25">
      <c r="A38" s="133"/>
      <c r="B38" s="1"/>
      <c r="C38" s="130"/>
      <c r="D38" s="130"/>
      <c r="E38" s="6"/>
      <c r="F38" s="6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43"/>
      <c r="T38" s="130"/>
      <c r="U38" s="130"/>
      <c r="V38" s="134"/>
      <c r="W38" s="43"/>
    </row>
    <row r="39" spans="1:26" ht="18.75" thickBot="1" x14ac:dyDescent="0.3">
      <c r="A39" s="53" t="s">
        <v>57</v>
      </c>
      <c r="B39" s="68"/>
      <c r="C39" s="73">
        <v>15404177.005550491</v>
      </c>
      <c r="D39" s="73">
        <v>2740331.1427906612</v>
      </c>
      <c r="E39" s="73">
        <v>500000</v>
      </c>
      <c r="F39" s="73">
        <v>14904177.005550491</v>
      </c>
      <c r="G39" s="73">
        <v>3313199.9999999995</v>
      </c>
      <c r="H39" s="73">
        <v>2653500</v>
      </c>
      <c r="I39" s="73">
        <v>0</v>
      </c>
      <c r="J39" s="73">
        <v>0</v>
      </c>
      <c r="K39" s="73">
        <v>8707031.1427906603</v>
      </c>
      <c r="L39" s="73">
        <v>0</v>
      </c>
      <c r="M39" s="73">
        <v>520000</v>
      </c>
      <c r="N39" s="73">
        <v>780000</v>
      </c>
      <c r="O39" s="73">
        <v>1300000</v>
      </c>
      <c r="P39" s="73">
        <v>7206409.689247191</v>
      </c>
      <c r="Q39" s="73">
        <v>1936000</v>
      </c>
      <c r="R39" s="73">
        <v>14070000</v>
      </c>
      <c r="S39" s="73">
        <v>-7477978.4846683871</v>
      </c>
      <c r="T39" s="73">
        <v>1201000</v>
      </c>
      <c r="U39" s="73">
        <v>4361560</v>
      </c>
      <c r="V39" s="73">
        <v>16200000</v>
      </c>
      <c r="W39" s="73">
        <v>14388.173915576999</v>
      </c>
      <c r="X39" s="73">
        <v>1740000</v>
      </c>
    </row>
    <row r="40" spans="1:26" ht="15.75" thickTop="1" x14ac:dyDescent="0.25">
      <c r="G40" t="s">
        <v>311</v>
      </c>
    </row>
    <row r="41" spans="1:26" x14ac:dyDescent="0.25">
      <c r="E41" s="6">
        <v>30000</v>
      </c>
      <c r="F41" s="6"/>
      <c r="G41" s="6"/>
      <c r="H41" s="6"/>
      <c r="I41" s="6"/>
      <c r="J41" s="6"/>
      <c r="K41" s="6"/>
      <c r="L41" s="6"/>
    </row>
    <row r="42" spans="1:26" x14ac:dyDescent="0.25">
      <c r="F42" s="6">
        <v>23000</v>
      </c>
      <c r="G42" s="6">
        <v>2000</v>
      </c>
      <c r="H42" s="6">
        <v>25000</v>
      </c>
      <c r="I42" s="6"/>
      <c r="J42" s="6"/>
      <c r="K42" s="6"/>
      <c r="L42" s="6"/>
      <c r="O42" s="2"/>
    </row>
    <row r="43" spans="1:26" x14ac:dyDescent="0.25">
      <c r="E43" t="s">
        <v>308</v>
      </c>
      <c r="F43" s="6">
        <v>500</v>
      </c>
      <c r="G43" s="6">
        <v>500</v>
      </c>
      <c r="H43" s="6">
        <v>1000</v>
      </c>
      <c r="I43" s="6"/>
      <c r="J43" s="6"/>
      <c r="K43" s="6"/>
      <c r="L43" s="6"/>
    </row>
    <row r="44" spans="1:26" x14ac:dyDescent="0.25">
      <c r="A44" s="1" t="s">
        <v>17</v>
      </c>
      <c r="B44" s="1" t="s">
        <v>101</v>
      </c>
      <c r="C44" s="6">
        <v>216000</v>
      </c>
      <c r="E44" t="s">
        <v>309</v>
      </c>
      <c r="F44" s="6">
        <v>1000</v>
      </c>
      <c r="G44" s="6"/>
      <c r="H44" s="6">
        <v>1000</v>
      </c>
      <c r="I44" s="6"/>
      <c r="J44" s="6"/>
      <c r="K44" s="6"/>
      <c r="L44" s="6"/>
    </row>
    <row r="45" spans="1:26" x14ac:dyDescent="0.25">
      <c r="A45" s="1" t="s">
        <v>301</v>
      </c>
      <c r="B45" s="1" t="s">
        <v>319</v>
      </c>
      <c r="C45" s="6">
        <v>80000</v>
      </c>
      <c r="E45" t="s">
        <v>310</v>
      </c>
      <c r="F45" s="6">
        <v>3000</v>
      </c>
      <c r="G45" s="6">
        <v>6000</v>
      </c>
      <c r="H45" s="6">
        <v>9000</v>
      </c>
      <c r="I45" s="6">
        <v>108000</v>
      </c>
      <c r="J45" s="6"/>
      <c r="K45" s="6"/>
      <c r="L45" s="6"/>
    </row>
    <row r="46" spans="1:26" x14ac:dyDescent="0.25">
      <c r="A46" s="1" t="s">
        <v>300</v>
      </c>
      <c r="B46" s="1" t="s">
        <v>320</v>
      </c>
      <c r="C46" s="6">
        <v>480000</v>
      </c>
      <c r="E46" t="s">
        <v>12</v>
      </c>
      <c r="F46" s="6">
        <v>2500</v>
      </c>
      <c r="G46" s="6">
        <v>1500</v>
      </c>
      <c r="H46" s="6">
        <v>4000</v>
      </c>
      <c r="I46" s="6">
        <v>104000</v>
      </c>
      <c r="J46" s="6"/>
      <c r="K46" s="6"/>
      <c r="L46" s="6"/>
    </row>
    <row r="47" spans="1:26" x14ac:dyDescent="0.25">
      <c r="A47" s="1" t="s">
        <v>40</v>
      </c>
      <c r="B47" s="1" t="s">
        <v>114</v>
      </c>
      <c r="C47" s="6">
        <v>257467</v>
      </c>
    </row>
    <row r="48" spans="1:26" x14ac:dyDescent="0.25">
      <c r="A48" s="1" t="s">
        <v>80</v>
      </c>
      <c r="B48" s="1" t="s">
        <v>112</v>
      </c>
      <c r="C48" s="6">
        <v>80000</v>
      </c>
      <c r="F48" s="6">
        <v>30000</v>
      </c>
      <c r="G48" s="6">
        <v>10000</v>
      </c>
      <c r="H48" s="6">
        <v>40000</v>
      </c>
      <c r="I48" s="6"/>
      <c r="J48" s="6"/>
      <c r="K48" s="6"/>
    </row>
    <row r="50" spans="1:21" ht="18" x14ac:dyDescent="0.25">
      <c r="A50" s="1" t="s">
        <v>57</v>
      </c>
      <c r="B50" s="1"/>
      <c r="C50" s="9">
        <v>1113467</v>
      </c>
      <c r="L50" s="110"/>
      <c r="M50" s="110"/>
      <c r="N50" s="2"/>
      <c r="O50" s="2"/>
      <c r="P50" s="2"/>
      <c r="Q50" s="2"/>
      <c r="R50" s="2"/>
      <c r="S50" s="2"/>
      <c r="T50" s="2"/>
      <c r="U50"/>
    </row>
  </sheetData>
  <autoFilter ref="A5:U39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9"/>
  <sheetViews>
    <sheetView topLeftCell="A13" workbookViewId="0">
      <selection activeCell="E13" sqref="E13"/>
    </sheetView>
  </sheetViews>
  <sheetFormatPr baseColWidth="10" defaultRowHeight="15" x14ac:dyDescent="0.25"/>
  <cols>
    <col min="2" max="2" width="40.7109375" customWidth="1"/>
    <col min="3" max="5" width="18.5703125" bestFit="1" customWidth="1"/>
    <col min="6" max="6" width="20.42578125" customWidth="1"/>
  </cols>
  <sheetData>
    <row r="1" spans="1:7" x14ac:dyDescent="0.25">
      <c r="B1" s="42" t="s">
        <v>1</v>
      </c>
    </row>
    <row r="2" spans="1:7" x14ac:dyDescent="0.25">
      <c r="B2" s="42" t="s">
        <v>2</v>
      </c>
      <c r="C2" s="42">
        <v>2022</v>
      </c>
    </row>
    <row r="3" spans="1:7" ht="21" x14ac:dyDescent="0.35">
      <c r="B3" s="166" t="s">
        <v>281</v>
      </c>
      <c r="C3" s="167"/>
      <c r="D3" s="167"/>
      <c r="E3" s="167"/>
      <c r="F3" s="167"/>
    </row>
    <row r="5" spans="1:7" ht="15.75" thickBot="1" x14ac:dyDescent="0.3"/>
    <row r="6" spans="1:7" ht="38.25" thickTop="1" x14ac:dyDescent="0.3">
      <c r="A6" s="105" t="s">
        <v>289</v>
      </c>
      <c r="B6" s="107" t="s">
        <v>275</v>
      </c>
      <c r="C6" s="106" t="s">
        <v>276</v>
      </c>
      <c r="D6" s="107" t="s">
        <v>277</v>
      </c>
      <c r="E6" s="107" t="s">
        <v>278</v>
      </c>
      <c r="F6" s="108" t="s">
        <v>234</v>
      </c>
    </row>
    <row r="7" spans="1:7" ht="18.75" x14ac:dyDescent="0.3">
      <c r="A7" s="118"/>
      <c r="B7" s="119"/>
      <c r="C7" s="120"/>
      <c r="D7" s="119"/>
      <c r="E7" s="119"/>
      <c r="F7" s="121"/>
    </row>
    <row r="8" spans="1:7" x14ac:dyDescent="0.25">
      <c r="A8" s="78">
        <v>1</v>
      </c>
      <c r="B8" s="50" t="s">
        <v>290</v>
      </c>
      <c r="C8" s="124">
        <v>21791466</v>
      </c>
      <c r="D8" s="124"/>
      <c r="E8" s="46">
        <v>500000</v>
      </c>
      <c r="F8" s="44">
        <v>21291466</v>
      </c>
      <c r="G8" s="2"/>
    </row>
    <row r="9" spans="1:7" x14ac:dyDescent="0.25">
      <c r="A9" s="78">
        <v>2</v>
      </c>
      <c r="B9" s="50" t="s">
        <v>10</v>
      </c>
      <c r="C9" s="124">
        <v>2074728</v>
      </c>
      <c r="D9" s="124">
        <v>156000</v>
      </c>
      <c r="E9" s="46">
        <v>234500</v>
      </c>
      <c r="F9" s="44">
        <v>1996228</v>
      </c>
      <c r="G9" s="2"/>
    </row>
    <row r="10" spans="1:7" x14ac:dyDescent="0.25">
      <c r="A10" s="78">
        <v>3</v>
      </c>
      <c r="B10" s="50" t="s">
        <v>58</v>
      </c>
      <c r="C10" s="124">
        <v>1191460</v>
      </c>
      <c r="D10" s="124">
        <v>312000</v>
      </c>
      <c r="E10" s="46">
        <v>0</v>
      </c>
      <c r="F10" s="44">
        <v>1503460</v>
      </c>
      <c r="G10" s="2"/>
    </row>
    <row r="11" spans="1:7" x14ac:dyDescent="0.25">
      <c r="A11" s="78">
        <v>4</v>
      </c>
      <c r="B11" s="50" t="s">
        <v>279</v>
      </c>
      <c r="C11" s="124">
        <v>94762</v>
      </c>
      <c r="D11" s="124">
        <v>520000</v>
      </c>
      <c r="E11" s="46">
        <v>0</v>
      </c>
      <c r="F11" s="44">
        <f>C11+D11</f>
        <v>614762</v>
      </c>
      <c r="G11" s="2"/>
    </row>
    <row r="12" spans="1:7" x14ac:dyDescent="0.25">
      <c r="A12" s="78">
        <v>5</v>
      </c>
      <c r="B12" s="50" t="s">
        <v>71</v>
      </c>
      <c r="C12" s="124">
        <v>680000</v>
      </c>
      <c r="D12" s="124">
        <v>0</v>
      </c>
      <c r="E12" s="46">
        <v>0</v>
      </c>
      <c r="F12" s="44">
        <v>680000</v>
      </c>
      <c r="G12" s="2"/>
    </row>
    <row r="13" spans="1:7" x14ac:dyDescent="0.25">
      <c r="A13" s="78">
        <v>6</v>
      </c>
      <c r="B13" s="50" t="s">
        <v>282</v>
      </c>
      <c r="C13" s="124">
        <v>1122025</v>
      </c>
      <c r="D13" s="124">
        <v>96000</v>
      </c>
      <c r="E13" s="46">
        <v>450000</v>
      </c>
      <c r="F13" s="44">
        <v>768025</v>
      </c>
      <c r="G13" s="2"/>
    </row>
    <row r="14" spans="1:7" x14ac:dyDescent="0.25">
      <c r="A14" s="78">
        <v>7</v>
      </c>
      <c r="B14" s="50" t="s">
        <v>12</v>
      </c>
      <c r="C14" s="124">
        <v>1310525</v>
      </c>
      <c r="D14" s="124">
        <v>780000</v>
      </c>
      <c r="E14" s="46">
        <v>770000</v>
      </c>
      <c r="F14" s="44">
        <v>1320525</v>
      </c>
      <c r="G14" s="2"/>
    </row>
    <row r="15" spans="1:7" x14ac:dyDescent="0.25">
      <c r="A15" s="78">
        <v>8</v>
      </c>
      <c r="B15" s="50" t="s">
        <v>283</v>
      </c>
      <c r="C15" s="124">
        <v>94000</v>
      </c>
      <c r="D15" s="124"/>
      <c r="E15" s="46"/>
      <c r="F15" s="44">
        <v>94000</v>
      </c>
      <c r="G15" s="2"/>
    </row>
    <row r="16" spans="1:7" x14ac:dyDescent="0.25">
      <c r="A16" s="78">
        <v>9</v>
      </c>
      <c r="B16" s="50" t="s">
        <v>295</v>
      </c>
      <c r="C16" s="124"/>
      <c r="D16" s="124"/>
      <c r="E16" s="46"/>
      <c r="F16" s="44">
        <v>0</v>
      </c>
      <c r="G16" s="2"/>
    </row>
    <row r="17" spans="1:8" x14ac:dyDescent="0.25">
      <c r="A17" s="78">
        <v>10</v>
      </c>
      <c r="B17" s="50" t="s">
        <v>242</v>
      </c>
      <c r="C17" s="124">
        <v>527000</v>
      </c>
      <c r="D17" s="124">
        <v>1836000</v>
      </c>
      <c r="E17" s="46">
        <v>1820000</v>
      </c>
      <c r="F17" s="44">
        <v>543000</v>
      </c>
      <c r="G17" s="2"/>
    </row>
    <row r="18" spans="1:8" x14ac:dyDescent="0.25">
      <c r="A18" s="78">
        <v>11</v>
      </c>
      <c r="B18" s="50" t="s">
        <v>284</v>
      </c>
      <c r="C18" s="124">
        <v>164500</v>
      </c>
      <c r="D18" s="124"/>
      <c r="E18" s="46">
        <v>164500</v>
      </c>
      <c r="F18" s="44">
        <v>0</v>
      </c>
      <c r="G18" s="2"/>
    </row>
    <row r="19" spans="1:8" x14ac:dyDescent="0.25">
      <c r="A19" s="78">
        <v>12</v>
      </c>
      <c r="B19" s="50" t="s">
        <v>285</v>
      </c>
      <c r="C19" s="124">
        <v>619900</v>
      </c>
      <c r="D19" s="124"/>
      <c r="E19" s="46">
        <v>619900</v>
      </c>
      <c r="F19" s="44">
        <v>0</v>
      </c>
      <c r="G19" s="2"/>
    </row>
    <row r="20" spans="1:8" x14ac:dyDescent="0.25">
      <c r="A20" s="78">
        <v>13</v>
      </c>
      <c r="B20" s="50" t="s">
        <v>286</v>
      </c>
      <c r="C20" s="124">
        <v>75000</v>
      </c>
      <c r="D20" s="124"/>
      <c r="E20" s="46">
        <v>75000</v>
      </c>
      <c r="F20" s="44">
        <v>0</v>
      </c>
      <c r="G20" s="2"/>
    </row>
    <row r="21" spans="1:8" x14ac:dyDescent="0.25">
      <c r="A21" s="78">
        <v>14</v>
      </c>
      <c r="B21" s="50" t="s">
        <v>287</v>
      </c>
      <c r="C21" s="124">
        <v>54508</v>
      </c>
      <c r="D21" s="124"/>
      <c r="E21" s="46">
        <v>54508</v>
      </c>
      <c r="F21" s="44">
        <v>0</v>
      </c>
      <c r="G21" s="2"/>
    </row>
    <row r="22" spans="1:8" x14ac:dyDescent="0.25">
      <c r="A22" s="78">
        <v>15</v>
      </c>
      <c r="B22" s="50" t="s">
        <v>288</v>
      </c>
      <c r="C22" s="124">
        <v>2858226</v>
      </c>
      <c r="D22" s="124">
        <v>3748107.9999999995</v>
      </c>
      <c r="E22" s="46"/>
      <c r="F22" s="44">
        <v>6606334</v>
      </c>
      <c r="G22" s="2"/>
    </row>
    <row r="23" spans="1:8" x14ac:dyDescent="0.25">
      <c r="A23" s="78"/>
      <c r="B23" s="50" t="s">
        <v>302</v>
      </c>
      <c r="C23" s="43"/>
      <c r="D23" s="124">
        <v>28000</v>
      </c>
      <c r="E23" s="46"/>
      <c r="F23" s="44">
        <v>28000</v>
      </c>
      <c r="G23" s="2"/>
    </row>
    <row r="24" spans="1:8" x14ac:dyDescent="0.25">
      <c r="A24" s="128"/>
      <c r="B24" s="129"/>
      <c r="C24" s="130"/>
      <c r="D24" s="130"/>
      <c r="E24" s="131"/>
      <c r="F24" s="132"/>
      <c r="G24" s="2"/>
    </row>
    <row r="25" spans="1:8" ht="20.25" thickBot="1" x14ac:dyDescent="0.3">
      <c r="A25" s="80"/>
      <c r="B25" s="125" t="s">
        <v>57</v>
      </c>
      <c r="C25" s="126">
        <v>32658100</v>
      </c>
      <c r="D25" s="126">
        <f>SUM(D9:D23)</f>
        <v>7476108</v>
      </c>
      <c r="E25" s="126">
        <v>4688408</v>
      </c>
      <c r="F25" s="126">
        <f>SUM(F8:F23)</f>
        <v>35445800</v>
      </c>
      <c r="G25" s="2"/>
      <c r="H25" s="2">
        <v>479000</v>
      </c>
    </row>
    <row r="26" spans="1:8" ht="15.75" thickTop="1" x14ac:dyDescent="0.25">
      <c r="A26" s="111"/>
      <c r="B26" s="15"/>
      <c r="C26" s="112"/>
      <c r="D26" s="112"/>
      <c r="E26" s="112"/>
      <c r="F26" s="112"/>
      <c r="G26" s="2"/>
    </row>
    <row r="27" spans="1:8" ht="23.25" x14ac:dyDescent="0.35">
      <c r="B27" s="168" t="s">
        <v>291</v>
      </c>
      <c r="C27" s="169"/>
      <c r="D27" s="169"/>
      <c r="E27" s="169"/>
      <c r="F27" s="169"/>
      <c r="G27" s="111"/>
    </row>
    <row r="28" spans="1:8" x14ac:dyDescent="0.25">
      <c r="A28" s="111"/>
      <c r="B28" s="15"/>
      <c r="C28" s="112"/>
      <c r="D28" s="112"/>
      <c r="E28" s="113"/>
      <c r="F28" s="112"/>
      <c r="G28" s="2"/>
    </row>
    <row r="29" spans="1:8" x14ac:dyDescent="0.25">
      <c r="A29" s="111"/>
      <c r="B29" s="15"/>
      <c r="C29" s="112"/>
      <c r="D29" s="112"/>
      <c r="E29" s="113"/>
      <c r="F29" s="112"/>
      <c r="G29" s="2"/>
    </row>
    <row r="30" spans="1:8" ht="15.75" thickBot="1" x14ac:dyDescent="0.3">
      <c r="A30" s="111"/>
      <c r="B30" s="15"/>
      <c r="C30" s="112">
        <v>2021</v>
      </c>
      <c r="D30" s="112">
        <v>2022</v>
      </c>
      <c r="E30" s="113"/>
      <c r="F30" s="112"/>
      <c r="G30" s="2"/>
    </row>
    <row r="31" spans="1:8" ht="15.75" thickTop="1" x14ac:dyDescent="0.25">
      <c r="A31" s="85">
        <v>1</v>
      </c>
      <c r="B31" s="86" t="s">
        <v>292</v>
      </c>
      <c r="C31" s="127">
        <v>7304779</v>
      </c>
      <c r="D31" s="139">
        <v>4337431</v>
      </c>
      <c r="E31" s="113"/>
      <c r="F31" s="112"/>
      <c r="G31" s="2"/>
    </row>
    <row r="32" spans="1:8" x14ac:dyDescent="0.25">
      <c r="A32" s="78">
        <v>2</v>
      </c>
      <c r="B32" s="50" t="s">
        <v>293</v>
      </c>
      <c r="C32" s="124">
        <v>630005</v>
      </c>
      <c r="D32" s="140">
        <v>630005</v>
      </c>
      <c r="E32" s="113"/>
      <c r="F32" s="112"/>
      <c r="G32" s="2"/>
      <c r="H32" s="2"/>
    </row>
    <row r="33" spans="1:7" x14ac:dyDescent="0.25">
      <c r="A33" s="78">
        <v>3</v>
      </c>
      <c r="B33" s="50" t="s">
        <v>280</v>
      </c>
      <c r="C33" s="124">
        <v>1423702</v>
      </c>
      <c r="D33" s="140">
        <v>1423702</v>
      </c>
      <c r="E33" s="113"/>
      <c r="F33" s="112"/>
      <c r="G33" s="2"/>
    </row>
    <row r="34" spans="1:7" x14ac:dyDescent="0.25">
      <c r="A34" s="78">
        <v>4</v>
      </c>
      <c r="B34" s="50" t="s">
        <v>294</v>
      </c>
      <c r="C34" s="124">
        <v>744700</v>
      </c>
      <c r="D34" s="140">
        <v>744700</v>
      </c>
      <c r="E34" s="113"/>
      <c r="F34" s="112"/>
      <c r="G34" s="2"/>
    </row>
    <row r="35" spans="1:7" x14ac:dyDescent="0.25">
      <c r="A35" s="78">
        <v>5</v>
      </c>
      <c r="B35" s="50" t="s">
        <v>296</v>
      </c>
      <c r="C35" s="124">
        <v>275000</v>
      </c>
      <c r="D35" s="140">
        <v>0</v>
      </c>
      <c r="E35" s="112"/>
      <c r="F35" s="112"/>
      <c r="G35" s="2"/>
    </row>
    <row r="36" spans="1:7" x14ac:dyDescent="0.25">
      <c r="A36" s="78">
        <v>6</v>
      </c>
      <c r="B36" s="50" t="s">
        <v>297</v>
      </c>
      <c r="C36" s="124">
        <v>154000</v>
      </c>
      <c r="D36" s="140">
        <v>154000</v>
      </c>
      <c r="E36" s="112"/>
      <c r="F36" s="112"/>
      <c r="G36" s="2"/>
    </row>
    <row r="37" spans="1:7" x14ac:dyDescent="0.25">
      <c r="A37" s="78">
        <v>7</v>
      </c>
      <c r="B37" s="50" t="s">
        <v>298</v>
      </c>
      <c r="C37" s="124">
        <v>20515659</v>
      </c>
      <c r="D37" s="140">
        <v>18658500</v>
      </c>
      <c r="E37" s="112"/>
      <c r="F37" s="112"/>
      <c r="G37" s="2"/>
    </row>
    <row r="38" spans="1:7" x14ac:dyDescent="0.25">
      <c r="A38" s="78">
        <v>8</v>
      </c>
      <c r="B38" s="50" t="s">
        <v>299</v>
      </c>
      <c r="C38" s="124">
        <v>1233618</v>
      </c>
      <c r="D38" s="140">
        <v>656618</v>
      </c>
      <c r="E38" s="113"/>
      <c r="F38" s="112"/>
      <c r="G38" s="2"/>
    </row>
    <row r="39" spans="1:7" x14ac:dyDescent="0.25">
      <c r="A39" s="78"/>
      <c r="B39" s="50"/>
      <c r="C39" s="43"/>
      <c r="D39" s="44"/>
      <c r="E39" s="113"/>
      <c r="F39" s="112"/>
      <c r="G39" s="2"/>
    </row>
    <row r="40" spans="1:7" ht="15.75" thickBot="1" x14ac:dyDescent="0.3">
      <c r="A40" s="80"/>
      <c r="B40" s="68" t="s">
        <v>57</v>
      </c>
      <c r="C40" s="122">
        <v>32281463</v>
      </c>
      <c r="D40" s="123">
        <v>26604956</v>
      </c>
      <c r="E40" s="114"/>
      <c r="F40" s="112"/>
      <c r="G40" s="109"/>
    </row>
    <row r="41" spans="1:7" ht="15.75" thickTop="1" x14ac:dyDescent="0.25">
      <c r="A41" s="111"/>
      <c r="B41" s="111"/>
      <c r="C41" s="115"/>
      <c r="D41" s="115"/>
      <c r="E41" s="114"/>
      <c r="F41" s="112"/>
      <c r="G41" s="2"/>
    </row>
    <row r="42" spans="1:7" x14ac:dyDescent="0.25">
      <c r="A42" s="111"/>
      <c r="B42" s="111"/>
      <c r="C42" s="112"/>
      <c r="D42" s="112"/>
      <c r="E42" s="113"/>
      <c r="F42" s="112"/>
      <c r="G42" s="2"/>
    </row>
    <row r="43" spans="1:7" x14ac:dyDescent="0.25">
      <c r="A43" s="111"/>
      <c r="B43" s="15"/>
      <c r="C43" s="115"/>
      <c r="D43" s="112"/>
      <c r="E43" s="113"/>
      <c r="F43" s="112"/>
      <c r="G43" s="2"/>
    </row>
    <row r="44" spans="1:7" x14ac:dyDescent="0.25">
      <c r="A44" s="111"/>
      <c r="B44" s="15"/>
      <c r="C44" s="115"/>
      <c r="D44" s="111"/>
      <c r="E44" s="113"/>
      <c r="F44" s="112"/>
      <c r="G44" s="2"/>
    </row>
    <row r="45" spans="1:7" x14ac:dyDescent="0.25">
      <c r="A45" s="111"/>
      <c r="B45" s="15"/>
      <c r="C45" s="115"/>
      <c r="D45" s="112"/>
      <c r="E45" s="114"/>
      <c r="F45" s="112"/>
      <c r="G45" s="2"/>
    </row>
    <row r="46" spans="1:7" x14ac:dyDescent="0.25">
      <c r="A46" s="111"/>
      <c r="B46" s="15"/>
      <c r="C46" s="115"/>
      <c r="D46" s="112"/>
      <c r="E46" s="114"/>
      <c r="F46" s="112"/>
      <c r="G46" s="2"/>
    </row>
    <row r="47" spans="1:7" x14ac:dyDescent="0.25">
      <c r="A47" s="111"/>
      <c r="B47" s="15"/>
      <c r="C47" s="115"/>
      <c r="D47" s="112"/>
      <c r="E47" s="114"/>
      <c r="F47" s="112"/>
      <c r="G47" s="2"/>
    </row>
    <row r="48" spans="1:7" x14ac:dyDescent="0.25">
      <c r="A48" s="111"/>
      <c r="B48" s="15"/>
      <c r="C48" s="115"/>
      <c r="D48" s="112"/>
      <c r="E48" s="114"/>
      <c r="F48" s="112"/>
      <c r="G48" s="2"/>
    </row>
    <row r="49" spans="1:7" x14ac:dyDescent="0.25">
      <c r="A49" s="111"/>
      <c r="B49" s="15"/>
      <c r="C49" s="111"/>
      <c r="D49" s="112"/>
      <c r="E49" s="113"/>
      <c r="F49" s="112"/>
      <c r="G49" s="2"/>
    </row>
    <row r="50" spans="1:7" x14ac:dyDescent="0.25">
      <c r="A50" s="111"/>
      <c r="B50" s="15"/>
      <c r="C50" s="111"/>
      <c r="D50" s="112"/>
      <c r="E50" s="116"/>
      <c r="F50" s="112"/>
      <c r="G50" s="2"/>
    </row>
    <row r="51" spans="1:7" x14ac:dyDescent="0.25">
      <c r="A51" s="111"/>
      <c r="B51" s="15"/>
      <c r="C51" s="112"/>
      <c r="D51" s="112"/>
      <c r="E51" s="116"/>
      <c r="F51" s="112"/>
      <c r="G51" s="2"/>
    </row>
    <row r="52" spans="1:7" x14ac:dyDescent="0.25">
      <c r="A52" s="111"/>
      <c r="B52" s="15"/>
      <c r="C52" s="111"/>
      <c r="D52" s="112"/>
      <c r="E52" s="114"/>
      <c r="F52" s="112"/>
      <c r="G52" s="2"/>
    </row>
    <row r="53" spans="1:7" x14ac:dyDescent="0.25">
      <c r="A53" s="111"/>
      <c r="B53" s="15"/>
      <c r="C53" s="115"/>
      <c r="D53" s="112"/>
      <c r="E53" s="114"/>
      <c r="F53" s="112"/>
      <c r="G53" s="2"/>
    </row>
    <row r="54" spans="1:7" x14ac:dyDescent="0.25">
      <c r="A54" s="111"/>
      <c r="B54" s="15"/>
      <c r="C54" s="115"/>
      <c r="D54" s="112"/>
      <c r="E54" s="113"/>
      <c r="F54" s="112"/>
      <c r="G54" s="2"/>
    </row>
    <row r="55" spans="1:7" x14ac:dyDescent="0.25">
      <c r="A55" s="111"/>
      <c r="B55" s="15"/>
      <c r="C55" s="115"/>
      <c r="D55" s="112"/>
      <c r="E55" s="114"/>
      <c r="F55" s="112"/>
      <c r="G55" s="2"/>
    </row>
    <row r="56" spans="1:7" x14ac:dyDescent="0.25">
      <c r="A56" s="111"/>
      <c r="B56" s="111"/>
      <c r="C56" s="111"/>
      <c r="D56" s="111"/>
      <c r="E56" s="116"/>
      <c r="F56" s="112"/>
    </row>
    <row r="57" spans="1:7" x14ac:dyDescent="0.25">
      <c r="A57" s="111"/>
      <c r="B57" s="111"/>
      <c r="C57" s="111"/>
      <c r="D57" s="111"/>
      <c r="E57" s="116"/>
      <c r="F57" s="111"/>
    </row>
    <row r="58" spans="1:7" ht="18" x14ac:dyDescent="0.25">
      <c r="A58" s="111"/>
      <c r="B58" s="15"/>
      <c r="C58" s="117"/>
      <c r="D58" s="117"/>
      <c r="E58" s="117"/>
      <c r="F58" s="117"/>
    </row>
    <row r="59" spans="1:7" x14ac:dyDescent="0.25">
      <c r="A59" s="111"/>
      <c r="B59" s="111"/>
      <c r="C59" s="111"/>
      <c r="D59" s="111"/>
      <c r="E59" s="111"/>
      <c r="F59" s="111"/>
    </row>
    <row r="60" spans="1:7" x14ac:dyDescent="0.25">
      <c r="A60" s="111"/>
      <c r="B60" s="111"/>
      <c r="C60" s="111"/>
      <c r="D60" s="111"/>
      <c r="E60" s="111"/>
      <c r="F60" s="111"/>
    </row>
    <row r="61" spans="1:7" x14ac:dyDescent="0.25">
      <c r="A61" s="111"/>
      <c r="B61" s="111"/>
      <c r="C61" s="111"/>
      <c r="D61" s="111"/>
      <c r="E61" s="111"/>
      <c r="F61" s="111"/>
    </row>
    <row r="62" spans="1:7" x14ac:dyDescent="0.25">
      <c r="A62" s="111"/>
      <c r="B62" s="111"/>
      <c r="C62" s="111"/>
      <c r="D62" s="111"/>
      <c r="E62" s="111"/>
      <c r="F62" s="111"/>
    </row>
    <row r="63" spans="1:7" x14ac:dyDescent="0.25">
      <c r="A63" s="111"/>
      <c r="B63" s="111"/>
      <c r="C63" s="111"/>
      <c r="D63" s="111"/>
      <c r="E63" s="111"/>
      <c r="F63" s="111"/>
    </row>
    <row r="64" spans="1:7" x14ac:dyDescent="0.25">
      <c r="A64" s="111"/>
      <c r="B64" s="111"/>
      <c r="C64" s="111"/>
      <c r="D64" s="111"/>
      <c r="E64" s="111"/>
      <c r="F64" s="111"/>
    </row>
    <row r="65" spans="1:6" x14ac:dyDescent="0.25">
      <c r="A65" s="111"/>
      <c r="B65" s="111"/>
      <c r="C65" s="111"/>
      <c r="D65" s="111"/>
      <c r="E65" s="111"/>
      <c r="F65" s="111"/>
    </row>
    <row r="66" spans="1:6" x14ac:dyDescent="0.25">
      <c r="A66" s="111"/>
      <c r="B66" s="111"/>
      <c r="C66" s="111"/>
      <c r="D66" s="111"/>
      <c r="E66" s="111"/>
      <c r="F66" s="111"/>
    </row>
    <row r="67" spans="1:6" x14ac:dyDescent="0.25">
      <c r="A67" s="111"/>
      <c r="B67" s="111"/>
      <c r="C67" s="111"/>
      <c r="D67" s="111"/>
      <c r="E67" s="111"/>
      <c r="F67" s="111"/>
    </row>
    <row r="68" spans="1:6" x14ac:dyDescent="0.25">
      <c r="A68" s="111"/>
      <c r="B68" s="111"/>
      <c r="C68" s="111"/>
      <c r="D68" s="111"/>
      <c r="E68" s="111"/>
      <c r="F68" s="111"/>
    </row>
    <row r="69" spans="1:6" x14ac:dyDescent="0.25">
      <c r="A69" s="111"/>
      <c r="B69" s="111"/>
      <c r="C69" s="111"/>
      <c r="D69" s="111"/>
      <c r="E69" s="111"/>
      <c r="F69" s="111"/>
    </row>
    <row r="70" spans="1:6" x14ac:dyDescent="0.25">
      <c r="A70" s="111"/>
      <c r="B70" s="111"/>
      <c r="C70" s="111"/>
      <c r="D70" s="111"/>
      <c r="E70" s="111"/>
      <c r="F70" s="111"/>
    </row>
    <row r="71" spans="1:6" x14ac:dyDescent="0.25">
      <c r="A71" s="111"/>
      <c r="B71" s="111"/>
      <c r="C71" s="111"/>
      <c r="D71" s="111"/>
      <c r="E71" s="111"/>
      <c r="F71" s="111"/>
    </row>
    <row r="72" spans="1:6" x14ac:dyDescent="0.25">
      <c r="A72" s="111"/>
      <c r="B72" s="111"/>
      <c r="C72" s="111"/>
      <c r="D72" s="111"/>
      <c r="E72" s="111"/>
      <c r="F72" s="111"/>
    </row>
    <row r="73" spans="1:6" x14ac:dyDescent="0.25">
      <c r="A73" s="111"/>
      <c r="B73" s="111"/>
      <c r="C73" s="111"/>
      <c r="D73" s="111"/>
      <c r="E73" s="111"/>
      <c r="F73" s="111"/>
    </row>
    <row r="74" spans="1:6" x14ac:dyDescent="0.25">
      <c r="A74" s="111"/>
      <c r="B74" s="111"/>
      <c r="C74" s="111"/>
      <c r="D74" s="111"/>
      <c r="E74" s="111"/>
      <c r="F74" s="111"/>
    </row>
    <row r="75" spans="1:6" x14ac:dyDescent="0.25">
      <c r="A75" s="111"/>
      <c r="B75" s="111"/>
      <c r="C75" s="111"/>
      <c r="D75" s="111"/>
      <c r="E75" s="111"/>
      <c r="F75" s="111"/>
    </row>
    <row r="76" spans="1:6" x14ac:dyDescent="0.25">
      <c r="A76" s="111"/>
      <c r="B76" s="111"/>
      <c r="C76" s="111"/>
      <c r="D76" s="111"/>
      <c r="E76" s="111"/>
      <c r="F76" s="111"/>
    </row>
    <row r="77" spans="1:6" x14ac:dyDescent="0.25">
      <c r="A77" s="111"/>
      <c r="B77" s="111"/>
      <c r="C77" s="111"/>
      <c r="D77" s="111"/>
      <c r="E77" s="111"/>
      <c r="F77" s="111"/>
    </row>
    <row r="78" spans="1:6" x14ac:dyDescent="0.25">
      <c r="A78" s="111"/>
      <c r="B78" s="111"/>
      <c r="C78" s="111"/>
      <c r="D78" s="111"/>
      <c r="E78" s="111"/>
      <c r="F78" s="111"/>
    </row>
    <row r="79" spans="1:6" x14ac:dyDescent="0.25">
      <c r="A79" s="111"/>
      <c r="B79" s="111"/>
      <c r="C79" s="111"/>
      <c r="D79" s="111"/>
      <c r="E79" s="111"/>
      <c r="F79" s="111"/>
    </row>
    <row r="80" spans="1:6" x14ac:dyDescent="0.25">
      <c r="A80" s="111"/>
      <c r="B80" s="111"/>
      <c r="C80" s="111"/>
      <c r="D80" s="111"/>
      <c r="E80" s="111"/>
      <c r="F80" s="111"/>
    </row>
    <row r="81" spans="1:6" x14ac:dyDescent="0.25">
      <c r="A81" s="111"/>
      <c r="B81" s="111"/>
      <c r="C81" s="111"/>
      <c r="D81" s="111"/>
      <c r="E81" s="111"/>
      <c r="F81" s="111"/>
    </row>
    <row r="82" spans="1:6" x14ac:dyDescent="0.25">
      <c r="A82" s="111"/>
      <c r="B82" s="111"/>
      <c r="C82" s="111"/>
      <c r="D82" s="111"/>
      <c r="E82" s="111"/>
      <c r="F82" s="111"/>
    </row>
    <row r="83" spans="1:6" x14ac:dyDescent="0.25">
      <c r="A83" s="111"/>
      <c r="B83" s="111"/>
      <c r="C83" s="111"/>
      <c r="D83" s="111"/>
      <c r="E83" s="111"/>
      <c r="F83" s="111"/>
    </row>
    <row r="84" spans="1:6" x14ac:dyDescent="0.25">
      <c r="A84" s="111"/>
      <c r="B84" s="111"/>
      <c r="C84" s="111"/>
      <c r="D84" s="111"/>
      <c r="E84" s="111"/>
      <c r="F84" s="111"/>
    </row>
    <row r="85" spans="1:6" x14ac:dyDescent="0.25">
      <c r="A85" s="111"/>
      <c r="B85" s="111"/>
      <c r="C85" s="111"/>
      <c r="D85" s="111"/>
      <c r="E85" s="111"/>
      <c r="F85" s="111"/>
    </row>
    <row r="86" spans="1:6" x14ac:dyDescent="0.25">
      <c r="A86" s="111"/>
      <c r="B86" s="111"/>
      <c r="C86" s="111"/>
      <c r="D86" s="111"/>
      <c r="E86" s="111"/>
      <c r="F86" s="111"/>
    </row>
    <row r="87" spans="1:6" x14ac:dyDescent="0.25">
      <c r="A87" s="111"/>
      <c r="B87" s="111"/>
      <c r="C87" s="111"/>
      <c r="D87" s="111"/>
      <c r="E87" s="111"/>
      <c r="F87" s="111"/>
    </row>
    <row r="88" spans="1:6" x14ac:dyDescent="0.25">
      <c r="A88" s="111"/>
      <c r="B88" s="111"/>
      <c r="C88" s="111"/>
      <c r="D88" s="111"/>
      <c r="E88" s="111"/>
      <c r="F88" s="111"/>
    </row>
    <row r="89" spans="1:6" x14ac:dyDescent="0.25">
      <c r="A89" s="111"/>
      <c r="B89" s="111"/>
      <c r="C89" s="111"/>
      <c r="D89" s="111"/>
      <c r="E89" s="111"/>
      <c r="F89" s="111"/>
    </row>
    <row r="90" spans="1:6" x14ac:dyDescent="0.25">
      <c r="A90" s="111"/>
      <c r="B90" s="111"/>
      <c r="C90" s="111"/>
      <c r="D90" s="111"/>
      <c r="E90" s="111"/>
      <c r="F90" s="111"/>
    </row>
    <row r="91" spans="1:6" x14ac:dyDescent="0.25">
      <c r="A91" s="111"/>
      <c r="B91" s="111"/>
      <c r="C91" s="111"/>
      <c r="D91" s="111"/>
      <c r="E91" s="111"/>
      <c r="F91" s="111"/>
    </row>
    <row r="92" spans="1:6" x14ac:dyDescent="0.25">
      <c r="A92" s="111"/>
      <c r="B92" s="111"/>
      <c r="C92" s="111"/>
      <c r="D92" s="111"/>
      <c r="E92" s="111"/>
      <c r="F92" s="111"/>
    </row>
    <row r="93" spans="1:6" x14ac:dyDescent="0.25">
      <c r="A93" s="111"/>
      <c r="B93" s="111"/>
      <c r="C93" s="111"/>
      <c r="D93" s="111"/>
      <c r="E93" s="111"/>
      <c r="F93" s="111"/>
    </row>
    <row r="94" spans="1:6" x14ac:dyDescent="0.25">
      <c r="A94" s="111"/>
      <c r="B94" s="111"/>
      <c r="C94" s="111"/>
      <c r="D94" s="111"/>
      <c r="E94" s="111"/>
      <c r="F94" s="111"/>
    </row>
    <row r="95" spans="1:6" x14ac:dyDescent="0.25">
      <c r="A95" s="111"/>
      <c r="B95" s="111"/>
      <c r="C95" s="111"/>
      <c r="D95" s="111"/>
      <c r="E95" s="111"/>
      <c r="F95" s="111"/>
    </row>
    <row r="96" spans="1:6" x14ac:dyDescent="0.25">
      <c r="A96" s="111"/>
      <c r="B96" s="111"/>
      <c r="C96" s="111"/>
      <c r="D96" s="111"/>
      <c r="E96" s="111"/>
      <c r="F96" s="111"/>
    </row>
    <row r="97" spans="1:6" x14ac:dyDescent="0.25">
      <c r="A97" s="111"/>
      <c r="B97" s="111"/>
      <c r="C97" s="111"/>
      <c r="D97" s="111"/>
      <c r="E97" s="111"/>
      <c r="F97" s="111"/>
    </row>
    <row r="98" spans="1:6" x14ac:dyDescent="0.25">
      <c r="A98" s="111"/>
      <c r="B98" s="111"/>
      <c r="C98" s="111"/>
      <c r="D98" s="111"/>
      <c r="E98" s="111"/>
      <c r="F98" s="111"/>
    </row>
    <row r="99" spans="1:6" x14ac:dyDescent="0.25">
      <c r="A99" s="111"/>
      <c r="B99" s="111"/>
      <c r="C99" s="111"/>
      <c r="D99" s="111"/>
      <c r="E99" s="111"/>
      <c r="F99" s="111"/>
    </row>
    <row r="100" spans="1:6" x14ac:dyDescent="0.25">
      <c r="A100" s="111"/>
      <c r="B100" s="111"/>
      <c r="C100" s="111"/>
      <c r="D100" s="111"/>
      <c r="E100" s="111"/>
      <c r="F100" s="111"/>
    </row>
    <row r="101" spans="1:6" x14ac:dyDescent="0.25">
      <c r="A101" s="111"/>
      <c r="B101" s="111"/>
      <c r="C101" s="111"/>
      <c r="D101" s="111"/>
      <c r="E101" s="111"/>
      <c r="F101" s="111"/>
    </row>
    <row r="102" spans="1:6" x14ac:dyDescent="0.25">
      <c r="A102" s="111"/>
      <c r="B102" s="111"/>
      <c r="C102" s="111"/>
      <c r="D102" s="111"/>
      <c r="E102" s="111"/>
      <c r="F102" s="111"/>
    </row>
    <row r="103" spans="1:6" x14ac:dyDescent="0.25">
      <c r="A103" s="111"/>
      <c r="B103" s="111"/>
      <c r="C103" s="111"/>
      <c r="D103" s="111"/>
      <c r="E103" s="111"/>
      <c r="F103" s="111"/>
    </row>
    <row r="104" spans="1:6" x14ac:dyDescent="0.25">
      <c r="A104" s="111"/>
      <c r="B104" s="111"/>
      <c r="C104" s="111"/>
      <c r="D104" s="111"/>
      <c r="E104" s="111"/>
      <c r="F104" s="111"/>
    </row>
    <row r="105" spans="1:6" x14ac:dyDescent="0.25">
      <c r="A105" s="111"/>
      <c r="B105" s="111"/>
      <c r="C105" s="111"/>
      <c r="D105" s="111"/>
      <c r="E105" s="111"/>
      <c r="F105" s="111"/>
    </row>
    <row r="106" spans="1:6" x14ac:dyDescent="0.25">
      <c r="A106" s="111"/>
      <c r="B106" s="111"/>
      <c r="C106" s="111"/>
      <c r="D106" s="111"/>
      <c r="E106" s="111"/>
      <c r="F106" s="111"/>
    </row>
    <row r="107" spans="1:6" x14ac:dyDescent="0.25">
      <c r="A107" s="111"/>
      <c r="B107" s="111"/>
      <c r="C107" s="111"/>
      <c r="D107" s="111"/>
      <c r="E107" s="111"/>
      <c r="F107" s="111"/>
    </row>
    <row r="108" spans="1:6" x14ac:dyDescent="0.25">
      <c r="A108" s="111"/>
      <c r="B108" s="111"/>
      <c r="C108" s="111"/>
      <c r="D108" s="111"/>
      <c r="E108" s="111"/>
      <c r="F108" s="111"/>
    </row>
    <row r="109" spans="1:6" x14ac:dyDescent="0.25">
      <c r="A109" s="111"/>
      <c r="B109" s="111"/>
      <c r="C109" s="111"/>
      <c r="D109" s="111"/>
      <c r="E109" s="111"/>
      <c r="F109" s="11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9"/>
  <sheetViews>
    <sheetView topLeftCell="A13" workbookViewId="0">
      <selection activeCell="E13" sqref="E13"/>
    </sheetView>
  </sheetViews>
  <sheetFormatPr baseColWidth="10" defaultRowHeight="15" x14ac:dyDescent="0.25"/>
  <cols>
    <col min="2" max="2" width="40.7109375" customWidth="1"/>
    <col min="3" max="5" width="18.5703125" bestFit="1" customWidth="1"/>
    <col min="6" max="6" width="20.42578125" customWidth="1"/>
  </cols>
  <sheetData>
    <row r="1" spans="1:7" x14ac:dyDescent="0.25">
      <c r="B1" s="42" t="s">
        <v>1</v>
      </c>
    </row>
    <row r="2" spans="1:7" x14ac:dyDescent="0.25">
      <c r="B2" s="42" t="s">
        <v>2</v>
      </c>
      <c r="C2" s="42">
        <v>2022</v>
      </c>
    </row>
    <row r="3" spans="1:7" ht="21" x14ac:dyDescent="0.35">
      <c r="B3" s="166" t="s">
        <v>281</v>
      </c>
      <c r="C3" s="167"/>
      <c r="D3" s="167"/>
      <c r="E3" s="167"/>
      <c r="F3" s="167"/>
    </row>
    <row r="5" spans="1:7" ht="15.75" thickBot="1" x14ac:dyDescent="0.3"/>
    <row r="6" spans="1:7" ht="38.25" thickTop="1" x14ac:dyDescent="0.3">
      <c r="A6" s="105" t="s">
        <v>289</v>
      </c>
      <c r="B6" s="107" t="s">
        <v>275</v>
      </c>
      <c r="C6" s="106" t="s">
        <v>276</v>
      </c>
      <c r="D6" s="107" t="s">
        <v>277</v>
      </c>
      <c r="E6" s="107" t="s">
        <v>278</v>
      </c>
      <c r="F6" s="108" t="s">
        <v>234</v>
      </c>
    </row>
    <row r="7" spans="1:7" ht="18.75" x14ac:dyDescent="0.3">
      <c r="A7" s="118"/>
      <c r="B7" s="119"/>
      <c r="C7" s="120"/>
      <c r="D7" s="119"/>
      <c r="E7" s="119"/>
      <c r="F7" s="121"/>
    </row>
    <row r="8" spans="1:7" x14ac:dyDescent="0.25">
      <c r="A8" s="78">
        <v>1</v>
      </c>
      <c r="B8" s="50" t="s">
        <v>290</v>
      </c>
      <c r="C8" s="124">
        <v>21791466</v>
      </c>
      <c r="D8" s="124"/>
      <c r="E8" s="46">
        <v>500000</v>
      </c>
      <c r="F8" s="44">
        <v>21291466</v>
      </c>
      <c r="G8" s="2"/>
    </row>
    <row r="9" spans="1:7" x14ac:dyDescent="0.25">
      <c r="A9" s="78">
        <v>2</v>
      </c>
      <c r="B9" s="50" t="s">
        <v>10</v>
      </c>
      <c r="C9" s="124">
        <v>2074728</v>
      </c>
      <c r="D9" s="124">
        <v>156000</v>
      </c>
      <c r="E9" s="46">
        <v>234500</v>
      </c>
      <c r="F9" s="44">
        <v>1996228</v>
      </c>
      <c r="G9" s="2"/>
    </row>
    <row r="10" spans="1:7" x14ac:dyDescent="0.25">
      <c r="A10" s="78">
        <v>3</v>
      </c>
      <c r="B10" s="50" t="s">
        <v>58</v>
      </c>
      <c r="C10" s="124">
        <v>1191460</v>
      </c>
      <c r="D10" s="124">
        <v>312000</v>
      </c>
      <c r="E10" s="46">
        <v>0</v>
      </c>
      <c r="F10" s="44">
        <v>1503460</v>
      </c>
      <c r="G10" s="2"/>
    </row>
    <row r="11" spans="1:7" x14ac:dyDescent="0.25">
      <c r="A11" s="78">
        <v>4</v>
      </c>
      <c r="B11" s="50" t="s">
        <v>279</v>
      </c>
      <c r="C11" s="124">
        <v>94762</v>
      </c>
      <c r="D11" s="124">
        <v>520000</v>
      </c>
      <c r="E11" s="46">
        <v>0</v>
      </c>
      <c r="F11" s="44">
        <f>C11+D11</f>
        <v>614762</v>
      </c>
      <c r="G11" s="2"/>
    </row>
    <row r="12" spans="1:7" x14ac:dyDescent="0.25">
      <c r="A12" s="78">
        <v>5</v>
      </c>
      <c r="B12" s="50" t="s">
        <v>71</v>
      </c>
      <c r="C12" s="124">
        <v>680000</v>
      </c>
      <c r="D12" s="124">
        <v>0</v>
      </c>
      <c r="E12" s="46">
        <v>0</v>
      </c>
      <c r="F12" s="44">
        <v>680000</v>
      </c>
      <c r="G12" s="2"/>
    </row>
    <row r="13" spans="1:7" x14ac:dyDescent="0.25">
      <c r="A13" s="78">
        <v>6</v>
      </c>
      <c r="B13" s="50" t="s">
        <v>282</v>
      </c>
      <c r="C13" s="124">
        <v>1122025</v>
      </c>
      <c r="D13" s="124">
        <v>96000</v>
      </c>
      <c r="E13" s="46">
        <v>450000</v>
      </c>
      <c r="F13" s="44">
        <v>768025</v>
      </c>
      <c r="G13" s="2"/>
    </row>
    <row r="14" spans="1:7" x14ac:dyDescent="0.25">
      <c r="A14" s="78">
        <v>7</v>
      </c>
      <c r="B14" s="50" t="s">
        <v>12</v>
      </c>
      <c r="C14" s="124">
        <v>1310525</v>
      </c>
      <c r="D14" s="124">
        <v>780000</v>
      </c>
      <c r="E14" s="46">
        <v>770000</v>
      </c>
      <c r="F14" s="44">
        <v>1320525</v>
      </c>
      <c r="G14" s="2"/>
    </row>
    <row r="15" spans="1:7" x14ac:dyDescent="0.25">
      <c r="A15" s="78">
        <v>8</v>
      </c>
      <c r="B15" s="50" t="s">
        <v>283</v>
      </c>
      <c r="C15" s="124">
        <v>94000</v>
      </c>
      <c r="D15" s="124"/>
      <c r="E15" s="46"/>
      <c r="F15" s="44">
        <v>94000</v>
      </c>
      <c r="G15" s="2"/>
    </row>
    <row r="16" spans="1:7" x14ac:dyDescent="0.25">
      <c r="A16" s="78">
        <v>9</v>
      </c>
      <c r="B16" s="50" t="s">
        <v>295</v>
      </c>
      <c r="C16" s="124"/>
      <c r="D16" s="124"/>
      <c r="E16" s="46"/>
      <c r="F16" s="44">
        <v>0</v>
      </c>
      <c r="G16" s="2"/>
    </row>
    <row r="17" spans="1:8" x14ac:dyDescent="0.25">
      <c r="A17" s="78">
        <v>10</v>
      </c>
      <c r="B17" s="50" t="s">
        <v>242</v>
      </c>
      <c r="C17" s="124">
        <v>527000</v>
      </c>
      <c r="D17" s="124">
        <v>1836000</v>
      </c>
      <c r="E17" s="46">
        <v>1820000</v>
      </c>
      <c r="F17" s="44">
        <v>543000</v>
      </c>
      <c r="G17" s="2"/>
    </row>
    <row r="18" spans="1:8" x14ac:dyDescent="0.25">
      <c r="A18" s="78">
        <v>11</v>
      </c>
      <c r="B18" s="50" t="s">
        <v>284</v>
      </c>
      <c r="C18" s="124">
        <v>164500</v>
      </c>
      <c r="D18" s="124"/>
      <c r="E18" s="46">
        <v>164500</v>
      </c>
      <c r="F18" s="44">
        <v>0</v>
      </c>
      <c r="G18" s="2"/>
    </row>
    <row r="19" spans="1:8" x14ac:dyDescent="0.25">
      <c r="A19" s="78">
        <v>12</v>
      </c>
      <c r="B19" s="50" t="s">
        <v>285</v>
      </c>
      <c r="C19" s="124">
        <v>619900</v>
      </c>
      <c r="D19" s="124"/>
      <c r="E19" s="46">
        <v>619900</v>
      </c>
      <c r="F19" s="44">
        <v>0</v>
      </c>
      <c r="G19" s="2"/>
    </row>
    <row r="20" spans="1:8" x14ac:dyDescent="0.25">
      <c r="A20" s="78">
        <v>13</v>
      </c>
      <c r="B20" s="50" t="s">
        <v>286</v>
      </c>
      <c r="C20" s="124">
        <v>75000</v>
      </c>
      <c r="D20" s="124"/>
      <c r="E20" s="46">
        <v>75000</v>
      </c>
      <c r="F20" s="44">
        <v>0</v>
      </c>
      <c r="G20" s="2"/>
    </row>
    <row r="21" spans="1:8" x14ac:dyDescent="0.25">
      <c r="A21" s="78">
        <v>14</v>
      </c>
      <c r="B21" s="50" t="s">
        <v>287</v>
      </c>
      <c r="C21" s="124">
        <v>54508</v>
      </c>
      <c r="D21" s="124"/>
      <c r="E21" s="46">
        <v>54508</v>
      </c>
      <c r="F21" s="44">
        <v>0</v>
      </c>
      <c r="G21" s="2"/>
    </row>
    <row r="22" spans="1:8" x14ac:dyDescent="0.25">
      <c r="A22" s="78">
        <v>15</v>
      </c>
      <c r="B22" s="50" t="s">
        <v>288</v>
      </c>
      <c r="C22" s="124">
        <v>2858226</v>
      </c>
      <c r="D22" s="124">
        <v>3748107.9999999995</v>
      </c>
      <c r="E22" s="46"/>
      <c r="F22" s="44">
        <v>6606334</v>
      </c>
      <c r="G22" s="2"/>
    </row>
    <row r="23" spans="1:8" x14ac:dyDescent="0.25">
      <c r="A23" s="78"/>
      <c r="B23" s="50" t="s">
        <v>302</v>
      </c>
      <c r="C23" s="43"/>
      <c r="D23" s="124">
        <v>28000</v>
      </c>
      <c r="E23" s="46"/>
      <c r="F23" s="44">
        <v>28000</v>
      </c>
      <c r="G23" s="2"/>
    </row>
    <row r="24" spans="1:8" x14ac:dyDescent="0.25">
      <c r="A24" s="128"/>
      <c r="B24" s="129"/>
      <c r="C24" s="130"/>
      <c r="D24" s="130"/>
      <c r="E24" s="131"/>
      <c r="F24" s="132"/>
      <c r="G24" s="2"/>
    </row>
    <row r="25" spans="1:8" ht="20.25" thickBot="1" x14ac:dyDescent="0.3">
      <c r="A25" s="80"/>
      <c r="B25" s="125" t="s">
        <v>57</v>
      </c>
      <c r="C25" s="126">
        <v>32658100</v>
      </c>
      <c r="D25" s="126">
        <f>SUM(D9:D23)</f>
        <v>7476108</v>
      </c>
      <c r="E25" s="126">
        <v>4688408</v>
      </c>
      <c r="F25" s="126">
        <f>SUM(F8:F23)</f>
        <v>35445800</v>
      </c>
      <c r="G25" s="2"/>
      <c r="H25" s="2">
        <v>479000</v>
      </c>
    </row>
    <row r="26" spans="1:8" ht="15.75" thickTop="1" x14ac:dyDescent="0.25">
      <c r="A26" s="111"/>
      <c r="B26" s="15"/>
      <c r="C26" s="112"/>
      <c r="D26" s="112"/>
      <c r="E26" s="112"/>
      <c r="F26" s="112"/>
      <c r="G26" s="2"/>
    </row>
    <row r="27" spans="1:8" ht="23.25" x14ac:dyDescent="0.35">
      <c r="B27" s="168" t="s">
        <v>291</v>
      </c>
      <c r="C27" s="169"/>
      <c r="D27" s="169"/>
      <c r="E27" s="169"/>
      <c r="F27" s="169"/>
      <c r="G27" s="111"/>
    </row>
    <row r="28" spans="1:8" x14ac:dyDescent="0.25">
      <c r="A28" s="111"/>
      <c r="B28" s="15"/>
      <c r="C28" s="112"/>
      <c r="D28" s="112"/>
      <c r="E28" s="113"/>
      <c r="F28" s="112"/>
      <c r="G28" s="2"/>
    </row>
    <row r="29" spans="1:8" x14ac:dyDescent="0.25">
      <c r="A29" s="111"/>
      <c r="B29" s="15"/>
      <c r="C29" s="112"/>
      <c r="D29" s="112"/>
      <c r="E29" s="113"/>
      <c r="F29" s="112"/>
      <c r="G29" s="2"/>
    </row>
    <row r="30" spans="1:8" ht="15.75" thickBot="1" x14ac:dyDescent="0.3">
      <c r="A30" s="111"/>
      <c r="B30" s="15"/>
      <c r="C30" s="112">
        <v>2021</v>
      </c>
      <c r="D30" s="112">
        <v>2022</v>
      </c>
      <c r="E30" s="113"/>
      <c r="F30" s="112"/>
      <c r="G30" s="2"/>
    </row>
    <row r="31" spans="1:8" ht="15.75" thickTop="1" x14ac:dyDescent="0.25">
      <c r="A31" s="85">
        <v>1</v>
      </c>
      <c r="B31" s="86" t="s">
        <v>292</v>
      </c>
      <c r="C31" s="127">
        <v>7304779</v>
      </c>
      <c r="D31" s="139">
        <v>4337431</v>
      </c>
      <c r="E31" s="113"/>
      <c r="F31" s="112"/>
      <c r="G31" s="2"/>
    </row>
    <row r="32" spans="1:8" x14ac:dyDescent="0.25">
      <c r="A32" s="78">
        <v>2</v>
      </c>
      <c r="B32" s="50" t="s">
        <v>293</v>
      </c>
      <c r="C32" s="124">
        <v>630005</v>
      </c>
      <c r="D32" s="140">
        <v>630005</v>
      </c>
      <c r="E32" s="113"/>
      <c r="F32" s="112"/>
      <c r="G32" s="2"/>
      <c r="H32" s="2"/>
    </row>
    <row r="33" spans="1:7" x14ac:dyDescent="0.25">
      <c r="A33" s="78">
        <v>3</v>
      </c>
      <c r="B33" s="50" t="s">
        <v>280</v>
      </c>
      <c r="C33" s="124">
        <v>1423702</v>
      </c>
      <c r="D33" s="140">
        <v>1423702</v>
      </c>
      <c r="E33" s="113"/>
      <c r="F33" s="112"/>
      <c r="G33" s="2"/>
    </row>
    <row r="34" spans="1:7" x14ac:dyDescent="0.25">
      <c r="A34" s="78">
        <v>4</v>
      </c>
      <c r="B34" s="50" t="s">
        <v>294</v>
      </c>
      <c r="C34" s="124">
        <v>744700</v>
      </c>
      <c r="D34" s="140">
        <v>744700</v>
      </c>
      <c r="E34" s="113"/>
      <c r="F34" s="112"/>
      <c r="G34" s="2"/>
    </row>
    <row r="35" spans="1:7" x14ac:dyDescent="0.25">
      <c r="A35" s="78">
        <v>5</v>
      </c>
      <c r="B35" s="50" t="s">
        <v>296</v>
      </c>
      <c r="C35" s="124">
        <v>275000</v>
      </c>
      <c r="D35" s="140">
        <v>0</v>
      </c>
      <c r="E35" s="112"/>
      <c r="F35" s="112"/>
      <c r="G35" s="2"/>
    </row>
    <row r="36" spans="1:7" x14ac:dyDescent="0.25">
      <c r="A36" s="78">
        <v>6</v>
      </c>
      <c r="B36" s="50" t="s">
        <v>297</v>
      </c>
      <c r="C36" s="124">
        <v>154000</v>
      </c>
      <c r="D36" s="140">
        <v>154000</v>
      </c>
      <c r="E36" s="112"/>
      <c r="F36" s="112"/>
      <c r="G36" s="2"/>
    </row>
    <row r="37" spans="1:7" x14ac:dyDescent="0.25">
      <c r="A37" s="78">
        <v>7</v>
      </c>
      <c r="B37" s="50" t="s">
        <v>298</v>
      </c>
      <c r="C37" s="124">
        <v>20515659</v>
      </c>
      <c r="D37" s="140">
        <v>18658500</v>
      </c>
      <c r="E37" s="112"/>
      <c r="F37" s="112"/>
      <c r="G37" s="2"/>
    </row>
    <row r="38" spans="1:7" x14ac:dyDescent="0.25">
      <c r="A38" s="78">
        <v>8</v>
      </c>
      <c r="B38" s="50" t="s">
        <v>299</v>
      </c>
      <c r="C38" s="124">
        <v>1233618</v>
      </c>
      <c r="D38" s="140">
        <v>656618</v>
      </c>
      <c r="E38" s="113"/>
      <c r="F38" s="112"/>
      <c r="G38" s="2"/>
    </row>
    <row r="39" spans="1:7" x14ac:dyDescent="0.25">
      <c r="A39" s="78"/>
      <c r="B39" s="50"/>
      <c r="C39" s="43"/>
      <c r="D39" s="44"/>
      <c r="E39" s="113"/>
      <c r="F39" s="112"/>
      <c r="G39" s="2"/>
    </row>
    <row r="40" spans="1:7" ht="15.75" thickBot="1" x14ac:dyDescent="0.3">
      <c r="A40" s="80"/>
      <c r="B40" s="68" t="s">
        <v>57</v>
      </c>
      <c r="C40" s="122">
        <v>32281463</v>
      </c>
      <c r="D40" s="123">
        <v>26604956</v>
      </c>
      <c r="E40" s="114"/>
      <c r="F40" s="112"/>
      <c r="G40" s="109"/>
    </row>
    <row r="41" spans="1:7" ht="15.75" thickTop="1" x14ac:dyDescent="0.25">
      <c r="A41" s="111"/>
      <c r="B41" s="111"/>
      <c r="C41" s="115"/>
      <c r="D41" s="115"/>
      <c r="E41" s="114"/>
      <c r="F41" s="112"/>
      <c r="G41" s="2"/>
    </row>
    <row r="42" spans="1:7" x14ac:dyDescent="0.25">
      <c r="A42" s="111"/>
      <c r="B42" s="111"/>
      <c r="C42" s="112"/>
      <c r="D42" s="112"/>
      <c r="E42" s="113"/>
      <c r="F42" s="112"/>
      <c r="G42" s="2"/>
    </row>
    <row r="43" spans="1:7" x14ac:dyDescent="0.25">
      <c r="A43" s="111"/>
      <c r="B43" s="15"/>
      <c r="C43" s="115"/>
      <c r="D43" s="112"/>
      <c r="E43" s="113"/>
      <c r="F43" s="112"/>
      <c r="G43" s="2"/>
    </row>
    <row r="44" spans="1:7" x14ac:dyDescent="0.25">
      <c r="A44" s="111"/>
      <c r="B44" s="15"/>
      <c r="C44" s="115"/>
      <c r="D44" s="111"/>
      <c r="E44" s="113"/>
      <c r="F44" s="112"/>
      <c r="G44" s="2"/>
    </row>
    <row r="45" spans="1:7" x14ac:dyDescent="0.25">
      <c r="A45" s="111"/>
      <c r="B45" s="15"/>
      <c r="C45" s="115"/>
      <c r="D45" s="112"/>
      <c r="E45" s="114"/>
      <c r="F45" s="112"/>
      <c r="G45" s="2"/>
    </row>
    <row r="46" spans="1:7" x14ac:dyDescent="0.25">
      <c r="A46" s="111"/>
      <c r="B46" s="15"/>
      <c r="C46" s="115"/>
      <c r="D46" s="112"/>
      <c r="E46" s="114"/>
      <c r="F46" s="112"/>
      <c r="G46" s="2"/>
    </row>
    <row r="47" spans="1:7" x14ac:dyDescent="0.25">
      <c r="A47" s="111"/>
      <c r="B47" s="15"/>
      <c r="C47" s="115"/>
      <c r="D47" s="112"/>
      <c r="E47" s="114"/>
      <c r="F47" s="112"/>
      <c r="G47" s="2"/>
    </row>
    <row r="48" spans="1:7" x14ac:dyDescent="0.25">
      <c r="A48" s="111"/>
      <c r="B48" s="15"/>
      <c r="C48" s="115"/>
      <c r="D48" s="112"/>
      <c r="E48" s="114"/>
      <c r="F48" s="112"/>
      <c r="G48" s="2"/>
    </row>
    <row r="49" spans="1:7" x14ac:dyDescent="0.25">
      <c r="A49" s="111"/>
      <c r="B49" s="15"/>
      <c r="C49" s="111"/>
      <c r="D49" s="112"/>
      <c r="E49" s="113"/>
      <c r="F49" s="112"/>
      <c r="G49" s="2"/>
    </row>
    <row r="50" spans="1:7" x14ac:dyDescent="0.25">
      <c r="A50" s="111"/>
      <c r="B50" s="15"/>
      <c r="C50" s="111"/>
      <c r="D50" s="112"/>
      <c r="E50" s="116"/>
      <c r="F50" s="112"/>
      <c r="G50" s="2"/>
    </row>
    <row r="51" spans="1:7" x14ac:dyDescent="0.25">
      <c r="A51" s="111"/>
      <c r="B51" s="15"/>
      <c r="C51" s="112"/>
      <c r="D51" s="112"/>
      <c r="E51" s="116"/>
      <c r="F51" s="112"/>
      <c r="G51" s="2"/>
    </row>
    <row r="52" spans="1:7" x14ac:dyDescent="0.25">
      <c r="A52" s="111"/>
      <c r="B52" s="15"/>
      <c r="C52" s="111"/>
      <c r="D52" s="112"/>
      <c r="E52" s="114"/>
      <c r="F52" s="112"/>
      <c r="G52" s="2"/>
    </row>
    <row r="53" spans="1:7" x14ac:dyDescent="0.25">
      <c r="A53" s="111"/>
      <c r="B53" s="15"/>
      <c r="C53" s="115"/>
      <c r="D53" s="112"/>
      <c r="E53" s="114"/>
      <c r="F53" s="112"/>
      <c r="G53" s="2"/>
    </row>
    <row r="54" spans="1:7" x14ac:dyDescent="0.25">
      <c r="A54" s="111"/>
      <c r="B54" s="15"/>
      <c r="C54" s="115"/>
      <c r="D54" s="112"/>
      <c r="E54" s="113"/>
      <c r="F54" s="112"/>
      <c r="G54" s="2"/>
    </row>
    <row r="55" spans="1:7" x14ac:dyDescent="0.25">
      <c r="A55" s="111"/>
      <c r="B55" s="15"/>
      <c r="C55" s="115"/>
      <c r="D55" s="112"/>
      <c r="E55" s="114"/>
      <c r="F55" s="112"/>
      <c r="G55" s="2"/>
    </row>
    <row r="56" spans="1:7" x14ac:dyDescent="0.25">
      <c r="A56" s="111"/>
      <c r="B56" s="111"/>
      <c r="C56" s="111"/>
      <c r="D56" s="111"/>
      <c r="E56" s="116"/>
      <c r="F56" s="112"/>
    </row>
    <row r="57" spans="1:7" x14ac:dyDescent="0.25">
      <c r="A57" s="111"/>
      <c r="B57" s="111"/>
      <c r="C57" s="111"/>
      <c r="D57" s="111"/>
      <c r="E57" s="116"/>
      <c r="F57" s="111"/>
    </row>
    <row r="58" spans="1:7" ht="18" x14ac:dyDescent="0.25">
      <c r="A58" s="111"/>
      <c r="B58" s="15"/>
      <c r="C58" s="117"/>
      <c r="D58" s="117"/>
      <c r="E58" s="117"/>
      <c r="F58" s="117"/>
    </row>
    <row r="59" spans="1:7" x14ac:dyDescent="0.25">
      <c r="A59" s="111"/>
      <c r="B59" s="111"/>
      <c r="C59" s="111"/>
      <c r="D59" s="111"/>
      <c r="E59" s="111"/>
      <c r="F59" s="111"/>
    </row>
    <row r="60" spans="1:7" x14ac:dyDescent="0.25">
      <c r="A60" s="111"/>
      <c r="B60" s="111"/>
      <c r="C60" s="111"/>
      <c r="D60" s="111"/>
      <c r="E60" s="111"/>
      <c r="F60" s="111"/>
    </row>
    <row r="61" spans="1:7" x14ac:dyDescent="0.25">
      <c r="A61" s="111"/>
      <c r="B61" s="111"/>
      <c r="C61" s="111"/>
      <c r="D61" s="111"/>
      <c r="E61" s="111"/>
      <c r="F61" s="111"/>
    </row>
    <row r="62" spans="1:7" x14ac:dyDescent="0.25">
      <c r="A62" s="111"/>
      <c r="B62" s="111"/>
      <c r="C62" s="111"/>
      <c r="D62" s="111"/>
      <c r="E62" s="111"/>
      <c r="F62" s="111"/>
    </row>
    <row r="63" spans="1:7" x14ac:dyDescent="0.25">
      <c r="A63" s="111"/>
      <c r="B63" s="111"/>
      <c r="C63" s="111"/>
      <c r="D63" s="111"/>
      <c r="E63" s="111"/>
      <c r="F63" s="111"/>
    </row>
    <row r="64" spans="1:7" x14ac:dyDescent="0.25">
      <c r="A64" s="111"/>
      <c r="B64" s="111"/>
      <c r="C64" s="111"/>
      <c r="D64" s="111"/>
      <c r="E64" s="111"/>
      <c r="F64" s="111"/>
    </row>
    <row r="65" spans="1:6" x14ac:dyDescent="0.25">
      <c r="A65" s="111"/>
      <c r="B65" s="111"/>
      <c r="C65" s="111"/>
      <c r="D65" s="111"/>
      <c r="E65" s="111"/>
      <c r="F65" s="111"/>
    </row>
    <row r="66" spans="1:6" x14ac:dyDescent="0.25">
      <c r="A66" s="111"/>
      <c r="B66" s="111"/>
      <c r="C66" s="111"/>
      <c r="D66" s="111"/>
      <c r="E66" s="111"/>
      <c r="F66" s="111"/>
    </row>
    <row r="67" spans="1:6" x14ac:dyDescent="0.25">
      <c r="A67" s="111"/>
      <c r="B67" s="111"/>
      <c r="C67" s="111"/>
      <c r="D67" s="111"/>
      <c r="E67" s="111"/>
      <c r="F67" s="111"/>
    </row>
    <row r="68" spans="1:6" x14ac:dyDescent="0.25">
      <c r="A68" s="111"/>
      <c r="B68" s="111"/>
      <c r="C68" s="111"/>
      <c r="D68" s="111"/>
      <c r="E68" s="111"/>
      <c r="F68" s="111"/>
    </row>
    <row r="69" spans="1:6" x14ac:dyDescent="0.25">
      <c r="A69" s="111"/>
      <c r="B69" s="111"/>
      <c r="C69" s="111"/>
      <c r="D69" s="111"/>
      <c r="E69" s="111"/>
      <c r="F69" s="111"/>
    </row>
    <row r="70" spans="1:6" x14ac:dyDescent="0.25">
      <c r="A70" s="111"/>
      <c r="B70" s="111"/>
      <c r="C70" s="111"/>
      <c r="D70" s="111"/>
      <c r="E70" s="111"/>
      <c r="F70" s="111"/>
    </row>
    <row r="71" spans="1:6" x14ac:dyDescent="0.25">
      <c r="A71" s="111"/>
      <c r="B71" s="111"/>
      <c r="C71" s="111"/>
      <c r="D71" s="111"/>
      <c r="E71" s="111"/>
      <c r="F71" s="111"/>
    </row>
    <row r="72" spans="1:6" x14ac:dyDescent="0.25">
      <c r="A72" s="111"/>
      <c r="B72" s="111"/>
      <c r="C72" s="111"/>
      <c r="D72" s="111"/>
      <c r="E72" s="111"/>
      <c r="F72" s="111"/>
    </row>
    <row r="73" spans="1:6" x14ac:dyDescent="0.25">
      <c r="A73" s="111"/>
      <c r="B73" s="111"/>
      <c r="C73" s="111"/>
      <c r="D73" s="111"/>
      <c r="E73" s="111"/>
      <c r="F73" s="111"/>
    </row>
    <row r="74" spans="1:6" x14ac:dyDescent="0.25">
      <c r="A74" s="111"/>
      <c r="B74" s="111"/>
      <c r="C74" s="111"/>
      <c r="D74" s="111"/>
      <c r="E74" s="111"/>
      <c r="F74" s="111"/>
    </row>
    <row r="75" spans="1:6" x14ac:dyDescent="0.25">
      <c r="A75" s="111"/>
      <c r="B75" s="111"/>
      <c r="C75" s="111"/>
      <c r="D75" s="111"/>
      <c r="E75" s="111"/>
      <c r="F75" s="111"/>
    </row>
    <row r="76" spans="1:6" x14ac:dyDescent="0.25">
      <c r="A76" s="111"/>
      <c r="B76" s="111"/>
      <c r="C76" s="111"/>
      <c r="D76" s="111"/>
      <c r="E76" s="111"/>
      <c r="F76" s="111"/>
    </row>
    <row r="77" spans="1:6" x14ac:dyDescent="0.25">
      <c r="A77" s="111"/>
      <c r="B77" s="111"/>
      <c r="C77" s="111"/>
      <c r="D77" s="111"/>
      <c r="E77" s="111"/>
      <c r="F77" s="111"/>
    </row>
    <row r="78" spans="1:6" x14ac:dyDescent="0.25">
      <c r="A78" s="111"/>
      <c r="B78" s="111"/>
      <c r="C78" s="111"/>
      <c r="D78" s="111"/>
      <c r="E78" s="111"/>
      <c r="F78" s="111"/>
    </row>
    <row r="79" spans="1:6" x14ac:dyDescent="0.25">
      <c r="A79" s="111"/>
      <c r="B79" s="111"/>
      <c r="C79" s="111"/>
      <c r="D79" s="111"/>
      <c r="E79" s="111"/>
      <c r="F79" s="111"/>
    </row>
    <row r="80" spans="1:6" x14ac:dyDescent="0.25">
      <c r="A80" s="111"/>
      <c r="B80" s="111"/>
      <c r="C80" s="111"/>
      <c r="D80" s="111"/>
      <c r="E80" s="111"/>
      <c r="F80" s="111"/>
    </row>
    <row r="81" spans="1:6" x14ac:dyDescent="0.25">
      <c r="A81" s="111"/>
      <c r="B81" s="111"/>
      <c r="C81" s="111"/>
      <c r="D81" s="111"/>
      <c r="E81" s="111"/>
      <c r="F81" s="111"/>
    </row>
    <row r="82" spans="1:6" x14ac:dyDescent="0.25">
      <c r="A82" s="111"/>
      <c r="B82" s="111"/>
      <c r="C82" s="111"/>
      <c r="D82" s="111"/>
      <c r="E82" s="111"/>
      <c r="F82" s="111"/>
    </row>
    <row r="83" spans="1:6" x14ac:dyDescent="0.25">
      <c r="A83" s="111"/>
      <c r="B83" s="111"/>
      <c r="C83" s="111"/>
      <c r="D83" s="111"/>
      <c r="E83" s="111"/>
      <c r="F83" s="111"/>
    </row>
    <row r="84" spans="1:6" x14ac:dyDescent="0.25">
      <c r="A84" s="111"/>
      <c r="B84" s="111"/>
      <c r="C84" s="111"/>
      <c r="D84" s="111"/>
      <c r="E84" s="111"/>
      <c r="F84" s="111"/>
    </row>
    <row r="85" spans="1:6" x14ac:dyDescent="0.25">
      <c r="A85" s="111"/>
      <c r="B85" s="111"/>
      <c r="C85" s="111"/>
      <c r="D85" s="111"/>
      <c r="E85" s="111"/>
      <c r="F85" s="111"/>
    </row>
    <row r="86" spans="1:6" x14ac:dyDescent="0.25">
      <c r="A86" s="111"/>
      <c r="B86" s="111"/>
      <c r="C86" s="111"/>
      <c r="D86" s="111"/>
      <c r="E86" s="111"/>
      <c r="F86" s="111"/>
    </row>
    <row r="87" spans="1:6" x14ac:dyDescent="0.25">
      <c r="A87" s="111"/>
      <c r="B87" s="111"/>
      <c r="C87" s="111"/>
      <c r="D87" s="111"/>
      <c r="E87" s="111"/>
      <c r="F87" s="111"/>
    </row>
    <row r="88" spans="1:6" x14ac:dyDescent="0.25">
      <c r="A88" s="111"/>
      <c r="B88" s="111"/>
      <c r="C88" s="111"/>
      <c r="D88" s="111"/>
      <c r="E88" s="111"/>
      <c r="F88" s="111"/>
    </row>
    <row r="89" spans="1:6" x14ac:dyDescent="0.25">
      <c r="A89" s="111"/>
      <c r="B89" s="111"/>
      <c r="C89" s="111"/>
      <c r="D89" s="111"/>
      <c r="E89" s="111"/>
      <c r="F89" s="111"/>
    </row>
    <row r="90" spans="1:6" x14ac:dyDescent="0.25">
      <c r="A90" s="111"/>
      <c r="B90" s="111"/>
      <c r="C90" s="111"/>
      <c r="D90" s="111"/>
      <c r="E90" s="111"/>
      <c r="F90" s="111"/>
    </row>
    <row r="91" spans="1:6" x14ac:dyDescent="0.25">
      <c r="A91" s="111"/>
      <c r="B91" s="111"/>
      <c r="C91" s="111"/>
      <c r="D91" s="111"/>
      <c r="E91" s="111"/>
      <c r="F91" s="111"/>
    </row>
    <row r="92" spans="1:6" x14ac:dyDescent="0.25">
      <c r="A92" s="111"/>
      <c r="B92" s="111"/>
      <c r="C92" s="111"/>
      <c r="D92" s="111"/>
      <c r="E92" s="111"/>
      <c r="F92" s="111"/>
    </row>
    <row r="93" spans="1:6" x14ac:dyDescent="0.25">
      <c r="A93" s="111"/>
      <c r="B93" s="111"/>
      <c r="C93" s="111"/>
      <c r="D93" s="111"/>
      <c r="E93" s="111"/>
      <c r="F93" s="111"/>
    </row>
    <row r="94" spans="1:6" x14ac:dyDescent="0.25">
      <c r="A94" s="111"/>
      <c r="B94" s="111"/>
      <c r="C94" s="111"/>
      <c r="D94" s="111"/>
      <c r="E94" s="111"/>
      <c r="F94" s="111"/>
    </row>
    <row r="95" spans="1:6" x14ac:dyDescent="0.25">
      <c r="A95" s="111"/>
      <c r="B95" s="111"/>
      <c r="C95" s="111"/>
      <c r="D95" s="111"/>
      <c r="E95" s="111"/>
      <c r="F95" s="111"/>
    </row>
    <row r="96" spans="1:6" x14ac:dyDescent="0.25">
      <c r="A96" s="111"/>
      <c r="B96" s="111"/>
      <c r="C96" s="111"/>
      <c r="D96" s="111"/>
      <c r="E96" s="111"/>
      <c r="F96" s="111"/>
    </row>
    <row r="97" spans="1:6" x14ac:dyDescent="0.25">
      <c r="A97" s="111"/>
      <c r="B97" s="111"/>
      <c r="C97" s="111"/>
      <c r="D97" s="111"/>
      <c r="E97" s="111"/>
      <c r="F97" s="111"/>
    </row>
    <row r="98" spans="1:6" x14ac:dyDescent="0.25">
      <c r="A98" s="111"/>
      <c r="B98" s="111"/>
      <c r="C98" s="111"/>
      <c r="D98" s="111"/>
      <c r="E98" s="111"/>
      <c r="F98" s="111"/>
    </row>
    <row r="99" spans="1:6" x14ac:dyDescent="0.25">
      <c r="A99" s="111"/>
      <c r="B99" s="111"/>
      <c r="C99" s="111"/>
      <c r="D99" s="111"/>
      <c r="E99" s="111"/>
      <c r="F99" s="111"/>
    </row>
    <row r="100" spans="1:6" x14ac:dyDescent="0.25">
      <c r="A100" s="111"/>
      <c r="B100" s="111"/>
      <c r="C100" s="111"/>
      <c r="D100" s="111"/>
      <c r="E100" s="111"/>
      <c r="F100" s="111"/>
    </row>
    <row r="101" spans="1:6" x14ac:dyDescent="0.25">
      <c r="A101" s="111"/>
      <c r="B101" s="111"/>
      <c r="C101" s="111"/>
      <c r="D101" s="111"/>
      <c r="E101" s="111"/>
      <c r="F101" s="111"/>
    </row>
    <row r="102" spans="1:6" x14ac:dyDescent="0.25">
      <c r="A102" s="111"/>
      <c r="B102" s="111"/>
      <c r="C102" s="111"/>
      <c r="D102" s="111"/>
      <c r="E102" s="111"/>
      <c r="F102" s="111"/>
    </row>
    <row r="103" spans="1:6" x14ac:dyDescent="0.25">
      <c r="A103" s="111"/>
      <c r="B103" s="111"/>
      <c r="C103" s="111"/>
      <c r="D103" s="111"/>
      <c r="E103" s="111"/>
      <c r="F103" s="111"/>
    </row>
    <row r="104" spans="1:6" x14ac:dyDescent="0.25">
      <c r="A104" s="111"/>
      <c r="B104" s="111"/>
      <c r="C104" s="111"/>
      <c r="D104" s="111"/>
      <c r="E104" s="111"/>
      <c r="F104" s="111"/>
    </row>
    <row r="105" spans="1:6" x14ac:dyDescent="0.25">
      <c r="A105" s="111"/>
      <c r="B105" s="111"/>
      <c r="C105" s="111"/>
      <c r="D105" s="111"/>
      <c r="E105" s="111"/>
      <c r="F105" s="111"/>
    </row>
    <row r="106" spans="1:6" x14ac:dyDescent="0.25">
      <c r="A106" s="111"/>
      <c r="B106" s="111"/>
      <c r="C106" s="111"/>
      <c r="D106" s="111"/>
      <c r="E106" s="111"/>
      <c r="F106" s="111"/>
    </row>
    <row r="107" spans="1:6" x14ac:dyDescent="0.25">
      <c r="A107" s="111"/>
      <c r="B107" s="111"/>
      <c r="C107" s="111"/>
      <c r="D107" s="111"/>
      <c r="E107" s="111"/>
      <c r="F107" s="111"/>
    </row>
    <row r="108" spans="1:6" x14ac:dyDescent="0.25">
      <c r="A108" s="111"/>
      <c r="B108" s="111"/>
      <c r="C108" s="111"/>
      <c r="D108" s="111"/>
      <c r="E108" s="111"/>
      <c r="F108" s="111"/>
    </row>
    <row r="109" spans="1:6" x14ac:dyDescent="0.25">
      <c r="A109" s="111"/>
      <c r="B109" s="111"/>
      <c r="C109" s="111"/>
      <c r="D109" s="111"/>
      <c r="E109" s="111"/>
      <c r="F109" s="11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I6" sqref="I6"/>
    </sheetView>
  </sheetViews>
  <sheetFormatPr baseColWidth="10" defaultColWidth="11" defaultRowHeight="15" x14ac:dyDescent="0.25"/>
  <cols>
    <col min="1" max="1" width="12.42578125" customWidth="1"/>
    <col min="2" max="2" width="31.85546875" bestFit="1" customWidth="1"/>
    <col min="3" max="3" width="14.140625" customWidth="1"/>
    <col min="4" max="4" width="27" customWidth="1"/>
    <col min="5" max="5" width="14.42578125" customWidth="1"/>
    <col min="6" max="6" width="15" bestFit="1" customWidth="1"/>
    <col min="7" max="7" width="15.28515625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G1" s="1"/>
    </row>
    <row r="2" spans="1:13" x14ac:dyDescent="0.25">
      <c r="A2" s="1" t="s">
        <v>2</v>
      </c>
      <c r="B2" s="1" t="s">
        <v>153</v>
      </c>
      <c r="C2" s="1"/>
      <c r="D2" s="1"/>
      <c r="E2" s="1"/>
      <c r="G2" s="1"/>
    </row>
    <row r="3" spans="1:13" x14ac:dyDescent="0.25">
      <c r="A3" s="1" t="s">
        <v>3</v>
      </c>
      <c r="B3" s="5"/>
      <c r="C3" s="1"/>
      <c r="D3" s="1"/>
      <c r="E3" s="1"/>
      <c r="G3" s="5"/>
    </row>
    <row r="4" spans="1:13" ht="27" thickBot="1" x14ac:dyDescent="0.45">
      <c r="A4" s="170" t="s">
        <v>186</v>
      </c>
      <c r="B4" s="171"/>
      <c r="C4" s="171"/>
      <c r="D4" s="171"/>
      <c r="E4" s="171"/>
      <c r="F4" s="171"/>
      <c r="G4" s="171"/>
      <c r="H4" s="63"/>
      <c r="I4" s="63"/>
      <c r="J4" s="63"/>
      <c r="K4" s="63"/>
      <c r="L4" s="63"/>
      <c r="M4" s="63"/>
    </row>
    <row r="5" spans="1:13" ht="72.75" thickTop="1" x14ac:dyDescent="0.25">
      <c r="A5" s="71" t="s">
        <v>4</v>
      </c>
      <c r="B5" s="70" t="s">
        <v>5</v>
      </c>
      <c r="C5" s="71" t="s">
        <v>184</v>
      </c>
      <c r="D5" s="71" t="s">
        <v>185</v>
      </c>
      <c r="E5" s="71" t="s">
        <v>178</v>
      </c>
      <c r="F5" s="71" t="s">
        <v>175</v>
      </c>
      <c r="G5" s="72" t="s">
        <v>176</v>
      </c>
    </row>
    <row r="6" spans="1:13" x14ac:dyDescent="0.25">
      <c r="A6" s="42" t="s">
        <v>16</v>
      </c>
      <c r="B6" s="49" t="s">
        <v>1</v>
      </c>
      <c r="C6" s="43">
        <v>127426.99446674416</v>
      </c>
      <c r="D6" s="43">
        <v>0</v>
      </c>
      <c r="E6" s="43">
        <v>127426.99446674416</v>
      </c>
      <c r="F6" s="43"/>
      <c r="G6" s="44">
        <v>456750.01108374598</v>
      </c>
      <c r="H6" s="2"/>
      <c r="I6" s="2"/>
      <c r="J6" s="2"/>
      <c r="K6" s="2"/>
    </row>
    <row r="7" spans="1:13" x14ac:dyDescent="0.25">
      <c r="A7" s="42" t="s">
        <v>19</v>
      </c>
      <c r="B7" s="49" t="s">
        <v>102</v>
      </c>
      <c r="C7" s="43">
        <v>166439.64365881987</v>
      </c>
      <c r="D7" s="43">
        <v>70000</v>
      </c>
      <c r="E7" s="43">
        <v>96439.64365881987</v>
      </c>
      <c r="F7" s="43"/>
      <c r="G7" s="44">
        <v>540000</v>
      </c>
      <c r="H7" s="2"/>
      <c r="I7" s="2"/>
      <c r="J7" s="2"/>
      <c r="K7" s="2"/>
    </row>
    <row r="8" spans="1:13" x14ac:dyDescent="0.25">
      <c r="A8" s="42" t="s">
        <v>23</v>
      </c>
      <c r="B8" s="49" t="s">
        <v>93</v>
      </c>
      <c r="C8" s="43">
        <v>199274.29078527421</v>
      </c>
      <c r="D8" s="43">
        <v>76000</v>
      </c>
      <c r="E8" s="43">
        <v>123274.29078527421</v>
      </c>
      <c r="F8" s="43"/>
      <c r="G8" s="44">
        <v>540000</v>
      </c>
      <c r="H8" s="2"/>
      <c r="I8" s="2"/>
      <c r="J8" s="2"/>
      <c r="K8" s="2"/>
    </row>
    <row r="9" spans="1:13" x14ac:dyDescent="0.25">
      <c r="A9" s="42" t="s">
        <v>154</v>
      </c>
      <c r="B9" s="49" t="s">
        <v>179</v>
      </c>
      <c r="C9" s="43">
        <v>334083.96946564887</v>
      </c>
      <c r="D9" s="43">
        <v>6000</v>
      </c>
      <c r="E9" s="43">
        <v>328083.96946564887</v>
      </c>
      <c r="F9" s="43"/>
      <c r="G9" s="44">
        <v>0</v>
      </c>
      <c r="H9" s="2"/>
      <c r="I9" s="2"/>
      <c r="J9" s="2"/>
      <c r="K9" s="2"/>
    </row>
    <row r="10" spans="1:13" x14ac:dyDescent="0.25">
      <c r="A10" s="42" t="s">
        <v>24</v>
      </c>
      <c r="B10" s="49" t="s">
        <v>104</v>
      </c>
      <c r="C10" s="43">
        <v>650335.96677265048</v>
      </c>
      <c r="D10" s="43">
        <v>70000</v>
      </c>
      <c r="E10" s="43">
        <v>580335.96677265048</v>
      </c>
      <c r="F10" s="43"/>
      <c r="G10" s="44">
        <v>540000</v>
      </c>
      <c r="H10" s="2"/>
      <c r="I10" s="2"/>
      <c r="J10" s="2"/>
      <c r="K10" s="2"/>
    </row>
    <row r="11" spans="1:13" x14ac:dyDescent="0.25">
      <c r="A11" s="42" t="s">
        <v>25</v>
      </c>
      <c r="B11" s="49" t="s">
        <v>89</v>
      </c>
      <c r="C11" s="43">
        <v>171550.32873722402</v>
      </c>
      <c r="D11" s="43">
        <v>70000</v>
      </c>
      <c r="E11" s="43">
        <v>101550.32873722402</v>
      </c>
      <c r="F11" s="43"/>
      <c r="G11" s="44">
        <v>540000</v>
      </c>
      <c r="H11" s="2"/>
      <c r="I11" s="2"/>
      <c r="J11" s="2"/>
      <c r="K11" s="2"/>
    </row>
    <row r="12" spans="1:13" x14ac:dyDescent="0.25">
      <c r="A12" s="42" t="s">
        <v>79</v>
      </c>
      <c r="B12" s="49" t="s">
        <v>70</v>
      </c>
      <c r="C12" s="43">
        <v>162859.18874679678</v>
      </c>
      <c r="D12" s="43">
        <v>70000</v>
      </c>
      <c r="E12" s="43">
        <v>92859.188746796775</v>
      </c>
      <c r="F12" s="43"/>
      <c r="G12" s="44">
        <v>540000</v>
      </c>
      <c r="H12" s="2"/>
      <c r="I12" s="2"/>
      <c r="J12" s="2"/>
      <c r="K12" s="2"/>
    </row>
    <row r="13" spans="1:13" x14ac:dyDescent="0.25">
      <c r="A13" s="42" t="s">
        <v>26</v>
      </c>
      <c r="B13" s="49" t="s">
        <v>105</v>
      </c>
      <c r="C13" s="43">
        <v>422224.38753171783</v>
      </c>
      <c r="D13" s="43">
        <v>102000</v>
      </c>
      <c r="E13" s="43">
        <v>320224.38753171783</v>
      </c>
      <c r="F13" s="43"/>
      <c r="G13" s="44">
        <v>540000</v>
      </c>
      <c r="H13" s="2"/>
      <c r="I13" s="2"/>
      <c r="J13" s="2"/>
      <c r="K13" s="2"/>
    </row>
    <row r="14" spans="1:13" x14ac:dyDescent="0.25">
      <c r="A14" s="42" t="s">
        <v>27</v>
      </c>
      <c r="B14" s="49" t="s">
        <v>99</v>
      </c>
      <c r="C14" s="43">
        <v>146850.22711354087</v>
      </c>
      <c r="D14" s="43">
        <v>103000</v>
      </c>
      <c r="E14" s="43">
        <v>43850.227113540866</v>
      </c>
      <c r="F14" s="43"/>
      <c r="G14" s="44">
        <v>540000</v>
      </c>
      <c r="H14" s="2"/>
      <c r="I14" s="2"/>
      <c r="J14" s="2"/>
      <c r="K14" s="2"/>
    </row>
    <row r="15" spans="1:13" ht="14.25" customHeight="1" x14ac:dyDescent="0.25">
      <c r="A15" s="42" t="s">
        <v>28</v>
      </c>
      <c r="B15" s="49" t="s">
        <v>106</v>
      </c>
      <c r="C15" s="43">
        <v>274754.91857632872</v>
      </c>
      <c r="D15" s="43">
        <v>114000</v>
      </c>
      <c r="E15" s="43">
        <v>160754.91857632872</v>
      </c>
      <c r="F15" s="43"/>
      <c r="G15" s="44">
        <v>540000</v>
      </c>
      <c r="H15" s="2"/>
      <c r="I15" s="2"/>
      <c r="J15" s="2"/>
      <c r="K15" s="2"/>
    </row>
    <row r="16" spans="1:13" x14ac:dyDescent="0.25">
      <c r="A16" s="42" t="s">
        <v>29</v>
      </c>
      <c r="B16" s="49" t="s">
        <v>92</v>
      </c>
      <c r="C16" s="43">
        <v>450269.46718629025</v>
      </c>
      <c r="D16" s="43">
        <v>86000</v>
      </c>
      <c r="E16" s="43">
        <v>364269.46718629025</v>
      </c>
      <c r="F16" s="43"/>
      <c r="G16" s="44">
        <v>540000</v>
      </c>
      <c r="H16" s="2"/>
      <c r="I16" s="2"/>
      <c r="J16" s="2"/>
      <c r="K16" s="2"/>
    </row>
    <row r="17" spans="1:11" s="14" customFormat="1" ht="13.5" customHeight="1" x14ac:dyDescent="0.25">
      <c r="A17" s="45" t="s">
        <v>31</v>
      </c>
      <c r="B17" s="65" t="s">
        <v>107</v>
      </c>
      <c r="C17" s="46">
        <v>1510276.633889026</v>
      </c>
      <c r="D17" s="46">
        <v>0</v>
      </c>
      <c r="E17" s="46">
        <v>1510276.633889026</v>
      </c>
      <c r="F17" s="46"/>
      <c r="G17" s="66">
        <v>510000</v>
      </c>
      <c r="H17" s="11"/>
      <c r="I17" s="11"/>
      <c r="J17" s="11"/>
      <c r="K17" s="11"/>
    </row>
    <row r="18" spans="1:11" s="14" customFormat="1" x14ac:dyDescent="0.25">
      <c r="A18" s="45" t="s">
        <v>34</v>
      </c>
      <c r="B18" s="65" t="s">
        <v>90</v>
      </c>
      <c r="C18" s="46">
        <v>114481.75293833108</v>
      </c>
      <c r="D18" s="46">
        <v>0</v>
      </c>
      <c r="E18" s="46">
        <v>114481.75293833108</v>
      </c>
      <c r="F18" s="46"/>
      <c r="G18" s="66">
        <v>510000</v>
      </c>
      <c r="H18" s="11"/>
      <c r="I18" s="11"/>
      <c r="J18" s="11"/>
      <c r="K18" s="11"/>
    </row>
    <row r="19" spans="1:11" x14ac:dyDescent="0.25">
      <c r="A19" s="42" t="s">
        <v>33</v>
      </c>
      <c r="B19" s="49" t="s">
        <v>109</v>
      </c>
      <c r="C19" s="43">
        <v>167060.31475124208</v>
      </c>
      <c r="D19" s="43">
        <v>86000</v>
      </c>
      <c r="E19" s="43">
        <v>81060.314751242084</v>
      </c>
      <c r="F19" s="43"/>
      <c r="G19" s="44">
        <v>540000</v>
      </c>
      <c r="H19" s="2"/>
      <c r="I19" s="2"/>
      <c r="J19" s="2"/>
      <c r="K19" s="2"/>
    </row>
    <row r="20" spans="1:11" x14ac:dyDescent="0.25">
      <c r="A20" s="42" t="s">
        <v>35</v>
      </c>
      <c r="B20" s="49" t="s">
        <v>91</v>
      </c>
      <c r="C20" s="43">
        <v>185989.41875846594</v>
      </c>
      <c r="D20" s="43">
        <v>86000</v>
      </c>
      <c r="E20" s="43">
        <v>99989.418758465938</v>
      </c>
      <c r="F20" s="43"/>
      <c r="G20" s="44">
        <v>540000</v>
      </c>
      <c r="H20" s="2"/>
      <c r="I20" s="2"/>
      <c r="J20" s="2"/>
      <c r="K20" s="2"/>
    </row>
    <row r="21" spans="1:11" x14ac:dyDescent="0.25">
      <c r="A21" s="42" t="s">
        <v>36</v>
      </c>
      <c r="B21" s="49" t="s">
        <v>110</v>
      </c>
      <c r="C21" s="43">
        <v>166841.28212530815</v>
      </c>
      <c r="D21" s="43">
        <v>86000</v>
      </c>
      <c r="E21" s="43">
        <v>80841.282125308149</v>
      </c>
      <c r="F21" s="43"/>
      <c r="G21" s="44">
        <v>540000</v>
      </c>
      <c r="H21" s="2"/>
      <c r="I21" s="2"/>
      <c r="J21" s="2"/>
      <c r="K21" s="2"/>
    </row>
    <row r="22" spans="1:11" x14ac:dyDescent="0.25">
      <c r="A22" s="42" t="s">
        <v>75</v>
      </c>
      <c r="B22" s="49" t="s">
        <v>76</v>
      </c>
      <c r="C22" s="43">
        <v>165579.11400071232</v>
      </c>
      <c r="D22" s="43">
        <v>70000</v>
      </c>
      <c r="E22" s="43">
        <v>95579.114000712318</v>
      </c>
      <c r="F22" s="43"/>
      <c r="G22" s="44">
        <v>540000</v>
      </c>
      <c r="H22" s="2"/>
      <c r="I22" s="2"/>
      <c r="J22" s="2"/>
      <c r="K22" s="2"/>
    </row>
    <row r="23" spans="1:11" x14ac:dyDescent="0.25">
      <c r="A23" s="42" t="s">
        <v>50</v>
      </c>
      <c r="B23" s="49" t="s">
        <v>97</v>
      </c>
      <c r="C23" s="43">
        <v>215841.21764222972</v>
      </c>
      <c r="D23" s="43">
        <v>86000</v>
      </c>
      <c r="E23" s="43">
        <v>129841.21764222972</v>
      </c>
      <c r="F23" s="43"/>
      <c r="G23" s="44">
        <v>540000</v>
      </c>
      <c r="H23" s="2"/>
      <c r="I23" s="2"/>
      <c r="J23" s="2"/>
      <c r="K23" s="2"/>
    </row>
    <row r="24" spans="1:11" x14ac:dyDescent="0.25">
      <c r="A24" s="42" t="s">
        <v>37</v>
      </c>
      <c r="B24" s="49" t="s">
        <v>111</v>
      </c>
      <c r="C24" s="43">
        <v>168717.95690321206</v>
      </c>
      <c r="D24" s="43">
        <v>92000</v>
      </c>
      <c r="E24" s="43">
        <v>76717.956903212063</v>
      </c>
      <c r="F24" s="43"/>
      <c r="G24" s="44">
        <v>540000</v>
      </c>
      <c r="H24" s="2"/>
      <c r="I24" s="2"/>
      <c r="J24" s="2"/>
      <c r="K24" s="2"/>
    </row>
    <row r="25" spans="1:11" x14ac:dyDescent="0.25">
      <c r="A25" s="42" t="s">
        <v>38</v>
      </c>
      <c r="B25" s="49" t="s">
        <v>98</v>
      </c>
      <c r="C25" s="43">
        <v>238271.17939759284</v>
      </c>
      <c r="D25" s="43">
        <v>83000</v>
      </c>
      <c r="E25" s="43">
        <v>155271.17939759284</v>
      </c>
      <c r="F25" s="43"/>
      <c r="G25" s="44">
        <v>540000</v>
      </c>
      <c r="H25" s="2"/>
      <c r="I25" s="2"/>
      <c r="J25" s="2"/>
      <c r="K25" s="2"/>
    </row>
    <row r="26" spans="1:11" x14ac:dyDescent="0.25">
      <c r="A26" s="42" t="s">
        <v>39</v>
      </c>
      <c r="B26" s="49" t="s">
        <v>113</v>
      </c>
      <c r="C26" s="43">
        <v>281133.38837694185</v>
      </c>
      <c r="D26" s="43">
        <v>114000</v>
      </c>
      <c r="E26" s="43">
        <v>167133.38837694185</v>
      </c>
      <c r="F26" s="43"/>
      <c r="G26" s="44">
        <v>540000</v>
      </c>
      <c r="H26" s="2"/>
      <c r="I26" s="2"/>
      <c r="J26" s="2"/>
      <c r="K26" s="2"/>
    </row>
    <row r="27" spans="1:11" x14ac:dyDescent="0.25">
      <c r="A27" s="42" t="s">
        <v>41</v>
      </c>
      <c r="B27" s="49" t="s">
        <v>96</v>
      </c>
      <c r="C27" s="43">
        <v>199731.06635530284</v>
      </c>
      <c r="D27" s="43">
        <v>76000</v>
      </c>
      <c r="E27" s="43">
        <v>123731.06635530284</v>
      </c>
      <c r="F27" s="43"/>
      <c r="G27" s="44">
        <v>540000</v>
      </c>
      <c r="H27" s="2"/>
      <c r="I27" s="2"/>
      <c r="J27" s="2"/>
      <c r="K27" s="2"/>
    </row>
    <row r="28" spans="1:11" x14ac:dyDescent="0.25">
      <c r="A28" s="42" t="s">
        <v>43</v>
      </c>
      <c r="B28" s="49" t="s">
        <v>100</v>
      </c>
      <c r="C28" s="43">
        <v>247444.82959238207</v>
      </c>
      <c r="D28" s="43">
        <v>80000</v>
      </c>
      <c r="E28" s="43">
        <v>167444.82959238207</v>
      </c>
      <c r="F28" s="43"/>
      <c r="G28" s="44">
        <v>540000</v>
      </c>
      <c r="H28" s="2"/>
      <c r="I28" s="2"/>
      <c r="J28" s="2"/>
      <c r="K28" s="2"/>
    </row>
    <row r="29" spans="1:11" s="14" customFormat="1" x14ac:dyDescent="0.25">
      <c r="A29" s="45" t="s">
        <v>30</v>
      </c>
      <c r="B29" s="65" t="s">
        <v>115</v>
      </c>
      <c r="C29" s="46">
        <v>105925.31684757111</v>
      </c>
      <c r="D29" s="46">
        <v>102000</v>
      </c>
      <c r="E29" s="46">
        <v>3925.3168475711136</v>
      </c>
      <c r="F29" s="46"/>
      <c r="G29" s="66">
        <v>540000</v>
      </c>
      <c r="H29" s="11"/>
      <c r="I29" s="11"/>
      <c r="J29" s="11"/>
      <c r="K29" s="11"/>
    </row>
    <row r="30" spans="1:11" x14ac:dyDescent="0.25">
      <c r="A30" s="42" t="s">
        <v>44</v>
      </c>
      <c r="B30" s="49" t="s">
        <v>87</v>
      </c>
      <c r="C30" s="43">
        <v>178970.05187373338</v>
      </c>
      <c r="D30" s="43">
        <v>86000</v>
      </c>
      <c r="E30" s="43">
        <v>92970.051873733377</v>
      </c>
      <c r="F30" s="43"/>
      <c r="G30" s="44">
        <v>540000</v>
      </c>
      <c r="H30" s="2"/>
      <c r="I30" s="2"/>
      <c r="J30" s="2"/>
      <c r="K30" s="2"/>
    </row>
    <row r="31" spans="1:11" x14ac:dyDescent="0.25">
      <c r="A31" s="42" t="s">
        <v>45</v>
      </c>
      <c r="B31" s="49" t="s">
        <v>116</v>
      </c>
      <c r="C31" s="43">
        <v>325445.35074867232</v>
      </c>
      <c r="D31" s="43">
        <v>100000</v>
      </c>
      <c r="E31" s="43">
        <v>225445.35074867232</v>
      </c>
      <c r="F31" s="43"/>
      <c r="G31" s="44">
        <v>540000</v>
      </c>
      <c r="H31" s="2"/>
      <c r="I31" s="2"/>
      <c r="J31" s="2"/>
      <c r="K31" s="2"/>
    </row>
    <row r="32" spans="1:11" x14ac:dyDescent="0.25">
      <c r="A32" s="42" t="s">
        <v>81</v>
      </c>
      <c r="B32" s="49" t="s">
        <v>118</v>
      </c>
      <c r="C32" s="43">
        <v>366491.93223893654</v>
      </c>
      <c r="D32" s="43">
        <v>111000</v>
      </c>
      <c r="E32" s="43">
        <v>255491.93223893654</v>
      </c>
      <c r="F32" s="43"/>
      <c r="G32" s="44">
        <v>175376.91333081503</v>
      </c>
      <c r="H32" s="2"/>
      <c r="I32" s="2"/>
      <c r="J32" s="2"/>
      <c r="K32" s="2"/>
    </row>
    <row r="33" spans="1:11" x14ac:dyDescent="0.25">
      <c r="A33" s="42" t="s">
        <v>47</v>
      </c>
      <c r="B33" s="49" t="s">
        <v>143</v>
      </c>
      <c r="C33" s="43">
        <v>150110.28288166213</v>
      </c>
      <c r="D33" s="43">
        <v>70000</v>
      </c>
      <c r="E33" s="43">
        <v>80110.282881662133</v>
      </c>
      <c r="F33" s="43"/>
      <c r="G33" s="44">
        <v>540000</v>
      </c>
      <c r="H33" s="2"/>
      <c r="I33" s="2"/>
      <c r="J33" s="2"/>
      <c r="K33" s="2"/>
    </row>
    <row r="34" spans="1:11" x14ac:dyDescent="0.25">
      <c r="A34" s="42" t="s">
        <v>48</v>
      </c>
      <c r="B34" s="49" t="s">
        <v>120</v>
      </c>
      <c r="C34" s="43">
        <v>309055.2374460685</v>
      </c>
      <c r="D34" s="43">
        <v>86000</v>
      </c>
      <c r="E34" s="43">
        <v>223055.2374460685</v>
      </c>
      <c r="F34" s="43"/>
      <c r="G34" s="44">
        <v>540000</v>
      </c>
      <c r="H34" s="2"/>
      <c r="I34" s="2"/>
      <c r="J34" s="2"/>
      <c r="K34" s="2"/>
    </row>
    <row r="35" spans="1:11" x14ac:dyDescent="0.25">
      <c r="A35" s="42" t="s">
        <v>49</v>
      </c>
      <c r="B35" s="49" t="s">
        <v>121</v>
      </c>
      <c r="C35" s="43">
        <v>403105.57355654181</v>
      </c>
      <c r="D35" s="43">
        <v>73000</v>
      </c>
      <c r="E35" s="43">
        <v>330105.57355654181</v>
      </c>
      <c r="F35" s="43"/>
      <c r="G35" s="44">
        <v>540000</v>
      </c>
      <c r="H35" s="2"/>
      <c r="I35" s="2"/>
      <c r="J35" s="2"/>
      <c r="K35" s="2"/>
    </row>
    <row r="36" spans="1:11" x14ac:dyDescent="0.25">
      <c r="A36" s="42" t="s">
        <v>51</v>
      </c>
      <c r="B36" s="49" t="s">
        <v>122</v>
      </c>
      <c r="C36" s="43">
        <v>327585.88147945009</v>
      </c>
      <c r="D36" s="43">
        <v>70000</v>
      </c>
      <c r="E36" s="43">
        <v>257585.88147945009</v>
      </c>
      <c r="F36" s="43"/>
      <c r="G36" s="44">
        <v>540000</v>
      </c>
      <c r="H36" s="2"/>
      <c r="I36" s="2"/>
      <c r="J36" s="2"/>
      <c r="K36" s="2"/>
    </row>
    <row r="37" spans="1:11" s="14" customFormat="1" x14ac:dyDescent="0.25">
      <c r="A37" s="45" t="s">
        <v>54</v>
      </c>
      <c r="B37" s="65" t="s">
        <v>125</v>
      </c>
      <c r="C37" s="46">
        <v>118430.4812877801</v>
      </c>
      <c r="D37" s="46">
        <v>114000</v>
      </c>
      <c r="E37" s="46">
        <v>4430.4812877801014</v>
      </c>
      <c r="F37" s="46"/>
      <c r="G37" s="66">
        <v>540000</v>
      </c>
    </row>
    <row r="38" spans="1:11" x14ac:dyDescent="0.25">
      <c r="A38" s="42" t="s">
        <v>55</v>
      </c>
      <c r="B38" s="49" t="s">
        <v>126</v>
      </c>
      <c r="C38" s="43">
        <v>866971.13990878034</v>
      </c>
      <c r="D38" s="43">
        <v>108000</v>
      </c>
      <c r="E38" s="43">
        <v>758971.13990878034</v>
      </c>
      <c r="F38" s="43"/>
      <c r="G38" s="44">
        <v>540000</v>
      </c>
    </row>
    <row r="39" spans="1:11" x14ac:dyDescent="0.25">
      <c r="A39" s="42" t="s">
        <v>56</v>
      </c>
      <c r="B39" s="49" t="s">
        <v>127</v>
      </c>
      <c r="C39" s="43">
        <v>2904832.833662136</v>
      </c>
      <c r="D39" s="43">
        <v>86000</v>
      </c>
      <c r="E39" s="43">
        <v>2818832.833662136</v>
      </c>
      <c r="F39" s="43"/>
      <c r="G39" s="44">
        <v>540000</v>
      </c>
    </row>
    <row r="40" spans="1:11" x14ac:dyDescent="0.25">
      <c r="A40" s="42" t="s">
        <v>170</v>
      </c>
      <c r="B40" s="49" t="s">
        <v>180</v>
      </c>
      <c r="C40" s="43">
        <v>42694.656488549619</v>
      </c>
      <c r="D40" s="43">
        <v>40000</v>
      </c>
      <c r="E40" s="43">
        <v>2694.6564885496191</v>
      </c>
      <c r="F40" s="43"/>
      <c r="G40" s="44">
        <v>0</v>
      </c>
    </row>
    <row r="41" spans="1:11" x14ac:dyDescent="0.25">
      <c r="A41" s="42" t="s">
        <v>172</v>
      </c>
      <c r="B41" s="49" t="s">
        <v>181</v>
      </c>
      <c r="C41" s="43">
        <v>0</v>
      </c>
      <c r="D41" s="43">
        <v>10000</v>
      </c>
      <c r="E41" s="43"/>
      <c r="F41" s="43"/>
      <c r="G41" s="44">
        <v>0</v>
      </c>
    </row>
    <row r="42" spans="1:11" x14ac:dyDescent="0.25">
      <c r="A42" s="42"/>
      <c r="B42" s="49"/>
      <c r="C42" s="43"/>
      <c r="D42" s="43"/>
      <c r="E42" s="67"/>
      <c r="F42" s="67"/>
      <c r="G42" s="64"/>
    </row>
    <row r="43" spans="1:11" x14ac:dyDescent="0.25">
      <c r="A43" s="42"/>
      <c r="B43" s="49"/>
      <c r="C43" s="49"/>
      <c r="D43" s="49"/>
      <c r="E43" s="49"/>
      <c r="F43" s="50"/>
      <c r="G43" s="64"/>
    </row>
    <row r="44" spans="1:11" ht="16.5" thickBot="1" x14ac:dyDescent="0.3">
      <c r="A44" s="53" t="s">
        <v>57</v>
      </c>
      <c r="B44" s="68"/>
      <c r="C44" s="54">
        <v>12867056.276191665</v>
      </c>
      <c r="D44" s="54">
        <v>2682000</v>
      </c>
      <c r="E44" s="54">
        <v>10195056.276191665</v>
      </c>
      <c r="F44" s="54">
        <v>0</v>
      </c>
      <c r="G44" s="55">
        <v>16855376.913330816</v>
      </c>
    </row>
    <row r="45" spans="1:11" ht="15.75" thickTop="1" x14ac:dyDescent="0.25"/>
    <row r="46" spans="1:11" x14ac:dyDescent="0.25">
      <c r="C46" s="2"/>
      <c r="F46" s="61"/>
    </row>
    <row r="47" spans="1:11" x14ac:dyDescent="0.25">
      <c r="F47" s="61"/>
    </row>
    <row r="48" spans="1:11" x14ac:dyDescent="0.25">
      <c r="F48" s="61"/>
    </row>
    <row r="49" spans="6:6" x14ac:dyDescent="0.25">
      <c r="F49" s="61"/>
    </row>
    <row r="50" spans="6:6" x14ac:dyDescent="0.25">
      <c r="F50" s="61"/>
    </row>
    <row r="51" spans="6:6" x14ac:dyDescent="0.25">
      <c r="F51" s="61"/>
    </row>
    <row r="52" spans="6:6" x14ac:dyDescent="0.25">
      <c r="F52" s="61"/>
    </row>
    <row r="53" spans="6:6" x14ac:dyDescent="0.25">
      <c r="F53" s="61"/>
    </row>
    <row r="54" spans="6:6" x14ac:dyDescent="0.25">
      <c r="F54" s="61"/>
    </row>
    <row r="55" spans="6:6" x14ac:dyDescent="0.25">
      <c r="F55" s="61"/>
    </row>
    <row r="56" spans="6:6" x14ac:dyDescent="0.25">
      <c r="F56" s="61"/>
    </row>
    <row r="57" spans="6:6" x14ac:dyDescent="0.25">
      <c r="F57" s="61"/>
    </row>
    <row r="58" spans="6:6" x14ac:dyDescent="0.25">
      <c r="F58" s="61"/>
    </row>
    <row r="59" spans="6:6" x14ac:dyDescent="0.25">
      <c r="F59" s="61"/>
    </row>
  </sheetData>
  <autoFilter ref="A5:F39">
    <sortState ref="A5:L48">
      <sortCondition ref="B5:B48"/>
    </sortState>
  </autoFilter>
  <mergeCells count="1">
    <mergeCell ref="A4:G4"/>
  </mergeCells>
  <printOptions horizontalCentered="1"/>
  <pageMargins left="0.51181102362204722" right="0.51181102362204722" top="0.55118110236220474" bottom="0.55118110236220474" header="0.11811023622047245" footer="0.31496062992125984"/>
  <pageSetup scale="85" orientation="portrait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I6" sqref="I6"/>
    </sheetView>
  </sheetViews>
  <sheetFormatPr baseColWidth="10" defaultColWidth="11" defaultRowHeight="15" x14ac:dyDescent="0.25"/>
  <cols>
    <col min="1" max="1" width="12.42578125" customWidth="1"/>
    <col min="2" max="2" width="31.85546875" bestFit="1" customWidth="1"/>
    <col min="3" max="3" width="14.140625" customWidth="1"/>
    <col min="4" max="4" width="27" customWidth="1"/>
    <col min="5" max="5" width="14.42578125" customWidth="1"/>
    <col min="6" max="6" width="15" bestFit="1" customWidth="1"/>
    <col min="7" max="7" width="15.28515625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G1" s="1"/>
    </row>
    <row r="2" spans="1:13" x14ac:dyDescent="0.25">
      <c r="A2" s="1" t="s">
        <v>2</v>
      </c>
      <c r="B2" s="1" t="s">
        <v>153</v>
      </c>
      <c r="C2" s="1"/>
      <c r="D2" s="1"/>
      <c r="E2" s="1"/>
      <c r="G2" s="1"/>
    </row>
    <row r="3" spans="1:13" x14ac:dyDescent="0.25">
      <c r="A3" s="1" t="s">
        <v>3</v>
      </c>
      <c r="B3" s="5"/>
      <c r="C3" s="1"/>
      <c r="D3" s="1"/>
      <c r="E3" s="1"/>
      <c r="G3" s="5"/>
    </row>
    <row r="4" spans="1:13" ht="27" thickBot="1" x14ac:dyDescent="0.45">
      <c r="A4" s="170" t="s">
        <v>186</v>
      </c>
      <c r="B4" s="171"/>
      <c r="C4" s="171"/>
      <c r="D4" s="171"/>
      <c r="E4" s="171"/>
      <c r="F4" s="171"/>
      <c r="G4" s="171"/>
      <c r="H4" s="63"/>
      <c r="I4" s="63"/>
      <c r="J4" s="63"/>
      <c r="K4" s="63"/>
      <c r="L4" s="63"/>
      <c r="M4" s="63"/>
    </row>
    <row r="5" spans="1:13" ht="72.75" thickTop="1" x14ac:dyDescent="0.25">
      <c r="A5" s="71" t="s">
        <v>4</v>
      </c>
      <c r="B5" s="70" t="s">
        <v>5</v>
      </c>
      <c r="C5" s="71" t="s">
        <v>184</v>
      </c>
      <c r="D5" s="71" t="s">
        <v>185</v>
      </c>
      <c r="E5" s="71" t="s">
        <v>178</v>
      </c>
      <c r="F5" s="71" t="s">
        <v>175</v>
      </c>
      <c r="G5" s="72" t="s">
        <v>176</v>
      </c>
    </row>
    <row r="6" spans="1:13" x14ac:dyDescent="0.25">
      <c r="A6" s="42" t="s">
        <v>16</v>
      </c>
      <c r="B6" s="49" t="s">
        <v>1</v>
      </c>
      <c r="C6" s="43">
        <v>127426.99446674416</v>
      </c>
      <c r="D6" s="43">
        <v>0</v>
      </c>
      <c r="E6" s="43">
        <v>127426.99446674416</v>
      </c>
      <c r="F6" s="43"/>
      <c r="G6" s="44">
        <v>456750.01108374598</v>
      </c>
      <c r="H6" s="2"/>
      <c r="I6" s="2"/>
      <c r="J6" s="2"/>
      <c r="K6" s="2"/>
    </row>
    <row r="7" spans="1:13" x14ac:dyDescent="0.25">
      <c r="A7" s="42" t="s">
        <v>19</v>
      </c>
      <c r="B7" s="49" t="s">
        <v>102</v>
      </c>
      <c r="C7" s="43">
        <v>166439.64365881987</v>
      </c>
      <c r="D7" s="43">
        <v>70000</v>
      </c>
      <c r="E7" s="43">
        <v>96439.64365881987</v>
      </c>
      <c r="F7" s="43"/>
      <c r="G7" s="44">
        <v>540000</v>
      </c>
      <c r="H7" s="2"/>
      <c r="I7" s="2"/>
      <c r="J7" s="2"/>
      <c r="K7" s="2"/>
    </row>
    <row r="8" spans="1:13" x14ac:dyDescent="0.25">
      <c r="A8" s="42" t="s">
        <v>23</v>
      </c>
      <c r="B8" s="49" t="s">
        <v>93</v>
      </c>
      <c r="C8" s="43">
        <v>199274.29078527421</v>
      </c>
      <c r="D8" s="43">
        <v>76000</v>
      </c>
      <c r="E8" s="43">
        <v>123274.29078527421</v>
      </c>
      <c r="F8" s="43"/>
      <c r="G8" s="44">
        <v>540000</v>
      </c>
      <c r="H8" s="2"/>
      <c r="I8" s="2"/>
      <c r="J8" s="2"/>
      <c r="K8" s="2"/>
    </row>
    <row r="9" spans="1:13" x14ac:dyDescent="0.25">
      <c r="A9" s="42" t="s">
        <v>154</v>
      </c>
      <c r="B9" s="49" t="s">
        <v>179</v>
      </c>
      <c r="C9" s="43">
        <v>334083.96946564887</v>
      </c>
      <c r="D9" s="43">
        <v>6000</v>
      </c>
      <c r="E9" s="43">
        <v>328083.96946564887</v>
      </c>
      <c r="F9" s="43"/>
      <c r="G9" s="44">
        <v>0</v>
      </c>
      <c r="H9" s="2"/>
      <c r="I9" s="2"/>
      <c r="J9" s="2"/>
      <c r="K9" s="2"/>
    </row>
    <row r="10" spans="1:13" x14ac:dyDescent="0.25">
      <c r="A10" s="42" t="s">
        <v>24</v>
      </c>
      <c r="B10" s="49" t="s">
        <v>104</v>
      </c>
      <c r="C10" s="43">
        <v>650335.96677265048</v>
      </c>
      <c r="D10" s="43">
        <v>70000</v>
      </c>
      <c r="E10" s="43">
        <v>580335.96677265048</v>
      </c>
      <c r="F10" s="43"/>
      <c r="G10" s="44">
        <v>540000</v>
      </c>
      <c r="H10" s="2"/>
      <c r="I10" s="2"/>
      <c r="J10" s="2"/>
      <c r="K10" s="2"/>
    </row>
    <row r="11" spans="1:13" x14ac:dyDescent="0.25">
      <c r="A11" s="42" t="s">
        <v>25</v>
      </c>
      <c r="B11" s="49" t="s">
        <v>89</v>
      </c>
      <c r="C11" s="43">
        <v>171550.32873722402</v>
      </c>
      <c r="D11" s="43">
        <v>70000</v>
      </c>
      <c r="E11" s="43">
        <v>101550.32873722402</v>
      </c>
      <c r="F11" s="43"/>
      <c r="G11" s="44">
        <v>540000</v>
      </c>
      <c r="H11" s="2"/>
      <c r="I11" s="2"/>
      <c r="J11" s="2"/>
      <c r="K11" s="2"/>
    </row>
    <row r="12" spans="1:13" x14ac:dyDescent="0.25">
      <c r="A12" s="42" t="s">
        <v>79</v>
      </c>
      <c r="B12" s="49" t="s">
        <v>70</v>
      </c>
      <c r="C12" s="43">
        <v>162859.18874679678</v>
      </c>
      <c r="D12" s="43">
        <v>70000</v>
      </c>
      <c r="E12" s="43">
        <v>92859.188746796775</v>
      </c>
      <c r="F12" s="43"/>
      <c r="G12" s="44">
        <v>540000</v>
      </c>
      <c r="H12" s="2"/>
      <c r="I12" s="2"/>
      <c r="J12" s="2"/>
      <c r="K12" s="2"/>
    </row>
    <row r="13" spans="1:13" x14ac:dyDescent="0.25">
      <c r="A13" s="42" t="s">
        <v>26</v>
      </c>
      <c r="B13" s="49" t="s">
        <v>105</v>
      </c>
      <c r="C13" s="43">
        <v>422224.38753171783</v>
      </c>
      <c r="D13" s="43">
        <v>102000</v>
      </c>
      <c r="E13" s="43">
        <v>320224.38753171783</v>
      </c>
      <c r="F13" s="43"/>
      <c r="G13" s="44">
        <v>540000</v>
      </c>
      <c r="H13" s="2"/>
      <c r="I13" s="2"/>
      <c r="J13" s="2"/>
      <c r="K13" s="2"/>
    </row>
    <row r="14" spans="1:13" x14ac:dyDescent="0.25">
      <c r="A14" s="42" t="s">
        <v>27</v>
      </c>
      <c r="B14" s="49" t="s">
        <v>99</v>
      </c>
      <c r="C14" s="43">
        <v>146850.22711354087</v>
      </c>
      <c r="D14" s="43">
        <v>103000</v>
      </c>
      <c r="E14" s="43">
        <v>43850.227113540866</v>
      </c>
      <c r="F14" s="43"/>
      <c r="G14" s="44">
        <v>540000</v>
      </c>
      <c r="H14" s="2"/>
      <c r="I14" s="2"/>
      <c r="J14" s="2"/>
      <c r="K14" s="2"/>
    </row>
    <row r="15" spans="1:13" ht="14.25" customHeight="1" x14ac:dyDescent="0.25">
      <c r="A15" s="42" t="s">
        <v>28</v>
      </c>
      <c r="B15" s="49" t="s">
        <v>106</v>
      </c>
      <c r="C15" s="43">
        <v>274754.91857632872</v>
      </c>
      <c r="D15" s="43">
        <v>114000</v>
      </c>
      <c r="E15" s="43">
        <v>160754.91857632872</v>
      </c>
      <c r="F15" s="43"/>
      <c r="G15" s="44">
        <v>540000</v>
      </c>
      <c r="H15" s="2"/>
      <c r="I15" s="2"/>
      <c r="J15" s="2"/>
      <c r="K15" s="2"/>
    </row>
    <row r="16" spans="1:13" x14ac:dyDescent="0.25">
      <c r="A16" s="42" t="s">
        <v>29</v>
      </c>
      <c r="B16" s="49" t="s">
        <v>92</v>
      </c>
      <c r="C16" s="43">
        <v>450269.46718629025</v>
      </c>
      <c r="D16" s="43">
        <v>86000</v>
      </c>
      <c r="E16" s="43">
        <v>364269.46718629025</v>
      </c>
      <c r="F16" s="43"/>
      <c r="G16" s="44">
        <v>540000</v>
      </c>
      <c r="H16" s="2"/>
      <c r="I16" s="2"/>
      <c r="J16" s="2"/>
      <c r="K16" s="2"/>
    </row>
    <row r="17" spans="1:11" s="14" customFormat="1" ht="13.5" customHeight="1" x14ac:dyDescent="0.25">
      <c r="A17" s="45" t="s">
        <v>31</v>
      </c>
      <c r="B17" s="65" t="s">
        <v>107</v>
      </c>
      <c r="C17" s="46">
        <v>1510276.633889026</v>
      </c>
      <c r="D17" s="46">
        <v>0</v>
      </c>
      <c r="E17" s="46">
        <v>1510276.633889026</v>
      </c>
      <c r="F17" s="46"/>
      <c r="G17" s="66">
        <v>510000</v>
      </c>
      <c r="H17" s="11"/>
      <c r="I17" s="11"/>
      <c r="J17" s="11"/>
      <c r="K17" s="11"/>
    </row>
    <row r="18" spans="1:11" s="14" customFormat="1" x14ac:dyDescent="0.25">
      <c r="A18" s="45" t="s">
        <v>34</v>
      </c>
      <c r="B18" s="65" t="s">
        <v>90</v>
      </c>
      <c r="C18" s="46">
        <v>114481.75293833108</v>
      </c>
      <c r="D18" s="46">
        <v>0</v>
      </c>
      <c r="E18" s="46">
        <v>114481.75293833108</v>
      </c>
      <c r="F18" s="46"/>
      <c r="G18" s="66">
        <v>510000</v>
      </c>
      <c r="H18" s="11"/>
      <c r="I18" s="11"/>
      <c r="J18" s="11"/>
      <c r="K18" s="11"/>
    </row>
    <row r="19" spans="1:11" x14ac:dyDescent="0.25">
      <c r="A19" s="42" t="s">
        <v>33</v>
      </c>
      <c r="B19" s="49" t="s">
        <v>109</v>
      </c>
      <c r="C19" s="43">
        <v>167060.31475124208</v>
      </c>
      <c r="D19" s="43">
        <v>86000</v>
      </c>
      <c r="E19" s="43">
        <v>81060.314751242084</v>
      </c>
      <c r="F19" s="43"/>
      <c r="G19" s="44">
        <v>540000</v>
      </c>
      <c r="H19" s="2"/>
      <c r="I19" s="2"/>
      <c r="J19" s="2"/>
      <c r="K19" s="2"/>
    </row>
    <row r="20" spans="1:11" x14ac:dyDescent="0.25">
      <c r="A20" s="42" t="s">
        <v>35</v>
      </c>
      <c r="B20" s="49" t="s">
        <v>91</v>
      </c>
      <c r="C20" s="43">
        <v>185989.41875846594</v>
      </c>
      <c r="D20" s="43">
        <v>86000</v>
      </c>
      <c r="E20" s="43">
        <v>99989.418758465938</v>
      </c>
      <c r="F20" s="43"/>
      <c r="G20" s="44">
        <v>540000</v>
      </c>
      <c r="H20" s="2"/>
      <c r="I20" s="2"/>
      <c r="J20" s="2"/>
      <c r="K20" s="2"/>
    </row>
    <row r="21" spans="1:11" x14ac:dyDescent="0.25">
      <c r="A21" s="42" t="s">
        <v>36</v>
      </c>
      <c r="B21" s="49" t="s">
        <v>110</v>
      </c>
      <c r="C21" s="43">
        <v>166841.28212530815</v>
      </c>
      <c r="D21" s="43">
        <v>86000</v>
      </c>
      <c r="E21" s="43">
        <v>80841.282125308149</v>
      </c>
      <c r="F21" s="43"/>
      <c r="G21" s="44">
        <v>540000</v>
      </c>
      <c r="H21" s="2"/>
      <c r="I21" s="2"/>
      <c r="J21" s="2"/>
      <c r="K21" s="2"/>
    </row>
    <row r="22" spans="1:11" x14ac:dyDescent="0.25">
      <c r="A22" s="42" t="s">
        <v>75</v>
      </c>
      <c r="B22" s="49" t="s">
        <v>76</v>
      </c>
      <c r="C22" s="43">
        <v>165579.11400071232</v>
      </c>
      <c r="D22" s="43">
        <v>70000</v>
      </c>
      <c r="E22" s="43">
        <v>95579.114000712318</v>
      </c>
      <c r="F22" s="43"/>
      <c r="G22" s="44">
        <v>540000</v>
      </c>
      <c r="H22" s="2"/>
      <c r="I22" s="2"/>
      <c r="J22" s="2"/>
      <c r="K22" s="2"/>
    </row>
    <row r="23" spans="1:11" x14ac:dyDescent="0.25">
      <c r="A23" s="42" t="s">
        <v>50</v>
      </c>
      <c r="B23" s="49" t="s">
        <v>97</v>
      </c>
      <c r="C23" s="43">
        <v>215841.21764222972</v>
      </c>
      <c r="D23" s="43">
        <v>86000</v>
      </c>
      <c r="E23" s="43">
        <v>129841.21764222972</v>
      </c>
      <c r="F23" s="43"/>
      <c r="G23" s="44">
        <v>540000</v>
      </c>
      <c r="H23" s="2"/>
      <c r="I23" s="2"/>
      <c r="J23" s="2"/>
      <c r="K23" s="2"/>
    </row>
    <row r="24" spans="1:11" x14ac:dyDescent="0.25">
      <c r="A24" s="42" t="s">
        <v>37</v>
      </c>
      <c r="B24" s="49" t="s">
        <v>111</v>
      </c>
      <c r="C24" s="43">
        <v>168717.95690321206</v>
      </c>
      <c r="D24" s="43">
        <v>92000</v>
      </c>
      <c r="E24" s="43">
        <v>76717.956903212063</v>
      </c>
      <c r="F24" s="43"/>
      <c r="G24" s="44">
        <v>540000</v>
      </c>
      <c r="H24" s="2"/>
      <c r="I24" s="2"/>
      <c r="J24" s="2"/>
      <c r="K24" s="2"/>
    </row>
    <row r="25" spans="1:11" x14ac:dyDescent="0.25">
      <c r="A25" s="42" t="s">
        <v>38</v>
      </c>
      <c r="B25" s="49" t="s">
        <v>98</v>
      </c>
      <c r="C25" s="43">
        <v>238271.17939759284</v>
      </c>
      <c r="D25" s="43">
        <v>83000</v>
      </c>
      <c r="E25" s="43">
        <v>155271.17939759284</v>
      </c>
      <c r="F25" s="43"/>
      <c r="G25" s="44">
        <v>540000</v>
      </c>
      <c r="H25" s="2"/>
      <c r="I25" s="2"/>
      <c r="J25" s="2"/>
      <c r="K25" s="2"/>
    </row>
    <row r="26" spans="1:11" x14ac:dyDescent="0.25">
      <c r="A26" s="42" t="s">
        <v>39</v>
      </c>
      <c r="B26" s="49" t="s">
        <v>113</v>
      </c>
      <c r="C26" s="43">
        <v>281133.38837694185</v>
      </c>
      <c r="D26" s="43">
        <v>114000</v>
      </c>
      <c r="E26" s="43">
        <v>167133.38837694185</v>
      </c>
      <c r="F26" s="43"/>
      <c r="G26" s="44">
        <v>540000</v>
      </c>
      <c r="H26" s="2"/>
      <c r="I26" s="2"/>
      <c r="J26" s="2"/>
      <c r="K26" s="2"/>
    </row>
    <row r="27" spans="1:11" x14ac:dyDescent="0.25">
      <c r="A27" s="42" t="s">
        <v>41</v>
      </c>
      <c r="B27" s="49" t="s">
        <v>96</v>
      </c>
      <c r="C27" s="43">
        <v>199731.06635530284</v>
      </c>
      <c r="D27" s="43">
        <v>76000</v>
      </c>
      <c r="E27" s="43">
        <v>123731.06635530284</v>
      </c>
      <c r="F27" s="43"/>
      <c r="G27" s="44">
        <v>540000</v>
      </c>
      <c r="H27" s="2"/>
      <c r="I27" s="2"/>
      <c r="J27" s="2"/>
      <c r="K27" s="2"/>
    </row>
    <row r="28" spans="1:11" x14ac:dyDescent="0.25">
      <c r="A28" s="42" t="s">
        <v>43</v>
      </c>
      <c r="B28" s="49" t="s">
        <v>100</v>
      </c>
      <c r="C28" s="43">
        <v>247444.82959238207</v>
      </c>
      <c r="D28" s="43">
        <v>80000</v>
      </c>
      <c r="E28" s="43">
        <v>167444.82959238207</v>
      </c>
      <c r="F28" s="43"/>
      <c r="G28" s="44">
        <v>540000</v>
      </c>
      <c r="H28" s="2"/>
      <c r="I28" s="2"/>
      <c r="J28" s="2"/>
      <c r="K28" s="2"/>
    </row>
    <row r="29" spans="1:11" s="14" customFormat="1" x14ac:dyDescent="0.25">
      <c r="A29" s="45" t="s">
        <v>30</v>
      </c>
      <c r="B29" s="65" t="s">
        <v>115</v>
      </c>
      <c r="C29" s="46">
        <v>105925.31684757111</v>
      </c>
      <c r="D29" s="46">
        <v>102000</v>
      </c>
      <c r="E29" s="46">
        <v>3925.3168475711136</v>
      </c>
      <c r="F29" s="46"/>
      <c r="G29" s="66">
        <v>540000</v>
      </c>
      <c r="H29" s="11"/>
      <c r="I29" s="11"/>
      <c r="J29" s="11"/>
      <c r="K29" s="11"/>
    </row>
    <row r="30" spans="1:11" x14ac:dyDescent="0.25">
      <c r="A30" s="42" t="s">
        <v>44</v>
      </c>
      <c r="B30" s="49" t="s">
        <v>87</v>
      </c>
      <c r="C30" s="43">
        <v>178970.05187373338</v>
      </c>
      <c r="D30" s="43">
        <v>86000</v>
      </c>
      <c r="E30" s="43">
        <v>92970.051873733377</v>
      </c>
      <c r="F30" s="43"/>
      <c r="G30" s="44">
        <v>540000</v>
      </c>
      <c r="H30" s="2"/>
      <c r="I30" s="2"/>
      <c r="J30" s="2"/>
      <c r="K30" s="2"/>
    </row>
    <row r="31" spans="1:11" x14ac:dyDescent="0.25">
      <c r="A31" s="42" t="s">
        <v>45</v>
      </c>
      <c r="B31" s="49" t="s">
        <v>116</v>
      </c>
      <c r="C31" s="43">
        <v>325445.35074867232</v>
      </c>
      <c r="D31" s="43">
        <v>100000</v>
      </c>
      <c r="E31" s="43">
        <v>225445.35074867232</v>
      </c>
      <c r="F31" s="43"/>
      <c r="G31" s="44">
        <v>540000</v>
      </c>
      <c r="H31" s="2"/>
      <c r="I31" s="2"/>
      <c r="J31" s="2"/>
      <c r="K31" s="2"/>
    </row>
    <row r="32" spans="1:11" x14ac:dyDescent="0.25">
      <c r="A32" s="42" t="s">
        <v>81</v>
      </c>
      <c r="B32" s="49" t="s">
        <v>118</v>
      </c>
      <c r="C32" s="43">
        <v>366491.93223893654</v>
      </c>
      <c r="D32" s="43">
        <v>111000</v>
      </c>
      <c r="E32" s="43">
        <v>255491.93223893654</v>
      </c>
      <c r="F32" s="43"/>
      <c r="G32" s="44">
        <v>175376.91333081503</v>
      </c>
      <c r="H32" s="2"/>
      <c r="I32" s="2"/>
      <c r="J32" s="2"/>
      <c r="K32" s="2"/>
    </row>
    <row r="33" spans="1:11" x14ac:dyDescent="0.25">
      <c r="A33" s="42" t="s">
        <v>47</v>
      </c>
      <c r="B33" s="49" t="s">
        <v>143</v>
      </c>
      <c r="C33" s="43">
        <v>150110.28288166213</v>
      </c>
      <c r="D33" s="43">
        <v>70000</v>
      </c>
      <c r="E33" s="43">
        <v>80110.282881662133</v>
      </c>
      <c r="F33" s="43"/>
      <c r="G33" s="44">
        <v>540000</v>
      </c>
      <c r="H33" s="2"/>
      <c r="I33" s="2"/>
      <c r="J33" s="2"/>
      <c r="K33" s="2"/>
    </row>
    <row r="34" spans="1:11" x14ac:dyDescent="0.25">
      <c r="A34" s="42" t="s">
        <v>48</v>
      </c>
      <c r="B34" s="49" t="s">
        <v>120</v>
      </c>
      <c r="C34" s="43">
        <v>309055.2374460685</v>
      </c>
      <c r="D34" s="43">
        <v>86000</v>
      </c>
      <c r="E34" s="43">
        <v>223055.2374460685</v>
      </c>
      <c r="F34" s="43"/>
      <c r="G34" s="44">
        <v>540000</v>
      </c>
      <c r="H34" s="2"/>
      <c r="I34" s="2"/>
      <c r="J34" s="2"/>
      <c r="K34" s="2"/>
    </row>
    <row r="35" spans="1:11" x14ac:dyDescent="0.25">
      <c r="A35" s="42" t="s">
        <v>49</v>
      </c>
      <c r="B35" s="49" t="s">
        <v>121</v>
      </c>
      <c r="C35" s="43">
        <v>403105.57355654181</v>
      </c>
      <c r="D35" s="43">
        <v>73000</v>
      </c>
      <c r="E35" s="43">
        <v>330105.57355654181</v>
      </c>
      <c r="F35" s="43"/>
      <c r="G35" s="44">
        <v>540000</v>
      </c>
      <c r="H35" s="2"/>
      <c r="I35" s="2"/>
      <c r="J35" s="2"/>
      <c r="K35" s="2"/>
    </row>
    <row r="36" spans="1:11" x14ac:dyDescent="0.25">
      <c r="A36" s="42" t="s">
        <v>51</v>
      </c>
      <c r="B36" s="49" t="s">
        <v>122</v>
      </c>
      <c r="C36" s="43">
        <v>327585.88147945009</v>
      </c>
      <c r="D36" s="43">
        <v>70000</v>
      </c>
      <c r="E36" s="43">
        <v>257585.88147945009</v>
      </c>
      <c r="F36" s="43"/>
      <c r="G36" s="44">
        <v>540000</v>
      </c>
      <c r="H36" s="2"/>
      <c r="I36" s="2"/>
      <c r="J36" s="2"/>
      <c r="K36" s="2"/>
    </row>
    <row r="37" spans="1:11" s="14" customFormat="1" x14ac:dyDescent="0.25">
      <c r="A37" s="45" t="s">
        <v>54</v>
      </c>
      <c r="B37" s="65" t="s">
        <v>125</v>
      </c>
      <c r="C37" s="46">
        <v>118430.4812877801</v>
      </c>
      <c r="D37" s="46">
        <v>114000</v>
      </c>
      <c r="E37" s="46">
        <v>4430.4812877801014</v>
      </c>
      <c r="F37" s="46"/>
      <c r="G37" s="66">
        <v>540000</v>
      </c>
    </row>
    <row r="38" spans="1:11" x14ac:dyDescent="0.25">
      <c r="A38" s="42" t="s">
        <v>55</v>
      </c>
      <c r="B38" s="49" t="s">
        <v>126</v>
      </c>
      <c r="C38" s="43">
        <v>866971.13990878034</v>
      </c>
      <c r="D38" s="43">
        <v>108000</v>
      </c>
      <c r="E38" s="43">
        <v>758971.13990878034</v>
      </c>
      <c r="F38" s="43"/>
      <c r="G38" s="44">
        <v>540000</v>
      </c>
    </row>
    <row r="39" spans="1:11" x14ac:dyDescent="0.25">
      <c r="A39" s="42" t="s">
        <v>56</v>
      </c>
      <c r="B39" s="49" t="s">
        <v>127</v>
      </c>
      <c r="C39" s="43">
        <v>2904832.833662136</v>
      </c>
      <c r="D39" s="43">
        <v>86000</v>
      </c>
      <c r="E39" s="43">
        <v>2818832.833662136</v>
      </c>
      <c r="F39" s="43"/>
      <c r="G39" s="44">
        <v>540000</v>
      </c>
    </row>
    <row r="40" spans="1:11" x14ac:dyDescent="0.25">
      <c r="A40" s="42" t="s">
        <v>170</v>
      </c>
      <c r="B40" s="49" t="s">
        <v>180</v>
      </c>
      <c r="C40" s="43">
        <v>42694.656488549619</v>
      </c>
      <c r="D40" s="43">
        <v>40000</v>
      </c>
      <c r="E40" s="43">
        <v>2694.6564885496191</v>
      </c>
      <c r="F40" s="43"/>
      <c r="G40" s="44">
        <v>0</v>
      </c>
    </row>
    <row r="41" spans="1:11" x14ac:dyDescent="0.25">
      <c r="A41" s="42" t="s">
        <v>172</v>
      </c>
      <c r="B41" s="49" t="s">
        <v>181</v>
      </c>
      <c r="C41" s="43">
        <v>0</v>
      </c>
      <c r="D41" s="43">
        <v>10000</v>
      </c>
      <c r="E41" s="43"/>
      <c r="F41" s="43"/>
      <c r="G41" s="44">
        <v>0</v>
      </c>
    </row>
    <row r="42" spans="1:11" x14ac:dyDescent="0.25">
      <c r="A42" s="42"/>
      <c r="B42" s="49"/>
      <c r="C42" s="43"/>
      <c r="D42" s="43"/>
      <c r="E42" s="67"/>
      <c r="F42" s="67"/>
      <c r="G42" s="64"/>
    </row>
    <row r="43" spans="1:11" x14ac:dyDescent="0.25">
      <c r="A43" s="42"/>
      <c r="B43" s="49"/>
      <c r="C43" s="49"/>
      <c r="D43" s="49"/>
      <c r="E43" s="49"/>
      <c r="F43" s="50"/>
      <c r="G43" s="64"/>
    </row>
    <row r="44" spans="1:11" ht="16.5" thickBot="1" x14ac:dyDescent="0.3">
      <c r="A44" s="53" t="s">
        <v>57</v>
      </c>
      <c r="B44" s="68"/>
      <c r="C44" s="54">
        <v>12867056.276191665</v>
      </c>
      <c r="D44" s="54">
        <v>2682000</v>
      </c>
      <c r="E44" s="54">
        <v>10195056.276191665</v>
      </c>
      <c r="F44" s="54">
        <v>0</v>
      </c>
      <c r="G44" s="55">
        <v>16855376.913330816</v>
      </c>
    </row>
    <row r="45" spans="1:11" ht="15.75" thickTop="1" x14ac:dyDescent="0.25"/>
    <row r="46" spans="1:11" x14ac:dyDescent="0.25">
      <c r="C46" s="2"/>
      <c r="F46" s="61"/>
    </row>
    <row r="47" spans="1:11" x14ac:dyDescent="0.25">
      <c r="F47" s="61"/>
    </row>
    <row r="48" spans="1:11" x14ac:dyDescent="0.25">
      <c r="F48" s="61"/>
    </row>
    <row r="49" spans="6:6" x14ac:dyDescent="0.25">
      <c r="F49" s="61"/>
    </row>
    <row r="50" spans="6:6" x14ac:dyDescent="0.25">
      <c r="F50" s="61"/>
    </row>
    <row r="51" spans="6:6" x14ac:dyDescent="0.25">
      <c r="F51" s="61"/>
    </row>
    <row r="52" spans="6:6" x14ac:dyDescent="0.25">
      <c r="F52" s="61"/>
    </row>
    <row r="53" spans="6:6" x14ac:dyDescent="0.25">
      <c r="F53" s="61"/>
    </row>
    <row r="54" spans="6:6" x14ac:dyDescent="0.25">
      <c r="F54" s="61"/>
    </row>
    <row r="55" spans="6:6" x14ac:dyDescent="0.25">
      <c r="F55" s="61"/>
    </row>
    <row r="56" spans="6:6" x14ac:dyDescent="0.25">
      <c r="F56" s="61"/>
    </row>
    <row r="57" spans="6:6" x14ac:dyDescent="0.25">
      <c r="F57" s="61"/>
    </row>
    <row r="58" spans="6:6" x14ac:dyDescent="0.25">
      <c r="F58" s="61"/>
    </row>
    <row r="59" spans="6:6" x14ac:dyDescent="0.25">
      <c r="F59" s="61"/>
    </row>
  </sheetData>
  <autoFilter ref="A5:F39">
    <sortState ref="A5:L48">
      <sortCondition ref="B5:B48"/>
    </sortState>
  </autoFilter>
  <mergeCells count="1">
    <mergeCell ref="A4:G4"/>
  </mergeCells>
  <printOptions horizontalCentered="1"/>
  <pageMargins left="0.51181102362204722" right="0.51181102362204722" top="0.55118110236220474" bottom="0.55118110236220474" header="0.11811023622047245" footer="0.31496062992125984"/>
  <pageSetup scale="85"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D7" sqref="D7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4" t="s">
        <v>247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D7" sqref="D7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4" t="s">
        <v>247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4" t="s">
        <v>247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64" t="s">
        <v>247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xSplit="2" ySplit="4" topLeftCell="E5" activePane="bottomRight" state="frozen"/>
      <selection activeCell="C32" sqref="C32"/>
      <selection pane="topRight" activeCell="C32" sqref="C32"/>
      <selection pane="bottomLeft" activeCell="C32" sqref="C32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2.85546875" bestFit="1" customWidth="1"/>
    <col min="5" max="5" width="15.28515625" customWidth="1"/>
    <col min="6" max="6" width="23.5703125" style="2" customWidth="1"/>
    <col min="7" max="7" width="21.85546875" bestFit="1" customWidth="1"/>
    <col min="8" max="8" width="20.7109375" customWidth="1"/>
    <col min="9" max="9" width="15" bestFit="1" customWidth="1"/>
    <col min="10" max="10" width="17.5703125" style="3" bestFit="1" customWidth="1"/>
    <col min="11" max="11" width="15.7109375" style="2" customWidth="1"/>
    <col min="12" max="14" width="12.42578125" style="2" customWidth="1"/>
    <col min="15" max="15" width="15" style="2" bestFit="1" customWidth="1"/>
    <col min="16" max="16" width="16.85546875" style="2" bestFit="1" customWidth="1"/>
    <col min="17" max="17" width="15" bestFit="1" customWidth="1"/>
    <col min="18" max="18" width="15" customWidth="1"/>
    <col min="19" max="19" width="18.140625" customWidth="1"/>
    <col min="20" max="20" width="12.5703125" bestFit="1" customWidth="1"/>
    <col min="21" max="22" width="18.140625" customWidth="1"/>
    <col min="26" max="26" width="12.42578125" bestFit="1" customWidth="1"/>
  </cols>
  <sheetData>
    <row r="1" spans="1:16" x14ac:dyDescent="0.2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2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25">
      <c r="A3" s="1" t="s">
        <v>3</v>
      </c>
      <c r="B3" s="5"/>
      <c r="C3" s="5"/>
      <c r="D3" s="5"/>
      <c r="E3" s="1"/>
      <c r="F3" s="5"/>
      <c r="G3" s="1"/>
      <c r="H3" s="1"/>
    </row>
    <row r="4" spans="1:16" ht="26.25" x14ac:dyDescent="0.4">
      <c r="B4" s="16"/>
      <c r="C4" s="16"/>
      <c r="D4" s="16"/>
      <c r="E4" s="160" t="s">
        <v>258</v>
      </c>
      <c r="F4" s="160"/>
      <c r="G4" s="160"/>
      <c r="H4" s="160"/>
      <c r="I4" s="160"/>
      <c r="J4" s="57"/>
      <c r="K4" s="57"/>
      <c r="L4" s="57"/>
      <c r="M4"/>
      <c r="N4"/>
      <c r="O4"/>
      <c r="P4"/>
    </row>
    <row r="7" spans="1:16" x14ac:dyDescent="0.25">
      <c r="B7" t="s">
        <v>259</v>
      </c>
      <c r="E7" s="5">
        <v>1480000</v>
      </c>
    </row>
    <row r="9" spans="1:16" x14ac:dyDescent="0.25">
      <c r="B9" t="s">
        <v>260</v>
      </c>
      <c r="E9" s="5">
        <v>18</v>
      </c>
    </row>
    <row r="11" spans="1:16" x14ac:dyDescent="0.25">
      <c r="B11" t="s">
        <v>261</v>
      </c>
      <c r="E11" s="5">
        <v>14</v>
      </c>
    </row>
    <row r="13" spans="1:16" x14ac:dyDescent="0.25">
      <c r="F13" s="10" t="s">
        <v>266</v>
      </c>
      <c r="G13" s="10" t="s">
        <v>267</v>
      </c>
      <c r="H13" s="10" t="s">
        <v>57</v>
      </c>
    </row>
    <row r="14" spans="1:16" x14ac:dyDescent="0.25">
      <c r="F14" s="5"/>
      <c r="G14" s="5"/>
      <c r="H14" s="5"/>
    </row>
    <row r="15" spans="1:16" x14ac:dyDescent="0.25">
      <c r="B15" t="s">
        <v>92</v>
      </c>
      <c r="E15" s="5"/>
      <c r="F15" s="5">
        <v>100000</v>
      </c>
      <c r="H15" s="5">
        <v>100000</v>
      </c>
    </row>
    <row r="16" spans="1:16" x14ac:dyDescent="0.25">
      <c r="B16" t="s">
        <v>87</v>
      </c>
      <c r="E16" s="5"/>
      <c r="F16" s="5">
        <v>100000</v>
      </c>
      <c r="H16" s="5">
        <v>100000</v>
      </c>
    </row>
    <row r="17" spans="2:8" x14ac:dyDescent="0.25">
      <c r="B17" t="s">
        <v>127</v>
      </c>
      <c r="E17" s="5"/>
      <c r="F17" s="5">
        <v>100000</v>
      </c>
      <c r="H17" s="5">
        <v>100000</v>
      </c>
    </row>
    <row r="18" spans="2:8" x14ac:dyDescent="0.25">
      <c r="B18" t="s">
        <v>262</v>
      </c>
      <c r="E18" s="5"/>
      <c r="F18" s="5">
        <v>100000</v>
      </c>
      <c r="G18" s="5">
        <v>11000</v>
      </c>
      <c r="H18" s="5">
        <v>111000</v>
      </c>
    </row>
    <row r="19" spans="2:8" x14ac:dyDescent="0.25">
      <c r="B19" t="s">
        <v>98</v>
      </c>
      <c r="E19" s="5"/>
      <c r="F19" s="5">
        <v>100000</v>
      </c>
      <c r="G19" s="5">
        <v>14000</v>
      </c>
      <c r="H19" s="5">
        <v>114000</v>
      </c>
    </row>
    <row r="20" spans="2:8" x14ac:dyDescent="0.25">
      <c r="B20" t="s">
        <v>89</v>
      </c>
      <c r="E20" s="5"/>
      <c r="F20" s="5">
        <v>100000</v>
      </c>
      <c r="G20" s="5">
        <v>11000</v>
      </c>
      <c r="H20" s="5">
        <v>111000</v>
      </c>
    </row>
    <row r="21" spans="2:8" x14ac:dyDescent="0.25">
      <c r="B21" t="s">
        <v>91</v>
      </c>
      <c r="E21" s="5"/>
      <c r="F21" s="5">
        <v>100000</v>
      </c>
      <c r="H21" s="5">
        <v>100000</v>
      </c>
    </row>
    <row r="22" spans="2:8" x14ac:dyDescent="0.25">
      <c r="B22" t="s">
        <v>97</v>
      </c>
      <c r="E22" s="5"/>
      <c r="F22" s="5">
        <v>100000</v>
      </c>
      <c r="H22" s="5">
        <v>100000</v>
      </c>
    </row>
    <row r="23" spans="2:8" x14ac:dyDescent="0.25">
      <c r="B23" t="s">
        <v>113</v>
      </c>
      <c r="E23" s="5"/>
      <c r="F23" s="5">
        <v>100000</v>
      </c>
      <c r="G23" s="5">
        <v>11000</v>
      </c>
      <c r="H23" s="5">
        <v>111000</v>
      </c>
    </row>
    <row r="24" spans="2:8" x14ac:dyDescent="0.25">
      <c r="B24" t="s">
        <v>263</v>
      </c>
      <c r="E24" s="5"/>
      <c r="F24" s="5">
        <v>200000</v>
      </c>
      <c r="H24" s="5">
        <v>200000</v>
      </c>
    </row>
    <row r="25" spans="2:8" x14ac:dyDescent="0.25">
      <c r="B25" t="s">
        <v>264</v>
      </c>
      <c r="E25" s="5"/>
      <c r="F25" s="5">
        <v>200000</v>
      </c>
      <c r="G25" s="5">
        <v>11000</v>
      </c>
      <c r="H25" s="5">
        <v>211000</v>
      </c>
    </row>
    <row r="26" spans="2:8" x14ac:dyDescent="0.25">
      <c r="B26" t="s">
        <v>265</v>
      </c>
      <c r="E26" s="5"/>
      <c r="F26" s="5">
        <v>100000</v>
      </c>
      <c r="H26" s="5">
        <v>100000</v>
      </c>
    </row>
    <row r="27" spans="2:8" x14ac:dyDescent="0.25">
      <c r="B27" t="s">
        <v>268</v>
      </c>
      <c r="G27" s="5">
        <v>11000</v>
      </c>
      <c r="H27" s="5">
        <v>11000</v>
      </c>
    </row>
    <row r="28" spans="2:8" x14ac:dyDescent="0.25">
      <c r="B28" t="s">
        <v>104</v>
      </c>
      <c r="G28" s="5">
        <v>11000</v>
      </c>
      <c r="H28" s="5">
        <v>11000</v>
      </c>
    </row>
    <row r="30" spans="2:8" x14ac:dyDescent="0.25">
      <c r="B30" t="s">
        <v>57</v>
      </c>
      <c r="F30" s="5">
        <v>1400000</v>
      </c>
      <c r="G30" s="5">
        <v>80000</v>
      </c>
      <c r="H30" s="5"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xSplit="2" ySplit="4" topLeftCell="E5" activePane="bottomRight" state="frozen"/>
      <selection activeCell="C32" sqref="C32"/>
      <selection pane="topRight" activeCell="C32" sqref="C32"/>
      <selection pane="bottomLeft" activeCell="C32" sqref="C32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2.85546875" bestFit="1" customWidth="1"/>
    <col min="5" max="5" width="15.28515625" customWidth="1"/>
    <col min="6" max="6" width="23.5703125" style="2" customWidth="1"/>
    <col min="7" max="7" width="21.85546875" bestFit="1" customWidth="1"/>
    <col min="8" max="8" width="20.7109375" customWidth="1"/>
    <col min="9" max="9" width="15" bestFit="1" customWidth="1"/>
    <col min="10" max="10" width="17.5703125" style="3" bestFit="1" customWidth="1"/>
    <col min="11" max="11" width="15.7109375" style="2" customWidth="1"/>
    <col min="12" max="14" width="12.42578125" style="2" customWidth="1"/>
    <col min="15" max="15" width="15" style="2" bestFit="1" customWidth="1"/>
    <col min="16" max="16" width="16.85546875" style="2" bestFit="1" customWidth="1"/>
    <col min="17" max="17" width="15" bestFit="1" customWidth="1"/>
    <col min="18" max="18" width="15" customWidth="1"/>
    <col min="19" max="19" width="18.140625" customWidth="1"/>
    <col min="20" max="20" width="12.5703125" bestFit="1" customWidth="1"/>
    <col min="21" max="22" width="18.140625" customWidth="1"/>
    <col min="26" max="26" width="12.42578125" bestFit="1" customWidth="1"/>
  </cols>
  <sheetData>
    <row r="1" spans="1:16" x14ac:dyDescent="0.2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2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25">
      <c r="A3" s="1" t="s">
        <v>3</v>
      </c>
      <c r="B3" s="5"/>
      <c r="C3" s="5"/>
      <c r="D3" s="5"/>
      <c r="E3" s="1"/>
      <c r="F3" s="5"/>
      <c r="G3" s="1"/>
      <c r="H3" s="1"/>
    </row>
    <row r="4" spans="1:16" ht="26.25" x14ac:dyDescent="0.4">
      <c r="B4" s="16"/>
      <c r="C4" s="16"/>
      <c r="D4" s="16"/>
      <c r="E4" s="160" t="s">
        <v>258</v>
      </c>
      <c r="F4" s="160"/>
      <c r="G4" s="160"/>
      <c r="H4" s="160"/>
      <c r="I4" s="160"/>
      <c r="J4" s="57"/>
      <c r="K4" s="57"/>
      <c r="L4" s="57"/>
      <c r="M4"/>
      <c r="N4"/>
      <c r="O4"/>
      <c r="P4"/>
    </row>
    <row r="7" spans="1:16" x14ac:dyDescent="0.25">
      <c r="B7" t="s">
        <v>259</v>
      </c>
      <c r="E7" s="5">
        <v>1480000</v>
      </c>
    </row>
    <row r="9" spans="1:16" x14ac:dyDescent="0.25">
      <c r="B9" t="s">
        <v>260</v>
      </c>
      <c r="E9" s="5">
        <v>18</v>
      </c>
    </row>
    <row r="11" spans="1:16" x14ac:dyDescent="0.25">
      <c r="B11" t="s">
        <v>261</v>
      </c>
      <c r="E11" s="5">
        <v>14</v>
      </c>
    </row>
    <row r="13" spans="1:16" x14ac:dyDescent="0.25">
      <c r="F13" s="10" t="s">
        <v>266</v>
      </c>
      <c r="G13" s="10" t="s">
        <v>267</v>
      </c>
      <c r="H13" s="10" t="s">
        <v>57</v>
      </c>
    </row>
    <row r="14" spans="1:16" x14ac:dyDescent="0.25">
      <c r="F14" s="5"/>
      <c r="G14" s="5"/>
      <c r="H14" s="5"/>
    </row>
    <row r="15" spans="1:16" x14ac:dyDescent="0.25">
      <c r="B15" t="s">
        <v>92</v>
      </c>
      <c r="E15" s="5"/>
      <c r="F15" s="5">
        <v>100000</v>
      </c>
      <c r="H15" s="5">
        <v>100000</v>
      </c>
    </row>
    <row r="16" spans="1:16" x14ac:dyDescent="0.25">
      <c r="B16" t="s">
        <v>87</v>
      </c>
      <c r="E16" s="5"/>
      <c r="F16" s="5">
        <v>100000</v>
      </c>
      <c r="H16" s="5">
        <v>100000</v>
      </c>
    </row>
    <row r="17" spans="2:8" x14ac:dyDescent="0.25">
      <c r="B17" t="s">
        <v>127</v>
      </c>
      <c r="E17" s="5"/>
      <c r="F17" s="5">
        <v>100000</v>
      </c>
      <c r="H17" s="5">
        <v>100000</v>
      </c>
    </row>
    <row r="18" spans="2:8" x14ac:dyDescent="0.25">
      <c r="B18" t="s">
        <v>262</v>
      </c>
      <c r="E18" s="5"/>
      <c r="F18" s="5">
        <v>100000</v>
      </c>
      <c r="G18" s="5">
        <v>11000</v>
      </c>
      <c r="H18" s="5">
        <v>111000</v>
      </c>
    </row>
    <row r="19" spans="2:8" x14ac:dyDescent="0.25">
      <c r="B19" t="s">
        <v>98</v>
      </c>
      <c r="E19" s="5"/>
      <c r="F19" s="5">
        <v>100000</v>
      </c>
      <c r="G19" s="5">
        <v>14000</v>
      </c>
      <c r="H19" s="5">
        <v>114000</v>
      </c>
    </row>
    <row r="20" spans="2:8" x14ac:dyDescent="0.25">
      <c r="B20" t="s">
        <v>89</v>
      </c>
      <c r="E20" s="5"/>
      <c r="F20" s="5">
        <v>100000</v>
      </c>
      <c r="G20" s="5">
        <v>11000</v>
      </c>
      <c r="H20" s="5">
        <v>111000</v>
      </c>
    </row>
    <row r="21" spans="2:8" x14ac:dyDescent="0.25">
      <c r="B21" t="s">
        <v>91</v>
      </c>
      <c r="E21" s="5"/>
      <c r="F21" s="5">
        <v>100000</v>
      </c>
      <c r="H21" s="5">
        <v>100000</v>
      </c>
    </row>
    <row r="22" spans="2:8" x14ac:dyDescent="0.25">
      <c r="B22" t="s">
        <v>97</v>
      </c>
      <c r="E22" s="5"/>
      <c r="F22" s="5">
        <v>100000</v>
      </c>
      <c r="H22" s="5">
        <v>100000</v>
      </c>
    </row>
    <row r="23" spans="2:8" x14ac:dyDescent="0.25">
      <c r="B23" t="s">
        <v>113</v>
      </c>
      <c r="E23" s="5"/>
      <c r="F23" s="5">
        <v>100000</v>
      </c>
      <c r="G23" s="5">
        <v>11000</v>
      </c>
      <c r="H23" s="5">
        <v>111000</v>
      </c>
    </row>
    <row r="24" spans="2:8" x14ac:dyDescent="0.25">
      <c r="B24" t="s">
        <v>263</v>
      </c>
      <c r="E24" s="5"/>
      <c r="F24" s="5">
        <v>200000</v>
      </c>
      <c r="H24" s="5">
        <v>200000</v>
      </c>
    </row>
    <row r="25" spans="2:8" x14ac:dyDescent="0.25">
      <c r="B25" t="s">
        <v>264</v>
      </c>
      <c r="E25" s="5"/>
      <c r="F25" s="5">
        <v>200000</v>
      </c>
      <c r="G25" s="5">
        <v>11000</v>
      </c>
      <c r="H25" s="5">
        <v>211000</v>
      </c>
    </row>
    <row r="26" spans="2:8" x14ac:dyDescent="0.25">
      <c r="B26" t="s">
        <v>265</v>
      </c>
      <c r="E26" s="5"/>
      <c r="F26" s="5">
        <v>100000</v>
      </c>
      <c r="H26" s="5">
        <v>100000</v>
      </c>
    </row>
    <row r="27" spans="2:8" x14ac:dyDescent="0.25">
      <c r="B27" t="s">
        <v>268</v>
      </c>
      <c r="G27" s="5">
        <v>11000</v>
      </c>
      <c r="H27" s="5">
        <v>11000</v>
      </c>
    </row>
    <row r="28" spans="2:8" x14ac:dyDescent="0.25">
      <c r="B28" t="s">
        <v>104</v>
      </c>
      <c r="G28" s="5">
        <v>11000</v>
      </c>
      <c r="H28" s="5">
        <v>11000</v>
      </c>
    </row>
    <row r="30" spans="2:8" x14ac:dyDescent="0.25">
      <c r="B30" t="s">
        <v>57</v>
      </c>
      <c r="F30" s="5">
        <v>1400000</v>
      </c>
      <c r="G30" s="5">
        <v>80000</v>
      </c>
      <c r="H30" s="5"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xSplit="2" ySplit="4" topLeftCell="E5" activePane="bottomRight" state="frozen"/>
      <selection activeCell="C32" sqref="C32"/>
      <selection pane="topRight" activeCell="C32" sqref="C32"/>
      <selection pane="bottomLeft" activeCell="C32" sqref="C32"/>
      <selection pane="bottomRight" sqref="A1:XFD104857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2.85546875" bestFit="1" customWidth="1"/>
    <col min="5" max="5" width="15.28515625" customWidth="1"/>
    <col min="6" max="6" width="23.5703125" style="2" customWidth="1"/>
    <col min="7" max="7" width="21.85546875" bestFit="1" customWidth="1"/>
    <col min="8" max="8" width="20.7109375" customWidth="1"/>
    <col min="9" max="9" width="15" bestFit="1" customWidth="1"/>
    <col min="10" max="10" width="17.5703125" style="3" bestFit="1" customWidth="1"/>
    <col min="11" max="11" width="15.7109375" style="2" customWidth="1"/>
    <col min="12" max="14" width="12.42578125" style="2" customWidth="1"/>
    <col min="15" max="15" width="15" style="2" bestFit="1" customWidth="1"/>
    <col min="16" max="16" width="16.85546875" style="2" bestFit="1" customWidth="1"/>
    <col min="17" max="17" width="15" bestFit="1" customWidth="1"/>
    <col min="18" max="18" width="15" customWidth="1"/>
    <col min="19" max="19" width="18.140625" customWidth="1"/>
    <col min="20" max="20" width="12.5703125" bestFit="1" customWidth="1"/>
    <col min="21" max="22" width="18.140625" customWidth="1"/>
    <col min="26" max="26" width="12.42578125" bestFit="1" customWidth="1"/>
  </cols>
  <sheetData>
    <row r="1" spans="1:16" x14ac:dyDescent="0.2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2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25">
      <c r="A3" s="1" t="s">
        <v>3</v>
      </c>
      <c r="B3" s="5"/>
      <c r="C3" s="5"/>
      <c r="D3" s="5"/>
      <c r="E3" s="1"/>
      <c r="F3" s="5"/>
      <c r="G3" s="1"/>
      <c r="H3" s="1"/>
    </row>
    <row r="4" spans="1:16" ht="26.25" x14ac:dyDescent="0.4">
      <c r="B4" s="16"/>
      <c r="C4" s="16"/>
      <c r="D4" s="16"/>
      <c r="E4" s="160" t="s">
        <v>258</v>
      </c>
      <c r="F4" s="160"/>
      <c r="G4" s="160"/>
      <c r="H4" s="160"/>
      <c r="I4" s="160"/>
      <c r="J4" s="57"/>
      <c r="K4" s="57"/>
      <c r="L4" s="57"/>
      <c r="M4"/>
      <c r="N4"/>
      <c r="O4"/>
      <c r="P4"/>
    </row>
    <row r="7" spans="1:16" x14ac:dyDescent="0.25">
      <c r="B7" t="s">
        <v>259</v>
      </c>
      <c r="E7" s="5">
        <v>1480000</v>
      </c>
    </row>
    <row r="9" spans="1:16" x14ac:dyDescent="0.25">
      <c r="B9" t="s">
        <v>260</v>
      </c>
      <c r="E9" s="5">
        <v>18</v>
      </c>
    </row>
    <row r="11" spans="1:16" x14ac:dyDescent="0.25">
      <c r="B11" t="s">
        <v>261</v>
      </c>
      <c r="E11" s="5">
        <v>14</v>
      </c>
    </row>
    <row r="13" spans="1:16" x14ac:dyDescent="0.25">
      <c r="F13" s="10" t="s">
        <v>266</v>
      </c>
      <c r="G13" s="10" t="s">
        <v>267</v>
      </c>
      <c r="H13" s="10" t="s">
        <v>57</v>
      </c>
    </row>
    <row r="14" spans="1:16" x14ac:dyDescent="0.25">
      <c r="F14" s="5"/>
      <c r="G14" s="5"/>
      <c r="H14" s="5"/>
    </row>
    <row r="15" spans="1:16" x14ac:dyDescent="0.25">
      <c r="B15" t="s">
        <v>92</v>
      </c>
      <c r="E15" s="5"/>
      <c r="F15" s="5">
        <v>100000</v>
      </c>
      <c r="H15" s="5">
        <v>100000</v>
      </c>
    </row>
    <row r="16" spans="1:16" x14ac:dyDescent="0.25">
      <c r="B16" t="s">
        <v>87</v>
      </c>
      <c r="E16" s="5"/>
      <c r="F16" s="5">
        <v>100000</v>
      </c>
      <c r="H16" s="5">
        <v>100000</v>
      </c>
    </row>
    <row r="17" spans="2:8" x14ac:dyDescent="0.25">
      <c r="B17" t="s">
        <v>127</v>
      </c>
      <c r="E17" s="5"/>
      <c r="F17" s="5">
        <v>100000</v>
      </c>
      <c r="H17" s="5">
        <v>100000</v>
      </c>
    </row>
    <row r="18" spans="2:8" x14ac:dyDescent="0.25">
      <c r="B18" t="s">
        <v>262</v>
      </c>
      <c r="E18" s="5"/>
      <c r="F18" s="5">
        <v>100000</v>
      </c>
      <c r="G18" s="5">
        <v>11000</v>
      </c>
      <c r="H18" s="5">
        <v>111000</v>
      </c>
    </row>
    <row r="19" spans="2:8" x14ac:dyDescent="0.25">
      <c r="B19" t="s">
        <v>98</v>
      </c>
      <c r="E19" s="5"/>
      <c r="F19" s="5">
        <v>100000</v>
      </c>
      <c r="G19" s="5">
        <v>14000</v>
      </c>
      <c r="H19" s="5">
        <v>114000</v>
      </c>
    </row>
    <row r="20" spans="2:8" x14ac:dyDescent="0.25">
      <c r="B20" t="s">
        <v>89</v>
      </c>
      <c r="E20" s="5"/>
      <c r="F20" s="5">
        <v>100000</v>
      </c>
      <c r="G20" s="5">
        <v>11000</v>
      </c>
      <c r="H20" s="5">
        <v>111000</v>
      </c>
    </row>
    <row r="21" spans="2:8" x14ac:dyDescent="0.25">
      <c r="B21" t="s">
        <v>91</v>
      </c>
      <c r="E21" s="5"/>
      <c r="F21" s="5">
        <v>100000</v>
      </c>
      <c r="H21" s="5">
        <v>100000</v>
      </c>
    </row>
    <row r="22" spans="2:8" x14ac:dyDescent="0.25">
      <c r="B22" t="s">
        <v>97</v>
      </c>
      <c r="E22" s="5"/>
      <c r="F22" s="5">
        <v>100000</v>
      </c>
      <c r="H22" s="5">
        <v>100000</v>
      </c>
    </row>
    <row r="23" spans="2:8" x14ac:dyDescent="0.25">
      <c r="B23" t="s">
        <v>113</v>
      </c>
      <c r="E23" s="5"/>
      <c r="F23" s="5">
        <v>100000</v>
      </c>
      <c r="G23" s="5">
        <v>11000</v>
      </c>
      <c r="H23" s="5">
        <v>111000</v>
      </c>
    </row>
    <row r="24" spans="2:8" x14ac:dyDescent="0.25">
      <c r="B24" t="s">
        <v>263</v>
      </c>
      <c r="E24" s="5"/>
      <c r="F24" s="5">
        <v>200000</v>
      </c>
      <c r="H24" s="5">
        <v>200000</v>
      </c>
    </row>
    <row r="25" spans="2:8" x14ac:dyDescent="0.25">
      <c r="B25" t="s">
        <v>264</v>
      </c>
      <c r="E25" s="5"/>
      <c r="F25" s="5">
        <v>200000</v>
      </c>
      <c r="G25" s="5">
        <v>11000</v>
      </c>
      <c r="H25" s="5">
        <v>211000</v>
      </c>
    </row>
    <row r="26" spans="2:8" x14ac:dyDescent="0.25">
      <c r="B26" t="s">
        <v>265</v>
      </c>
      <c r="E26" s="5"/>
      <c r="F26" s="5">
        <v>100000</v>
      </c>
      <c r="H26" s="5">
        <v>100000</v>
      </c>
    </row>
    <row r="27" spans="2:8" x14ac:dyDescent="0.25">
      <c r="B27" t="s">
        <v>268</v>
      </c>
      <c r="G27" s="5">
        <v>11000</v>
      </c>
      <c r="H27" s="5">
        <v>11000</v>
      </c>
    </row>
    <row r="28" spans="2:8" x14ac:dyDescent="0.25">
      <c r="B28" t="s">
        <v>104</v>
      </c>
      <c r="G28" s="5">
        <v>11000</v>
      </c>
      <c r="H28" s="5">
        <v>11000</v>
      </c>
    </row>
    <row r="30" spans="2:8" x14ac:dyDescent="0.25">
      <c r="B30" t="s">
        <v>57</v>
      </c>
      <c r="F30" s="5">
        <v>1400000</v>
      </c>
      <c r="G30" s="5">
        <v>80000</v>
      </c>
      <c r="H30" s="5"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40"/>
  <sheetViews>
    <sheetView workbookViewId="0">
      <selection activeCell="G14" sqref="G14"/>
    </sheetView>
  </sheetViews>
  <sheetFormatPr baseColWidth="10" defaultRowHeight="15" x14ac:dyDescent="0.25"/>
  <cols>
    <col min="2" max="2" width="16.140625" bestFit="1" customWidth="1"/>
    <col min="3" max="3" width="16.140625" customWidth="1"/>
    <col min="4" max="4" width="17.140625" bestFit="1" customWidth="1"/>
  </cols>
  <sheetData>
    <row r="2" spans="1:4" x14ac:dyDescent="0.25">
      <c r="B2" t="s">
        <v>158</v>
      </c>
    </row>
    <row r="4" spans="1:4" x14ac:dyDescent="0.25">
      <c r="A4" t="s">
        <v>161</v>
      </c>
      <c r="B4" t="s">
        <v>159</v>
      </c>
      <c r="C4" t="s">
        <v>314</v>
      </c>
      <c r="D4" t="s">
        <v>160</v>
      </c>
    </row>
    <row r="6" spans="1:4" x14ac:dyDescent="0.25">
      <c r="B6" s="6">
        <v>763899.37129714503</v>
      </c>
      <c r="C6" s="6">
        <v>193000</v>
      </c>
      <c r="D6" s="6"/>
    </row>
    <row r="7" spans="1:4" x14ac:dyDescent="0.25">
      <c r="A7" s="62">
        <v>43770</v>
      </c>
      <c r="B7" s="6"/>
      <c r="C7" s="6"/>
      <c r="D7" s="6">
        <v>50000</v>
      </c>
    </row>
    <row r="8" spans="1:4" x14ac:dyDescent="0.25">
      <c r="A8" s="58">
        <v>44031</v>
      </c>
      <c r="B8" s="6"/>
      <c r="C8" s="6"/>
      <c r="D8" s="6">
        <v>75000</v>
      </c>
    </row>
    <row r="9" spans="1:4" x14ac:dyDescent="0.25">
      <c r="A9" s="58">
        <v>44216</v>
      </c>
      <c r="B9" s="6"/>
      <c r="C9" s="6"/>
      <c r="D9" s="6">
        <v>35000</v>
      </c>
    </row>
    <row r="10" spans="1:4" x14ac:dyDescent="0.25">
      <c r="A10" s="58">
        <v>44275</v>
      </c>
      <c r="B10" s="6"/>
      <c r="C10" s="6"/>
      <c r="D10" s="6">
        <v>35000</v>
      </c>
    </row>
    <row r="11" spans="1:4" x14ac:dyDescent="0.25">
      <c r="A11" s="58">
        <v>44304</v>
      </c>
      <c r="B11" s="6"/>
      <c r="C11" s="6"/>
      <c r="D11" s="6">
        <v>35000</v>
      </c>
    </row>
    <row r="12" spans="1:4" x14ac:dyDescent="0.25">
      <c r="A12" s="58">
        <v>44332</v>
      </c>
      <c r="B12" s="6"/>
      <c r="C12" s="6"/>
      <c r="D12" s="6">
        <v>35000</v>
      </c>
    </row>
    <row r="13" spans="1:4" x14ac:dyDescent="0.25">
      <c r="A13" s="58">
        <v>44367</v>
      </c>
      <c r="B13" s="6"/>
      <c r="C13" s="6"/>
      <c r="D13" s="6">
        <v>35000</v>
      </c>
    </row>
    <row r="14" spans="1:4" x14ac:dyDescent="0.25">
      <c r="A14" s="58">
        <v>44397</v>
      </c>
      <c r="B14" s="6"/>
      <c r="C14" s="6"/>
      <c r="D14" s="6">
        <v>35000</v>
      </c>
    </row>
    <row r="15" spans="1:4" x14ac:dyDescent="0.25">
      <c r="A15" s="58"/>
      <c r="B15" s="6"/>
      <c r="C15" s="6"/>
      <c r="D15" s="6"/>
    </row>
    <row r="16" spans="1:4" x14ac:dyDescent="0.25">
      <c r="A16" s="58"/>
      <c r="B16" s="6"/>
      <c r="C16" s="6"/>
      <c r="D16" s="6"/>
    </row>
    <row r="17" spans="1:7" x14ac:dyDescent="0.25">
      <c r="A17" s="58"/>
      <c r="B17" s="6"/>
      <c r="C17" s="6"/>
      <c r="D17" s="6"/>
    </row>
    <row r="18" spans="1:7" x14ac:dyDescent="0.25">
      <c r="A18" s="58"/>
      <c r="B18" s="6"/>
      <c r="C18" s="6"/>
      <c r="D18" s="6"/>
    </row>
    <row r="19" spans="1:7" x14ac:dyDescent="0.25">
      <c r="B19" s="6"/>
      <c r="C19" s="6"/>
      <c r="D19" s="6"/>
    </row>
    <row r="20" spans="1:7" ht="18.75" x14ac:dyDescent="0.3">
      <c r="A20" t="s">
        <v>57</v>
      </c>
      <c r="B20" s="6"/>
      <c r="C20" s="6"/>
      <c r="D20" s="97">
        <v>335000</v>
      </c>
      <c r="E20" s="98">
        <v>428899.37129714503</v>
      </c>
      <c r="G20" t="s">
        <v>249</v>
      </c>
    </row>
    <row r="21" spans="1:7" x14ac:dyDescent="0.25">
      <c r="B21" s="6"/>
      <c r="C21" s="6"/>
      <c r="D21" s="6"/>
    </row>
    <row r="22" spans="1:7" x14ac:dyDescent="0.25">
      <c r="B22" s="6"/>
      <c r="C22" s="6"/>
      <c r="D22" s="6"/>
    </row>
    <row r="23" spans="1:7" x14ac:dyDescent="0.25">
      <c r="B23" s="6"/>
      <c r="C23" s="6"/>
      <c r="D23" s="6"/>
    </row>
    <row r="24" spans="1:7" x14ac:dyDescent="0.25">
      <c r="B24" s="6"/>
      <c r="C24" s="6"/>
      <c r="D24" s="6"/>
    </row>
    <row r="25" spans="1:7" x14ac:dyDescent="0.25">
      <c r="B25" s="6"/>
      <c r="C25" s="6"/>
      <c r="D25" s="6"/>
    </row>
    <row r="26" spans="1:7" x14ac:dyDescent="0.25">
      <c r="B26" s="6"/>
      <c r="C26" s="6"/>
      <c r="D26" s="6"/>
    </row>
    <row r="27" spans="1:7" x14ac:dyDescent="0.25">
      <c r="B27" s="6"/>
      <c r="C27" s="6"/>
      <c r="D27" s="6"/>
    </row>
    <row r="28" spans="1:7" x14ac:dyDescent="0.25">
      <c r="B28" s="6"/>
      <c r="C28" s="6"/>
      <c r="D28" s="6"/>
    </row>
    <row r="29" spans="1:7" x14ac:dyDescent="0.25">
      <c r="B29" s="6"/>
      <c r="C29" s="6"/>
      <c r="D29" s="6"/>
    </row>
    <row r="30" spans="1:7" x14ac:dyDescent="0.25">
      <c r="B30" s="6"/>
      <c r="C30" s="6"/>
      <c r="D30" s="6"/>
    </row>
    <row r="31" spans="1:7" x14ac:dyDescent="0.25">
      <c r="B31" s="6"/>
      <c r="C31" s="6"/>
      <c r="D31" s="6"/>
    </row>
    <row r="32" spans="1:7" x14ac:dyDescent="0.25">
      <c r="B32" s="6"/>
      <c r="C32" s="6"/>
      <c r="D32" s="6"/>
    </row>
    <row r="33" spans="4:4" x14ac:dyDescent="0.25">
      <c r="D33" s="6"/>
    </row>
    <row r="34" spans="4:4" x14ac:dyDescent="0.25">
      <c r="D34" s="6"/>
    </row>
    <row r="35" spans="4:4" x14ac:dyDescent="0.25">
      <c r="D35" s="6"/>
    </row>
    <row r="36" spans="4:4" x14ac:dyDescent="0.25">
      <c r="D36" s="6"/>
    </row>
    <row r="37" spans="4:4" x14ac:dyDescent="0.25">
      <c r="D37" s="6"/>
    </row>
    <row r="38" spans="4:4" x14ac:dyDescent="0.25">
      <c r="D38" s="6"/>
    </row>
    <row r="39" spans="4:4" x14ac:dyDescent="0.25">
      <c r="D39" s="6"/>
    </row>
    <row r="40" spans="4:4" x14ac:dyDescent="0.25">
      <c r="D40" s="6"/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40"/>
  <sheetViews>
    <sheetView workbookViewId="0">
      <selection activeCell="G14" sqref="G14"/>
    </sheetView>
  </sheetViews>
  <sheetFormatPr baseColWidth="10" defaultRowHeight="15" x14ac:dyDescent="0.25"/>
  <cols>
    <col min="2" max="2" width="16.140625" bestFit="1" customWidth="1"/>
    <col min="3" max="3" width="16.140625" customWidth="1"/>
    <col min="4" max="4" width="17.140625" bestFit="1" customWidth="1"/>
  </cols>
  <sheetData>
    <row r="2" spans="1:4" x14ac:dyDescent="0.25">
      <c r="B2" t="s">
        <v>158</v>
      </c>
    </row>
    <row r="4" spans="1:4" x14ac:dyDescent="0.25">
      <c r="A4" t="s">
        <v>161</v>
      </c>
      <c r="B4" t="s">
        <v>159</v>
      </c>
      <c r="C4" t="s">
        <v>314</v>
      </c>
      <c r="D4" t="s">
        <v>160</v>
      </c>
    </row>
    <row r="6" spans="1:4" x14ac:dyDescent="0.25">
      <c r="B6" s="6">
        <v>763899.37129714503</v>
      </c>
      <c r="C6" s="6">
        <v>193000</v>
      </c>
      <c r="D6" s="6"/>
    </row>
    <row r="7" spans="1:4" x14ac:dyDescent="0.25">
      <c r="A7" s="62">
        <v>43770</v>
      </c>
      <c r="B7" s="6"/>
      <c r="C7" s="6"/>
      <c r="D7" s="6">
        <v>50000</v>
      </c>
    </row>
    <row r="8" spans="1:4" x14ac:dyDescent="0.25">
      <c r="A8" s="58">
        <v>44031</v>
      </c>
      <c r="B8" s="6"/>
      <c r="C8" s="6"/>
      <c r="D8" s="6">
        <v>75000</v>
      </c>
    </row>
    <row r="9" spans="1:4" x14ac:dyDescent="0.25">
      <c r="A9" s="58">
        <v>44216</v>
      </c>
      <c r="B9" s="6"/>
      <c r="C9" s="6"/>
      <c r="D9" s="6">
        <v>35000</v>
      </c>
    </row>
    <row r="10" spans="1:4" x14ac:dyDescent="0.25">
      <c r="A10" s="58">
        <v>44275</v>
      </c>
      <c r="B10" s="6"/>
      <c r="C10" s="6"/>
      <c r="D10" s="6">
        <v>35000</v>
      </c>
    </row>
    <row r="11" spans="1:4" x14ac:dyDescent="0.25">
      <c r="A11" s="58">
        <v>44304</v>
      </c>
      <c r="B11" s="6"/>
      <c r="C11" s="6"/>
      <c r="D11" s="6">
        <v>35000</v>
      </c>
    </row>
    <row r="12" spans="1:4" x14ac:dyDescent="0.25">
      <c r="A12" s="58">
        <v>44332</v>
      </c>
      <c r="B12" s="6"/>
      <c r="C12" s="6"/>
      <c r="D12" s="6">
        <v>35000</v>
      </c>
    </row>
    <row r="13" spans="1:4" x14ac:dyDescent="0.25">
      <c r="A13" s="58">
        <v>44367</v>
      </c>
      <c r="B13" s="6"/>
      <c r="C13" s="6"/>
      <c r="D13" s="6">
        <v>35000</v>
      </c>
    </row>
    <row r="14" spans="1:4" x14ac:dyDescent="0.25">
      <c r="A14" s="58">
        <v>44397</v>
      </c>
      <c r="B14" s="6"/>
      <c r="C14" s="6"/>
      <c r="D14" s="6">
        <v>35000</v>
      </c>
    </row>
    <row r="15" spans="1:4" x14ac:dyDescent="0.25">
      <c r="A15" s="58"/>
      <c r="B15" s="6"/>
      <c r="C15" s="6"/>
      <c r="D15" s="6"/>
    </row>
    <row r="16" spans="1:4" x14ac:dyDescent="0.25">
      <c r="A16" s="58"/>
      <c r="B16" s="6"/>
      <c r="C16" s="6"/>
      <c r="D16" s="6"/>
    </row>
    <row r="17" spans="1:7" x14ac:dyDescent="0.25">
      <c r="A17" s="58"/>
      <c r="B17" s="6"/>
      <c r="C17" s="6"/>
      <c r="D17" s="6"/>
    </row>
    <row r="18" spans="1:7" x14ac:dyDescent="0.25">
      <c r="A18" s="58"/>
      <c r="B18" s="6"/>
      <c r="C18" s="6"/>
      <c r="D18" s="6"/>
    </row>
    <row r="19" spans="1:7" x14ac:dyDescent="0.25">
      <c r="B19" s="6"/>
      <c r="C19" s="6"/>
      <c r="D19" s="6"/>
    </row>
    <row r="20" spans="1:7" ht="18.75" x14ac:dyDescent="0.3">
      <c r="A20" t="s">
        <v>57</v>
      </c>
      <c r="B20" s="6"/>
      <c r="C20" s="6"/>
      <c r="D20" s="97">
        <v>335000</v>
      </c>
      <c r="E20" s="98">
        <v>428899.37129714503</v>
      </c>
      <c r="G20" t="s">
        <v>249</v>
      </c>
    </row>
    <row r="21" spans="1:7" x14ac:dyDescent="0.25">
      <c r="B21" s="6"/>
      <c r="C21" s="6"/>
      <c r="D21" s="6"/>
    </row>
    <row r="22" spans="1:7" x14ac:dyDescent="0.25">
      <c r="B22" s="6"/>
      <c r="C22" s="6"/>
      <c r="D22" s="6"/>
    </row>
    <row r="23" spans="1:7" x14ac:dyDescent="0.25">
      <c r="B23" s="6"/>
      <c r="C23" s="6"/>
      <c r="D23" s="6"/>
    </row>
    <row r="24" spans="1:7" x14ac:dyDescent="0.25">
      <c r="B24" s="6"/>
      <c r="C24" s="6"/>
      <c r="D24" s="6"/>
    </row>
    <row r="25" spans="1:7" x14ac:dyDescent="0.25">
      <c r="B25" s="6"/>
      <c r="C25" s="6"/>
      <c r="D25" s="6"/>
    </row>
    <row r="26" spans="1:7" x14ac:dyDescent="0.25">
      <c r="B26" s="6"/>
      <c r="C26" s="6"/>
      <c r="D26" s="6"/>
    </row>
    <row r="27" spans="1:7" x14ac:dyDescent="0.25">
      <c r="B27" s="6"/>
      <c r="C27" s="6"/>
      <c r="D27" s="6"/>
    </row>
    <row r="28" spans="1:7" x14ac:dyDescent="0.25">
      <c r="B28" s="6"/>
      <c r="C28" s="6"/>
      <c r="D28" s="6"/>
    </row>
    <row r="29" spans="1:7" x14ac:dyDescent="0.25">
      <c r="B29" s="6"/>
      <c r="C29" s="6"/>
      <c r="D29" s="6"/>
    </row>
    <row r="30" spans="1:7" x14ac:dyDescent="0.25">
      <c r="B30" s="6"/>
      <c r="C30" s="6"/>
      <c r="D30" s="6"/>
    </row>
    <row r="31" spans="1:7" x14ac:dyDescent="0.25">
      <c r="B31" s="6"/>
      <c r="C31" s="6"/>
      <c r="D31" s="6"/>
    </row>
    <row r="32" spans="1:7" x14ac:dyDescent="0.25">
      <c r="B32" s="6"/>
      <c r="C32" s="6"/>
      <c r="D32" s="6"/>
    </row>
    <row r="33" spans="4:4" x14ac:dyDescent="0.25">
      <c r="D33" s="6"/>
    </row>
    <row r="34" spans="4:4" x14ac:dyDescent="0.25">
      <c r="D34" s="6"/>
    </row>
    <row r="35" spans="4:4" x14ac:dyDescent="0.25">
      <c r="D35" s="6"/>
    </row>
    <row r="36" spans="4:4" x14ac:dyDescent="0.25">
      <c r="D36" s="6"/>
    </row>
    <row r="37" spans="4:4" x14ac:dyDescent="0.25">
      <c r="D37" s="6"/>
    </row>
    <row r="38" spans="4:4" x14ac:dyDescent="0.25">
      <c r="D38" s="6"/>
    </row>
    <row r="39" spans="4:4" x14ac:dyDescent="0.25">
      <c r="D39" s="6"/>
    </row>
    <row r="40" spans="4:4" x14ac:dyDescent="0.25">
      <c r="D40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