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</workbook>
</file>

<file path=xl/sharedStrings.xml><?xml version="1.0" encoding="utf-8"?>
<sst xmlns="http://schemas.openxmlformats.org/spreadsheetml/2006/main" count="2566" uniqueCount="336">
  <si>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</si>
  <si>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</si>
  <si>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</si>
  <si>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</si>
  <si>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</si>
  <si>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</si>
  <si>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</si>
  <si>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</si>
  <si>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</si>
  <si>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</si>
  <si>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</si>
  <si>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</si>
  <si>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</si>
  <si>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</si>
  <si>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</si>
  <si>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</si>
  <si>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</si>
  <si>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</si>
  <si>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</si>
  <si>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</si>
  <si>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</si>
  <si>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</si>
  <si>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</si>
  <si>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</si>
  <si>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</si>
  <si>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</si>
  <si>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</si>
  <si>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</si>
  <si>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</si>
  <si>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</si>
  <si>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</si>
  <si>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</si>
  <si>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</si>
  <si>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</si>
  <si>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</si>
  <si>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</si>
  <si>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</si>
  <si>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</si>
  <si>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</si>
  <si>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</si>
  <si>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</si>
  <si>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</si>
  <si>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</si>
  <si>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</si>
  <si>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</si>
  <si>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</si>
  <si>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</si>
  <si>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</si>
  <si>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</si>
  <si>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</si>
  <si>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</si>
  <si>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</si>
  <si>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</si>
  <si>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</si>
  <si>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</si>
  <si>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</si>
  <si>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</si>
  <si>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</si>
  <si>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</si>
  <si>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</si>
  <si>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</si>
  <si>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</si>
  <si>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</si>
  <si>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</si>
  <si>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</si>
  <si>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</si>
  <si>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</si>
  <si>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</si>
  <si>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</si>
  <si>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</si>
  <si>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</si>
  <si>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</si>
  <si>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</si>
  <si>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</si>
  <si>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</si>
  <si>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</si>
  <si>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</si>
  <si>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</si>
  <si>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</si>
  <si>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</si>
  <si>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</si>
  <si>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</si>
  <si>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</si>
  <si>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</si>
  <si>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</si>
  <si>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</si>
  <si>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</si>
  <si>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</si>
  <si>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</si>
  <si>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</si>
  <si>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</si>
  <si>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</si>
  <si>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</si>
  <si>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</si>
  <si>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</si>
  <si>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</si>
  <si>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</si>
  <si>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</si>
  <si>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</si>
  <si>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</si>
  <si>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</si>
  <si>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</si>
  <si>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</si>
  <si>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</si>
  <si>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</si>
  <si>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</si>
  <si>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</si>
  <si>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</si>
  <si>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</si>
  <si>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</si>
  <si>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</si>
  <si>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</si>
  <si>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</si>
  <si>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</si>
  <si>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</si>
  <si>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</si>
  <si>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</si>
  <si>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</si>
  <si>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</si>
  <si>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</si>
  <si>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</si>
  <si>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</si>
  <si>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</si>
  <si>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</si>
  <si>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</si>
  <si>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</si>
  <si>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</si>
  <si>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</si>
  <si>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</si>
  <si>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</si>
  <si>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</si>
  <si>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</si>
  <si>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</si>
  <si>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</si>
  <si>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</si>
  <si>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</si>
  <si>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</si>
  <si>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</si>
  <si>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</si>
  <si>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</si>
  <si>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</si>
  <si>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</si>
  <si>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</si>
  <si>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</si>
  <si>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</si>
  <si>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</si>
  <si>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</si>
  <si>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</si>
  <si>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</si>
  <si>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</si>
  <si>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</si>
  <si>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</si>
  <si>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</si>
  <si>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</si>
  <si>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</si>
  <si>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</si>
  <si>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</si>
  <si>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</si>
  <si>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</si>
  <si>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</si>
  <si>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</si>
  <si>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</si>
  <si>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</si>
  <si>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</si>
  <si>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</si>
  <si>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</si>
  <si>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</si>
  <si>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</si>
  <si>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</si>
  <si>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</si>
  <si>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</si>
  <si>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</si>
  <si>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</si>
  <si>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</si>
  <si>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</si>
  <si>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</si>
  <si>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</si>
  <si>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</si>
  <si>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</si>
  <si>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</si>
  <si>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</si>
  <si>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</si>
  <si>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</si>
  <si>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</si>
  <si>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</si>
  <si>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</si>
  <si>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</si>
  <si>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</si>
  <si>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</si>
  <si>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</si>
  <si>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</si>
  <si>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</si>
  <si>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</si>
  <si>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</si>
  <si>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</si>
  <si>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</si>
  <si>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</si>
  <si>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</si>
  <si>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</si>
  <si>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</si>
  <si>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</si>
  <si>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</si>
  <si>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</si>
  <si>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</si>
  <si>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</si>
  <si>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</si>
  <si>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</si>
  <si>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</si>
  <si>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</si>
  <si>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</si>
  <si>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</si>
  <si>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</si>
  <si>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</si>
  <si>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</si>
  <si>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</si>
  <si>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</si>
  <si>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</si>
  <si>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</si>
  <si>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</si>
  <si>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</si>
  <si>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</si>
  <si>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</si>
  <si>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</si>
  <si>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</si>
  <si>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</si>
  <si>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</si>
  <si>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</si>
  <si>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</si>
  <si>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</si>
  <si>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</si>
  <si>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</si>
  <si>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</si>
  <si>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</si>
  <si>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</si>
  <si>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</si>
  <si>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</si>
  <si>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</si>
  <si>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</si>
  <si>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</si>
  <si>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</si>
  <si>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</si>
  <si>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</si>
  <si>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</si>
  <si>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</si>
  <si>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</si>
  <si>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</si>
  <si>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</si>
  <si>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</si>
  <si>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</si>
  <si>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</si>
  <si>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</si>
  <si>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</si>
  <si>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</si>
  <si>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</si>
  <si>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</si>
  <si>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</si>
  <si>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</si>
  <si>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</si>
  <si>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</si>
  <si>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</si>
  <si>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</si>
  <si>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</si>
  <si>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</si>
  <si>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</si>
  <si>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</si>
  <si>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</si>
  <si>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</si>
  <si>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</si>
  <si>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</si>
  <si>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</si>
  <si>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</si>
  <si>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</si>
  <si>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</si>
  <si>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</si>
  <si>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</si>
  <si>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</si>
  <si>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</si>
  <si>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</si>
  <si>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</si>
  <si>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</si>
  <si>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</si>
  <si>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</si>
  <si>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</si>
  <si>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</si>
  <si>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</si>
  <si>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</si>
  <si>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</si>
  <si>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</si>
  <si>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</si>
  <si>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</si>
  <si>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</si>
  <si>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</si>
  <si>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</si>
  <si>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</si>
  <si>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</si>
  <si>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</si>
  <si>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</si>
  <si>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</si>
  <si>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</si>
  <si>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</si>
  <si>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</si>
  <si>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</si>
  <si>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</si>
  <si>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</si>
  <si>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</si>
  <si>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</si>
  <si>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</si>
  <si>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</si>
  <si>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</si>
  <si>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</si>
  <si>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</si>
  <si>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</si>
  <si>
    <t>AS201657</t>
  </si>
  <si>
    <t>AS201658</t>
  </si>
  <si>
    <t>DETTE TONTINE</t>
  </si>
  <si>
    <t>DISTRIBUTION EPARGNE 2022</t>
  </si>
  <si>
    <t>NOUBE ETIENNE</t>
  </si>
  <si>
    <t>SEUMO POLYCARPE</t>
  </si>
  <si>
    <t>YANTCHOU GERVAIS</t>
  </si>
  <si>
    <t>HODIEP JULES</t>
  </si>
  <si>
    <t>NDOMBOU JEAN CLAUDE</t>
  </si>
  <si>
    <t>SYNTHESE</t>
  </si>
  <si>
    <t>DATE REMBOURSEMENT</t>
  </si>
  <si>
    <t>INTERET A PAYER</t>
  </si>
  <si>
    <t>LIQUIDATION FONDS</t>
  </si>
  <si>
    <t>RECONDUCTION</t>
  </si>
  <si>
    <t>COMPLEMENT</t>
  </si>
  <si>
    <t>SOLDE FIN DEC 2023</t>
  </si>
  <si>
    <t>AS201660</t>
  </si>
  <si>
    <t>AS201659</t>
  </si>
  <si>
    <t>AS201661</t>
  </si>
  <si>
    <t>REPARTITION PROVISOIRE INTERET FONDS+EPARGNE</t>
  </si>
  <si>
    <t>INTERET PRET FONDS</t>
  </si>
  <si>
    <t>BASE DE CALCUL INTERET FONDS DEFINITIF</t>
  </si>
  <si>
    <t>INTERET  EXERCISE</t>
  </si>
  <si>
    <t>PRÊT DEFINITIF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</si>
</sst>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b/>
      <sz val="14"/>
      <color rgb="FFFF0000"/>
      <name val="Britannic Bold"/>
      <family val="2"/>
    </font>
    <font>
      <sz val="14"/>
      <color rgb="FF00B05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6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32" fillId="0" borderId="1" xfId="0" applyNumberFormat="1" applyFont="1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0" fillId="0" borderId="12" xfId="0" applyBorder="1"/>
    <xf numFmtId="0" fontId="1" fillId="0" borderId="13" xfId="0" applyFont="1" applyBorder="1"/>
    <xf numFmtId="3" fontId="1" fillId="0" borderId="13" xfId="0" applyNumberFormat="1" applyFont="1" applyBorder="1"/>
    <xf numFmtId="3" fontId="7" fillId="0" borderId="13" xfId="0" applyNumberFormat="1" applyFont="1" applyBorder="1"/>
    <xf numFmtId="3" fontId="1" fillId="0" borderId="14" xfId="0" applyNumberFormat="1" applyFont="1" applyBorder="1"/>
    <xf numFmtId="0" fontId="1" fillId="0" borderId="12" xfId="0" applyFont="1" applyBorder="1"/>
    <xf numFmtId="3" fontId="1" fillId="0" borderId="15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2" fillId="0" borderId="9" xfId="0" applyNumberFormat="1" applyFont="1" applyBorder="1"/>
    <xf numFmtId="3" fontId="32" fillId="0" borderId="5" xfId="0" applyNumberFormat="1" applyFon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6" fontId="16" fillId="0" borderId="0" xfId="0" applyNumberFormat="1" applyFont="1"/>
    <xf numFmtId="3" fontId="33" fillId="0" borderId="0" xfId="0" applyNumberFormat="1" applyFont="1"/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NumberFormat="1" applyBorder="1"/>
    <xf numFmtId="0" fontId="0" fillId="0" borderId="0" xfId="0" applyNumberFormat="1" applyBorder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4" fillId="0" borderId="0" xfId="0" applyNumberFormat="1" applyFont="1"/>
    <xf numFmtId="3" fontId="35" fillId="0" borderId="0" xfId="0" applyNumberFormat="1" applyFont="1"/>
    <xf numFmtId="3" fontId="36" fillId="0" borderId="0" xfId="0" applyNumberFormat="1" applyFont="1"/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3" fontId="37" fillId="0" borderId="0" xfId="0" applyNumberFormat="1" applyFont="1"/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6" fontId="8" fillId="0" borderId="0" xfId="0" applyNumberFormat="1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270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271</v>
      </c>
    </row>
    <row r="5" spans="1:1" x14ac:dyDescent="0.25">
      <c r="A5" t="s">
        <v>272</v>
      </c>
    </row>
    <row r="6" spans="1:1" x14ac:dyDescent="0.25">
      <c r="A6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7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VLOOKUP(A7,[14]TONTMAI24!$A$6:$R$39,12,0)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7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VLOOKUP(A8,[14]TONTMAI24!$A$6:$R$39,12,0)</f>
        <v>0</v>
      </c>
      <c r="Q8" s="2">
        <f>VLOOKUP(A8,[15]TONTMAI24!$A$7:$P$23,10,0)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7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VLOOKUP(A9,[14]TONTMAI24!$A$6:$R$39,12,0)</f>
        <v>0</v>
      </c>
      <c r="Q9" s="2"/>
      <c r="R9" s="2">
        <f>VLOOKUP(A9,[16]TONTMAI24!$A$7:$P$20,10,0)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7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VLOOKUP(A10,[14]TONTMAI24!$A$6:$R$39,12,0)</f>
        <v>0</v>
      </c>
      <c r="Q10" s="2">
        <f>VLOOKUP(A10,[15]TONTMAI24!$A$7:$P$23,10,0)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7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VLOOKUP(A11,[14]TONTMAI24!$A$6:$R$39,12,0)</f>
        <v>0</v>
      </c>
      <c r="Q11" s="2">
        <f>VLOOKUP(A11,[15]TONTMAI24!$A$7:$P$23,10,0)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7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VLOOKUP(A12,[14]TONTMAI24!$A$6:$R$39,12,0)</f>
        <v>0</v>
      </c>
      <c r="Q12" s="2">
        <f>VLOOKUP(A12,[15]TONTMAI24!$A$7:$P$23,10,0)</f>
        <v>0</v>
      </c>
      <c r="R12" s="2">
        <f>VLOOKUP(A12,[16]TONTMAI24!$A$7:$P$20,10,0)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7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VLOOKUP(A13,[14]TONTMAI24!$A$6:$R$39,12,0)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7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VLOOKUP(A14,[14]TONTMAI24!$A$6:$R$39,12,0)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7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VLOOKUP(A15,[14]TONTMAI24!$A$6:$R$39,12,0)</f>
        <v>0</v>
      </c>
      <c r="Q15" s="2">
        <f>VLOOKUP(A15,[15]TONTMAI24!$A$7:$P$23,10,0)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7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VLOOKUP(A16,[14]TONTMAI24!$A$6:$R$39,12,0)</f>
        <v>0</v>
      </c>
      <c r="Q16" s="2">
        <f>VLOOKUP(A16,[15]TONTMAI24!$A$7:$P$23,10,0)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7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VLOOKUP(A17,[14]TONTMAI24!$A$6:$R$39,12,0)</f>
        <v>0</v>
      </c>
      <c r="Q17" s="2"/>
      <c r="R17" s="2">
        <f>VLOOKUP(A17,[16]TONTMAI24!$A$7:$P$20,10,0)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7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VLOOKUP(A18,[14]TONTMAI24!$A$6:$R$39,12,0)</f>
        <v>0</v>
      </c>
      <c r="Q18" s="2"/>
      <c r="R18" s="2">
        <f>VLOOKUP(A18,[16]TONTMAI24!$A$7:$P$20,10,0)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7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VLOOKUP(A19,[14]TONTMAI24!$A$6:$R$39,12,0)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7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VLOOKUP(A20,[14]TONTMAI24!$A$6:$R$39,12,0)</f>
        <v>0</v>
      </c>
      <c r="Q20" s="2">
        <f>VLOOKUP(A20,[15]TONTMAI24!$A$7:$P$23,10,0)</f>
        <v>0</v>
      </c>
      <c r="R20" s="2">
        <f>VLOOKUP(A20,[16]TONTMAI24!$A$7:$P$20,10,0)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7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VLOOKUP(A21,[14]TONTMAI24!$A$6:$R$39,12,0)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7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VLOOKUP(A22,[14]TONTMAI24!$A$6:$R$39,12,0)</f>
        <v>0</v>
      </c>
      <c r="Q22" s="2">
        <f>VLOOKUP(A22,[15]TONTMAI24!$A$7:$P$23,10,0)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7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VLOOKUP(A23,[14]TONTMAI24!$A$6:$R$39,12,0)</f>
        <v>0</v>
      </c>
      <c r="Q23" s="2"/>
      <c r="R23" s="2">
        <f>VLOOKUP(A23,[16]TONTMAI24!$A$7:$P$20,10,0)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7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VLOOKUP(A24,[14]TONTMAI24!$A$6:$R$39,12,0)</f>
        <v>0</v>
      </c>
      <c r="Q24" s="2">
        <f>VLOOKUP(A24,[15]TONTMAI24!$A$7:$P$23,10,0)</f>
        <v>0</v>
      </c>
      <c r="R24" s="2">
        <f>VLOOKUP(A24,[16]TONTMAI24!$A$7:$P$20,10,0)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7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VLOOKUP(A25,[14]TONTMAI24!$A$6:$R$39,12,0)</f>
        <v>0</v>
      </c>
      <c r="Q25" s="2">
        <f>VLOOKUP(A25,[15]TONTMAI24!$A$7:$P$23,10,0)</f>
        <v>0</v>
      </c>
      <c r="R25" s="2">
        <f>VLOOKUP(A25,[16]TONTMAI24!$A$7:$P$20,10,0)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7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VLOOKUP(A26,[14]TONTMAI24!$A$6:$R$39,12,0)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7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VLOOKUP(A27,[14]TONTMAI24!$A$6:$R$39,12,0)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7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VLOOKUP(A28,[14]TONTMAI24!$A$6:$R$39,12,0)</f>
        <v>0</v>
      </c>
      <c r="Q28" s="2">
        <f>VLOOKUP(A28,[15]TONTMAI24!$A$7:$P$23,10,0)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7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VLOOKUP(A29,[14]TONTMAI24!$A$6:$R$39,12,0)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7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VLOOKUP(A30,[14]TONTMAI24!$A$6:$R$39,12,0)</f>
        <v>0</v>
      </c>
      <c r="Q30" s="2"/>
      <c r="R30" s="2">
        <f>VLOOKUP(A30,[16]TONTMAI24!$A$7:$P$20,10,0)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7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VLOOKUP(A31,[14]TONTMAI24!$A$6:$R$39,12,0)</f>
        <v>0</v>
      </c>
      <c r="Q31" s="2"/>
      <c r="R31" s="2">
        <f>VLOOKUP(A31,[16]TONTMAI24!$A$7:$P$20,10,0)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7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VLOOKUP(A32,[14]TONTMAI24!$A$6:$R$39,12,0)</f>
        <v>0</v>
      </c>
      <c r="Q32" s="2">
        <f>VLOOKUP(A32,[15]TONTMAI24!$A$7:$P$23,10,0)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7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VLOOKUP(A33,[14]TONTMAI24!$A$6:$R$39,12,0)</f>
        <v>0</v>
      </c>
      <c r="Q33" s="2"/>
      <c r="R33" s="2">
        <f>VLOOKUP(A33,[16]TONTMAI24!$A$7:$P$20,10,0)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7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VLOOKUP(A34,[14]TONTMAI24!$A$6:$R$39,12,0)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7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VLOOKUP(A35,[14]TONTMAI24!$A$6:$R$39,12,0)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7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VLOOKUP(A36,[14]TONTMAI24!$A$6:$R$39,12,0)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7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VLOOKUP(A37,[14]TONTMAI24!$A$6:$R$39,12,0)</f>
        <v>0</v>
      </c>
      <c r="Q37" s="2"/>
      <c r="R37" s="2">
        <f>VLOOKUP(A37,[16]TONTMAI24!$A$7:$P$20,10,0)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7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VLOOKUP(A38,[14]TONTMAI24!$A$6:$R$39,12,0)</f>
        <v>0</v>
      </c>
      <c r="Q38" s="2">
        <f>VLOOKUP(A38,[15]TONTMAI24!$A$7:$P$23,10,0)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7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Q38" sqref="Q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6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VLOOKUP(A7,[14]TONTJUIN24!$A$6:$R$39,12,0)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6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VLOOKUP(A8,[14]TONTJUIN24!$A$6:$R$39,12,0)</f>
        <v>0</v>
      </c>
      <c r="Q8" s="2">
        <f>VLOOKUP(A8,[15]TONTJUIN24!$A$7:$P$23,10,0)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6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VLOOKUP(A9,[14]TONTJUIN24!$A$6:$R$39,12,0)</f>
        <v>0</v>
      </c>
      <c r="Q9" s="2"/>
      <c r="R9" s="2">
        <f>VLOOKUP(A9,[16]TONTJUIN24!$A$7:$P$20,10,0)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6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VLOOKUP(A10,[14]TONTJUIN24!$A$6:$R$39,12,0)</f>
        <v>0</v>
      </c>
      <c r="Q10" s="2">
        <f>VLOOKUP(A10,[15]TONTJUIN24!$A$7:$P$23,10,0)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6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VLOOKUP(A11,[14]TONTJUIN24!$A$6:$R$39,12,0)</f>
        <v>0</v>
      </c>
      <c r="Q11" s="2">
        <f>VLOOKUP(A11,[15]TONTJUIN24!$A$7:$P$23,10,0)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6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VLOOKUP(A12,[14]TONTJUIN24!$A$6:$R$39,12,0)</f>
        <v>0</v>
      </c>
      <c r="Q12" s="2">
        <f>VLOOKUP(A12,[15]TONTJUIN24!$A$7:$P$23,10,0)</f>
        <v>0</v>
      </c>
      <c r="R12" s="2">
        <f>VLOOKUP(A12,[16]TONTJUIN24!$A$7:$P$20,10,0)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6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VLOOKUP(A13,[14]TONTJUIN24!$A$6:$R$39,12,0)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6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VLOOKUP(A14,[14]TONTJUIN24!$A$6:$R$39,12,0)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6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VLOOKUP(A15,[14]TONTJUIN24!$A$6:$R$39,12,0)</f>
        <v>0</v>
      </c>
      <c r="Q15" s="2">
        <f>VLOOKUP(A15,[15]TONTJUIN24!$A$7:$P$23,10,0)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6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VLOOKUP(A16,[14]TONTJUIN24!$A$6:$R$39,12,0)</f>
        <v>0</v>
      </c>
      <c r="Q16" s="2">
        <f>VLOOKUP(A16,[15]TONTJUIN24!$A$7:$P$23,10,0)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6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VLOOKUP(A17,[14]TONTJUIN24!$A$6:$R$39,12,0)</f>
        <v>0</v>
      </c>
      <c r="Q17" s="2"/>
      <c r="R17" s="2">
        <f>VLOOKUP(A17,[16]TONTJUIN24!$A$7:$P$20,10,0)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6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VLOOKUP(A18,[14]TONTJUIN24!$A$6:$R$39,12,0)</f>
        <v>0</v>
      </c>
      <c r="Q18" s="2"/>
      <c r="R18" s="2">
        <f>VLOOKUP(A18,[16]TONTJUIN24!$A$7:$P$20,10,0)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6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VLOOKUP(A19,[14]TONTJUIN24!$A$6:$R$39,12,0)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6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VLOOKUP(A20,[14]TONTJUIN24!$A$6:$R$39,12,0)</f>
        <v>0</v>
      </c>
      <c r="Q20" s="2">
        <f>VLOOKUP(A20,[15]TONTJUIN24!$A$7:$P$23,10,0)</f>
        <v>0</v>
      </c>
      <c r="R20" s="2">
        <f>VLOOKUP(A20,[16]TONTJUIN24!$A$7:$P$20,10,0)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6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VLOOKUP(A21,[14]TONTJUIN24!$A$6:$R$39,12,0)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6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VLOOKUP(A22,[14]TONTJUIN24!$A$6:$R$39,12,0)</f>
        <v>0</v>
      </c>
      <c r="Q22" s="2">
        <f>VLOOKUP(A22,[15]TONTJUIN24!$A$7:$P$23,10,0)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6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VLOOKUP(A23,[14]TONTJUIN24!$A$6:$R$39,12,0)</f>
        <v>0</v>
      </c>
      <c r="Q23" s="2"/>
      <c r="R23" s="2">
        <f>VLOOKUP(A23,[16]TONTJUIN24!$A$7:$P$20,10,0)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6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VLOOKUP(A24,[14]TONTJUIN24!$A$6:$R$39,12,0)</f>
        <v>0</v>
      </c>
      <c r="Q24" s="2">
        <f>VLOOKUP(A24,[15]TONTJUIN24!$A$7:$P$23,10,0)</f>
        <v>0</v>
      </c>
      <c r="R24" s="2">
        <f>VLOOKUP(A24,[16]TONTJUIN24!$A$7:$P$20,10,0)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6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VLOOKUP(A25,[14]TONTJUIN24!$A$6:$R$39,12,0)</f>
        <v>0</v>
      </c>
      <c r="Q25" s="2">
        <f>VLOOKUP(A25,[15]TONTJUIN24!$A$7:$P$23,10,0)</f>
        <v>0</v>
      </c>
      <c r="R25" s="2">
        <f>VLOOKUP(A25,[16]TONTJUIN24!$A$7:$P$20,10,0)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6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VLOOKUP(A26,[14]TONTJUIN24!$A$6:$R$39,12,0)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6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VLOOKUP(A27,[14]TONTJUIN24!$A$6:$R$39,12,0)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6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VLOOKUP(A28,[14]TONTJUIN24!$A$6:$R$39,12,0)</f>
        <v>0</v>
      </c>
      <c r="Q28" s="2">
        <f>VLOOKUP(A28,[15]TONTJUIN24!$A$7:$P$23,10,0)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6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VLOOKUP(A29,[14]TONTJUIN24!$A$6:$R$39,12,0)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6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VLOOKUP(A30,[14]TONTJUIN24!$A$6:$R$39,12,0)</f>
        <v>0</v>
      </c>
      <c r="Q30" s="2"/>
      <c r="R30" s="2">
        <f>VLOOKUP(A30,[16]TONTJUIN24!$A$7:$P$20,10,0)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6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VLOOKUP(A31,[14]TONTJUIN24!$A$6:$R$39,12,0)</f>
        <v>0</v>
      </c>
      <c r="Q31" s="2"/>
      <c r="R31" s="2">
        <f>VLOOKUP(A31,[16]TONTJUIN24!$A$7:$P$20,10,0)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6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VLOOKUP(A32,[14]TONTJUIN24!$A$6:$R$39,12,0)</f>
        <v>0</v>
      </c>
      <c r="Q32" s="2">
        <f>VLOOKUP(A32,[15]TONTJUIN24!$A$7:$P$23,10,0)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6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VLOOKUP(A33,[14]TONTJUIN24!$A$6:$R$39,12,0)</f>
        <v>0</v>
      </c>
      <c r="Q33" s="2"/>
      <c r="R33" s="2">
        <f>VLOOKUP(A33,[16]TONTJUIN24!$A$7:$P$20,10,0)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6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VLOOKUP(A34,[14]TONTJUIN24!$A$6:$R$39,12,0)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6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VLOOKUP(A35,[14]TONTJUIN24!$A$6:$R$39,12,0)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6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VLOOKUP(A36,[14]TONTJUIN24!$A$6:$R$39,12,0)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6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VLOOKUP(A37,[14]TONTJUIN24!$A$6:$R$39,12,0)</f>
        <v>0</v>
      </c>
      <c r="Q37" s="2"/>
      <c r="R37" s="2">
        <f>VLOOKUP(A37,[16]TONTJUIN24!$A$7:$P$20,10,0)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6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VLOOKUP(A38,[14]TONTJUIN24!$A$6:$R$39,12,0)</f>
        <v>0</v>
      </c>
      <c r="Q38" s="2">
        <f>VLOOKUP(A38,[15]TONTJUIN24!$A$7:$P$23,10,0)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6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N33" activePane="bottomRight" state="frozen"/>
      <selection pane="topRight" activeCell="E1" sqref="E1"/>
      <selection pane="bottomLeft" activeCell="A6" sqref="A6"/>
      <selection pane="bottomRight" activeCell="P38" sqref="P3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5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VLOOKUP(A7,[14]TONTJUIL24!$A$6:$R$39,12,0)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5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VLOOKUP(A8,[14]TONTJUIL24!$A$6:$R$39,12,0)</f>
        <v>0</v>
      </c>
      <c r="Q8" s="2">
        <f>VLOOKUP(A8,[15]TONTJUIL24!$A$7:$P$23,10,0)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5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VLOOKUP(A9,[14]TONTJUIL24!$A$6:$R$39,12,0)</f>
        <v>0</v>
      </c>
      <c r="Q9" s="2"/>
      <c r="R9" s="2">
        <f>VLOOKUP(A9,[16]TONTJUIL24!$A$7:$P$20,10,0)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5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VLOOKUP(A10,[14]TONTJUIL24!$A$6:$R$39,12,0)</f>
        <v>0</v>
      </c>
      <c r="Q10" s="2">
        <f>VLOOKUP(A10,[15]TONTJUIL24!$A$7:$P$23,10,0)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5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VLOOKUP(A11,[14]TONTJUIL24!$A$6:$R$39,12,0)</f>
        <v>0</v>
      </c>
      <c r="Q11" s="2">
        <f>VLOOKUP(A11,[15]TONTJUIL24!$A$7:$P$23,10,0)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5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VLOOKUP(A12,[14]TONTJUIL24!$A$6:$R$39,12,0)</f>
        <v>0</v>
      </c>
      <c r="Q12" s="2">
        <f>VLOOKUP(A12,[15]TONTJUIL24!$A$7:$P$23,10,0)</f>
        <v>0</v>
      </c>
      <c r="R12" s="2">
        <f>VLOOKUP(A12,[16]TONTJUIL24!$A$7:$P$20,10,0)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5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VLOOKUP(A13,[14]TONTJUIL24!$A$6:$R$39,12,0)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5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VLOOKUP(A14,[14]TONTJUIL24!$A$6:$R$39,12,0)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5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VLOOKUP(A15,[14]TONTJUIL24!$A$6:$R$39,12,0)</f>
        <v>0</v>
      </c>
      <c r="Q15" s="2">
        <f>VLOOKUP(A15,[15]TONTJUIL24!$A$7:$P$23,10,0)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5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VLOOKUP(A16,[14]TONTJUIL24!$A$6:$R$39,12,0)</f>
        <v>0</v>
      </c>
      <c r="Q16" s="2">
        <f>VLOOKUP(A16,[15]TONTJUIL24!$A$7:$P$23,10,0)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5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VLOOKUP(A17,[14]TONTJUIL24!$A$6:$R$39,12,0)</f>
        <v>0</v>
      </c>
      <c r="Q17" s="2"/>
      <c r="R17" s="2">
        <f>VLOOKUP(A17,[16]TONTJUIL24!$A$7:$P$20,10,0)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5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VLOOKUP(A18,[14]TONTJUIL24!$A$6:$R$39,12,0)</f>
        <v>0</v>
      </c>
      <c r="Q18" s="2"/>
      <c r="R18" s="2">
        <f>VLOOKUP(A18,[16]TONTJUIL24!$A$7:$P$20,10,0)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5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VLOOKUP(A19,[14]TONTJUIL24!$A$6:$R$39,12,0)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5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VLOOKUP(A20,[14]TONTJUIL24!$A$6:$R$39,12,0)</f>
        <v>0</v>
      </c>
      <c r="Q20" s="2">
        <f>VLOOKUP(A20,[15]TONTJUIL24!$A$7:$P$23,10,0)</f>
        <v>0</v>
      </c>
      <c r="R20" s="2">
        <f>VLOOKUP(A20,[16]TONTJUIL24!$A$7:$P$20,10,0)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5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VLOOKUP(A21,[14]TONTJUIL24!$A$6:$R$39,12,0)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5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VLOOKUP(A22,[14]TONTJUIL24!$A$6:$R$39,12,0)</f>
        <v>0</v>
      </c>
      <c r="Q22" s="2">
        <f>VLOOKUP(A22,[15]TONTJUIL24!$A$7:$P$23,10,0)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5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VLOOKUP(A23,[14]TONTJUIL24!$A$6:$R$39,12,0)</f>
        <v>0</v>
      </c>
      <c r="Q23" s="2"/>
      <c r="R23" s="2">
        <f>VLOOKUP(A23,[16]TONTJUIL24!$A$7:$P$20,10,0)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5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VLOOKUP(A24,[14]TONTJUIL24!$A$6:$R$39,12,0)</f>
        <v>0</v>
      </c>
      <c r="Q24" s="2">
        <f>VLOOKUP(A24,[15]TONTJUIL24!$A$7:$P$23,10,0)</f>
        <v>0</v>
      </c>
      <c r="R24" s="2">
        <f>VLOOKUP(A24,[16]TONTJUIL24!$A$7:$P$20,10,0)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5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VLOOKUP(A25,[14]TONTJUIL24!$A$6:$R$39,12,0)</f>
        <v>0</v>
      </c>
      <c r="Q25" s="2">
        <f>VLOOKUP(A25,[15]TONTJUIL24!$A$7:$P$23,10,0)</f>
        <v>0</v>
      </c>
      <c r="R25" s="2">
        <f>VLOOKUP(A25,[16]TONTJUIL24!$A$7:$P$20,10,0)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5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VLOOKUP(A26,[14]TONTJUIL24!$A$6:$R$39,12,0)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5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VLOOKUP(A27,[14]TONTJUIL24!$A$6:$R$39,12,0)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5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VLOOKUP(A28,[14]TONTJUIL24!$A$6:$R$39,12,0)</f>
        <v>0</v>
      </c>
      <c r="Q28" s="2">
        <f>VLOOKUP(A28,[15]TONTJUIL24!$A$7:$P$23,10,0)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5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VLOOKUP(A29,[14]TONTJUIL24!$A$6:$R$39,12,0)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5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VLOOKUP(A30,[14]TONTJUIL24!$A$6:$R$39,12,0)</f>
        <v>0</v>
      </c>
      <c r="Q30" s="2"/>
      <c r="R30" s="2">
        <f>VLOOKUP(A30,[16]TONTJUIL24!$A$7:$P$20,10,0)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5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VLOOKUP(A31,[14]TONTJUIL24!$A$6:$R$39,12,0)</f>
        <v>0</v>
      </c>
      <c r="Q31" s="2"/>
      <c r="R31" s="2">
        <f>VLOOKUP(A31,[16]TONTJUIL24!$A$7:$P$20,10,0)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5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VLOOKUP(A32,[14]TONTJUIL24!$A$6:$R$39,12,0)</f>
        <v>0</v>
      </c>
      <c r="Q32" s="2">
        <f>VLOOKUP(A32,[15]TONTJUIL24!$A$7:$P$23,10,0)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5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VLOOKUP(A33,[14]TONTJUIL24!$A$6:$R$39,12,0)</f>
        <v>0</v>
      </c>
      <c r="Q33" s="2"/>
      <c r="R33" s="2">
        <f>VLOOKUP(A33,[16]TONTJUIL24!$A$7:$P$20,10,0)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5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VLOOKUP(A34,[14]TONTJUIL24!$A$6:$R$39,12,0)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5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VLOOKUP(A35,[14]TONTJUIL24!$A$6:$R$39,12,0)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5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VLOOKUP(A36,[14]TONTJUIL24!$A$6:$R$39,12,0)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5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VLOOKUP(A37,[14]TONTJUIL24!$A$6:$R$39,12,0)</f>
        <v>0</v>
      </c>
      <c r="Q37" s="2"/>
      <c r="R37" s="2">
        <f>VLOOKUP(A37,[16]TONTJUIL24!$A$7:$P$20,10,0)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5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VLOOKUP(A38,[14]TONTJUIL24!$A$6:$R$39,12,0)</f>
        <v>0</v>
      </c>
      <c r="Q38" s="2">
        <f>VLOOKUP(A38,[15]TONTJUIL24!$A$7:$P$23,10,0)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5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5"/>
  <sheetViews>
    <sheetView zoomScaleNormal="100" workbookViewId="0">
      <pane xSplit="4" ySplit="5" topLeftCell="O36" activePane="bottomRight" state="frozen"/>
      <selection pane="topRight" activeCell="E1" sqref="E1"/>
      <selection pane="bottomLeft" activeCell="A6" sqref="A6"/>
      <selection pane="bottomRight" activeCell="R37" sqref="R37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3" max="23" width="12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5" bestFit="1" customWidth="1"/>
    <col min="46" max="46" width="12.42578125" bestFit="1" customWidth="1"/>
    <col min="49" max="51" width="15" customWidth="1"/>
    <col min="52" max="52" width="16.85546875" bestFit="1" customWidth="1"/>
    <col min="53" max="53" width="12.85546875" bestFit="1" customWidth="1"/>
    <col min="54" max="55" width="12.42578125" customWidth="1"/>
    <col min="56" max="56" width="16.85546875" bestFit="1" customWidth="1"/>
    <col min="57" max="57" width="17.140625" customWidth="1"/>
    <col min="58" max="58" width="15" bestFit="1" customWidth="1"/>
    <col min="63" max="64" width="12.42578125" bestFit="1" customWidth="1"/>
    <col min="65" max="65" width="14.85546875" customWidth="1"/>
    <col min="66" max="66" width="20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2024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198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201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199</v>
      </c>
      <c r="AJ5" s="4" t="s">
        <v>53</v>
      </c>
      <c r="AK5" s="4" t="s">
        <v>54</v>
      </c>
      <c r="AL5" s="4" t="s">
        <v>200</v>
      </c>
      <c r="AM5" s="4" t="s">
        <v>55</v>
      </c>
      <c r="AN5" s="4" t="s">
        <v>56</v>
      </c>
      <c r="AO5" s="4" t="s">
        <v>57</v>
      </c>
      <c r="AP5" s="4" t="s">
        <v>205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202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VLOOKUP(A6,[11]LISTADHERENT!A$5:H$50,3,0)</f>
        <v>ASELBY</v>
      </c>
      <c r="C6" s="5">
        <f>D6+E6+F6-U6-BB6</f>
        <v>0</v>
      </c>
      <c r="D6" s="9">
        <f>VLOOKUP(A6,[12]HISTOBQUEAVRIL24!$A$6:$G$46,3,0)</f>
        <v>0</v>
      </c>
      <c r="E6" s="9">
        <f>VLOOKUP(A6,[12]HISTOBQUEAVRIL24!$A$6:$G$41,4,0)</f>
        <v>0</v>
      </c>
      <c r="F6" s="9">
        <f>VLOOKUP(A6,[12]HISTOBQUEAVRIL24!$A$6:$G$41,5,0)</f>
        <v>0</v>
      </c>
      <c r="G6" s="5">
        <f>IF(H6="ESPECES",3000,0)</f>
        <v>0</v>
      </c>
      <c r="H6" s="10" t="str">
        <f t="shared" ref="H6:H38" si="0">IF($D6&lt;&gt;0,"BANQUE",IF($E6&lt;&gt;0,"ESPECES","ECHEC"))</f>
        <v>ECHEC</v>
      </c>
      <c r="I6" s="10"/>
      <c r="J6" s="11"/>
      <c r="K6" s="11">
        <f>IF($D6&lt;&gt;0,J6*50000,IF($E6&lt;&gt;0,J6*50000,0))</f>
        <v>0</v>
      </c>
      <c r="L6" s="6">
        <v>1</v>
      </c>
      <c r="M6" s="11">
        <f t="shared" ref="M6:M38" si="1">IF($D6&lt;&gt;0,L6*75000,IF($E6&lt;&gt;0,L6*75000,0))</f>
        <v>0</v>
      </c>
      <c r="N6" s="6">
        <v>1</v>
      </c>
      <c r="O6" s="11">
        <f t="shared" ref="O6:O38" si="2">IF($D6&lt;&gt;0,N6*100000,IF($E6&lt;&gt;0,N6*100000,0))</f>
        <v>0</v>
      </c>
      <c r="P6" s="2"/>
      <c r="Q6" s="2"/>
      <c r="R6" s="2"/>
      <c r="S6" s="20"/>
      <c r="T6" s="12"/>
      <c r="U6" s="17">
        <f>G6+S6++R6+P6+O6+M6+I6+K6+Q6+V6+W6</f>
        <v>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8" si="3">IF(H6="ECHEC",((K6+M6+O6)*20/100),0)</f>
        <v>0</v>
      </c>
      <c r="AR6" s="8">
        <f t="shared" ref="AR6:AR38" si="4">IF(H6="ECHEC",((K6+M6+O6)*20/100),0)</f>
        <v>0</v>
      </c>
      <c r="AS6" s="13"/>
      <c r="AT6" s="15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0</v>
      </c>
      <c r="BA6" s="58"/>
      <c r="BB6" s="58"/>
      <c r="BC6" s="15"/>
      <c r="BD6" s="57">
        <f>IF(AZ6=0,(AZ6-BA6-BC6),(AZ6-BA6-BB6-BC6))</f>
        <v>0</v>
      </c>
      <c r="BE6" s="82"/>
      <c r="BF6" s="29">
        <f t="shared" ref="BF6:BF38" si="5">Z6*1/100*BG6</f>
        <v>0</v>
      </c>
      <c r="BG6" s="29">
        <v>4</v>
      </c>
      <c r="BH6" s="15">
        <f>BP16</f>
        <v>0</v>
      </c>
      <c r="BI6" s="15">
        <f>BP28</f>
        <v>0</v>
      </c>
      <c r="BJ6" s="15">
        <f>BP33</f>
        <v>0</v>
      </c>
      <c r="BK6" s="15">
        <f>+BP40</f>
        <v>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VLOOKUP(A7,[11]LISTADHERENT!A$5:H$50,3,0)</f>
        <v>BAKOP ACHILLE</v>
      </c>
      <c r="C7" s="14">
        <f t="shared" ref="C7:C38" si="6">D7+E7+F7-U7-BB7</f>
        <v>0</v>
      </c>
      <c r="D7" s="9">
        <f>VLOOKUP(A7,[12]HISTOBQUEAVRIL24!$A$6:$G$46,3,0)</f>
        <v>0</v>
      </c>
      <c r="E7" s="9">
        <f>VLOOKUP(A7,[12]HISTOBQUEAVRIL24!$A$6:$G$41,4,0)</f>
        <v>0</v>
      </c>
      <c r="F7" s="9">
        <f>VLOOKUP(A7,[12]HISTOBQUEAVRIL24!$A$6:$G$41,5,0)</f>
        <v>0</v>
      </c>
      <c r="G7" s="5">
        <f t="shared" ref="G7:G38" si="7">IF(H7="ESPECES",3000,0)</f>
        <v>0</v>
      </c>
      <c r="H7" s="10" t="str">
        <f t="shared" si="0"/>
        <v>ECHEC</v>
      </c>
      <c r="I7" s="10"/>
      <c r="J7" s="11">
        <v>1</v>
      </c>
      <c r="K7" s="11">
        <f t="shared" ref="K7:K38" si="8">IF($D7&lt;&gt;0,J7*50000,IF($E7&lt;&gt;0,J7*50000,0))</f>
        <v>0</v>
      </c>
      <c r="L7" s="6"/>
      <c r="M7" s="11">
        <f t="shared" si="1"/>
        <v>0</v>
      </c>
      <c r="N7" s="6"/>
      <c r="O7" s="11">
        <f t="shared" si="2"/>
        <v>0</v>
      </c>
      <c r="P7" s="2">
        <f>VLOOKUP(A7,[14]TONTAOUT24!$A$6:$R$39,12,0)</f>
        <v>0</v>
      </c>
      <c r="Q7" s="2"/>
      <c r="R7" s="2"/>
      <c r="S7" s="20"/>
      <c r="T7" s="12"/>
      <c r="U7" s="17">
        <f t="shared" ref="U7:U38" si="9">G7+S7++R7+P7+O7+M7+I7+K7+Q7+V7+W7</f>
        <v>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3"/>
        <v>0</v>
      </c>
      <c r="AR7" s="8">
        <f t="shared" si="4"/>
        <v>0</v>
      </c>
      <c r="AS7" s="13">
        <f t="shared" ref="AS7:AS38" si="10">IF(H7="ECHEC",0,(K7+I7-25000))</f>
        <v>0</v>
      </c>
      <c r="AT7" s="15"/>
      <c r="AV7" s="15"/>
      <c r="AW7" s="15">
        <f t="shared" ref="AW7:AW38" si="11">IF(AC7=0,AI7,(1*25000*12)+AI7-AC7)</f>
        <v>0</v>
      </c>
      <c r="AX7" s="15">
        <f t="shared" ref="AX7:AX38" si="12">IF(AD7=0,AJ7,(1*75000*12)+(AJ7)-AD7)</f>
        <v>0</v>
      </c>
      <c r="AY7" s="15">
        <f t="shared" ref="AY7:AY38" si="13">IF(AE7=0,AK7,(1*100000*12)+(AK7)-AE7)</f>
        <v>0</v>
      </c>
      <c r="AZ7" s="16">
        <f t="shared" ref="AZ7:AZ38" si="14">SUM(AV7:AY7)-BF7+Z7-F7+BH7+BI7+BJ7+BK7+BL7+BM7</f>
        <v>0</v>
      </c>
      <c r="BA7" s="58"/>
      <c r="BB7" s="58"/>
      <c r="BC7" s="15"/>
      <c r="BD7" s="57">
        <f t="shared" ref="BD7:BD38" si="15">IF(AZ7=0,(AZ7-BA7-BC7),(AZ7-BA7-BB7-BC7))</f>
        <v>0</v>
      </c>
      <c r="BE7" s="82"/>
      <c r="BF7" s="29">
        <f t="shared" si="5"/>
        <v>0</v>
      </c>
      <c r="BG7" s="29">
        <v>4</v>
      </c>
      <c r="BH7" s="15"/>
      <c r="BI7" s="15"/>
      <c r="BJ7" s="15"/>
      <c r="BK7" s="15"/>
      <c r="BL7" s="15"/>
      <c r="BM7" s="15"/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VLOOKUP(A8,[11]LISTADHERENT!A$5:H$50,3,0)</f>
        <v>BOUTCHOUANG WILLIAM</v>
      </c>
      <c r="C8" s="14">
        <f t="shared" si="6"/>
        <v>0</v>
      </c>
      <c r="D8" s="9">
        <f>VLOOKUP(A8,[12]HISTOBQUEAVRIL24!$A$6:$G$46,3,0)</f>
        <v>0</v>
      </c>
      <c r="E8" s="9">
        <f>VLOOKUP(A8,[12]HISTOBQUEAVRIL24!$A$6:$G$41,4,0)</f>
        <v>0</v>
      </c>
      <c r="F8" s="9">
        <f>VLOOKUP(A8,[12]HISTOBQUEAVRIL24!$A$6:$G$41,5,0)</f>
        <v>0</v>
      </c>
      <c r="G8" s="5">
        <f t="shared" si="7"/>
        <v>0</v>
      </c>
      <c r="H8" s="10" t="str">
        <f t="shared" si="0"/>
        <v>ECHEC</v>
      </c>
      <c r="I8" s="10"/>
      <c r="J8" s="11">
        <v>1</v>
      </c>
      <c r="K8" s="11">
        <f t="shared" si="8"/>
        <v>0</v>
      </c>
      <c r="L8" s="6">
        <v>1</v>
      </c>
      <c r="M8" s="11">
        <f t="shared" si="1"/>
        <v>0</v>
      </c>
      <c r="N8" s="6"/>
      <c r="O8" s="11">
        <f t="shared" si="2"/>
        <v>0</v>
      </c>
      <c r="P8" s="2">
        <f>VLOOKUP(A8,[14]TONTAOUT24!$A$6:$R$39,12,0)</f>
        <v>0</v>
      </c>
      <c r="Q8" s="2">
        <f>VLOOKUP(A8,[15]TONTAOUT24!$A$7:$P$23,10,0)</f>
        <v>0</v>
      </c>
      <c r="R8" s="2"/>
      <c r="S8" s="20"/>
      <c r="T8" s="12"/>
      <c r="U8" s="17">
        <f t="shared" si="9"/>
        <v>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3"/>
        <v>0</v>
      </c>
      <c r="AR8" s="8">
        <f t="shared" si="4"/>
        <v>0</v>
      </c>
      <c r="AS8" s="13">
        <f t="shared" si="10"/>
        <v>0</v>
      </c>
      <c r="AT8" s="15"/>
      <c r="AV8" s="15"/>
      <c r="AW8" s="15">
        <f t="shared" si="11"/>
        <v>0</v>
      </c>
      <c r="AX8" s="15">
        <f t="shared" si="12"/>
        <v>0</v>
      </c>
      <c r="AY8" s="15">
        <f t="shared" si="13"/>
        <v>0</v>
      </c>
      <c r="AZ8" s="16">
        <f t="shared" si="14"/>
        <v>0</v>
      </c>
      <c r="BA8" s="58"/>
      <c r="BB8" s="58"/>
      <c r="BC8" s="15"/>
      <c r="BD8" s="57">
        <f t="shared" si="15"/>
        <v>0</v>
      </c>
      <c r="BE8" s="82"/>
      <c r="BF8" s="29">
        <f t="shared" si="5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VLOOKUP(A9,[11]LISTADHERENT!A$5:H$50,3,0)</f>
        <v xml:space="preserve">DJOMO JEAN PAUL </v>
      </c>
      <c r="C9" s="5">
        <f t="shared" si="6"/>
        <v>0</v>
      </c>
      <c r="D9" s="9">
        <f>VLOOKUP(A9,[12]HISTOBQUEAVRIL24!$A$6:$G$46,3,0)</f>
        <v>0</v>
      </c>
      <c r="E9" s="9">
        <f>VLOOKUP(A9,[12]HISTOBQUEAVRIL24!$A$6:$G$41,4,0)</f>
        <v>0</v>
      </c>
      <c r="F9" s="9">
        <f>VLOOKUP(A9,[12]HISTOBQUEAVRIL24!$A$6:$G$41,5,0)</f>
        <v>0</v>
      </c>
      <c r="G9" s="5">
        <f t="shared" si="7"/>
        <v>0</v>
      </c>
      <c r="H9" s="10" t="str">
        <f t="shared" si="0"/>
        <v>ECHEC</v>
      </c>
      <c r="I9" s="10"/>
      <c r="J9" s="11">
        <v>1</v>
      </c>
      <c r="K9" s="11">
        <f t="shared" si="8"/>
        <v>0</v>
      </c>
      <c r="L9" s="6"/>
      <c r="M9" s="11">
        <f t="shared" si="1"/>
        <v>0</v>
      </c>
      <c r="N9" s="6">
        <v>2</v>
      </c>
      <c r="O9" s="11">
        <f t="shared" si="2"/>
        <v>0</v>
      </c>
      <c r="P9" s="2">
        <f>VLOOKUP(A9,[14]TONTAOUT24!$A$6:$R$39,12,0)</f>
        <v>0</v>
      </c>
      <c r="Q9" s="2"/>
      <c r="R9" s="2">
        <f>VLOOKUP(A9,[16]TONTAOUT24!$A$7:$P$20,10,0)</f>
        <v>0</v>
      </c>
      <c r="S9" s="20"/>
      <c r="T9" s="12"/>
      <c r="U9" s="17">
        <f t="shared" si="9"/>
        <v>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8">
        <f t="shared" si="3"/>
        <v>0</v>
      </c>
      <c r="AR9" s="8">
        <f t="shared" si="4"/>
        <v>0</v>
      </c>
      <c r="AS9" s="13">
        <f t="shared" si="10"/>
        <v>0</v>
      </c>
      <c r="AT9" s="15"/>
      <c r="AV9" s="15"/>
      <c r="AW9" s="15">
        <f t="shared" si="11"/>
        <v>0</v>
      </c>
      <c r="AX9" s="15">
        <f t="shared" si="12"/>
        <v>0</v>
      </c>
      <c r="AY9" s="15">
        <f t="shared" si="13"/>
        <v>0</v>
      </c>
      <c r="AZ9" s="16">
        <f t="shared" si="14"/>
        <v>0</v>
      </c>
      <c r="BA9" s="58"/>
      <c r="BB9" s="58"/>
      <c r="BC9" s="15"/>
      <c r="BD9" s="57">
        <f t="shared" si="15"/>
        <v>0</v>
      </c>
      <c r="BE9" s="82"/>
      <c r="BF9" s="29">
        <f t="shared" si="5"/>
        <v>0</v>
      </c>
      <c r="BG9" s="29">
        <v>4</v>
      </c>
      <c r="BH9" s="15"/>
      <c r="BI9" s="15"/>
      <c r="BJ9" s="15"/>
      <c r="BK9" s="15"/>
      <c r="BL9" s="61"/>
      <c r="BN9" t="s">
        <v>196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VLOOKUP(A10,[11]LISTADHERENT!A$5:H$50,3,0)</f>
        <v>DJOMOU TCHAPDA</v>
      </c>
      <c r="C10" s="5">
        <f t="shared" si="6"/>
        <v>0</v>
      </c>
      <c r="D10" s="9">
        <f>VLOOKUP(A10,[12]HISTOBQUEAVRIL24!$A$6:$G$46,3,0)</f>
        <v>0</v>
      </c>
      <c r="E10" s="9">
        <f>VLOOKUP(A10,[12]HISTOBQUEAVRIL24!$A$6:$G$41,4,0)</f>
        <v>0</v>
      </c>
      <c r="F10" s="9">
        <f>VLOOKUP(A10,[12]HISTOBQUEAVRIL24!$A$6:$G$41,5,0)</f>
        <v>0</v>
      </c>
      <c r="G10" s="5">
        <f t="shared" si="7"/>
        <v>0</v>
      </c>
      <c r="H10" s="10" t="str">
        <f t="shared" si="0"/>
        <v>ECHEC</v>
      </c>
      <c r="I10" s="10"/>
      <c r="J10" s="11">
        <v>1</v>
      </c>
      <c r="K10" s="11">
        <f t="shared" si="8"/>
        <v>0</v>
      </c>
      <c r="L10" s="6">
        <v>1</v>
      </c>
      <c r="M10" s="11">
        <f t="shared" si="1"/>
        <v>0</v>
      </c>
      <c r="N10" s="6"/>
      <c r="O10" s="11">
        <f t="shared" si="2"/>
        <v>0</v>
      </c>
      <c r="P10" s="2">
        <f>VLOOKUP(A10,[14]TONTAOUT24!$A$6:$R$39,12,0)</f>
        <v>0</v>
      </c>
      <c r="Q10" s="2">
        <f>VLOOKUP(A10,[15]TONTAOUT24!$A$7:$P$23,10,0)</f>
        <v>0</v>
      </c>
      <c r="R10" s="2"/>
      <c r="S10" s="20"/>
      <c r="T10" s="12"/>
      <c r="U10" s="17">
        <f t="shared" si="9"/>
        <v>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3"/>
        <v>0</v>
      </c>
      <c r="AR10" s="8">
        <f t="shared" si="4"/>
        <v>0</v>
      </c>
      <c r="AS10" s="13">
        <f t="shared" si="10"/>
        <v>0</v>
      </c>
      <c r="AT10" s="15"/>
      <c r="AV10" s="15"/>
      <c r="AW10" s="15">
        <f t="shared" si="11"/>
        <v>0</v>
      </c>
      <c r="AX10" s="15">
        <f t="shared" si="12"/>
        <v>0</v>
      </c>
      <c r="AY10" s="15">
        <f t="shared" si="13"/>
        <v>0</v>
      </c>
      <c r="AZ10" s="16">
        <f t="shared" si="14"/>
        <v>0</v>
      </c>
      <c r="BA10" s="58"/>
      <c r="BB10" s="58"/>
      <c r="BC10" s="15"/>
      <c r="BD10" s="57">
        <f t="shared" si="15"/>
        <v>0</v>
      </c>
      <c r="BE10" s="82"/>
      <c r="BF10" s="29">
        <f t="shared" si="5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VLOOKUP(A11,[11]LISTADHERENT!A$5:H$50,3,0)</f>
        <v>DJOUKWE NANGUEN GUY BLAISE</v>
      </c>
      <c r="C11" s="5">
        <f t="shared" si="6"/>
        <v>0</v>
      </c>
      <c r="D11" s="9">
        <f>VLOOKUP(A11,[12]HISTOBQUEAVRIL24!$A$6:$G$46,3,0)</f>
        <v>0</v>
      </c>
      <c r="E11" s="9">
        <f>VLOOKUP(A11,[12]HISTOBQUEAVRIL24!$A$6:$G$41,4,0)</f>
        <v>0</v>
      </c>
      <c r="F11" s="9">
        <f>VLOOKUP(A11,[12]HISTOBQUEAVRIL24!$A$6:$G$41,5,0)</f>
        <v>0</v>
      </c>
      <c r="G11" s="5">
        <f t="shared" si="7"/>
        <v>0</v>
      </c>
      <c r="H11" s="10" t="str">
        <f t="shared" si="0"/>
        <v>ECHEC</v>
      </c>
      <c r="I11" s="10"/>
      <c r="J11" s="11">
        <v>1</v>
      </c>
      <c r="K11" s="11">
        <f t="shared" si="8"/>
        <v>0</v>
      </c>
      <c r="L11" s="6">
        <v>1</v>
      </c>
      <c r="M11" s="11">
        <f t="shared" si="1"/>
        <v>0</v>
      </c>
      <c r="N11" s="6"/>
      <c r="O11" s="11">
        <f t="shared" si="2"/>
        <v>0</v>
      </c>
      <c r="P11" s="2">
        <f>VLOOKUP(A11,[14]TONTAOUT24!$A$6:$R$39,12,0)</f>
        <v>0</v>
      </c>
      <c r="Q11" s="2">
        <f>VLOOKUP(A11,[15]TONTAOUT24!$A$7:$P$23,10,0)</f>
        <v>0</v>
      </c>
      <c r="R11" s="2"/>
      <c r="S11" s="20"/>
      <c r="T11" s="12"/>
      <c r="U11" s="17">
        <f t="shared" si="9"/>
        <v>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8">
        <f t="shared" si="3"/>
        <v>0</v>
      </c>
      <c r="AR11" s="8">
        <f t="shared" si="4"/>
        <v>0</v>
      </c>
      <c r="AS11" s="13">
        <f t="shared" si="10"/>
        <v>0</v>
      </c>
      <c r="AT11" s="15"/>
      <c r="AV11" s="15"/>
      <c r="AW11" s="15">
        <f t="shared" si="11"/>
        <v>0</v>
      </c>
      <c r="AX11" s="15">
        <f t="shared" si="12"/>
        <v>0</v>
      </c>
      <c r="AY11" s="15">
        <f t="shared" si="13"/>
        <v>0</v>
      </c>
      <c r="AZ11" s="16">
        <f t="shared" si="14"/>
        <v>0</v>
      </c>
      <c r="BA11" s="58"/>
      <c r="BB11" s="58"/>
      <c r="BC11" s="15"/>
      <c r="BD11" s="57">
        <f t="shared" si="15"/>
        <v>0</v>
      </c>
      <c r="BE11" s="82"/>
      <c r="BF11" s="29">
        <f t="shared" si="5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VLOOKUP(A12,[11]LISTADHERENT!A$5:H$50,3,0)</f>
        <v>DJUOMBESSY ANTOINE</v>
      </c>
      <c r="C12" s="5">
        <f t="shared" si="6"/>
        <v>0</v>
      </c>
      <c r="D12" s="9">
        <f>VLOOKUP(A12,[12]HISTOBQUEAVRIL24!$A$6:$G$46,3,0)</f>
        <v>0</v>
      </c>
      <c r="E12" s="9">
        <f>VLOOKUP(A12,[12]HISTOBQUEAVRIL24!$A$6:$G$41,4,0)</f>
        <v>0</v>
      </c>
      <c r="F12" s="9">
        <f>VLOOKUP(A12,[12]HISTOBQUEAVRIL24!$A$6:$G$41,5,0)</f>
        <v>0</v>
      </c>
      <c r="G12" s="5">
        <f t="shared" si="7"/>
        <v>0</v>
      </c>
      <c r="H12" s="10" t="str">
        <f t="shared" si="0"/>
        <v>ECHEC</v>
      </c>
      <c r="I12" s="10"/>
      <c r="J12" s="11">
        <v>1</v>
      </c>
      <c r="K12" s="11">
        <f t="shared" si="8"/>
        <v>0</v>
      </c>
      <c r="L12" s="6">
        <v>1</v>
      </c>
      <c r="M12" s="11">
        <f t="shared" si="1"/>
        <v>0</v>
      </c>
      <c r="N12" s="6">
        <v>2</v>
      </c>
      <c r="O12" s="11">
        <f t="shared" si="2"/>
        <v>0</v>
      </c>
      <c r="P12" s="2">
        <f>VLOOKUP(A12,[14]TONTAOUT24!$A$6:$R$39,12,0)</f>
        <v>0</v>
      </c>
      <c r="Q12" s="2">
        <f>VLOOKUP(A12,[15]TONTAOUT24!$A$7:$P$23,10,0)</f>
        <v>0</v>
      </c>
      <c r="R12" s="2">
        <f>VLOOKUP(A12,[16]TONTAOUT24!$A$7:$P$20,10,0)</f>
        <v>0</v>
      </c>
      <c r="S12" s="20"/>
      <c r="T12" s="12"/>
      <c r="U12" s="17">
        <f t="shared" si="9"/>
        <v>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3"/>
        <v>0</v>
      </c>
      <c r="AR12" s="8">
        <f t="shared" si="4"/>
        <v>0</v>
      </c>
      <c r="AS12" s="13">
        <f t="shared" si="10"/>
        <v>0</v>
      </c>
      <c r="AT12" s="15"/>
      <c r="AV12" s="15"/>
      <c r="AW12" s="15">
        <f t="shared" si="11"/>
        <v>0</v>
      </c>
      <c r="AX12" s="15">
        <f t="shared" si="12"/>
        <v>0</v>
      </c>
      <c r="AY12" s="15">
        <f t="shared" si="13"/>
        <v>0</v>
      </c>
      <c r="AZ12" s="16">
        <f t="shared" si="14"/>
        <v>0</v>
      </c>
      <c r="BA12" s="58"/>
      <c r="BB12" s="58"/>
      <c r="BC12" s="15"/>
      <c r="BD12" s="57">
        <f t="shared" si="15"/>
        <v>0</v>
      </c>
      <c r="BE12" s="82"/>
      <c r="BF12" s="29">
        <f t="shared" si="5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VLOOKUP(A13,[11]LISTADHERENT!A$5:H$50,3,0)</f>
        <v>DOMOU FABIEN</v>
      </c>
      <c r="C13" s="5">
        <f t="shared" si="6"/>
        <v>0</v>
      </c>
      <c r="D13" s="9">
        <f>VLOOKUP(A13,[12]HISTOBQUEAVRIL24!$A$6:$G$46,3,0)</f>
        <v>0</v>
      </c>
      <c r="E13" s="9">
        <f>VLOOKUP(A13,[12]HISTOBQUEAVRIL24!$A$6:$G$41,4,0)</f>
        <v>0</v>
      </c>
      <c r="F13" s="9">
        <f>VLOOKUP(A13,[12]HISTOBQUEAVRIL24!$A$6:$G$41,5,0)</f>
        <v>0</v>
      </c>
      <c r="G13" s="5">
        <f t="shared" si="7"/>
        <v>0</v>
      </c>
      <c r="H13" s="10" t="str">
        <f t="shared" si="0"/>
        <v>ECHEC</v>
      </c>
      <c r="I13" s="10"/>
      <c r="J13" s="11">
        <v>1</v>
      </c>
      <c r="K13" s="11">
        <f t="shared" si="8"/>
        <v>0</v>
      </c>
      <c r="L13" s="6"/>
      <c r="M13" s="11">
        <f t="shared" si="1"/>
        <v>0</v>
      </c>
      <c r="N13" s="6"/>
      <c r="O13" s="11">
        <f t="shared" si="2"/>
        <v>0</v>
      </c>
      <c r="P13" s="2">
        <f>VLOOKUP(A13,[14]TONTAOUT24!$A$6:$R$39,12,0)</f>
        <v>0</v>
      </c>
      <c r="Q13" s="2"/>
      <c r="R13" s="2"/>
      <c r="S13" s="20"/>
      <c r="T13" s="12"/>
      <c r="U13" s="17">
        <f t="shared" si="9"/>
        <v>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3"/>
        <v>0</v>
      </c>
      <c r="AR13" s="8">
        <f t="shared" si="4"/>
        <v>0</v>
      </c>
      <c r="AS13" s="13">
        <f t="shared" si="10"/>
        <v>0</v>
      </c>
      <c r="AT13" s="15"/>
      <c r="AV13" s="15"/>
      <c r="AW13" s="15">
        <f t="shared" si="11"/>
        <v>0</v>
      </c>
      <c r="AX13" s="15">
        <f t="shared" si="12"/>
        <v>0</v>
      </c>
      <c r="AY13" s="15">
        <f t="shared" si="13"/>
        <v>0</v>
      </c>
      <c r="AZ13" s="16">
        <f t="shared" si="14"/>
        <v>0</v>
      </c>
      <c r="BA13" s="58"/>
      <c r="BB13" s="58"/>
      <c r="BC13" s="15"/>
      <c r="BD13" s="57">
        <f t="shared" si="15"/>
        <v>0</v>
      </c>
      <c r="BE13" s="82"/>
      <c r="BF13" s="29">
        <f t="shared" si="5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/>
    </row>
    <row r="14" spans="1:68" ht="18.75" x14ac:dyDescent="0.3">
      <c r="A14" s="1" t="s">
        <v>18</v>
      </c>
      <c r="B14" s="1" t="str">
        <f>VLOOKUP(A14,[11]LISTADHERENT!A$5:H$50,3,0)</f>
        <v>DONHOU DAVID</v>
      </c>
      <c r="C14" s="5">
        <f t="shared" si="6"/>
        <v>0</v>
      </c>
      <c r="D14" s="9">
        <f>VLOOKUP(A14,[12]HISTOBQUEAVRIL24!$A$6:$G$46,3,0)</f>
        <v>0</v>
      </c>
      <c r="E14" s="9">
        <f>VLOOKUP(A14,[12]HISTOBQUEAVRIL24!$A$6:$G$41,4,0)</f>
        <v>0</v>
      </c>
      <c r="F14" s="9">
        <f>VLOOKUP(A14,[12]HISTOBQUEAVRIL24!$A$6:$G$41,5,0)</f>
        <v>0</v>
      </c>
      <c r="G14" s="5">
        <f t="shared" si="7"/>
        <v>0</v>
      </c>
      <c r="H14" s="10" t="str">
        <f t="shared" si="0"/>
        <v>ECHEC</v>
      </c>
      <c r="I14" s="10"/>
      <c r="J14" s="11">
        <v>1</v>
      </c>
      <c r="K14" s="11">
        <f t="shared" si="8"/>
        <v>0</v>
      </c>
      <c r="L14" s="6"/>
      <c r="M14" s="11">
        <f t="shared" si="1"/>
        <v>0</v>
      </c>
      <c r="N14" s="6"/>
      <c r="O14" s="11">
        <f t="shared" si="2"/>
        <v>0</v>
      </c>
      <c r="P14" s="2">
        <f>VLOOKUP(A14,[14]TONTAOUT24!$A$6:$R$39,12,0)</f>
        <v>0</v>
      </c>
      <c r="Q14" s="2"/>
      <c r="R14" s="2"/>
      <c r="S14" s="20"/>
      <c r="T14" s="12"/>
      <c r="U14" s="17">
        <f t="shared" si="9"/>
        <v>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3"/>
        <v>0</v>
      </c>
      <c r="AR14" s="8">
        <f t="shared" si="4"/>
        <v>0</v>
      </c>
      <c r="AS14" s="13">
        <f t="shared" si="10"/>
        <v>0</v>
      </c>
      <c r="AT14" s="15"/>
      <c r="AV14" s="15"/>
      <c r="AW14" s="15">
        <f t="shared" si="11"/>
        <v>0</v>
      </c>
      <c r="AX14" s="15">
        <f t="shared" si="12"/>
        <v>0</v>
      </c>
      <c r="AY14" s="15">
        <f t="shared" si="13"/>
        <v>0</v>
      </c>
      <c r="AZ14" s="16">
        <f t="shared" si="14"/>
        <v>0</v>
      </c>
      <c r="BA14" s="58"/>
      <c r="BB14" s="58"/>
      <c r="BC14" s="15"/>
      <c r="BD14" s="57">
        <f t="shared" si="15"/>
        <v>0</v>
      </c>
      <c r="BE14" s="82"/>
      <c r="BF14" s="29">
        <f t="shared" si="5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VLOOKUP(A15,[11]LISTADHERENT!A$5:H$50,3,0)</f>
        <v>HENGUE PAUL OMER</v>
      </c>
      <c r="C15" s="5">
        <f t="shared" si="6"/>
        <v>0</v>
      </c>
      <c r="D15" s="9">
        <f>VLOOKUP(A15,[12]HISTOBQUEAVRIL24!$A$6:$G$46,3,0)</f>
        <v>0</v>
      </c>
      <c r="E15" s="9">
        <f>VLOOKUP(A15,[12]HISTOBQUEAVRIL24!$A$6:$G$41,4,0)</f>
        <v>0</v>
      </c>
      <c r="F15" s="9">
        <f>VLOOKUP(A15,[12]HISTOBQUEAVRIL24!$A$6:$G$41,5,0)</f>
        <v>0</v>
      </c>
      <c r="G15" s="5">
        <f t="shared" si="7"/>
        <v>0</v>
      </c>
      <c r="H15" s="10" t="str">
        <f t="shared" si="0"/>
        <v>ECHEC</v>
      </c>
      <c r="I15" s="10"/>
      <c r="J15" s="11">
        <v>1</v>
      </c>
      <c r="K15" s="11">
        <f t="shared" si="8"/>
        <v>0</v>
      </c>
      <c r="L15" s="6">
        <v>1</v>
      </c>
      <c r="M15" s="11">
        <f t="shared" si="1"/>
        <v>0</v>
      </c>
      <c r="N15" s="6"/>
      <c r="O15" s="11">
        <f t="shared" si="2"/>
        <v>0</v>
      </c>
      <c r="P15" s="2">
        <f>VLOOKUP(A15,[14]TONTAOUT24!$A$6:$R$39,12,0)</f>
        <v>0</v>
      </c>
      <c r="Q15" s="2">
        <f>VLOOKUP(A15,[15]TONTAOUT24!$A$7:$P$23,10,0)</f>
        <v>0</v>
      </c>
      <c r="R15" s="2"/>
      <c r="S15" s="20"/>
      <c r="T15" s="12"/>
      <c r="U15" s="17">
        <f t="shared" si="9"/>
        <v>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3"/>
        <v>0</v>
      </c>
      <c r="AR15" s="8">
        <f t="shared" si="4"/>
        <v>0</v>
      </c>
      <c r="AS15" s="13">
        <f t="shared" si="10"/>
        <v>0</v>
      </c>
      <c r="AT15" s="15"/>
      <c r="AV15" s="15"/>
      <c r="AW15" s="15">
        <f t="shared" si="11"/>
        <v>0</v>
      </c>
      <c r="AX15" s="15">
        <f t="shared" si="12"/>
        <v>0</v>
      </c>
      <c r="AY15" s="15">
        <f t="shared" si="13"/>
        <v>0</v>
      </c>
      <c r="AZ15" s="16">
        <f t="shared" si="14"/>
        <v>0</v>
      </c>
      <c r="BA15" s="58"/>
      <c r="BB15" s="58"/>
      <c r="BC15" s="15"/>
      <c r="BD15" s="57">
        <f t="shared" si="15"/>
        <v>0</v>
      </c>
      <c r="BE15" s="82"/>
      <c r="BF15" s="29">
        <f t="shared" si="5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VLOOKUP(A16,[11]LISTADHERENT!A$5:H$50,3,0)</f>
        <v>HOTCHO BENJAMIN</v>
      </c>
      <c r="C16" s="5">
        <f t="shared" si="6"/>
        <v>0</v>
      </c>
      <c r="D16" s="9">
        <f>VLOOKUP(A16,[12]HISTOBQUEAVRIL24!$A$6:$G$46,3,0)</f>
        <v>0</v>
      </c>
      <c r="E16" s="9">
        <f>VLOOKUP(A16,[12]HISTOBQUEAVRIL24!$A$6:$G$41,4,0)</f>
        <v>0</v>
      </c>
      <c r="F16" s="9">
        <f>VLOOKUP(A16,[12]HISTOBQUEAVRIL24!$A$6:$G$41,5,0)</f>
        <v>0</v>
      </c>
      <c r="G16" s="5">
        <f t="shared" si="7"/>
        <v>0</v>
      </c>
      <c r="H16" s="10" t="str">
        <f t="shared" si="0"/>
        <v>ECHEC</v>
      </c>
      <c r="I16" s="10"/>
      <c r="J16" s="11">
        <v>1</v>
      </c>
      <c r="K16" s="11">
        <f t="shared" si="8"/>
        <v>0</v>
      </c>
      <c r="L16" s="6">
        <v>1</v>
      </c>
      <c r="M16" s="11">
        <f t="shared" si="1"/>
        <v>0</v>
      </c>
      <c r="N16" s="6">
        <v>1</v>
      </c>
      <c r="O16" s="11">
        <f t="shared" si="2"/>
        <v>0</v>
      </c>
      <c r="P16" s="2">
        <f>VLOOKUP(A16,[14]TONTAOUT24!$A$6:$R$39,12,0)</f>
        <v>0</v>
      </c>
      <c r="Q16" s="2">
        <f>VLOOKUP(A16,[15]TONTAOUT24!$A$7:$P$23,10,0)</f>
        <v>0</v>
      </c>
      <c r="R16" s="2">
        <f>VLOOKUP(A16,[16]TONTFEV24!$A$7:$P$20,10,0)</f>
        <v>0</v>
      </c>
      <c r="S16" s="20"/>
      <c r="T16" s="12"/>
      <c r="U16" s="17">
        <f t="shared" si="9"/>
        <v>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3"/>
        <v>0</v>
      </c>
      <c r="AR16" s="8">
        <f t="shared" si="4"/>
        <v>0</v>
      </c>
      <c r="AS16" s="13">
        <f t="shared" si="10"/>
        <v>0</v>
      </c>
      <c r="AT16" s="15"/>
      <c r="AV16" s="15"/>
      <c r="AW16" s="15">
        <f t="shared" si="11"/>
        <v>0</v>
      </c>
      <c r="AX16" s="15">
        <f t="shared" si="12"/>
        <v>0</v>
      </c>
      <c r="AY16" s="15">
        <f t="shared" si="13"/>
        <v>0</v>
      </c>
      <c r="AZ16" s="16">
        <f t="shared" si="14"/>
        <v>0</v>
      </c>
      <c r="BA16" s="58"/>
      <c r="BB16" s="58"/>
      <c r="BC16" s="15"/>
      <c r="BD16" s="57">
        <f t="shared" si="15"/>
        <v>0</v>
      </c>
      <c r="BE16" s="82"/>
      <c r="BF16" s="29">
        <f t="shared" si="5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0</v>
      </c>
    </row>
    <row r="17" spans="1:68" ht="18.75" x14ac:dyDescent="0.3">
      <c r="A17" s="1" t="s">
        <v>22</v>
      </c>
      <c r="B17" s="1" t="str">
        <f>VLOOKUP(A17,[11]LISTADHERENT!A$5:H$50,3,0)</f>
        <v>KOUAMOU MOISE</v>
      </c>
      <c r="C17" s="5">
        <f t="shared" si="6"/>
        <v>0</v>
      </c>
      <c r="D17" s="9">
        <f>VLOOKUP(A17,[12]HISTOBQUEAVRIL24!$A$6:$G$46,3,0)</f>
        <v>0</v>
      </c>
      <c r="E17" s="9">
        <f>VLOOKUP(A17,[12]HISTOBQUEAVRIL24!$A$6:$G$41,4,0)</f>
        <v>0</v>
      </c>
      <c r="F17" s="9">
        <f>VLOOKUP(A17,[12]HISTOBQUEAVRIL24!$A$6:$G$41,5,0)</f>
        <v>0</v>
      </c>
      <c r="G17" s="5">
        <f t="shared" si="7"/>
        <v>0</v>
      </c>
      <c r="H17" s="10" t="str">
        <f t="shared" si="0"/>
        <v>ECHEC</v>
      </c>
      <c r="I17" s="10"/>
      <c r="J17" s="11">
        <v>1</v>
      </c>
      <c r="K17" s="11">
        <f t="shared" si="8"/>
        <v>0</v>
      </c>
      <c r="L17" s="6"/>
      <c r="M17" s="11">
        <f t="shared" si="1"/>
        <v>0</v>
      </c>
      <c r="N17" s="6">
        <v>1</v>
      </c>
      <c r="O17" s="11">
        <f t="shared" si="2"/>
        <v>0</v>
      </c>
      <c r="P17" s="2">
        <f>VLOOKUP(A17,[14]TONTAOUT24!$A$6:$R$39,12,0)</f>
        <v>0</v>
      </c>
      <c r="Q17" s="2"/>
      <c r="R17" s="2">
        <f>VLOOKUP(A17,[16]TONTAOUT24!$A$7:$P$20,10,0)</f>
        <v>0</v>
      </c>
      <c r="S17" s="20"/>
      <c r="T17" s="12"/>
      <c r="U17" s="17">
        <f t="shared" si="9"/>
        <v>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3"/>
        <v>0</v>
      </c>
      <c r="AR17" s="8">
        <f t="shared" si="4"/>
        <v>0</v>
      </c>
      <c r="AS17" s="13">
        <f t="shared" si="10"/>
        <v>0</v>
      </c>
      <c r="AT17" s="15"/>
      <c r="AV17" s="15"/>
      <c r="AW17" s="15">
        <f t="shared" si="11"/>
        <v>0</v>
      </c>
      <c r="AX17" s="15">
        <f t="shared" si="12"/>
        <v>0</v>
      </c>
      <c r="AY17" s="15">
        <f t="shared" si="13"/>
        <v>0</v>
      </c>
      <c r="AZ17" s="16">
        <f t="shared" si="14"/>
        <v>0</v>
      </c>
      <c r="BA17" s="58"/>
      <c r="BB17" s="58"/>
      <c r="BC17" s="15"/>
      <c r="BD17" s="57">
        <f t="shared" si="15"/>
        <v>0</v>
      </c>
      <c r="BE17" s="82"/>
      <c r="BF17" s="29">
        <f t="shared" si="5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VLOOKUP(A18,[11]LISTADHERENT!A$5:H$50,3,0)</f>
        <v>KOUATCHO MESSACK</v>
      </c>
      <c r="C18" s="5">
        <f t="shared" si="6"/>
        <v>0</v>
      </c>
      <c r="D18" s="9">
        <f>VLOOKUP(A18,[12]HISTOBQUEAVRIL24!$A$6:$G$46,3,0)</f>
        <v>0</v>
      </c>
      <c r="E18" s="9">
        <f>VLOOKUP(A18,[12]HISTOBQUEAVRIL24!$A$6:$G$41,4,0)</f>
        <v>0</v>
      </c>
      <c r="F18" s="9">
        <f>VLOOKUP(A18,[12]HISTOBQUEAVRIL24!$A$6:$G$41,5,0)</f>
        <v>0</v>
      </c>
      <c r="G18" s="5">
        <f t="shared" si="7"/>
        <v>0</v>
      </c>
      <c r="H18" s="10" t="str">
        <f t="shared" si="0"/>
        <v>ECHEC</v>
      </c>
      <c r="I18" s="10"/>
      <c r="J18" s="11">
        <v>1</v>
      </c>
      <c r="K18" s="11">
        <f t="shared" si="8"/>
        <v>0</v>
      </c>
      <c r="L18" s="6"/>
      <c r="M18" s="11">
        <f t="shared" si="1"/>
        <v>0</v>
      </c>
      <c r="N18" s="6">
        <v>1</v>
      </c>
      <c r="O18" s="11">
        <f t="shared" si="2"/>
        <v>0</v>
      </c>
      <c r="P18" s="2">
        <f>VLOOKUP(A18,[14]TONTAOUT24!$A$6:$R$39,12,0)</f>
        <v>0</v>
      </c>
      <c r="Q18" s="2"/>
      <c r="R18" s="2">
        <f>VLOOKUP(A18,[16]TONTAOUT24!$A$7:$P$20,10,0)</f>
        <v>0</v>
      </c>
      <c r="S18" s="20"/>
      <c r="T18" s="12"/>
      <c r="U18" s="17">
        <f t="shared" si="9"/>
        <v>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3"/>
        <v>0</v>
      </c>
      <c r="AR18" s="8">
        <f t="shared" si="4"/>
        <v>0</v>
      </c>
      <c r="AS18" s="13">
        <f t="shared" si="10"/>
        <v>0</v>
      </c>
      <c r="AT18" s="15"/>
      <c r="AV18" s="15"/>
      <c r="AW18" s="15">
        <f t="shared" si="11"/>
        <v>0</v>
      </c>
      <c r="AX18" s="15">
        <f t="shared" si="12"/>
        <v>0</v>
      </c>
      <c r="AY18" s="15">
        <f t="shared" si="13"/>
        <v>0</v>
      </c>
      <c r="AZ18" s="16">
        <f t="shared" si="14"/>
        <v>0</v>
      </c>
      <c r="BA18" s="58"/>
      <c r="BB18" s="58"/>
      <c r="BC18" s="15"/>
      <c r="BD18" s="57">
        <f t="shared" si="15"/>
        <v>0</v>
      </c>
      <c r="BE18" s="82"/>
      <c r="BF18" s="29">
        <f t="shared" si="5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195</v>
      </c>
      <c r="B19" s="1" t="str">
        <f>VLOOKUP(A19,[11]LISTADHERENT!A$5:H$50,3,0)</f>
        <v>MASSEUNGOUE DAGOBERT</v>
      </c>
      <c r="C19" s="5">
        <f t="shared" si="6"/>
        <v>0</v>
      </c>
      <c r="D19" s="9">
        <f>VLOOKUP(A19,[12]HISTOBQUEAVRIL24!$A$6:$G$46,3,0)</f>
        <v>0</v>
      </c>
      <c r="E19" s="9">
        <f>VLOOKUP(A19,[12]HISTOBQUEAVRIL24!$A$6:$G$41,4,0)</f>
        <v>0</v>
      </c>
      <c r="F19" s="9">
        <f>VLOOKUP(A19,[12]HISTOBQUEAVRIL24!$A$6:$G$41,5,0)</f>
        <v>0</v>
      </c>
      <c r="G19" s="5">
        <f t="shared" si="7"/>
        <v>0</v>
      </c>
      <c r="H19" s="10" t="str">
        <f t="shared" si="0"/>
        <v>ECHEC</v>
      </c>
      <c r="I19" s="10"/>
      <c r="J19" s="11">
        <v>1</v>
      </c>
      <c r="K19" s="11">
        <f t="shared" si="8"/>
        <v>0</v>
      </c>
      <c r="L19" s="6"/>
      <c r="M19" s="11">
        <f t="shared" si="1"/>
        <v>0</v>
      </c>
      <c r="N19" s="6"/>
      <c r="O19" s="11">
        <f t="shared" si="2"/>
        <v>0</v>
      </c>
      <c r="P19" s="2">
        <f>VLOOKUP(A19,[14]TONTAOUT24!$A$6:$R$39,12,0)</f>
        <v>0</v>
      </c>
      <c r="Q19" s="2"/>
      <c r="R19" s="2"/>
      <c r="S19" s="20"/>
      <c r="T19" s="12"/>
      <c r="U19" s="17">
        <f>G19+S19++R19+P19+O19+M19+I19+K19+Q19+V19+W19</f>
        <v>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3"/>
        <v>0</v>
      </c>
      <c r="AR19" s="8">
        <f t="shared" si="4"/>
        <v>0</v>
      </c>
      <c r="AS19" s="13">
        <f t="shared" si="10"/>
        <v>0</v>
      </c>
      <c r="AT19" s="15"/>
      <c r="AV19" s="15"/>
      <c r="AW19" s="15">
        <f t="shared" si="11"/>
        <v>0</v>
      </c>
      <c r="AX19" s="15">
        <f t="shared" si="12"/>
        <v>0</v>
      </c>
      <c r="AY19" s="15">
        <f t="shared" si="13"/>
        <v>0</v>
      </c>
      <c r="AZ19" s="16">
        <f t="shared" si="14"/>
        <v>0</v>
      </c>
      <c r="BA19" s="58"/>
      <c r="BB19" s="58"/>
      <c r="BC19" s="15"/>
      <c r="BD19" s="57">
        <f t="shared" si="15"/>
        <v>0</v>
      </c>
      <c r="BE19" s="82"/>
      <c r="BF19" s="29">
        <f t="shared" si="5"/>
        <v>0</v>
      </c>
      <c r="BG19" s="29">
        <v>4</v>
      </c>
      <c r="BH19" s="15"/>
      <c r="BI19" s="15"/>
      <c r="BJ19" s="15"/>
      <c r="BK19" s="15"/>
      <c r="BL19" s="61"/>
      <c r="BP19" s="6"/>
    </row>
    <row r="20" spans="1:68" ht="18.75" x14ac:dyDescent="0.3">
      <c r="A20" s="1" t="s">
        <v>25</v>
      </c>
      <c r="B20" s="1" t="str">
        <f>VLOOKUP(A20,[11]LISTADHERENT!A$5:H$50,3,0)</f>
        <v>MBOGNING TUGMA GUY</v>
      </c>
      <c r="C20" s="5">
        <f t="shared" si="6"/>
        <v>0</v>
      </c>
      <c r="D20" s="9">
        <f>VLOOKUP(A20,[12]HISTOBQUEAVRIL24!$A$6:$G$46,3,0)</f>
        <v>0</v>
      </c>
      <c r="E20" s="9">
        <f>VLOOKUP(A20,[12]HISTOBQUEAVRIL24!$A$6:$G$41,4,0)</f>
        <v>0</v>
      </c>
      <c r="F20" s="9">
        <f>VLOOKUP(A20,[12]HISTOBQUEAVRIL24!$A$6:$G$41,5,0)</f>
        <v>0</v>
      </c>
      <c r="G20" s="5">
        <f t="shared" si="7"/>
        <v>0</v>
      </c>
      <c r="H20" s="10" t="str">
        <f t="shared" si="0"/>
        <v>ECHEC</v>
      </c>
      <c r="I20" s="10"/>
      <c r="J20" s="11">
        <v>1</v>
      </c>
      <c r="K20" s="11">
        <f t="shared" si="8"/>
        <v>0</v>
      </c>
      <c r="L20" s="6">
        <v>1</v>
      </c>
      <c r="M20" s="11">
        <f t="shared" si="1"/>
        <v>0</v>
      </c>
      <c r="N20" s="6">
        <v>1</v>
      </c>
      <c r="O20" s="11">
        <f t="shared" si="2"/>
        <v>0</v>
      </c>
      <c r="P20" s="2">
        <f>VLOOKUP(A20,[14]TONTAOUT24!$A$6:$R$39,12,0)</f>
        <v>0</v>
      </c>
      <c r="Q20" s="2">
        <f>VLOOKUP(A20,[15]TONTAOUT24!$A$7:$P$23,10,0)</f>
        <v>0</v>
      </c>
      <c r="R20" s="2">
        <f>VLOOKUP(A20,[16]TONTAOUT24!$A$7:$P$20,10,0)</f>
        <v>0</v>
      </c>
      <c r="S20" s="20"/>
      <c r="T20" s="12"/>
      <c r="U20" s="17">
        <f t="shared" si="9"/>
        <v>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8">
        <f t="shared" si="3"/>
        <v>0</v>
      </c>
      <c r="AR20" s="8">
        <f t="shared" si="4"/>
        <v>0</v>
      </c>
      <c r="AS20" s="13">
        <f t="shared" si="10"/>
        <v>0</v>
      </c>
      <c r="AT20" s="15"/>
      <c r="AV20" s="15"/>
      <c r="AW20" s="15">
        <f t="shared" si="11"/>
        <v>0</v>
      </c>
      <c r="AX20" s="15">
        <f t="shared" si="12"/>
        <v>0</v>
      </c>
      <c r="AY20" s="15">
        <f t="shared" si="13"/>
        <v>0</v>
      </c>
      <c r="AZ20" s="16">
        <f t="shared" si="14"/>
        <v>0</v>
      </c>
      <c r="BA20" s="58"/>
      <c r="BB20" s="58"/>
      <c r="BC20" s="15"/>
      <c r="BD20" s="57">
        <f t="shared" si="15"/>
        <v>0</v>
      </c>
      <c r="BE20" s="82"/>
      <c r="BF20" s="29">
        <f t="shared" si="5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VLOOKUP(A21,[11]LISTADHERENT!A$5:H$50,3,0)</f>
        <v>NANGUEN MARTIN</v>
      </c>
      <c r="C21" s="5">
        <f t="shared" si="6"/>
        <v>0</v>
      </c>
      <c r="D21" s="9">
        <f>VLOOKUP(A21,[12]HISTOBQUEAVRIL24!$A$6:$G$46,3,0)</f>
        <v>0</v>
      </c>
      <c r="E21" s="9">
        <f>VLOOKUP(A21,[12]HISTOBQUEAVRIL24!$A$6:$G$41,4,0)</f>
        <v>0</v>
      </c>
      <c r="F21" s="9">
        <f>VLOOKUP(A21,[12]HISTOBQUEAVRIL24!$A$6:$G$41,5,0)</f>
        <v>0</v>
      </c>
      <c r="G21" s="5">
        <f t="shared" si="7"/>
        <v>0</v>
      </c>
      <c r="H21" s="10" t="str">
        <f t="shared" si="0"/>
        <v>ECHEC</v>
      </c>
      <c r="I21" s="10"/>
      <c r="J21" s="11">
        <v>1</v>
      </c>
      <c r="K21" s="11">
        <f t="shared" si="8"/>
        <v>0</v>
      </c>
      <c r="L21" s="6"/>
      <c r="M21" s="11">
        <f t="shared" si="1"/>
        <v>0</v>
      </c>
      <c r="N21" s="6"/>
      <c r="O21" s="11">
        <f t="shared" si="2"/>
        <v>0</v>
      </c>
      <c r="P21" s="2">
        <f>VLOOKUP(A21,[14]TONTAOUT24!$A$6:$R$39,12,0)</f>
        <v>0</v>
      </c>
      <c r="Q21" s="2"/>
      <c r="R21" s="2"/>
      <c r="S21" s="20"/>
      <c r="T21" s="12"/>
      <c r="U21" s="17">
        <f t="shared" si="9"/>
        <v>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3"/>
        <v>0</v>
      </c>
      <c r="AR21" s="8">
        <f t="shared" si="4"/>
        <v>0</v>
      </c>
      <c r="AS21" s="13">
        <f t="shared" si="10"/>
        <v>0</v>
      </c>
      <c r="AT21" s="15"/>
      <c r="AV21" s="15"/>
      <c r="AW21" s="15">
        <f t="shared" si="11"/>
        <v>0</v>
      </c>
      <c r="AX21" s="15">
        <f t="shared" si="12"/>
        <v>0</v>
      </c>
      <c r="AY21" s="15">
        <f t="shared" si="13"/>
        <v>0</v>
      </c>
      <c r="AZ21" s="16">
        <f t="shared" si="14"/>
        <v>0</v>
      </c>
      <c r="BA21" s="58"/>
      <c r="BB21" s="58"/>
      <c r="BC21" s="15"/>
      <c r="BD21" s="57">
        <f t="shared" si="15"/>
        <v>0</v>
      </c>
      <c r="BE21" s="82"/>
      <c r="BF21" s="29">
        <f t="shared" si="5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VLOOKUP(A22,[11]LISTADHERENT!A$5:H$50,3,0)</f>
        <v>NANKAM APPOLINAIRE</v>
      </c>
      <c r="C22" s="5">
        <f t="shared" si="6"/>
        <v>0</v>
      </c>
      <c r="D22" s="9">
        <f>VLOOKUP(A22,[12]HISTOBQUEAVRIL24!$A$6:$G$46,3,0)</f>
        <v>0</v>
      </c>
      <c r="E22" s="9">
        <f>VLOOKUP(A22,[12]HISTOBQUEAVRIL24!$A$6:$G$41,4,0)</f>
        <v>0</v>
      </c>
      <c r="F22" s="9">
        <f>VLOOKUP(A22,[12]HISTOBQUEAVRIL24!$A$6:$G$41,5,0)</f>
        <v>0</v>
      </c>
      <c r="G22" s="5">
        <f t="shared" si="7"/>
        <v>0</v>
      </c>
      <c r="H22" s="10" t="str">
        <f t="shared" si="0"/>
        <v>ECHEC</v>
      </c>
      <c r="I22" s="10"/>
      <c r="J22" s="11">
        <v>1</v>
      </c>
      <c r="K22" s="11">
        <f t="shared" si="8"/>
        <v>0</v>
      </c>
      <c r="L22" s="6">
        <v>1</v>
      </c>
      <c r="M22" s="11">
        <f t="shared" si="1"/>
        <v>0</v>
      </c>
      <c r="N22" s="6"/>
      <c r="O22" s="11">
        <f t="shared" si="2"/>
        <v>0</v>
      </c>
      <c r="P22" s="2">
        <f>VLOOKUP(A22,[14]TONTAOUT24!$A$6:$R$39,12,0)</f>
        <v>0</v>
      </c>
      <c r="Q22" s="2">
        <f>VLOOKUP(A22,[15]TONTAOUT24!$A$7:$P$23,10,0)</f>
        <v>0</v>
      </c>
      <c r="R22" s="2"/>
      <c r="S22" s="20"/>
      <c r="T22" s="12"/>
      <c r="U22" s="17">
        <f t="shared" si="9"/>
        <v>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3"/>
        <v>0</v>
      </c>
      <c r="AR22" s="8">
        <f t="shared" si="4"/>
        <v>0</v>
      </c>
      <c r="AS22" s="13">
        <f t="shared" si="10"/>
        <v>0</v>
      </c>
      <c r="AT22" s="15"/>
      <c r="AV22" s="15"/>
      <c r="AW22" s="15">
        <f t="shared" si="11"/>
        <v>0</v>
      </c>
      <c r="AX22" s="15">
        <f t="shared" si="12"/>
        <v>0</v>
      </c>
      <c r="AY22" s="15">
        <f t="shared" si="13"/>
        <v>0</v>
      </c>
      <c r="AZ22" s="16">
        <f t="shared" si="14"/>
        <v>0</v>
      </c>
      <c r="BA22" s="58"/>
      <c r="BB22" s="58"/>
      <c r="BC22" s="15"/>
      <c r="BD22" s="57">
        <f t="shared" si="15"/>
        <v>0</v>
      </c>
      <c r="BE22" s="82"/>
      <c r="BF22" s="29">
        <f t="shared" si="5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VLOOKUP(A23,[11]LISTADHERENT!A$5:H$50,3,0)</f>
        <v>NDJOMO ETIENNE</v>
      </c>
      <c r="C23" s="5">
        <f t="shared" si="6"/>
        <v>0</v>
      </c>
      <c r="D23" s="9">
        <f>VLOOKUP(A23,[12]HISTOBQUEAVRIL24!$A$6:$G$46,3,0)</f>
        <v>0</v>
      </c>
      <c r="E23" s="9">
        <f>VLOOKUP(A23,[12]HISTOBQUEAVRIL24!$A$6:$G$41,4,0)</f>
        <v>0</v>
      </c>
      <c r="F23" s="9">
        <f>VLOOKUP(A23,[12]HISTOBQUEAVRIL24!$A$6:$G$41,5,0)</f>
        <v>0</v>
      </c>
      <c r="G23" s="5">
        <f t="shared" si="7"/>
        <v>0</v>
      </c>
      <c r="H23" s="10" t="str">
        <f t="shared" si="0"/>
        <v>ECHEC</v>
      </c>
      <c r="I23" s="10"/>
      <c r="J23" s="11">
        <v>1</v>
      </c>
      <c r="K23" s="11">
        <f t="shared" si="8"/>
        <v>0</v>
      </c>
      <c r="L23" s="6"/>
      <c r="M23" s="11">
        <f t="shared" si="1"/>
        <v>0</v>
      </c>
      <c r="N23" s="6">
        <v>2</v>
      </c>
      <c r="O23" s="11">
        <f t="shared" si="2"/>
        <v>0</v>
      </c>
      <c r="P23" s="2">
        <f>VLOOKUP(A23,[14]TONTAOUT24!$A$6:$R$39,12,0)</f>
        <v>0</v>
      </c>
      <c r="Q23" s="2"/>
      <c r="R23" s="2">
        <f>VLOOKUP(A23,[16]TONTAOUT24!$A$7:$P$20,10,0)</f>
        <v>0</v>
      </c>
      <c r="S23" s="20"/>
      <c r="T23" s="12"/>
      <c r="U23" s="17">
        <f t="shared" si="9"/>
        <v>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3"/>
        <v>0</v>
      </c>
      <c r="AR23" s="8">
        <f t="shared" si="4"/>
        <v>0</v>
      </c>
      <c r="AS23" s="13">
        <f t="shared" si="10"/>
        <v>0</v>
      </c>
      <c r="AT23" s="15"/>
      <c r="AV23" s="15"/>
      <c r="AW23" s="15">
        <f t="shared" si="11"/>
        <v>0</v>
      </c>
      <c r="AX23" s="15">
        <f t="shared" si="12"/>
        <v>0</v>
      </c>
      <c r="AY23" s="15">
        <f t="shared" si="13"/>
        <v>0</v>
      </c>
      <c r="AZ23" s="16">
        <f t="shared" si="14"/>
        <v>0</v>
      </c>
      <c r="BA23" s="58"/>
      <c r="BB23" s="58"/>
      <c r="BC23" s="15"/>
      <c r="BD23" s="57">
        <f t="shared" si="15"/>
        <v>0</v>
      </c>
      <c r="BE23" s="82"/>
      <c r="BF23" s="29">
        <f t="shared" si="5"/>
        <v>0</v>
      </c>
      <c r="BG23" s="29">
        <v>4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VLOOKUP(A24,[11]LISTADHERENT!A$5:H$50,3,0)</f>
        <v>NGONDIEP CLAUDE</v>
      </c>
      <c r="C24" s="5">
        <f t="shared" si="6"/>
        <v>0</v>
      </c>
      <c r="D24" s="9">
        <f>VLOOKUP(A24,[12]HISTOBQUEAVRIL24!$A$6:$G$46,3,0)</f>
        <v>0</v>
      </c>
      <c r="E24" s="9">
        <f>VLOOKUP(A24,[12]HISTOBQUEAVRIL24!$A$6:$G$41,4,0)</f>
        <v>0</v>
      </c>
      <c r="F24" s="9">
        <f>VLOOKUP(A24,[12]HISTOBQUEAVRIL24!$A$6:$G$41,5,0)</f>
        <v>0</v>
      </c>
      <c r="G24" s="5">
        <f t="shared" si="7"/>
        <v>0</v>
      </c>
      <c r="H24" s="10" t="str">
        <f t="shared" si="0"/>
        <v>ECHEC</v>
      </c>
      <c r="I24" s="10"/>
      <c r="J24" s="11">
        <v>1</v>
      </c>
      <c r="K24" s="11">
        <f t="shared" si="8"/>
        <v>0</v>
      </c>
      <c r="L24" s="6">
        <v>1</v>
      </c>
      <c r="M24" s="11">
        <f t="shared" si="1"/>
        <v>0</v>
      </c>
      <c r="N24" s="6">
        <v>1</v>
      </c>
      <c r="O24" s="11">
        <f t="shared" si="2"/>
        <v>0</v>
      </c>
      <c r="P24" s="2">
        <f>VLOOKUP(A24,[14]TONTAOUT24!$A$6:$R$39,12,0)</f>
        <v>0</v>
      </c>
      <c r="Q24" s="2">
        <f>VLOOKUP(A24,[15]TONTAOUT24!$A$7:$P$23,10,0)</f>
        <v>0</v>
      </c>
      <c r="R24" s="2">
        <f>VLOOKUP(A24,[16]TONTAOUT24!$A$7:$P$20,10,0)</f>
        <v>0</v>
      </c>
      <c r="S24" s="20"/>
      <c r="T24" s="12"/>
      <c r="U24" s="17">
        <f t="shared" si="9"/>
        <v>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8">
        <f t="shared" si="3"/>
        <v>0</v>
      </c>
      <c r="AR24" s="8">
        <f t="shared" si="4"/>
        <v>0</v>
      </c>
      <c r="AS24" s="13">
        <f t="shared" si="10"/>
        <v>0</v>
      </c>
      <c r="AT24" s="15"/>
      <c r="AV24" s="15"/>
      <c r="AW24" s="15">
        <f t="shared" si="11"/>
        <v>0</v>
      </c>
      <c r="AX24" s="15">
        <f t="shared" si="12"/>
        <v>0</v>
      </c>
      <c r="AY24" s="15">
        <f>IF(AE24=0,AK24,(1*100000*12)+(AK24)-AE24)</f>
        <v>0</v>
      </c>
      <c r="AZ24" s="16">
        <f t="shared" si="14"/>
        <v>0</v>
      </c>
      <c r="BA24" s="58"/>
      <c r="BB24" s="58"/>
      <c r="BC24" s="15"/>
      <c r="BD24" s="57">
        <f t="shared" si="15"/>
        <v>0</v>
      </c>
      <c r="BE24" s="82"/>
      <c r="BF24" s="29">
        <f t="shared" si="5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VLOOKUP(A25,[11]LISTADHERENT!A$5:H$50,3,0)</f>
        <v>NGUIEMEGNI MATHIEU BLAISE</v>
      </c>
      <c r="C25" s="5">
        <f t="shared" si="6"/>
        <v>0</v>
      </c>
      <c r="D25" s="9">
        <f>VLOOKUP(A25,[12]HISTOBQUEAVRIL24!$A$6:$G$46,3,0)</f>
        <v>0</v>
      </c>
      <c r="E25" s="9">
        <f>VLOOKUP(A25,[12]HISTOBQUEAVRIL24!$A$6:$G$41,4,0)</f>
        <v>0</v>
      </c>
      <c r="F25" s="9">
        <f>VLOOKUP(A25,[12]HISTOBQUEAVRIL24!$A$6:$G$41,5,0)</f>
        <v>0</v>
      </c>
      <c r="G25" s="5">
        <f t="shared" si="7"/>
        <v>0</v>
      </c>
      <c r="H25" s="10" t="str">
        <f t="shared" si="0"/>
        <v>ECHEC</v>
      </c>
      <c r="I25" s="10"/>
      <c r="J25" s="11">
        <v>1</v>
      </c>
      <c r="K25" s="11">
        <f t="shared" si="8"/>
        <v>0</v>
      </c>
      <c r="L25" s="6">
        <v>3</v>
      </c>
      <c r="M25" s="11">
        <f t="shared" si="1"/>
        <v>0</v>
      </c>
      <c r="N25" s="6">
        <v>1</v>
      </c>
      <c r="O25" s="11">
        <f t="shared" si="2"/>
        <v>0</v>
      </c>
      <c r="P25" s="2">
        <f>VLOOKUP(A25,[14]TONTAOUT24!$A$6:$R$39,12,0)</f>
        <v>0</v>
      </c>
      <c r="Q25" s="2">
        <f>VLOOKUP(A25,[15]TONTAOUT24!$A$7:$P$23,10,0)</f>
        <v>0</v>
      </c>
      <c r="R25" s="2">
        <f>VLOOKUP(A25,[16]TONTAOUT24!$A$7:$P$20,10,0)</f>
        <v>0</v>
      </c>
      <c r="S25" s="20"/>
      <c r="T25" s="12"/>
      <c r="U25" s="17">
        <f t="shared" si="9"/>
        <v>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8">
        <f t="shared" si="3"/>
        <v>0</v>
      </c>
      <c r="AR25" s="8">
        <f t="shared" si="4"/>
        <v>0</v>
      </c>
      <c r="AS25" s="13">
        <f t="shared" si="10"/>
        <v>0</v>
      </c>
      <c r="AT25" s="15"/>
      <c r="AV25" s="15"/>
      <c r="AW25" s="15">
        <f t="shared" si="11"/>
        <v>0</v>
      </c>
      <c r="AX25" s="15">
        <f t="shared" si="12"/>
        <v>0</v>
      </c>
      <c r="AY25" s="15">
        <f t="shared" si="13"/>
        <v>0</v>
      </c>
      <c r="AZ25" s="16">
        <f t="shared" si="14"/>
        <v>0</v>
      </c>
      <c r="BA25" s="58"/>
      <c r="BB25" s="58"/>
      <c r="BC25" s="15"/>
      <c r="BD25" s="57">
        <f t="shared" si="15"/>
        <v>0</v>
      </c>
      <c r="BE25" s="82"/>
      <c r="BF25" s="29">
        <f t="shared" si="5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VLOOKUP(A26,[11]LISTADHERENT!A$5:H$50,3,0)</f>
        <v>NKAMGANG JUSTIN DEJOLIE</v>
      </c>
      <c r="C26" s="5">
        <f t="shared" si="6"/>
        <v>0</v>
      </c>
      <c r="D26" s="9">
        <f>VLOOKUP(A26,[12]HISTOBQUEAVRIL24!$A$6:$G$46,3,0)</f>
        <v>0</v>
      </c>
      <c r="E26" s="9">
        <f>VLOOKUP(A26,[12]HISTOBQUEAVRIL24!$A$6:$G$41,4,0)</f>
        <v>0</v>
      </c>
      <c r="F26" s="9">
        <f>VLOOKUP(A26,[12]HISTOBQUEAVRIL24!$A$6:$G$41,5,0)</f>
        <v>0</v>
      </c>
      <c r="G26" s="5">
        <f t="shared" si="7"/>
        <v>0</v>
      </c>
      <c r="H26" s="10" t="str">
        <f t="shared" si="0"/>
        <v>ECHEC</v>
      </c>
      <c r="I26" s="10"/>
      <c r="J26" s="11">
        <v>1</v>
      </c>
      <c r="K26" s="11">
        <f t="shared" si="8"/>
        <v>0</v>
      </c>
      <c r="L26" s="6"/>
      <c r="M26" s="11">
        <f t="shared" si="1"/>
        <v>0</v>
      </c>
      <c r="N26" s="6"/>
      <c r="O26" s="11">
        <f t="shared" si="2"/>
        <v>0</v>
      </c>
      <c r="P26" s="2">
        <f>VLOOKUP(A26,[14]TONTAOUT24!$A$6:$R$39,12,0)</f>
        <v>0</v>
      </c>
      <c r="Q26" s="2"/>
      <c r="R26" s="2"/>
      <c r="S26" s="20"/>
      <c r="T26" s="12"/>
      <c r="U26" s="17">
        <f t="shared" si="9"/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3"/>
        <v>0</v>
      </c>
      <c r="AR26" s="8">
        <f t="shared" si="4"/>
        <v>0</v>
      </c>
      <c r="AS26" s="13">
        <f t="shared" si="10"/>
        <v>0</v>
      </c>
      <c r="AT26" s="15"/>
      <c r="AV26" s="15"/>
      <c r="AW26" s="15">
        <f t="shared" si="11"/>
        <v>0</v>
      </c>
      <c r="AX26" s="15">
        <f t="shared" si="12"/>
        <v>0</v>
      </c>
      <c r="AY26" s="15">
        <f t="shared" si="13"/>
        <v>0</v>
      </c>
      <c r="AZ26" s="16">
        <f t="shared" si="14"/>
        <v>0</v>
      </c>
      <c r="BA26" s="58"/>
      <c r="BB26" s="58"/>
      <c r="BC26" s="15"/>
      <c r="BD26" s="57">
        <f t="shared" si="15"/>
        <v>0</v>
      </c>
      <c r="BE26" s="82"/>
      <c r="BF26" s="29">
        <f t="shared" si="5"/>
        <v>0</v>
      </c>
      <c r="BG26" s="29">
        <v>4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VLOOKUP(A27,[11]LISTADHERENT!A$5:H$50,3,0)</f>
        <v>NOUBE ETIENNE</v>
      </c>
      <c r="C27" s="5">
        <f t="shared" si="6"/>
        <v>0</v>
      </c>
      <c r="D27" s="9">
        <f>VLOOKUP(A27,[12]HISTOBQUEAVRIL24!$A$6:$G$46,3,0)</f>
        <v>0</v>
      </c>
      <c r="E27" s="9">
        <f>VLOOKUP(A27,[12]HISTOBQUEAVRIL24!$A$6:$G$41,4,0)</f>
        <v>0</v>
      </c>
      <c r="F27" s="9">
        <f>VLOOKUP(A27,[12]HISTOBQUEAVRIL24!$A$6:$G$41,5,0)</f>
        <v>0</v>
      </c>
      <c r="G27" s="5">
        <f t="shared" si="7"/>
        <v>0</v>
      </c>
      <c r="H27" s="10" t="str">
        <f t="shared" si="0"/>
        <v>ECHEC</v>
      </c>
      <c r="I27" s="10"/>
      <c r="J27" s="11">
        <v>1</v>
      </c>
      <c r="K27" s="11">
        <f t="shared" si="8"/>
        <v>0</v>
      </c>
      <c r="L27" s="6"/>
      <c r="M27" s="11">
        <f t="shared" si="1"/>
        <v>0</v>
      </c>
      <c r="N27" s="6"/>
      <c r="O27" s="11">
        <f t="shared" si="2"/>
        <v>0</v>
      </c>
      <c r="P27" s="2">
        <f>VLOOKUP(A27,[14]TONTAOUT24!$A$6:$R$39,12,0)</f>
        <v>0</v>
      </c>
      <c r="Q27" s="2"/>
      <c r="R27" s="2"/>
      <c r="S27" s="20"/>
      <c r="T27" s="12"/>
      <c r="U27" s="17">
        <f t="shared" si="9"/>
        <v>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3"/>
        <v>0</v>
      </c>
      <c r="AR27" s="8">
        <f t="shared" si="4"/>
        <v>0</v>
      </c>
      <c r="AS27" s="13">
        <f t="shared" si="10"/>
        <v>0</v>
      </c>
      <c r="AT27" s="15"/>
      <c r="AV27" s="15"/>
      <c r="AW27" s="15">
        <f t="shared" si="11"/>
        <v>0</v>
      </c>
      <c r="AX27" s="15">
        <f t="shared" si="12"/>
        <v>0</v>
      </c>
      <c r="AY27" s="15">
        <f t="shared" si="13"/>
        <v>0</v>
      </c>
      <c r="AZ27" s="16">
        <f t="shared" si="14"/>
        <v>0</v>
      </c>
      <c r="BA27" s="58"/>
      <c r="BB27" s="58"/>
      <c r="BC27" s="15"/>
      <c r="BD27" s="57">
        <f t="shared" si="15"/>
        <v>0</v>
      </c>
      <c r="BE27" s="82"/>
      <c r="BF27" s="29">
        <f t="shared" si="5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VLOOKUP(A28,[11]LISTADHERENT!A$5:H$50,3,0)</f>
        <v>PATEGO NJOSSU GUSTAVE</v>
      </c>
      <c r="C28" s="5">
        <f t="shared" si="6"/>
        <v>0</v>
      </c>
      <c r="D28" s="9">
        <f>VLOOKUP(A28,[12]HISTOBQUEAVRIL24!$A$6:$G$46,3,0)</f>
        <v>0</v>
      </c>
      <c r="E28" s="9">
        <f>VLOOKUP(A28,[12]HISTOBQUEAVRIL24!$A$6:$G$41,4,0)</f>
        <v>0</v>
      </c>
      <c r="F28" s="9">
        <f>VLOOKUP(A28,[12]HISTOBQUEAVRIL24!$A$6:$G$41,5,0)</f>
        <v>0</v>
      </c>
      <c r="G28" s="5">
        <f t="shared" si="7"/>
        <v>0</v>
      </c>
      <c r="H28" s="10" t="str">
        <f t="shared" si="0"/>
        <v>ECHEC</v>
      </c>
      <c r="I28" s="10"/>
      <c r="J28" s="11">
        <v>1</v>
      </c>
      <c r="K28" s="11">
        <f t="shared" si="8"/>
        <v>0</v>
      </c>
      <c r="L28" s="6">
        <v>1</v>
      </c>
      <c r="M28" s="11">
        <f t="shared" si="1"/>
        <v>0</v>
      </c>
      <c r="N28" s="6"/>
      <c r="O28" s="11">
        <f t="shared" si="2"/>
        <v>0</v>
      </c>
      <c r="P28" s="2">
        <f>VLOOKUP(A28,[14]TONTAOUT24!$A$6:$R$39,12,0)</f>
        <v>0</v>
      </c>
      <c r="Q28" s="2">
        <f>VLOOKUP(A28,[15]TONTAOUT24!$A$7:$P$23,10,0)</f>
        <v>0</v>
      </c>
      <c r="R28" s="2"/>
      <c r="S28" s="20"/>
      <c r="T28" s="12"/>
      <c r="U28" s="17">
        <f t="shared" si="9"/>
        <v>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3"/>
        <v>0</v>
      </c>
      <c r="AR28" s="8">
        <f t="shared" si="4"/>
        <v>0</v>
      </c>
      <c r="AS28" s="13">
        <f t="shared" si="10"/>
        <v>0</v>
      </c>
      <c r="AT28" s="15"/>
      <c r="AV28" s="15"/>
      <c r="AW28" s="15">
        <f t="shared" si="11"/>
        <v>0</v>
      </c>
      <c r="AX28" s="15">
        <f t="shared" si="12"/>
        <v>0</v>
      </c>
      <c r="AY28" s="15">
        <f t="shared" si="13"/>
        <v>0</v>
      </c>
      <c r="AZ28" s="16">
        <f t="shared" si="14"/>
        <v>0</v>
      </c>
      <c r="BA28" s="58"/>
      <c r="BB28" s="58"/>
      <c r="BC28" s="15"/>
      <c r="BD28" s="57">
        <f t="shared" si="15"/>
        <v>0</v>
      </c>
      <c r="BE28" s="82"/>
      <c r="BF28" s="29">
        <f t="shared" si="5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VLOOKUP(A29,[11]LISTADHERENT!A$5:H$50,3,0)</f>
        <v>SEUMO POLYCARPE</v>
      </c>
      <c r="C29" s="5">
        <f t="shared" si="6"/>
        <v>0</v>
      </c>
      <c r="D29" s="9">
        <f>VLOOKUP(A29,[12]HISTOBQUEAVRIL24!$A$6:$G$46,3,0)</f>
        <v>0</v>
      </c>
      <c r="E29" s="9">
        <f>VLOOKUP(A29,[12]HISTOBQUEAVRIL24!$A$6:$G$41,4,0)</f>
        <v>0</v>
      </c>
      <c r="F29" s="9">
        <f>VLOOKUP(A29,[12]HISTOBQUEAVRIL24!$A$6:$G$41,5,0)</f>
        <v>0</v>
      </c>
      <c r="G29" s="5">
        <f t="shared" si="7"/>
        <v>0</v>
      </c>
      <c r="H29" s="10" t="str">
        <f t="shared" si="0"/>
        <v>ECHEC</v>
      </c>
      <c r="I29" s="10"/>
      <c r="J29" s="11">
        <v>1</v>
      </c>
      <c r="K29" s="11">
        <f t="shared" si="8"/>
        <v>0</v>
      </c>
      <c r="L29" s="6"/>
      <c r="M29" s="11">
        <f t="shared" si="1"/>
        <v>0</v>
      </c>
      <c r="N29" s="6"/>
      <c r="O29" s="11">
        <f t="shared" si="2"/>
        <v>0</v>
      </c>
      <c r="P29" s="2">
        <f>VLOOKUP(A29,[14]TONTAOUT24!$A$6:$R$39,12,0)</f>
        <v>0</v>
      </c>
      <c r="Q29" s="2"/>
      <c r="R29" s="2"/>
      <c r="S29" s="20"/>
      <c r="T29" s="12"/>
      <c r="U29" s="17">
        <f t="shared" si="9"/>
        <v>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3"/>
        <v>0</v>
      </c>
      <c r="AR29" s="8">
        <f t="shared" si="4"/>
        <v>0</v>
      </c>
      <c r="AS29" s="13">
        <f t="shared" si="10"/>
        <v>0</v>
      </c>
      <c r="AT29" s="15"/>
      <c r="AV29" s="15"/>
      <c r="AW29" s="15">
        <f t="shared" si="11"/>
        <v>0</v>
      </c>
      <c r="AX29" s="15">
        <f t="shared" si="12"/>
        <v>0</v>
      </c>
      <c r="AY29" s="15">
        <f t="shared" si="13"/>
        <v>0</v>
      </c>
      <c r="AZ29" s="16">
        <f t="shared" si="14"/>
        <v>0</v>
      </c>
      <c r="BA29" s="58"/>
      <c r="BB29" s="58"/>
      <c r="BC29" s="15"/>
      <c r="BD29" s="57">
        <f t="shared" si="15"/>
        <v>0</v>
      </c>
      <c r="BE29" s="82"/>
      <c r="BF29" s="29">
        <f t="shared" si="5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VLOOKUP(A30,[11]LISTADHERENT!A$5:H$50,3,0)</f>
        <v>SIME BRICE</v>
      </c>
      <c r="C30" s="5">
        <f t="shared" si="6"/>
        <v>0</v>
      </c>
      <c r="D30" s="9">
        <f>VLOOKUP(A30,[12]HISTOBQUEAVRIL24!$A$6:$G$46,3,0)</f>
        <v>0</v>
      </c>
      <c r="E30" s="9">
        <f>VLOOKUP(A30,[12]HISTOBQUEAVRIL24!$A$6:$G$41,4,0)</f>
        <v>0</v>
      </c>
      <c r="F30" s="9">
        <f>VLOOKUP(A30,[12]HISTOBQUEAVRIL24!$A$6:$G$41,5,0)</f>
        <v>0</v>
      </c>
      <c r="G30" s="5">
        <f t="shared" si="7"/>
        <v>0</v>
      </c>
      <c r="H30" s="10" t="str">
        <f t="shared" si="0"/>
        <v>ECHEC</v>
      </c>
      <c r="I30" s="10"/>
      <c r="J30" s="11">
        <v>1</v>
      </c>
      <c r="K30" s="11">
        <f t="shared" si="8"/>
        <v>0</v>
      </c>
      <c r="L30" s="6"/>
      <c r="M30" s="11">
        <f t="shared" si="1"/>
        <v>0</v>
      </c>
      <c r="N30" s="6">
        <v>2</v>
      </c>
      <c r="O30" s="11">
        <f t="shared" si="2"/>
        <v>0</v>
      </c>
      <c r="P30" s="2">
        <f>VLOOKUP(A30,[14]TONTAOUT24!$A$6:$R$39,12,0)</f>
        <v>0</v>
      </c>
      <c r="Q30" s="2"/>
      <c r="R30" s="2">
        <f>VLOOKUP(A30,[16]TONTAOUT24!$A$7:$P$20,10,0)</f>
        <v>0</v>
      </c>
      <c r="S30" s="20"/>
      <c r="T30" s="12"/>
      <c r="U30" s="17">
        <f t="shared" si="9"/>
        <v>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3"/>
        <v>0</v>
      </c>
      <c r="AR30" s="8">
        <f t="shared" si="4"/>
        <v>0</v>
      </c>
      <c r="AS30" s="13">
        <f t="shared" si="10"/>
        <v>0</v>
      </c>
      <c r="AT30" s="15"/>
      <c r="AV30" s="15"/>
      <c r="AW30" s="15">
        <f t="shared" si="11"/>
        <v>0</v>
      </c>
      <c r="AX30" s="15">
        <f t="shared" si="12"/>
        <v>0</v>
      </c>
      <c r="AY30" s="15">
        <f t="shared" si="13"/>
        <v>0</v>
      </c>
      <c r="AZ30" s="16">
        <f t="shared" si="14"/>
        <v>0</v>
      </c>
      <c r="BA30" s="58"/>
      <c r="BB30" s="58"/>
      <c r="BC30" s="15"/>
      <c r="BD30" s="57">
        <f t="shared" si="15"/>
        <v>0</v>
      </c>
      <c r="BE30" s="82"/>
      <c r="BF30" s="29">
        <f t="shared" si="5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VLOOKUP(A31,[11]LISTADHERENT!A$5:H$50,3,0)</f>
        <v>SIMO PIERRE</v>
      </c>
      <c r="C31" s="5">
        <f t="shared" si="6"/>
        <v>0</v>
      </c>
      <c r="D31" s="9">
        <f>VLOOKUP(A31,[12]HISTOBQUEAVRIL24!$A$6:$G$46,3,0)</f>
        <v>0</v>
      </c>
      <c r="E31" s="9">
        <f>VLOOKUP(A31,[12]HISTOBQUEAVRIL24!$A$6:$G$41,4,0)</f>
        <v>0</v>
      </c>
      <c r="F31" s="9">
        <f>VLOOKUP(A31,[12]HISTOBQUEAVRIL24!$A$6:$G$41,5,0)</f>
        <v>0</v>
      </c>
      <c r="G31" s="5">
        <f t="shared" si="7"/>
        <v>0</v>
      </c>
      <c r="H31" s="10" t="str">
        <f t="shared" si="0"/>
        <v>ECHEC</v>
      </c>
      <c r="I31" s="10"/>
      <c r="J31" s="11">
        <v>1</v>
      </c>
      <c r="K31" s="11">
        <f t="shared" si="8"/>
        <v>0</v>
      </c>
      <c r="L31" s="6"/>
      <c r="M31" s="11">
        <f t="shared" si="1"/>
        <v>0</v>
      </c>
      <c r="N31" s="6">
        <v>1</v>
      </c>
      <c r="O31" s="11">
        <f t="shared" si="2"/>
        <v>0</v>
      </c>
      <c r="P31" s="2">
        <f>VLOOKUP(A31,[14]TONTAOUT24!$A$6:$R$39,12,0)</f>
        <v>0</v>
      </c>
      <c r="Q31" s="2"/>
      <c r="R31" s="2">
        <f>VLOOKUP(A31,[16]TONTAOUT24!$A$7:$P$20,10,0)</f>
        <v>0</v>
      </c>
      <c r="S31" s="20"/>
      <c r="T31" s="12"/>
      <c r="U31" s="17">
        <f t="shared" si="9"/>
        <v>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3"/>
        <v>0</v>
      </c>
      <c r="AR31" s="8">
        <f t="shared" si="4"/>
        <v>0</v>
      </c>
      <c r="AS31" s="13">
        <f t="shared" si="10"/>
        <v>0</v>
      </c>
      <c r="AT31" s="15"/>
      <c r="AV31" s="15"/>
      <c r="AW31" s="15">
        <f t="shared" si="11"/>
        <v>0</v>
      </c>
      <c r="AX31" s="15">
        <f t="shared" si="12"/>
        <v>0</v>
      </c>
      <c r="AY31" s="15">
        <f t="shared" si="13"/>
        <v>0</v>
      </c>
      <c r="AZ31" s="16">
        <f t="shared" si="14"/>
        <v>0</v>
      </c>
      <c r="BA31" s="58"/>
      <c r="BB31" s="58"/>
      <c r="BC31" s="15"/>
      <c r="BD31" s="57">
        <f t="shared" si="15"/>
        <v>0</v>
      </c>
      <c r="BE31" s="82"/>
      <c r="BF31" s="29">
        <f t="shared" si="5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VLOOKUP(A32,[11]LISTADHERENT!A$5:H$50,3,0)</f>
        <v>TCHOUAMOU MATHIEU</v>
      </c>
      <c r="C32" s="5">
        <f t="shared" si="6"/>
        <v>0</v>
      </c>
      <c r="D32" s="9">
        <f>VLOOKUP(A32,[12]HISTOBQUEAVRIL24!$A$6:$G$46,3,0)</f>
        <v>0</v>
      </c>
      <c r="E32" s="9">
        <f>VLOOKUP(A32,[12]HISTOBQUEAVRIL24!$A$6:$G$41,4,0)</f>
        <v>0</v>
      </c>
      <c r="F32" s="9">
        <f>VLOOKUP(A32,[12]HISTOBQUEAVRIL24!$A$6:$G$41,5,0)</f>
        <v>0</v>
      </c>
      <c r="G32" s="5">
        <f t="shared" si="7"/>
        <v>0</v>
      </c>
      <c r="H32" s="10" t="str">
        <f t="shared" si="0"/>
        <v>ECHEC</v>
      </c>
      <c r="I32" s="10"/>
      <c r="J32" s="11">
        <v>1</v>
      </c>
      <c r="K32" s="11">
        <f t="shared" si="8"/>
        <v>0</v>
      </c>
      <c r="L32" s="6">
        <v>1</v>
      </c>
      <c r="M32" s="11">
        <f t="shared" si="1"/>
        <v>0</v>
      </c>
      <c r="N32" s="6"/>
      <c r="O32" s="11">
        <f t="shared" si="2"/>
        <v>0</v>
      </c>
      <c r="P32" s="2">
        <f>VLOOKUP(A32,[14]TONTAOUT24!$A$6:$R$39,12,0)</f>
        <v>0</v>
      </c>
      <c r="Q32" s="2">
        <f>VLOOKUP(A32,[15]TONTAOUT24!$A$7:$P$23,10,0)</f>
        <v>0</v>
      </c>
      <c r="R32" s="2"/>
      <c r="S32" s="20"/>
      <c r="T32" s="12"/>
      <c r="U32" s="17">
        <f t="shared" si="9"/>
        <v>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3"/>
        <v>0</v>
      </c>
      <c r="AR32" s="8">
        <f t="shared" si="4"/>
        <v>0</v>
      </c>
      <c r="AS32" s="13">
        <f t="shared" si="10"/>
        <v>0</v>
      </c>
      <c r="AT32" s="15"/>
      <c r="AV32" s="15"/>
      <c r="AW32" s="15">
        <f t="shared" si="11"/>
        <v>0</v>
      </c>
      <c r="AX32" s="15">
        <f t="shared" si="12"/>
        <v>0</v>
      </c>
      <c r="AY32" s="15">
        <f t="shared" si="13"/>
        <v>0</v>
      </c>
      <c r="AZ32" s="16">
        <f t="shared" si="14"/>
        <v>0</v>
      </c>
      <c r="BA32" s="58"/>
      <c r="BB32" s="58"/>
      <c r="BC32" s="15"/>
      <c r="BD32" s="57">
        <f t="shared" si="15"/>
        <v>0</v>
      </c>
      <c r="BE32" s="82"/>
      <c r="BF32" s="29">
        <f t="shared" si="5"/>
        <v>0</v>
      </c>
      <c r="BG32" s="29">
        <v>4</v>
      </c>
      <c r="BH32" s="15"/>
      <c r="BI32" s="15"/>
      <c r="BJ32" s="15"/>
      <c r="BK32" s="15"/>
      <c r="BL32" s="61"/>
      <c r="BN32" t="s">
        <v>203</v>
      </c>
    </row>
    <row r="33" spans="1:68" ht="18.75" x14ac:dyDescent="0.3">
      <c r="A33" s="1" t="s">
        <v>194</v>
      </c>
      <c r="B33" s="1" t="str">
        <f>VLOOKUP(A33,[11]LISTADHERENT!A$5:H$50,3,0)</f>
        <v>TCHOUATEU AUGUSTIN</v>
      </c>
      <c r="C33" s="5">
        <f t="shared" si="6"/>
        <v>0</v>
      </c>
      <c r="D33" s="9">
        <f>VLOOKUP(A33,[12]HISTOBQUEAVRIL24!$A$6:$G$46,3,0)</f>
        <v>0</v>
      </c>
      <c r="E33" s="9">
        <f>VLOOKUP(A33,[12]HISTOBQUEAVRIL24!$A$6:$G$41,4,0)</f>
        <v>0</v>
      </c>
      <c r="F33" s="9">
        <f>VLOOKUP(A33,[12]HISTOBQUEAVRIL24!$A$6:$G$41,5,0)</f>
        <v>0</v>
      </c>
      <c r="G33" s="5">
        <f t="shared" si="7"/>
        <v>0</v>
      </c>
      <c r="H33" s="10" t="str">
        <f t="shared" si="0"/>
        <v>ECHEC</v>
      </c>
      <c r="I33" s="10"/>
      <c r="J33" s="11">
        <v>1</v>
      </c>
      <c r="K33" s="11">
        <f t="shared" si="8"/>
        <v>0</v>
      </c>
      <c r="L33" s="6"/>
      <c r="M33" s="11">
        <f t="shared" si="1"/>
        <v>0</v>
      </c>
      <c r="N33" s="6">
        <v>1</v>
      </c>
      <c r="O33" s="11">
        <f t="shared" si="2"/>
        <v>0</v>
      </c>
      <c r="P33" s="2">
        <f>VLOOKUP(A33,[14]TONTAOUT24!$A$6:$R$39,12,0)</f>
        <v>0</v>
      </c>
      <c r="Q33" s="2"/>
      <c r="R33" s="2">
        <f>VLOOKUP(A33,[16]TONTAOUT24!$A$7:$P$20,10,0)</f>
        <v>0</v>
      </c>
      <c r="S33" s="20"/>
      <c r="T33" s="12"/>
      <c r="U33" s="17">
        <f t="shared" si="9"/>
        <v>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3"/>
        <v>0</v>
      </c>
      <c r="AR33" s="8">
        <f t="shared" si="4"/>
        <v>0</v>
      </c>
      <c r="AS33" s="13">
        <f t="shared" si="10"/>
        <v>0</v>
      </c>
      <c r="AT33" s="15"/>
      <c r="AV33" s="15"/>
      <c r="AW33" s="15">
        <f t="shared" si="11"/>
        <v>0</v>
      </c>
      <c r="AX33" s="15">
        <f t="shared" si="12"/>
        <v>0</v>
      </c>
      <c r="AY33" s="15">
        <f t="shared" si="13"/>
        <v>0</v>
      </c>
      <c r="AZ33" s="16">
        <f t="shared" si="14"/>
        <v>0</v>
      </c>
      <c r="BA33" s="58"/>
      <c r="BB33" s="58"/>
      <c r="BC33" s="15"/>
      <c r="BD33" s="57">
        <f t="shared" si="15"/>
        <v>0</v>
      </c>
      <c r="BE33" s="82"/>
      <c r="BF33" s="29">
        <f t="shared" si="5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1" t="s">
        <v>157</v>
      </c>
      <c r="B34" s="1" t="str">
        <f>VLOOKUP(A34,[11]LISTADHERENT!A$5:H$50,3,0)</f>
        <v>TCHOUTOU NANA CLAUDE</v>
      </c>
      <c r="C34" s="5">
        <f t="shared" si="6"/>
        <v>0</v>
      </c>
      <c r="D34" s="9">
        <f>VLOOKUP(A34,[12]HISTOBQUEAVRIL24!$A$6:$G$46,3,0)</f>
        <v>0</v>
      </c>
      <c r="E34" s="9">
        <f>VLOOKUP(A34,[12]HISTOBQUEAVRIL24!$A$6:$G$41,4,0)</f>
        <v>0</v>
      </c>
      <c r="F34" s="9">
        <f>VLOOKUP(A34,[12]HISTOBQUEAVRIL24!$A$6:$G$41,5,0)</f>
        <v>0</v>
      </c>
      <c r="G34" s="5">
        <f t="shared" si="7"/>
        <v>0</v>
      </c>
      <c r="H34" s="10" t="str">
        <f t="shared" si="0"/>
        <v>ECHEC</v>
      </c>
      <c r="I34" s="10"/>
      <c r="J34" s="11">
        <v>1</v>
      </c>
      <c r="K34" s="11">
        <f t="shared" si="8"/>
        <v>0</v>
      </c>
      <c r="L34" s="6"/>
      <c r="M34" s="11">
        <f t="shared" si="1"/>
        <v>0</v>
      </c>
      <c r="N34" s="6"/>
      <c r="O34" s="11">
        <f t="shared" si="2"/>
        <v>0</v>
      </c>
      <c r="P34" s="2">
        <f>VLOOKUP(A34,[14]TONTAOUT24!$A$6:$R$39,12,0)</f>
        <v>0</v>
      </c>
      <c r="Q34" s="2"/>
      <c r="R34" s="2"/>
      <c r="S34" s="20"/>
      <c r="T34" s="12"/>
      <c r="U34" s="17">
        <f t="shared" si="9"/>
        <v>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3"/>
        <v>0</v>
      </c>
      <c r="AR34" s="8">
        <f t="shared" si="4"/>
        <v>0</v>
      </c>
      <c r="AS34" s="13">
        <f t="shared" si="10"/>
        <v>0</v>
      </c>
      <c r="AT34" s="15"/>
      <c r="AV34" s="15"/>
      <c r="AW34" s="15">
        <f t="shared" si="11"/>
        <v>0</v>
      </c>
      <c r="AX34" s="15">
        <f t="shared" si="12"/>
        <v>0</v>
      </c>
      <c r="AY34" s="15">
        <f t="shared" si="13"/>
        <v>0</v>
      </c>
      <c r="AZ34" s="16">
        <f t="shared" si="14"/>
        <v>0</v>
      </c>
      <c r="BA34" s="58"/>
      <c r="BB34" s="58"/>
      <c r="BC34" s="15"/>
      <c r="BD34" s="57">
        <f t="shared" si="15"/>
        <v>0</v>
      </c>
      <c r="BE34" s="82"/>
      <c r="BF34" s="29">
        <f t="shared" si="5"/>
        <v>0</v>
      </c>
      <c r="BG34" s="29">
        <v>4</v>
      </c>
      <c r="BH34" s="15"/>
      <c r="BI34" s="15"/>
      <c r="BJ34" s="15"/>
      <c r="BK34" s="15"/>
      <c r="BL34" s="61"/>
      <c r="BN34" s="62" t="s">
        <v>142</v>
      </c>
      <c r="BP34" s="62">
        <f>SUM(BP31:BP33)</f>
        <v>0</v>
      </c>
    </row>
    <row r="35" spans="1:68" ht="18.75" x14ac:dyDescent="0.3">
      <c r="A35" s="21" t="s">
        <v>160</v>
      </c>
      <c r="B35" s="1" t="str">
        <f>VLOOKUP(A35,[11]LISTADHERENT!A$5:H$50,3,0)</f>
        <v>YANTCHOU GERVAIS</v>
      </c>
      <c r="C35" s="5">
        <f t="shared" si="6"/>
        <v>0</v>
      </c>
      <c r="D35" s="9">
        <f>VLOOKUP(A35,[12]HISTOBQUEAVRIL24!$A$6:$G$46,3,0)</f>
        <v>0</v>
      </c>
      <c r="E35" s="9">
        <f>VLOOKUP(A35,[12]HISTOBQUEAVRIL24!$A$6:$G$41,4,0)</f>
        <v>0</v>
      </c>
      <c r="F35" s="9">
        <f>VLOOKUP(A35,[12]HISTOBQUEAVRIL24!$A$6:$G$41,5,0)</f>
        <v>0</v>
      </c>
      <c r="G35" s="5">
        <f t="shared" si="7"/>
        <v>0</v>
      </c>
      <c r="H35" s="10" t="str">
        <f t="shared" si="0"/>
        <v>ECHEC</v>
      </c>
      <c r="I35" s="10"/>
      <c r="J35" s="11">
        <v>1</v>
      </c>
      <c r="K35" s="11">
        <f t="shared" si="8"/>
        <v>0</v>
      </c>
      <c r="L35" s="6"/>
      <c r="M35" s="11">
        <f t="shared" si="1"/>
        <v>0</v>
      </c>
      <c r="N35" s="6"/>
      <c r="O35" s="11">
        <f t="shared" si="2"/>
        <v>0</v>
      </c>
      <c r="P35" s="2">
        <f>VLOOKUP(A35,[14]TONTAOUT24!$A$6:$R$39,12,0)</f>
        <v>0</v>
      </c>
      <c r="Q35" s="2"/>
      <c r="R35" s="2"/>
      <c r="S35" s="20"/>
      <c r="T35" s="12"/>
      <c r="U35" s="17">
        <f t="shared" si="9"/>
        <v>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3"/>
        <v>0</v>
      </c>
      <c r="AR35" s="8">
        <f t="shared" si="4"/>
        <v>0</v>
      </c>
      <c r="AS35" s="13">
        <f t="shared" si="10"/>
        <v>0</v>
      </c>
      <c r="AT35" s="15"/>
      <c r="AV35" s="15"/>
      <c r="AW35" s="15">
        <f t="shared" si="11"/>
        <v>0</v>
      </c>
      <c r="AX35" s="15">
        <f t="shared" si="12"/>
        <v>0</v>
      </c>
      <c r="AY35" s="15">
        <f t="shared" si="13"/>
        <v>0</v>
      </c>
      <c r="AZ35" s="16">
        <f t="shared" si="14"/>
        <v>0</v>
      </c>
      <c r="BA35" s="58"/>
      <c r="BB35" s="58"/>
      <c r="BC35" s="15"/>
      <c r="BD35" s="57">
        <f t="shared" si="15"/>
        <v>0</v>
      </c>
      <c r="BE35" s="82"/>
      <c r="BF35" s="29">
        <f t="shared" si="5"/>
        <v>0</v>
      </c>
      <c r="BG35" s="29">
        <v>4</v>
      </c>
      <c r="BH35" s="15"/>
      <c r="BI35" s="15"/>
      <c r="BJ35" s="15"/>
      <c r="BK35" s="15"/>
      <c r="BL35" s="61"/>
    </row>
    <row r="36" spans="1:68" ht="18.75" x14ac:dyDescent="0.3">
      <c r="A36" s="1" t="s">
        <v>40</v>
      </c>
      <c r="B36" s="1" t="str">
        <f>VLOOKUP(A36,[11]LISTADHERENT!A$5:H$50,3,0)</f>
        <v>YEPMOU JEAN JACQUES</v>
      </c>
      <c r="C36" s="5">
        <f t="shared" si="6"/>
        <v>0</v>
      </c>
      <c r="D36" s="9">
        <f>VLOOKUP(A36,[12]HISTOBQUEAVRIL24!$A$6:$G$46,3,0)</f>
        <v>0</v>
      </c>
      <c r="E36" s="9">
        <f>VLOOKUP(A36,[12]HISTOBQUEAVRIL24!$A$6:$G$41,4,0)</f>
        <v>0</v>
      </c>
      <c r="F36" s="9">
        <f>VLOOKUP(A36,[12]HISTOBQUEAVRIL24!$A$6:$G$41,5,0)</f>
        <v>0</v>
      </c>
      <c r="G36" s="5">
        <f t="shared" si="7"/>
        <v>0</v>
      </c>
      <c r="H36" s="10" t="str">
        <f t="shared" si="0"/>
        <v>ECHEC</v>
      </c>
      <c r="I36" s="10"/>
      <c r="J36" s="11">
        <v>1</v>
      </c>
      <c r="K36" s="11">
        <f t="shared" si="8"/>
        <v>0</v>
      </c>
      <c r="L36" s="6"/>
      <c r="M36" s="11">
        <f t="shared" si="1"/>
        <v>0</v>
      </c>
      <c r="N36" s="6"/>
      <c r="O36" s="11">
        <f t="shared" si="2"/>
        <v>0</v>
      </c>
      <c r="P36" s="2">
        <f>VLOOKUP(A36,[14]TONTAOUT24!$A$6:$R$39,12,0)</f>
        <v>0</v>
      </c>
      <c r="Q36" s="2"/>
      <c r="R36" s="2"/>
      <c r="S36" s="20"/>
      <c r="T36" s="12"/>
      <c r="U36" s="17">
        <f t="shared" si="9"/>
        <v>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8">
        <f t="shared" si="3"/>
        <v>0</v>
      </c>
      <c r="AR36" s="8">
        <f t="shared" si="4"/>
        <v>0</v>
      </c>
      <c r="AS36" s="13">
        <f t="shared" si="10"/>
        <v>0</v>
      </c>
      <c r="AT36" s="15"/>
      <c r="AV36" s="15"/>
      <c r="AW36" s="15">
        <f t="shared" si="11"/>
        <v>0</v>
      </c>
      <c r="AX36" s="15">
        <f t="shared" si="12"/>
        <v>0</v>
      </c>
      <c r="AY36" s="15">
        <f t="shared" si="13"/>
        <v>0</v>
      </c>
      <c r="AZ36" s="16">
        <f t="shared" si="14"/>
        <v>0</v>
      </c>
      <c r="BA36" s="58"/>
      <c r="BB36" s="58"/>
      <c r="BC36" s="15"/>
      <c r="BD36" s="57">
        <f t="shared" si="15"/>
        <v>0</v>
      </c>
      <c r="BE36" s="82"/>
      <c r="BF36" s="29">
        <f t="shared" si="5"/>
        <v>0</v>
      </c>
      <c r="BG36" s="29">
        <v>4</v>
      </c>
      <c r="BH36" s="15"/>
      <c r="BI36" s="15"/>
      <c r="BJ36" s="15"/>
      <c r="BK36" s="15"/>
      <c r="BL36" s="61"/>
      <c r="BN36" t="s">
        <v>126</v>
      </c>
      <c r="BO36" t="s">
        <v>126</v>
      </c>
      <c r="BP36" s="6"/>
    </row>
    <row r="37" spans="1:68" ht="18.75" x14ac:dyDescent="0.3">
      <c r="A37" s="1" t="s">
        <v>193</v>
      </c>
      <c r="B37" s="1" t="str">
        <f>VLOOKUP(A37,[11]LISTADHERENT!A$5:H$50,3,0)</f>
        <v>YIALA ALAIN OSCAR</v>
      </c>
      <c r="C37" s="5">
        <f t="shared" si="6"/>
        <v>0</v>
      </c>
      <c r="D37" s="9">
        <f>VLOOKUP(A37,[12]HISTOBQUEAVRIL24!$A$6:$G$46,3,0)</f>
        <v>0</v>
      </c>
      <c r="E37" s="9">
        <f>VLOOKUP(A37,[12]HISTOBQUEAVRIL24!$A$6:$G$41,4,0)</f>
        <v>0</v>
      </c>
      <c r="F37" s="9">
        <f>VLOOKUP(A37,[12]HISTOBQUEAVRIL24!$A$6:$G$41,5,0)</f>
        <v>0</v>
      </c>
      <c r="G37" s="5">
        <f t="shared" si="7"/>
        <v>0</v>
      </c>
      <c r="H37" s="10" t="str">
        <f t="shared" si="0"/>
        <v>ECHEC</v>
      </c>
      <c r="I37" s="10"/>
      <c r="J37" s="11">
        <v>1</v>
      </c>
      <c r="K37" s="11">
        <f t="shared" si="8"/>
        <v>0</v>
      </c>
      <c r="L37" s="6"/>
      <c r="M37" s="11">
        <f t="shared" si="1"/>
        <v>0</v>
      </c>
      <c r="N37" s="6">
        <v>1</v>
      </c>
      <c r="O37" s="11">
        <f t="shared" si="2"/>
        <v>0</v>
      </c>
      <c r="P37" s="2">
        <f>VLOOKUP(A37,[14]TONTAOUT24!$A$6:$R$39,12,0)</f>
        <v>0</v>
      </c>
      <c r="Q37" s="2"/>
      <c r="R37" s="2">
        <f>VLOOKUP(A37,[16]TONTAOUT24!$A$7:$P$20,10,0)</f>
        <v>0</v>
      </c>
      <c r="S37" s="6"/>
      <c r="T37" s="12"/>
      <c r="U37" s="17">
        <f t="shared" si="9"/>
        <v>0</v>
      </c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1"/>
      <c r="AJ37" s="11"/>
      <c r="AK37" s="11"/>
      <c r="AL37" s="11"/>
      <c r="AM37" s="11"/>
      <c r="AN37" s="11"/>
      <c r="AO37" s="11"/>
      <c r="AP37" s="12"/>
      <c r="AQ37" s="8">
        <f t="shared" si="3"/>
        <v>0</v>
      </c>
      <c r="AR37" s="8">
        <f t="shared" si="4"/>
        <v>0</v>
      </c>
      <c r="AS37" s="13">
        <f t="shared" si="10"/>
        <v>0</v>
      </c>
      <c r="AT37" s="15"/>
      <c r="AV37" s="15"/>
      <c r="AW37" s="15">
        <f t="shared" si="11"/>
        <v>0</v>
      </c>
      <c r="AX37" s="15">
        <f t="shared" si="12"/>
        <v>0</v>
      </c>
      <c r="AY37" s="15">
        <f t="shared" si="13"/>
        <v>0</v>
      </c>
      <c r="AZ37" s="16">
        <f t="shared" si="14"/>
        <v>0</v>
      </c>
      <c r="BA37" s="58"/>
      <c r="BB37" s="58"/>
      <c r="BC37" s="15"/>
      <c r="BD37" s="57">
        <f t="shared" si="15"/>
        <v>0</v>
      </c>
      <c r="BE37" s="82"/>
      <c r="BF37" s="29">
        <f t="shared" si="5"/>
        <v>0</v>
      </c>
      <c r="BG37" s="29">
        <v>4</v>
      </c>
      <c r="BH37" s="15"/>
      <c r="BI37" s="15"/>
      <c r="BJ37" s="15"/>
      <c r="BK37" s="15"/>
      <c r="BL37" s="15"/>
      <c r="BN37" t="s">
        <v>127</v>
      </c>
      <c r="BO37" t="s">
        <v>126</v>
      </c>
      <c r="BP37" s="6"/>
    </row>
    <row r="38" spans="1:68" ht="18.75" x14ac:dyDescent="0.3">
      <c r="A38" s="1" t="s">
        <v>41</v>
      </c>
      <c r="B38" s="1" t="str">
        <f>VLOOKUP(A38,[11]LISTADHERENT!A$5:H$50,3,0)</f>
        <v>YOUMBI EMMANUEL</v>
      </c>
      <c r="C38" s="5">
        <f t="shared" si="6"/>
        <v>0</v>
      </c>
      <c r="D38" s="9">
        <f>VLOOKUP(A38,[12]HISTOBQUEAVRIL24!$A$6:$G$46,3,0)</f>
        <v>0</v>
      </c>
      <c r="E38" s="9">
        <f>VLOOKUP(A38,[12]HISTOBQUEAVRIL24!$A$6:$G$41,4,0)</f>
        <v>0</v>
      </c>
      <c r="F38" s="9">
        <f>VLOOKUP(A38,[12]HISTOBQUEAVRIL24!$A$6:$G$41,5,0)</f>
        <v>0</v>
      </c>
      <c r="G38" s="5">
        <f t="shared" si="7"/>
        <v>0</v>
      </c>
      <c r="H38" s="10" t="str">
        <f t="shared" si="0"/>
        <v>ECHEC</v>
      </c>
      <c r="I38" s="10"/>
      <c r="J38" s="11">
        <v>1</v>
      </c>
      <c r="K38" s="11">
        <f t="shared" si="8"/>
        <v>0</v>
      </c>
      <c r="L38" s="6">
        <v>1</v>
      </c>
      <c r="M38" s="11">
        <f t="shared" si="1"/>
        <v>0</v>
      </c>
      <c r="N38" s="6"/>
      <c r="O38" s="11">
        <f t="shared" si="2"/>
        <v>0</v>
      </c>
      <c r="P38" s="2">
        <f>VLOOKUP(A38,[14]TONTAOUT24!$A$6:$R$39,12,0)</f>
        <v>0</v>
      </c>
      <c r="Q38" s="2">
        <f>VLOOKUP(A38,[15]TONTAOUT24!$A$7:$P$23,10,0)</f>
        <v>0</v>
      </c>
      <c r="R38" s="2"/>
      <c r="S38" s="6"/>
      <c r="T38" s="12"/>
      <c r="U38" s="17">
        <f t="shared" si="9"/>
        <v>0</v>
      </c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1"/>
      <c r="AM38" s="11"/>
      <c r="AN38" s="11"/>
      <c r="AO38" s="11"/>
      <c r="AP38" s="12"/>
      <c r="AQ38" s="8">
        <f t="shared" si="3"/>
        <v>0</v>
      </c>
      <c r="AR38" s="8">
        <f t="shared" si="4"/>
        <v>0</v>
      </c>
      <c r="AS38" s="13">
        <f t="shared" si="10"/>
        <v>0</v>
      </c>
      <c r="AT38" s="15"/>
      <c r="AV38" s="15"/>
      <c r="AW38" s="15">
        <f t="shared" si="11"/>
        <v>0</v>
      </c>
      <c r="AX38" s="15">
        <f t="shared" si="12"/>
        <v>0</v>
      </c>
      <c r="AY38" s="15">
        <f t="shared" si="13"/>
        <v>0</v>
      </c>
      <c r="AZ38" s="16">
        <f t="shared" si="14"/>
        <v>0</v>
      </c>
      <c r="BA38" s="58"/>
      <c r="BB38" s="58"/>
      <c r="BC38" s="15"/>
      <c r="BD38" s="57">
        <f t="shared" si="15"/>
        <v>0</v>
      </c>
      <c r="BE38" s="82"/>
      <c r="BF38" s="29">
        <f t="shared" si="5"/>
        <v>0</v>
      </c>
      <c r="BG38" s="29">
        <v>4</v>
      </c>
      <c r="BH38" s="15"/>
      <c r="BI38" s="15"/>
      <c r="BJ38" s="15"/>
      <c r="BK38" s="15"/>
      <c r="BL38" s="15"/>
      <c r="BN38" t="s">
        <v>127</v>
      </c>
      <c r="BO38" t="s">
        <v>126</v>
      </c>
      <c r="BP38" s="6"/>
    </row>
    <row r="39" spans="1:68" ht="18.75" x14ac:dyDescent="0.3">
      <c r="P39" s="6"/>
      <c r="Q39" s="6"/>
      <c r="R39" s="6"/>
      <c r="S39" s="6"/>
      <c r="AW39" s="15"/>
      <c r="AX39" s="15"/>
      <c r="AY39" s="15"/>
      <c r="AZ39" s="16"/>
      <c r="BF39" s="29"/>
    </row>
    <row r="40" spans="1:68" ht="18.75" x14ac:dyDescent="0.3">
      <c r="B40" s="1" t="s">
        <v>44</v>
      </c>
      <c r="C40" s="5">
        <f t="shared" ref="C40:S40" si="16">SUM(C6:C39)</f>
        <v>0</v>
      </c>
      <c r="D40" s="5">
        <f t="shared" si="16"/>
        <v>0</v>
      </c>
      <c r="E40" s="5">
        <f t="shared" si="16"/>
        <v>0</v>
      </c>
      <c r="F40" s="5">
        <f t="shared" si="16"/>
        <v>0</v>
      </c>
      <c r="G40" s="5">
        <f t="shared" si="16"/>
        <v>0</v>
      </c>
      <c r="H40" s="5">
        <f t="shared" si="16"/>
        <v>0</v>
      </c>
      <c r="I40" s="5">
        <f t="shared" si="16"/>
        <v>0</v>
      </c>
      <c r="J40" s="5">
        <f t="shared" si="16"/>
        <v>32</v>
      </c>
      <c r="K40" s="5">
        <f t="shared" si="16"/>
        <v>0</v>
      </c>
      <c r="L40" s="5">
        <f t="shared" si="16"/>
        <v>16</v>
      </c>
      <c r="M40" s="5">
        <f t="shared" si="16"/>
        <v>0</v>
      </c>
      <c r="N40" s="5">
        <f t="shared" si="16"/>
        <v>18</v>
      </c>
      <c r="O40" s="5">
        <f t="shared" si="16"/>
        <v>0</v>
      </c>
      <c r="P40" s="5">
        <f t="shared" si="16"/>
        <v>0</v>
      </c>
      <c r="Q40" s="5">
        <f t="shared" si="16"/>
        <v>0</v>
      </c>
      <c r="R40" s="5">
        <f t="shared" si="16"/>
        <v>0</v>
      </c>
      <c r="S40" s="5">
        <f t="shared" si="16"/>
        <v>0</v>
      </c>
      <c r="T40" s="5"/>
      <c r="U40" s="5">
        <f t="shared" ref="U40:AA40" si="17">SUM(U6:U39)</f>
        <v>0</v>
      </c>
      <c r="V40" s="5">
        <f t="shared" si="17"/>
        <v>0</v>
      </c>
      <c r="W40" s="5">
        <f t="shared" si="17"/>
        <v>0</v>
      </c>
      <c r="X40" s="5">
        <f t="shared" si="17"/>
        <v>0</v>
      </c>
      <c r="Y40" s="5">
        <f t="shared" si="17"/>
        <v>0</v>
      </c>
      <c r="Z40" s="5">
        <f t="shared" si="17"/>
        <v>0</v>
      </c>
      <c r="AA40" s="5">
        <f t="shared" si="17"/>
        <v>0</v>
      </c>
      <c r="AB40" s="5"/>
      <c r="AC40" s="5">
        <f>SUM(AC6:AC39)</f>
        <v>0</v>
      </c>
      <c r="AD40" s="5">
        <f>SUM(AD6:AD39)</f>
        <v>0</v>
      </c>
      <c r="AE40" s="5">
        <f>SUM(AE6:AE39)</f>
        <v>0</v>
      </c>
      <c r="AF40" s="5">
        <f>SUM(AF6:AF39)</f>
        <v>0</v>
      </c>
      <c r="AG40" s="5">
        <f>SUM(AG6:AG39)</f>
        <v>0</v>
      </c>
      <c r="AH40" s="5"/>
      <c r="AI40" s="5">
        <f t="shared" ref="AI40:BF40" si="18">SUM(AI6:AI39)</f>
        <v>0</v>
      </c>
      <c r="AJ40" s="5">
        <f t="shared" si="18"/>
        <v>0</v>
      </c>
      <c r="AK40" s="5">
        <f t="shared" si="18"/>
        <v>0</v>
      </c>
      <c r="AL40" s="5">
        <f t="shared" si="18"/>
        <v>0</v>
      </c>
      <c r="AM40" s="5">
        <f t="shared" si="18"/>
        <v>0</v>
      </c>
      <c r="AN40" s="5">
        <f t="shared" si="18"/>
        <v>0</v>
      </c>
      <c r="AO40" s="5">
        <f t="shared" si="18"/>
        <v>0</v>
      </c>
      <c r="AP40" s="5">
        <f t="shared" si="18"/>
        <v>0</v>
      </c>
      <c r="AQ40" s="5">
        <f t="shared" si="18"/>
        <v>0</v>
      </c>
      <c r="AR40" s="5">
        <f t="shared" si="18"/>
        <v>0</v>
      </c>
      <c r="AS40" s="5">
        <f t="shared" si="18"/>
        <v>0</v>
      </c>
      <c r="AT40" s="5">
        <f t="shared" si="18"/>
        <v>0</v>
      </c>
      <c r="AU40" s="5">
        <f t="shared" si="18"/>
        <v>0</v>
      </c>
      <c r="AV40" s="5">
        <f t="shared" si="18"/>
        <v>0</v>
      </c>
      <c r="AW40" s="5">
        <f t="shared" si="18"/>
        <v>0</v>
      </c>
      <c r="AX40" s="5">
        <f t="shared" si="18"/>
        <v>0</v>
      </c>
      <c r="AY40" s="5">
        <f t="shared" si="18"/>
        <v>0</v>
      </c>
      <c r="AZ40" s="5">
        <f t="shared" si="18"/>
        <v>0</v>
      </c>
      <c r="BA40" s="5">
        <f t="shared" si="18"/>
        <v>0</v>
      </c>
      <c r="BB40" s="5">
        <f t="shared" si="18"/>
        <v>0</v>
      </c>
      <c r="BC40" s="5">
        <f t="shared" si="18"/>
        <v>0</v>
      </c>
      <c r="BD40" s="5">
        <f t="shared" si="18"/>
        <v>0</v>
      </c>
      <c r="BE40" s="5">
        <f t="shared" si="18"/>
        <v>0</v>
      </c>
      <c r="BF40" s="5">
        <f t="shared" si="18"/>
        <v>0</v>
      </c>
      <c r="BH40" s="5">
        <f t="shared" ref="BH40:BL40" si="19">SUM(BH6:BH39)</f>
        <v>0</v>
      </c>
      <c r="BI40" s="5">
        <f t="shared" si="19"/>
        <v>0</v>
      </c>
      <c r="BJ40" s="5">
        <f t="shared" si="19"/>
        <v>0</v>
      </c>
      <c r="BK40" s="5">
        <f t="shared" si="19"/>
        <v>0</v>
      </c>
      <c r="BL40" s="5">
        <f t="shared" si="19"/>
        <v>0</v>
      </c>
      <c r="BM40" s="5">
        <f>SUM(BM6:BM39)</f>
        <v>0</v>
      </c>
      <c r="BN40" s="62" t="s">
        <v>142</v>
      </c>
      <c r="BP40" s="62">
        <f>SUM(BP36:BP38)</f>
        <v>0</v>
      </c>
    </row>
    <row r="41" spans="1:68" ht="18.75" x14ac:dyDescent="0.3">
      <c r="AW41" s="15"/>
      <c r="AX41" s="15"/>
      <c r="AY41" s="15"/>
      <c r="AZ41" s="16"/>
    </row>
    <row r="42" spans="1:68" ht="18.75" x14ac:dyDescent="0.3">
      <c r="Z42" s="12"/>
      <c r="AW42" s="15"/>
      <c r="AX42" s="15"/>
      <c r="AY42" s="15"/>
      <c r="AZ42" s="16"/>
      <c r="BA42" s="6"/>
    </row>
    <row r="43" spans="1:68" ht="18.75" x14ac:dyDescent="0.3">
      <c r="B43" s="21" t="s">
        <v>157</v>
      </c>
      <c r="H43" s="1"/>
      <c r="I43" s="1"/>
      <c r="Z43" s="12"/>
      <c r="AW43" s="15"/>
      <c r="AX43" s="15"/>
      <c r="AY43" s="15"/>
      <c r="AZ43" s="16"/>
      <c r="BD43" s="70"/>
      <c r="BE43" s="6"/>
      <c r="BN43" t="s">
        <v>129</v>
      </c>
      <c r="BO43" t="s">
        <v>50</v>
      </c>
    </row>
    <row r="44" spans="1:68" ht="18.75" x14ac:dyDescent="0.3">
      <c r="C44" s="3" t="s">
        <v>8</v>
      </c>
      <c r="D44" s="87"/>
      <c r="E44" s="87"/>
      <c r="F44" s="3" t="s">
        <v>9</v>
      </c>
      <c r="G44" s="87"/>
      <c r="H44" s="87"/>
      <c r="I44" s="87"/>
      <c r="Z44" s="12"/>
      <c r="AI44" s="5"/>
      <c r="AV44" s="3"/>
      <c r="AW44" s="87"/>
      <c r="AX44" s="15"/>
      <c r="AY44" s="15"/>
      <c r="AZ44" s="16"/>
    </row>
    <row r="45" spans="1:68" ht="18.75" x14ac:dyDescent="0.3">
      <c r="B45" s="1" t="s">
        <v>74</v>
      </c>
      <c r="C45" s="1" t="s">
        <v>76</v>
      </c>
      <c r="D45" s="1" t="s">
        <v>75</v>
      </c>
      <c r="E45" s="1" t="s">
        <v>77</v>
      </c>
      <c r="F45" s="1" t="s">
        <v>75</v>
      </c>
      <c r="G45" s="1" t="s">
        <v>76</v>
      </c>
      <c r="H45" s="1" t="s">
        <v>77</v>
      </c>
      <c r="I45" s="1"/>
      <c r="J45" s="1"/>
      <c r="K45" s="1"/>
      <c r="Z45" s="12"/>
      <c r="AI45" s="5"/>
      <c r="AW45" s="15"/>
      <c r="AX45" s="15"/>
      <c r="AY45" s="15"/>
      <c r="AZ45" s="16"/>
      <c r="BN45" s="62" t="s">
        <v>142</v>
      </c>
      <c r="BP45" s="62">
        <f>SUM(BP42:BP44)</f>
        <v>0</v>
      </c>
    </row>
    <row r="46" spans="1:68" ht="18.75" x14ac:dyDescent="0.3">
      <c r="B46" s="1" t="s">
        <v>78</v>
      </c>
      <c r="AW46" s="15"/>
      <c r="AX46" s="15"/>
      <c r="AY46" s="15"/>
      <c r="AZ46" s="16"/>
    </row>
    <row r="47" spans="1:68" ht="18.75" x14ac:dyDescent="0.3">
      <c r="B47" s="1" t="s">
        <v>79</v>
      </c>
      <c r="C47" s="14">
        <f>AZ40</f>
        <v>0</v>
      </c>
      <c r="D47" s="9">
        <f>SUMIFS(D8:D40,H8:H40,"BANQUE")</f>
        <v>0</v>
      </c>
      <c r="F47" s="9">
        <f>E40</f>
        <v>0</v>
      </c>
      <c r="G47" s="14"/>
      <c r="J47" s="5"/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0" spans="49:52" ht="18.75" x14ac:dyDescent="0.3">
      <c r="AW80" s="15"/>
      <c r="AX80" s="15"/>
      <c r="AY80" s="15"/>
      <c r="AZ80" s="16"/>
    </row>
    <row r="81" spans="49:52" ht="18.75" x14ac:dyDescent="0.3">
      <c r="AW81" s="15"/>
      <c r="AX81" s="15"/>
      <c r="AY81" s="15"/>
      <c r="AZ81" s="16"/>
    </row>
    <row r="82" spans="49:52" ht="18.75" x14ac:dyDescent="0.3">
      <c r="AW82" s="15"/>
      <c r="AX82" s="15"/>
      <c r="AY82" s="15"/>
      <c r="AZ82" s="16"/>
    </row>
    <row r="83" spans="49:52" ht="18.75" x14ac:dyDescent="0.3">
      <c r="AW83" s="15"/>
      <c r="AX83" s="15"/>
      <c r="AY83" s="15"/>
      <c r="AZ83" s="16"/>
    </row>
    <row r="85" spans="49:52" ht="18" x14ac:dyDescent="0.25">
      <c r="AW85" s="5"/>
      <c r="AX85" s="5"/>
      <c r="AY85" s="5"/>
      <c r="AZ85" s="5">
        <f>SUM(AZ8:AZ84)</f>
        <v>0</v>
      </c>
    </row>
  </sheetData>
  <autoFilter ref="A5:AF38"/>
  <mergeCells count="1">
    <mergeCell ref="B4:M4"/>
  </mergeCells>
  <dataValidations count="1">
    <dataValidation type="list" allowBlank="1" showInputMessage="1" showErrorMessage="1" sqref="T6:T38 AP6:AP38 AF6:AF38 AA6:AA38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T21" activePane="bottomRight" state="frozen"/>
      <selection activeCell="B6" sqref="B6:B36"/>
      <selection pane="topRight" activeCell="B6" sqref="B6:B36"/>
      <selection pane="bottomLeft" activeCell="B6" sqref="B6:B36"/>
      <selection pane="bottomRight" activeCell="A22" sqref="A22:XFD2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6.28515625" customWidth="1"/>
    <col min="58" max="58" width="15" bestFit="1" customWidth="1"/>
    <col min="63" max="63" width="14.42578125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VLOOKUP(A6,[18]HISTOBQUEAOUT23!$A$6:$G$44,3,0)</f>
        <v>175000</v>
      </c>
      <c r="E6" s="9">
        <f>VLOOKUP(A6,[18]HISTOBQUEAOUT23!$A$6:$G$39,4,0)</f>
        <v>0</v>
      </c>
      <c r="F6" s="9">
        <f>VLOOKUP(A6,[18]HISTOBQUEAOUT23!$A$6:$G$39,5,0)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VLOOKUP($A6,[13]TONTAOUT23!$A$6:$P$20,10,0)</f>
        <v>0</v>
      </c>
      <c r="R6" s="2">
        <f>VLOOKUP($A6,[19]TONTAOUT23!$A$6:$P$21,10,0)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760000</v>
      </c>
      <c r="BA6" s="58"/>
      <c r="BB6" s="58"/>
      <c r="BC6" s="15"/>
      <c r="BD6" s="57">
        <f>IF(AZ6=0,(AZ6-BA6-BC6),(AZ6-BA6-BB6-BC6))+F6</f>
        <v>760000</v>
      </c>
      <c r="BE6" s="82">
        <v>106000</v>
      </c>
      <c r="BF6" s="29">
        <f t="shared" ref="BF6:BF36" si="6">Z6*1/100*BG6</f>
        <v>0</v>
      </c>
      <c r="BG6" s="29">
        <v>4</v>
      </c>
      <c r="BH6" s="15">
        <f>BP16</f>
        <v>45000</v>
      </c>
      <c r="BI6" s="15">
        <f>BP28</f>
        <v>155000</v>
      </c>
      <c r="BJ6" s="15">
        <f>BP33</f>
        <v>560000</v>
      </c>
      <c r="BK6" s="15"/>
      <c r="BL6" s="15"/>
      <c r="BM6" s="15">
        <f>BP22</f>
        <v>0</v>
      </c>
      <c r="BN6" t="s">
        <v>189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VLOOKUP(A7,[18]HISTOBQUEAOUT23!$A$6:$G$44,3,0)</f>
        <v>40000</v>
      </c>
      <c r="E7" s="9">
        <f>VLOOKUP(A7,[18]HISTOBQUEAOUT23!$A$6:$G$39,4,0)</f>
        <v>0</v>
      </c>
      <c r="F7" s="9">
        <f>VLOOKUP(A7,[18]HISTOBQUEAOUT23!$A$6:$G$39,5,0)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VLOOKUP($A7,[20]TONTAOUT23!$A$6:$P$35,12,0)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0</v>
      </c>
      <c r="BA7" s="58"/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4</v>
      </c>
      <c r="BH7" s="15"/>
      <c r="BI7" s="15"/>
      <c r="BJ7" s="15"/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VLOOKUP(A8,[18]HISTOBQUEAOUT23!$A$6:$G$44,3,0)</f>
        <v>115000</v>
      </c>
      <c r="E8" s="9">
        <f>VLOOKUP(A8,[18]HISTOBQUEAOUT23!$A$6:$G$39,4,0)</f>
        <v>0</v>
      </c>
      <c r="F8" s="9">
        <f>VLOOKUP(A8,[18]HISTOBQUEAOUT23!$A$6:$G$39,5,0)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VLOOKUP($A8,[20]TONTAOUT23!$A$6:$P$35,12,0)</f>
        <v>0</v>
      </c>
      <c r="Q8" s="2">
        <f>VLOOKUP($A8,[13]TONTAOUT23!$A$6:$P$20,10,0)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0</v>
      </c>
      <c r="AY8" s="15">
        <f t="shared" si="11"/>
        <v>0</v>
      </c>
      <c r="AZ8" s="16">
        <f t="shared" si="12"/>
        <v>0</v>
      </c>
      <c r="BA8" s="58"/>
      <c r="BB8" s="58"/>
      <c r="BC8" s="15"/>
      <c r="BD8" s="57">
        <f t="shared" si="13"/>
        <v>0</v>
      </c>
      <c r="BE8" s="82"/>
      <c r="BF8" s="29">
        <f t="shared" si="6"/>
        <v>0</v>
      </c>
      <c r="BG8" s="29">
        <v>4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33000</v>
      </c>
    </row>
    <row r="9" spans="1:68" s="72" customFormat="1" ht="18.75" x14ac:dyDescent="0.3">
      <c r="A9" s="73" t="s">
        <v>13</v>
      </c>
      <c r="B9" s="73" t="str">
        <f>VLOOKUP(A9,[17]LISTADHERENT!A$5:H$39,3,0)</f>
        <v xml:space="preserve">DJOMO JEAN PAUL </v>
      </c>
      <c r="C9" s="14">
        <f t="shared" si="0"/>
        <v>0</v>
      </c>
      <c r="D9" s="14">
        <f>VLOOKUP(A9,[18]HISTOBQUEAOUT23!$A$6:$G$44,3,0)</f>
        <v>140000</v>
      </c>
      <c r="E9" s="14">
        <f>VLOOKUP(A9,[18]HISTOBQUEAOUT23!$A$6:$G$39,4,0)</f>
        <v>202000</v>
      </c>
      <c r="F9" s="14">
        <f>VLOOKUP(A9,[18]HISTOBQUEAOUT23!$A$6:$G$39,5,0)</f>
        <v>0</v>
      </c>
      <c r="G9" s="14">
        <f>IF(H9="ESPECES",3000,0)</f>
        <v>0</v>
      </c>
      <c r="H9" s="74" t="str">
        <f t="shared" si="1"/>
        <v>BANQUE</v>
      </c>
      <c r="I9" s="74"/>
      <c r="J9" s="75">
        <v>1</v>
      </c>
      <c r="K9" s="75">
        <f t="shared" si="14"/>
        <v>40000</v>
      </c>
      <c r="L9" s="70"/>
      <c r="M9" s="75">
        <f t="shared" si="2"/>
        <v>0</v>
      </c>
      <c r="N9" s="70">
        <v>1</v>
      </c>
      <c r="O9" s="75">
        <f t="shared" si="3"/>
        <v>100000</v>
      </c>
      <c r="P9" s="76">
        <f>VLOOKUP($A9,[20]TONTAOUT23!$A$6:$P$35,12,0)</f>
        <v>0</v>
      </c>
      <c r="Q9" s="76"/>
      <c r="R9" s="76">
        <f>VLOOKUP($A9,[19]TONTAOUT23!$A$6:$P$21,10,0)</f>
        <v>202000</v>
      </c>
      <c r="S9" s="77"/>
      <c r="T9" s="78"/>
      <c r="U9" s="79">
        <f t="shared" si="15"/>
        <v>342000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>
        <v>300000</v>
      </c>
      <c r="AL9" s="78"/>
      <c r="AM9" s="78"/>
      <c r="AN9" s="78">
        <v>3000</v>
      </c>
      <c r="AO9" s="78"/>
      <c r="AP9" s="78" t="s">
        <v>8</v>
      </c>
      <c r="AQ9" s="8">
        <f t="shared" si="4"/>
        <v>0</v>
      </c>
      <c r="AR9" s="8">
        <f t="shared" si="5"/>
        <v>0</v>
      </c>
      <c r="AS9" s="75">
        <f t="shared" si="8"/>
        <v>15000</v>
      </c>
      <c r="AT9" s="78"/>
      <c r="AV9" s="80"/>
      <c r="AW9" s="80">
        <f t="shared" si="9"/>
        <v>0</v>
      </c>
      <c r="AX9" s="80">
        <f t="shared" si="10"/>
        <v>0</v>
      </c>
      <c r="AY9" s="80">
        <f t="shared" si="11"/>
        <v>300000</v>
      </c>
      <c r="AZ9" s="71">
        <f t="shared" si="12"/>
        <v>300000</v>
      </c>
      <c r="BA9" s="58">
        <v>300000</v>
      </c>
      <c r="BB9" s="58"/>
      <c r="BC9" s="80"/>
      <c r="BD9" s="71">
        <f t="shared" si="13"/>
        <v>0</v>
      </c>
      <c r="BE9" s="83"/>
      <c r="BF9" s="81">
        <f t="shared" si="6"/>
        <v>0</v>
      </c>
      <c r="BG9" s="29">
        <v>4</v>
      </c>
      <c r="BH9" s="80"/>
      <c r="BI9" s="80"/>
      <c r="BJ9" s="80"/>
      <c r="BK9" s="80"/>
      <c r="BL9" s="76"/>
      <c r="BN9" s="72" t="s">
        <v>188</v>
      </c>
      <c r="BO9" s="72" t="s">
        <v>114</v>
      </c>
      <c r="BP9" s="70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VLOOKUP(A10,[18]HISTOBQUEAOUT23!$A$6:$G$44,3,0)</f>
        <v>0</v>
      </c>
      <c r="E10" s="9">
        <f>VLOOKUP(A10,[18]HISTOBQUEAOUT23!$A$6:$G$39,4,0)</f>
        <v>43000</v>
      </c>
      <c r="F10" s="9">
        <f>VLOOKUP(A10,[18]HISTOBQUEAOUT23!$A$6:$G$39,5,0)</f>
        <v>0</v>
      </c>
      <c r="G10" s="5">
        <f t="shared" si="7"/>
        <v>3000</v>
      </c>
      <c r="H10" s="10" t="str">
        <f t="shared" si="1"/>
        <v>ESPECES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VLOOKUP($A10,[20]TONTAOUT23!$A$6:$P$35,12,0)</f>
        <v>0</v>
      </c>
      <c r="Q10" s="2"/>
      <c r="R10" s="2"/>
      <c r="S10" s="20"/>
      <c r="T10" s="12"/>
      <c r="U10" s="17">
        <f t="shared" si="15"/>
        <v>43000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4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VLOOKUP(A11,[18]HISTOBQUEAOUT23!$A$6:$G$44,3,0)</f>
        <v>115000</v>
      </c>
      <c r="E11" s="9">
        <f>VLOOKUP(A11,[18]HISTOBQUEAOUT23!$A$6:$G$39,4,0)</f>
        <v>0</v>
      </c>
      <c r="F11" s="9">
        <f>VLOOKUP(A11,[18]HISTOBQUEAOUT23!$A$6:$G$39,5,0)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VLOOKUP($A11,[20]TONTAOUT23!$A$6:$P$35,12,0)</f>
        <v>0</v>
      </c>
      <c r="Q11" s="2">
        <f>VLOOKUP($A11,[13]TONTAOUT23!$A$6:$P$20,10,0)</f>
        <v>0</v>
      </c>
      <c r="R11" s="2"/>
      <c r="S11" s="20"/>
      <c r="T11" s="12"/>
      <c r="U11" s="17">
        <f t="shared" si="15"/>
        <v>115000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>
        <v>61500</v>
      </c>
      <c r="AJ11" s="12">
        <f>75000+92000</f>
        <v>167000</v>
      </c>
      <c r="AK11" s="12"/>
      <c r="AL11" s="12">
        <v>1000</v>
      </c>
      <c r="AM11" s="12">
        <v>2000</v>
      </c>
      <c r="AN11" s="12">
        <v>1000</v>
      </c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61500</v>
      </c>
      <c r="AX11" s="15">
        <f t="shared" si="10"/>
        <v>167000</v>
      </c>
      <c r="AY11" s="15">
        <f t="shared" si="11"/>
        <v>0</v>
      </c>
      <c r="AZ11" s="16">
        <f t="shared" si="12"/>
        <v>228500</v>
      </c>
      <c r="BA11" s="58"/>
      <c r="BB11" s="58"/>
      <c r="BC11" s="15"/>
      <c r="BD11" s="57">
        <f t="shared" si="13"/>
        <v>228500</v>
      </c>
      <c r="BE11" s="82">
        <f>61500+167000</f>
        <v>228500</v>
      </c>
      <c r="BF11" s="29">
        <f t="shared" si="6"/>
        <v>0</v>
      </c>
      <c r="BG11" s="29">
        <v>4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VLOOKUP(A12,[18]HISTOBQUEAOUT23!$A$6:$G$44,3,0)</f>
        <v>320000</v>
      </c>
      <c r="E12" s="9">
        <f>VLOOKUP(A12,[18]HISTOBQUEAOUT23!$A$6:$G$39,4,0)</f>
        <v>0</v>
      </c>
      <c r="F12" s="9">
        <f>VLOOKUP(A12,[18]HISTOBQUEAOUT23!$A$6:$G$39,5,0)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VLOOKUP($A12,[20]TONTAOUT23!$A$6:$P$35,12,0)</f>
        <v>0</v>
      </c>
      <c r="Q12" s="2">
        <f>VLOOKUP($A12,[13]TONTAOUT23!$A$6:$P$20,10,0)</f>
        <v>0</v>
      </c>
      <c r="R12" s="2">
        <f>VLOOKUP($A12,[19]TONTAOUT23!$A$6:$P$21,10,0)</f>
        <v>0</v>
      </c>
      <c r="S12" s="20"/>
      <c r="T12" s="12"/>
      <c r="U12" s="17">
        <f t="shared" si="15"/>
        <v>320000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>
        <v>10000</v>
      </c>
      <c r="AF12" s="12" t="s">
        <v>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1190000</v>
      </c>
      <c r="AZ12" s="16">
        <f t="shared" si="12"/>
        <v>1190000</v>
      </c>
      <c r="BA12" s="58"/>
      <c r="BB12" s="58"/>
      <c r="BC12" s="15"/>
      <c r="BD12" s="57">
        <f t="shared" si="13"/>
        <v>1190000</v>
      </c>
      <c r="BE12" s="82">
        <v>1190000</v>
      </c>
      <c r="BF12" s="29">
        <f t="shared" si="6"/>
        <v>0</v>
      </c>
      <c r="BG12" s="29">
        <v>4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VLOOKUP(A13,[18]HISTOBQUEAOUT23!$A$6:$G$44,3,0)</f>
        <v>40000</v>
      </c>
      <c r="E13" s="9">
        <f>VLOOKUP(A13,[18]HISTOBQUEAOUT23!$A$6:$G$39,4,0)</f>
        <v>0</v>
      </c>
      <c r="F13" s="9">
        <f>VLOOKUP(A13,[18]HISTOBQUEAOUT23!$A$6:$G$39,5,0)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VLOOKUP($A13,[20]TONTAOUT23!$A$6:$P$35,12,0)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4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12000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VLOOKUP(A14,[18]HISTOBQUEAOUT23!$A$6:$G$44,3,0)</f>
        <v>40000</v>
      </c>
      <c r="E14" s="9">
        <f>VLOOKUP(A14,[18]HISTOBQUEAOUT23!$A$6:$G$39,4,0)</f>
        <v>0</v>
      </c>
      <c r="F14" s="9">
        <f>VLOOKUP(A14,[18]HISTOBQUEAOUT23!$A$6:$G$39,5,0)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VLOOKUP($A14,[20]TONTAOUT23!$A$6:$P$35,12,0)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4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VLOOKUP(A15,[18]HISTOBQUEAOUT23!$A$6:$G$44,3,0)</f>
        <v>115000</v>
      </c>
      <c r="E15" s="9">
        <f>VLOOKUP(A15,[18]HISTOBQUEAOUT23!$A$6:$G$39,4,0)</f>
        <v>0</v>
      </c>
      <c r="F15" s="9">
        <f>VLOOKUP(A15,[18]HISTOBQUEAOUT23!$A$6:$G$39,5,0)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VLOOKUP($A15,[20]TONTAOUT23!$A$6:$P$35,12,0)</f>
        <v>0</v>
      </c>
      <c r="Q15" s="2">
        <f>VLOOKUP($A15,[13]TONTAOUT23!$A$6:$P$20,10,0)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4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0</v>
      </c>
      <c r="D16" s="9">
        <f>VLOOKUP(A16,[18]HISTOBQUEAOUT23!$A$6:$G$44,3,0)</f>
        <v>250000</v>
      </c>
      <c r="E16" s="9">
        <f>VLOOKUP(A16,[18]HISTOBQUEAOUT23!$A$6:$G$39,4,0)</f>
        <v>0</v>
      </c>
      <c r="F16" s="9">
        <f>VLOOKUP(A16,[18]HISTOBQUEAOUT23!$A$6:$G$39,5,0)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VLOOKUP($A16,[20]TONTAOUT23!$A$6:$P$35,12,0)</f>
        <v>0</v>
      </c>
      <c r="Q16" s="2">
        <f>VLOOKUP($A16,[13]TONTAOUT23!$A$6:$P$20,10,0)</f>
        <v>0</v>
      </c>
      <c r="R16" s="2">
        <f>VLOOKUP($A16,[19]TONTAOUT23!$A$6:$P$21,10,0)</f>
        <v>0</v>
      </c>
      <c r="S16" s="20"/>
      <c r="T16" s="12"/>
      <c r="U16" s="17">
        <f t="shared" si="15"/>
        <v>250000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0</v>
      </c>
      <c r="AZ16" s="16">
        <f t="shared" si="12"/>
        <v>0</v>
      </c>
      <c r="BA16" s="58"/>
      <c r="BB16" s="58"/>
      <c r="BC16" s="15"/>
      <c r="BD16" s="57">
        <f t="shared" si="13"/>
        <v>0</v>
      </c>
      <c r="BE16" s="82"/>
      <c r="BF16" s="29">
        <f t="shared" si="6"/>
        <v>0</v>
      </c>
      <c r="BG16" s="29">
        <v>4</v>
      </c>
      <c r="BH16" s="15"/>
      <c r="BI16" s="15"/>
      <c r="BJ16" s="15"/>
      <c r="BK16" s="15"/>
      <c r="BL16" s="61"/>
      <c r="BN16" s="62" t="s">
        <v>142</v>
      </c>
      <c r="BP16" s="62">
        <f>SUM(BP6:BP15)</f>
        <v>45000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VLOOKUP(A17,[18]HISTOBQUEAOUT23!$A$6:$G$44,3,0)</f>
        <v>241000</v>
      </c>
      <c r="E17" s="9">
        <f>VLOOKUP(A17,[18]HISTOBQUEAOUT23!$A$6:$G$39,4,0)</f>
        <v>0</v>
      </c>
      <c r="F17" s="9">
        <f>VLOOKUP(A17,[18]HISTOBQUEAOUT23!$A$6:$G$39,5,0)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VLOOKUP($A17,[20]TONTAOUT23!$A$6:$P$35,12,0)</f>
        <v>0</v>
      </c>
      <c r="Q17" s="2"/>
      <c r="R17" s="2">
        <f>VLOOKUP($A17,[19]TONTAOUT23!$A$6:$P$21,10,0)</f>
        <v>101000</v>
      </c>
      <c r="S17" s="20"/>
      <c r="T17" s="12"/>
      <c r="U17" s="17">
        <f t="shared" si="15"/>
        <v>241000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 t="s">
        <v>8</v>
      </c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4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VLOOKUP(A18,[18]HISTOBQUEAOUT23!$A$6:$G$44,3,0)</f>
        <v>215000</v>
      </c>
      <c r="E18" s="9">
        <f>VLOOKUP(A18,[18]HISTOBQUEAOUT23!$A$6:$G$39,4,0)</f>
        <v>0</v>
      </c>
      <c r="F18" s="9">
        <f>VLOOKUP(A18,[18]HISTOBQUEAOUT23!$A$6:$G$39,5,0)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VLOOKUP($A18,[20]TONTAOUT23!$A$6:$P$35,12,0)</f>
        <v>0</v>
      </c>
      <c r="Q18" s="2">
        <f>VLOOKUP($A18,[13]TONTAOUT23!$A$6:$P$20,10,0)</f>
        <v>0</v>
      </c>
      <c r="R18" s="2">
        <f>VLOOKUP($A18,[19]TONTAOUT23!$A$6:$P$21,10,0)</f>
        <v>0</v>
      </c>
      <c r="S18" s="20"/>
      <c r="T18" s="12"/>
      <c r="U18" s="17">
        <f t="shared" si="15"/>
        <v>215000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0</v>
      </c>
      <c r="AY18" s="15">
        <f t="shared" si="11"/>
        <v>0</v>
      </c>
      <c r="AZ18" s="16">
        <f t="shared" si="12"/>
        <v>0</v>
      </c>
      <c r="BA18" s="58"/>
      <c r="BB18" s="58"/>
      <c r="BC18" s="15"/>
      <c r="BD18" s="57">
        <f t="shared" si="13"/>
        <v>0</v>
      </c>
      <c r="BE18" s="82"/>
      <c r="BF18" s="29">
        <f t="shared" si="6"/>
        <v>0</v>
      </c>
      <c r="BG18" s="29">
        <v>4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VLOOKUP(A19,[18]HISTOBQUEAOUT23!$A$6:$G$44,3,0)</f>
        <v>340000</v>
      </c>
      <c r="E19" s="9">
        <f>VLOOKUP(A19,[18]HISTOBQUEAOUT23!$A$6:$G$39,4,0)</f>
        <v>0</v>
      </c>
      <c r="F19" s="9">
        <f>VLOOKUP(A19,[18]HISTOBQUEAOUT23!$A$6:$G$39,5,0)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VLOOKUP($A19,[20]TONTAOUT23!$A$6:$P$35,12,0)</f>
        <v>0</v>
      </c>
      <c r="Q19" s="2"/>
      <c r="R19" s="2"/>
      <c r="S19" s="20">
        <v>300000</v>
      </c>
      <c r="T19" s="12" t="s">
        <v>8</v>
      </c>
      <c r="U19" s="17">
        <f t="shared" si="15"/>
        <v>340000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4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VLOOKUP(A20,[18]HISTOBQUEAOUT23!$A$6:$G$44,3,0)</f>
        <v>586500</v>
      </c>
      <c r="E20" s="9">
        <f>VLOOKUP(A20,[18]HISTOBQUEAOUT23!$A$6:$G$39,4,0)</f>
        <v>0</v>
      </c>
      <c r="F20" s="9">
        <f>VLOOKUP(A20,[18]HISTOBQUEAOUT23!$A$6:$G$39,5,0)</f>
        <v>0</v>
      </c>
      <c r="G20" s="5">
        <f t="shared" si="7"/>
        <v>0</v>
      </c>
      <c r="H20" s="10" t="str">
        <f t="shared" si="1"/>
        <v>BANQUE</v>
      </c>
      <c r="I20" s="10">
        <v>4000</v>
      </c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VLOOKUP($A20,[20]TONTAOUT23!$A$6:$P$35,12,0)</f>
        <v>0</v>
      </c>
      <c r="Q20" s="2">
        <f>VLOOKUP($A20,[13]TONTAOUT23!$A$6:$P$20,10,0)</f>
        <v>76000</v>
      </c>
      <c r="R20" s="2">
        <f>VLOOKUP($A20,[19]TONTAOUT23!$A$6:$P$21,10,0)</f>
        <v>291500</v>
      </c>
      <c r="S20" s="20"/>
      <c r="T20" s="12"/>
      <c r="U20" s="17">
        <f t="shared" si="15"/>
        <v>586500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60000</v>
      </c>
      <c r="AJ20" s="12">
        <v>150000</v>
      </c>
      <c r="AK20" s="12">
        <v>100000</v>
      </c>
      <c r="AL20" s="12">
        <v>1000</v>
      </c>
      <c r="AM20" s="12">
        <v>2000</v>
      </c>
      <c r="AN20" s="12">
        <v>1000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19000</v>
      </c>
      <c r="AT20" s="12"/>
      <c r="AV20" s="15"/>
      <c r="AW20" s="15">
        <f t="shared" si="9"/>
        <v>60000</v>
      </c>
      <c r="AX20" s="15">
        <f t="shared" si="10"/>
        <v>150000</v>
      </c>
      <c r="AY20" s="15">
        <f t="shared" si="11"/>
        <v>100000</v>
      </c>
      <c r="AZ20" s="16">
        <f t="shared" si="12"/>
        <v>310000</v>
      </c>
      <c r="BA20" s="58"/>
      <c r="BB20" s="58"/>
      <c r="BC20" s="15"/>
      <c r="BD20" s="57">
        <f t="shared" si="13"/>
        <v>310000</v>
      </c>
      <c r="BE20" s="82">
        <f>60000+150000+100000</f>
        <v>310000</v>
      </c>
      <c r="BF20" s="29">
        <f t="shared" si="6"/>
        <v>0</v>
      </c>
      <c r="BG20" s="29">
        <v>4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VLOOKUP(A21,[18]HISTOBQUEAOUT23!$A$6:$G$44,3,0)</f>
        <v>40000</v>
      </c>
      <c r="E21" s="9">
        <f>VLOOKUP(A21,[18]HISTOBQUEAOUT23!$A$6:$G$39,4,0)</f>
        <v>0</v>
      </c>
      <c r="F21" s="9">
        <f>VLOOKUP(A21,[18]HISTOBQUEAOUT23!$A$6:$G$39,5,0)</f>
        <v>70000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VLOOKUP($A21,[20]TONTAOUT23!$A$6:$P$35,12,0)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>
        <v>2500</v>
      </c>
      <c r="AD21" s="12"/>
      <c r="AE21" s="12"/>
      <c r="AF21" s="12" t="s">
        <v>8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297500</v>
      </c>
      <c r="AX21" s="15">
        <f t="shared" si="10"/>
        <v>0</v>
      </c>
      <c r="AY21" s="15">
        <f t="shared" si="11"/>
        <v>0</v>
      </c>
      <c r="AZ21" s="16">
        <f t="shared" si="12"/>
        <v>227500</v>
      </c>
      <c r="BA21" s="58"/>
      <c r="BB21" s="58">
        <v>70000</v>
      </c>
      <c r="BC21" s="15"/>
      <c r="BD21" s="57">
        <f t="shared" si="13"/>
        <v>227500</v>
      </c>
      <c r="BE21" s="82">
        <v>227500</v>
      </c>
      <c r="BF21" s="29">
        <f t="shared" si="6"/>
        <v>0</v>
      </c>
      <c r="BG21" s="29">
        <v>4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VLOOKUP(A22,[18]HISTOBQUEAOUT23!$A$6:$G$44,3,0)</f>
        <v>115000</v>
      </c>
      <c r="E22" s="9">
        <f>VLOOKUP(A22,[18]HISTOBQUEAOUT23!$A$6:$G$39,4,0)</f>
        <v>0</v>
      </c>
      <c r="F22" s="9">
        <f>VLOOKUP(A22,[18]HISTOBQUEAOUT23!$A$6:$G$39,5,0)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VLOOKUP($A22,[20]TONTAOUT23!$A$6:$P$35,12,0)</f>
        <v>0</v>
      </c>
      <c r="Q22" s="2">
        <f>VLOOKUP($A22,[13]TONTAOUT23!$A$6:$P$20,10,0)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4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69">
        <f t="shared" si="0"/>
        <v>-576000</v>
      </c>
      <c r="D23" s="9">
        <f>VLOOKUP(A23,[18]HISTOBQUEAOUT23!$A$6:$G$44,3,0)</f>
        <v>270000</v>
      </c>
      <c r="E23" s="9">
        <f>VLOOKUP(A23,[18]HISTOBQUEAOUT23!$A$6:$G$39,4,0)</f>
        <v>0</v>
      </c>
      <c r="F23" s="9">
        <f>VLOOKUP(A23,[18]HISTOBQUEAOUT23!$A$6:$G$39,5,0)</f>
        <v>0</v>
      </c>
      <c r="G23" s="5">
        <f t="shared" si="7"/>
        <v>0</v>
      </c>
      <c r="H23" s="10" t="str">
        <f t="shared" si="1"/>
        <v>BANQUE</v>
      </c>
      <c r="I23" s="10">
        <v>6000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VLOOKUP($A23,[20]TONTAOUT23!$A$6:$P$35,12,0)</f>
        <v>0</v>
      </c>
      <c r="Q23" s="2"/>
      <c r="R23" s="2">
        <f>VLOOKUP($A23,[19]TONTAOUT23!$A$6:$P$21,10,0)</f>
        <v>0</v>
      </c>
      <c r="S23" s="20">
        <v>600000</v>
      </c>
      <c r="T23" s="12" t="s">
        <v>8</v>
      </c>
      <c r="U23" s="17">
        <f t="shared" si="15"/>
        <v>846000</v>
      </c>
      <c r="V23" s="12"/>
      <c r="W23" s="12"/>
      <c r="X23" s="12"/>
      <c r="Y23" s="12"/>
      <c r="Z23" s="12">
        <v>600000</v>
      </c>
      <c r="AA23" s="12" t="s">
        <v>8</v>
      </c>
      <c r="AB23" s="12"/>
      <c r="AC23" s="12"/>
      <c r="AD23" s="12"/>
      <c r="AE23" s="12">
        <v>10000</v>
      </c>
      <c r="AF23" s="12" t="s">
        <v>8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21000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1190000</v>
      </c>
      <c r="AZ23" s="16">
        <f>SUM(AV23:AY23)-BF23+Z23-F23+BH23+BI23+BJ23+BK23+BL23+BM23-576000</f>
        <v>1190000</v>
      </c>
      <c r="BA23" s="58"/>
      <c r="BB23" s="58"/>
      <c r="BC23" s="15"/>
      <c r="BD23" s="71">
        <f t="shared" si="13"/>
        <v>1190000</v>
      </c>
      <c r="BE23" s="82">
        <f>1190000+100000</f>
        <v>1290000</v>
      </c>
      <c r="BF23" s="29">
        <f t="shared" si="6"/>
        <v>24000</v>
      </c>
      <c r="BG23" s="29">
        <v>4</v>
      </c>
      <c r="BH23" s="15"/>
      <c r="BI23" s="15"/>
      <c r="BJ23" s="15"/>
      <c r="BK23" s="15"/>
      <c r="BL23" s="61"/>
      <c r="BP23" s="6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69">
        <f t="shared" si="0"/>
        <v>-230000</v>
      </c>
      <c r="D24" s="9">
        <f>VLOOKUP(A24,[18]HISTOBQUEAOUT23!$A$6:$G$44,3,0)</f>
        <v>320000</v>
      </c>
      <c r="E24" s="9">
        <f>VLOOKUP(A24,[18]HISTOBQUEAOUT23!$A$6:$G$39,4,0)</f>
        <v>0</v>
      </c>
      <c r="F24" s="9">
        <f>VLOOKUP(A24,[18]HISTOBQUEAOUT23!$A$6:$G$39,5,0)</f>
        <v>0</v>
      </c>
      <c r="G24" s="5">
        <f t="shared" si="7"/>
        <v>0</v>
      </c>
      <c r="H24" s="10" t="str">
        <f t="shared" si="1"/>
        <v>BANQUE</v>
      </c>
      <c r="I24" s="10">
        <v>4000</v>
      </c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VLOOKUP($A24,[20]TONTAOUT23!$A$6:$P$35,12,0)</f>
        <v>61000</v>
      </c>
      <c r="Q24" s="2">
        <f>VLOOKUP($A24,[13]TONTAOUT23!$A$6:$P$20,10,0)</f>
        <v>169000</v>
      </c>
      <c r="R24" s="2">
        <f>VLOOKUP($A24,[19]TONTAOUT23!$A$6:$P$21,10,0)</f>
        <v>101000</v>
      </c>
      <c r="S24" s="20"/>
      <c r="T24" s="12"/>
      <c r="U24" s="17">
        <f t="shared" si="15"/>
        <v>550000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>
        <v>167000</v>
      </c>
      <c r="AK24" s="12"/>
      <c r="AL24" s="12"/>
      <c r="AM24" s="12">
        <v>4000</v>
      </c>
      <c r="AN24" s="12"/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19000</v>
      </c>
      <c r="AT24" s="12"/>
      <c r="AV24" s="15"/>
      <c r="AW24" s="15">
        <f t="shared" si="9"/>
        <v>0</v>
      </c>
      <c r="AX24" s="15">
        <f>IF(AD24=0,AJ24,(1*75000*12)+(AJ24)-AD24)</f>
        <v>167000</v>
      </c>
      <c r="AY24" s="15">
        <f>IF(AE24=0,AK24,(1*100000*12)+(AK24)-AE24)</f>
        <v>0</v>
      </c>
      <c r="AZ24" s="16">
        <f t="shared" si="12"/>
        <v>167000</v>
      </c>
      <c r="BA24" s="58"/>
      <c r="BB24" s="58"/>
      <c r="BC24" s="15"/>
      <c r="BD24" s="71">
        <f>IF(AZ24=0,(AZ24-BA24-BC24),(AZ24-BA24-BB24-BC24))+F24-167000</f>
        <v>0</v>
      </c>
      <c r="BE24" s="82"/>
      <c r="BF24" s="29">
        <f t="shared" si="6"/>
        <v>0</v>
      </c>
      <c r="BG24" s="29">
        <v>4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VLOOKUP(A25,[18]HISTOBQUEAOUT23!$A$6:$G$44,3,0)</f>
        <v>400000</v>
      </c>
      <c r="E25" s="9">
        <f>VLOOKUP(A25,[18]HISTOBQUEAOUT23!$A$6:$G$39,4,0)</f>
        <v>0</v>
      </c>
      <c r="F25" s="9">
        <f>VLOOKUP(A25,[18]HISTOBQUEAOUT23!$A$6:$G$39,5,0)</f>
        <v>0</v>
      </c>
      <c r="G25" s="5">
        <f t="shared" si="7"/>
        <v>0</v>
      </c>
      <c r="H25" s="10" t="str">
        <f t="shared" si="1"/>
        <v>BANQUE</v>
      </c>
      <c r="I25" s="10">
        <v>9000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VLOOKUP($A25,[20]TONTAOUT23!$A$6:$P$35,12,0)</f>
        <v>0</v>
      </c>
      <c r="Q25" s="2">
        <f>VLOOKUP($A25,[13]TONTAOUT23!$A$6:$P$20,10,0)</f>
        <v>0</v>
      </c>
      <c r="R25" s="2">
        <f>VLOOKUP($A25,[19]TONTAOUT23!$A$6:$P$21,10,0)</f>
        <v>101000</v>
      </c>
      <c r="S25" s="20"/>
      <c r="T25" s="12"/>
      <c r="U25" s="17">
        <f t="shared" si="15"/>
        <v>400000</v>
      </c>
      <c r="V25" s="12"/>
      <c r="W25" s="12"/>
      <c r="X25" s="12"/>
      <c r="Y25" s="12"/>
      <c r="Z25" s="12"/>
      <c r="AA25" s="12"/>
      <c r="AB25" s="12"/>
      <c r="AC25" s="12"/>
      <c r="AD25" s="12">
        <v>7500</v>
      </c>
      <c r="AE25" s="12"/>
      <c r="AF25" s="12" t="s">
        <v>8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24000</v>
      </c>
      <c r="AT25" s="12"/>
      <c r="AV25" s="15"/>
      <c r="AW25" s="15">
        <f t="shared" si="9"/>
        <v>0</v>
      </c>
      <c r="AX25" s="15">
        <f t="shared" si="10"/>
        <v>892500</v>
      </c>
      <c r="AY25" s="15">
        <f t="shared" si="11"/>
        <v>0</v>
      </c>
      <c r="AZ25" s="16">
        <f t="shared" si="12"/>
        <v>892500</v>
      </c>
      <c r="BA25" s="58"/>
      <c r="BB25" s="58"/>
      <c r="BC25" s="15"/>
      <c r="BD25" s="57">
        <f t="shared" si="13"/>
        <v>892500</v>
      </c>
      <c r="BE25" s="82">
        <v>892500</v>
      </c>
      <c r="BF25" s="29">
        <f t="shared" si="6"/>
        <v>0</v>
      </c>
      <c r="BG25" s="29">
        <v>4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69">
        <f t="shared" si="0"/>
        <v>-1000000</v>
      </c>
      <c r="D26" s="9">
        <f>VLOOKUP(A26,[18]HISTOBQUEAOUT23!$A$6:$G$44,3,0)-76000</f>
        <v>40000</v>
      </c>
      <c r="E26" s="9">
        <f>VLOOKUP(A26,[18]HISTOBQUEAOUT23!$A$6:$G$39,4,0)</f>
        <v>0</v>
      </c>
      <c r="F26" s="9">
        <f>VLOOKUP(A26,[18]HISTOBQUEAOUT23!$A$6:$G$39,5,0)</f>
        <v>0</v>
      </c>
      <c r="G26" s="5">
        <f t="shared" si="7"/>
        <v>0</v>
      </c>
      <c r="H26" s="10" t="str">
        <f t="shared" si="1"/>
        <v>BANQUE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VLOOKUP($A26,[20]TONTAOUT23!$A$6:$P$35,12,0)</f>
        <v>0</v>
      </c>
      <c r="Q26" s="2"/>
      <c r="R26" s="2"/>
      <c r="S26" s="20">
        <v>1000000</v>
      </c>
      <c r="T26" s="12" t="s">
        <v>8</v>
      </c>
      <c r="U26" s="17">
        <f t="shared" si="15"/>
        <v>1040000</v>
      </c>
      <c r="V26" s="12"/>
      <c r="W26" s="12"/>
      <c r="X26" s="12"/>
      <c r="Y26" s="12"/>
      <c r="Z26" s="12">
        <v>1000000</v>
      </c>
      <c r="AA26" s="12" t="s">
        <v>8</v>
      </c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>SUM(AV26:AY26)-BF26+Z26-F26+BH26+BI26+BJ26+BK26+BL26+BM26-960000</f>
        <v>60000</v>
      </c>
      <c r="BA26" s="58">
        <v>48000</v>
      </c>
      <c r="BB26" s="58"/>
      <c r="BC26" s="15"/>
      <c r="BD26" s="57">
        <f t="shared" si="13"/>
        <v>12000</v>
      </c>
      <c r="BE26" s="82">
        <v>12000</v>
      </c>
      <c r="BF26" s="29">
        <f t="shared" si="6"/>
        <v>40000</v>
      </c>
      <c r="BG26" s="29">
        <v>4</v>
      </c>
      <c r="BH26" s="15"/>
      <c r="BI26" s="15"/>
      <c r="BJ26" s="15"/>
      <c r="BK26" s="15"/>
      <c r="BL26" s="61"/>
      <c r="BN26" t="s">
        <v>191</v>
      </c>
      <c r="BO26" t="s">
        <v>143</v>
      </c>
      <c r="BP26" s="62">
        <v>155000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VLOOKUP(A27,[18]HISTOBQUEAOUT23!$A$6:$G$44,3,0)</f>
        <v>50000</v>
      </c>
      <c r="E27" s="9">
        <f>VLOOKUP(A27,[18]HISTOBQUEAOUT23!$A$6:$G$39,4,0)</f>
        <v>0</v>
      </c>
      <c r="F27" s="9">
        <f>VLOOKUP(A27,[18]HISTOBQUEAOUT23!$A$6:$G$39,5,0)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VLOOKUP($A27,[20]TONTAOUT23!$A$6:$P$35,12,0)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4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VLOOKUP(A28,[18]HISTOBQUEAOUT23!$A$6:$G$44,3,0)</f>
        <v>115000</v>
      </c>
      <c r="E28" s="9">
        <f>VLOOKUP(A28,[18]HISTOBQUEAOUT23!$A$6:$G$39,4,0)</f>
        <v>0</v>
      </c>
      <c r="F28" s="9">
        <f>VLOOKUP(A28,[18]HISTOBQUEAOUT23!$A$6:$G$39,5,0)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VLOOKUP($A28,[20]TONTAOUT23!$A$6:$P$35,12,0)</f>
        <v>0</v>
      </c>
      <c r="Q28" s="2">
        <f>VLOOKUP($A28,[13]TONTAOUT23!$A$6:$P$20,10,0)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/>
      <c r="BF28" s="29">
        <f t="shared" si="6"/>
        <v>0</v>
      </c>
      <c r="BG28" s="29">
        <v>4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155000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VLOOKUP(A29,[18]HISTOBQUEAOUT23!$A$6:$G$44,3,0)</f>
        <v>40000</v>
      </c>
      <c r="E29" s="9">
        <f>VLOOKUP(A29,[18]HISTOBQUEAOUT23!$A$6:$G$39,4,0)</f>
        <v>0</v>
      </c>
      <c r="F29" s="9">
        <f>VLOOKUP(A29,[18]HISTOBQUEAOUT23!$A$6:$G$39,5,0)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VLOOKUP($A29,[20]TONTAOUT23!$A$6:$P$35,12,0)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4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VLOOKUP(A30,[18]HISTOBQUEAOUT23!$A$6:$G$44,3,0)</f>
        <v>115000</v>
      </c>
      <c r="E30" s="9">
        <f>VLOOKUP(A30,[18]HISTOBQUEAOUT23!$A$6:$G$39,4,0)</f>
        <v>0</v>
      </c>
      <c r="F30" s="9">
        <f>VLOOKUP(A30,[18]HISTOBQUEAOUT23!$A$6:$G$39,5,0)</f>
        <v>70000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VLOOKUP($A30,[20]TONTAOUT23!$A$6:$P$35,12,0)</f>
        <v>0</v>
      </c>
      <c r="Q30" s="2">
        <f>VLOOKUP($A30,[13]TONTAOUT23!$A$6:$P$20,10,0)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>
        <v>3000</v>
      </c>
      <c r="AD30" s="12">
        <v>7500</v>
      </c>
      <c r="AE30" s="12"/>
      <c r="AF30" s="12" t="s">
        <v>8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297000</v>
      </c>
      <c r="AX30" s="15">
        <f t="shared" si="10"/>
        <v>892500</v>
      </c>
      <c r="AY30" s="15">
        <f t="shared" si="11"/>
        <v>0</v>
      </c>
      <c r="AZ30" s="16">
        <f t="shared" si="12"/>
        <v>1119500</v>
      </c>
      <c r="BA30" s="58"/>
      <c r="BB30" s="58">
        <v>70000</v>
      </c>
      <c r="BC30" s="15"/>
      <c r="BD30" s="57">
        <f t="shared" si="13"/>
        <v>1119500</v>
      </c>
      <c r="BE30" s="82">
        <f>227000+892500</f>
        <v>1119500</v>
      </c>
      <c r="BF30" s="29">
        <f t="shared" si="6"/>
        <v>0</v>
      </c>
      <c r="BG30" s="29">
        <v>4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>
        <v>560000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VLOOKUP(A31,[18]HISTOBQUEAOUT23!$A$6:$G$44,3,0)</f>
        <v>140000</v>
      </c>
      <c r="E31" s="9">
        <f>VLOOKUP(A31,[18]HISTOBQUEAOUT23!$A$6:$G$39,4,0)</f>
        <v>0</v>
      </c>
      <c r="F31" s="9">
        <f>VLOOKUP(A31,[18]HISTOBQUEAOUT23!$A$6:$G$39,5,0)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VLOOKUP($A31,[20]TONTAOUT23!$A$6:$P$35,12,0)</f>
        <v>0</v>
      </c>
      <c r="Q31" s="2"/>
      <c r="R31" s="2">
        <f>VLOOKUP($A31,[19]TONTAOUT23!$A$6:$P$21,10,0)</f>
        <v>0</v>
      </c>
      <c r="S31" s="20"/>
      <c r="T31" s="12"/>
      <c r="U31" s="17">
        <f t="shared" si="15"/>
        <v>140000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0</v>
      </c>
      <c r="AZ31" s="16">
        <f t="shared" si="12"/>
        <v>0</v>
      </c>
      <c r="BA31" s="58"/>
      <c r="BB31" s="58"/>
      <c r="BC31" s="15"/>
      <c r="BD31" s="57">
        <f t="shared" si="13"/>
        <v>0</v>
      </c>
      <c r="BE31" s="82"/>
      <c r="BF31" s="29">
        <f t="shared" si="6"/>
        <v>0</v>
      </c>
      <c r="BG31" s="29">
        <v>4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s="72" customFormat="1" ht="18.75" x14ac:dyDescent="0.3">
      <c r="A32" s="73" t="s">
        <v>38</v>
      </c>
      <c r="B32" s="73" t="str">
        <f>VLOOKUP(A32,[17]LISTADHERENT!A$5:H$39,3,0)</f>
        <v>TCHOUAMOU MATHIEU</v>
      </c>
      <c r="C32" s="14">
        <f t="shared" si="0"/>
        <v>0</v>
      </c>
      <c r="D32" s="14">
        <f>VLOOKUP(A32,[18]HISTOBQUEAOUT23!$A$6:$G$44,3,0)+76000</f>
        <v>441000</v>
      </c>
      <c r="E32" s="14">
        <f>VLOOKUP(A32,[18]HISTOBQUEAOUT23!$A$6:$G$39,4,0)</f>
        <v>0</v>
      </c>
      <c r="F32" s="14">
        <f>VLOOKUP(A32,[18]HISTOBQUEAOUT23!$A$6:$G$39,5,0)</f>
        <v>0</v>
      </c>
      <c r="G32" s="14">
        <f t="shared" si="7"/>
        <v>0</v>
      </c>
      <c r="H32" s="74" t="str">
        <f t="shared" si="1"/>
        <v>BANQUE</v>
      </c>
      <c r="I32" s="74"/>
      <c r="J32" s="75">
        <v>1</v>
      </c>
      <c r="K32" s="75">
        <f t="shared" si="14"/>
        <v>40000</v>
      </c>
      <c r="L32" s="70">
        <v>1</v>
      </c>
      <c r="M32" s="75">
        <f t="shared" si="2"/>
        <v>75000</v>
      </c>
      <c r="N32" s="70"/>
      <c r="O32" s="75">
        <f t="shared" si="3"/>
        <v>0</v>
      </c>
      <c r="P32" s="76">
        <f>VLOOKUP($A32,[20]TONTAOUT23!$A$6:$P$35,12,0)</f>
        <v>0</v>
      </c>
      <c r="Q32" s="76">
        <f>VLOOKUP($A32,[13]TONTAOUT23!$A$6:$P$20,10,0)</f>
        <v>76000</v>
      </c>
      <c r="R32" s="76"/>
      <c r="S32" s="77">
        <v>250000</v>
      </c>
      <c r="T32" s="78" t="s">
        <v>8</v>
      </c>
      <c r="U32" s="79">
        <f t="shared" si="15"/>
        <v>441000</v>
      </c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>
        <v>75000</v>
      </c>
      <c r="AK32" s="78"/>
      <c r="AL32" s="78"/>
      <c r="AM32" s="78">
        <v>1000</v>
      </c>
      <c r="AN32" s="78"/>
      <c r="AO32" s="78"/>
      <c r="AP32" s="78" t="s">
        <v>8</v>
      </c>
      <c r="AQ32" s="8">
        <f t="shared" si="4"/>
        <v>0</v>
      </c>
      <c r="AR32" s="8">
        <f t="shared" si="5"/>
        <v>0</v>
      </c>
      <c r="AS32" s="75">
        <f t="shared" si="8"/>
        <v>15000</v>
      </c>
      <c r="AT32" s="78"/>
      <c r="AV32" s="80"/>
      <c r="AW32" s="80">
        <f t="shared" si="9"/>
        <v>0</v>
      </c>
      <c r="AX32" s="80">
        <f t="shared" si="10"/>
        <v>75000</v>
      </c>
      <c r="AY32" s="80">
        <f t="shared" si="11"/>
        <v>0</v>
      </c>
      <c r="AZ32" s="71">
        <f t="shared" si="12"/>
        <v>175000</v>
      </c>
      <c r="BA32" s="58"/>
      <c r="BB32" s="58"/>
      <c r="BC32" s="80"/>
      <c r="BD32" s="71">
        <f t="shared" si="13"/>
        <v>175000</v>
      </c>
      <c r="BE32" s="83">
        <v>75000</v>
      </c>
      <c r="BF32" s="81">
        <f t="shared" si="6"/>
        <v>0</v>
      </c>
      <c r="BG32" s="29">
        <v>4</v>
      </c>
      <c r="BH32" s="80"/>
      <c r="BI32" s="80"/>
      <c r="BJ32" s="80"/>
      <c r="BK32" s="80">
        <v>100000</v>
      </c>
      <c r="BL32" s="76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VLOOKUP(A33,[18]HISTOBQUEAOUT23!$A$6:$G$44,3,0)+40000</f>
        <v>40000</v>
      </c>
      <c r="E33" s="9">
        <f>VLOOKUP(A33,[18]HISTOBQUEAOUT23!$A$6:$G$39,4,0)</f>
        <v>0</v>
      </c>
      <c r="F33" s="9">
        <f>VLOOKUP(A33,[18]HISTOBQUEAOUT23!$A$6:$G$39,5,0)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VLOOKUP($A33,[20]TONTAOUT23!$A$6:$P$35,12,0)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4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560000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VLOOKUP(A34,[18]HISTOBQUEAOUT23!$A$6:$G$44,3,0)</f>
        <v>100000</v>
      </c>
      <c r="E34" s="9">
        <f>VLOOKUP(A34,[18]HISTOBQUEAOUT23!$A$6:$G$39,4,0)</f>
        <v>0</v>
      </c>
      <c r="F34" s="9">
        <f>VLOOKUP(A34,[18]HISTOBQUEAOUT23!$A$6:$G$39,5,0)</f>
        <v>0</v>
      </c>
      <c r="G34" s="5">
        <f t="shared" si="7"/>
        <v>0</v>
      </c>
      <c r="H34" s="10" t="str">
        <f t="shared" si="1"/>
        <v>BANQUE</v>
      </c>
      <c r="I34" s="10">
        <v>60000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VLOOKUP($A34,[20]TONTAOUT23!$A$6:$P$35,12,0)</f>
        <v>0</v>
      </c>
      <c r="Q34" s="2"/>
      <c r="R34" s="2"/>
      <c r="S34" s="20"/>
      <c r="T34" s="12"/>
      <c r="U34" s="17">
        <f t="shared" si="15"/>
        <v>100000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75000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2"/>
        <v>0</v>
      </c>
      <c r="BA34" s="58"/>
      <c r="BB34" s="58"/>
      <c r="BC34" s="15"/>
      <c r="BD34" s="57">
        <f t="shared" si="13"/>
        <v>0</v>
      </c>
      <c r="BE34" s="82"/>
      <c r="BF34" s="29">
        <f t="shared" si="6"/>
        <v>0</v>
      </c>
      <c r="BG34" s="29">
        <v>4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VLOOKUP(A35,[18]HISTOBQUEAOUT23!$A$6:$G$44,3,0)</f>
        <v>40000</v>
      </c>
      <c r="E35" s="9">
        <f>VLOOKUP(A35,[18]HISTOBQUEAOUT23!$A$6:$G$39,4,0)</f>
        <v>0</v>
      </c>
      <c r="F35" s="9">
        <f>VLOOKUP(A35,[18]HISTOBQUEAOUT23!$A$6:$G$39,5,0)</f>
        <v>0</v>
      </c>
      <c r="G35" s="5">
        <f t="shared" si="7"/>
        <v>0</v>
      </c>
      <c r="H35" s="10" t="str">
        <f t="shared" si="1"/>
        <v>BANQUE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VLOOKUP($A35,[20]TONTAOUT23!$A$6:$P$35,12,0)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4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 t="shared" si="0"/>
        <v>0</v>
      </c>
      <c r="D36" s="9">
        <f>VLOOKUP(A36,[18]HISTOBQUEAOUT23!$A$6:$G$44,3,0)</f>
        <v>290000</v>
      </c>
      <c r="E36" s="9">
        <f>VLOOKUP(A36,[18]HISTOBQUEAOUT23!$A$6:$G$39,4,0)</f>
        <v>0</v>
      </c>
      <c r="F36" s="9">
        <f>VLOOKUP(A36,[18]HISTOBQUEAOUT23!$A$6:$G$39,5,0)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VLOOKUP($A36,[20]TONTAOUT23!$A$6:$P$35,12,0)</f>
        <v>0</v>
      </c>
      <c r="Q36" s="2">
        <f>VLOOKUP($A36,[13]TONTAOUT23!$A$6:$P$20,10,0)</f>
        <v>0</v>
      </c>
      <c r="R36" s="2">
        <f>VLOOKUP($A36,[19]TONTAOUT23!$A$6:$P$21,10,0)</f>
        <v>0</v>
      </c>
      <c r="S36" s="6"/>
      <c r="T36" s="12"/>
      <c r="U36" s="17">
        <f t="shared" si="15"/>
        <v>290000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4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-1806000</v>
      </c>
      <c r="D38" s="5">
        <f t="shared" si="16"/>
        <v>5288500</v>
      </c>
      <c r="E38" s="5">
        <f t="shared" si="16"/>
        <v>245000</v>
      </c>
      <c r="F38" s="5">
        <f t="shared" si="16"/>
        <v>140000</v>
      </c>
      <c r="G38" s="5">
        <f t="shared" si="16"/>
        <v>3000</v>
      </c>
      <c r="H38" s="5">
        <f t="shared" si="16"/>
        <v>0</v>
      </c>
      <c r="I38" s="5">
        <f t="shared" si="16"/>
        <v>133000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61000</v>
      </c>
      <c r="Q38" s="5">
        <f t="shared" si="16"/>
        <v>321000</v>
      </c>
      <c r="R38" s="5">
        <f t="shared" si="16"/>
        <v>796500</v>
      </c>
      <c r="S38" s="5">
        <f t="shared" si="16"/>
        <v>2150000</v>
      </c>
      <c r="T38" s="5"/>
      <c r="U38" s="5">
        <f t="shared" ref="U38:AA38" si="17">SUM(U6:U37)</f>
        <v>7339500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1600000</v>
      </c>
      <c r="AA38" s="5">
        <f t="shared" si="17"/>
        <v>0</v>
      </c>
      <c r="AB38" s="5"/>
      <c r="AC38" s="5">
        <f>SUM(AC6:AC37)</f>
        <v>5500</v>
      </c>
      <c r="AD38" s="5">
        <f>SUM(AD6:AD37)</f>
        <v>15000</v>
      </c>
      <c r="AE38" s="5">
        <f>SUM(AE6:AE37)</f>
        <v>20000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181500</v>
      </c>
      <c r="AJ38" s="5">
        <f t="shared" si="18"/>
        <v>559000</v>
      </c>
      <c r="AK38" s="5">
        <f t="shared" si="18"/>
        <v>400000</v>
      </c>
      <c r="AL38" s="5">
        <f t="shared" si="18"/>
        <v>3000</v>
      </c>
      <c r="AM38" s="5">
        <f t="shared" si="18"/>
        <v>9000</v>
      </c>
      <c r="AN38" s="5">
        <f t="shared" si="18"/>
        <v>5000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583000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776000</v>
      </c>
      <c r="AX38" s="5">
        <f t="shared" si="18"/>
        <v>2344000</v>
      </c>
      <c r="AY38" s="5">
        <f t="shared" si="18"/>
        <v>2780000</v>
      </c>
      <c r="AZ38" s="5">
        <f t="shared" si="18"/>
        <v>6620000</v>
      </c>
      <c r="BA38" s="5">
        <f t="shared" si="18"/>
        <v>348000</v>
      </c>
      <c r="BB38" s="5">
        <f t="shared" si="18"/>
        <v>140000</v>
      </c>
      <c r="BC38" s="5">
        <f t="shared" si="18"/>
        <v>0</v>
      </c>
      <c r="BD38" s="5">
        <f t="shared" si="18"/>
        <v>6105000</v>
      </c>
      <c r="BE38" s="5">
        <f t="shared" si="18"/>
        <v>5451000</v>
      </c>
      <c r="BF38" s="5">
        <f>SUM(BF6:BF37)</f>
        <v>64000</v>
      </c>
      <c r="BH38" s="5">
        <f t="shared" ref="BH38:BL38" si="19">SUM(BH6:BH37)</f>
        <v>45000</v>
      </c>
      <c r="BI38" s="5">
        <f t="shared" si="19"/>
        <v>155000</v>
      </c>
      <c r="BJ38" s="5">
        <f t="shared" si="19"/>
        <v>560000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 t="s">
        <v>180</v>
      </c>
      <c r="BA40" s="14">
        <v>248000</v>
      </c>
      <c r="BD40" s="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860000</v>
      </c>
    </row>
    <row r="42" spans="1:68" ht="18.75" x14ac:dyDescent="0.3">
      <c r="B42" s="1" t="s">
        <v>78</v>
      </c>
      <c r="AW42" s="15"/>
      <c r="AX42" s="15"/>
      <c r="AY42" s="15"/>
      <c r="AZ42" s="16"/>
      <c r="BA42" s="70">
        <f>BA40-BA38</f>
        <v>-100000</v>
      </c>
    </row>
    <row r="43" spans="1:68" ht="18.75" x14ac:dyDescent="0.3">
      <c r="B43" s="1" t="s">
        <v>79</v>
      </c>
      <c r="C43" s="14">
        <f>AZ38</f>
        <v>6620000</v>
      </c>
      <c r="D43" s="9">
        <f>SUMIFS(D8:D38,H8:H38,"BANQUE")</f>
        <v>5073500</v>
      </c>
      <c r="F43" s="9">
        <f>E38</f>
        <v>245000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12480000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