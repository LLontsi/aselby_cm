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7095" firstSheet="11" activeTab="15"/>
  </bookViews>
  <sheets>
    <sheet name="MODEVERSEMENT" sheetId="2" r:id="rId1"/>
    <sheet name="HISTOMVTDEPENSE" sheetId="14" r:id="rId2"/>
    <sheet name="COMPTE BANQUE" sheetId="13" r:id="rId3"/>
    <sheet name="HISTODEC22" sheetId="44" r:id="rId4"/>
    <sheet name="HISTOJANV23" sheetId="31" r:id="rId5"/>
    <sheet name="HISTOFEV23" sheetId="32" r:id="rId6"/>
    <sheet name="HISTOMARS23" sheetId="33" r:id="rId7"/>
    <sheet name="HISTOAVRIL23" sheetId="34" r:id="rId8"/>
    <sheet name="HISTOMAI23" sheetId="37" r:id="rId9"/>
    <sheet name="HISTOJUIN23" sheetId="38" r:id="rId10"/>
    <sheet name="HISTOJUIL23" sheetId="39" r:id="rId11"/>
    <sheet name="HISTOAOUT23" sheetId="40" r:id="rId12"/>
    <sheet name="HISTOSEPT23" sheetId="35" r:id="rId13"/>
    <sheet name="HISTOOCT23" sheetId="36" r:id="rId14"/>
    <sheet name="HISTONOV23" sheetId="41" r:id="rId15"/>
    <sheet name="HISTODEC23" sheetId="42" r:id="rId16"/>
    <sheet name="HISTORESUME23" sheetId="43" r:id="rId17"/>
    <sheet name="DETAILSORTIE" sheetId="29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11" hidden="1">HISTOAOUT23!$A$5:$AF$36</definedName>
    <definedName name="_xlnm._FilterDatabase" localSheetId="7" hidden="1">HISTOAVRIL23!$A$5:$AF$36</definedName>
    <definedName name="_xlnm._FilterDatabase" localSheetId="3" hidden="1">HISTODEC22!$A$5:$AF$36</definedName>
    <definedName name="_xlnm._FilterDatabase" localSheetId="15" hidden="1">HISTODEC23!$A$5:$AF$36</definedName>
    <definedName name="_xlnm._FilterDatabase" localSheetId="5" hidden="1">HISTOFEV23!$A$5:$AF$36</definedName>
    <definedName name="_xlnm._FilterDatabase" localSheetId="4" hidden="1">HISTOJANV23!$A$5:$AF$36</definedName>
    <definedName name="_xlnm._FilterDatabase" localSheetId="10" hidden="1">HISTOJUIL23!$A$5:$AF$36</definedName>
    <definedName name="_xlnm._FilterDatabase" localSheetId="9" hidden="1">HISTOJUIN23!$A$5:$AF$36</definedName>
    <definedName name="_xlnm._FilterDatabase" localSheetId="8" hidden="1">HISTOMAI23!$A$5:$AF$36</definedName>
    <definedName name="_xlnm._FilterDatabase" localSheetId="6" hidden="1">HISTOMARS23!$A$5:$AF$36</definedName>
    <definedName name="_xlnm._FilterDatabase" localSheetId="1" hidden="1">HISTOMVTDEPENSE!$A$5:$AG$37</definedName>
    <definedName name="_xlnm._FilterDatabase" localSheetId="14" hidden="1">HISTONOV23!$A$5:$AF$36</definedName>
    <definedName name="_xlnm._FilterDatabase" localSheetId="13" hidden="1">HISTOOCT23!$A$5:$AF$36</definedName>
    <definedName name="_xlnm._FilterDatabase" localSheetId="16" hidden="1">HISTORESUME23!$A$5:$AF$36</definedName>
    <definedName name="_xlnm._FilterDatabase" localSheetId="12" hidden="1">HISTOSEPT23!$A$5:$AF$36</definedName>
    <definedName name="BANQUE" localSheetId="2">#REF!</definedName>
    <definedName name="BANQUE" localSheetId="11">#REF!</definedName>
    <definedName name="BANQUE" localSheetId="7">#REF!</definedName>
    <definedName name="BANQUE" localSheetId="3">#REF!</definedName>
    <definedName name="BANQUE" localSheetId="15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">#REF!</definedName>
    <definedName name="BANQUE" localSheetId="14">#REF!</definedName>
    <definedName name="BANQUE" localSheetId="13">#REF!</definedName>
    <definedName name="BANQUE" localSheetId="16">#REF!</definedName>
    <definedName name="BANQUE" localSheetId="12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2">#REF!</definedName>
    <definedName name="MODEVERSEMENT" localSheetId="11">#REF!</definedName>
    <definedName name="MODEVERSEMENT" localSheetId="7">#REF!</definedName>
    <definedName name="MODEVERSEMENT" localSheetId="3">#REF!</definedName>
    <definedName name="MODEVERSEMENT" localSheetId="15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">#REF!</definedName>
    <definedName name="MODEVERSEMENT" localSheetId="14">#REF!</definedName>
    <definedName name="MODEVERSEMENT" localSheetId="13">#REF!</definedName>
    <definedName name="MODEVERSEMENT" localSheetId="16">#REF!</definedName>
    <definedName name="MODEVERSEMENT" localSheetId="12">#REF!</definedName>
    <definedName name="MODEVERSEMENT" localSheetId="0">#REF!</definedName>
    <definedName name="MODEVERSEMENT">#REF!</definedName>
    <definedName name="MODEVERSEMENTS" localSheetId="2">[3]MODEVERSEMENT!$A$1:$A$3</definedName>
    <definedName name="MODEVERSEMENTS" localSheetId="11">[3]MODEVERSEMENT!$A$1:$A$3</definedName>
    <definedName name="MODEVERSEMENTS" localSheetId="7">[3]MODEVERSEMENT!$A$1:$A$3</definedName>
    <definedName name="MODEVERSEMENTS" localSheetId="3">[3]MODEVERSEMENT!$A$1:$A$3</definedName>
    <definedName name="MODEVERSEMENTS" localSheetId="15">[3]MODEVERSEMENT!$A$1:$A$3</definedName>
    <definedName name="MODEVERSEMENTS" localSheetId="5">[3]MODEVERSEMENT!$A$1:$A$3</definedName>
    <definedName name="MODEVERSEMENTS" localSheetId="4">[3]MODEVERSEMENT!$A$1:$A$3</definedName>
    <definedName name="MODEVERSEMENTS" localSheetId="10">[3]MODEVERSEMENT!$A$1:$A$3</definedName>
    <definedName name="MODEVERSEMENTS" localSheetId="9">[3]MODEVERSEMENT!$A$1:$A$3</definedName>
    <definedName name="MODEVERSEMENTS" localSheetId="8">[3]MODEVERSEMENT!$A$1:$A$3</definedName>
    <definedName name="MODEVERSEMENTS" localSheetId="6">[3]MODEVERSEMENT!$A$1:$A$3</definedName>
    <definedName name="MODEVERSEMENTS" localSheetId="1">[3]MODEVERSEMENT!$A$1:$A$3</definedName>
    <definedName name="MODEVERSEMENTS" localSheetId="14">[3]MODEVERSEMENT!$A$1:$A$3</definedName>
    <definedName name="MODEVERSEMENTS" localSheetId="13">[3]MODEVERSEMENT!$A$1:$A$3</definedName>
    <definedName name="MODEVERSEMENTS" localSheetId="16">[3]MODEVERSEMENT!$A$1:$A$3</definedName>
    <definedName name="MODEVERSEMENTS" localSheetId="12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42" l="1"/>
  <c r="E16" i="42"/>
  <c r="S16" i="42"/>
  <c r="E35" i="42"/>
  <c r="E18" i="42"/>
  <c r="E26" i="42"/>
  <c r="E12" i="42"/>
  <c r="F35" i="42"/>
  <c r="D20" i="42"/>
  <c r="I12" i="42"/>
  <c r="E11" i="42"/>
  <c r="E18" i="36" l="1"/>
  <c r="I27" i="35"/>
  <c r="F27" i="35"/>
  <c r="AZ27" i="35" s="1"/>
  <c r="AW11" i="34" l="1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BF26" i="37" l="1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H36" i="44"/>
  <c r="F36" i="44"/>
  <c r="AZ36" i="44" s="1"/>
  <c r="BD36" i="44" s="1"/>
  <c r="E36" i="44"/>
  <c r="D36" i="44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J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H31" i="44"/>
  <c r="F31" i="44"/>
  <c r="E31" i="44"/>
  <c r="D31" i="44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J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H20" i="44"/>
  <c r="G20" i="44" s="1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H13" i="44"/>
  <c r="F13" i="44"/>
  <c r="E13" i="44"/>
  <c r="D13" i="44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G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P38" i="44" s="1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AZ22" i="44" l="1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U8" i="44" s="1"/>
  <c r="C8" i="44" s="1"/>
  <c r="O9" i="44"/>
  <c r="J10" i="44"/>
  <c r="M12" i="44"/>
  <c r="AZ15" i="44"/>
  <c r="BD15" i="44" s="1"/>
  <c r="AR18" i="44"/>
  <c r="O19" i="44"/>
  <c r="M21" i="44"/>
  <c r="O23" i="44"/>
  <c r="U23" i="44" s="1"/>
  <c r="C23" i="44" s="1"/>
  <c r="AR23" i="44"/>
  <c r="AZ24" i="44"/>
  <c r="BD24" i="44" s="1"/>
  <c r="O33" i="44"/>
  <c r="AZ33" i="44"/>
  <c r="BD33" i="44" s="1"/>
  <c r="M35" i="44"/>
  <c r="AZ6" i="44"/>
  <c r="BD6" i="44" s="1"/>
  <c r="M8" i="44"/>
  <c r="M10" i="44"/>
  <c r="U10" i="44" s="1"/>
  <c r="C10" i="44" s="1"/>
  <c r="AZ10" i="44"/>
  <c r="BD10" i="44" s="1"/>
  <c r="O12" i="44"/>
  <c r="J16" i="44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S21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AS10" i="44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AS16" i="44"/>
  <c r="G16" i="44"/>
  <c r="U16" i="44" s="1"/>
  <c r="C16" i="44" s="1"/>
  <c r="AZ17" i="44"/>
  <c r="BD17" i="44" s="1"/>
  <c r="AQ19" i="44"/>
  <c r="AQ20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R20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U20" i="44" s="1"/>
  <c r="C20" i="44" s="1"/>
  <c r="J20" i="44"/>
  <c r="AS20" i="44" s="1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M38" i="44" l="1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BD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D30" i="42" s="1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BD31" i="42" s="1"/>
  <c r="AZ21" i="42"/>
  <c r="BD21" i="42" s="1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D22" i="42" s="1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BD10" i="42" s="1"/>
  <c r="AZ13" i="42"/>
  <c r="BD13" i="42" s="1"/>
  <c r="AZ16" i="42"/>
  <c r="BD16" i="42" s="1"/>
  <c r="AZ18" i="42"/>
  <c r="BD18" i="42" s="1"/>
  <c r="AZ23" i="42"/>
  <c r="BD23" i="42" s="1"/>
  <c r="AZ15" i="42"/>
  <c r="BD15" i="42" s="1"/>
  <c r="AZ25" i="42"/>
  <c r="BD25" i="42" s="1"/>
  <c r="AX38" i="42"/>
  <c r="BM38" i="42"/>
  <c r="AZ12" i="42"/>
  <c r="BD12" i="42" s="1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7" i="42" l="1"/>
  <c r="H7" i="42" l="1"/>
  <c r="O7" i="42"/>
  <c r="K7" i="42"/>
  <c r="M7" i="42"/>
  <c r="K20" i="42"/>
  <c r="O20" i="42"/>
  <c r="M20" i="42"/>
  <c r="H20" i="42"/>
  <c r="G7" i="42" l="1"/>
  <c r="G20" i="42"/>
  <c r="AR20" i="42"/>
  <c r="AQ20" i="42"/>
  <c r="AS20" i="42"/>
  <c r="AS7" i="42"/>
  <c r="AR7" i="42"/>
  <c r="AQ7" i="42"/>
  <c r="U7" i="42"/>
  <c r="U20" i="42" l="1"/>
  <c r="C7" i="42"/>
  <c r="C20" i="42"/>
  <c r="D35" i="42" l="1"/>
  <c r="D13" i="42"/>
  <c r="D10" i="42"/>
  <c r="D26" i="42"/>
  <c r="D29" i="42"/>
  <c r="K26" i="42" l="1"/>
  <c r="M26" i="42"/>
  <c r="H26" i="42"/>
  <c r="O26" i="42"/>
  <c r="H10" i="42"/>
  <c r="M10" i="42"/>
  <c r="K10" i="42"/>
  <c r="O10" i="42"/>
  <c r="H29" i="42"/>
  <c r="K29" i="42"/>
  <c r="O29" i="42"/>
  <c r="M29" i="42"/>
  <c r="O13" i="42"/>
  <c r="M13" i="42"/>
  <c r="H13" i="42"/>
  <c r="K13" i="42"/>
  <c r="H35" i="42"/>
  <c r="M35" i="42"/>
  <c r="O35" i="42"/>
  <c r="K35" i="42"/>
  <c r="D12" i="42"/>
  <c r="D23" i="42"/>
  <c r="D33" i="42"/>
  <c r="D31" i="42"/>
  <c r="D22" i="42"/>
  <c r="D24" i="42"/>
  <c r="D18" i="42"/>
  <c r="D21" i="42"/>
  <c r="H31" i="42" l="1"/>
  <c r="M31" i="42"/>
  <c r="O31" i="42"/>
  <c r="K31" i="42"/>
  <c r="M18" i="42"/>
  <c r="K18" i="42"/>
  <c r="O18" i="42"/>
  <c r="H18" i="42"/>
  <c r="K33" i="42"/>
  <c r="O33" i="42"/>
  <c r="M33" i="42"/>
  <c r="H33" i="42"/>
  <c r="AR29" i="42"/>
  <c r="AS29" i="42"/>
  <c r="AQ29" i="42"/>
  <c r="G29" i="42"/>
  <c r="G26" i="42"/>
  <c r="AS26" i="42"/>
  <c r="AR26" i="42"/>
  <c r="AQ26" i="42"/>
  <c r="M24" i="42"/>
  <c r="K24" i="42"/>
  <c r="O24" i="42"/>
  <c r="H24" i="42"/>
  <c r="M23" i="42"/>
  <c r="K23" i="42"/>
  <c r="H23" i="42"/>
  <c r="O23" i="42"/>
  <c r="AR13" i="42"/>
  <c r="G13" i="42"/>
  <c r="AQ13" i="42"/>
  <c r="AS13" i="42"/>
  <c r="AR10" i="42"/>
  <c r="AQ10" i="42"/>
  <c r="AS10" i="42"/>
  <c r="G10" i="42"/>
  <c r="M21" i="42"/>
  <c r="H21" i="42"/>
  <c r="O21" i="42"/>
  <c r="K21" i="42"/>
  <c r="O22" i="42"/>
  <c r="K22" i="42"/>
  <c r="H22" i="42"/>
  <c r="M22" i="42"/>
  <c r="K12" i="42"/>
  <c r="O12" i="42"/>
  <c r="H12" i="42"/>
  <c r="M12" i="42"/>
  <c r="G35" i="42"/>
  <c r="AR35" i="42"/>
  <c r="AS35" i="42"/>
  <c r="AQ35" i="42"/>
  <c r="D32" i="42"/>
  <c r="D9" i="42"/>
  <c r="D34" i="42"/>
  <c r="D17" i="42"/>
  <c r="D25" i="42"/>
  <c r="U10" i="42" l="1"/>
  <c r="C10" i="42" s="1"/>
  <c r="U13" i="42"/>
  <c r="C13" i="42" s="1"/>
  <c r="U35" i="42"/>
  <c r="C35" i="42" s="1"/>
  <c r="U26" i="42"/>
  <c r="C26" i="42" s="1"/>
  <c r="U29" i="42"/>
  <c r="C29" i="42" s="1"/>
  <c r="H17" i="42"/>
  <c r="O17" i="42"/>
  <c r="K17" i="42"/>
  <c r="M17" i="42"/>
  <c r="M9" i="42"/>
  <c r="K9" i="42"/>
  <c r="H9" i="42"/>
  <c r="O9" i="42"/>
  <c r="M34" i="42"/>
  <c r="O34" i="42"/>
  <c r="K34" i="42"/>
  <c r="H34" i="42"/>
  <c r="AR12" i="42"/>
  <c r="AQ12" i="42"/>
  <c r="AS12" i="42"/>
  <c r="G12" i="42"/>
  <c r="G21" i="42"/>
  <c r="AQ21" i="42"/>
  <c r="AS21" i="42"/>
  <c r="AR21" i="42"/>
  <c r="AR23" i="42"/>
  <c r="AQ23" i="42"/>
  <c r="G23" i="42"/>
  <c r="AS23" i="42"/>
  <c r="AR24" i="42"/>
  <c r="G24" i="42"/>
  <c r="AQ24" i="42"/>
  <c r="AS24" i="42"/>
  <c r="AS33" i="42"/>
  <c r="AR33" i="42"/>
  <c r="AQ33" i="42"/>
  <c r="G33" i="42"/>
  <c r="O25" i="42"/>
  <c r="O25" i="43" s="1"/>
  <c r="M25" i="42"/>
  <c r="M25" i="43" s="1"/>
  <c r="D25" i="43"/>
  <c r="H25" i="43" s="1"/>
  <c r="K25" i="42"/>
  <c r="K25" i="43" s="1"/>
  <c r="H25" i="42"/>
  <c r="O32" i="42"/>
  <c r="M32" i="42"/>
  <c r="H32" i="42"/>
  <c r="K32" i="42"/>
  <c r="AQ22" i="42"/>
  <c r="G22" i="42"/>
  <c r="AS22" i="42"/>
  <c r="AR22" i="42"/>
  <c r="AS18" i="42"/>
  <c r="G18" i="42"/>
  <c r="AQ18" i="42"/>
  <c r="AR18" i="42"/>
  <c r="AS31" i="42"/>
  <c r="AR31" i="42"/>
  <c r="AQ31" i="42"/>
  <c r="G31" i="42"/>
  <c r="D11" i="36"/>
  <c r="U18" i="42" l="1"/>
  <c r="C18" i="42" s="1"/>
  <c r="U22" i="42"/>
  <c r="C22" i="42" s="1"/>
  <c r="U31" i="42"/>
  <c r="C31" i="42" s="1"/>
  <c r="U21" i="42"/>
  <c r="C21" i="42" s="1"/>
  <c r="U33" i="42"/>
  <c r="C33" i="42" s="1"/>
  <c r="U12" i="42"/>
  <c r="C12" i="42" s="1"/>
  <c r="U23" i="42"/>
  <c r="C23" i="42" s="1"/>
  <c r="U24" i="42"/>
  <c r="C24" i="42" s="1"/>
  <c r="O11" i="36"/>
  <c r="M11" i="36"/>
  <c r="H11" i="36"/>
  <c r="K11" i="36"/>
  <c r="AQ32" i="42"/>
  <c r="AS32" i="42"/>
  <c r="AR32" i="42"/>
  <c r="G32" i="42"/>
  <c r="AQ9" i="42"/>
  <c r="G9" i="42"/>
  <c r="AR9" i="42"/>
  <c r="AS9" i="42"/>
  <c r="AQ34" i="42"/>
  <c r="AS34" i="42"/>
  <c r="G34" i="42"/>
  <c r="AR34" i="42"/>
  <c r="AQ25" i="42"/>
  <c r="AQ25" i="43" s="1"/>
  <c r="AS25" i="42"/>
  <c r="AS25" i="43" s="1"/>
  <c r="AR25" i="42"/>
  <c r="AR25" i="43" s="1"/>
  <c r="G25" i="42"/>
  <c r="G17" i="42"/>
  <c r="AQ17" i="42"/>
  <c r="AS17" i="42"/>
  <c r="AR17" i="42"/>
  <c r="D8" i="41"/>
  <c r="U32" i="42" l="1"/>
  <c r="C32" i="42" s="1"/>
  <c r="U9" i="42"/>
  <c r="C9" i="42" s="1"/>
  <c r="U17" i="42"/>
  <c r="C17" i="42" s="1"/>
  <c r="U34" i="42"/>
  <c r="C34" i="42" s="1"/>
  <c r="O8" i="41"/>
  <c r="H8" i="41"/>
  <c r="K8" i="41"/>
  <c r="M8" i="41"/>
  <c r="AS11" i="36"/>
  <c r="G11" i="36"/>
  <c r="AR11" i="36"/>
  <c r="AQ11" i="36"/>
  <c r="U25" i="42"/>
  <c r="C25" i="42" s="1"/>
  <c r="C25" i="43" s="1"/>
  <c r="G25" i="43"/>
  <c r="U25" i="43" s="1"/>
  <c r="D20" i="41"/>
  <c r="U11" i="36" l="1"/>
  <c r="C11" i="36" s="1"/>
  <c r="H20" i="41"/>
  <c r="K20" i="41"/>
  <c r="K20" i="43" s="1"/>
  <c r="M20" i="41"/>
  <c r="M20" i="43" s="1"/>
  <c r="O20" i="41"/>
  <c r="O20" i="43" s="1"/>
  <c r="D20" i="43"/>
  <c r="H20" i="43" s="1"/>
  <c r="AR8" i="41"/>
  <c r="AQ8" i="41"/>
  <c r="AS8" i="41"/>
  <c r="G8" i="41"/>
  <c r="U8" i="41" l="1"/>
  <c r="C8" i="41" s="1"/>
  <c r="AR20" i="41"/>
  <c r="AR20" i="43" s="1"/>
  <c r="AS20" i="41"/>
  <c r="AS20" i="43" s="1"/>
  <c r="G20" i="41"/>
  <c r="AQ20" i="41"/>
  <c r="AQ20" i="43" s="1"/>
  <c r="D9" i="36"/>
  <c r="D24" i="35"/>
  <c r="D11" i="40"/>
  <c r="D9" i="40"/>
  <c r="D21" i="40"/>
  <c r="M9" i="40" l="1"/>
  <c r="H9" i="40"/>
  <c r="D9" i="43"/>
  <c r="H9" i="43" s="1"/>
  <c r="O9" i="40"/>
  <c r="K9" i="40"/>
  <c r="K11" i="40"/>
  <c r="H11" i="40"/>
  <c r="O11" i="40"/>
  <c r="M11" i="40"/>
  <c r="U20" i="41"/>
  <c r="C20" i="41" s="1"/>
  <c r="C20" i="43" s="1"/>
  <c r="G20" i="43"/>
  <c r="U20" i="43" s="1"/>
  <c r="K24" i="35"/>
  <c r="M24" i="35"/>
  <c r="H24" i="35"/>
  <c r="O24" i="35"/>
  <c r="K21" i="40"/>
  <c r="O21" i="40"/>
  <c r="M21" i="40"/>
  <c r="H21" i="40"/>
  <c r="K9" i="36"/>
  <c r="O9" i="36"/>
  <c r="H9" i="36"/>
  <c r="M9" i="36"/>
  <c r="O9" i="43" l="1"/>
  <c r="AR21" i="40"/>
  <c r="AQ21" i="40"/>
  <c r="G21" i="40"/>
  <c r="AS21" i="40"/>
  <c r="AR11" i="40"/>
  <c r="G11" i="40"/>
  <c r="AQ11" i="40"/>
  <c r="AS11" i="40"/>
  <c r="AR9" i="36"/>
  <c r="AQ9" i="36"/>
  <c r="AS9" i="36"/>
  <c r="G9" i="36"/>
  <c r="G24" i="35"/>
  <c r="AQ24" i="35"/>
  <c r="AR24" i="35"/>
  <c r="AS24" i="35"/>
  <c r="AS9" i="40"/>
  <c r="AR9" i="40"/>
  <c r="AR9" i="43" s="1"/>
  <c r="G9" i="40"/>
  <c r="AQ9" i="40"/>
  <c r="AQ9" i="43" s="1"/>
  <c r="K9" i="43"/>
  <c r="M9" i="43"/>
  <c r="U9" i="36" l="1"/>
  <c r="C9" i="36" s="1"/>
  <c r="U21" i="40"/>
  <c r="C21" i="40" s="1"/>
  <c r="U11" i="40"/>
  <c r="C11" i="40" s="1"/>
  <c r="U24" i="35"/>
  <c r="C24" i="35" s="1"/>
  <c r="AS9" i="43"/>
  <c r="U9" i="40"/>
  <c r="C9" i="40" s="1"/>
  <c r="C9" i="43" s="1"/>
  <c r="G9" i="43"/>
  <c r="U9" i="43" s="1"/>
  <c r="D12" i="39"/>
  <c r="O12" i="39" l="1"/>
  <c r="K12" i="39"/>
  <c r="M12" i="39"/>
  <c r="H12" i="39"/>
  <c r="AR12" i="39" l="1"/>
  <c r="AS12" i="39"/>
  <c r="G12" i="39"/>
  <c r="AQ12" i="39"/>
  <c r="U12" i="39" l="1"/>
  <c r="C12" i="39" s="1"/>
  <c r="D36" i="42"/>
  <c r="D30" i="42"/>
  <c r="D28" i="42"/>
  <c r="D27" i="42"/>
  <c r="D19" i="42"/>
  <c r="D16" i="42"/>
  <c r="D15" i="42"/>
  <c r="D14" i="42"/>
  <c r="D11" i="42"/>
  <c r="D8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H28" i="38" l="1"/>
  <c r="M28" i="38"/>
  <c r="O28" i="38"/>
  <c r="K28" i="38"/>
  <c r="D28" i="43"/>
  <c r="H28" i="43" s="1"/>
  <c r="K30" i="39"/>
  <c r="O30" i="39"/>
  <c r="H30" i="39"/>
  <c r="M30" i="39"/>
  <c r="M29" i="40"/>
  <c r="K29" i="40"/>
  <c r="H29" i="40"/>
  <c r="O29" i="40"/>
  <c r="K18" i="35"/>
  <c r="M18" i="35"/>
  <c r="H18" i="35"/>
  <c r="O18" i="35"/>
  <c r="O27" i="36"/>
  <c r="M27" i="36"/>
  <c r="K27" i="36"/>
  <c r="H27" i="36"/>
  <c r="M17" i="41"/>
  <c r="K17" i="41"/>
  <c r="O17" i="41"/>
  <c r="H17" i="41"/>
  <c r="K36" i="38"/>
  <c r="D36" i="43"/>
  <c r="H36" i="43" s="1"/>
  <c r="M36" i="38"/>
  <c r="H36" i="38"/>
  <c r="O36" i="38"/>
  <c r="K19" i="38"/>
  <c r="H19" i="38"/>
  <c r="M19" i="38"/>
  <c r="D19" i="43"/>
  <c r="H19" i="43" s="1"/>
  <c r="O19" i="38"/>
  <c r="O23" i="39"/>
  <c r="H23" i="39"/>
  <c r="D23" i="43"/>
  <c r="H23" i="43" s="1"/>
  <c r="M23" i="39"/>
  <c r="K23" i="39"/>
  <c r="O14" i="39"/>
  <c r="K14" i="39"/>
  <c r="H14" i="39"/>
  <c r="M14" i="39"/>
  <c r="H8" i="39"/>
  <c r="M8" i="39"/>
  <c r="K8" i="39"/>
  <c r="O8" i="39"/>
  <c r="K8" i="40"/>
  <c r="M8" i="40"/>
  <c r="H8" i="40"/>
  <c r="O8" i="40"/>
  <c r="O14" i="40"/>
  <c r="H14" i="40"/>
  <c r="K14" i="40"/>
  <c r="M14" i="40"/>
  <c r="O22" i="40"/>
  <c r="M22" i="40"/>
  <c r="K22" i="40"/>
  <c r="H22" i="40"/>
  <c r="K30" i="40"/>
  <c r="H30" i="40"/>
  <c r="M30" i="40"/>
  <c r="O30" i="40"/>
  <c r="O35" i="40"/>
  <c r="H35" i="40"/>
  <c r="K35" i="40"/>
  <c r="M35" i="40"/>
  <c r="K8" i="35"/>
  <c r="H8" i="35"/>
  <c r="O8" i="35"/>
  <c r="M8" i="35"/>
  <c r="H15" i="35"/>
  <c r="M15" i="35"/>
  <c r="O15" i="35"/>
  <c r="K15" i="35"/>
  <c r="K19" i="35"/>
  <c r="O19" i="35"/>
  <c r="H19" i="35"/>
  <c r="M19" i="35"/>
  <c r="H27" i="35"/>
  <c r="M27" i="35"/>
  <c r="O27" i="35"/>
  <c r="K27" i="35"/>
  <c r="M31" i="35"/>
  <c r="H31" i="35"/>
  <c r="K31" i="35"/>
  <c r="O31" i="35"/>
  <c r="K7" i="36"/>
  <c r="H7" i="36"/>
  <c r="O7" i="36"/>
  <c r="M7" i="36"/>
  <c r="O15" i="36"/>
  <c r="M15" i="36"/>
  <c r="H15" i="36"/>
  <c r="K15" i="36"/>
  <c r="K22" i="36"/>
  <c r="O22" i="36"/>
  <c r="M22" i="36"/>
  <c r="H22" i="36"/>
  <c r="K28" i="36"/>
  <c r="H28" i="36"/>
  <c r="M28" i="36"/>
  <c r="O28" i="36"/>
  <c r="M33" i="36"/>
  <c r="O33" i="36"/>
  <c r="K33" i="36"/>
  <c r="H33" i="36"/>
  <c r="K10" i="41"/>
  <c r="M10" i="41"/>
  <c r="O10" i="41"/>
  <c r="H10" i="41"/>
  <c r="K14" i="41"/>
  <c r="O14" i="41"/>
  <c r="H14" i="41"/>
  <c r="M14" i="41"/>
  <c r="H19" i="41"/>
  <c r="K19" i="41"/>
  <c r="M19" i="41"/>
  <c r="O19" i="41"/>
  <c r="H26" i="41"/>
  <c r="M26" i="41"/>
  <c r="O26" i="41"/>
  <c r="K26" i="41"/>
  <c r="O30" i="41"/>
  <c r="K30" i="41"/>
  <c r="M30" i="41"/>
  <c r="H30" i="41"/>
  <c r="M8" i="42"/>
  <c r="H8" i="42"/>
  <c r="K8" i="42"/>
  <c r="O8" i="42"/>
  <c r="K16" i="42"/>
  <c r="M16" i="42"/>
  <c r="O16" i="42"/>
  <c r="H16" i="42"/>
  <c r="H30" i="42"/>
  <c r="K30" i="42"/>
  <c r="O30" i="42"/>
  <c r="M30" i="42"/>
  <c r="M33" i="38"/>
  <c r="K33" i="38"/>
  <c r="O33" i="38"/>
  <c r="D33" i="43"/>
  <c r="H33" i="43" s="1"/>
  <c r="H33" i="38"/>
  <c r="O15" i="38"/>
  <c r="H15" i="38"/>
  <c r="D15" i="43"/>
  <c r="H15" i="43" s="1"/>
  <c r="K15" i="38"/>
  <c r="M15" i="38"/>
  <c r="M10" i="38"/>
  <c r="H10" i="38"/>
  <c r="K10" i="38"/>
  <c r="D10" i="43"/>
  <c r="H10" i="43" s="1"/>
  <c r="O10" i="38"/>
  <c r="O19" i="39"/>
  <c r="K19" i="39"/>
  <c r="H19" i="39"/>
  <c r="M19" i="39"/>
  <c r="O10" i="39"/>
  <c r="K10" i="39"/>
  <c r="H10" i="39"/>
  <c r="M10" i="39"/>
  <c r="K18" i="40"/>
  <c r="M18" i="40"/>
  <c r="O18" i="40"/>
  <c r="H18" i="40"/>
  <c r="K23" i="35"/>
  <c r="H23" i="35"/>
  <c r="O23" i="35"/>
  <c r="M23" i="35"/>
  <c r="O21" i="36"/>
  <c r="K21" i="36"/>
  <c r="M21" i="36"/>
  <c r="H21" i="36"/>
  <c r="M23" i="41"/>
  <c r="O23" i="41"/>
  <c r="K23" i="41"/>
  <c r="H23" i="41"/>
  <c r="O28" i="42"/>
  <c r="H28" i="42"/>
  <c r="M28" i="42"/>
  <c r="K28" i="42"/>
  <c r="H33" i="39"/>
  <c r="O33" i="39"/>
  <c r="K33" i="39"/>
  <c r="M33" i="39"/>
  <c r="M18" i="39"/>
  <c r="O18" i="39"/>
  <c r="H18" i="39"/>
  <c r="D18" i="43"/>
  <c r="H18" i="43" s="1"/>
  <c r="K18" i="39"/>
  <c r="O24" i="38"/>
  <c r="O24" i="43" s="1"/>
  <c r="D24" i="43"/>
  <c r="H24" i="43" s="1"/>
  <c r="K24" i="38"/>
  <c r="K24" i="43" s="1"/>
  <c r="M24" i="38"/>
  <c r="M24" i="43" s="1"/>
  <c r="H24" i="38"/>
  <c r="O32" i="39"/>
  <c r="K32" i="39"/>
  <c r="M32" i="39"/>
  <c r="H32" i="39"/>
  <c r="D32" i="43"/>
  <c r="H32" i="43" s="1"/>
  <c r="O17" i="39"/>
  <c r="H17" i="39"/>
  <c r="M17" i="39"/>
  <c r="K17" i="39"/>
  <c r="M7" i="39"/>
  <c r="K7" i="39"/>
  <c r="H7" i="39"/>
  <c r="O7" i="39"/>
  <c r="O36" i="40"/>
  <c r="M36" i="40"/>
  <c r="K36" i="40"/>
  <c r="H36" i="40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K35" i="36"/>
  <c r="M35" i="36"/>
  <c r="M11" i="41"/>
  <c r="O11" i="41"/>
  <c r="H11" i="41"/>
  <c r="K11" i="41"/>
  <c r="O15" i="41"/>
  <c r="M15" i="41"/>
  <c r="H15" i="41"/>
  <c r="K15" i="41"/>
  <c r="O21" i="41"/>
  <c r="H21" i="41"/>
  <c r="K21" i="41"/>
  <c r="M21" i="41"/>
  <c r="M27" i="41"/>
  <c r="K27" i="41"/>
  <c r="O27" i="41"/>
  <c r="H27" i="41"/>
  <c r="K32" i="41"/>
  <c r="H32" i="41"/>
  <c r="O32" i="41"/>
  <c r="M32" i="41"/>
  <c r="H11" i="42"/>
  <c r="K11" i="42"/>
  <c r="O11" i="42"/>
  <c r="M11" i="42"/>
  <c r="K19" i="42"/>
  <c r="O19" i="42"/>
  <c r="M19" i="42"/>
  <c r="H19" i="42"/>
  <c r="M36" i="42"/>
  <c r="O36" i="42"/>
  <c r="K36" i="42"/>
  <c r="H36" i="42"/>
  <c r="O7" i="38"/>
  <c r="K7" i="38"/>
  <c r="M7" i="38"/>
  <c r="D7" i="43"/>
  <c r="H7" i="43" s="1"/>
  <c r="H7" i="38"/>
  <c r="H21" i="38"/>
  <c r="D21" i="43"/>
  <c r="H21" i="43" s="1"/>
  <c r="M21" i="38"/>
  <c r="O21" i="38"/>
  <c r="K21" i="38"/>
  <c r="K34" i="39"/>
  <c r="H34" i="39"/>
  <c r="M34" i="39"/>
  <c r="O34" i="39"/>
  <c r="H26" i="39"/>
  <c r="M26" i="39"/>
  <c r="K26" i="39"/>
  <c r="O26" i="39"/>
  <c r="K15" i="39"/>
  <c r="M15" i="39"/>
  <c r="O15" i="39"/>
  <c r="H15" i="39"/>
  <c r="M7" i="40"/>
  <c r="O7" i="40"/>
  <c r="H7" i="40"/>
  <c r="K7" i="40"/>
  <c r="H13" i="40"/>
  <c r="O13" i="40"/>
  <c r="M13" i="40"/>
  <c r="K13" i="40"/>
  <c r="O34" i="40"/>
  <c r="K34" i="40"/>
  <c r="H34" i="40"/>
  <c r="M34" i="40"/>
  <c r="M7" i="35"/>
  <c r="K7" i="35"/>
  <c r="H7" i="35"/>
  <c r="O7" i="35"/>
  <c r="O14" i="35"/>
  <c r="H14" i="35"/>
  <c r="M14" i="35"/>
  <c r="K14" i="35"/>
  <c r="H30" i="35"/>
  <c r="K30" i="35"/>
  <c r="O30" i="35"/>
  <c r="M30" i="35"/>
  <c r="D38" i="36"/>
  <c r="K6" i="36"/>
  <c r="M6" i="36"/>
  <c r="H6" i="36"/>
  <c r="O6" i="36"/>
  <c r="H14" i="36"/>
  <c r="M14" i="36"/>
  <c r="K14" i="36"/>
  <c r="O14" i="36"/>
  <c r="M32" i="36"/>
  <c r="H32" i="36"/>
  <c r="K32" i="36"/>
  <c r="O32" i="36"/>
  <c r="H7" i="41"/>
  <c r="M7" i="41"/>
  <c r="O7" i="41"/>
  <c r="K7" i="41"/>
  <c r="O13" i="41"/>
  <c r="K13" i="41"/>
  <c r="M13" i="41"/>
  <c r="H13" i="41"/>
  <c r="H29" i="41"/>
  <c r="K29" i="41"/>
  <c r="O29" i="41"/>
  <c r="M29" i="41"/>
  <c r="K6" i="42"/>
  <c r="D38" i="42"/>
  <c r="H6" i="42"/>
  <c r="M6" i="42"/>
  <c r="O6" i="42"/>
  <c r="K15" i="42"/>
  <c r="H15" i="42"/>
  <c r="M15" i="42"/>
  <c r="O15" i="42"/>
  <c r="O31" i="38"/>
  <c r="M31" i="38"/>
  <c r="D31" i="43"/>
  <c r="H31" i="43" s="1"/>
  <c r="K31" i="38"/>
  <c r="H31" i="38"/>
  <c r="K26" i="38"/>
  <c r="O26" i="38"/>
  <c r="D26" i="43"/>
  <c r="H26" i="43" s="1"/>
  <c r="H26" i="38"/>
  <c r="M26" i="38"/>
  <c r="H14" i="38"/>
  <c r="K14" i="38"/>
  <c r="O14" i="38"/>
  <c r="D14" i="43"/>
  <c r="H14" i="43" s="1"/>
  <c r="M14" i="38"/>
  <c r="K6" i="39"/>
  <c r="M6" i="39"/>
  <c r="D38" i="39"/>
  <c r="H6" i="39"/>
  <c r="O6" i="39"/>
  <c r="M29" i="39"/>
  <c r="H29" i="39"/>
  <c r="K29" i="39"/>
  <c r="O29" i="39"/>
  <c r="M35" i="38"/>
  <c r="K35" i="38"/>
  <c r="O35" i="38"/>
  <c r="D35" i="43"/>
  <c r="H35" i="43" s="1"/>
  <c r="H35" i="38"/>
  <c r="O30" i="38"/>
  <c r="M30" i="38"/>
  <c r="H30" i="38"/>
  <c r="K30" i="38"/>
  <c r="D30" i="43"/>
  <c r="H30" i="43" s="1"/>
  <c r="O17" i="38"/>
  <c r="M17" i="38"/>
  <c r="D17" i="43"/>
  <c r="H17" i="43" s="1"/>
  <c r="H17" i="38"/>
  <c r="K17" i="38"/>
  <c r="O13" i="38"/>
  <c r="H13" i="38"/>
  <c r="K13" i="38"/>
  <c r="D13" i="43"/>
  <c r="H13" i="43" s="1"/>
  <c r="M13" i="38"/>
  <c r="M36" i="39"/>
  <c r="K36" i="39"/>
  <c r="O36" i="39"/>
  <c r="H36" i="39"/>
  <c r="O28" i="39"/>
  <c r="K28" i="39"/>
  <c r="M28" i="39"/>
  <c r="H28" i="39"/>
  <c r="O22" i="39"/>
  <c r="H22" i="39"/>
  <c r="K22" i="39"/>
  <c r="M22" i="39"/>
  <c r="H13" i="39"/>
  <c r="K13" i="39"/>
  <c r="M13" i="39"/>
  <c r="O13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12" i="35"/>
  <c r="K12" i="35"/>
  <c r="M12" i="35"/>
  <c r="H12" i="35"/>
  <c r="K6" i="38"/>
  <c r="O6" i="38"/>
  <c r="D6" i="43"/>
  <c r="D38" i="38"/>
  <c r="M6" i="38"/>
  <c r="H6" i="38"/>
  <c r="O34" i="38"/>
  <c r="D34" i="43"/>
  <c r="H34" i="43" s="1"/>
  <c r="H34" i="38"/>
  <c r="K34" i="38"/>
  <c r="M34" i="38"/>
  <c r="K29" i="38"/>
  <c r="H29" i="38"/>
  <c r="D29" i="43"/>
  <c r="H29" i="43" s="1"/>
  <c r="M29" i="38"/>
  <c r="O29" i="38"/>
  <c r="O22" i="38"/>
  <c r="H22" i="38"/>
  <c r="M22" i="38"/>
  <c r="D22" i="43"/>
  <c r="H22" i="43" s="1"/>
  <c r="K22" i="38"/>
  <c r="M16" i="38"/>
  <c r="H16" i="38"/>
  <c r="O16" i="38"/>
  <c r="D16" i="43"/>
  <c r="H16" i="43" s="1"/>
  <c r="K16" i="38"/>
  <c r="O8" i="38"/>
  <c r="D8" i="43"/>
  <c r="H8" i="43" s="1"/>
  <c r="K8" i="38"/>
  <c r="M8" i="38"/>
  <c r="H8" i="38"/>
  <c r="O35" i="39"/>
  <c r="K35" i="39"/>
  <c r="M35" i="39"/>
  <c r="H35" i="39"/>
  <c r="K31" i="39"/>
  <c r="H31" i="39"/>
  <c r="O31" i="39"/>
  <c r="M31" i="39"/>
  <c r="M27" i="39"/>
  <c r="H27" i="39"/>
  <c r="D27" i="43"/>
  <c r="H27" i="43" s="1"/>
  <c r="O27" i="39"/>
  <c r="K27" i="39"/>
  <c r="H21" i="39"/>
  <c r="K21" i="39"/>
  <c r="M21" i="39"/>
  <c r="O21" i="39"/>
  <c r="M16" i="39"/>
  <c r="K16" i="39"/>
  <c r="O16" i="39"/>
  <c r="H16" i="39"/>
  <c r="H11" i="39"/>
  <c r="M11" i="39"/>
  <c r="O11" i="39"/>
  <c r="D11" i="43"/>
  <c r="H11" i="43" s="1"/>
  <c r="K11" i="39"/>
  <c r="H6" i="40"/>
  <c r="M6" i="40"/>
  <c r="D38" i="40"/>
  <c r="K6" i="40"/>
  <c r="O6" i="40"/>
  <c r="H12" i="40"/>
  <c r="O12" i="40"/>
  <c r="M12" i="40"/>
  <c r="K12" i="40"/>
  <c r="D12" i="43"/>
  <c r="H12" i="43" s="1"/>
  <c r="O16" i="40"/>
  <c r="M16" i="40"/>
  <c r="H16" i="40"/>
  <c r="K16" i="40"/>
  <c r="O28" i="40"/>
  <c r="H28" i="40"/>
  <c r="K28" i="40"/>
  <c r="M28" i="40"/>
  <c r="O33" i="40"/>
  <c r="H33" i="40"/>
  <c r="K33" i="40"/>
  <c r="M33" i="40"/>
  <c r="O6" i="35"/>
  <c r="H6" i="35"/>
  <c r="K6" i="35"/>
  <c r="D38" i="35"/>
  <c r="M6" i="35"/>
  <c r="H13" i="35"/>
  <c r="M13" i="35"/>
  <c r="K13" i="35"/>
  <c r="O13" i="35"/>
  <c r="M17" i="35"/>
  <c r="O17" i="35"/>
  <c r="H17" i="35"/>
  <c r="K17" i="35"/>
  <c r="K22" i="35"/>
  <c r="M22" i="35"/>
  <c r="H22" i="35"/>
  <c r="O22" i="35"/>
  <c r="K29" i="35"/>
  <c r="M29" i="35"/>
  <c r="O29" i="35"/>
  <c r="H29" i="35"/>
  <c r="M35" i="35"/>
  <c r="O35" i="35"/>
  <c r="H35" i="35"/>
  <c r="K35" i="35"/>
  <c r="M13" i="36"/>
  <c r="H13" i="36"/>
  <c r="O13" i="36"/>
  <c r="K13" i="36"/>
  <c r="M19" i="36"/>
  <c r="K19" i="36"/>
  <c r="H19" i="36"/>
  <c r="O19" i="36"/>
  <c r="H26" i="36"/>
  <c r="M26" i="36"/>
  <c r="K26" i="36"/>
  <c r="O26" i="36"/>
  <c r="M30" i="36"/>
  <c r="H30" i="36"/>
  <c r="O30" i="36"/>
  <c r="K30" i="36"/>
  <c r="M6" i="41"/>
  <c r="K6" i="41"/>
  <c r="O6" i="41"/>
  <c r="H6" i="41"/>
  <c r="D38" i="41"/>
  <c r="H12" i="41"/>
  <c r="M12" i="41"/>
  <c r="O12" i="41"/>
  <c r="K12" i="41"/>
  <c r="M16" i="41"/>
  <c r="K16" i="41"/>
  <c r="H16" i="41"/>
  <c r="O16" i="41"/>
  <c r="K22" i="41"/>
  <c r="O22" i="41"/>
  <c r="H22" i="41"/>
  <c r="M22" i="41"/>
  <c r="K28" i="41"/>
  <c r="M28" i="41"/>
  <c r="H28" i="41"/>
  <c r="O28" i="41"/>
  <c r="K35" i="41"/>
  <c r="O35" i="41"/>
  <c r="H35" i="41"/>
  <c r="M35" i="41"/>
  <c r="K14" i="42"/>
  <c r="O14" i="42"/>
  <c r="M14" i="42"/>
  <c r="H14" i="42"/>
  <c r="M27" i="42"/>
  <c r="O27" i="42"/>
  <c r="H27" i="42"/>
  <c r="K27" i="42"/>
  <c r="O11" i="43" l="1"/>
  <c r="M38" i="35"/>
  <c r="O12" i="43"/>
  <c r="O38" i="41"/>
  <c r="K34" i="43"/>
  <c r="K21" i="43"/>
  <c r="M18" i="43"/>
  <c r="O23" i="43"/>
  <c r="M36" i="43"/>
  <c r="M14" i="43"/>
  <c r="O26" i="43"/>
  <c r="O18" i="43"/>
  <c r="K38" i="40"/>
  <c r="K11" i="43"/>
  <c r="O22" i="43"/>
  <c r="AS12" i="41"/>
  <c r="G12" i="41"/>
  <c r="AQ12" i="41"/>
  <c r="AR12" i="41"/>
  <c r="O38" i="35"/>
  <c r="AS11" i="39"/>
  <c r="AQ11" i="39"/>
  <c r="AR11" i="39"/>
  <c r="G11" i="39"/>
  <c r="AR27" i="39"/>
  <c r="AS27" i="39"/>
  <c r="G27" i="39"/>
  <c r="AQ27" i="39"/>
  <c r="K22" i="43"/>
  <c r="G29" i="38"/>
  <c r="AR29" i="38"/>
  <c r="AS29" i="38"/>
  <c r="AQ29" i="38"/>
  <c r="O6" i="43"/>
  <c r="O38" i="38"/>
  <c r="AS14" i="38"/>
  <c r="AR14" i="38"/>
  <c r="AQ14" i="38"/>
  <c r="G14" i="38"/>
  <c r="H38" i="36"/>
  <c r="D43" i="36" s="1"/>
  <c r="G6" i="36"/>
  <c r="AR6" i="36"/>
  <c r="AQ6" i="36"/>
  <c r="K7" i="43"/>
  <c r="G11" i="42"/>
  <c r="AR11" i="42"/>
  <c r="AQ11" i="42"/>
  <c r="AS11" i="42"/>
  <c r="AR10" i="38"/>
  <c r="G10" i="38"/>
  <c r="AS10" i="38"/>
  <c r="AQ10" i="38"/>
  <c r="G22" i="36"/>
  <c r="AQ22" i="36"/>
  <c r="AR22" i="36"/>
  <c r="AS22" i="36"/>
  <c r="AQ19" i="38"/>
  <c r="G19" i="38"/>
  <c r="AR19" i="38"/>
  <c r="AS19" i="38"/>
  <c r="AQ30" i="39"/>
  <c r="AR30" i="39"/>
  <c r="AS30" i="39"/>
  <c r="G30" i="39"/>
  <c r="G27" i="42"/>
  <c r="AQ27" i="42"/>
  <c r="AS27" i="42"/>
  <c r="AR27" i="42"/>
  <c r="G16" i="39"/>
  <c r="AR16" i="39"/>
  <c r="AS16" i="39"/>
  <c r="AQ16" i="39"/>
  <c r="K27" i="43"/>
  <c r="M27" i="43"/>
  <c r="O16" i="43"/>
  <c r="O29" i="43"/>
  <c r="K29" i="43"/>
  <c r="M38" i="38"/>
  <c r="M6" i="43"/>
  <c r="K6" i="43"/>
  <c r="K38" i="38"/>
  <c r="AS13" i="39"/>
  <c r="AR13" i="39"/>
  <c r="G13" i="39"/>
  <c r="AQ13" i="39"/>
  <c r="G13" i="38"/>
  <c r="AS13" i="38"/>
  <c r="AR13" i="38"/>
  <c r="AQ13" i="38"/>
  <c r="K30" i="43"/>
  <c r="AQ35" i="38"/>
  <c r="G35" i="38"/>
  <c r="AR35" i="38"/>
  <c r="AS35" i="38"/>
  <c r="M35" i="43"/>
  <c r="M26" i="43"/>
  <c r="K26" i="43"/>
  <c r="M31" i="43"/>
  <c r="O38" i="42"/>
  <c r="K38" i="42"/>
  <c r="AS29" i="41"/>
  <c r="AR29" i="41"/>
  <c r="G29" i="41"/>
  <c r="AQ29" i="41"/>
  <c r="G7" i="41"/>
  <c r="AS7" i="41"/>
  <c r="AQ7" i="41"/>
  <c r="AR7" i="41"/>
  <c r="G14" i="36"/>
  <c r="AQ14" i="36"/>
  <c r="AR14" i="36"/>
  <c r="AS14" i="36"/>
  <c r="M38" i="36"/>
  <c r="G7" i="35"/>
  <c r="AQ7" i="35"/>
  <c r="AS7" i="35"/>
  <c r="AR7" i="35"/>
  <c r="G34" i="40"/>
  <c r="AS34" i="40"/>
  <c r="AQ34" i="40"/>
  <c r="AR34" i="40"/>
  <c r="AQ7" i="40"/>
  <c r="AS7" i="40"/>
  <c r="AR7" i="40"/>
  <c r="G7" i="40"/>
  <c r="O21" i="43"/>
  <c r="AR7" i="38"/>
  <c r="G7" i="38"/>
  <c r="AS7" i="38"/>
  <c r="AQ7" i="38"/>
  <c r="O7" i="43"/>
  <c r="AQ27" i="41"/>
  <c r="AR27" i="41"/>
  <c r="AS27" i="41"/>
  <c r="G27" i="41"/>
  <c r="AR8" i="36"/>
  <c r="AQ8" i="36"/>
  <c r="G8" i="36"/>
  <c r="AS8" i="36"/>
  <c r="AR33" i="35"/>
  <c r="AS33" i="35"/>
  <c r="AQ33" i="35"/>
  <c r="G33" i="35"/>
  <c r="G28" i="35"/>
  <c r="AS28" i="35"/>
  <c r="AQ28" i="35"/>
  <c r="AR28" i="35"/>
  <c r="AR36" i="40"/>
  <c r="G36" i="40"/>
  <c r="AQ36" i="40"/>
  <c r="AS36" i="40"/>
  <c r="O32" i="43"/>
  <c r="AQ18" i="39"/>
  <c r="G18" i="39"/>
  <c r="AS18" i="39"/>
  <c r="AR18" i="39"/>
  <c r="AS23" i="41"/>
  <c r="AQ23" i="41"/>
  <c r="G23" i="41"/>
  <c r="AR23" i="41"/>
  <c r="G21" i="36"/>
  <c r="AS21" i="36"/>
  <c r="AQ21" i="36"/>
  <c r="AR21" i="36"/>
  <c r="G18" i="40"/>
  <c r="AS18" i="40"/>
  <c r="AR18" i="40"/>
  <c r="AQ18" i="40"/>
  <c r="O10" i="43"/>
  <c r="M10" i="43"/>
  <c r="AR15" i="38"/>
  <c r="AS15" i="38"/>
  <c r="G15" i="38"/>
  <c r="AQ15" i="38"/>
  <c r="O33" i="43"/>
  <c r="AS30" i="42"/>
  <c r="AQ30" i="42"/>
  <c r="G30" i="42"/>
  <c r="AR30" i="42"/>
  <c r="K8" i="43"/>
  <c r="G14" i="41"/>
  <c r="AQ14" i="41"/>
  <c r="AS14" i="41"/>
  <c r="AR14" i="41"/>
  <c r="AS15" i="36"/>
  <c r="AQ15" i="36"/>
  <c r="AR15" i="36"/>
  <c r="G15" i="36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M23" i="43"/>
  <c r="O19" i="43"/>
  <c r="K19" i="43"/>
  <c r="O28" i="43"/>
  <c r="AS22" i="35"/>
  <c r="AQ22" i="35"/>
  <c r="AR22" i="35"/>
  <c r="G22" i="35"/>
  <c r="G6" i="38"/>
  <c r="AQ6" i="38"/>
  <c r="AR6" i="38"/>
  <c r="H38" i="38"/>
  <c r="D43" i="38" s="1"/>
  <c r="K13" i="43"/>
  <c r="K35" i="43"/>
  <c r="AS19" i="42"/>
  <c r="AQ19" i="42"/>
  <c r="AR19" i="42"/>
  <c r="G19" i="42"/>
  <c r="AQ29" i="36"/>
  <c r="AR29" i="36"/>
  <c r="AS29" i="36"/>
  <c r="G29" i="36"/>
  <c r="K32" i="43"/>
  <c r="AQ10" i="41"/>
  <c r="G10" i="41"/>
  <c r="AS10" i="41"/>
  <c r="AR10" i="41"/>
  <c r="AS22" i="40"/>
  <c r="AQ22" i="40"/>
  <c r="G22" i="40"/>
  <c r="AR22" i="40"/>
  <c r="AR18" i="35"/>
  <c r="AQ18" i="35"/>
  <c r="G18" i="35"/>
  <c r="AS18" i="35"/>
  <c r="AQ29" i="40"/>
  <c r="G29" i="40"/>
  <c r="AS29" i="40"/>
  <c r="AR29" i="40"/>
  <c r="AS14" i="42"/>
  <c r="G14" i="42"/>
  <c r="AQ14" i="42"/>
  <c r="AR14" i="42"/>
  <c r="K38" i="41"/>
  <c r="AS12" i="40"/>
  <c r="AR12" i="40"/>
  <c r="G12" i="40"/>
  <c r="AQ12" i="40"/>
  <c r="AQ22" i="41"/>
  <c r="AS22" i="41"/>
  <c r="G22" i="41"/>
  <c r="AR22" i="41"/>
  <c r="M38" i="41"/>
  <c r="G13" i="35"/>
  <c r="AQ13" i="35"/>
  <c r="AR13" i="35"/>
  <c r="AS13" i="35"/>
  <c r="AS16" i="40"/>
  <c r="AQ16" i="40"/>
  <c r="AR16" i="40"/>
  <c r="G16" i="40"/>
  <c r="O27" i="43"/>
  <c r="O8" i="43"/>
  <c r="M22" i="43"/>
  <c r="M29" i="43"/>
  <c r="M34" i="43"/>
  <c r="O34" i="43"/>
  <c r="G12" i="35"/>
  <c r="AS12" i="35"/>
  <c r="AR12" i="35"/>
  <c r="AQ12" i="35"/>
  <c r="AQ27" i="40"/>
  <c r="G27" i="40"/>
  <c r="AS27" i="40"/>
  <c r="AR27" i="40"/>
  <c r="AR15" i="40"/>
  <c r="AS15" i="40"/>
  <c r="AQ15" i="40"/>
  <c r="G15" i="40"/>
  <c r="G28" i="39"/>
  <c r="AR28" i="39"/>
  <c r="AQ28" i="39"/>
  <c r="AS28" i="39"/>
  <c r="AR36" i="39"/>
  <c r="AQ36" i="39"/>
  <c r="G36" i="39"/>
  <c r="AS36" i="39"/>
  <c r="M13" i="43"/>
  <c r="O13" i="43"/>
  <c r="M17" i="43"/>
  <c r="AQ30" i="38"/>
  <c r="AS30" i="38"/>
  <c r="AR30" i="38"/>
  <c r="G30" i="38"/>
  <c r="M38" i="39"/>
  <c r="O14" i="43"/>
  <c r="AQ26" i="38"/>
  <c r="G26" i="38"/>
  <c r="AS26" i="38"/>
  <c r="AR26" i="38"/>
  <c r="AQ31" i="38"/>
  <c r="AS31" i="38"/>
  <c r="AR31" i="38"/>
  <c r="G31" i="38"/>
  <c r="O31" i="43"/>
  <c r="AS15" i="42"/>
  <c r="G15" i="42"/>
  <c r="AQ15" i="42"/>
  <c r="AR15" i="42"/>
  <c r="M38" i="42"/>
  <c r="G13" i="41"/>
  <c r="AR13" i="41"/>
  <c r="AS13" i="41"/>
  <c r="AQ13" i="41"/>
  <c r="K38" i="36"/>
  <c r="AR14" i="35"/>
  <c r="G14" i="35"/>
  <c r="AQ14" i="35"/>
  <c r="AS14" i="35"/>
  <c r="AQ34" i="39"/>
  <c r="AR34" i="39"/>
  <c r="G34" i="39"/>
  <c r="AS34" i="39"/>
  <c r="M21" i="43"/>
  <c r="AR15" i="41"/>
  <c r="AQ15" i="41"/>
  <c r="G15" i="41"/>
  <c r="AS15" i="41"/>
  <c r="G11" i="41"/>
  <c r="AR11" i="41"/>
  <c r="AS11" i="41"/>
  <c r="AQ11" i="41"/>
  <c r="G7" i="39"/>
  <c r="AR7" i="39"/>
  <c r="AS7" i="39"/>
  <c r="AQ7" i="39"/>
  <c r="AQ32" i="39"/>
  <c r="AS32" i="39"/>
  <c r="AR32" i="39"/>
  <c r="G32" i="39"/>
  <c r="AR24" i="38"/>
  <c r="AR24" i="43" s="1"/>
  <c r="G24" i="38"/>
  <c r="AQ24" i="38"/>
  <c r="AQ24" i="43" s="1"/>
  <c r="AS24" i="38"/>
  <c r="AS24" i="43" s="1"/>
  <c r="AQ10" i="39"/>
  <c r="AS10" i="39"/>
  <c r="G10" i="39"/>
  <c r="AR10" i="39"/>
  <c r="AS19" i="39"/>
  <c r="AQ19" i="39"/>
  <c r="G19" i="39"/>
  <c r="AR19" i="39"/>
  <c r="M15" i="43"/>
  <c r="O15" i="43"/>
  <c r="K33" i="43"/>
  <c r="AQ8" i="42"/>
  <c r="G8" i="42"/>
  <c r="AR8" i="42"/>
  <c r="AS8" i="42"/>
  <c r="AS28" i="36"/>
  <c r="AR28" i="36"/>
  <c r="AQ28" i="36"/>
  <c r="G28" i="36"/>
  <c r="AR7" i="36"/>
  <c r="AS7" i="36"/>
  <c r="AQ7" i="36"/>
  <c r="G7" i="36"/>
  <c r="G31" i="35"/>
  <c r="AR31" i="35"/>
  <c r="AS31" i="35"/>
  <c r="AQ31" i="35"/>
  <c r="AS8" i="35"/>
  <c r="AQ8" i="35"/>
  <c r="G8" i="35"/>
  <c r="AR8" i="35"/>
  <c r="G35" i="40"/>
  <c r="AS35" i="40"/>
  <c r="AR35" i="40"/>
  <c r="AQ35" i="40"/>
  <c r="AQ30" i="40"/>
  <c r="AS30" i="40"/>
  <c r="G30" i="40"/>
  <c r="AR30" i="40"/>
  <c r="AQ14" i="40"/>
  <c r="G14" i="40"/>
  <c r="AS14" i="40"/>
  <c r="AR14" i="40"/>
  <c r="O36" i="43"/>
  <c r="K36" i="43"/>
  <c r="M28" i="43"/>
  <c r="G19" i="36"/>
  <c r="AR19" i="36"/>
  <c r="AQ19" i="36"/>
  <c r="AS19" i="36"/>
  <c r="AS35" i="35"/>
  <c r="G35" i="35"/>
  <c r="AQ35" i="35"/>
  <c r="AR35" i="35"/>
  <c r="G17" i="35"/>
  <c r="AQ17" i="35"/>
  <c r="AR17" i="35"/>
  <c r="AS17" i="35"/>
  <c r="AS21" i="39"/>
  <c r="G21" i="39"/>
  <c r="AQ21" i="39"/>
  <c r="AR21" i="39"/>
  <c r="G31" i="39"/>
  <c r="AR31" i="39"/>
  <c r="AQ31" i="39"/>
  <c r="AS31" i="39"/>
  <c r="AR34" i="38"/>
  <c r="AS34" i="38"/>
  <c r="G34" i="38"/>
  <c r="AQ34" i="38"/>
  <c r="AS10" i="40"/>
  <c r="AR10" i="40"/>
  <c r="G10" i="40"/>
  <c r="AQ10" i="40"/>
  <c r="AQ22" i="39"/>
  <c r="AS22" i="39"/>
  <c r="AR22" i="39"/>
  <c r="G22" i="39"/>
  <c r="AS17" i="38"/>
  <c r="G17" i="38"/>
  <c r="AR17" i="38"/>
  <c r="AQ17" i="38"/>
  <c r="O30" i="43"/>
  <c r="AR29" i="39"/>
  <c r="AS29" i="39"/>
  <c r="G29" i="39"/>
  <c r="AQ29" i="39"/>
  <c r="G6" i="39"/>
  <c r="AR6" i="39"/>
  <c r="H38" i="39"/>
  <c r="D43" i="39" s="1"/>
  <c r="AQ6" i="39"/>
  <c r="G32" i="36"/>
  <c r="AQ32" i="36"/>
  <c r="AR32" i="36"/>
  <c r="AS32" i="36"/>
  <c r="G15" i="39"/>
  <c r="AS15" i="39"/>
  <c r="AR15" i="39"/>
  <c r="AQ15" i="39"/>
  <c r="G21" i="38"/>
  <c r="AR21" i="38"/>
  <c r="AS21" i="38"/>
  <c r="AQ21" i="38"/>
  <c r="AS23" i="36"/>
  <c r="AQ23" i="36"/>
  <c r="AR23" i="36"/>
  <c r="G23" i="36"/>
  <c r="AR17" i="36"/>
  <c r="AQ17" i="36"/>
  <c r="G17" i="36"/>
  <c r="AS17" i="36"/>
  <c r="AQ30" i="41"/>
  <c r="AS30" i="41"/>
  <c r="G30" i="41"/>
  <c r="AR30" i="41"/>
  <c r="AQ33" i="36"/>
  <c r="AR33" i="36"/>
  <c r="AS33" i="36"/>
  <c r="G33" i="36"/>
  <c r="K23" i="43"/>
  <c r="K28" i="43"/>
  <c r="AS30" i="36"/>
  <c r="G30" i="36"/>
  <c r="AQ30" i="36"/>
  <c r="AR30" i="36"/>
  <c r="G13" i="36"/>
  <c r="AR13" i="36"/>
  <c r="AQ13" i="36"/>
  <c r="AS13" i="36"/>
  <c r="AQ35" i="41"/>
  <c r="AS35" i="41"/>
  <c r="G35" i="41"/>
  <c r="AR35" i="41"/>
  <c r="AQ28" i="41"/>
  <c r="G28" i="41"/>
  <c r="AR28" i="41"/>
  <c r="AS28" i="41"/>
  <c r="AR16" i="41"/>
  <c r="AS16" i="41"/>
  <c r="AQ16" i="41"/>
  <c r="G16" i="41"/>
  <c r="AQ26" i="36"/>
  <c r="AS26" i="36"/>
  <c r="AR26" i="36"/>
  <c r="G26" i="36"/>
  <c r="K38" i="35"/>
  <c r="K12" i="43"/>
  <c r="M38" i="40"/>
  <c r="AQ35" i="39"/>
  <c r="AR35" i="39"/>
  <c r="G35" i="39"/>
  <c r="AS35" i="39"/>
  <c r="AR8" i="38"/>
  <c r="G8" i="38"/>
  <c r="AQ8" i="38"/>
  <c r="AS8" i="38"/>
  <c r="AR16" i="38"/>
  <c r="AQ16" i="38"/>
  <c r="G16" i="38"/>
  <c r="AS16" i="38"/>
  <c r="H38" i="41"/>
  <c r="D43" i="41" s="1"/>
  <c r="AR6" i="41"/>
  <c r="G6" i="41"/>
  <c r="AQ6" i="41"/>
  <c r="AQ29" i="35"/>
  <c r="AS29" i="35"/>
  <c r="AR29" i="35"/>
  <c r="G29" i="35"/>
  <c r="AR6" i="35"/>
  <c r="G6" i="35"/>
  <c r="AQ6" i="35"/>
  <c r="H38" i="35"/>
  <c r="D43" i="35" s="1"/>
  <c r="G33" i="40"/>
  <c r="AS33" i="40"/>
  <c r="AQ33" i="40"/>
  <c r="AR33" i="40"/>
  <c r="G28" i="40"/>
  <c r="AR28" i="40"/>
  <c r="AQ28" i="40"/>
  <c r="AS28" i="40"/>
  <c r="M12" i="43"/>
  <c r="O38" i="40"/>
  <c r="G6" i="40"/>
  <c r="AR6" i="40"/>
  <c r="H38" i="40"/>
  <c r="D43" i="40" s="1"/>
  <c r="AQ6" i="40"/>
  <c r="M11" i="43"/>
  <c r="M8" i="43"/>
  <c r="K16" i="43"/>
  <c r="M16" i="43"/>
  <c r="AS22" i="38"/>
  <c r="AQ22" i="38"/>
  <c r="AR22" i="38"/>
  <c r="G22" i="38"/>
  <c r="D38" i="43"/>
  <c r="H6" i="43"/>
  <c r="H38" i="43" s="1"/>
  <c r="D43" i="43" s="1"/>
  <c r="AS31" i="40"/>
  <c r="G31" i="40"/>
  <c r="AQ31" i="40"/>
  <c r="AR31" i="40"/>
  <c r="K17" i="43"/>
  <c r="O17" i="43"/>
  <c r="M30" i="43"/>
  <c r="O35" i="43"/>
  <c r="O38" i="39"/>
  <c r="K38" i="39"/>
  <c r="K14" i="43"/>
  <c r="K31" i="43"/>
  <c r="H38" i="42"/>
  <c r="D43" i="42" s="1"/>
  <c r="AR6" i="42"/>
  <c r="G6" i="42"/>
  <c r="AQ6" i="42"/>
  <c r="O38" i="36"/>
  <c r="G30" i="35"/>
  <c r="AS30" i="35"/>
  <c r="AQ30" i="35"/>
  <c r="AR30" i="35"/>
  <c r="AQ13" i="40"/>
  <c r="AR13" i="40"/>
  <c r="G13" i="40"/>
  <c r="AS13" i="40"/>
  <c r="G26" i="39"/>
  <c r="AR26" i="39"/>
  <c r="AS26" i="39"/>
  <c r="AQ26" i="39"/>
  <c r="M7" i="43"/>
  <c r="G36" i="42"/>
  <c r="AQ36" i="42"/>
  <c r="AS36" i="42"/>
  <c r="AR36" i="42"/>
  <c r="AS32" i="41"/>
  <c r="AR32" i="41"/>
  <c r="AQ32" i="41"/>
  <c r="G32" i="41"/>
  <c r="G21" i="41"/>
  <c r="AQ21" i="41"/>
  <c r="AS21" i="41"/>
  <c r="AR21" i="41"/>
  <c r="AQ35" i="36"/>
  <c r="AS35" i="36"/>
  <c r="AR35" i="36"/>
  <c r="G35" i="36"/>
  <c r="AS21" i="35"/>
  <c r="G21" i="35"/>
  <c r="AR21" i="35"/>
  <c r="AQ21" i="35"/>
  <c r="G16" i="35"/>
  <c r="AR16" i="35"/>
  <c r="AS16" i="35"/>
  <c r="AQ16" i="35"/>
  <c r="G17" i="39"/>
  <c r="AR17" i="39"/>
  <c r="AS17" i="39"/>
  <c r="AQ17" i="39"/>
  <c r="M32" i="43"/>
  <c r="K18" i="43"/>
  <c r="G33" i="39"/>
  <c r="AR33" i="39"/>
  <c r="AQ33" i="39"/>
  <c r="AS33" i="39"/>
  <c r="G28" i="42"/>
  <c r="AR28" i="42"/>
  <c r="AQ28" i="42"/>
  <c r="AS28" i="42"/>
  <c r="AS23" i="35"/>
  <c r="AQ23" i="35"/>
  <c r="AR23" i="35"/>
  <c r="G23" i="35"/>
  <c r="K10" i="43"/>
  <c r="K15" i="43"/>
  <c r="AR33" i="38"/>
  <c r="G33" i="38"/>
  <c r="AS33" i="38"/>
  <c r="AQ33" i="38"/>
  <c r="M33" i="43"/>
  <c r="AS16" i="42"/>
  <c r="AR16" i="42"/>
  <c r="AQ16" i="42"/>
  <c r="G16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AQ23" i="39"/>
  <c r="G23" i="39"/>
  <c r="AS23" i="39"/>
  <c r="AR23" i="39"/>
  <c r="M19" i="43"/>
  <c r="AS36" i="38"/>
  <c r="AQ36" i="38"/>
  <c r="AR36" i="38"/>
  <c r="G36" i="38"/>
  <c r="AQ17" i="41"/>
  <c r="AR17" i="41"/>
  <c r="G17" i="41"/>
  <c r="AS17" i="41"/>
  <c r="G27" i="36"/>
  <c r="AR27" i="36"/>
  <c r="AQ27" i="36"/>
  <c r="AS27" i="36"/>
  <c r="AS28" i="38"/>
  <c r="G28" i="38"/>
  <c r="AR28" i="38"/>
  <c r="AQ28" i="38"/>
  <c r="AQ36" i="43" l="1"/>
  <c r="AS23" i="43"/>
  <c r="AQ34" i="43"/>
  <c r="U26" i="39"/>
  <c r="C26" i="39" s="1"/>
  <c r="U30" i="35"/>
  <c r="C30" i="35" s="1"/>
  <c r="U31" i="40"/>
  <c r="C31" i="40" s="1"/>
  <c r="U29" i="39"/>
  <c r="C29" i="39" s="1"/>
  <c r="U22" i="39"/>
  <c r="C22" i="39" s="1"/>
  <c r="U30" i="40"/>
  <c r="C30" i="40" s="1"/>
  <c r="U8" i="35"/>
  <c r="C8" i="35" s="1"/>
  <c r="U34" i="39"/>
  <c r="C34" i="39" s="1"/>
  <c r="U18" i="35"/>
  <c r="C18" i="35" s="1"/>
  <c r="U22" i="40"/>
  <c r="C22" i="40" s="1"/>
  <c r="U29" i="36"/>
  <c r="C29" i="36" s="1"/>
  <c r="U19" i="42"/>
  <c r="C19" i="42" s="1"/>
  <c r="U30" i="42"/>
  <c r="C30" i="42" s="1"/>
  <c r="U8" i="36"/>
  <c r="C8" i="36" s="1"/>
  <c r="U7" i="35"/>
  <c r="C7" i="35" s="1"/>
  <c r="AS33" i="43"/>
  <c r="U26" i="36"/>
  <c r="C26" i="36" s="1"/>
  <c r="U16" i="41"/>
  <c r="C16" i="41" s="1"/>
  <c r="U10" i="40"/>
  <c r="C10" i="40" s="1"/>
  <c r="U8" i="42"/>
  <c r="C8" i="42" s="1"/>
  <c r="U7" i="39"/>
  <c r="C7" i="39" s="1"/>
  <c r="U14" i="35"/>
  <c r="C14" i="35" s="1"/>
  <c r="U14" i="42"/>
  <c r="C14" i="42" s="1"/>
  <c r="U10" i="41"/>
  <c r="C10" i="41" s="1"/>
  <c r="U14" i="39"/>
  <c r="C14" i="39" s="1"/>
  <c r="U19" i="35"/>
  <c r="C19" i="35" s="1"/>
  <c r="U14" i="41"/>
  <c r="C14" i="41" s="1"/>
  <c r="U21" i="36"/>
  <c r="C21" i="36" s="1"/>
  <c r="U14" i="36"/>
  <c r="C14" i="36" s="1"/>
  <c r="U7" i="41"/>
  <c r="C7" i="41" s="1"/>
  <c r="U16" i="39"/>
  <c r="C16" i="39" s="1"/>
  <c r="U22" i="36"/>
  <c r="C22" i="36" s="1"/>
  <c r="U11" i="42"/>
  <c r="C11" i="42" s="1"/>
  <c r="U12" i="41"/>
  <c r="C12" i="41" s="1"/>
  <c r="U23" i="35"/>
  <c r="C23" i="35" s="1"/>
  <c r="U13" i="40"/>
  <c r="C13" i="40" s="1"/>
  <c r="U29" i="35"/>
  <c r="C29" i="35" s="1"/>
  <c r="U35" i="41"/>
  <c r="C35" i="41" s="1"/>
  <c r="U15" i="39"/>
  <c r="C15" i="39" s="1"/>
  <c r="U32" i="36"/>
  <c r="C32" i="36" s="1"/>
  <c r="U21" i="39"/>
  <c r="C21" i="39" s="1"/>
  <c r="U35" i="35"/>
  <c r="C35" i="35" s="1"/>
  <c r="U35" i="40"/>
  <c r="C35" i="40" s="1"/>
  <c r="U31" i="35"/>
  <c r="C31" i="35" s="1"/>
  <c r="U28" i="39"/>
  <c r="C28" i="39" s="1"/>
  <c r="U12" i="35"/>
  <c r="C12" i="35" s="1"/>
  <c r="U22" i="35"/>
  <c r="C22" i="35" s="1"/>
  <c r="U8" i="40"/>
  <c r="C8" i="40" s="1"/>
  <c r="U15" i="36"/>
  <c r="C15" i="36" s="1"/>
  <c r="U28" i="35"/>
  <c r="C28" i="35" s="1"/>
  <c r="U13" i="39"/>
  <c r="C13" i="39" s="1"/>
  <c r="U30" i="39"/>
  <c r="C30" i="39" s="1"/>
  <c r="U8" i="39"/>
  <c r="C8" i="39" s="1"/>
  <c r="U27" i="35"/>
  <c r="C27" i="35" s="1"/>
  <c r="U35" i="36"/>
  <c r="C35" i="36" s="1"/>
  <c r="U32" i="41"/>
  <c r="C32" i="41" s="1"/>
  <c r="U13" i="36"/>
  <c r="C13" i="36" s="1"/>
  <c r="U30" i="41"/>
  <c r="C30" i="41" s="1"/>
  <c r="U17" i="36"/>
  <c r="C17" i="36" s="1"/>
  <c r="U36" i="39"/>
  <c r="C36" i="39" s="1"/>
  <c r="U13" i="35"/>
  <c r="C13" i="35" s="1"/>
  <c r="U34" i="40"/>
  <c r="C34" i="40" s="1"/>
  <c r="U27" i="36"/>
  <c r="C27" i="36" s="1"/>
  <c r="U28" i="42"/>
  <c r="C28" i="42" s="1"/>
  <c r="U33" i="39"/>
  <c r="C33" i="39" s="1"/>
  <c r="U28" i="40"/>
  <c r="C28" i="40" s="1"/>
  <c r="U33" i="40"/>
  <c r="C33" i="40" s="1"/>
  <c r="U14" i="40"/>
  <c r="C14" i="40" s="1"/>
  <c r="U11" i="41"/>
  <c r="C11" i="41" s="1"/>
  <c r="U27" i="40"/>
  <c r="C27" i="40" s="1"/>
  <c r="U16" i="40"/>
  <c r="C16" i="40" s="1"/>
  <c r="U29" i="40"/>
  <c r="C29" i="40" s="1"/>
  <c r="U18" i="40"/>
  <c r="C18" i="40" s="1"/>
  <c r="U36" i="40"/>
  <c r="C36" i="40" s="1"/>
  <c r="U7" i="40"/>
  <c r="C7" i="40" s="1"/>
  <c r="U27" i="42"/>
  <c r="C27" i="42" s="1"/>
  <c r="U21" i="35"/>
  <c r="C21" i="35" s="1"/>
  <c r="AR28" i="43"/>
  <c r="U17" i="41"/>
  <c r="C17" i="41" s="1"/>
  <c r="AR36" i="43"/>
  <c r="AR23" i="43"/>
  <c r="U15" i="35"/>
  <c r="C15" i="35" s="1"/>
  <c r="U19" i="41"/>
  <c r="C19" i="41" s="1"/>
  <c r="U26" i="41"/>
  <c r="C26" i="41" s="1"/>
  <c r="U16" i="42"/>
  <c r="C16" i="42" s="1"/>
  <c r="AR33" i="43"/>
  <c r="U17" i="39"/>
  <c r="C17" i="39" s="1"/>
  <c r="U16" i="35"/>
  <c r="C16" i="35" s="1"/>
  <c r="U21" i="41"/>
  <c r="C21" i="41" s="1"/>
  <c r="U36" i="42"/>
  <c r="C36" i="42" s="1"/>
  <c r="AS22" i="43"/>
  <c r="AQ38" i="35"/>
  <c r="U35" i="39"/>
  <c r="C35" i="39" s="1"/>
  <c r="U28" i="41"/>
  <c r="C28" i="41" s="1"/>
  <c r="U30" i="36"/>
  <c r="C30" i="36" s="1"/>
  <c r="U33" i="36"/>
  <c r="C33" i="36" s="1"/>
  <c r="U23" i="36"/>
  <c r="C23" i="36" s="1"/>
  <c r="AQ21" i="43"/>
  <c r="AR34" i="43"/>
  <c r="U31" i="39"/>
  <c r="C31" i="39" s="1"/>
  <c r="U17" i="35"/>
  <c r="C17" i="35" s="1"/>
  <c r="U19" i="36"/>
  <c r="C19" i="36" s="1"/>
  <c r="U7" i="36"/>
  <c r="C7" i="36" s="1"/>
  <c r="U28" i="36"/>
  <c r="C28" i="36" s="1"/>
  <c r="AS38" i="42"/>
  <c r="U19" i="39"/>
  <c r="C19" i="39" s="1"/>
  <c r="U10" i="39"/>
  <c r="C10" i="39" s="1"/>
  <c r="AR32" i="43"/>
  <c r="U15" i="41"/>
  <c r="C15" i="41" s="1"/>
  <c r="U13" i="41"/>
  <c r="C13" i="41" s="1"/>
  <c r="U15" i="42"/>
  <c r="C15" i="42" s="1"/>
  <c r="AR31" i="43"/>
  <c r="AQ30" i="43"/>
  <c r="U15" i="40"/>
  <c r="C15" i="40" s="1"/>
  <c r="U22" i="41"/>
  <c r="C22" i="41" s="1"/>
  <c r="U23" i="41"/>
  <c r="C23" i="41" s="1"/>
  <c r="U33" i="35"/>
  <c r="C33" i="35" s="1"/>
  <c r="U27" i="41"/>
  <c r="C27" i="41" s="1"/>
  <c r="AR7" i="43"/>
  <c r="U29" i="41"/>
  <c r="C29" i="41" s="1"/>
  <c r="AS13" i="43"/>
  <c r="AR11" i="43"/>
  <c r="AS38" i="39"/>
  <c r="AS10" i="43"/>
  <c r="G14" i="43"/>
  <c r="U14" i="43" s="1"/>
  <c r="U14" i="38"/>
  <c r="C14" i="38" s="1"/>
  <c r="AQ33" i="43"/>
  <c r="AR38" i="42"/>
  <c r="G22" i="43"/>
  <c r="U22" i="43" s="1"/>
  <c r="U22" i="38"/>
  <c r="C22" i="38" s="1"/>
  <c r="AQ38" i="40"/>
  <c r="U6" i="35"/>
  <c r="G38" i="35"/>
  <c r="AR38" i="41"/>
  <c r="AQ16" i="43"/>
  <c r="U8" i="38"/>
  <c r="C8" i="38" s="1"/>
  <c r="G8" i="43"/>
  <c r="U8" i="43" s="1"/>
  <c r="AS21" i="43"/>
  <c r="AQ17" i="43"/>
  <c r="U24" i="38"/>
  <c r="C24" i="38" s="1"/>
  <c r="C24" i="43" s="1"/>
  <c r="G24" i="43"/>
  <c r="U24" i="43" s="1"/>
  <c r="AS32" i="43"/>
  <c r="AS31" i="43"/>
  <c r="U26" i="38"/>
  <c r="C26" i="38" s="1"/>
  <c r="C26" i="43" s="1"/>
  <c r="G26" i="43"/>
  <c r="U26" i="43" s="1"/>
  <c r="U30" i="38"/>
  <c r="C30" i="38" s="1"/>
  <c r="G30" i="43"/>
  <c r="U30" i="43" s="1"/>
  <c r="AR12" i="43"/>
  <c r="AQ38" i="38"/>
  <c r="AQ6" i="43"/>
  <c r="AQ15" i="43"/>
  <c r="U18" i="39"/>
  <c r="C18" i="39" s="1"/>
  <c r="C18" i="43" s="1"/>
  <c r="G18" i="43"/>
  <c r="U18" i="43" s="1"/>
  <c r="AQ7" i="43"/>
  <c r="AS38" i="41"/>
  <c r="AS35" i="43"/>
  <c r="G13" i="43"/>
  <c r="U13" i="43" s="1"/>
  <c r="U13" i="38"/>
  <c r="C13" i="38" s="1"/>
  <c r="U19" i="38"/>
  <c r="C19" i="38" s="1"/>
  <c r="G19" i="43"/>
  <c r="U19" i="43" s="1"/>
  <c r="U10" i="38"/>
  <c r="C10" i="38" s="1"/>
  <c r="G10" i="43"/>
  <c r="U10" i="43" s="1"/>
  <c r="AR38" i="36"/>
  <c r="AQ14" i="43"/>
  <c r="O38" i="43"/>
  <c r="G29" i="43"/>
  <c r="U29" i="43" s="1"/>
  <c r="U29" i="38"/>
  <c r="C29" i="38" s="1"/>
  <c r="AS27" i="43"/>
  <c r="AQ11" i="43"/>
  <c r="AR38" i="38"/>
  <c r="AR6" i="43"/>
  <c r="M38" i="43"/>
  <c r="AQ38" i="36"/>
  <c r="AR29" i="43"/>
  <c r="U27" i="39"/>
  <c r="C27" i="39" s="1"/>
  <c r="G27" i="43"/>
  <c r="U27" i="43" s="1"/>
  <c r="AS28" i="43"/>
  <c r="AS36" i="43"/>
  <c r="AR16" i="43"/>
  <c r="AR8" i="43"/>
  <c r="AR21" i="43"/>
  <c r="AR38" i="39"/>
  <c r="AR17" i="43"/>
  <c r="U34" i="38"/>
  <c r="C34" i="38" s="1"/>
  <c r="C34" i="43" s="1"/>
  <c r="G34" i="43"/>
  <c r="U34" i="43" s="1"/>
  <c r="AS38" i="36"/>
  <c r="AQ32" i="43"/>
  <c r="AQ31" i="43"/>
  <c r="AQ26" i="43"/>
  <c r="AR30" i="43"/>
  <c r="AS12" i="43"/>
  <c r="G6" i="43"/>
  <c r="U6" i="38"/>
  <c r="G38" i="38"/>
  <c r="G15" i="43"/>
  <c r="U15" i="43" s="1"/>
  <c r="U15" i="38"/>
  <c r="C15" i="38" s="1"/>
  <c r="AQ18" i="43"/>
  <c r="AS38" i="38"/>
  <c r="AS7" i="43"/>
  <c r="AR35" i="43"/>
  <c r="AQ13" i="43"/>
  <c r="AQ19" i="43"/>
  <c r="AR10" i="43"/>
  <c r="U6" i="36"/>
  <c r="G38" i="36"/>
  <c r="AR14" i="43"/>
  <c r="AQ29" i="43"/>
  <c r="AR27" i="43"/>
  <c r="AS11" i="43"/>
  <c r="U6" i="42"/>
  <c r="G38" i="42"/>
  <c r="G38" i="40"/>
  <c r="U6" i="40"/>
  <c r="U6" i="41"/>
  <c r="G38" i="41"/>
  <c r="U16" i="38"/>
  <c r="C16" i="38" s="1"/>
  <c r="G16" i="43"/>
  <c r="U16" i="43" s="1"/>
  <c r="AQ8" i="43"/>
  <c r="AQ38" i="39"/>
  <c r="AS17" i="43"/>
  <c r="AS26" i="43"/>
  <c r="U12" i="40"/>
  <c r="C12" i="40" s="1"/>
  <c r="G12" i="43"/>
  <c r="U12" i="43" s="1"/>
  <c r="AR15" i="43"/>
  <c r="AS18" i="43"/>
  <c r="AS38" i="40"/>
  <c r="AQ35" i="43"/>
  <c r="AR19" i="43"/>
  <c r="G28" i="43"/>
  <c r="U28" i="43" s="1"/>
  <c r="U28" i="38"/>
  <c r="C28" i="38" s="1"/>
  <c r="U23" i="39"/>
  <c r="C23" i="39" s="1"/>
  <c r="G23" i="43"/>
  <c r="U23" i="43" s="1"/>
  <c r="AR22" i="43"/>
  <c r="AR38" i="35"/>
  <c r="AQ28" i="43"/>
  <c r="U36" i="38"/>
  <c r="C36" i="38" s="1"/>
  <c r="G36" i="43"/>
  <c r="U36" i="43" s="1"/>
  <c r="AQ23" i="43"/>
  <c r="G33" i="43"/>
  <c r="U33" i="43" s="1"/>
  <c r="U33" i="38"/>
  <c r="C33" i="38" s="1"/>
  <c r="AQ38" i="42"/>
  <c r="AQ22" i="43"/>
  <c r="AR38" i="40"/>
  <c r="AQ38" i="41"/>
  <c r="AS16" i="43"/>
  <c r="AS8" i="43"/>
  <c r="U21" i="38"/>
  <c r="C21" i="38" s="1"/>
  <c r="G21" i="43"/>
  <c r="U21" i="43" s="1"/>
  <c r="G38" i="39"/>
  <c r="U6" i="39"/>
  <c r="U17" i="38"/>
  <c r="C17" i="38" s="1"/>
  <c r="G17" i="43"/>
  <c r="U17" i="43" s="1"/>
  <c r="AS34" i="43"/>
  <c r="G32" i="43"/>
  <c r="U32" i="43" s="1"/>
  <c r="U32" i="39"/>
  <c r="C32" i="39" s="1"/>
  <c r="U31" i="38"/>
  <c r="C31" i="38" s="1"/>
  <c r="G31" i="43"/>
  <c r="U31" i="43" s="1"/>
  <c r="AR26" i="43"/>
  <c r="AS30" i="43"/>
  <c r="AQ12" i="43"/>
  <c r="AS15" i="43"/>
  <c r="AR18" i="43"/>
  <c r="U7" i="38"/>
  <c r="C7" i="38" s="1"/>
  <c r="G7" i="43"/>
  <c r="U7" i="43" s="1"/>
  <c r="AS38" i="35"/>
  <c r="U35" i="38"/>
  <c r="C35" i="38" s="1"/>
  <c r="G35" i="43"/>
  <c r="U35" i="43" s="1"/>
  <c r="AR13" i="43"/>
  <c r="K38" i="43"/>
  <c r="AS19" i="43"/>
  <c r="AQ10" i="43"/>
  <c r="AS14" i="43"/>
  <c r="AS29" i="43"/>
  <c r="AQ27" i="43"/>
  <c r="G11" i="43"/>
  <c r="U11" i="43" s="1"/>
  <c r="U11" i="39"/>
  <c r="C11" i="39" s="1"/>
  <c r="C12" i="43" l="1"/>
  <c r="C11" i="43"/>
  <c r="C31" i="43"/>
  <c r="C33" i="43"/>
  <c r="C36" i="43"/>
  <c r="C15" i="43"/>
  <c r="C16" i="43"/>
  <c r="C8" i="43"/>
  <c r="C7" i="43"/>
  <c r="C32" i="43"/>
  <c r="C29" i="43"/>
  <c r="C19" i="43"/>
  <c r="C21" i="43"/>
  <c r="C23" i="43"/>
  <c r="C27" i="43"/>
  <c r="C13" i="43"/>
  <c r="C14" i="43"/>
  <c r="C17" i="43"/>
  <c r="C35" i="43"/>
  <c r="C28" i="43"/>
  <c r="C30" i="43"/>
  <c r="C22" i="43"/>
  <c r="C10" i="43"/>
  <c r="U38" i="41"/>
  <c r="C6" i="41"/>
  <c r="C38" i="41" s="1"/>
  <c r="U38" i="42"/>
  <c r="C6" i="42"/>
  <c r="C38" i="42" s="1"/>
  <c r="AQ38" i="43"/>
  <c r="U38" i="40"/>
  <c r="C6" i="40"/>
  <c r="C38" i="40" s="1"/>
  <c r="U38" i="38"/>
  <c r="C6" i="38"/>
  <c r="U38" i="39"/>
  <c r="C6" i="39"/>
  <c r="C38" i="39" s="1"/>
  <c r="U38" i="36"/>
  <c r="C6" i="36"/>
  <c r="C38" i="36" s="1"/>
  <c r="U6" i="43"/>
  <c r="U38" i="43" s="1"/>
  <c r="G38" i="43"/>
  <c r="U38" i="35"/>
  <c r="C6" i="35"/>
  <c r="C38" i="35" s="1"/>
  <c r="AS38" i="43"/>
  <c r="AR38" i="43"/>
  <c r="C38" i="38" l="1"/>
  <c r="C6" i="43"/>
  <c r="C38" i="43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BP3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DOMO FABIEN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<sst xmlns="http://schemas.openxmlformats.org/spreadsheetml/2006/main" count="2550" uniqueCount="194">
  <si>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</si>
  <si>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</si>
  <si>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</si>
  <si>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</si>
  <si>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</si>
  <si>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</si>
  <si>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</si>
  <si>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</si>
  <si>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</si>
  <si>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</si>
  <si>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ECHEC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</si>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</sst>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/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/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AS201653</v>
          </cell>
          <cell r="B37"/>
          <cell r="C37"/>
          <cell r="D37"/>
          <cell r="E37"/>
          <cell r="F37"/>
          <cell r="G37"/>
          <cell r="H37"/>
        </row>
        <row r="38">
          <cell r="A38" t="str">
            <v>AS201654</v>
          </cell>
          <cell r="B38"/>
          <cell r="C38"/>
          <cell r="D38"/>
          <cell r="E38"/>
          <cell r="F38"/>
          <cell r="G38"/>
          <cell r="H38"/>
        </row>
        <row r="39">
          <cell r="A39" t="str">
            <v>AS201656</v>
          </cell>
          <cell r="B39"/>
          <cell r="C39"/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I5" sqref="I5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86" t="s">
        <v>114</v>
      </c>
      <c r="C4" s="86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88" t="s">
        <v>115</v>
      </c>
      <c r="E5" s="89"/>
      <c r="F5" s="89"/>
      <c r="G5" s="89"/>
      <c r="H5" s="89"/>
      <c r="I5" s="89"/>
      <c r="J5" s="89"/>
      <c r="K5" s="89"/>
      <c r="L5" s="89"/>
      <c r="M5" s="88" t="s">
        <v>124</v>
      </c>
      <c r="N5" s="89"/>
      <c r="O5" s="89"/>
      <c r="P5" s="90" t="s">
        <v>127</v>
      </c>
      <c r="Q5" s="91"/>
      <c r="R5" s="90" t="s">
        <v>51</v>
      </c>
      <c r="S5" s="92"/>
      <c r="T5" s="84" t="s">
        <v>45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132</v>
      </c>
      <c r="D6" s="48" t="s">
        <v>116</v>
      </c>
      <c r="E6" s="48" t="s">
        <v>117</v>
      </c>
      <c r="F6" s="48" t="s">
        <v>118</v>
      </c>
      <c r="G6" s="48" t="s">
        <v>133</v>
      </c>
      <c r="H6" s="48" t="s">
        <v>119</v>
      </c>
      <c r="I6" s="48" t="s">
        <v>120</v>
      </c>
      <c r="J6" s="48" t="s">
        <v>121</v>
      </c>
      <c r="K6" s="48" t="s">
        <v>122</v>
      </c>
      <c r="L6" s="48" t="s">
        <v>123</v>
      </c>
      <c r="M6" s="48" t="s">
        <v>125</v>
      </c>
      <c r="N6" s="48" t="s">
        <v>126</v>
      </c>
      <c r="O6" s="48" t="s">
        <v>131</v>
      </c>
      <c r="P6" s="48" t="s">
        <v>127</v>
      </c>
      <c r="Q6" s="48" t="s">
        <v>128</v>
      </c>
      <c r="R6" s="48" t="s">
        <v>129</v>
      </c>
      <c r="S6" s="52" t="s">
        <v>130</v>
      </c>
      <c r="T6" s="85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109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13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14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15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16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17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18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19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20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21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22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23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24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25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26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27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28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29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30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31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32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33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34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35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36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37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38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39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40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41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42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45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3" t="s">
        <v>89</v>
      </c>
      <c r="D1" s="87"/>
      <c r="E1" s="87"/>
      <c r="H1" s="93" t="s">
        <v>108</v>
      </c>
      <c r="I1" s="87"/>
      <c r="J1" s="87"/>
    </row>
    <row r="2" spans="1:10" ht="15.75" x14ac:dyDescent="0.25">
      <c r="A2" s="18" t="s">
        <v>4</v>
      </c>
      <c r="B2" s="18"/>
      <c r="C2" s="94">
        <v>2022</v>
      </c>
      <c r="D2" s="87"/>
      <c r="E2" s="87"/>
      <c r="H2" s="94">
        <v>2022</v>
      </c>
      <c r="I2" s="87"/>
      <c r="J2" s="87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90</v>
      </c>
      <c r="B4" s="18" t="s">
        <v>91</v>
      </c>
      <c r="C4" s="18" t="s">
        <v>92</v>
      </c>
      <c r="D4" s="18" t="s">
        <v>76</v>
      </c>
      <c r="E4" s="18" t="s">
        <v>78</v>
      </c>
      <c r="G4" s="18" t="s">
        <v>107</v>
      </c>
      <c r="H4" s="18" t="s">
        <v>76</v>
      </c>
      <c r="I4" s="18" t="s">
        <v>77</v>
      </c>
      <c r="J4" s="18" t="s">
        <v>78</v>
      </c>
    </row>
    <row r="5" spans="1:10" ht="18" x14ac:dyDescent="0.25">
      <c r="A5" s="18" t="s">
        <v>93</v>
      </c>
      <c r="E5" s="19">
        <f>14283661-6017000</f>
        <v>8266661</v>
      </c>
    </row>
    <row r="6" spans="1:10" ht="18" x14ac:dyDescent="0.25">
      <c r="A6" s="18" t="s">
        <v>94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95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96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97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98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99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100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101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102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103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104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105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106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3"/>
  <sheetViews>
    <sheetView zoomScale="96" zoomScaleNormal="96" workbookViewId="0">
      <pane xSplit="4" ySplit="5" topLeftCell="X15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8" width="16.28515625" customWidth="1"/>
    <col min="9" max="9" width="14.140625" bestFit="1" customWidth="1"/>
    <col min="10" max="10" width="15" bestFit="1" customWidth="1"/>
    <col min="11" max="11" width="15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8" width="16" customWidth="1"/>
    <col min="19" max="19" width="20.28515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3" width="16.140625" customWidth="1"/>
    <col min="35" max="40" width="16" customWidth="1"/>
    <col min="41" max="41" width="15.28515625" customWidth="1"/>
    <col min="45" max="45" width="12.42578125" bestFit="1" customWidth="1"/>
    <col min="46" max="46" width="17.28515625" customWidth="1"/>
    <col min="49" max="51" width="15" customWidth="1"/>
    <col min="52" max="52" width="15" bestFit="1" customWidth="1"/>
    <col min="54" max="55" width="12.42578125" customWidth="1"/>
    <col min="56" max="56" width="15" bestFit="1" customWidth="1"/>
    <col min="58" max="58" width="15" bestFit="1" customWidth="1"/>
    <col min="66" max="66" width="28.7109375" bestFit="1" customWidth="1"/>
    <col min="67" max="67" width="28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2022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>
        <v>66</v>
      </c>
      <c r="BO3" s="2"/>
      <c r="BP3" s="1"/>
      <c r="BQ3" s="2"/>
    </row>
    <row r="4" spans="1:69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47</v>
      </c>
      <c r="J5" s="4" t="s">
        <v>67</v>
      </c>
      <c r="K5" s="4" t="s">
        <v>69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68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111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112</v>
      </c>
      <c r="AJ5" s="4" t="s">
        <v>54</v>
      </c>
      <c r="AK5" s="4" t="s">
        <v>55</v>
      </c>
      <c r="AL5" s="4" t="s">
        <v>113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81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60" t="s">
        <v>75</v>
      </c>
      <c r="BO5" s="60" t="s">
        <v>147</v>
      </c>
      <c r="BP5" s="1" t="s">
        <v>155</v>
      </c>
    </row>
    <row r="6" spans="1:69" ht="18.75" x14ac:dyDescent="0.3">
      <c r="A6" s="1" t="s">
        <v>109</v>
      </c>
      <c r="B6" s="1" t="str">
        <f>VLOOKUP(A6,[6]LISTADHERENT!A$5:H$60,3,0)</f>
        <v>ASELBY</v>
      </c>
      <c r="C6" s="5">
        <f>D6+E6+F6-U6-BB6</f>
        <v>0</v>
      </c>
      <c r="D6" s="9">
        <f>VLOOKUP(A6,[7]HISTOBQUEDEC22!$A$6:$G$36,3,0)</f>
        <v>100000</v>
      </c>
      <c r="E6" s="9">
        <f>VLOOKUP(A6,[7]HISTOBQUEDEC22!$A$6:$G$36,4,0)</f>
        <v>0</v>
      </c>
      <c r="F6" s="9">
        <f>VLOOKUP(A6,[7]HISTOBQUEDEC22!$A$6:$G$36,5,0)</f>
        <v>0</v>
      </c>
      <c r="G6" s="5">
        <f t="shared" ref="G6:G36" si="0">IF(H6="ESPECES",3000,0)</f>
        <v>0</v>
      </c>
      <c r="H6" s="10" t="str">
        <f t="shared" ref="H6:H36" si="1">IF($D6&lt;&gt;0,"BANQUE",IF($E6&lt;&gt;0,"ESPECES","ECHEC"))</f>
        <v>BANQUE</v>
      </c>
      <c r="I6" s="11"/>
      <c r="J6" s="11">
        <f t="shared" ref="J6:J36" si="2">IF($D6&lt;&gt;0,I6*30000,IF($E6&lt;&gt;0,I6*30000,0))</f>
        <v>0</v>
      </c>
      <c r="K6" s="11"/>
      <c r="L6" s="6"/>
      <c r="M6" s="11">
        <f t="shared" ref="M6:M36" si="3">IF($D6&lt;&gt;0,L6*75000,IF($E6&lt;&gt;0,L6*75000,0))</f>
        <v>0</v>
      </c>
      <c r="N6" s="6">
        <v>1</v>
      </c>
      <c r="O6" s="11">
        <f t="shared" ref="O6:O36" si="4">IF($D6&lt;&gt;0,N6*100000,IF($E6&lt;&gt;0,N6*100000,0))</f>
        <v>100000</v>
      </c>
      <c r="P6" s="20"/>
      <c r="Q6" s="2"/>
      <c r="R6" s="2">
        <f>VLOOKUP(A6,[8]TONTDEC22!$A$6:$P$21,10,0)</f>
        <v>0</v>
      </c>
      <c r="S6" s="20"/>
      <c r="T6" s="12"/>
      <c r="U6" s="17">
        <f>G6+S6++R6+P6+O6+M6+K6+J6+Q6+V6+W6</f>
        <v>100000</v>
      </c>
      <c r="V6" s="12"/>
      <c r="W6" s="12"/>
      <c r="X6" s="12"/>
      <c r="Y6" s="12"/>
      <c r="Z6" s="12"/>
      <c r="AA6" s="12"/>
      <c r="AB6" s="12"/>
      <c r="AC6" s="12"/>
      <c r="AD6" s="12"/>
      <c r="AE6" s="12">
        <v>100000</v>
      </c>
      <c r="AF6" s="12" t="s">
        <v>8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5">IF(H6="ECHEC",((J6+M6+O6)*20/100),0)</f>
        <v>0</v>
      </c>
      <c r="AR6" s="8">
        <f t="shared" ref="AR6:AR36" si="6">IF(H6="ECHEC",((J6+M6+O6)*20/100),0)</f>
        <v>0</v>
      </c>
      <c r="AS6" s="13"/>
      <c r="AV6" s="15"/>
      <c r="AW6" s="15">
        <f>IF(AC6=0,AI6,(1*23000*13)+(1000+AI6)-AC6)</f>
        <v>0</v>
      </c>
      <c r="AX6" s="15">
        <f>IF(AD6=0,AJ6,(1*75000*16)+(AJ6)-AD6)</f>
        <v>0</v>
      </c>
      <c r="AY6" s="15">
        <f>IF(AE6=0,AK6,(1*100000*13)+(AK6)-AE6)</f>
        <v>1200000</v>
      </c>
      <c r="AZ6" s="16">
        <f>SUM(AV6:AY6)-BF6+Z6-F6+BH6+BI6+BJ6+BK6</f>
        <v>1206000</v>
      </c>
      <c r="BA6" s="58"/>
      <c r="BB6" s="58"/>
      <c r="BC6" s="15"/>
      <c r="BD6" s="57">
        <f>IF(AZ6=0,(AZ6-BA6-BC6),(AZ6-BA6-BB6-BC6))</f>
        <v>1206000</v>
      </c>
      <c r="BF6" s="29">
        <f>Z6*1/100*BG6</f>
        <v>0</v>
      </c>
      <c r="BG6">
        <v>0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116</v>
      </c>
      <c r="BO6" t="s">
        <v>115</v>
      </c>
      <c r="BP6" s="6"/>
    </row>
    <row r="7" spans="1:69" ht="18.75" x14ac:dyDescent="0.3">
      <c r="A7" s="1" t="s">
        <v>13</v>
      </c>
      <c r="B7" s="1" t="str">
        <f>VLOOKUP(A7,[6]LISTADHERENT!A$5:H$60,3,0)</f>
        <v>BOUTCHOUANG WILLIAM</v>
      </c>
      <c r="C7" s="5">
        <f t="shared" ref="C7:C36" si="7">D7+E7+F7-U7-BB7</f>
        <v>0</v>
      </c>
      <c r="D7" s="9">
        <f>VLOOKUP(A7,[7]HISTOBQUEDEC22!$A$6:$G$36,3,0)</f>
        <v>105000</v>
      </c>
      <c r="E7" s="9">
        <f>VLOOKUP(A7,[7]HISTOBQUEDEC22!$A$6:$G$36,4,0)</f>
        <v>0</v>
      </c>
      <c r="F7" s="9">
        <f>VLOOKUP(A7,[7]HISTOBQUEDEC22!$A$6:$G$36,5,0)</f>
        <v>0</v>
      </c>
      <c r="G7" s="5">
        <f t="shared" si="0"/>
        <v>0</v>
      </c>
      <c r="H7" s="10" t="str">
        <f t="shared" si="1"/>
        <v>BANQUE</v>
      </c>
      <c r="I7" s="11">
        <v>1</v>
      </c>
      <c r="J7" s="11">
        <f t="shared" si="2"/>
        <v>30000</v>
      </c>
      <c r="K7" s="11"/>
      <c r="L7" s="6">
        <v>1</v>
      </c>
      <c r="M7" s="11">
        <f t="shared" si="3"/>
        <v>75000</v>
      </c>
      <c r="N7" s="6"/>
      <c r="O7" s="11">
        <f t="shared" si="4"/>
        <v>0</v>
      </c>
      <c r="P7" s="2">
        <f>VLOOKUP(A7,[9]TONTDEC22!$A$6:$R$31,12,0)</f>
        <v>0</v>
      </c>
      <c r="R7" s="2"/>
      <c r="S7" s="20"/>
      <c r="T7" s="12"/>
      <c r="U7" s="17">
        <f t="shared" ref="U7:U36" si="8">G7+S7++R7+P7+O7+M7+K7+J7+Q7+V7+W7</f>
        <v>105000</v>
      </c>
      <c r="V7" s="12"/>
      <c r="W7" s="12"/>
      <c r="X7" s="12"/>
      <c r="Y7" s="12"/>
      <c r="Z7" s="12">
        <v>500000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5"/>
        <v>0</v>
      </c>
      <c r="AR7" s="8">
        <f t="shared" si="6"/>
        <v>0</v>
      </c>
      <c r="AS7" s="13">
        <f t="shared" ref="AS7:AS36" si="9">IF(H7="ECHEC",0,(J7+K7-23000))</f>
        <v>7000</v>
      </c>
      <c r="AT7" s="29">
        <v>20000</v>
      </c>
      <c r="AV7" s="15"/>
      <c r="AW7" s="15">
        <f t="shared" ref="AW7:AW36" si="10">IF(AC7=0,AI7,(1*23000*13)+(1000+AI7)-AC7)</f>
        <v>0</v>
      </c>
      <c r="AX7" s="15">
        <f t="shared" ref="AX7:AX36" si="11">IF(AD7=0,AJ7,(1*75000*16)+(AJ7)-AD7)</f>
        <v>0</v>
      </c>
      <c r="AY7" s="15">
        <f t="shared" ref="AY7:AY36" si="12">IF(AE7=0,AK7,(1*100000*13)+(AK7)-AE7)</f>
        <v>0</v>
      </c>
      <c r="AZ7" s="16">
        <f t="shared" ref="AZ7:AZ36" si="13">SUM(AV7:AY7)-BF7+Z7-F7+BH7+BI7+BJ7+BK7</f>
        <v>490000</v>
      </c>
      <c r="BA7" s="58"/>
      <c r="BB7" s="58"/>
      <c r="BC7" s="15"/>
      <c r="BD7" s="57">
        <f t="shared" ref="BD7:BD36" si="14">IF(AZ7=0,(AZ7-BA7-BC7),(AZ7-BA7-BB7-BC7))</f>
        <v>490000</v>
      </c>
      <c r="BF7" s="29">
        <f t="shared" ref="BF7:BF36" si="15">Z7*1/100*BG7</f>
        <v>10000</v>
      </c>
      <c r="BG7">
        <v>2</v>
      </c>
      <c r="BH7" s="15"/>
      <c r="BI7" s="15"/>
      <c r="BJ7" s="15"/>
      <c r="BK7" s="15"/>
      <c r="BL7" s="15"/>
      <c r="BM7" s="15"/>
      <c r="BN7" t="s">
        <v>117</v>
      </c>
      <c r="BO7" t="s">
        <v>115</v>
      </c>
      <c r="BP7" s="6"/>
    </row>
    <row r="8" spans="1:69" ht="18.75" x14ac:dyDescent="0.3">
      <c r="A8" s="1" t="s">
        <v>14</v>
      </c>
      <c r="B8" s="1" t="str">
        <f>VLOOKUP(A8,[6]LISTADHERENT!A$5:H$60,3,0)</f>
        <v xml:space="preserve">DJOMO JEAN PAUL </v>
      </c>
      <c r="C8" s="5">
        <f t="shared" si="7"/>
        <v>0</v>
      </c>
      <c r="D8" s="9">
        <f>VLOOKUP(A8,[7]HISTOBQUEDEC22!$A$6:$G$36,3,0)</f>
        <v>1105000</v>
      </c>
      <c r="E8" s="9">
        <f>VLOOKUP(A8,[7]HISTOBQUEDEC22!$A$6:$G$36,4,0)</f>
        <v>0</v>
      </c>
      <c r="F8" s="9">
        <f>VLOOKUP(A8,[7]HISTOBQUEDEC22!$A$6:$G$36,5,0)</f>
        <v>0</v>
      </c>
      <c r="G8" s="5">
        <f t="shared" si="0"/>
        <v>0</v>
      </c>
      <c r="H8" s="10" t="str">
        <f t="shared" si="1"/>
        <v>BANQUE</v>
      </c>
      <c r="I8" s="11">
        <v>1</v>
      </c>
      <c r="J8" s="11">
        <f t="shared" si="2"/>
        <v>30000</v>
      </c>
      <c r="K8" s="11"/>
      <c r="L8" s="6">
        <v>1</v>
      </c>
      <c r="M8" s="11">
        <f t="shared" si="3"/>
        <v>75000</v>
      </c>
      <c r="N8" s="6"/>
      <c r="O8" s="11">
        <f t="shared" si="4"/>
        <v>0</v>
      </c>
      <c r="P8" s="2">
        <f>VLOOKUP(A8,[9]TONTDEC22!$A$6:$R$31,12,0)</f>
        <v>0</v>
      </c>
      <c r="Q8" s="2">
        <f>VLOOKUP(A8,[10]TONTDEC22!$A$6:$P$21,10,0)</f>
        <v>0</v>
      </c>
      <c r="R8" s="2"/>
      <c r="S8" s="20">
        <f>775000+130000+95000</f>
        <v>1000000</v>
      </c>
      <c r="T8" s="12" t="s">
        <v>8</v>
      </c>
      <c r="U8" s="17">
        <f t="shared" si="8"/>
        <v>1105000</v>
      </c>
      <c r="V8" s="12"/>
      <c r="W8" s="12"/>
      <c r="X8" s="12"/>
      <c r="Y8" s="12"/>
      <c r="Z8" s="12">
        <v>1000000</v>
      </c>
      <c r="AA8" s="12" t="s">
        <v>8</v>
      </c>
      <c r="AB8" s="12"/>
      <c r="AC8" s="12"/>
      <c r="AD8" s="12"/>
      <c r="AE8" s="12"/>
      <c r="AF8" s="12"/>
      <c r="AG8" s="12"/>
      <c r="AI8" s="12"/>
      <c r="AJ8" s="12"/>
      <c r="AK8" s="12"/>
      <c r="AL8" s="12"/>
      <c r="AM8" s="12"/>
      <c r="AN8" s="12"/>
      <c r="AO8" s="12"/>
      <c r="AP8" s="12"/>
      <c r="AQ8" s="8">
        <f t="shared" si="5"/>
        <v>0</v>
      </c>
      <c r="AR8" s="8">
        <f t="shared" si="6"/>
        <v>0</v>
      </c>
      <c r="AS8" s="13">
        <f t="shared" si="9"/>
        <v>7000</v>
      </c>
      <c r="AT8" s="29">
        <v>20000</v>
      </c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880000</v>
      </c>
      <c r="BA8" s="58"/>
      <c r="BB8" s="58"/>
      <c r="BC8" s="15"/>
      <c r="BD8" s="57">
        <f t="shared" si="14"/>
        <v>880000</v>
      </c>
      <c r="BF8" s="29">
        <f t="shared" si="15"/>
        <v>120000</v>
      </c>
      <c r="BG8">
        <v>12</v>
      </c>
      <c r="BH8" s="15"/>
      <c r="BI8" s="15"/>
      <c r="BJ8" s="15"/>
      <c r="BK8" s="15"/>
      <c r="BL8" s="15"/>
      <c r="BM8" s="15"/>
      <c r="BN8" t="s">
        <v>118</v>
      </c>
      <c r="BO8" t="s">
        <v>115</v>
      </c>
      <c r="BP8" s="6"/>
    </row>
    <row r="9" spans="1:69" ht="18.75" x14ac:dyDescent="0.3">
      <c r="A9" s="1" t="s">
        <v>15</v>
      </c>
      <c r="B9" s="1" t="str">
        <f>VLOOKUP(A9,[6]LISTADHERENT!A$5:H$60,3,0)</f>
        <v>DJOMOU TCHANDA</v>
      </c>
      <c r="C9" s="5">
        <f t="shared" si="7"/>
        <v>0</v>
      </c>
      <c r="D9" s="9">
        <f>VLOOKUP(A9,[7]HISTOBQUEDEC22!$A$6:$G$36,3,0)</f>
        <v>30000</v>
      </c>
      <c r="E9" s="9">
        <f>VLOOKUP(A9,[7]HISTOBQUEDEC22!$A$6:$G$36,4,0)</f>
        <v>0</v>
      </c>
      <c r="F9" s="9">
        <f>VLOOKUP(A9,[7]HISTOBQUEDEC22!$A$6:$G$36,5,0)</f>
        <v>0</v>
      </c>
      <c r="G9" s="5">
        <f t="shared" si="0"/>
        <v>0</v>
      </c>
      <c r="H9" s="10" t="str">
        <f t="shared" si="1"/>
        <v>BANQUE</v>
      </c>
      <c r="I9" s="11">
        <v>1</v>
      </c>
      <c r="J9" s="11">
        <f t="shared" si="2"/>
        <v>30000</v>
      </c>
      <c r="K9" s="11"/>
      <c r="L9" s="6"/>
      <c r="M9" s="11">
        <f t="shared" si="3"/>
        <v>0</v>
      </c>
      <c r="N9" s="6"/>
      <c r="O9" s="11">
        <f t="shared" si="4"/>
        <v>0</v>
      </c>
      <c r="P9" s="2">
        <f>VLOOKUP(A9,[9]TONTDEC22!$A$6:$R$31,12,0)</f>
        <v>0</v>
      </c>
      <c r="Q9" s="2"/>
      <c r="R9" s="2"/>
      <c r="S9" s="20"/>
      <c r="T9" s="12"/>
      <c r="U9" s="17">
        <f t="shared" si="8"/>
        <v>30000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I9" s="12"/>
      <c r="AJ9" s="12"/>
      <c r="AK9" s="12"/>
      <c r="AL9" s="12"/>
      <c r="AM9" s="12"/>
      <c r="AN9" s="12"/>
      <c r="AO9" s="12"/>
      <c r="AP9" s="12"/>
      <c r="AQ9" s="8">
        <f t="shared" si="5"/>
        <v>0</v>
      </c>
      <c r="AR9" s="8">
        <f t="shared" si="6"/>
        <v>0</v>
      </c>
      <c r="AS9" s="13">
        <f t="shared" si="9"/>
        <v>7000</v>
      </c>
      <c r="AT9" s="29">
        <v>20000</v>
      </c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F9" s="29">
        <f t="shared" si="15"/>
        <v>0</v>
      </c>
      <c r="BG9">
        <v>0</v>
      </c>
      <c r="BH9" s="15"/>
      <c r="BI9" s="15"/>
      <c r="BJ9" s="15"/>
      <c r="BK9" s="15"/>
      <c r="BL9" s="15"/>
      <c r="BM9" s="15"/>
      <c r="BN9" t="s">
        <v>148</v>
      </c>
      <c r="BO9" t="s">
        <v>115</v>
      </c>
      <c r="BP9" s="6"/>
    </row>
    <row r="10" spans="1:69" ht="18.75" x14ac:dyDescent="0.3">
      <c r="A10" s="1" t="s">
        <v>16</v>
      </c>
      <c r="B10" s="1" t="str">
        <f>VLOOKUP(A10,[6]LISTADHERENT!A$5:H$60,3,0)</f>
        <v>DJOUKWE NANGUEN GUY BLAISE</v>
      </c>
      <c r="C10" s="5">
        <f t="shared" si="7"/>
        <v>0</v>
      </c>
      <c r="D10" s="9">
        <f>VLOOKUP(A10,[7]HISTOBQUEDEC22!$A$6:$G$36,3,0)</f>
        <v>1105000</v>
      </c>
      <c r="E10" s="9">
        <f>VLOOKUP(A10,[7]HISTOBQUEDEC22!$A$6:$G$36,4,0)</f>
        <v>0</v>
      </c>
      <c r="F10" s="9">
        <f>VLOOKUP(A10,[7]HISTOBQUEDEC22!$A$6:$G$36,5,0)</f>
        <v>0</v>
      </c>
      <c r="G10" s="5">
        <f t="shared" si="0"/>
        <v>0</v>
      </c>
      <c r="H10" s="10" t="str">
        <f t="shared" si="1"/>
        <v>BANQUE</v>
      </c>
      <c r="I10" s="11">
        <v>1</v>
      </c>
      <c r="J10" s="11">
        <f t="shared" si="2"/>
        <v>30000</v>
      </c>
      <c r="K10" s="11"/>
      <c r="L10" s="6">
        <v>1</v>
      </c>
      <c r="M10" s="11">
        <f t="shared" si="3"/>
        <v>75000</v>
      </c>
      <c r="N10" s="6"/>
      <c r="O10" s="11">
        <f t="shared" si="4"/>
        <v>0</v>
      </c>
      <c r="P10" s="2">
        <f>VLOOKUP(A10,[9]TONTDEC22!$A$6:$R$31,12,0)</f>
        <v>0</v>
      </c>
      <c r="Q10" s="2">
        <f>VLOOKUP(A10,[10]TONTDEC22!$A$6:$P$21,10,0)</f>
        <v>0</v>
      </c>
      <c r="R10" s="2"/>
      <c r="S10" s="20">
        <f>900000+100000</f>
        <v>1000000</v>
      </c>
      <c r="T10" s="12" t="s">
        <v>8</v>
      </c>
      <c r="U10" s="17">
        <f t="shared" si="8"/>
        <v>1105000</v>
      </c>
      <c r="V10" s="12"/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5"/>
        <v>0</v>
      </c>
      <c r="AR10" s="8">
        <f t="shared" si="6"/>
        <v>0</v>
      </c>
      <c r="AS10" s="13">
        <f t="shared" si="9"/>
        <v>7000</v>
      </c>
      <c r="AT10" s="29">
        <v>20000</v>
      </c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960000</v>
      </c>
      <c r="BA10" s="58"/>
      <c r="BB10" s="58"/>
      <c r="BC10" s="15"/>
      <c r="BD10" s="57">
        <f t="shared" si="14"/>
        <v>960000</v>
      </c>
      <c r="BF10" s="29">
        <f t="shared" si="15"/>
        <v>40000</v>
      </c>
      <c r="BG10">
        <v>4</v>
      </c>
      <c r="BH10" s="15"/>
      <c r="BI10" s="15"/>
      <c r="BJ10" s="15"/>
      <c r="BK10" s="15"/>
      <c r="BL10" s="15"/>
      <c r="BM10" s="15"/>
      <c r="BN10" t="s">
        <v>119</v>
      </c>
      <c r="BO10" t="s">
        <v>115</v>
      </c>
      <c r="BP10" s="6"/>
    </row>
    <row r="11" spans="1:69" ht="18.75" x14ac:dyDescent="0.3">
      <c r="A11" s="1" t="s">
        <v>17</v>
      </c>
      <c r="B11" s="1" t="str">
        <f>VLOOKUP(A11,[6]LISTADHERENT!A$5:H$60,3,0)</f>
        <v>DJUOMBESSY ANTOINE</v>
      </c>
      <c r="C11" s="5">
        <f t="shared" si="7"/>
        <v>0</v>
      </c>
      <c r="D11" s="9">
        <f>VLOOKUP(A11,[7]HISTOBQUEDEC22!$A$6:$G$36,3,0)</f>
        <v>215000</v>
      </c>
      <c r="E11" s="9">
        <f>VLOOKUP(A11,[7]HISTOBQUEDEC22!$A$6:$G$36,4,0)</f>
        <v>0</v>
      </c>
      <c r="F11" s="9">
        <f>VLOOKUP(A11,[7]HISTOBQUEDEC22!$A$6:$G$36,5,0)</f>
        <v>0</v>
      </c>
      <c r="G11" s="5">
        <f t="shared" si="0"/>
        <v>0</v>
      </c>
      <c r="H11" s="10" t="str">
        <f t="shared" si="1"/>
        <v>BANQUE</v>
      </c>
      <c r="I11" s="11">
        <v>1</v>
      </c>
      <c r="J11" s="11">
        <f t="shared" si="2"/>
        <v>30000</v>
      </c>
      <c r="K11" s="11">
        <v>1000</v>
      </c>
      <c r="L11" s="6">
        <v>1</v>
      </c>
      <c r="M11" s="11">
        <f t="shared" si="3"/>
        <v>75000</v>
      </c>
      <c r="N11" s="6">
        <v>1</v>
      </c>
      <c r="O11" s="11">
        <f t="shared" si="4"/>
        <v>100000</v>
      </c>
      <c r="P11" s="2">
        <f>VLOOKUP(A11,[9]TONTDEC22!$A$6:$R$31,12,0)</f>
        <v>0</v>
      </c>
      <c r="Q11" s="2">
        <f>VLOOKUP(A11,[10]TONTDEC22!$A$6:$P$21,10,0)</f>
        <v>0</v>
      </c>
      <c r="R11" s="2">
        <f>VLOOKUP(A11,[8]TONTDEC22!$A$6:$P$21,10,0)</f>
        <v>0</v>
      </c>
      <c r="S11" s="20"/>
      <c r="T11" s="12"/>
      <c r="U11" s="17">
        <f t="shared" si="8"/>
        <v>206000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5"/>
        <v>0</v>
      </c>
      <c r="AR11" s="8">
        <f t="shared" si="6"/>
        <v>0</v>
      </c>
      <c r="AS11" s="13">
        <f t="shared" si="9"/>
        <v>8000</v>
      </c>
      <c r="AT11" s="29">
        <v>20000</v>
      </c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940000</v>
      </c>
      <c r="BA11" s="58"/>
      <c r="BB11" s="58">
        <v>9000</v>
      </c>
      <c r="BC11" s="15"/>
      <c r="BD11" s="57">
        <f t="shared" si="14"/>
        <v>931000</v>
      </c>
      <c r="BF11" s="29">
        <f t="shared" si="15"/>
        <v>60000</v>
      </c>
      <c r="BG11">
        <v>6</v>
      </c>
      <c r="BH11" s="15"/>
      <c r="BI11" s="15"/>
      <c r="BJ11" s="15"/>
      <c r="BK11" s="15"/>
      <c r="BL11" s="15"/>
      <c r="BM11" s="15"/>
      <c r="BN11" t="s">
        <v>120</v>
      </c>
      <c r="BO11" t="s">
        <v>115</v>
      </c>
      <c r="BP11" s="6"/>
    </row>
    <row r="12" spans="1:69" ht="18.75" x14ac:dyDescent="0.3">
      <c r="A12" s="1" t="s">
        <v>18</v>
      </c>
      <c r="B12" s="1" t="str">
        <f>VLOOKUP(A12,[6]LISTADHERENT!A$5:H$60,3,0)</f>
        <v>DOMOU FABIEN</v>
      </c>
      <c r="C12" s="5">
        <f t="shared" si="7"/>
        <v>0</v>
      </c>
      <c r="D12" s="9">
        <f>VLOOKUP(A12,[7]HISTOBQUEDEC22!$A$6:$G$36,3,0)</f>
        <v>1035000</v>
      </c>
      <c r="E12" s="9">
        <f>VLOOKUP(A12,[7]HISTOBQUEDEC22!$A$6:$G$36,4,0)</f>
        <v>0</v>
      </c>
      <c r="F12" s="9">
        <f>VLOOKUP(A12,[7]HISTOBQUEDEC22!$A$6:$G$36,5,0)</f>
        <v>0</v>
      </c>
      <c r="G12" s="5">
        <f t="shared" si="0"/>
        <v>0</v>
      </c>
      <c r="H12" s="10" t="str">
        <f t="shared" si="1"/>
        <v>BANQUE</v>
      </c>
      <c r="I12" s="11">
        <v>1</v>
      </c>
      <c r="J12" s="11">
        <f t="shared" si="2"/>
        <v>30000</v>
      </c>
      <c r="K12" s="11">
        <v>5000</v>
      </c>
      <c r="L12" s="6"/>
      <c r="M12" s="11">
        <f t="shared" si="3"/>
        <v>0</v>
      </c>
      <c r="N12" s="6"/>
      <c r="O12" s="11">
        <f t="shared" si="4"/>
        <v>0</v>
      </c>
      <c r="P12" s="2">
        <f>VLOOKUP(A12,[9]TONTDEC22!$A$6:$R$31,12,0)</f>
        <v>0</v>
      </c>
      <c r="Q12" s="2"/>
      <c r="R12" s="2"/>
      <c r="S12" s="20">
        <v>1000000</v>
      </c>
      <c r="T12" s="12" t="s">
        <v>8</v>
      </c>
      <c r="U12" s="17">
        <f t="shared" si="8"/>
        <v>1035000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5"/>
        <v>0</v>
      </c>
      <c r="AR12" s="8">
        <f t="shared" si="6"/>
        <v>0</v>
      </c>
      <c r="AS12" s="13">
        <f t="shared" si="9"/>
        <v>12000</v>
      </c>
      <c r="AT12" s="29">
        <v>20000</v>
      </c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880000</v>
      </c>
      <c r="BA12" s="58"/>
      <c r="BB12" s="58"/>
      <c r="BC12" s="15"/>
      <c r="BD12" s="57">
        <f t="shared" si="14"/>
        <v>880000</v>
      </c>
      <c r="BF12" s="29">
        <f t="shared" si="15"/>
        <v>120000</v>
      </c>
      <c r="BG12">
        <v>12</v>
      </c>
      <c r="BH12" s="15"/>
      <c r="BI12" s="15"/>
      <c r="BJ12" s="15"/>
      <c r="BK12" s="15"/>
      <c r="BL12" s="15"/>
      <c r="BM12" s="15"/>
      <c r="BN12" t="s">
        <v>121</v>
      </c>
      <c r="BO12" t="s">
        <v>115</v>
      </c>
      <c r="BP12" s="6"/>
    </row>
    <row r="13" spans="1:69" ht="18.75" x14ac:dyDescent="0.3">
      <c r="A13" s="1" t="s">
        <v>19</v>
      </c>
      <c r="B13" s="1" t="str">
        <f>VLOOKUP(A13,[6]LISTADHERENT!A$5:H$60,3,0)</f>
        <v>DONHOU DAVID</v>
      </c>
      <c r="C13" s="5">
        <f t="shared" si="7"/>
        <v>0</v>
      </c>
      <c r="D13" s="9">
        <f>VLOOKUP(A13,[7]HISTOBQUEDEC22!$A$6:$G$36,3,0)</f>
        <v>35000</v>
      </c>
      <c r="E13" s="9">
        <f>VLOOKUP(A13,[7]HISTOBQUEDEC22!$A$6:$G$36,4,0)</f>
        <v>0</v>
      </c>
      <c r="F13" s="9">
        <f>VLOOKUP(A13,[7]HISTOBQUEDEC22!$A$6:$G$36,5,0)</f>
        <v>0</v>
      </c>
      <c r="G13" s="5">
        <f t="shared" si="0"/>
        <v>0</v>
      </c>
      <c r="H13" s="10" t="str">
        <f t="shared" si="1"/>
        <v>BANQUE</v>
      </c>
      <c r="I13" s="11">
        <v>1</v>
      </c>
      <c r="J13" s="11">
        <f t="shared" si="2"/>
        <v>30000</v>
      </c>
      <c r="K13" s="11">
        <v>5000</v>
      </c>
      <c r="L13" s="6"/>
      <c r="M13" s="11">
        <f t="shared" si="3"/>
        <v>0</v>
      </c>
      <c r="N13" s="6"/>
      <c r="O13" s="11">
        <f t="shared" si="4"/>
        <v>0</v>
      </c>
      <c r="P13" s="2">
        <f>VLOOKUP(A13,[9]TONTDEC22!$A$6:$R$31,12,0)</f>
        <v>0</v>
      </c>
      <c r="Q13" s="2"/>
      <c r="R13" s="2"/>
      <c r="S13" s="20"/>
      <c r="T13" s="12"/>
      <c r="U13" s="17">
        <f t="shared" si="8"/>
        <v>35000</v>
      </c>
      <c r="V13" s="12"/>
      <c r="W13" s="12"/>
      <c r="X13" s="12"/>
      <c r="Y13" s="12"/>
      <c r="Z13" s="12"/>
      <c r="AA13" s="12"/>
      <c r="AB13" s="12"/>
      <c r="AC13" s="12">
        <v>23000</v>
      </c>
      <c r="AD13" s="12"/>
      <c r="AE13" s="12"/>
      <c r="AF13" s="12" t="s">
        <v>8</v>
      </c>
      <c r="AG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5"/>
        <v>0</v>
      </c>
      <c r="AR13" s="8">
        <f t="shared" si="6"/>
        <v>0</v>
      </c>
      <c r="AS13" s="13">
        <f t="shared" si="9"/>
        <v>12000</v>
      </c>
      <c r="AT13" s="29">
        <v>20000</v>
      </c>
      <c r="AV13" s="15"/>
      <c r="AW13" s="15">
        <f t="shared" si="10"/>
        <v>277000</v>
      </c>
      <c r="AX13" s="15">
        <f t="shared" si="11"/>
        <v>0</v>
      </c>
      <c r="AY13" s="15">
        <f t="shared" si="12"/>
        <v>0</v>
      </c>
      <c r="AZ13" s="16">
        <f t="shared" si="13"/>
        <v>277000</v>
      </c>
      <c r="BA13" s="58"/>
      <c r="BB13" s="58"/>
      <c r="BC13" s="15"/>
      <c r="BD13" s="57">
        <f t="shared" si="14"/>
        <v>277000</v>
      </c>
      <c r="BF13" s="29">
        <f t="shared" si="15"/>
        <v>0</v>
      </c>
      <c r="BG13">
        <v>0</v>
      </c>
      <c r="BH13" s="15"/>
      <c r="BI13" s="15"/>
      <c r="BJ13" s="15"/>
      <c r="BK13" s="15"/>
      <c r="BL13" s="15"/>
      <c r="BM13" s="15"/>
      <c r="BN13" t="s">
        <v>146</v>
      </c>
      <c r="BO13" t="s">
        <v>115</v>
      </c>
      <c r="BP13" s="6">
        <v>6000</v>
      </c>
    </row>
    <row r="14" spans="1:69" ht="18.75" x14ac:dyDescent="0.3">
      <c r="A14" s="1" t="s">
        <v>20</v>
      </c>
      <c r="B14" s="1" t="str">
        <f>VLOOKUP(A14,[6]LISTADHERENT!A$5:H$60,3,0)</f>
        <v>FOTSO THOMAS</v>
      </c>
      <c r="C14" s="5">
        <f t="shared" si="7"/>
        <v>0</v>
      </c>
      <c r="D14" s="9">
        <f>VLOOKUP(A14,[7]HISTOBQUEDEC22!$A$6:$G$36,3,0)</f>
        <v>0</v>
      </c>
      <c r="E14" s="9">
        <f>VLOOKUP(A14,[7]HISTOBQUEDEC22!$A$6:$G$36,4,0)</f>
        <v>0</v>
      </c>
      <c r="F14" s="9">
        <f>VLOOKUP(A14,[7]HISTOBQUEDEC22!$A$6:$G$36,5,0)</f>
        <v>0</v>
      </c>
      <c r="G14" s="5">
        <f t="shared" si="0"/>
        <v>0</v>
      </c>
      <c r="H14" s="10" t="str">
        <f t="shared" si="1"/>
        <v>ECHEC</v>
      </c>
      <c r="I14" s="11"/>
      <c r="J14" s="11">
        <f t="shared" si="2"/>
        <v>0</v>
      </c>
      <c r="K14" s="11"/>
      <c r="L14" s="6"/>
      <c r="M14" s="11">
        <f t="shared" si="3"/>
        <v>0</v>
      </c>
      <c r="N14" s="6"/>
      <c r="O14" s="11">
        <f t="shared" si="4"/>
        <v>0</v>
      </c>
      <c r="P14" s="2"/>
      <c r="Q14" s="2"/>
      <c r="R14" s="2"/>
      <c r="S14" s="20"/>
      <c r="T14" s="12"/>
      <c r="U14" s="17">
        <f t="shared" si="8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5"/>
        <v>0</v>
      </c>
      <c r="AR14" s="8">
        <f t="shared" si="6"/>
        <v>0</v>
      </c>
      <c r="AS14" s="13">
        <f t="shared" si="9"/>
        <v>0</v>
      </c>
      <c r="AT14" s="29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F14" s="29">
        <f t="shared" si="15"/>
        <v>0</v>
      </c>
      <c r="BG14">
        <v>0</v>
      </c>
      <c r="BH14" s="15"/>
      <c r="BI14" s="15"/>
      <c r="BJ14" s="15"/>
      <c r="BK14" s="15"/>
      <c r="BL14" s="15"/>
      <c r="BM14" s="15"/>
      <c r="BN14" t="s">
        <v>123</v>
      </c>
      <c r="BO14" t="s">
        <v>115</v>
      </c>
      <c r="BP14" s="6"/>
    </row>
    <row r="15" spans="1:69" ht="18.75" x14ac:dyDescent="0.3">
      <c r="A15" s="1" t="s">
        <v>21</v>
      </c>
      <c r="B15" s="1" t="str">
        <f>VLOOKUP(A15,[6]LISTADHERENT!A$5:H$60,3,0)</f>
        <v>HENGUE PAUL OMER</v>
      </c>
      <c r="C15" s="5">
        <f t="shared" si="7"/>
        <v>0</v>
      </c>
      <c r="D15" s="9">
        <f>VLOOKUP(A15,[7]HISTOBQUEDEC22!$A$6:$G$36,3,0)</f>
        <v>105000</v>
      </c>
      <c r="E15" s="9">
        <f>VLOOKUP(A15,[7]HISTOBQUEDEC22!$A$6:$G$36,4,0)</f>
        <v>0</v>
      </c>
      <c r="F15" s="9">
        <f>VLOOKUP(A15,[7]HISTOBQUEDEC22!$A$6:$G$36,5,0)</f>
        <v>0</v>
      </c>
      <c r="G15" s="5">
        <f t="shared" si="0"/>
        <v>0</v>
      </c>
      <c r="H15" s="10" t="str">
        <f t="shared" si="1"/>
        <v>BANQUE</v>
      </c>
      <c r="I15" s="11">
        <v>1</v>
      </c>
      <c r="J15" s="11">
        <f t="shared" si="2"/>
        <v>30000</v>
      </c>
      <c r="K15" s="11"/>
      <c r="L15" s="6">
        <v>1</v>
      </c>
      <c r="M15" s="11">
        <f t="shared" si="3"/>
        <v>75000</v>
      </c>
      <c r="N15" s="6"/>
      <c r="O15" s="11">
        <f t="shared" si="4"/>
        <v>0</v>
      </c>
      <c r="P15" s="2">
        <f>VLOOKUP(A15,[9]TONTDEC22!$A$6:$R$31,12,0)</f>
        <v>0</v>
      </c>
      <c r="Q15" s="2">
        <f>VLOOKUP(A15,[10]TONTDEC22!$A$6:$P$21,10,0)</f>
        <v>0</v>
      </c>
      <c r="R15" s="2"/>
      <c r="S15" s="20"/>
      <c r="T15" s="12"/>
      <c r="U15" s="17">
        <f t="shared" si="8"/>
        <v>105000</v>
      </c>
      <c r="V15" s="12"/>
      <c r="W15" s="12"/>
      <c r="X15" s="12"/>
      <c r="Y15" s="12"/>
      <c r="Z15" s="12"/>
      <c r="AA15" s="12"/>
      <c r="AB15" s="12"/>
      <c r="AC15" s="12"/>
      <c r="AD15" s="12">
        <v>75000</v>
      </c>
      <c r="AE15" s="12"/>
      <c r="AF15" s="12" t="s">
        <v>8</v>
      </c>
      <c r="AG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5"/>
        <v>0</v>
      </c>
      <c r="AR15" s="8">
        <f t="shared" si="6"/>
        <v>0</v>
      </c>
      <c r="AS15" s="13">
        <f t="shared" si="9"/>
        <v>7000</v>
      </c>
      <c r="AT15" s="29">
        <v>20000</v>
      </c>
      <c r="AV15" s="15"/>
      <c r="AW15" s="15">
        <f t="shared" si="10"/>
        <v>0</v>
      </c>
      <c r="AX15" s="15">
        <f t="shared" si="11"/>
        <v>1125000</v>
      </c>
      <c r="AY15" s="15">
        <f t="shared" si="12"/>
        <v>0</v>
      </c>
      <c r="AZ15" s="16">
        <f t="shared" si="13"/>
        <v>1125000</v>
      </c>
      <c r="BA15" s="58"/>
      <c r="BB15" s="58"/>
      <c r="BC15" s="15"/>
      <c r="BD15" s="57">
        <f t="shared" si="14"/>
        <v>1125000</v>
      </c>
      <c r="BF15" s="29">
        <f t="shared" si="15"/>
        <v>0</v>
      </c>
      <c r="BG15">
        <v>0</v>
      </c>
      <c r="BH15" s="15"/>
      <c r="BI15" s="15"/>
      <c r="BJ15" s="15"/>
      <c r="BK15" s="15"/>
      <c r="BL15" s="15"/>
      <c r="BM15" s="15"/>
      <c r="BP15" s="6"/>
    </row>
    <row r="16" spans="1:69" ht="18.75" x14ac:dyDescent="0.3">
      <c r="A16" s="1" t="s">
        <v>22</v>
      </c>
      <c r="B16" s="1" t="str">
        <f>VLOOKUP(A16,[6]LISTADHERENT!A$5:H$60,3,0)</f>
        <v>HOTCHO BENJAMIN</v>
      </c>
      <c r="C16" s="5">
        <f t="shared" si="7"/>
        <v>0</v>
      </c>
      <c r="D16" s="9">
        <f>VLOOKUP(A16,[7]HISTOBQUEDEC22!$A$6:$G$36,3,0)</f>
        <v>1150000</v>
      </c>
      <c r="E16" s="9">
        <f>VLOOKUP(A16,[7]HISTOBQUEDEC22!$A$6:$G$36,4,0)</f>
        <v>0</v>
      </c>
      <c r="F16" s="9">
        <f>VLOOKUP(A16,[7]HISTOBQUEDEC22!$A$6:$G$36,5,0)</f>
        <v>0</v>
      </c>
      <c r="G16" s="5">
        <f t="shared" si="0"/>
        <v>0</v>
      </c>
      <c r="H16" s="10" t="str">
        <f t="shared" si="1"/>
        <v>BANQUE</v>
      </c>
      <c r="I16" s="11">
        <v>1</v>
      </c>
      <c r="J16" s="11">
        <f t="shared" si="2"/>
        <v>30000</v>
      </c>
      <c r="K16" s="11">
        <v>45000</v>
      </c>
      <c r="L16" s="6">
        <v>1</v>
      </c>
      <c r="M16" s="11">
        <f t="shared" si="3"/>
        <v>75000</v>
      </c>
      <c r="N16" s="6"/>
      <c r="O16" s="11">
        <f t="shared" si="4"/>
        <v>0</v>
      </c>
      <c r="P16" s="2">
        <f>VLOOKUP(A16,[9]TONTDEC22!$A$6:$R$31,12,0)</f>
        <v>0</v>
      </c>
      <c r="Q16" s="2">
        <f>VLOOKUP(A16,[10]TONTDEC22!$A$6:$P$21,10,0)</f>
        <v>0</v>
      </c>
      <c r="R16" s="2"/>
      <c r="S16" s="20">
        <v>1000000</v>
      </c>
      <c r="T16" s="12" t="s">
        <v>8</v>
      </c>
      <c r="U16" s="17">
        <f t="shared" si="8"/>
        <v>1150000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5"/>
        <v>0</v>
      </c>
      <c r="AR16" s="8">
        <f t="shared" si="6"/>
        <v>0</v>
      </c>
      <c r="AS16" s="13">
        <f t="shared" si="9"/>
        <v>52000</v>
      </c>
      <c r="AT16" s="29">
        <v>20000</v>
      </c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880000</v>
      </c>
      <c r="BA16" s="58"/>
      <c r="BB16" s="58"/>
      <c r="BC16" s="15"/>
      <c r="BD16" s="57">
        <f t="shared" si="14"/>
        <v>880000</v>
      </c>
      <c r="BF16" s="29">
        <f t="shared" si="15"/>
        <v>120000</v>
      </c>
      <c r="BG16">
        <v>12</v>
      </c>
      <c r="BH16" s="15"/>
      <c r="BI16" s="15"/>
      <c r="BJ16" s="15"/>
      <c r="BK16" s="15"/>
      <c r="BL16" s="15"/>
      <c r="BM16" s="15"/>
      <c r="BN16" s="62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VLOOKUP(A17,[6]LISTADHERENT!A$5:H$60,3,0)</f>
        <v>KOUAMOU MOISE</v>
      </c>
      <c r="C17" s="5">
        <f t="shared" si="7"/>
        <v>0</v>
      </c>
      <c r="D17" s="9">
        <f>VLOOKUP(A17,[7]HISTOBQUEDEC22!$A$6:$G$36,3,0)</f>
        <v>1030000</v>
      </c>
      <c r="E17" s="9">
        <f>VLOOKUP(A17,[7]HISTOBQUEDEC22!$A$6:$G$36,4,0)</f>
        <v>0</v>
      </c>
      <c r="F17" s="9">
        <f>VLOOKUP(A17,[7]HISTOBQUEDEC22!$A$6:$G$36,5,0)</f>
        <v>0</v>
      </c>
      <c r="G17" s="5">
        <f t="shared" si="0"/>
        <v>0</v>
      </c>
      <c r="H17" s="10" t="str">
        <f t="shared" si="1"/>
        <v>BANQUE</v>
      </c>
      <c r="I17" s="11">
        <v>1</v>
      </c>
      <c r="J17" s="11">
        <f t="shared" si="2"/>
        <v>30000</v>
      </c>
      <c r="K17" s="11"/>
      <c r="L17" s="6"/>
      <c r="M17" s="11">
        <f t="shared" si="3"/>
        <v>0</v>
      </c>
      <c r="N17" s="6">
        <v>3</v>
      </c>
      <c r="O17" s="11">
        <f t="shared" si="4"/>
        <v>300000</v>
      </c>
      <c r="P17" s="2">
        <f>VLOOKUP(A17,[9]TONTDEC22!$A$6:$R$31,12,0)</f>
        <v>0</v>
      </c>
      <c r="Q17" s="2"/>
      <c r="R17" s="2">
        <f>VLOOKUP(A17,[8]TONTDEC22!$A$6:$P$21,10,0)</f>
        <v>0</v>
      </c>
      <c r="S17" s="20">
        <v>700000</v>
      </c>
      <c r="T17" s="12" t="s">
        <v>8</v>
      </c>
      <c r="U17" s="17">
        <f t="shared" si="8"/>
        <v>1030000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5"/>
        <v>0</v>
      </c>
      <c r="AR17" s="8">
        <f t="shared" si="6"/>
        <v>0</v>
      </c>
      <c r="AS17" s="13">
        <f t="shared" si="9"/>
        <v>7000</v>
      </c>
      <c r="AT17" s="29">
        <v>20000</v>
      </c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F17" s="29">
        <f t="shared" si="15"/>
        <v>0</v>
      </c>
      <c r="BG17">
        <v>0</v>
      </c>
      <c r="BH17" s="15"/>
      <c r="BI17" s="15"/>
      <c r="BJ17" s="15"/>
      <c r="BK17" s="15"/>
      <c r="BL17" s="15"/>
      <c r="BM17" s="15"/>
      <c r="BN17" s="62"/>
      <c r="BP17" s="6"/>
    </row>
    <row r="18" spans="1:68" ht="18.75" x14ac:dyDescent="0.3">
      <c r="A18" s="1" t="s">
        <v>24</v>
      </c>
      <c r="B18" s="1" t="str">
        <f>VLOOKUP(A18,[6]LISTADHERENT!A$5:H$60,3,0)</f>
        <v>KOUATCHO MESSACK</v>
      </c>
      <c r="C18" s="5">
        <f t="shared" si="7"/>
        <v>0</v>
      </c>
      <c r="D18" s="9">
        <f>VLOOKUP(A18,[7]HISTOBQUEDEC22!$A$6:$G$36,3,0)</f>
        <v>1205000</v>
      </c>
      <c r="E18" s="9">
        <f>VLOOKUP(A18,[7]HISTOBQUEDEC22!$A$6:$G$36,4,0)</f>
        <v>0</v>
      </c>
      <c r="F18" s="9">
        <f>VLOOKUP(A18,[7]HISTOBQUEDEC22!$A$6:$G$36,5,0)</f>
        <v>0</v>
      </c>
      <c r="G18" s="5">
        <f t="shared" si="0"/>
        <v>0</v>
      </c>
      <c r="H18" s="10" t="str">
        <f t="shared" si="1"/>
        <v>BANQUE</v>
      </c>
      <c r="I18" s="11">
        <v>1</v>
      </c>
      <c r="J18" s="11">
        <f t="shared" si="2"/>
        <v>30000</v>
      </c>
      <c r="K18" s="11"/>
      <c r="L18" s="6">
        <v>1</v>
      </c>
      <c r="M18" s="11">
        <f t="shared" si="3"/>
        <v>75000</v>
      </c>
      <c r="N18" s="6">
        <v>1</v>
      </c>
      <c r="O18" s="11">
        <f t="shared" si="4"/>
        <v>100000</v>
      </c>
      <c r="P18" s="2">
        <f>VLOOKUP(A18,[9]TONTDEC22!$A$6:$R$31,12,0)</f>
        <v>0</v>
      </c>
      <c r="Q18" s="2">
        <f>VLOOKUP(A18,[10]TONTDEC22!$A$6:$P$21,10,0)</f>
        <v>0</v>
      </c>
      <c r="R18" s="2">
        <f>VLOOKUP(A18,[8]TONTDEC22!$A$6:$P$21,10,0)</f>
        <v>0</v>
      </c>
      <c r="S18" s="20">
        <v>1000000</v>
      </c>
      <c r="T18" s="12" t="s">
        <v>8</v>
      </c>
      <c r="U18" s="17">
        <f t="shared" si="8"/>
        <v>1205000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5"/>
        <v>0</v>
      </c>
      <c r="AR18" s="8">
        <f t="shared" si="6"/>
        <v>0</v>
      </c>
      <c r="AS18" s="13">
        <f t="shared" si="9"/>
        <v>7000</v>
      </c>
      <c r="AT18" s="29">
        <v>20000</v>
      </c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940000</v>
      </c>
      <c r="BA18" s="58"/>
      <c r="BB18" s="58"/>
      <c r="BC18" s="15"/>
      <c r="BD18" s="57">
        <f t="shared" si="14"/>
        <v>940000</v>
      </c>
      <c r="BF18" s="29">
        <f t="shared" si="15"/>
        <v>60000</v>
      </c>
      <c r="BG18">
        <v>6</v>
      </c>
      <c r="BH18" s="15"/>
      <c r="BI18" s="15"/>
      <c r="BJ18" s="15"/>
      <c r="BK18" s="15"/>
      <c r="BL18" s="15"/>
      <c r="BM18" s="15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VLOOKUP(A19,[6]LISTADHERENT!A$5:H$60,3,0)</f>
        <v>LOWE JEAN</v>
      </c>
      <c r="C19" s="5">
        <f t="shared" si="7"/>
        <v>0</v>
      </c>
      <c r="D19" s="9">
        <f>VLOOKUP(A19,[7]HISTOBQUEDEC22!$A$6:$G$36,3,0)</f>
        <v>1030000</v>
      </c>
      <c r="E19" s="9">
        <f>VLOOKUP(A19,[7]HISTOBQUEDEC22!$A$6:$G$36,4,0)</f>
        <v>0</v>
      </c>
      <c r="F19" s="9">
        <f>VLOOKUP(A19,[7]HISTOBQUEDEC22!$A$6:$G$36,5,0)</f>
        <v>0</v>
      </c>
      <c r="G19" s="5">
        <f t="shared" si="0"/>
        <v>0</v>
      </c>
      <c r="H19" s="10" t="str">
        <f t="shared" si="1"/>
        <v>BANQUE</v>
      </c>
      <c r="I19" s="11">
        <v>1</v>
      </c>
      <c r="J19" s="11">
        <f t="shared" si="2"/>
        <v>30000</v>
      </c>
      <c r="K19" s="11"/>
      <c r="L19" s="6"/>
      <c r="M19" s="11">
        <f t="shared" si="3"/>
        <v>0</v>
      </c>
      <c r="N19" s="6"/>
      <c r="O19" s="11">
        <f t="shared" si="4"/>
        <v>0</v>
      </c>
      <c r="P19" s="2">
        <f>VLOOKUP(A19,[9]TONTDEC22!$A$6:$R$31,12,0)</f>
        <v>0</v>
      </c>
      <c r="Q19" s="2"/>
      <c r="R19" s="2"/>
      <c r="S19" s="20">
        <v>1000000</v>
      </c>
      <c r="T19" s="12" t="s">
        <v>8</v>
      </c>
      <c r="U19" s="17">
        <f t="shared" si="8"/>
        <v>1030000</v>
      </c>
      <c r="V19" s="12"/>
      <c r="W19" s="12"/>
      <c r="X19" s="12"/>
      <c r="Y19" s="12"/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5"/>
        <v>0</v>
      </c>
      <c r="AR19" s="8">
        <f t="shared" si="6"/>
        <v>0</v>
      </c>
      <c r="AS19" s="13">
        <f t="shared" si="9"/>
        <v>7000</v>
      </c>
      <c r="AT19" s="29">
        <v>20000</v>
      </c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960000</v>
      </c>
      <c r="BA19" s="58"/>
      <c r="BB19" s="58"/>
      <c r="BC19" s="15"/>
      <c r="BD19" s="57">
        <f t="shared" si="14"/>
        <v>960000</v>
      </c>
      <c r="BF19" s="29">
        <f t="shared" si="15"/>
        <v>40000</v>
      </c>
      <c r="BG19">
        <v>4</v>
      </c>
      <c r="BH19" s="15"/>
      <c r="BI19" s="15"/>
      <c r="BJ19" s="15"/>
      <c r="BK19" s="15"/>
      <c r="BL19" s="15"/>
      <c r="BM19" s="15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VLOOKUP(A20,[6]LISTADHERENT!A$5:H$60,3,0)</f>
        <v>MBOGNING TUGMA GUY</v>
      </c>
      <c r="C20" s="5">
        <f t="shared" si="7"/>
        <v>0</v>
      </c>
      <c r="D20" s="9">
        <f>VLOOKUP(A20,[7]HISTOBQUEDEC22!$A$6:$G$36,3,0)</f>
        <v>1627500</v>
      </c>
      <c r="E20" s="9">
        <f>VLOOKUP(A20,[7]HISTOBQUEDEC22!$A$6:$G$36,4,0)</f>
        <v>0</v>
      </c>
      <c r="F20" s="9">
        <f>VLOOKUP(A20,[7]HISTOBQUEDEC22!$A$6:$G$36,5,0)</f>
        <v>0</v>
      </c>
      <c r="G20" s="5">
        <f t="shared" si="0"/>
        <v>0</v>
      </c>
      <c r="H20" s="10" t="str">
        <f t="shared" si="1"/>
        <v>BANQUE</v>
      </c>
      <c r="I20" s="11">
        <v>1</v>
      </c>
      <c r="J20" s="11">
        <f t="shared" si="2"/>
        <v>30000</v>
      </c>
      <c r="K20" s="11"/>
      <c r="L20" s="6">
        <v>3</v>
      </c>
      <c r="M20" s="11">
        <f t="shared" si="3"/>
        <v>225000</v>
      </c>
      <c r="N20" s="6">
        <v>2</v>
      </c>
      <c r="O20" s="11">
        <f t="shared" si="4"/>
        <v>200000</v>
      </c>
      <c r="P20" s="2">
        <f>VLOOKUP(A20,[9]TONTDEC22!$A$6:$R$31,12,0)</f>
        <v>0</v>
      </c>
      <c r="Q20" s="2">
        <f>VLOOKUP(A20,[10]TONTDEC22!$A$6:$P$21,10,0)</f>
        <v>0</v>
      </c>
      <c r="R20" s="2">
        <f>VLOOKUP(A20,[8]TONTDEC22!$A$6:$P$21,10,0)</f>
        <v>172500</v>
      </c>
      <c r="S20" s="20">
        <v>1000000</v>
      </c>
      <c r="T20" s="12" t="s">
        <v>8</v>
      </c>
      <c r="U20" s="17">
        <f t="shared" si="8"/>
        <v>1627500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5"/>
        <v>0</v>
      </c>
      <c r="AR20" s="8">
        <f t="shared" si="6"/>
        <v>0</v>
      </c>
      <c r="AS20" s="13">
        <f t="shared" si="9"/>
        <v>7000</v>
      </c>
      <c r="AT20" s="29">
        <v>20000</v>
      </c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940000</v>
      </c>
      <c r="BA20" s="58"/>
      <c r="BB20" s="58"/>
      <c r="BC20" s="15"/>
      <c r="BD20" s="57">
        <f t="shared" si="14"/>
        <v>940000</v>
      </c>
      <c r="BF20" s="29">
        <f t="shared" si="15"/>
        <v>60000</v>
      </c>
      <c r="BG20">
        <v>6</v>
      </c>
      <c r="BH20" s="15"/>
      <c r="BI20" s="15"/>
      <c r="BJ20" s="15"/>
      <c r="BK20" s="15"/>
      <c r="BL20" s="15"/>
      <c r="BM20" s="15"/>
      <c r="BP20" s="6"/>
    </row>
    <row r="21" spans="1:68" ht="18.75" x14ac:dyDescent="0.3">
      <c r="A21" s="1" t="s">
        <v>27</v>
      </c>
      <c r="B21" s="1" t="str">
        <f>VLOOKUP(A21,[6]LISTADHERENT!A$5:H$60,3,0)</f>
        <v>NANGUEN MARTIN</v>
      </c>
      <c r="C21" s="5">
        <f t="shared" si="7"/>
        <v>0</v>
      </c>
      <c r="D21" s="9">
        <f>VLOOKUP(A21,[7]HISTOBQUEDEC22!$A$6:$G$36,3,0)</f>
        <v>30000</v>
      </c>
      <c r="E21" s="9">
        <f>VLOOKUP(A21,[7]HISTOBQUEDEC22!$A$6:$G$36,4,0)</f>
        <v>0</v>
      </c>
      <c r="F21" s="9">
        <f>VLOOKUP(A21,[7]HISTOBQUEDEC22!$A$6:$G$36,5,0)</f>
        <v>0</v>
      </c>
      <c r="G21" s="5">
        <f t="shared" si="0"/>
        <v>0</v>
      </c>
      <c r="H21" s="10" t="str">
        <f t="shared" si="1"/>
        <v>BANQUE</v>
      </c>
      <c r="I21" s="11">
        <v>1</v>
      </c>
      <c r="J21" s="11">
        <f t="shared" si="2"/>
        <v>30000</v>
      </c>
      <c r="K21" s="11"/>
      <c r="L21" s="6"/>
      <c r="M21" s="11">
        <f t="shared" si="3"/>
        <v>0</v>
      </c>
      <c r="N21" s="6"/>
      <c r="O21" s="11">
        <f t="shared" si="4"/>
        <v>0</v>
      </c>
      <c r="P21" s="2">
        <f>VLOOKUP(A21,[9]TONTDEC22!$A$6:$R$31,12,0)</f>
        <v>0</v>
      </c>
      <c r="Q21" s="2"/>
      <c r="R21" s="2"/>
      <c r="S21" s="20"/>
      <c r="T21" s="12"/>
      <c r="U21" s="17">
        <f t="shared" si="8"/>
        <v>30000</v>
      </c>
      <c r="V21" s="12"/>
      <c r="W21" s="12"/>
      <c r="X21" s="12"/>
      <c r="Y21" s="12"/>
      <c r="Z21" s="12">
        <v>500000</v>
      </c>
      <c r="AA21" s="12" t="s">
        <v>8</v>
      </c>
      <c r="AB21" s="12"/>
      <c r="AC21" s="12"/>
      <c r="AD21" s="12"/>
      <c r="AE21" s="12"/>
      <c r="AF21" s="12"/>
      <c r="AG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5"/>
        <v>0</v>
      </c>
      <c r="AR21" s="8">
        <f t="shared" si="6"/>
        <v>0</v>
      </c>
      <c r="AS21" s="13">
        <f t="shared" si="9"/>
        <v>7000</v>
      </c>
      <c r="AT21" s="29">
        <v>20000</v>
      </c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510000</v>
      </c>
      <c r="BA21" s="58"/>
      <c r="BB21" s="58"/>
      <c r="BC21" s="15"/>
      <c r="BD21" s="57">
        <f t="shared" si="14"/>
        <v>510000</v>
      </c>
      <c r="BF21" s="29">
        <f t="shared" si="15"/>
        <v>60000</v>
      </c>
      <c r="BG21">
        <v>12</v>
      </c>
      <c r="BH21" s="15"/>
      <c r="BI21" s="15"/>
      <c r="BJ21" s="15"/>
      <c r="BK21" s="15">
        <v>70000</v>
      </c>
      <c r="BL21" s="15"/>
      <c r="BM21" s="15"/>
      <c r="BP21" s="6"/>
    </row>
    <row r="22" spans="1:68" ht="18.75" x14ac:dyDescent="0.3">
      <c r="A22" s="1" t="s">
        <v>28</v>
      </c>
      <c r="B22" s="1" t="str">
        <f>VLOOKUP(A22,[6]LISTADHERENT!A$5:H$60,3,0)</f>
        <v>NANKAM APPOLINAIRE</v>
      </c>
      <c r="C22" s="5">
        <f t="shared" si="7"/>
        <v>0</v>
      </c>
      <c r="D22" s="9">
        <f>VLOOKUP(A22,[7]HISTOBQUEDEC22!$A$6:$G$36,3,0)</f>
        <v>1105000</v>
      </c>
      <c r="E22" s="9">
        <f>VLOOKUP(A22,[7]HISTOBQUEDEC22!$A$6:$G$36,4,0)</f>
        <v>0</v>
      </c>
      <c r="F22" s="9">
        <f>VLOOKUP(A22,[7]HISTOBQUEDEC22!$A$6:$G$36,5,0)</f>
        <v>0</v>
      </c>
      <c r="G22" s="5">
        <f t="shared" si="0"/>
        <v>0</v>
      </c>
      <c r="H22" s="10" t="str">
        <f t="shared" si="1"/>
        <v>BANQUE</v>
      </c>
      <c r="I22" s="11">
        <v>1</v>
      </c>
      <c r="J22" s="11">
        <f t="shared" si="2"/>
        <v>30000</v>
      </c>
      <c r="K22" s="11"/>
      <c r="L22" s="6">
        <v>1</v>
      </c>
      <c r="M22" s="11">
        <f t="shared" si="3"/>
        <v>75000</v>
      </c>
      <c r="N22" s="6"/>
      <c r="O22" s="11">
        <f t="shared" si="4"/>
        <v>0</v>
      </c>
      <c r="P22" s="2">
        <f>VLOOKUP(A22,[9]TONTDEC22!$A$6:$R$31,12,0)</f>
        <v>0</v>
      </c>
      <c r="Q22" s="2">
        <f>VLOOKUP(A22,[10]TONTDEC22!$A$6:$P$21,10,0)</f>
        <v>0</v>
      </c>
      <c r="R22" s="2"/>
      <c r="S22" s="20">
        <v>1000000</v>
      </c>
      <c r="T22" s="12" t="s">
        <v>8</v>
      </c>
      <c r="U22" s="17">
        <f t="shared" si="8"/>
        <v>1105000</v>
      </c>
      <c r="V22" s="12"/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5"/>
        <v>0</v>
      </c>
      <c r="AR22" s="8">
        <f t="shared" si="6"/>
        <v>0</v>
      </c>
      <c r="AS22" s="13">
        <f t="shared" si="9"/>
        <v>7000</v>
      </c>
      <c r="AT22" s="29">
        <v>20000</v>
      </c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>SUM(AV22:AY22)-BF22+Z22-F22+BH22+BI22+BJ22+BK22</f>
        <v>880000</v>
      </c>
      <c r="BA22" s="58"/>
      <c r="BB22" s="58"/>
      <c r="BC22" s="15"/>
      <c r="BD22" s="57">
        <f>IF(AZ22=0,(AZ22-BA22-BC22),(AZ22-BA22-BB22-BC22))+71000</f>
        <v>951000</v>
      </c>
      <c r="BF22" s="29">
        <f t="shared" si="15"/>
        <v>120000</v>
      </c>
      <c r="BG22">
        <v>12</v>
      </c>
      <c r="BH22" s="15"/>
      <c r="BI22" s="15"/>
      <c r="BJ22" s="15"/>
      <c r="BK22" s="15"/>
      <c r="BL22" s="15"/>
      <c r="BM22" s="15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VLOOKUP(A23,[6]LISTADHERENT!A$5:H$60,3,0)</f>
        <v>NDJOMO ETIENNE</v>
      </c>
      <c r="C23" s="5">
        <f t="shared" si="7"/>
        <v>0</v>
      </c>
      <c r="D23" s="9">
        <f>VLOOKUP(A23,[7]HISTOBQUEDEC22!$A$6:$G$36,3,0)</f>
        <v>680000</v>
      </c>
      <c r="E23" s="9">
        <f>VLOOKUP(A23,[7]HISTOBQUEDEC22!$A$6:$G$36,4,0)</f>
        <v>101000</v>
      </c>
      <c r="F23" s="9">
        <f>VLOOKUP(A23,[7]HISTOBQUEDEC22!$A$6:$G$36,5,0)</f>
        <v>0</v>
      </c>
      <c r="G23" s="5">
        <f t="shared" si="0"/>
        <v>0</v>
      </c>
      <c r="H23" s="10" t="str">
        <f t="shared" si="1"/>
        <v>BANQUE</v>
      </c>
      <c r="I23" s="11">
        <v>1</v>
      </c>
      <c r="J23" s="11">
        <f t="shared" si="2"/>
        <v>30000</v>
      </c>
      <c r="K23" s="11">
        <v>20000</v>
      </c>
      <c r="L23" s="6"/>
      <c r="M23" s="11">
        <f t="shared" si="3"/>
        <v>0</v>
      </c>
      <c r="N23" s="6">
        <v>1</v>
      </c>
      <c r="O23" s="11">
        <f t="shared" si="4"/>
        <v>100000</v>
      </c>
      <c r="P23" s="2">
        <f>VLOOKUP(A23,[9]TONTDEC22!$A$6:$R$31,12,0)</f>
        <v>0</v>
      </c>
      <c r="Q23" s="2"/>
      <c r="R23" s="2">
        <f>VLOOKUP(A23,[8]TONTDEC22!$A$6:$P$21,10,0)</f>
        <v>101000</v>
      </c>
      <c r="S23" s="20">
        <f>449000+81000</f>
        <v>530000</v>
      </c>
      <c r="T23" s="12" t="s">
        <v>8</v>
      </c>
      <c r="U23" s="17">
        <f t="shared" si="8"/>
        <v>781000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/>
      <c r="AF23" s="12"/>
      <c r="AG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5"/>
        <v>0</v>
      </c>
      <c r="AR23" s="8">
        <f t="shared" si="6"/>
        <v>0</v>
      </c>
      <c r="AS23" s="13">
        <f t="shared" si="9"/>
        <v>27000</v>
      </c>
      <c r="AT23" s="29">
        <v>20000</v>
      </c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552000</v>
      </c>
      <c r="BA23" s="58"/>
      <c r="BB23" s="58"/>
      <c r="BC23" s="15"/>
      <c r="BD23" s="57">
        <f t="shared" si="14"/>
        <v>552000</v>
      </c>
      <c r="BF23" s="29">
        <f t="shared" si="15"/>
        <v>48000</v>
      </c>
      <c r="BG23">
        <v>8</v>
      </c>
      <c r="BH23" s="15"/>
      <c r="BI23" s="15"/>
      <c r="BJ23" s="15"/>
      <c r="BK23" s="15"/>
      <c r="BL23" s="15"/>
      <c r="BM23" s="15"/>
    </row>
    <row r="24" spans="1:68" ht="18.75" x14ac:dyDescent="0.3">
      <c r="A24" s="1" t="s">
        <v>30</v>
      </c>
      <c r="B24" s="1" t="str">
        <f>VLOOKUP(A24,[6]LISTADHERENT!A$5:H$60,3,0)</f>
        <v>NGONDIEP CLAUDE</v>
      </c>
      <c r="C24" s="5">
        <f t="shared" si="7"/>
        <v>0</v>
      </c>
      <c r="D24" s="9">
        <f>VLOOKUP(A24,[7]HISTOBQUEDEC22!$A$6:$G$36,3,0)</f>
        <v>1240000</v>
      </c>
      <c r="E24" s="9">
        <f>VLOOKUP(A24,[7]HISTOBQUEDEC22!$A$6:$G$36,4,0)</f>
        <v>0</v>
      </c>
      <c r="F24" s="9">
        <f>VLOOKUP(A24,[7]HISTOBQUEDEC22!$A$6:$G$36,5,0)</f>
        <v>0</v>
      </c>
      <c r="G24" s="5">
        <f t="shared" si="0"/>
        <v>0</v>
      </c>
      <c r="H24" s="10" t="str">
        <f t="shared" si="1"/>
        <v>BANQUE</v>
      </c>
      <c r="I24" s="11">
        <v>1</v>
      </c>
      <c r="J24" s="11">
        <f t="shared" si="2"/>
        <v>30000</v>
      </c>
      <c r="K24" s="11">
        <v>35000</v>
      </c>
      <c r="L24" s="6">
        <v>1</v>
      </c>
      <c r="M24" s="11">
        <f t="shared" si="3"/>
        <v>75000</v>
      </c>
      <c r="N24" s="6">
        <v>1</v>
      </c>
      <c r="O24" s="11">
        <f t="shared" si="4"/>
        <v>100000</v>
      </c>
      <c r="P24" s="2">
        <f>VLOOKUP(A24,[9]TONTDEC22!$A$6:$R$31,12,0)</f>
        <v>0</v>
      </c>
      <c r="Q24" s="2">
        <f>VLOOKUP(A24,[10]TONTDEC22!$A$6:$P$21,10,0)</f>
        <v>0</v>
      </c>
      <c r="R24" s="2">
        <f>VLOOKUP(A24,[8]TONTDEC22!$A$6:$P$21,10,0)</f>
        <v>0</v>
      </c>
      <c r="S24" s="20">
        <v>1000000</v>
      </c>
      <c r="T24" s="12" t="s">
        <v>8</v>
      </c>
      <c r="U24" s="17">
        <f t="shared" si="8"/>
        <v>1240000</v>
      </c>
      <c r="V24" s="12"/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5"/>
        <v>0</v>
      </c>
      <c r="AR24" s="8">
        <f t="shared" si="6"/>
        <v>0</v>
      </c>
      <c r="AS24" s="13">
        <f t="shared" si="9"/>
        <v>42000</v>
      </c>
      <c r="AT24" s="29">
        <v>20000</v>
      </c>
      <c r="AV24" s="15"/>
      <c r="AW24" s="15">
        <f t="shared" si="10"/>
        <v>0</v>
      </c>
      <c r="AX24" s="15">
        <f t="shared" si="11"/>
        <v>0</v>
      </c>
      <c r="AY24" s="15">
        <f t="shared" si="12"/>
        <v>0</v>
      </c>
      <c r="AZ24" s="16">
        <f t="shared" si="13"/>
        <v>880000</v>
      </c>
      <c r="BA24" s="58"/>
      <c r="BB24" s="58"/>
      <c r="BC24" s="15"/>
      <c r="BD24" s="57">
        <f t="shared" si="14"/>
        <v>880000</v>
      </c>
      <c r="BF24" s="29">
        <f t="shared" si="15"/>
        <v>120000</v>
      </c>
      <c r="BG24">
        <v>12</v>
      </c>
      <c r="BH24" s="15"/>
      <c r="BI24" s="15"/>
      <c r="BJ24" s="15"/>
      <c r="BK24" s="15"/>
      <c r="BL24" s="15"/>
      <c r="BM24" s="15"/>
      <c r="BN24" t="s">
        <v>149</v>
      </c>
      <c r="BO24" t="s">
        <v>144</v>
      </c>
      <c r="BP24" s="6"/>
    </row>
    <row r="25" spans="1:68" ht="18.75" x14ac:dyDescent="0.3">
      <c r="A25" s="1" t="s">
        <v>31</v>
      </c>
      <c r="B25" s="1" t="str">
        <f>VLOOKUP(A25,[6]LISTADHERENT!A$5:H$60,3,0)</f>
        <v>NGUIEMEGNI MATHIEU BLAISE</v>
      </c>
      <c r="C25" s="5">
        <f t="shared" si="7"/>
        <v>0</v>
      </c>
      <c r="D25" s="9">
        <f>VLOOKUP(A25,[7]HISTOBQUEDEC22!$A$6:$G$36,3,0)</f>
        <v>1280000</v>
      </c>
      <c r="E25" s="9">
        <f>VLOOKUP(A25,[7]HISTOBQUEDEC22!$A$6:$G$36,4,0)</f>
        <v>0</v>
      </c>
      <c r="F25" s="9">
        <f>VLOOKUP(A25,[7]HISTOBQUEDEC22!$A$6:$G$36,5,0)</f>
        <v>0</v>
      </c>
      <c r="G25" s="5">
        <f t="shared" si="0"/>
        <v>0</v>
      </c>
      <c r="H25" s="10" t="str">
        <f t="shared" si="1"/>
        <v>BANQUE</v>
      </c>
      <c r="I25" s="11">
        <v>1</v>
      </c>
      <c r="J25" s="11">
        <f t="shared" si="2"/>
        <v>30000</v>
      </c>
      <c r="K25" s="11"/>
      <c r="L25" s="6">
        <v>2</v>
      </c>
      <c r="M25" s="11">
        <f t="shared" si="3"/>
        <v>150000</v>
      </c>
      <c r="N25" s="6">
        <v>1</v>
      </c>
      <c r="O25" s="11">
        <f t="shared" si="4"/>
        <v>100000</v>
      </c>
      <c r="P25" s="2">
        <f>VLOOKUP(A25,[9]TONTDEC22!$A$6:$R$31,12,0)</f>
        <v>0</v>
      </c>
      <c r="Q25" s="2">
        <f>VLOOKUP(A25,[10]TONTDEC22!$A$6:$P$21,10,0)</f>
        <v>0</v>
      </c>
      <c r="R25" s="2">
        <f>VLOOKUP(A25,[8]TONTDEC22!$A$6:$P$21,10,0)</f>
        <v>0</v>
      </c>
      <c r="S25" s="20">
        <v>1000000</v>
      </c>
      <c r="T25" s="12" t="s">
        <v>8</v>
      </c>
      <c r="U25" s="17">
        <f t="shared" si="8"/>
        <v>1280000</v>
      </c>
      <c r="V25" s="12"/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5"/>
        <v>0</v>
      </c>
      <c r="AR25" s="8">
        <f t="shared" si="6"/>
        <v>0</v>
      </c>
      <c r="AS25" s="13">
        <f t="shared" si="9"/>
        <v>7000</v>
      </c>
      <c r="AT25" s="29">
        <v>20000</v>
      </c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F25" s="29">
        <f t="shared" si="15"/>
        <v>120000</v>
      </c>
      <c r="BG25">
        <v>12</v>
      </c>
      <c r="BH25" s="15"/>
      <c r="BI25" s="15"/>
      <c r="BJ25" s="15"/>
      <c r="BK25" s="15"/>
      <c r="BL25" s="15"/>
      <c r="BM25" s="15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VLOOKUP(A26,[6]LISTADHERENT!A$5:H$60,3,0)</f>
        <v>NKAMGANG JUSTIN DEJOLIE</v>
      </c>
      <c r="C26" s="5">
        <f t="shared" si="7"/>
        <v>0</v>
      </c>
      <c r="D26" s="9">
        <f>VLOOKUP(A26,[7]HISTOBQUEDEC22!$A$6:$G$36,3,0)</f>
        <v>1105000</v>
      </c>
      <c r="E26" s="9">
        <f>VLOOKUP(A26,[7]HISTOBQUEDEC22!$A$6:$G$36,4,0)</f>
        <v>79500</v>
      </c>
      <c r="F26" s="9">
        <f>VLOOKUP(A26,[7]HISTOBQUEDEC22!$A$6:$G$36,5,0)</f>
        <v>0</v>
      </c>
      <c r="G26" s="5">
        <f t="shared" si="0"/>
        <v>0</v>
      </c>
      <c r="H26" s="10" t="str">
        <f t="shared" si="1"/>
        <v>BANQUE</v>
      </c>
      <c r="I26" s="11">
        <v>1</v>
      </c>
      <c r="J26" s="11">
        <f t="shared" si="2"/>
        <v>30000</v>
      </c>
      <c r="K26" s="11"/>
      <c r="L26" s="6">
        <v>1</v>
      </c>
      <c r="M26" s="11">
        <f t="shared" si="3"/>
        <v>75000</v>
      </c>
      <c r="N26" s="6"/>
      <c r="O26" s="11">
        <f t="shared" si="4"/>
        <v>0</v>
      </c>
      <c r="P26" s="2">
        <f>VLOOKUP(A26,[9]TONTDEC22!$A$6:$R$31,12,0)</f>
        <v>41000</v>
      </c>
      <c r="Q26" s="2">
        <f>VLOOKUP(A26,[10]TONTDEC22!$A$6:$P$21,10,0)</f>
        <v>38500</v>
      </c>
      <c r="R26" s="2"/>
      <c r="S26" s="20">
        <v>1000000</v>
      </c>
      <c r="T26" s="12" t="s">
        <v>8</v>
      </c>
      <c r="U26" s="17">
        <f t="shared" si="8"/>
        <v>1184500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5"/>
        <v>0</v>
      </c>
      <c r="AR26" s="8">
        <f t="shared" si="6"/>
        <v>0</v>
      </c>
      <c r="AS26" s="13">
        <f t="shared" si="9"/>
        <v>7000</v>
      </c>
      <c r="AT26" s="29">
        <v>20000</v>
      </c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980000</v>
      </c>
      <c r="BA26" s="58"/>
      <c r="BB26" s="58"/>
      <c r="BC26" s="15"/>
      <c r="BD26" s="57">
        <f t="shared" si="14"/>
        <v>980000</v>
      </c>
      <c r="BF26" s="29">
        <f t="shared" si="15"/>
        <v>20000</v>
      </c>
      <c r="BG26">
        <v>2</v>
      </c>
      <c r="BH26" s="15"/>
      <c r="BI26" s="15"/>
      <c r="BJ26" s="15"/>
      <c r="BK26" s="15"/>
      <c r="BL26" s="15"/>
      <c r="BM26" s="15"/>
      <c r="BN26" t="s">
        <v>145</v>
      </c>
      <c r="BO26" t="s">
        <v>144</v>
      </c>
      <c r="BP26" s="62"/>
    </row>
    <row r="27" spans="1:68" ht="18.75" x14ac:dyDescent="0.3">
      <c r="A27" s="1" t="s">
        <v>33</v>
      </c>
      <c r="B27" s="1" t="str">
        <f>VLOOKUP(A27,[6]LISTADHERENT!A$5:H$60,3,0)</f>
        <v>NKEHE DAVID</v>
      </c>
      <c r="C27" s="5">
        <f t="shared" si="7"/>
        <v>520000</v>
      </c>
      <c r="D27" s="9">
        <f>VLOOKUP(A27,[7]HISTOBQUEDEC22!$A$6:$G$36,3,0)</f>
        <v>520000</v>
      </c>
      <c r="E27" s="9">
        <f>VLOOKUP(A27,[7]HISTOBQUEDEC22!$A$6:$G$36,4,0)</f>
        <v>0</v>
      </c>
      <c r="F27" s="9">
        <f>VLOOKUP(A27,[7]HISTOBQUEDEC22!$A$6:$G$36,5,0)</f>
        <v>0</v>
      </c>
      <c r="G27" s="5">
        <f t="shared" si="0"/>
        <v>0</v>
      </c>
      <c r="H27" s="10" t="str">
        <f t="shared" si="1"/>
        <v>BANQUE</v>
      </c>
      <c r="I27" s="11">
        <v>0</v>
      </c>
      <c r="J27" s="11">
        <f t="shared" si="2"/>
        <v>0</v>
      </c>
      <c r="K27" s="11"/>
      <c r="L27" s="6"/>
      <c r="M27" s="11">
        <f t="shared" si="3"/>
        <v>0</v>
      </c>
      <c r="N27" s="6">
        <v>0</v>
      </c>
      <c r="O27" s="11">
        <f t="shared" si="4"/>
        <v>0</v>
      </c>
      <c r="P27" s="2"/>
      <c r="Q27" s="2"/>
      <c r="R27" s="2"/>
      <c r="S27" s="20"/>
      <c r="T27" s="12"/>
      <c r="U27" s="17">
        <f t="shared" si="8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5"/>
        <v>0</v>
      </c>
      <c r="AR27" s="8">
        <f t="shared" si="6"/>
        <v>0</v>
      </c>
      <c r="AS27" s="13">
        <f>IF(H27="ECHEC",0,(J27+K27))</f>
        <v>0</v>
      </c>
      <c r="AT27" s="29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F27" s="29">
        <f t="shared" si="15"/>
        <v>0</v>
      </c>
      <c r="BG27">
        <v>0</v>
      </c>
      <c r="BH27" s="15"/>
      <c r="BI27" s="15"/>
      <c r="BJ27" s="15"/>
      <c r="BK27" s="15"/>
      <c r="BL27" s="15"/>
      <c r="BM27" s="15"/>
      <c r="BP27" s="6"/>
    </row>
    <row r="28" spans="1:68" ht="18.75" x14ac:dyDescent="0.3">
      <c r="A28" s="1" t="s">
        <v>34</v>
      </c>
      <c r="B28" s="1" t="str">
        <f>VLOOKUP(A28,[6]LISTADHERENT!A$5:H$60,3,0)</f>
        <v>NKEPSEU DIEUDONNE</v>
      </c>
      <c r="C28" s="5">
        <f t="shared" si="7"/>
        <v>0</v>
      </c>
      <c r="D28" s="9">
        <f>VLOOKUP(A28,[7]HISTOBQUEDEC22!$A$6:$G$36,3,0)</f>
        <v>1130000</v>
      </c>
      <c r="E28" s="9">
        <f>VLOOKUP(A28,[7]HISTOBQUEDEC22!$A$6:$G$36,4,0)</f>
        <v>0</v>
      </c>
      <c r="F28" s="9">
        <f>VLOOKUP(A28,[7]HISTOBQUEDEC22!$A$6:$G$36,5,0)</f>
        <v>0</v>
      </c>
      <c r="G28" s="5">
        <f t="shared" si="0"/>
        <v>0</v>
      </c>
      <c r="H28" s="10" t="str">
        <f t="shared" si="1"/>
        <v>BANQUE</v>
      </c>
      <c r="I28" s="11">
        <v>1</v>
      </c>
      <c r="J28" s="11">
        <f t="shared" si="2"/>
        <v>30000</v>
      </c>
      <c r="K28" s="11"/>
      <c r="L28" s="6"/>
      <c r="M28" s="11">
        <f t="shared" si="3"/>
        <v>0</v>
      </c>
      <c r="N28" s="6">
        <v>1</v>
      </c>
      <c r="O28" s="11">
        <f t="shared" si="4"/>
        <v>100000</v>
      </c>
      <c r="P28" s="2">
        <f>VLOOKUP(A28,[9]TONTDEC22!$A$6:$R$31,12,0)</f>
        <v>0</v>
      </c>
      <c r="Q28" s="2"/>
      <c r="R28" s="2">
        <f>VLOOKUP(A28,[8]TONTDEC22!$A$6:$P$21,10,0)</f>
        <v>0</v>
      </c>
      <c r="S28" s="20">
        <f>600000+400000</f>
        <v>1000000</v>
      </c>
      <c r="T28" s="12" t="s">
        <v>8</v>
      </c>
      <c r="U28" s="17">
        <f t="shared" si="8"/>
        <v>1130000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5"/>
        <v>0</v>
      </c>
      <c r="AR28" s="8">
        <f t="shared" si="6"/>
        <v>0</v>
      </c>
      <c r="AS28" s="13">
        <f t="shared" si="9"/>
        <v>7000</v>
      </c>
      <c r="AT28" s="29">
        <v>20000</v>
      </c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F28" s="29">
        <f t="shared" si="15"/>
        <v>0</v>
      </c>
      <c r="BG28">
        <v>0</v>
      </c>
      <c r="BH28" s="15"/>
      <c r="BI28" s="15"/>
      <c r="BJ28" s="15"/>
      <c r="BK28" s="15"/>
      <c r="BL28" s="15"/>
      <c r="BM28" s="15"/>
      <c r="BN28" s="62" t="s">
        <v>143</v>
      </c>
      <c r="BP28" s="62">
        <f>SUM(BP24:BP26)</f>
        <v>0</v>
      </c>
    </row>
    <row r="29" spans="1:68" ht="18.75" x14ac:dyDescent="0.3">
      <c r="A29" s="1" t="s">
        <v>35</v>
      </c>
      <c r="B29" s="1" t="str">
        <f>VLOOKUP(A29,[6]LISTADHERENT!A$5:H$60,3,0)</f>
        <v>PATEGO NJOSSU GUSTAVE</v>
      </c>
      <c r="C29" s="5">
        <f t="shared" si="7"/>
        <v>0</v>
      </c>
      <c r="D29" s="9">
        <f>VLOOKUP(A29,[7]HISTOBQUEDEC22!$A$6:$G$36,3,0)</f>
        <v>105000</v>
      </c>
      <c r="E29" s="9">
        <f>VLOOKUP(A29,[7]HISTOBQUEDEC22!$A$6:$G$36,4,0)</f>
        <v>0</v>
      </c>
      <c r="F29" s="9">
        <f>VLOOKUP(A29,[7]HISTOBQUEDEC22!$A$6:$G$36,5,0)</f>
        <v>0</v>
      </c>
      <c r="G29" s="5">
        <f t="shared" si="0"/>
        <v>0</v>
      </c>
      <c r="H29" s="10" t="str">
        <f t="shared" si="1"/>
        <v>BANQUE</v>
      </c>
      <c r="I29" s="11">
        <v>1</v>
      </c>
      <c r="J29" s="11">
        <f t="shared" si="2"/>
        <v>30000</v>
      </c>
      <c r="K29" s="11"/>
      <c r="L29" s="6">
        <v>1</v>
      </c>
      <c r="M29" s="11">
        <f t="shared" si="3"/>
        <v>75000</v>
      </c>
      <c r="N29" s="6"/>
      <c r="O29" s="11">
        <f t="shared" si="4"/>
        <v>0</v>
      </c>
      <c r="P29" s="2">
        <f>VLOOKUP(A29,[9]TONTDEC22!$A$6:$R$31,12,0)</f>
        <v>0</v>
      </c>
      <c r="Q29" s="2">
        <f>VLOOKUP(A29,[10]TONTDEC22!$A$6:$P$21,10,0)</f>
        <v>0</v>
      </c>
      <c r="R29" s="2"/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5"/>
        <v>0</v>
      </c>
      <c r="AR29" s="8">
        <f t="shared" si="6"/>
        <v>0</v>
      </c>
      <c r="AS29" s="13">
        <f t="shared" si="9"/>
        <v>7000</v>
      </c>
      <c r="AT29" s="29">
        <v>20000</v>
      </c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F29" s="29">
        <f t="shared" si="15"/>
        <v>0</v>
      </c>
      <c r="BG29">
        <v>0</v>
      </c>
      <c r="BH29" s="15"/>
      <c r="BI29" s="15"/>
      <c r="BJ29" s="15"/>
      <c r="BK29" s="15"/>
      <c r="BL29" s="15"/>
      <c r="BM29" s="15"/>
      <c r="BN29" s="62"/>
      <c r="BP29" s="6"/>
    </row>
    <row r="30" spans="1:68" ht="18.75" x14ac:dyDescent="0.3">
      <c r="A30" s="1" t="s">
        <v>36</v>
      </c>
      <c r="B30" s="1" t="str">
        <f>VLOOKUP(A30,[6]LISTADHERENT!A$5:H$60,3,0)</f>
        <v>SIME BRICE</v>
      </c>
      <c r="C30" s="5">
        <f t="shared" si="7"/>
        <v>-100000</v>
      </c>
      <c r="D30" s="9">
        <f>VLOOKUP(A30,[7]HISTOBQUEDEC22!$A$6:$G$36,3,0)</f>
        <v>105000</v>
      </c>
      <c r="E30" s="9">
        <f>VLOOKUP(A30,[7]HISTOBQUEDEC22!$A$6:$G$36,4,0)</f>
        <v>0</v>
      </c>
      <c r="F30" s="9">
        <f>VLOOKUP(A30,[7]HISTOBQUEDEC22!$A$6:$G$36,5,0)</f>
        <v>0</v>
      </c>
      <c r="G30" s="5">
        <f t="shared" si="0"/>
        <v>0</v>
      </c>
      <c r="H30" s="10" t="str">
        <f t="shared" si="1"/>
        <v>BANQUE</v>
      </c>
      <c r="I30" s="11">
        <v>1</v>
      </c>
      <c r="J30" s="11">
        <f t="shared" si="2"/>
        <v>30000</v>
      </c>
      <c r="K30" s="11"/>
      <c r="L30" s="6">
        <v>1</v>
      </c>
      <c r="M30" s="11">
        <f t="shared" si="3"/>
        <v>75000</v>
      </c>
      <c r="N30" s="6"/>
      <c r="O30" s="11">
        <f t="shared" si="4"/>
        <v>0</v>
      </c>
      <c r="P30" s="2">
        <f>VLOOKUP(A30,[9]TONTDEC22!$A$6:$R$31,12,0)</f>
        <v>0</v>
      </c>
      <c r="Q30" s="2">
        <f>VLOOKUP(A30,[10]TONTDEC22!$A$6:$P$21,10,0)</f>
        <v>0</v>
      </c>
      <c r="R30" s="2"/>
      <c r="S30" s="20"/>
      <c r="T30" s="12"/>
      <c r="U30" s="17">
        <f t="shared" si="8"/>
        <v>105000</v>
      </c>
      <c r="V30" s="12"/>
      <c r="W30" s="12"/>
      <c r="X30" s="12"/>
      <c r="Y30" s="12"/>
      <c r="Z30" s="12"/>
      <c r="AA30" s="12"/>
      <c r="AB30" s="12"/>
      <c r="AC30" s="12">
        <v>23000</v>
      </c>
      <c r="AD30" s="12"/>
      <c r="AE30" s="12"/>
      <c r="AF30" s="12" t="s">
        <v>8</v>
      </c>
      <c r="AG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5"/>
        <v>0</v>
      </c>
      <c r="AR30" s="8">
        <f t="shared" si="6"/>
        <v>0</v>
      </c>
      <c r="AS30" s="13">
        <f t="shared" si="9"/>
        <v>7000</v>
      </c>
      <c r="AT30" s="29">
        <v>20000</v>
      </c>
      <c r="AV30" s="15"/>
      <c r="AW30" s="15">
        <f t="shared" si="10"/>
        <v>277000</v>
      </c>
      <c r="AX30" s="15">
        <f t="shared" si="11"/>
        <v>0</v>
      </c>
      <c r="AY30" s="15">
        <f t="shared" si="12"/>
        <v>0</v>
      </c>
      <c r="AZ30" s="16">
        <f t="shared" si="13"/>
        <v>277000</v>
      </c>
      <c r="BA30" s="58"/>
      <c r="BB30" s="58">
        <v>100000</v>
      </c>
      <c r="BC30" s="15"/>
      <c r="BD30" s="57">
        <f t="shared" si="14"/>
        <v>177000</v>
      </c>
      <c r="BF30" s="29">
        <f t="shared" si="15"/>
        <v>0</v>
      </c>
      <c r="BG30">
        <v>0</v>
      </c>
      <c r="BH30" s="15"/>
      <c r="BI30" s="15"/>
      <c r="BJ30" s="15"/>
      <c r="BK30" s="15"/>
      <c r="BL30" s="15"/>
      <c r="BM30" s="15"/>
      <c r="BN30" t="s">
        <v>129</v>
      </c>
      <c r="BO30" t="s">
        <v>51</v>
      </c>
      <c r="BP30" s="6"/>
    </row>
    <row r="31" spans="1:68" ht="18.75" x14ac:dyDescent="0.3">
      <c r="A31" s="1" t="s">
        <v>37</v>
      </c>
      <c r="B31" s="1" t="str">
        <f>VLOOKUP(A31,[6]LISTADHERENT!A$5:H$60,3,0)</f>
        <v>SIMO FONGANG ERIC</v>
      </c>
      <c r="C31" s="5">
        <f t="shared" si="7"/>
        <v>0</v>
      </c>
      <c r="D31" s="9">
        <f>VLOOKUP(A31,[7]HISTOBQUEDEC22!$A$6:$G$36,3,0)</f>
        <v>0</v>
      </c>
      <c r="E31" s="9">
        <f>VLOOKUP(A31,[7]HISTOBQUEDEC22!$A$6:$G$36,4,0)</f>
        <v>0</v>
      </c>
      <c r="F31" s="9">
        <f>VLOOKUP(A31,[7]HISTOBQUEDEC22!$A$6:$G$36,5,0)</f>
        <v>0</v>
      </c>
      <c r="G31" s="5">
        <f t="shared" si="0"/>
        <v>0</v>
      </c>
      <c r="H31" s="10" t="str">
        <f t="shared" si="1"/>
        <v>ECHEC</v>
      </c>
      <c r="I31" s="11"/>
      <c r="J31" s="11">
        <f t="shared" si="2"/>
        <v>0</v>
      </c>
      <c r="K31" s="11"/>
      <c r="L31" s="6"/>
      <c r="M31" s="11">
        <f t="shared" si="3"/>
        <v>0</v>
      </c>
      <c r="N31" s="6"/>
      <c r="O31" s="11">
        <f t="shared" si="4"/>
        <v>0</v>
      </c>
      <c r="P31" s="2"/>
      <c r="Q31" s="2"/>
      <c r="R31" s="2"/>
      <c r="S31" s="20"/>
      <c r="T31" s="12"/>
      <c r="U31" s="17">
        <f t="shared" si="8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5"/>
        <v>0</v>
      </c>
      <c r="AR31" s="8">
        <f t="shared" si="6"/>
        <v>0</v>
      </c>
      <c r="AS31" s="13">
        <f t="shared" si="9"/>
        <v>0</v>
      </c>
      <c r="AT31" s="29">
        <v>20000</v>
      </c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F31" s="29">
        <f t="shared" si="15"/>
        <v>0</v>
      </c>
      <c r="BG31">
        <v>0</v>
      </c>
      <c r="BH31" s="15"/>
      <c r="BI31" s="15"/>
      <c r="BJ31" s="15"/>
      <c r="BK31" s="15"/>
      <c r="BL31" s="15"/>
      <c r="BM31" s="15"/>
      <c r="BN31" t="s">
        <v>130</v>
      </c>
      <c r="BO31" t="s">
        <v>51</v>
      </c>
      <c r="BP31" s="6"/>
    </row>
    <row r="32" spans="1:68" ht="18.75" x14ac:dyDescent="0.3">
      <c r="A32" s="1" t="s">
        <v>38</v>
      </c>
      <c r="B32" s="1" t="str">
        <f>VLOOKUP(A32,[6]LISTADHERENT!A$5:H$60,3,0)</f>
        <v>SIMO PIERRE</v>
      </c>
      <c r="C32" s="5">
        <f t="shared" si="7"/>
        <v>0</v>
      </c>
      <c r="D32" s="9">
        <f>VLOOKUP(A32,[7]HISTOBQUEDEC22!$A$6:$G$36,3,0)</f>
        <v>905000</v>
      </c>
      <c r="E32" s="9">
        <f>VLOOKUP(A32,[7]HISTOBQUEDEC22!$A$6:$G$36,4,0)</f>
        <v>0</v>
      </c>
      <c r="F32" s="9">
        <f>VLOOKUP(A32,[7]HISTOBQUEDEC22!$A$6:$G$36,5,0)</f>
        <v>0</v>
      </c>
      <c r="G32" s="5">
        <f t="shared" si="0"/>
        <v>0</v>
      </c>
      <c r="H32" s="10" t="str">
        <f t="shared" si="1"/>
        <v>BANQUE</v>
      </c>
      <c r="I32" s="11">
        <v>1</v>
      </c>
      <c r="J32" s="11">
        <f t="shared" si="2"/>
        <v>30000</v>
      </c>
      <c r="K32" s="11"/>
      <c r="L32" s="6">
        <v>1</v>
      </c>
      <c r="M32" s="11">
        <f t="shared" si="3"/>
        <v>75000</v>
      </c>
      <c r="N32" s="6"/>
      <c r="O32" s="11">
        <f t="shared" si="4"/>
        <v>0</v>
      </c>
      <c r="P32" s="2">
        <f>VLOOKUP(A32,[9]TONTDEC22!$A$6:$R$31,12,0)</f>
        <v>0</v>
      </c>
      <c r="Q32" s="2">
        <f>VLOOKUP(A32,[10]TONTDEC22!$A$6:$P$21,10,0)</f>
        <v>0</v>
      </c>
      <c r="R32" s="2"/>
      <c r="S32" s="20">
        <f>395000+378000+27000</f>
        <v>800000</v>
      </c>
      <c r="T32" s="12" t="s">
        <v>8</v>
      </c>
      <c r="U32" s="17">
        <f t="shared" si="8"/>
        <v>905000</v>
      </c>
      <c r="V32" s="12"/>
      <c r="W32" s="12"/>
      <c r="X32" s="12"/>
      <c r="Y32" s="12"/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5"/>
        <v>0</v>
      </c>
      <c r="AR32" s="8">
        <f t="shared" si="6"/>
        <v>0</v>
      </c>
      <c r="AS32" s="13">
        <f t="shared" si="9"/>
        <v>7000</v>
      </c>
      <c r="AT32" s="29">
        <v>20000</v>
      </c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F32" s="29">
        <f t="shared" si="15"/>
        <v>120000</v>
      </c>
      <c r="BG32">
        <v>12</v>
      </c>
      <c r="BH32" s="15"/>
      <c r="BI32" s="15"/>
      <c r="BJ32" s="15"/>
      <c r="BK32" s="15"/>
      <c r="BL32" s="15"/>
      <c r="BM32" s="15"/>
    </row>
    <row r="33" spans="1:68" ht="18.75" x14ac:dyDescent="0.3">
      <c r="A33" s="1" t="s">
        <v>39</v>
      </c>
      <c r="B33" s="1" t="str">
        <f>VLOOKUP(A33,[6]LISTADHERENT!A$5:H$60,3,0)</f>
        <v>TCHOUAMOU MATHIEU</v>
      </c>
      <c r="C33" s="5">
        <f t="shared" si="7"/>
        <v>0</v>
      </c>
      <c r="D33" s="9">
        <f>VLOOKUP(A33,[7]HISTOBQUEDEC22!$A$6:$G$36,3,0)</f>
        <v>1030000</v>
      </c>
      <c r="E33" s="9">
        <f>VLOOKUP(A33,[7]HISTOBQUEDEC22!$A$6:$G$36,4,0)</f>
        <v>0</v>
      </c>
      <c r="F33" s="9">
        <f>VLOOKUP(A33,[7]HISTOBQUEDEC22!$A$6:$G$36,5,0)</f>
        <v>0</v>
      </c>
      <c r="G33" s="5">
        <f t="shared" si="0"/>
        <v>0</v>
      </c>
      <c r="H33" s="10" t="str">
        <f t="shared" si="1"/>
        <v>BANQUE</v>
      </c>
      <c r="I33" s="11">
        <v>1</v>
      </c>
      <c r="J33" s="11">
        <f t="shared" si="2"/>
        <v>30000</v>
      </c>
      <c r="K33" s="11"/>
      <c r="L33" s="6"/>
      <c r="M33" s="11">
        <f t="shared" si="3"/>
        <v>0</v>
      </c>
      <c r="N33" s="6"/>
      <c r="O33" s="11">
        <f t="shared" si="4"/>
        <v>0</v>
      </c>
      <c r="P33" s="2">
        <f>VLOOKUP(A33,[9]TONTDEC22!$A$6:$R$31,12,0)</f>
        <v>0</v>
      </c>
      <c r="Q33" s="2"/>
      <c r="R33" s="2"/>
      <c r="S33" s="20">
        <v>1000000</v>
      </c>
      <c r="T33" s="12" t="s">
        <v>8</v>
      </c>
      <c r="U33" s="17">
        <f t="shared" si="8"/>
        <v>1030000</v>
      </c>
      <c r="V33" s="12"/>
      <c r="W33" s="12"/>
      <c r="X33" s="12"/>
      <c r="Y33" s="12"/>
      <c r="Z33" s="12">
        <v>1000000</v>
      </c>
      <c r="AA33" s="12" t="s">
        <v>8</v>
      </c>
      <c r="AB33" s="12"/>
      <c r="AC33" s="12"/>
      <c r="AD33" s="12"/>
      <c r="AE33" s="12"/>
      <c r="AF33" s="12"/>
      <c r="AG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5"/>
        <v>0</v>
      </c>
      <c r="AR33" s="8">
        <f t="shared" si="6"/>
        <v>0</v>
      </c>
      <c r="AS33" s="13">
        <f t="shared" si="9"/>
        <v>7000</v>
      </c>
      <c r="AT33" s="29">
        <v>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970000</v>
      </c>
      <c r="BA33" s="58"/>
      <c r="BB33" s="58"/>
      <c r="BC33" s="15"/>
      <c r="BD33" s="57">
        <f t="shared" si="14"/>
        <v>970000</v>
      </c>
      <c r="BF33" s="29">
        <f t="shared" si="15"/>
        <v>30000</v>
      </c>
      <c r="BG33">
        <v>3</v>
      </c>
      <c r="BH33" s="15"/>
      <c r="BI33" s="15"/>
      <c r="BJ33" s="15"/>
      <c r="BK33" s="15"/>
      <c r="BL33" s="15"/>
      <c r="BM33" s="15"/>
      <c r="BN33" s="62" t="s">
        <v>143</v>
      </c>
      <c r="BP33" s="62">
        <f>SUM(BP30:BP32)</f>
        <v>0</v>
      </c>
    </row>
    <row r="34" spans="1:68" ht="18.75" x14ac:dyDescent="0.3">
      <c r="A34" s="1" t="s">
        <v>40</v>
      </c>
      <c r="B34" s="1" t="str">
        <f>VLOOKUP(A34,[6]LISTADHERENT!A$5:H$60,3,0)</f>
        <v>TIEYAM ERNEST</v>
      </c>
      <c r="C34" s="5">
        <f t="shared" si="7"/>
        <v>0</v>
      </c>
      <c r="D34" s="9">
        <f>VLOOKUP(A34,[7]HISTOBQUEDEC22!$A$6:$G$36,3,0)</f>
        <v>0</v>
      </c>
      <c r="E34" s="9">
        <f>VLOOKUP(A34,[7]HISTOBQUEDEC22!$A$6:$G$36,4,0)</f>
        <v>0</v>
      </c>
      <c r="F34" s="9">
        <f>VLOOKUP(A34,[7]HISTOBQUEDEC22!$A$6:$G$36,5,0)</f>
        <v>0</v>
      </c>
      <c r="G34" s="5">
        <f t="shared" si="0"/>
        <v>0</v>
      </c>
      <c r="H34" s="10" t="str">
        <f t="shared" si="1"/>
        <v>ECHEC</v>
      </c>
      <c r="I34" s="11">
        <v>0</v>
      </c>
      <c r="J34" s="11">
        <f t="shared" si="2"/>
        <v>0</v>
      </c>
      <c r="K34" s="11"/>
      <c r="L34" s="6"/>
      <c r="M34" s="11">
        <f t="shared" si="3"/>
        <v>0</v>
      </c>
      <c r="N34" s="6">
        <v>0</v>
      </c>
      <c r="O34" s="11">
        <f t="shared" si="4"/>
        <v>0</v>
      </c>
      <c r="P34" s="2"/>
      <c r="Q34" s="2"/>
      <c r="R34" s="2"/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5"/>
        <v>0</v>
      </c>
      <c r="AR34" s="8">
        <f t="shared" si="6"/>
        <v>0</v>
      </c>
      <c r="AS34" s="13">
        <f>IF(H34="ECHEC",0,(J34+K34))</f>
        <v>0</v>
      </c>
      <c r="AT34" s="29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F34" s="29">
        <f t="shared" si="15"/>
        <v>0</v>
      </c>
      <c r="BG34">
        <v>0</v>
      </c>
      <c r="BH34" s="15"/>
      <c r="BI34" s="15"/>
      <c r="BJ34" s="15"/>
      <c r="BK34" s="15"/>
      <c r="BL34" s="15"/>
      <c r="BM34" s="15"/>
    </row>
    <row r="35" spans="1:68" ht="18.75" x14ac:dyDescent="0.3">
      <c r="A35" s="1" t="s">
        <v>41</v>
      </c>
      <c r="B35" s="1" t="str">
        <f>VLOOKUP(A35,[6]LISTADHERENT!A$5:H$60,3,0)</f>
        <v>YEPMOU JEAN JACQUES</v>
      </c>
      <c r="C35" s="5">
        <f t="shared" si="7"/>
        <v>0</v>
      </c>
      <c r="D35" s="9">
        <f>VLOOKUP(A35,[7]HISTOBQUEDEC22!$A$6:$G$36,3,0)</f>
        <v>1041250</v>
      </c>
      <c r="E35" s="9">
        <f>VLOOKUP(A35,[7]HISTOBQUEDEC22!$A$6:$G$36,4,0)</f>
        <v>0</v>
      </c>
      <c r="F35" s="9">
        <f>VLOOKUP(A35,[7]HISTOBQUEDEC22!$A$6:$G$36,5,0)</f>
        <v>0</v>
      </c>
      <c r="G35" s="5">
        <f t="shared" si="0"/>
        <v>0</v>
      </c>
      <c r="H35" s="10" t="str">
        <f t="shared" si="1"/>
        <v>BANQUE</v>
      </c>
      <c r="I35" s="11">
        <v>1</v>
      </c>
      <c r="J35" s="11">
        <f t="shared" si="2"/>
        <v>30000</v>
      </c>
      <c r="K35" s="11"/>
      <c r="L35" s="6"/>
      <c r="M35" s="11">
        <f t="shared" si="3"/>
        <v>0</v>
      </c>
      <c r="N35" s="6"/>
      <c r="O35" s="11">
        <f t="shared" si="4"/>
        <v>0</v>
      </c>
      <c r="P35" s="2">
        <f>VLOOKUP(A35,[9]TONTDEC22!$A$6:$R$31,12,0)</f>
        <v>0</v>
      </c>
      <c r="Q35" s="2"/>
      <c r="R35" s="2"/>
      <c r="S35" s="20">
        <v>1011250</v>
      </c>
      <c r="T35" s="12" t="s">
        <v>8</v>
      </c>
      <c r="U35" s="17">
        <f t="shared" si="8"/>
        <v>1041250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5"/>
        <v>0</v>
      </c>
      <c r="AR35" s="8">
        <f t="shared" si="6"/>
        <v>0</v>
      </c>
      <c r="AS35" s="13">
        <f t="shared" si="9"/>
        <v>7000</v>
      </c>
      <c r="AT35" s="29">
        <v>20000</v>
      </c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F35" s="29">
        <f t="shared" si="15"/>
        <v>0</v>
      </c>
      <c r="BG35">
        <v>0</v>
      </c>
      <c r="BH35" s="15"/>
      <c r="BI35" s="15"/>
      <c r="BJ35" s="15"/>
      <c r="BK35" s="15"/>
      <c r="BL35" s="15"/>
      <c r="BM35" s="15"/>
      <c r="BN35" t="s">
        <v>127</v>
      </c>
      <c r="BO35" t="s">
        <v>127</v>
      </c>
      <c r="BP35" s="6"/>
    </row>
    <row r="36" spans="1:68" ht="18.75" x14ac:dyDescent="0.3">
      <c r="A36" s="1" t="s">
        <v>42</v>
      </c>
      <c r="B36" s="1" t="str">
        <f>VLOOKUP(A36,[6]LISTADHERENT!A$5:H$60,3,0)</f>
        <v>YOUMBI EMMANUEL</v>
      </c>
      <c r="C36" s="5">
        <f t="shared" si="7"/>
        <v>0</v>
      </c>
      <c r="D36" s="9">
        <f>VLOOKUP(A36,[7]HISTOBQUEDEC22!$A$6:$G$36,3,0)</f>
        <v>280000</v>
      </c>
      <c r="E36" s="9">
        <f>VLOOKUP(A36,[7]HISTOBQUEDEC22!$A$6:$G$36,4,0)</f>
        <v>0</v>
      </c>
      <c r="F36" s="9">
        <f>VLOOKUP(A36,[7]HISTOBQUEDEC22!$A$6:$G$36,5,0)</f>
        <v>0</v>
      </c>
      <c r="G36" s="5">
        <f t="shared" si="0"/>
        <v>0</v>
      </c>
      <c r="H36" s="10" t="str">
        <f t="shared" si="1"/>
        <v>BANQUE</v>
      </c>
      <c r="I36" s="11">
        <v>1</v>
      </c>
      <c r="J36" s="11">
        <f t="shared" si="2"/>
        <v>30000</v>
      </c>
      <c r="K36" s="11"/>
      <c r="L36" s="6">
        <v>2</v>
      </c>
      <c r="M36" s="11">
        <f t="shared" si="3"/>
        <v>150000</v>
      </c>
      <c r="N36" s="6">
        <v>1</v>
      </c>
      <c r="O36" s="11">
        <f t="shared" si="4"/>
        <v>100000</v>
      </c>
      <c r="P36" s="2">
        <f>VLOOKUP(A36,[9]TONTDEC22!$A$6:$R$31,12,0)</f>
        <v>0</v>
      </c>
      <c r="Q36" s="2">
        <f>VLOOKUP(A36,[10]TONTDEC22!$A$6:$P$21,10,0)</f>
        <v>0</v>
      </c>
      <c r="R36" s="2">
        <f>VLOOKUP(A36,[8]TONTDEC22!$A$6:$P$21,10,0)</f>
        <v>0</v>
      </c>
      <c r="S36" s="6"/>
      <c r="T36" s="12"/>
      <c r="U36" s="17">
        <f t="shared" si="8"/>
        <v>280000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5"/>
        <v>0</v>
      </c>
      <c r="AR36" s="8">
        <f t="shared" si="6"/>
        <v>0</v>
      </c>
      <c r="AS36" s="13">
        <f t="shared" si="9"/>
        <v>7000</v>
      </c>
      <c r="AT36" s="29">
        <v>20000</v>
      </c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F36" s="29">
        <f t="shared" si="15"/>
        <v>0</v>
      </c>
      <c r="BG36">
        <v>0</v>
      </c>
      <c r="BH36" s="15"/>
      <c r="BI36" s="15"/>
      <c r="BJ36" s="15"/>
      <c r="BK36" s="15"/>
      <c r="BL36" s="15"/>
      <c r="BM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AH38" si="16">SUM(C6:C37)</f>
        <v>420000</v>
      </c>
      <c r="D38" s="5">
        <f t="shared" si="16"/>
        <v>20433750</v>
      </c>
      <c r="E38" s="5">
        <f t="shared" si="16"/>
        <v>180500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26</v>
      </c>
      <c r="J38" s="5">
        <f t="shared" si="16"/>
        <v>780000</v>
      </c>
      <c r="K38" s="5">
        <f t="shared" si="16"/>
        <v>111000</v>
      </c>
      <c r="L38" s="5">
        <f t="shared" si="16"/>
        <v>20</v>
      </c>
      <c r="M38" s="5">
        <f t="shared" si="16"/>
        <v>1500000</v>
      </c>
      <c r="N38" s="5">
        <f t="shared" si="16"/>
        <v>13</v>
      </c>
      <c r="O38" s="5">
        <f t="shared" si="16"/>
        <v>1300000</v>
      </c>
      <c r="P38" s="5">
        <f t="shared" si="16"/>
        <v>41000</v>
      </c>
      <c r="Q38" s="5">
        <f t="shared" si="16"/>
        <v>38500</v>
      </c>
      <c r="R38" s="5">
        <f t="shared" si="16"/>
        <v>273500</v>
      </c>
      <c r="S38" s="5">
        <f t="shared" si="16"/>
        <v>16041250</v>
      </c>
      <c r="T38" s="5">
        <f t="shared" si="16"/>
        <v>0</v>
      </c>
      <c r="U38" s="5">
        <f t="shared" si="16"/>
        <v>20085250</v>
      </c>
      <c r="V38" s="5">
        <f t="shared" si="16"/>
        <v>0</v>
      </c>
      <c r="W38" s="5">
        <f t="shared" si="16"/>
        <v>0</v>
      </c>
      <c r="X38" s="5">
        <f t="shared" si="16"/>
        <v>0</v>
      </c>
      <c r="Y38" s="5">
        <f t="shared" si="16"/>
        <v>0</v>
      </c>
      <c r="Z38" s="5">
        <f t="shared" si="16"/>
        <v>15600000</v>
      </c>
      <c r="AA38" s="5">
        <f t="shared" si="16"/>
        <v>0</v>
      </c>
      <c r="AB38" s="5">
        <f t="shared" si="16"/>
        <v>0</v>
      </c>
      <c r="AC38" s="5">
        <f t="shared" si="16"/>
        <v>46000</v>
      </c>
      <c r="AD38" s="5">
        <f t="shared" si="16"/>
        <v>75000</v>
      </c>
      <c r="AE38" s="5">
        <f t="shared" si="16"/>
        <v>100000</v>
      </c>
      <c r="AF38" s="5">
        <f t="shared" si="16"/>
        <v>0</v>
      </c>
      <c r="AG38" s="5">
        <f t="shared" si="16"/>
        <v>0</v>
      </c>
      <c r="AH38" s="5">
        <f t="shared" si="16"/>
        <v>0</v>
      </c>
      <c r="AI38" s="5">
        <f t="shared" ref="AI38:BD38" si="17">SUM(AI6:AI37)</f>
        <v>0</v>
      </c>
      <c r="AJ38" s="5">
        <f t="shared" si="17"/>
        <v>0</v>
      </c>
      <c r="AK38" s="5">
        <f t="shared" si="17"/>
        <v>0</v>
      </c>
      <c r="AL38" s="5">
        <f t="shared" si="17"/>
        <v>0</v>
      </c>
      <c r="AM38" s="5">
        <f t="shared" si="17"/>
        <v>0</v>
      </c>
      <c r="AN38" s="5">
        <f t="shared" si="17"/>
        <v>0</v>
      </c>
      <c r="AO38" s="5">
        <f t="shared" si="17"/>
        <v>0</v>
      </c>
      <c r="AP38" s="5">
        <f t="shared" si="17"/>
        <v>0</v>
      </c>
      <c r="AQ38" s="5">
        <f t="shared" si="17"/>
        <v>0</v>
      </c>
      <c r="AR38" s="5">
        <f t="shared" si="17"/>
        <v>0</v>
      </c>
      <c r="AS38" s="5">
        <f t="shared" si="17"/>
        <v>293000</v>
      </c>
      <c r="AT38" s="5">
        <f t="shared" si="17"/>
        <v>540000</v>
      </c>
      <c r="AU38" s="5">
        <f t="shared" si="17"/>
        <v>0</v>
      </c>
      <c r="AV38" s="5">
        <f t="shared" si="17"/>
        <v>0</v>
      </c>
      <c r="AW38" s="5">
        <f t="shared" si="17"/>
        <v>554000</v>
      </c>
      <c r="AX38" s="5">
        <f t="shared" si="17"/>
        <v>1125000</v>
      </c>
      <c r="AY38" s="5">
        <f t="shared" si="17"/>
        <v>1200000</v>
      </c>
      <c r="AZ38" s="5">
        <f t="shared" si="17"/>
        <v>17287000</v>
      </c>
      <c r="BA38" s="5">
        <f t="shared" si="17"/>
        <v>0</v>
      </c>
      <c r="BB38" s="5">
        <f t="shared" si="17"/>
        <v>109000</v>
      </c>
      <c r="BC38" s="5">
        <f t="shared" si="17"/>
        <v>0</v>
      </c>
      <c r="BD38" s="5">
        <f t="shared" si="17"/>
        <v>17249000</v>
      </c>
      <c r="BF38" s="5">
        <f t="shared" ref="BF38:BM38" si="18">SUM(BF6:BF37)</f>
        <v>1268000</v>
      </c>
      <c r="BH38" s="5">
        <f t="shared" si="18"/>
        <v>6000</v>
      </c>
      <c r="BI38" s="5">
        <f t="shared" si="18"/>
        <v>0</v>
      </c>
      <c r="BJ38" s="5">
        <f t="shared" si="18"/>
        <v>0</v>
      </c>
      <c r="BK38" s="5">
        <f t="shared" si="18"/>
        <v>70000</v>
      </c>
      <c r="BL38" s="5">
        <f t="shared" si="18"/>
        <v>0</v>
      </c>
      <c r="BM38" s="5">
        <f t="shared" si="18"/>
        <v>0</v>
      </c>
      <c r="BN38" s="62" t="s">
        <v>143</v>
      </c>
      <c r="BP38" s="62">
        <f>SUM(BP35:BP37)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AW40" s="15"/>
      <c r="AX40" s="15"/>
      <c r="AY40" s="15"/>
      <c r="AZ40" s="16"/>
    </row>
    <row r="41" spans="1:68" ht="18.75" x14ac:dyDescent="0.3">
      <c r="B41" s="1"/>
      <c r="H41" s="1"/>
      <c r="AW41" s="15"/>
      <c r="AX41" s="15"/>
      <c r="AY41" s="15"/>
      <c r="AZ41" s="16"/>
    </row>
    <row r="42" spans="1:68" ht="18.75" x14ac:dyDescent="0.3">
      <c r="C42" s="3" t="s">
        <v>8</v>
      </c>
      <c r="D42" s="68"/>
      <c r="E42" s="68"/>
      <c r="F42" s="3" t="s">
        <v>9</v>
      </c>
      <c r="G42" s="68"/>
      <c r="H42" s="68"/>
      <c r="AI42" s="5"/>
      <c r="AV42" s="3"/>
      <c r="AW42" s="68"/>
      <c r="AX42" s="15"/>
      <c r="AY42" s="15"/>
      <c r="AZ42" s="16"/>
    </row>
    <row r="43" spans="1:68" ht="18.75" x14ac:dyDescent="0.3">
      <c r="B43" s="1" t="s">
        <v>75</v>
      </c>
      <c r="C43" s="1" t="s">
        <v>77</v>
      </c>
      <c r="D43" s="1" t="s">
        <v>76</v>
      </c>
      <c r="E43" s="1" t="s">
        <v>78</v>
      </c>
      <c r="F43" s="1" t="s">
        <v>76</v>
      </c>
      <c r="G43" s="1" t="s">
        <v>77</v>
      </c>
      <c r="H43" s="1" t="s">
        <v>78</v>
      </c>
      <c r="I43" s="1"/>
      <c r="J43" s="1"/>
      <c r="K43" s="1"/>
      <c r="AI43" s="5"/>
      <c r="AW43" s="15"/>
      <c r="AX43" s="15"/>
      <c r="AY43" s="15"/>
      <c r="AZ43" s="16"/>
    </row>
    <row r="44" spans="1:68" ht="18.75" x14ac:dyDescent="0.3">
      <c r="B44" s="1" t="s">
        <v>79</v>
      </c>
      <c r="AW44" s="15"/>
      <c r="AX44" s="15"/>
      <c r="AY44" s="15"/>
      <c r="AZ44" s="16"/>
    </row>
    <row r="45" spans="1:68" ht="18.75" x14ac:dyDescent="0.3">
      <c r="B45" s="1" t="s">
        <v>80</v>
      </c>
      <c r="C45" s="14">
        <f>AZ38</f>
        <v>17287000</v>
      </c>
      <c r="D45" s="9">
        <f>SUMIFS(D7:D38,H7:H38,"BANQUE")</f>
        <v>20333750</v>
      </c>
      <c r="F45" s="9">
        <f>E38</f>
        <v>180500</v>
      </c>
      <c r="G45" s="14"/>
      <c r="I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SUM(AZ7:AZ82)</f>
        <v>33368000</v>
      </c>
    </row>
  </sheetData>
  <autoFilter ref="A5:AF36"/>
  <mergeCells count="1">
    <mergeCell ref="B4:M4"/>
  </mergeCells>
  <dataValidations count="1">
    <dataValidation type="list" allowBlank="1" showInputMessage="1" showErrorMessage="1" sqref="T6:T36 AA6:AA36 AF6:AF36 AP6:AP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BP33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9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VLOOKUP(A6,[12]HISTOBQUEJANV23!$A$6:$G$44,3,0)</f>
        <v>175000</v>
      </c>
      <c r="E6" s="9">
        <f>VLOOKUP(A6,[12]HISTOBQUEJANV23!$A$6:$G$39,4,0)</f>
        <v>0</v>
      </c>
      <c r="F6" s="9">
        <f>VLOOKUP(A6,[12]HISTOBQUEJANV23!$A$6:$G$39,5,0)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9" ht="18.75" x14ac:dyDescent="0.3">
      <c r="A7" s="1" t="s">
        <v>162</v>
      </c>
      <c r="B7" s="1" t="str">
        <f>VLOOKUP(A7,[11]LISTADHERENT!A$5:H$39,3,0)</f>
        <v>BAKOP ACHILLE</v>
      </c>
      <c r="C7" s="9">
        <f t="shared" si="0"/>
        <v>0</v>
      </c>
      <c r="D7" s="9">
        <f>VLOOKUP(A7,[12]HISTOBQUEJANV23!$A$6:$G$44,3,0)</f>
        <v>0</v>
      </c>
      <c r="E7" s="9">
        <f>VLOOKUP(A7,[12]HISTOBQUEJANV23!$A$6:$G$39,4,0)</f>
        <v>104000</v>
      </c>
      <c r="F7" s="9">
        <f>VLOOKUP(A7,[12]HISTOBQUEJANV23!$A$6:$G$39,5,0)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9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VLOOKUP(A8,[12]HISTOBQUEJANV23!$A$6:$G$44,3,0)</f>
        <v>105000</v>
      </c>
      <c r="E8" s="9">
        <f>VLOOKUP(A8,[12]HISTOBQUEJANV23!$A$6:$G$39,4,0)</f>
        <v>10000</v>
      </c>
      <c r="F8" s="9">
        <f>VLOOKUP(A8,[12]HISTOBQUEJANV23!$A$6:$G$39,5,0)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9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VLOOKUP(A9,[12]HISTOBQUEJANV23!$A$6:$G$44,3,0)</f>
        <v>160000</v>
      </c>
      <c r="E9" s="9">
        <f>VLOOKUP(A9,[12]HISTOBQUEJANV23!$A$6:$G$39,4,0)</f>
        <v>0</v>
      </c>
      <c r="F9" s="9">
        <f>VLOOKUP(A9,[12]HISTOBQUEJANV23!$A$6:$G$39,5,0)+140000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  <c r="BQ9">
        <v>115000</v>
      </c>
    </row>
    <row r="10" spans="1:69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VLOOKUP(A10,[12]HISTOBQUEJANV23!$A$6:$G$44,3,0)</f>
        <v>40000</v>
      </c>
      <c r="E10" s="9">
        <f>VLOOKUP(A10,[12]HISTOBQUEJANV23!$A$6:$G$39,4,0)</f>
        <v>0</v>
      </c>
      <c r="F10" s="9">
        <f>VLOOKUP(A10,[12]HISTOBQUEJANV23!$A$6:$G$39,5,0)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9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VLOOKUP(A11,[12]HISTOBQUEJANV23!$A$6:$G$44,3,0)</f>
        <v>115000</v>
      </c>
      <c r="E11" s="9">
        <f>VLOOKUP(A11,[12]HISTOBQUEJANV23!$A$6:$G$39,4,0)</f>
        <v>0</v>
      </c>
      <c r="F11" s="9">
        <f>VLOOKUP(A11,[12]HISTOBQUEJANV23!$A$6:$G$39,5,0)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9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VLOOKUP(A12,[12]HISTOBQUEJANV23!$A$6:$G$44,3,0)</f>
        <v>320000</v>
      </c>
      <c r="E12" s="9">
        <f>VLOOKUP(A12,[12]HISTOBQUEJANV23!$A$6:$G$39,4,0)</f>
        <v>0</v>
      </c>
      <c r="F12" s="9">
        <f>VLOOKUP(A12,[12]HISTOBQUEJANV23!$A$6:$G$39,5,0)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9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VLOOKUP(A13,[12]HISTOBQUEJANV23!$A$6:$G$44,3,0)</f>
        <v>40000</v>
      </c>
      <c r="E13" s="9">
        <f>VLOOKUP(A13,[12]HISTOBQUEJANV23!$A$6:$G$39,4,0)</f>
        <v>0</v>
      </c>
      <c r="F13" s="9">
        <f>VLOOKUP(A13,[12]HISTOBQUEJANV23!$A$6:$G$39,5,0)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9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VLOOKUP(A14,[12]HISTOBQUEJANV23!$A$6:$G$44,3,0)</f>
        <v>40000</v>
      </c>
      <c r="E14" s="9">
        <f>VLOOKUP(A14,[12]HISTOBQUEJANV23!$A$6:$G$39,4,0)</f>
        <v>0</v>
      </c>
      <c r="F14" s="9">
        <f>VLOOKUP(A14,[12]HISTOBQUEJANV23!$A$6:$G$39,5,0)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9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VLOOKUP(A15,[12]HISTOBQUEJANV23!$A$6:$G$44,3,0)</f>
        <v>115000</v>
      </c>
      <c r="E15" s="9">
        <f>VLOOKUP(A15,[12]HISTOBQUEJANV23!$A$6:$G$39,4,0)</f>
        <v>0</v>
      </c>
      <c r="F15" s="9">
        <f>VLOOKUP(A15,[12]HISTOBQUEJANV23!$A$6:$G$39,5,0)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VLOOKUP(A16,[12]HISTOBQUEJANV23!$A$6:$G$44,3,0)</f>
        <v>250000</v>
      </c>
      <c r="E16" s="9">
        <f>VLOOKUP(A16,[12]HISTOBQUEJANV23!$A$6:$G$39,4,0)</f>
        <v>0</v>
      </c>
      <c r="F16" s="9">
        <f>VLOOKUP(A16,[12]HISTOBQUEJANV23!$A$6:$G$39,5,0)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74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VLOOKUP(A17,[12]HISTOBQUEJANV23!$A$6:$G$44,3,0)</f>
        <v>140000</v>
      </c>
      <c r="E17" s="9">
        <f>VLOOKUP(A17,[12]HISTOBQUEJANV23!$A$6:$G$39,4,0)</f>
        <v>0</v>
      </c>
      <c r="F17" s="9">
        <f>VLOOKUP(A17,[12]HISTOBQUEJANV23!$A$6:$G$39,5,0)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VLOOKUP(A18,[12]HISTOBQUEJANV23!$A$6:$G$44,3,0)</f>
        <v>180000</v>
      </c>
      <c r="E18" s="9">
        <f>VLOOKUP(A18,[12]HISTOBQUEJANV23!$A$6:$G$39,4,0)</f>
        <v>35000</v>
      </c>
      <c r="F18" s="9">
        <f>VLOOKUP(A18,[12]HISTOBQUEJANV23!$A$6:$G$39,5,0)+70000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  <c r="BQ18">
        <v>1075000</v>
      </c>
      <c r="BS18">
        <v>100000</v>
      </c>
      <c r="BT18" t="s">
        <v>127</v>
      </c>
      <c r="BU18">
        <v>257000</v>
      </c>
      <c r="BV18" t="s">
        <v>177</v>
      </c>
    </row>
    <row r="19" spans="1:74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VLOOKUP(A19,[12]HISTOBQUEJANV23!$A$6:$G$44,3,0)</f>
        <v>40000</v>
      </c>
      <c r="E19" s="9">
        <f>VLOOKUP(A19,[12]HISTOBQUEJANV23!$A$6:$G$39,4,0)</f>
        <v>0</v>
      </c>
      <c r="F19" s="9">
        <f>VLOOKUP(A19,[12]HISTOBQUEJANV23!$A$6:$G$39,5,0)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  <c r="BQ19">
        <v>100000</v>
      </c>
      <c r="BR19" t="s">
        <v>174</v>
      </c>
    </row>
    <row r="20" spans="1:74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VLOOKUP(A20,[12]HISTOBQUEJANV23!$A$6:$G$44,3,0)</f>
        <v>215000</v>
      </c>
      <c r="E20" s="9">
        <f>VLOOKUP(A20,[12]HISTOBQUEJANV23!$A$6:$G$39,4,0)</f>
        <v>0</v>
      </c>
      <c r="F20" s="9">
        <f>VLOOKUP(A20,[12]HISTOBQUEJANV23!$A$6:$G$39,5,0)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176</v>
      </c>
      <c r="BS20">
        <v>986000</v>
      </c>
      <c r="BT20" t="s">
        <v>173</v>
      </c>
    </row>
    <row r="21" spans="1:74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VLOOKUP(A21,[12]HISTOBQUEJANV23!$A$6:$G$44,3,0)</f>
        <v>40000</v>
      </c>
      <c r="E21" s="9">
        <f>VLOOKUP(A21,[12]HISTOBQUEJANV23!$A$6:$G$39,4,0)</f>
        <v>0</v>
      </c>
      <c r="F21" s="9">
        <f>VLOOKUP(A21,[12]HISTOBQUEJANV23!$A$6:$G$39,5,0)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VLOOKUP(A22,[12]HISTOBQUEJANV23!$A$6:$G$44,3,0)</f>
        <v>115000</v>
      </c>
      <c r="E22" s="9">
        <f>VLOOKUP(A22,[12]HISTOBQUEJANV23!$A$6:$G$39,4,0)</f>
        <v>0</v>
      </c>
      <c r="F22" s="9">
        <f>VLOOKUP(A22,[12]HISTOBQUEJANV23!$A$6:$G$39,5,0)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74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VLOOKUP(A23,[12]HISTOBQUEJANV23!$A$6:$G$44,3,0)</f>
        <v>250000</v>
      </c>
      <c r="E23" s="9">
        <f>VLOOKUP(A23,[12]HISTOBQUEJANV23!$A$6:$G$39,4,0)</f>
        <v>0</v>
      </c>
      <c r="F23" s="9">
        <f>VLOOKUP(A23,[12]HISTOBQUEJANV23!$A$6:$G$39,5,0)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VLOOKUP(A24,[12]HISTOBQUEJANV23!$A$6:$G$44,3,0)</f>
        <v>210000</v>
      </c>
      <c r="E24" s="9">
        <f>VLOOKUP(A24,[12]HISTOBQUEJANV23!$A$6:$G$39,4,0)</f>
        <v>5000</v>
      </c>
      <c r="F24" s="9">
        <f>VLOOKUP(A24,[12]HISTOBQUEJANV23!$A$6:$G$39,5,0)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  <c r="BQ24">
        <v>1075000</v>
      </c>
    </row>
    <row r="25" spans="1:74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VLOOKUP(A25,[12]HISTOBQUEJANV23!$A$6:$G$44,3,0)</f>
        <v>280000</v>
      </c>
      <c r="E25" s="9">
        <f>VLOOKUP(A25,[12]HISTOBQUEJANV23!$A$6:$G$39,4,0)</f>
        <v>10000</v>
      </c>
      <c r="F25" s="9">
        <f>VLOOKUP(A25,[12]HISTOBQUEJANV23!$A$6:$G$39,5,0)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126</v>
      </c>
      <c r="BO25" t="s">
        <v>144</v>
      </c>
      <c r="BQ25">
        <v>200000</v>
      </c>
      <c r="BR25" t="s">
        <v>173</v>
      </c>
    </row>
    <row r="26" spans="1:74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VLOOKUP(A26,[12]HISTOBQUEJANV23!$A$6:$G$44,3,0)</f>
        <v>0</v>
      </c>
      <c r="E26" s="9">
        <f>VLOOKUP(A26,[12]HISTOBQUEJANV23!$A$6:$G$39,4,0)</f>
        <v>40000</v>
      </c>
      <c r="F26" s="9">
        <f>VLOOKUP(A26,[12]HISTOBQUEJANV23!$A$6:$G$39,5,0)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  <c r="BQ26">
        <v>795000</v>
      </c>
      <c r="BR26" t="s">
        <v>174</v>
      </c>
    </row>
    <row r="27" spans="1:74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VLOOKUP(A27,[12]HISTOBQUEJANV23!$A$6:$G$44,3,0)</f>
        <v>0</v>
      </c>
      <c r="E27" s="9">
        <f>VLOOKUP(A27,[12]HISTOBQUEJANV23!$A$6:$G$39,4,0)</f>
        <v>65000</v>
      </c>
      <c r="F27" s="9">
        <f>VLOOKUP(A27,[12]HISTOBQUEJANV23!$A$6:$G$39,5,0)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175</v>
      </c>
    </row>
    <row r="28" spans="1:74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VLOOKUP(A28,[12]HISTOBQUEJANV23!$A$6:$G$44,3,0)</f>
        <v>115000</v>
      </c>
      <c r="E28" s="9">
        <f>VLOOKUP(A28,[12]HISTOBQUEJANV23!$A$6:$G$39,4,0)</f>
        <v>0</v>
      </c>
      <c r="F28" s="9">
        <f>VLOOKUP(A28,[12]HISTOBQUEJANV23!$A$6:$G$39,5,0)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74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VLOOKUP(A29,[12]HISTOBQUEJANV23!$A$6:$G$44,3,0)</f>
        <v>0</v>
      </c>
      <c r="E29" s="9">
        <f>VLOOKUP(A29,[12]HISTOBQUEJANV23!$A$6:$G$39,4,0)</f>
        <v>65000</v>
      </c>
      <c r="F29" s="9">
        <f>VLOOKUP(A29,[12]HISTOBQUEJANV23!$A$6:$G$39,5,0)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VLOOKUP(A30,[12]HISTOBQUEJANV23!$A$6:$G$44,3,0)</f>
        <v>0</v>
      </c>
      <c r="E30" s="9">
        <f>VLOOKUP(A30,[12]HISTOBQUEJANV23!$A$6:$G$39,4,0)</f>
        <v>115000</v>
      </c>
      <c r="F30" s="9">
        <f>VLOOKUP(A30,[12]HISTOBQUEJANV23!$A$6:$G$39,5,0)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74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VLOOKUP(A31,[12]HISTOBQUEJANV23!$A$6:$G$44,3,0)</f>
        <v>250000</v>
      </c>
      <c r="E31" s="9">
        <f>VLOOKUP(A31,[12]HISTOBQUEJANV23!$A$6:$G$39,4,0)</f>
        <v>0</v>
      </c>
      <c r="F31" s="9">
        <f>VLOOKUP(A31,[12]HISTOBQUEJANV23!$A$6:$G$39,5,0)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74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VLOOKUP(A32,[12]HISTOBQUEJANV23!$A$6:$G$44,3,0)</f>
        <v>115000</v>
      </c>
      <c r="E32" s="9">
        <f>VLOOKUP(A32,[12]HISTOBQUEJANV23!$A$6:$G$39,4,0)</f>
        <v>0</v>
      </c>
      <c r="F32" s="9">
        <f>VLOOKUP(A32,[12]HISTOBQUEJANV23!$A$6:$G$39,5,0)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VLOOKUP(A33,[12]HISTOBQUEJANV23!$A$6:$G$44,3,0)</f>
        <v>0</v>
      </c>
      <c r="E33" s="9">
        <f>VLOOKUP(A33,[12]HISTOBQUEJANV23!$A$6:$G$39,4,0)</f>
        <v>40000</v>
      </c>
      <c r="F33" s="9">
        <f>VLOOKUP(A33,[12]HISTOBQUEJANV23!$A$6:$G$39,5,0)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69">
        <f t="shared" si="0"/>
        <v>35000</v>
      </c>
      <c r="D34" s="9">
        <f>VLOOKUP(A34,[12]HISTOBQUEJANV23!$A$6:$G$44,3,0)</f>
        <v>0</v>
      </c>
      <c r="E34" s="9">
        <f>VLOOKUP(A34,[12]HISTOBQUEJANV23!$A$6:$G$39,4,0)</f>
        <v>100000</v>
      </c>
      <c r="F34" s="9">
        <f>VLOOKUP(A34,[12]HISTOBQUEJANV23!$A$6:$G$39,5,0)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VLOOKUP(A35,[12]HISTOBQUEJANV23!$A$6:$G$44,3,0)</f>
        <v>40000</v>
      </c>
      <c r="E35" s="9">
        <f>VLOOKUP(A35,[12]HISTOBQUEJANV23!$A$6:$G$39,4,0)</f>
        <v>0</v>
      </c>
      <c r="F35" s="9">
        <f>VLOOKUP(A35,[12]HISTOBQUEJANV23!$A$6:$G$39,5,0)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VLOOKUP(A36,[12]HISTOBQUEJANV23!$A$6:$G$44,3,0)</f>
        <v>290000</v>
      </c>
      <c r="E36" s="9">
        <f>VLOOKUP(A36,[12]HISTOBQUEJANV23!$A$6:$G$39,4,0)</f>
        <v>0</v>
      </c>
      <c r="F36" s="9">
        <f>VLOOKUP(A36,[12]HISTOBQUEJANV23!$A$6:$G$39,5,0)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135</v>
      </c>
      <c r="Z40" s="12">
        <v>428899</v>
      </c>
      <c r="AW40" s="15"/>
      <c r="AX40" s="15"/>
      <c r="AY40" s="15"/>
      <c r="AZ40" s="16"/>
      <c r="BA40">
        <v>619000</v>
      </c>
      <c r="BD40" t="s">
        <v>178</v>
      </c>
      <c r="BE40">
        <v>5024000</v>
      </c>
    </row>
    <row r="41" spans="1:68" ht="18.75" x14ac:dyDescent="0.3">
      <c r="B41" s="21" t="s">
        <v>158</v>
      </c>
      <c r="H41" s="1"/>
      <c r="I41" s="1"/>
      <c r="Y41" t="s">
        <v>136</v>
      </c>
      <c r="Z41" s="12">
        <v>805000</v>
      </c>
      <c r="AW41" s="15"/>
      <c r="AX41" s="15"/>
      <c r="AY41" s="15"/>
      <c r="AZ41" s="16">
        <v>5024000</v>
      </c>
      <c r="BC41" t="s">
        <v>180</v>
      </c>
      <c r="BD41" s="70">
        <v>257000</v>
      </c>
      <c r="BE41" s="6">
        <f>+BE40-BE38</f>
        <v>118000</v>
      </c>
      <c r="BN41" t="s">
        <v>130</v>
      </c>
      <c r="BO41" t="s">
        <v>51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137</v>
      </c>
      <c r="Z42" s="12">
        <v>243805</v>
      </c>
      <c r="AI42" s="5"/>
      <c r="AV42" s="3"/>
      <c r="AW42" s="63"/>
      <c r="AX42" s="15"/>
      <c r="AY42" s="15"/>
      <c r="AZ42" s="16"/>
      <c r="BN42" t="s">
        <v>172</v>
      </c>
      <c r="BP42">
        <v>257000</v>
      </c>
    </row>
    <row r="43" spans="1:68" ht="18.75" x14ac:dyDescent="0.3">
      <c r="B43" s="1" t="s">
        <v>75</v>
      </c>
      <c r="C43" s="1" t="s">
        <v>77</v>
      </c>
      <c r="D43" s="1" t="s">
        <v>76</v>
      </c>
      <c r="E43" s="1" t="s">
        <v>78</v>
      </c>
      <c r="F43" s="1" t="s">
        <v>76</v>
      </c>
      <c r="G43" s="1" t="s">
        <v>77</v>
      </c>
      <c r="H43" s="1" t="s">
        <v>78</v>
      </c>
      <c r="I43" s="1"/>
      <c r="J43" s="1"/>
      <c r="K43" s="1"/>
      <c r="Y43" t="s">
        <v>138</v>
      </c>
      <c r="Z43" s="12">
        <v>51454</v>
      </c>
      <c r="AI43" s="5"/>
      <c r="AW43" s="15"/>
      <c r="AX43" s="15"/>
      <c r="AY43" s="15"/>
      <c r="AZ43" s="16"/>
      <c r="BN43" s="62" t="s">
        <v>143</v>
      </c>
      <c r="BP43" s="62">
        <f>SUM(BP40:BP42)</f>
        <v>257000</v>
      </c>
    </row>
    <row r="44" spans="1:68" ht="18.75" x14ac:dyDescent="0.3">
      <c r="B44" s="1" t="s">
        <v>79</v>
      </c>
      <c r="AW44" s="15"/>
      <c r="AX44" s="15"/>
      <c r="AY44" s="15"/>
      <c r="AZ44" s="16"/>
    </row>
    <row r="45" spans="1:68" ht="18.75" x14ac:dyDescent="0.3">
      <c r="B45" s="1" t="s">
        <v>80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BO27" activePane="bottomRight" state="frozen"/>
      <selection pane="topRight" activeCell="E1" sqref="E1"/>
      <selection pane="bottomLeft" activeCell="A6" sqref="A6"/>
      <selection pane="bottomRight" activeCell="A30" sqref="A30:XFD3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186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VLOOKUP(A6,[12]HISTOBQUEFEV23!$A$6:$G$44,3,0)</f>
        <v>175000</v>
      </c>
      <c r="E6" s="9">
        <f>VLOOKUP(A6,[12]HISTOBQUEFEV23!$A$6:$G$39,4,0)</f>
        <v>0</v>
      </c>
      <c r="F6" s="9">
        <f>VLOOKUP(A6,[12]HISTOBQUEFEV23!$A$6:$G$39,5,0)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VLOOKUP($A6,[14]TONTFEV23!$A$6:$P$21,10,0)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VLOOKUP(A7,[12]HISTOBQUEFEV23!$A$6:$G$44,3,0)</f>
        <v>0</v>
      </c>
      <c r="E7" s="9">
        <f>VLOOKUP(A7,[12]HISTOBQUEFEV23!$A$6:$G$39,4,0)</f>
        <v>40000</v>
      </c>
      <c r="F7" s="9">
        <f>VLOOKUP(A7,[12]HISTOBQUEFEV23!$A$6:$G$39,5,0)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VLOOKUP(A8,[12]HISTOBQUEFEV23!$A$6:$G$44,3,0)</f>
        <v>615000</v>
      </c>
      <c r="E8" s="9">
        <f>VLOOKUP(A8,[12]HISTOBQUEFEV23!$A$6:$G$39,4,0)</f>
        <v>0</v>
      </c>
      <c r="F8" s="9">
        <f>VLOOKUP(A8,[12]HISTOBQUEFEV23!$A$6:$G$39,5,0)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118</v>
      </c>
      <c r="BO8" t="s">
        <v>115</v>
      </c>
      <c r="BP8" s="6">
        <v>27500</v>
      </c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VLOOKUP(A9,[12]HISTOBQUEFEV23!$A$6:$G$44,3,0)</f>
        <v>120000</v>
      </c>
      <c r="E9" s="9">
        <f>VLOOKUP(A9,[12]HISTOBQUEFEV23!$A$6:$G$39,4,0)</f>
        <v>80000</v>
      </c>
      <c r="F9" s="9">
        <f>VLOOKUP(A9,[12]HISTOBQUEFEV23!$A$6:$G$39,5,0)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VLOOKUP($A9,[15]TONTFEV23!$A$6:$P$35,12,0)</f>
        <v>0</v>
      </c>
      <c r="Q9" s="2"/>
      <c r="R9" s="2">
        <f>VLOOKUP($A9,[14]TONTFEV23!$A$6:$P$21,10,0)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VLOOKUP(A10,[12]HISTOBQUEFEV23!$A$6:$G$44,3,0)</f>
        <v>103000</v>
      </c>
      <c r="E10" s="9">
        <f>VLOOKUP(A10,[12]HISTOBQUEFEV23!$A$6:$G$39,4,0)</f>
        <v>0</v>
      </c>
      <c r="F10" s="9">
        <f>VLOOKUP(A10,[12]HISTOBQUEFEV23!$A$6:$G$39,5,0)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VLOOKUP(A11,[12]HISTOBQUEFEV23!$A$6:$G$44,3,0)</f>
        <v>177000</v>
      </c>
      <c r="E11" s="9">
        <f>VLOOKUP(A11,[12]HISTOBQUEFEV23!$A$6:$G$39,4,0)</f>
        <v>0</v>
      </c>
      <c r="F11" s="9">
        <f>VLOOKUP(A11,[12]HISTOBQUEFEV23!$A$6:$G$39,5,0)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>
        <v>35000</v>
      </c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VLOOKUP(A12,[12]HISTOBQUEFEV23!$A$6:$G$44,3,0)</f>
        <v>320000</v>
      </c>
      <c r="E12" s="9">
        <f>VLOOKUP(A12,[12]HISTOBQUEFEV23!$A$6:$G$39,4,0)</f>
        <v>0</v>
      </c>
      <c r="F12" s="9">
        <f>VLOOKUP(A12,[12]HISTOBQUEFEV23!$A$6:$G$39,5,0)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VLOOKUP($A12,[15]TONTFEV23!$A$6:$P$35,12,0)</f>
        <v>0</v>
      </c>
      <c r="Q12" s="2">
        <f>VLOOKUP($A12,[13]TONTFEV23!$A$7:$P$20,10,0)</f>
        <v>0</v>
      </c>
      <c r="R12" s="2">
        <f>VLOOKUP($A12,[14]TONTFEV23!$A$6:$P$21,10,0)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VLOOKUP(A13,[12]HISTOBQUEFEV23!$A$6:$G$44,3,0)</f>
        <v>0</v>
      </c>
      <c r="E13" s="9">
        <f>VLOOKUP(A13,[12]HISTOBQUEFEV23!$A$6:$G$39,4,0)</f>
        <v>40000</v>
      </c>
      <c r="F13" s="9">
        <f>VLOOKUP(A13,[12]HISTOBQUEFEV23!$A$6:$G$39,5,0)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VLOOKUP(A14,[12]HISTOBQUEFEV23!$A$6:$G$44,3,0)</f>
        <v>40000</v>
      </c>
      <c r="E14" s="9">
        <f>VLOOKUP(A14,[12]HISTOBQUEFEV23!$A$6:$G$39,4,0)</f>
        <v>0</v>
      </c>
      <c r="F14" s="9">
        <f>VLOOKUP(A14,[12]HISTOBQUEFEV23!$A$6:$G$39,5,0)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VLOOKUP(A15,[12]HISTOBQUEFEV23!$A$6:$G$44,3,0)</f>
        <v>115000</v>
      </c>
      <c r="E15" s="9">
        <f>VLOOKUP(A15,[12]HISTOBQUEFEV23!$A$6:$G$39,4,0)</f>
        <v>0</v>
      </c>
      <c r="F15" s="9">
        <f>VLOOKUP(A15,[12]HISTOBQUEFEV23!$A$6:$G$39,5,0)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VLOOKUP(A16,[12]HISTOBQUEFEV23!$A$6:$G$44,3,0)</f>
        <v>250000</v>
      </c>
      <c r="E16" s="9">
        <f>VLOOKUP(A16,[12]HISTOBQUEFEV23!$A$6:$G$39,4,0)</f>
        <v>0</v>
      </c>
      <c r="F16" s="9">
        <f>VLOOKUP(A16,[12]HISTOBQUEFEV23!$A$6:$G$39,5,0)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VLOOKUP($A16,[15]TONTFEV23!$A$6:$P$35,12,0)</f>
        <v>0</v>
      </c>
      <c r="Q16" s="2">
        <f>VLOOKUP($A16,[13]TONTFEV23!$A$7:$P$20,10,0)</f>
        <v>0</v>
      </c>
      <c r="R16" s="2">
        <f>VLOOKUP($A16,[14]TONTFEV23!$A$6:$P$21,10,0)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68500</v>
      </c>
    </row>
    <row r="17" spans="1:69" ht="18.75" x14ac:dyDescent="0.3">
      <c r="A17" s="1" t="s">
        <v>23</v>
      </c>
      <c r="B17" s="1" t="str">
        <f>VLOOKUP(A17,[11]LISTADHERENT!A$5:H$39,3,0)</f>
        <v>KOUAMOU MOISE</v>
      </c>
      <c r="C17" s="9">
        <f t="shared" si="0"/>
        <v>-70000</v>
      </c>
      <c r="D17" s="9">
        <f>VLOOKUP(A17,[12]HISTOBQUEFEV23!$A$6:$G$44,3,0)</f>
        <v>140000</v>
      </c>
      <c r="E17" s="9">
        <f>VLOOKUP(A17,[12]HISTOBQUEFEV23!$A$6:$G$39,4,0)</f>
        <v>0</v>
      </c>
      <c r="F17" s="9">
        <f>VLOOKUP(A17,[12]HISTOBQUEFEV23!$A$6:$G$39,5,0)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VLOOKUP($A17,[15]TONTFEV23!$A$6:$P$35,12,0)</f>
        <v>0</v>
      </c>
      <c r="Q17" s="2"/>
      <c r="R17" s="2">
        <f>VLOOKUP($A17,[14]TONTFEV23!$A$6:$P$21,10,0)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VLOOKUP(A18,[12]HISTOBQUEFEV23!$A$6:$G$44,3,0)</f>
        <v>51000</v>
      </c>
      <c r="E18" s="9">
        <f>VLOOKUP(A18,[12]HISTOBQUEFEV23!$A$6:$G$39,4,0)</f>
        <v>266000</v>
      </c>
      <c r="F18" s="9">
        <f>VLOOKUP(A18,[12]HISTOBQUEFEV23!$A$6:$G$39,5,0)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VLOOKUP($A18,[15]TONTFEV23!$A$6:$P$35,12,0)</f>
        <v>0</v>
      </c>
      <c r="Q18" s="2">
        <f>VLOOKUP($A18,[13]TONTFEV23!$A$7:$P$20,10,0)</f>
        <v>102000</v>
      </c>
      <c r="R18" s="2">
        <f>VLOOKUP($A18,[14]TONTFEV23!$A$6:$P$21,10,0)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188</v>
      </c>
      <c r="BO18" t="s">
        <v>46</v>
      </c>
      <c r="BP18" s="6">
        <v>200000</v>
      </c>
    </row>
    <row r="19" spans="1:69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VLOOKUP(A19,[12]HISTOBQUEFEV23!$A$6:$G$44,3,0)</f>
        <v>0</v>
      </c>
      <c r="E19" s="9">
        <f>VLOOKUP(A19,[12]HISTOBQUEFEV23!$A$6:$G$39,4,0)</f>
        <v>40000</v>
      </c>
      <c r="F19" s="9">
        <f>VLOOKUP(A19,[12]HISTOBQUEFEV23!$A$6:$G$39,5,0)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9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VLOOKUP(A20,[12]HISTOBQUEFEV23!$A$6:$G$44,3,0)</f>
        <v>107000</v>
      </c>
      <c r="E20" s="9">
        <f>VLOOKUP(A20,[12]HISTOBQUEFEV23!$A$6:$G$39,4,0)</f>
        <v>215000</v>
      </c>
      <c r="F20" s="9">
        <f>VLOOKUP(A20,[12]HISTOBQUEFEV23!$A$6:$G$39,5,0)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VLOOKUP($A20,[15]TONTFEV23!$A$6:$P$35,12,0)</f>
        <v>0</v>
      </c>
      <c r="Q20" s="2">
        <f>VLOOKUP($A20,[13]TONTFEV23!$A$7:$P$20,10,0)</f>
        <v>107000</v>
      </c>
      <c r="R20" s="2">
        <f>VLOOKUP($A20,[14]TONTFEV23!$A$6:$P$21,10,0)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VLOOKUP(A21,[12]HISTOBQUEFEV23!$A$6:$G$44,3,0)</f>
        <v>40000</v>
      </c>
      <c r="E21" s="9">
        <f>VLOOKUP(A21,[12]HISTOBQUEFEV23!$A$6:$G$39,4,0)</f>
        <v>0</v>
      </c>
      <c r="F21" s="9">
        <f>VLOOKUP(A21,[12]HISTOBQUEFEV23!$A$6:$G$39,5,0)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VLOOKUP(A22,[12]HISTOBQUEFEV23!$A$6:$G$44,3,0)</f>
        <v>115000</v>
      </c>
      <c r="E22" s="9">
        <f>VLOOKUP(A22,[12]HISTOBQUEFEV23!$A$6:$G$39,4,0)</f>
        <v>0</v>
      </c>
      <c r="F22" s="9">
        <f>VLOOKUP(A22,[12]HISTOBQUEFEV23!$A$6:$G$39,5,0)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200000</v>
      </c>
    </row>
    <row r="23" spans="1:69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VLOOKUP(A23,[12]HISTOBQUEFEV23!$A$6:$G$44,3,0)</f>
        <v>250000</v>
      </c>
      <c r="E23" s="9">
        <f>VLOOKUP(A23,[12]HISTOBQUEFEV23!$A$6:$G$39,4,0)</f>
        <v>0</v>
      </c>
      <c r="F23" s="9">
        <f>VLOOKUP(A23,[12]HISTOBQUEFEV23!$A$6:$G$39,5,0)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VLOOKUP($A23,[15]TONTFEV23!$A$6:$P$35,12,0)</f>
        <v>0</v>
      </c>
      <c r="Q23" s="2"/>
      <c r="R23" s="2">
        <f>VLOOKUP($A23,[14]TONTFEV23!$A$6:$P$21,10,0)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VLOOKUP(A24,[12]HISTOBQUEFEV23!$A$6:$G$44,3,0)</f>
        <v>551000</v>
      </c>
      <c r="E24" s="9">
        <f>VLOOKUP(A24,[12]HISTOBQUEFEV23!$A$6:$G$39,4,0)</f>
        <v>0</v>
      </c>
      <c r="F24" s="9">
        <f>VLOOKUP(A24,[12]HISTOBQUEFEV23!$A$6:$G$39,5,0)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VLOOKUP($A24,[15]TONTFEV23!$A$6:$P$35,12,0)</f>
        <v>26000</v>
      </c>
      <c r="Q24" s="2">
        <f>VLOOKUP($A24,[13]TONTFEV23!$A$7:$P$20,10,0)</f>
        <v>102000</v>
      </c>
      <c r="R24" s="2">
        <f>VLOOKUP($A24,[14]TONTFEV23!$A$6:$P$21,10,0)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9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VLOOKUP(A25,[12]HISTOBQUEFEV23!$A$6:$G$44,3,0)</f>
        <v>451000</v>
      </c>
      <c r="E25" s="9">
        <f>VLOOKUP(A25,[12]HISTOBQUEFEV23!$A$6:$G$39,4,0)</f>
        <v>50000</v>
      </c>
      <c r="F25" s="9">
        <f>VLOOKUP(A25,[12]HISTOBQUEFEV23!$A$6:$G$39,5,0)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VLOOKUP($A25,[15]TONTFEV23!$A$6:$P$35,12,0)</f>
        <v>31000</v>
      </c>
      <c r="Q25" s="2">
        <f>VLOOKUP($A25,[13]TONTFEV23!$A$7:$P$20,10,0)</f>
        <v>102000</v>
      </c>
      <c r="R25" s="2">
        <f>VLOOKUP($A25,[14]TONTFEV23!$A$6:$P$21,10,0)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9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VLOOKUP(A26,[12]HISTOBQUEFEV23!$A$6:$G$44,3,0)</f>
        <v>0</v>
      </c>
      <c r="E26" s="9">
        <f>VLOOKUP(A26,[12]HISTOBQUEFEV23!$A$6:$G$39,4,0)</f>
        <v>102000</v>
      </c>
      <c r="F26" s="9">
        <f>VLOOKUP(A26,[12]HISTOBQUEFEV23!$A$6:$G$39,5,0)+1000000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</row>
    <row r="27" spans="1:69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VLOOKUP(A27,[12]HISTOBQUEFEV23!$A$6:$G$44,3,0)</f>
        <v>40000</v>
      </c>
      <c r="E27" s="9">
        <f>VLOOKUP(A27,[12]HISTOBQUEFEV23!$A$6:$G$39,4,0)</f>
        <v>0</v>
      </c>
      <c r="F27" s="9">
        <f>VLOOKUP(A27,[12]HISTOBQUEFEV23!$A$6:$G$39,5,0)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VLOOKUP(A28,[12]HISTOBQUEFEV23!$A$6:$G$44,3,0)</f>
        <v>115000</v>
      </c>
      <c r="E28" s="9">
        <f>VLOOKUP(A28,[12]HISTOBQUEFEV23!$A$6:$G$39,4,0)</f>
        <v>0</v>
      </c>
      <c r="F28" s="9">
        <f>VLOOKUP(A28,[12]HISTOBQUEFEV23!$A$6:$G$39,5,0)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69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VLOOKUP(A29,[12]HISTOBQUEFEV23!$A$6:$G$44,3,0)</f>
        <v>40000</v>
      </c>
      <c r="E29" s="9">
        <f>VLOOKUP(A29,[12]HISTOBQUEFEV23!$A$6:$G$39,4,0)</f>
        <v>0</v>
      </c>
      <c r="F29" s="9">
        <f>VLOOKUP(A29,[12]HISTOBQUEFEV23!$A$6:$G$39,5,0)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VLOOKUP(A30,[12]HISTOBQUEFEV23!$A$6:$G$44,3,0)</f>
        <v>115000</v>
      </c>
      <c r="E30" s="9">
        <f>VLOOKUP(A30,[12]HISTOBQUEFEV23!$A$6:$G$39,4,0)</f>
        <v>0</v>
      </c>
      <c r="F30" s="9">
        <f>VLOOKUP(A30,[12]HISTOBQUEFEV23!$A$6:$G$39,5,0)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>
        <v>560000</v>
      </c>
    </row>
    <row r="31" spans="1:69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VLOOKUP(A31,[12]HISTOBQUEFEV23!$A$6:$G$44,3,0)</f>
        <v>0</v>
      </c>
      <c r="E31" s="9">
        <f>VLOOKUP(A31,[12]HISTOBQUEFEV23!$A$6:$G$39,4,0)</f>
        <v>140000</v>
      </c>
      <c r="F31" s="9">
        <f>VLOOKUP(A31,[12]HISTOBQUEFEV23!$A$6:$G$39,5,0)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VLOOKUP($A31,[15]TONTFEV23!$A$6:$P$35,12,0)</f>
        <v>0</v>
      </c>
      <c r="Q31" s="2"/>
      <c r="R31" s="2">
        <f>VLOOKUP($A31,[14]TONTFEV23!$A$6:$P$21,10,0)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9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VLOOKUP(A32,[12]HISTOBQUEFEV23!$A$6:$G$44,3,0)</f>
        <v>115000</v>
      </c>
      <c r="E32" s="9">
        <f>VLOOKUP(A32,[12]HISTOBQUEFEV23!$A$6:$G$39,4,0)</f>
        <v>0</v>
      </c>
      <c r="F32" s="9">
        <f>VLOOKUP(A32,[12]HISTOBQUEFEV23!$A$6:$G$39,5,0)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170</v>
      </c>
      <c r="BO32" t="s">
        <v>171</v>
      </c>
      <c r="BQ32" s="6">
        <v>640700</v>
      </c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VLOOKUP(A33,[12]HISTOBQUEFEV23!$A$6:$G$44,3,0)</f>
        <v>0</v>
      </c>
      <c r="E33" s="9">
        <f>VLOOKUP(A33,[12]HISTOBQUEFEV23!$A$6:$G$39,4,0)</f>
        <v>40000</v>
      </c>
      <c r="F33" s="9">
        <f>VLOOKUP(A33,[12]HISTOBQUEFEV23!$A$6:$G$39,5,0)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560000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9">
        <f t="shared" si="0"/>
        <v>60000</v>
      </c>
      <c r="D34" s="9">
        <f>VLOOKUP(A34,[12]HISTOBQUEFEV23!$A$6:$G$44,3,0)</f>
        <v>100000</v>
      </c>
      <c r="E34" s="9">
        <f>VLOOKUP(A34,[12]HISTOBQUEFEV23!$A$6:$G$39,4,0)</f>
        <v>0</v>
      </c>
      <c r="F34" s="9">
        <f>VLOOKUP(A34,[12]HISTOBQUEFEV23!$A$6:$G$39,5,0)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9">
        <f t="shared" si="0"/>
        <v>0</v>
      </c>
      <c r="D35" s="9">
        <f>VLOOKUP(A35,[12]HISTOBQUEFEV23!$A$6:$G$44,3,0)</f>
        <v>40000</v>
      </c>
      <c r="E35" s="9">
        <f>VLOOKUP(A35,[12]HISTOBQUEFEV23!$A$6:$G$39,4,0)</f>
        <v>0</v>
      </c>
      <c r="F35" s="9">
        <f>VLOOKUP(A35,[12]HISTOBQUEFEV23!$A$6:$G$39,5,0)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/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VLOOKUP(A36,[12]HISTOBQUEFEV23!$A$6:$G$44,3,0)</f>
        <v>290000</v>
      </c>
      <c r="E36" s="9">
        <f>VLOOKUP(A36,[12]HISTOBQUEFEV23!$A$6:$G$39,4,0)</f>
        <v>0</v>
      </c>
      <c r="F36" s="9">
        <f>VLOOKUP(A36,[12]HISTOBQUEFEV23!$A$6:$G$39,5,0)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VLOOKUP($A36,[15]TONTFEV23!$A$6:$P$35,12,0)</f>
        <v>0</v>
      </c>
      <c r="Q36" s="2">
        <f>VLOOKUP($A36,[13]TONTFEV23!$A$7:$P$20,10,0)</f>
        <v>0</v>
      </c>
      <c r="R36" s="2">
        <f>VLOOKUP($A36,[14]TONTFEV23!$A$6:$P$21,10,0)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143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828500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168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169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BM27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VLOOKUP(A6,[12]HISTOBQUEMARS23!$A$6:$G$44,3,0)</f>
        <v>175000</v>
      </c>
      <c r="E6" s="9">
        <f>VLOOKUP(A6,[12]HISTOBQUEMARS23!$A$6:$G$39,4,0)</f>
        <v>0</v>
      </c>
      <c r="F6" s="9">
        <f>VLOOKUP(A6,[12]HISTOBQUEMARS23!$A$6:$G$39,5,0)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VLOOKUP($A6,[14]TONTMARS23!$A$6:$P$21,10,0)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VLOOKUP(A7,[12]HISTOBQUEMARS23!$A$6:$G$44,3,0)</f>
        <v>40000</v>
      </c>
      <c r="E7" s="9">
        <f>VLOOKUP(A7,[12]HISTOBQUEMARS23!$A$6:$G$39,4,0)</f>
        <v>0</v>
      </c>
      <c r="F7" s="9">
        <f>VLOOKUP(A7,[12]HISTOBQUEMARS23!$A$6:$G$39,5,0)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VLOOKUP(A8,[12]HISTOBQUEMARS23!$A$6:$G$44,3,0)</f>
        <v>115000</v>
      </c>
      <c r="E8" s="9">
        <f>VLOOKUP(A8,[12]HISTOBQUEMARS23!$A$6:$G$39,4,0)</f>
        <v>0</v>
      </c>
      <c r="F8" s="9">
        <f>VLOOKUP(A8,[12]HISTOBQUEMARS23!$A$6:$G$39,5,0)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VLOOKUP(A9,[12]HISTOBQUEMARS23!$A$6:$G$44,3,0)</f>
        <v>140000</v>
      </c>
      <c r="E9" s="9">
        <f>VLOOKUP(A9,[12]HISTOBQUEMARS23!$A$6:$G$39,4,0)</f>
        <v>0</v>
      </c>
      <c r="F9" s="9">
        <f>VLOOKUP(A9,[12]HISTOBQUEMARS23!$A$6:$G$39,5,0)+690000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VLOOKUP($A9,[15]TONTMARS23!$A$6:$P$35,12,0)</f>
        <v>0</v>
      </c>
      <c r="Q9" s="2"/>
      <c r="R9" s="2">
        <f>VLOOKUP($A9,[14]TONTMARS23!$A$6:$P$21,10,0)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VLOOKUP(A10,[12]HISTOBQUEMARS23!$A$6:$G$44,3,0)</f>
        <v>82000</v>
      </c>
      <c r="E10" s="9">
        <f>VLOOKUP(A10,[12]HISTOBQUEMARS23!$A$6:$G$39,4,0)</f>
        <v>0</v>
      </c>
      <c r="F10" s="9">
        <f>VLOOKUP(A10,[12]HISTOBQUEMARS23!$A$6:$G$39,5,0)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9">
        <f t="shared" si="0"/>
        <v>-100000</v>
      </c>
      <c r="D11" s="9">
        <f>VLOOKUP(A11,[12]HISTOBQUEMARS23!$A$6:$G$44,3,0)+892500</f>
        <v>912500</v>
      </c>
      <c r="E11" s="9">
        <f>VLOOKUP(A11,[12]HISTOBQUEMARS23!$A$6:$G$39,4,0)</f>
        <v>0</v>
      </c>
      <c r="F11" s="9">
        <f>VLOOKUP(A11,[12]HISTOBQUEMARS23!$A$6:$G$39,5,0)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VLOOKUP(A12,[12]HISTOBQUEMARS23!$A$6:$G$44,3,0)</f>
        <v>320000</v>
      </c>
      <c r="E12" s="9">
        <f>VLOOKUP(A12,[12]HISTOBQUEMARS23!$A$6:$G$39,4,0)</f>
        <v>0</v>
      </c>
      <c r="F12" s="9">
        <f>VLOOKUP(A12,[12]HISTOBQUEMARS23!$A$6:$G$39,5,0)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VLOOKUP($A12,[15]TONTMARS23!$A$6:$P$35,12,0)</f>
        <v>0</v>
      </c>
      <c r="Q12" s="2">
        <f>VLOOKUP($A12,[13]TONTMARS23!$A$6:$P$20,10,0)</f>
        <v>0</v>
      </c>
      <c r="R12" s="2">
        <f>VLOOKUP($A12,[14]TONTMARS23!$A$6:$P$21,10,0)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VLOOKUP(A13,[12]HISTOBQUEMARS23!$A$6:$G$44,3,0)</f>
        <v>40000</v>
      </c>
      <c r="E13" s="9">
        <f>VLOOKUP(A13,[12]HISTOBQUEMARS23!$A$6:$G$39,4,0)</f>
        <v>0</v>
      </c>
      <c r="F13" s="9">
        <f>VLOOKUP(A13,[12]HISTOBQUEMARS23!$A$6:$G$39,5,0)+70000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VLOOKUP(A14,[12]HISTOBQUEMARS23!$A$6:$G$44,3,0)</f>
        <v>40000</v>
      </c>
      <c r="E14" s="9">
        <f>VLOOKUP(A14,[12]HISTOBQUEMARS23!$A$6:$G$39,4,0)</f>
        <v>0</v>
      </c>
      <c r="F14" s="9">
        <f>VLOOKUP(A14,[12]HISTOBQUEMARS23!$A$6:$G$39,5,0)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VLOOKUP(A15,[12]HISTOBQUEMARS23!$A$6:$G$44,3,0)</f>
        <v>115000</v>
      </c>
      <c r="E15" s="9">
        <f>VLOOKUP(A15,[12]HISTOBQUEMARS23!$A$6:$G$39,4,0)</f>
        <v>0</v>
      </c>
      <c r="F15" s="9">
        <f>VLOOKUP(A15,[12]HISTOBQUEMARS23!$A$6:$G$39,5,0)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VLOOKUP(A16,[12]HISTOBQUEMARS23!$A$6:$G$44,3,0)</f>
        <v>250000</v>
      </c>
      <c r="E16" s="9">
        <f>VLOOKUP(A16,[12]HISTOBQUEMARS23!$A$6:$G$39,4,0)</f>
        <v>0</v>
      </c>
      <c r="F16" s="9">
        <f>VLOOKUP(A16,[12]HISTOBQUEMARS23!$A$6:$G$39,5,0)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VLOOKUP($A16,[15]TONTMARS23!$A$6:$P$35,12,0)</f>
        <v>0</v>
      </c>
      <c r="Q16" s="2">
        <f>VLOOKUP($A16,[13]TONTMARS23!$A$6:$P$20,10,0)</f>
        <v>0</v>
      </c>
      <c r="R16" s="2">
        <f>VLOOKUP($A16,[14]TONTMARS23!$A$6:$P$21,10,0)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69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VLOOKUP(A17,[12]HISTOBQUEMARS23!$A$6:$G$44,3,0)</f>
        <v>140000</v>
      </c>
      <c r="E17" s="9">
        <f>VLOOKUP(A17,[12]HISTOBQUEMARS23!$A$6:$G$39,4,0)</f>
        <v>0</v>
      </c>
      <c r="F17" s="9">
        <f>VLOOKUP(A17,[12]HISTOBQUEMARS23!$A$6:$G$39,5,0)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VLOOKUP($A17,[15]TONTMARS23!$A$6:$P$35,12,0)</f>
        <v>0</v>
      </c>
      <c r="Q17" s="2"/>
      <c r="R17" s="2">
        <f>VLOOKUP($A17,[14]TONTMARS23!$A$6:$P$21,10,0)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24</v>
      </c>
      <c r="B18" s="1" t="str">
        <f>VLOOKUP(A18,[11]LISTADHERENT!A$5:H$39,3,0)</f>
        <v>KOUATCHO MESSACK</v>
      </c>
      <c r="C18" s="9">
        <f t="shared" si="0"/>
        <v>1000</v>
      </c>
      <c r="D18" s="9">
        <f>VLOOKUP(A18,[12]HISTOBQUEMARS23!$A$6:$G$44,3,0)</f>
        <v>215000</v>
      </c>
      <c r="E18" s="9">
        <f>VLOOKUP(A18,[12]HISTOBQUEMARS23!$A$6:$G$39,4,0)</f>
        <v>0</v>
      </c>
      <c r="F18" s="9">
        <f>VLOOKUP(A18,[12]HISTOBQUEMARS23!$A$6:$G$39,5,0)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VLOOKUP($A18,[15]TONTMARS23!$A$6:$P$35,12,0)</f>
        <v>0</v>
      </c>
      <c r="Q18" s="2">
        <f>VLOOKUP($A18,[13]TONTMARS23!$A$6:$P$20,10,0)</f>
        <v>0</v>
      </c>
      <c r="R18" s="2">
        <f>VLOOKUP($A18,[14]TONTMARS23!$A$6:$P$21,10,0)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9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VLOOKUP(A19,[12]HISTOBQUEMARS23!$A$6:$G$44,3,0)</f>
        <v>40000</v>
      </c>
      <c r="E19" s="9">
        <f>VLOOKUP(A19,[12]HISTOBQUEMARS23!$A$6:$G$39,4,0)</f>
        <v>0</v>
      </c>
      <c r="F19" s="9">
        <f>VLOOKUP(A19,[12]HISTOBQUEMARS23!$A$6:$G$39,5,0)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9" s="72" customFormat="1" ht="18.75" x14ac:dyDescent="0.3">
      <c r="A20" s="73" t="s">
        <v>26</v>
      </c>
      <c r="B20" s="73" t="str">
        <f>VLOOKUP(A20,[11]LISTADHERENT!A$5:H$39,3,0)</f>
        <v>MBOGNING TUGMA GUY</v>
      </c>
      <c r="C20" s="14">
        <f t="shared" si="0"/>
        <v>93000</v>
      </c>
      <c r="D20" s="14">
        <f>VLOOKUP(A20,[12]HISTOBQUEMARS23!$A$6:$G$44,3,0)</f>
        <v>403500</v>
      </c>
      <c r="E20" s="14">
        <f>VLOOKUP(A20,[12]HISTOBQUEMARS23!$A$6:$G$39,4,0)</f>
        <v>0</v>
      </c>
      <c r="F20" s="14">
        <f>VLOOKUP(A20,[12]HISTOBQUEMARS23!$A$6:$G$39,5,0)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VLOOKUP($A20,[15]TONTMARS23!$A$6:$P$35,12,0)</f>
        <v>32500</v>
      </c>
      <c r="Q20" s="76">
        <f>VLOOKUP($A20,[13]TONTMARS23!$A$6:$P$20,10,0)</f>
        <v>0</v>
      </c>
      <c r="R20" s="76">
        <f>VLOOKUP($A20,[14]TONTMARS23!$A$6:$P$21,10,0)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VLOOKUP(A21,[12]HISTOBQUEMARS23!$A$6:$G$44,3,0)</f>
        <v>40000</v>
      </c>
      <c r="E21" s="9">
        <f>VLOOKUP(A21,[12]HISTOBQUEMARS23!$A$6:$G$39,4,0)</f>
        <v>0</v>
      </c>
      <c r="F21" s="9">
        <f>VLOOKUP(A21,[12]HISTOBQUEMARS23!$A$6:$G$39,5,0)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VLOOKUP(A22,[12]HISTOBQUEMARS23!$A$6:$G$44,3,0)</f>
        <v>115000</v>
      </c>
      <c r="E22" s="9">
        <f>VLOOKUP(A22,[12]HISTOBQUEMARS23!$A$6:$G$39,4,0)</f>
        <v>0</v>
      </c>
      <c r="F22" s="9">
        <f>VLOOKUP(A22,[12]HISTOBQUEMARS23!$A$6:$G$39,5,0)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9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VLOOKUP(A23,[12]HISTOBQUEMARS23!$A$6:$G$44,3,0)</f>
        <v>250000</v>
      </c>
      <c r="E23" s="9">
        <f>VLOOKUP(A23,[12]HISTOBQUEMARS23!$A$6:$G$39,4,0)</f>
        <v>0</v>
      </c>
      <c r="F23" s="9">
        <f>VLOOKUP(A23,[12]HISTOBQUEMARS23!$A$6:$G$39,5,0)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VLOOKUP($A23,[15]TONTMARS23!$A$6:$P$35,12,0)</f>
        <v>0</v>
      </c>
      <c r="Q23" s="2"/>
      <c r="R23" s="2">
        <f>VLOOKUP($A23,[14]TONTMARS23!$A$6:$P$21,10,0)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30</v>
      </c>
      <c r="B24" s="1" t="str">
        <f>VLOOKUP(A24,[11]LISTADHERENT!A$5:H$39,3,0)</f>
        <v>NGONDIEP CLAUDE</v>
      </c>
      <c r="C24" s="9">
        <f t="shared" si="0"/>
        <v>-3000</v>
      </c>
      <c r="D24" s="9">
        <f>VLOOKUP(A24,[12]HISTOBQUEMARS23!$A$6:$G$44,3,0)</f>
        <v>0</v>
      </c>
      <c r="E24" s="9">
        <f>VLOOKUP(A24,[12]HISTOBQUEMARS23!$A$6:$G$39,4,0)</f>
        <v>215000</v>
      </c>
      <c r="F24" s="9">
        <f>VLOOKUP(A24,[12]HISTOBQUEMARS23!$A$6:$G$39,5,0)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VLOOKUP($A24,[15]TONTMARS23!$A$6:$P$35,12,0)</f>
        <v>0</v>
      </c>
      <c r="Q24" s="2">
        <f>VLOOKUP($A24,[13]TONTMARS23!$A$6:$P$20,10,0)</f>
        <v>0</v>
      </c>
      <c r="R24" s="2">
        <f>VLOOKUP($A24,[14]TONTMARS23!$A$6:$P$21,10,0)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9" ht="18.75" x14ac:dyDescent="0.3">
      <c r="A25" s="1" t="s">
        <v>31</v>
      </c>
      <c r="B25" s="1" t="str">
        <f>VLOOKUP(A25,[11]LISTADHERENT!A$5:H$39,3,0)</f>
        <v>NGUIEMEGNI MATHIEU BLAISE</v>
      </c>
      <c r="C25" s="9">
        <f t="shared" si="0"/>
        <v>-10000</v>
      </c>
      <c r="D25" s="9">
        <f>VLOOKUP(A25,[12]HISTOBQUEMARS23!$A$6:$G$44,3,0)</f>
        <v>280000</v>
      </c>
      <c r="E25" s="9">
        <f>VLOOKUP(A25,[12]HISTOBQUEMARS23!$A$6:$G$39,4,0)</f>
        <v>0</v>
      </c>
      <c r="F25" s="9">
        <f>VLOOKUP(A25,[12]HISTOBQUEMARS23!$A$6:$G$39,5,0)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VLOOKUP($A25,[15]TONTMARS23!$A$6:$P$35,12,0)</f>
        <v>0</v>
      </c>
      <c r="Q25" s="2">
        <f>VLOOKUP($A25,[13]TONTMARS23!$A$6:$P$20,10,0)</f>
        <v>0</v>
      </c>
      <c r="R25" s="2">
        <f>VLOOKUP($A25,[14]TONTMARS23!$A$6:$P$21,10,0)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9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VLOOKUP(A26,[12]HISTOBQUEMARS23!$A$6:$G$44,3,0)</f>
        <v>0</v>
      </c>
      <c r="E26" s="9">
        <f>VLOOKUP(A26,[12]HISTOBQUEMARS23!$A$6:$G$39,4,0)</f>
        <v>84000</v>
      </c>
      <c r="F26" s="9">
        <f>VLOOKUP(A26,[12]HISTOBQUEMARS23!$A$6:$G$39,5,0)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</row>
    <row r="27" spans="1:69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VLOOKUP(A27,[12]HISTOBQUEMARS23!$A$6:$G$44,3,0)</f>
        <v>50000</v>
      </c>
      <c r="E27" s="9">
        <f>VLOOKUP(A27,[12]HISTOBQUEMARS23!$A$6:$G$39,4,0)</f>
        <v>0</v>
      </c>
      <c r="F27" s="9">
        <f>VLOOKUP(A27,[12]HISTOBQUEMARS23!$A$6:$G$39,5,0)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184</v>
      </c>
      <c r="BP27" s="70"/>
      <c r="BQ27" s="70">
        <v>1750000</v>
      </c>
    </row>
    <row r="28" spans="1:69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VLOOKUP(A28,[12]HISTOBQUEMARS23!$A$6:$G$44,3,0)</f>
        <v>115000</v>
      </c>
      <c r="E28" s="9">
        <f>VLOOKUP(A28,[12]HISTOBQUEMARS23!$A$6:$G$39,4,0)</f>
        <v>0</v>
      </c>
      <c r="F28" s="9">
        <f>VLOOKUP(A28,[12]HISTOBQUEMARS23!$A$6:$G$39,5,0)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143</v>
      </c>
      <c r="BP28" s="62">
        <f>SUM(BP24:BP27)</f>
        <v>0</v>
      </c>
    </row>
    <row r="29" spans="1:69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VLOOKUP(A29,[12]HISTOBQUEMARS23!$A$6:$G$44,3,0)</f>
        <v>40000</v>
      </c>
      <c r="E29" s="9">
        <f>VLOOKUP(A29,[12]HISTOBQUEMARS23!$A$6:$G$39,4,0)</f>
        <v>0</v>
      </c>
      <c r="F29" s="9">
        <f>VLOOKUP(A29,[12]HISTOBQUEMARS23!$A$6:$G$39,5,0)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VLOOKUP(A30,[12]HISTOBQUEMARS23!$A$6:$G$44,3,0)</f>
        <v>115000</v>
      </c>
      <c r="E30" s="9">
        <f>VLOOKUP(A30,[12]HISTOBQUEMARS23!$A$6:$G$39,4,0)</f>
        <v>0</v>
      </c>
      <c r="F30" s="9">
        <f>VLOOKUP(A30,[12]HISTOBQUEMARS23!$A$6:$G$39,5,0)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9" ht="18.75" x14ac:dyDescent="0.3">
      <c r="A31" s="1" t="s">
        <v>38</v>
      </c>
      <c r="B31" s="1" t="str">
        <f>VLOOKUP(A31,[11]LISTADHERENT!A$5:H$39,3,0)</f>
        <v>SIMO PIERRE</v>
      </c>
      <c r="C31" s="9">
        <f t="shared" si="0"/>
        <v>-70000</v>
      </c>
      <c r="D31" s="9">
        <f>VLOOKUP(A31,[12]HISTOBQUEMARS23!$A$6:$G$44,3,0)</f>
        <v>140000</v>
      </c>
      <c r="E31" s="9">
        <f>VLOOKUP(A31,[12]HISTOBQUEMARS23!$A$6:$G$39,4,0)</f>
        <v>0</v>
      </c>
      <c r="F31" s="9">
        <f>VLOOKUP(A31,[12]HISTOBQUEMARS23!$A$6:$G$39,5,0)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VLOOKUP($A31,[15]TONTMARS23!$A$6:$P$35,12,0)</f>
        <v>0</v>
      </c>
      <c r="Q31" s="2"/>
      <c r="R31" s="2">
        <f>VLOOKUP($A31,[14]TONTMARS23!$A$6:$P$21,10,0)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9" s="72" customFormat="1" ht="18.75" x14ac:dyDescent="0.3">
      <c r="A32" s="73" t="s">
        <v>39</v>
      </c>
      <c r="B32" s="73" t="str">
        <f>VLOOKUP(A32,[11]LISTADHERENT!A$5:H$39,3,0)</f>
        <v>TCHOUAMOU MATHIEU</v>
      </c>
      <c r="C32" s="14">
        <f t="shared" si="0"/>
        <v>0</v>
      </c>
      <c r="D32" s="14">
        <f>VLOOKUP(A32,[12]HISTOBQUEMARS23!$A$6:$G$44,3,0)</f>
        <v>115000</v>
      </c>
      <c r="E32" s="14">
        <f>VLOOKUP(A32,[12]HISTOBQUEMARS23!$A$6:$G$39,4,0)</f>
        <v>0</v>
      </c>
      <c r="F32" s="14">
        <f>VLOOKUP(A32,[12]HISTOBQUEMARS23!$A$6:$G$39,5,0)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VLOOKUP($A32,[15]TONTMARS23!$A$6:$P$35,12,0)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VLOOKUP(A33,[12]HISTOBQUEMARS23!$A$6:$G$44,3,0)</f>
        <v>40000</v>
      </c>
      <c r="E33" s="9">
        <f>VLOOKUP(A33,[12]HISTOBQUEMARS23!$A$6:$G$39,4,0)</f>
        <v>0</v>
      </c>
      <c r="F33" s="9">
        <f>VLOOKUP(A33,[12]HISTOBQUEMARS23!$A$6:$G$39,5,0)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9">
        <f t="shared" si="0"/>
        <v>25000</v>
      </c>
      <c r="D34" s="9">
        <f>VLOOKUP(A34,[12]HISTOBQUEMARS23!$A$6:$G$44,3,0)</f>
        <v>100000</v>
      </c>
      <c r="E34" s="9">
        <f>VLOOKUP(A34,[12]HISTOBQUEMARS23!$A$6:$G$39,4,0)</f>
        <v>0</v>
      </c>
      <c r="F34" s="9">
        <f>VLOOKUP(A34,[12]HISTOBQUEMARS23!$A$6:$G$39,5,0)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9">
        <f t="shared" si="0"/>
        <v>-6000</v>
      </c>
      <c r="D35" s="9">
        <f>VLOOKUP(A35,[12]HISTOBQUEMARS23!$A$6:$G$44,3,0)</f>
        <v>34000</v>
      </c>
      <c r="E35" s="9">
        <f>VLOOKUP(A35,[12]HISTOBQUEMARS23!$A$6:$G$39,4,0)</f>
        <v>0</v>
      </c>
      <c r="F35" s="9">
        <f>VLOOKUP(A35,[12]HISTOBQUEMARS23!$A$6:$G$39,5,0)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VLOOKUP(A36,[12]HISTOBQUEMARS23!$A$6:$G$44,3,0)</f>
        <v>290000</v>
      </c>
      <c r="E36" s="9">
        <f>VLOOKUP(A36,[12]HISTOBQUEMARS23!$A$6:$G$39,4,0)</f>
        <v>0</v>
      </c>
      <c r="F36" s="9">
        <f>VLOOKUP(A36,[12]HISTOBQUEMARS23!$A$6:$G$39,5,0)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VLOOKUP($A36,[15]TONTMARS23!$A$6:$P$35,12,0)</f>
        <v>0</v>
      </c>
      <c r="Q36" s="2">
        <f>VLOOKUP($A36,[13]TONTMARS23!$A$6:$P$20,10,0)</f>
        <v>0</v>
      </c>
      <c r="R36" s="2">
        <f>VLOOKUP($A36,[14]TONTMARS23!$A$6:$P$21,10,0)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185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183</v>
      </c>
      <c r="BA40" s="14">
        <v>299000</v>
      </c>
      <c r="BD40" t="s">
        <v>182</v>
      </c>
      <c r="BE40">
        <v>5005000</v>
      </c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106000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M30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VLOOKUP(A6,[12]HISTOBQUEAVRIL23!$A$6:$G$44,3,0)</f>
        <v>175000</v>
      </c>
      <c r="E6" s="9">
        <f>VLOOKUP(A6,[12]HISTOBQUEAVRIL23!$A$6:$G$39,4,0)</f>
        <v>0</v>
      </c>
      <c r="F6" s="9">
        <f>VLOOKUP(A6,[12]HISTOBQUEAVRIL23!$A$6:$G$39,5,0)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VLOOKUP($A6,[14]TONTAVRIL23!$A$6:$P$21,10,0)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VLOOKUP(A7,[12]HISTOBQUEAVRIL23!$A$6:$G$44,3,0)</f>
        <v>40000</v>
      </c>
      <c r="E7" s="9">
        <f>VLOOKUP(A7,[12]HISTOBQUEAVRIL23!$A$6:$G$39,4,0)</f>
        <v>0</v>
      </c>
      <c r="F7" s="9">
        <f>VLOOKUP(A7,[12]HISTOBQUEAVRIL23!$A$6:$G$39,5,0)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VLOOKUP(A8,[12]HISTOBQUEAVRIL23!$A$6:$G$44,3,0)</f>
        <v>115000</v>
      </c>
      <c r="E8" s="9">
        <f>VLOOKUP(A8,[12]HISTOBQUEAVRIL23!$A$6:$G$39,4,0)</f>
        <v>0</v>
      </c>
      <c r="F8" s="9">
        <f>VLOOKUP(A8,[12]HISTOBQUEAVRIL23!$A$6:$G$39,5,0)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VLOOKUP(A9,[12]HISTOBQUEAVRIL23!$A$6:$G$44,3,0)</f>
        <v>145000</v>
      </c>
      <c r="E9" s="9">
        <f>VLOOKUP(A9,[12]HISTOBQUEAVRIL23!$A$6:$G$39,4,0)</f>
        <v>0</v>
      </c>
      <c r="F9" s="9">
        <f>VLOOKUP(A9,[12]HISTOBQUEAVRIL23!$A$6:$G$39,5,0)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VLOOKUP($A9,[15]TONTAVRIL23!$A$6:$P$35,12,0)</f>
        <v>0</v>
      </c>
      <c r="Q9" s="2"/>
      <c r="R9" s="2">
        <f>VLOOKUP($A9,[14]TONTAVRIL23!$A$6:$P$21,10,0)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9">
        <f t="shared" si="0"/>
        <v>-70000</v>
      </c>
      <c r="D10" s="9">
        <f>VLOOKUP(A10,[12]HISTOBQUEAVRIL23!$A$6:$G$44,3,0)</f>
        <v>0</v>
      </c>
      <c r="E10" s="9">
        <f>VLOOKUP(A10,[12]HISTOBQUEAVRIL23!$A$6:$G$39,4,0)</f>
        <v>43000</v>
      </c>
      <c r="F10" s="9">
        <f>VLOOKUP(A10,[12]HISTOBQUEAVRIL23!$A$6:$G$39,5,0)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9">
        <f t="shared" si="0"/>
        <v>-157500</v>
      </c>
      <c r="D11" s="9">
        <f>VLOOKUP(A11,[12]HISTOBQUEAVRIL23!$A$6:$G$44,3,0)</f>
        <v>115000</v>
      </c>
      <c r="E11" s="9">
        <f>VLOOKUP(A11,[12]HISTOBQUEAVRIL23!$A$6:$G$39,4,0)</f>
        <v>0</v>
      </c>
      <c r="F11" s="9">
        <f>VLOOKUP(A11,[12]HISTOBQUEAVRIL23!$A$6:$G$39,5,0)+70000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VLOOKUP(A12,[12]HISTOBQUEAVRIL23!$A$6:$G$44,3,0)</f>
        <v>320000</v>
      </c>
      <c r="E12" s="9">
        <f>VLOOKUP(A12,[12]HISTOBQUEAVRIL23!$A$6:$G$39,4,0)</f>
        <v>0</v>
      </c>
      <c r="F12" s="9">
        <f>VLOOKUP(A12,[12]HISTOBQUEAVRIL23!$A$6:$G$39,5,0)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VLOOKUP($A12,[15]TONTAVRIL23!$A$6:$P$35,12,0)</f>
        <v>0</v>
      </c>
      <c r="Q12" s="2">
        <f>VLOOKUP($A12,[13]TONTAVRIL23!$A$6:$P$20,10,0)</f>
        <v>0</v>
      </c>
      <c r="R12" s="2">
        <f>VLOOKUP($A12,[14]TONTAVRIL23!$A$6:$P$21,10,0)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VLOOKUP(A13,[12]HISTOBQUEAVRIL23!$A$6:$G$44,3,0)</f>
        <v>40000</v>
      </c>
      <c r="E13" s="9">
        <f>VLOOKUP(A13,[12]HISTOBQUEAVRIL23!$A$6:$G$39,4,0)</f>
        <v>0</v>
      </c>
      <c r="F13" s="9">
        <f>VLOOKUP(A13,[12]HISTOBQUEAVRIL23!$A$6:$G$39,5,0)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VLOOKUP(A14,[12]HISTOBQUEAVRIL23!$A$6:$G$44,3,0)</f>
        <v>40000</v>
      </c>
      <c r="E14" s="9">
        <f>VLOOKUP(A14,[12]HISTOBQUEAVRIL23!$A$6:$G$39,4,0)</f>
        <v>0</v>
      </c>
      <c r="F14" s="9">
        <f>VLOOKUP(A14,[12]HISTOBQUEAVRIL23!$A$6:$G$39,5,0)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VLOOKUP(A15,[12]HISTOBQUEAVRIL23!$A$6:$G$44,3,0)</f>
        <v>115000</v>
      </c>
      <c r="E15" s="9">
        <f>VLOOKUP(A15,[12]HISTOBQUEAVRIL23!$A$6:$G$39,4,0)</f>
        <v>0</v>
      </c>
      <c r="F15" s="9">
        <f>VLOOKUP(A15,[12]HISTOBQUEAVRIL23!$A$6:$G$39,5,0)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VLOOKUP(A16,[12]HISTOBQUEAVRIL23!$A$6:$G$44,3,0)-101000</f>
        <v>415000</v>
      </c>
      <c r="E16" s="9">
        <f>VLOOKUP(A16,[12]HISTOBQUEAVRIL23!$A$6:$G$39,4,0)</f>
        <v>0</v>
      </c>
      <c r="F16" s="9">
        <f>VLOOKUP(A16,[12]HISTOBQUEAVRIL23!$A$6:$G$39,5,0)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VLOOKUP($A16,[15]TONTAVRIL23!$A$6:$P$35,12,0)</f>
        <v>0</v>
      </c>
      <c r="Q16" s="2">
        <f>VLOOKUP($A16,[13]TONTMARS23!$A$6:$P$20,10,0)</f>
        <v>0</v>
      </c>
      <c r="R16" s="2">
        <f>VLOOKUP($A16,[14]TONTAVRIL23!$A$6:$P$21,10,0)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VLOOKUP(A17,[12]HISTOBQUEAVRIL23!$A$6:$G$44,3,0)+101000</f>
        <v>342000</v>
      </c>
      <c r="E17" s="9">
        <f>VLOOKUP(A17,[12]HISTOBQUEAVRIL23!$A$6:$G$39,4,0)</f>
        <v>0</v>
      </c>
      <c r="F17" s="9">
        <f>VLOOKUP(A17,[12]HISTOBQUEAVRIL23!$A$6:$G$39,5,0)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VLOOKUP($A17,[15]TONTAVRIL23!$A$6:$P$35,12,0)</f>
        <v>0</v>
      </c>
      <c r="Q17" s="2"/>
      <c r="R17" s="2">
        <f>VLOOKUP($A17,[14]TONTAVRIL23!$A$6:$P$21,10,0)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>D18+E18+F18-U18-BB18</f>
        <v>0</v>
      </c>
      <c r="D18" s="9">
        <f>VLOOKUP(A18,[12]HISTOBQUEAVRIL23!$A$6:$G$44,3,0)</f>
        <v>419000</v>
      </c>
      <c r="E18" s="9">
        <f>VLOOKUP(A18,[12]HISTOBQUEAVRIL23!$A$6:$G$39,4,0)</f>
        <v>0</v>
      </c>
      <c r="F18" s="9">
        <f>VLOOKUP(A18,[12]HISTOBQUEAVRIL23!$A$6:$G$39,5,0)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VLOOKUP($A18,[15]TONTAVRIL23!$A$6:$P$35,12,0)</f>
        <v>0</v>
      </c>
      <c r="Q18" s="2">
        <f>VLOOKUP($A18,[13]TONTAVRIL23!$A$6:$P$20,10,0)</f>
        <v>0</v>
      </c>
      <c r="R18" s="2">
        <f>VLOOKUP($A18,[14]TONTAVRIL23!$A$6:$P$21,10,0)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9">
        <f t="shared" si="0"/>
        <v>-1000000</v>
      </c>
      <c r="D19" s="9">
        <f>VLOOKUP(A19,[12]HISTOBQUEAVRIL23!$A$6:$G$44,3,0)</f>
        <v>40000</v>
      </c>
      <c r="E19" s="9">
        <f>VLOOKUP(A19,[12]HISTOBQUEAVRIL23!$A$6:$G$39,4,0)</f>
        <v>0</v>
      </c>
      <c r="F19" s="9">
        <f>VLOOKUP(A19,[12]HISTOBQUEAVRIL23!$A$6:$G$39,5,0)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VLOOKUP(A20,[12]HISTOBQUEAVRIL23!$A$6:$G$44,3,0)</f>
        <v>422000</v>
      </c>
      <c r="E20" s="9">
        <f>VLOOKUP(A20,[12]HISTOBQUEAVRIL23!$A$6:$G$39,4,0)</f>
        <v>0</v>
      </c>
      <c r="F20" s="9">
        <f>VLOOKUP(A20,[12]HISTOBQUEAVRIL23!$A$6:$G$39,5,0)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VLOOKUP($A20,[15]TONTAVRIL23!$A$6:$P$35,12,0)</f>
        <v>0</v>
      </c>
      <c r="Q20" s="2">
        <f>VLOOKUP($A20,[13]TONTAVRIL23!$A$6:$P$20,10,0)</f>
        <v>0</v>
      </c>
      <c r="R20" s="2">
        <f>VLOOKUP($A20,[14]TONTAVRIL23!$A$6:$P$21,10,0)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VLOOKUP(A21,[12]HISTOBQUEAVRIL23!$A$6:$G$44,3,0)</f>
        <v>40000</v>
      </c>
      <c r="E21" s="9">
        <f>VLOOKUP(A21,[12]HISTOBQUEAVRIL23!$A$6:$G$39,4,0)</f>
        <v>0</v>
      </c>
      <c r="F21" s="9">
        <f>VLOOKUP(A21,[12]HISTOBQUEAVRIL23!$A$6:$G$39,5,0)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VLOOKUP(A22,[12]HISTOBQUEAVRIL23!$A$6:$G$44,3,0)</f>
        <v>115000</v>
      </c>
      <c r="E22" s="9">
        <f>VLOOKUP(A22,[12]HISTOBQUEAVRIL23!$A$6:$G$39,4,0)</f>
        <v>0</v>
      </c>
      <c r="F22" s="9">
        <f>VLOOKUP(A22,[12]HISTOBQUEAVRIL23!$A$6:$G$39,5,0)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VLOOKUP(A23,[12]HISTOBQUEAVRIL23!$A$6:$G$44,3,0)</f>
        <v>452000</v>
      </c>
      <c r="E23" s="9">
        <f>VLOOKUP(A23,[12]HISTOBQUEAVRIL23!$A$6:$G$39,4,0)</f>
        <v>0</v>
      </c>
      <c r="F23" s="9">
        <f>VLOOKUP(A23,[12]HISTOBQUEAVRIL23!$A$6:$G$39,5,0)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VLOOKUP($A23,[15]TONTAVRIL23!$A$6:$P$35,12,0)</f>
        <v>0</v>
      </c>
      <c r="Q23" s="2"/>
      <c r="R23" s="2">
        <f>VLOOKUP($A23,[14]TONTAVRIL23!$A$6:$P$21,10,0)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VLOOKUP(A24,[12]HISTOBQUEAVRIL23!$A$6:$G$44,3,0)</f>
        <v>220000</v>
      </c>
      <c r="E24" s="9">
        <f>VLOOKUP(A24,[12]HISTOBQUEAVRIL23!$A$6:$G$39,4,0)</f>
        <v>0</v>
      </c>
      <c r="F24" s="9">
        <f>VLOOKUP(A24,[12]HISTOBQUEAVRIL23!$A$6:$G$39,5,0)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VLOOKUP($A24,[15]TONTAVRIL23!$A$6:$P$35,12,0)</f>
        <v>0</v>
      </c>
      <c r="Q24" s="2">
        <f>VLOOKUP($A24,[13]TONTAVRIL23!$A$6:$P$20,10,0)</f>
        <v>0</v>
      </c>
      <c r="R24" s="2">
        <f>VLOOKUP($A24,[14]TONTAVRIL23!$A$6:$P$21,10,0)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VLOOKUP(A25,[12]HISTOBQUEAVRIL23!$A$6:$G$44,3,0)</f>
        <v>280000</v>
      </c>
      <c r="E25" s="9">
        <f>VLOOKUP(A25,[12]HISTOBQUEAVRIL23!$A$6:$G$39,4,0)</f>
        <v>0</v>
      </c>
      <c r="F25" s="9">
        <f>VLOOKUP(A25,[12]HISTOBQUEAVRIL23!$A$6:$G$39,5,0)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VLOOKUP($A25,[15]TONTAVRIL23!$A$6:$P$35,12,0)</f>
        <v>0</v>
      </c>
      <c r="Q25" s="2">
        <f>VLOOKUP($A25,[13]TONTAVRIL23!$A$6:$P$20,10,0)</f>
        <v>0</v>
      </c>
      <c r="R25" s="2">
        <f>VLOOKUP($A25,[14]TONTAVRIL23!$A$6:$P$21,10,0)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126</v>
      </c>
      <c r="BO25" t="s">
        <v>144</v>
      </c>
      <c r="BP25" s="6"/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VLOOKUP(A26,[12]HISTOBQUEAVRIL23!$A$6:$G$44,3,0)</f>
        <v>0</v>
      </c>
      <c r="E26" s="9">
        <f>VLOOKUP(A26,[12]HISTOBQUEAVRIL23!$A$6:$G$39,4,0)</f>
        <v>43000</v>
      </c>
      <c r="F26" s="9">
        <f>VLOOKUP(A26,[12]HISTOBQUEAVRIL23!$A$6:$G$39,5,0)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VLOOKUP(A27,[12]HISTOBQUEAVRIL23!$A$6:$G$44,3,0)</f>
        <v>50000</v>
      </c>
      <c r="E27" s="9">
        <f>VLOOKUP(A27,[12]HISTOBQUEAVRIL23!$A$6:$G$39,4,0)</f>
        <v>0</v>
      </c>
      <c r="F27" s="9">
        <f>VLOOKUP(A27,[12]HISTOBQUEAVRIL23!$A$6:$G$39,5,0)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VLOOKUP(A28,[12]HISTOBQUEAVRIL23!$A$6:$G$44,3,0)</f>
        <v>115000</v>
      </c>
      <c r="E28" s="9">
        <f>VLOOKUP(A28,[12]HISTOBQUEAVRIL23!$A$6:$G$39,4,0)</f>
        <v>0</v>
      </c>
      <c r="F28" s="9">
        <f>VLOOKUP(A28,[12]HISTOBQUEAVRIL23!$A$6:$G$39,5,0)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9">
        <f t="shared" si="0"/>
        <v>120000</v>
      </c>
      <c r="D29" s="9">
        <f>VLOOKUP(A29,[12]HISTOBQUEAVRIL23!$A$6:$G$44,3,0)</f>
        <v>160000</v>
      </c>
      <c r="E29" s="9">
        <f>VLOOKUP(A29,[12]HISTOBQUEAVRIL23!$A$6:$G$39,4,0)</f>
        <v>0</v>
      </c>
      <c r="F29" s="9">
        <f>VLOOKUP(A29,[12]HISTOBQUEAVRIL23!$A$6:$G$39,5,0)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VLOOKUP(A30,[12]HISTOBQUEAVRIL23!$A$6:$G$44,3,0)</f>
        <v>115000</v>
      </c>
      <c r="E30" s="9">
        <f>VLOOKUP(A30,[12]HISTOBQUEAVRIL23!$A$6:$G$39,4,0)</f>
        <v>0</v>
      </c>
      <c r="F30" s="9">
        <f>VLOOKUP(A30,[12]HISTOBQUEAVRIL23!$A$6:$G$39,5,0)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VLOOKUP(A31,[12]HISTOBQUEAVRIL23!$A$6:$G$44,3,0)</f>
        <v>140000</v>
      </c>
      <c r="E31" s="9">
        <f>VLOOKUP(A31,[12]HISTOBQUEAVRIL23!$A$6:$G$39,4,0)</f>
        <v>0</v>
      </c>
      <c r="F31" s="9">
        <f>VLOOKUP(A31,[12]HISTOBQUEAVRIL23!$A$6:$G$39,5,0)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VLOOKUP($A31,[15]TONTAVRIL23!$A$6:$P$35,12,0)</f>
        <v>0</v>
      </c>
      <c r="Q31" s="2"/>
      <c r="R31" s="2">
        <f>VLOOKUP($A31,[14]TONTAVRIL23!$A$6:$P$21,10,0)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9">
        <f t="shared" si="0"/>
        <v>-200000</v>
      </c>
      <c r="D32" s="9">
        <f>VLOOKUP(A32,[12]HISTOBQUEAVRIL23!$A$6:$G$44,3,0)</f>
        <v>115000</v>
      </c>
      <c r="E32" s="9">
        <f>VLOOKUP(A32,[12]HISTOBQUEAVRIL23!$A$6:$G$39,4,0)</f>
        <v>0</v>
      </c>
      <c r="F32" s="9">
        <f>VLOOKUP(A32,[12]HISTOBQUEAVRIL23!$A$6:$G$39,5,0)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VLOOKUP(A33,[12]HISTOBQUEAVRIL23!$A$6:$G$44,3,0)</f>
        <v>0</v>
      </c>
      <c r="E33" s="9">
        <f>VLOOKUP(A33,[12]HISTOBQUEAVRIL23!$A$6:$G$39,4,0)</f>
        <v>43000</v>
      </c>
      <c r="F33" s="9">
        <f>VLOOKUP(A33,[12]HISTOBQUEAVRIL23!$A$6:$G$39,5,0)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VLOOKUP(A34,[12]HISTOBQUEAVRIL23!$A$6:$G$44,3,0)</f>
        <v>0</v>
      </c>
      <c r="E34" s="9">
        <f>VLOOKUP(A34,[12]HISTOBQUEAVRIL23!$A$6:$G$39,4,0)</f>
        <v>100000</v>
      </c>
      <c r="F34" s="9">
        <f>VLOOKUP(A34,[12]HISTOBQUEAVRIL23!$A$6:$G$39,5,0)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VLOOKUP(A35,[12]HISTOBQUEAVRIL23!$A$6:$G$44,3,0)</f>
        <v>0</v>
      </c>
      <c r="E35" s="9">
        <f>VLOOKUP(A35,[12]HISTOBQUEAVRIL23!$A$6:$G$39,4,0)+40000</f>
        <v>40000</v>
      </c>
      <c r="F35" s="9">
        <f>VLOOKUP(A35,[12]HISTOBQUEAVRIL23!$A$6:$G$39,5,0)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VLOOKUP(A36,[12]HISTOBQUEAVRIL23!$A$6:$G$44,3,0)</f>
        <v>290000</v>
      </c>
      <c r="E36" s="9">
        <f>VLOOKUP(A36,[12]HISTOBQUEAVRIL23!$A$6:$G$39,4,0)</f>
        <v>0</v>
      </c>
      <c r="F36" s="9">
        <f>VLOOKUP(A36,[12]HISTOBQUEAVRIL23!$A$6:$G$39,5,0)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VLOOKUP($A36,[15]TONTAVRIL23!$A$6:$P$35,12,0)</f>
        <v>0</v>
      </c>
      <c r="Q36" s="2">
        <f>VLOOKUP($A36,[13]TONTAVRIL23!$A$6:$P$20,10,0)</f>
        <v>0</v>
      </c>
      <c r="R36" s="2">
        <f>VLOOKUP($A36,[14]TONTAVRIL23!$A$6:$P$21,10,0)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106000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N27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VLOOKUP(A6,[12]HISTOBQUEMAI23!$A$6:$G$44,3,0)</f>
        <v>175000</v>
      </c>
      <c r="E6" s="9">
        <f>VLOOKUP(A6,[12]HISTOBQUEMAI23!$A$6:$G$39,4,0)</f>
        <v>0</v>
      </c>
      <c r="F6" s="9">
        <f>VLOOKUP(A6,[12]HISTOBQUEMAI23!$A$6:$G$39,5,0)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VLOOKUP($A6,[14]TONTMAI23!$A$6:$P$21,10,0)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VLOOKUP(A7,[12]HISTOBQUEMAI23!$A$6:$G$44,3,0)</f>
        <v>40000</v>
      </c>
      <c r="E7" s="9">
        <f>VLOOKUP(A7,[12]HISTOBQUEMAI23!$A$6:$G$39,4,0)</f>
        <v>0</v>
      </c>
      <c r="F7" s="9">
        <f>VLOOKUP(A7,[12]HISTOBQUEMAI23!$A$6:$G$39,5,0)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VLOOKUP(A8,[12]HISTOBQUEMAI23!$A$6:$G$44,3,0)</f>
        <v>115000</v>
      </c>
      <c r="E8" s="9">
        <f>VLOOKUP(A8,[12]HISTOBQUEMAI23!$A$6:$G$39,4,0)</f>
        <v>0</v>
      </c>
      <c r="F8" s="9">
        <f>VLOOKUP(A8,[12]HISTOBQUEMAI23!$A$6:$G$39,5,0)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VLOOKUP(A9,[12]HISTOBQUEMAI23!$A$6:$G$44,3,0)</f>
        <v>145000</v>
      </c>
      <c r="E9" s="9">
        <f>VLOOKUP(A9,[12]HISTOBQUEMAI23!$A$6:$G$39,4,0)</f>
        <v>23000</v>
      </c>
      <c r="F9" s="9">
        <f>VLOOKUP(A9,[12]HISTOBQUEMAI23!$A$6:$G$39,5,0)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VLOOKUP($A9,[15]TONTMAI23!$A$6:$P$35,12,0)</f>
        <v>23000</v>
      </c>
      <c r="Q9" s="2"/>
      <c r="R9" s="2">
        <f>VLOOKUP($A9,[14]TONTMAI23!$A$6:$P$21,10,0)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VLOOKUP(A10,[12]HISTOBQUEMAI23!$A$6:$G$44,3,0)</f>
        <v>0</v>
      </c>
      <c r="E10" s="9">
        <f>VLOOKUP(A10,[12]HISTOBQUEMAI23!$A$6:$G$39,4,0)</f>
        <v>105000</v>
      </c>
      <c r="F10" s="9">
        <f>VLOOKUP(A10,[12]HISTOBQUEMAI23!$A$6:$G$39,5,0)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VLOOKUP(A11,[12]HISTOBQUEMAI23!$A$6:$G$44,3,0)</f>
        <v>267000</v>
      </c>
      <c r="E11" s="9">
        <f>VLOOKUP(A11,[12]HISTOBQUEMAI23!$A$6:$G$39,4,0)</f>
        <v>0</v>
      </c>
      <c r="F11" s="9">
        <f>VLOOKUP(A11,[12]HISTOBQUEMAI23!$A$6:$G$39,5,0)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VLOOKUP(A12,[12]HISTOBQUEMAI23!$A$6:$G$44,3,0)</f>
        <v>420000</v>
      </c>
      <c r="E12" s="9">
        <f>VLOOKUP(A12,[12]HISTOBQUEMAI23!$A$6:$G$39,4,0)</f>
        <v>0</v>
      </c>
      <c r="F12" s="9">
        <f>VLOOKUP(A12,[12]HISTOBQUEMAI23!$A$6:$G$39,5,0)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VLOOKUP($A12,[15]TONTMAI23!$A$6:$P$35,12,0)</f>
        <v>0</v>
      </c>
      <c r="Q12" s="2">
        <f>VLOOKUP($A12,[13]TONTMAI23!$A$6:$P$20,10,0)</f>
        <v>0</v>
      </c>
      <c r="R12" s="2">
        <f>VLOOKUP($A12,[14]TONTMAI23!$A$6:$P$21,10,0)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VLOOKUP(A13,[12]HISTOBQUEMAI23!$A$6:$G$44,3,0)</f>
        <v>40000</v>
      </c>
      <c r="E13" s="9">
        <f>VLOOKUP(A13,[12]HISTOBQUEMAI23!$A$6:$G$39,4,0)</f>
        <v>0</v>
      </c>
      <c r="F13" s="9">
        <f>VLOOKUP(A13,[12]HISTOBQUEMAI23!$A$6:$G$39,5,0)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VLOOKUP(A14,[12]HISTOBQUEMAI23!$A$6:$G$44,3,0)</f>
        <v>40000</v>
      </c>
      <c r="E14" s="9">
        <f>VLOOKUP(A14,[12]HISTOBQUEMAI23!$A$6:$G$39,4,0)</f>
        <v>0</v>
      </c>
      <c r="F14" s="9">
        <f>VLOOKUP(A14,[12]HISTOBQUEMAI23!$A$6:$G$39,5,0)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VLOOKUP(A15,[12]HISTOBQUEMAI23!$A$6:$G$44,3,0)</f>
        <v>0</v>
      </c>
      <c r="E15" s="9">
        <f>VLOOKUP(A15,[12]HISTOBQUEMAI23!$A$6:$G$39,4,0)</f>
        <v>118000</v>
      </c>
      <c r="F15" s="9">
        <f>VLOOKUP(A15,[12]HISTOBQUEMAI23!$A$6:$G$39,5,0)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VLOOKUP(A16,[12]HISTOBQUEMAI23!$A$6:$G$44,3,0)</f>
        <v>230000</v>
      </c>
      <c r="E16" s="9">
        <f>VLOOKUP(A16,[12]HISTOBQUEMAI23!$A$6:$G$39,4,0)</f>
        <v>0</v>
      </c>
      <c r="F16" s="9">
        <f>VLOOKUP(A16,[12]HISTOBQUEMAI23!$A$6:$G$39,5,0)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VLOOKUP($A16,[15]TONTMAI23!$A$6:$P$35,12,0)</f>
        <v>0</v>
      </c>
      <c r="Q16" s="2">
        <f>VLOOKUP($A16,[13]TONTMAI23!$A$6:$P$20,10,0)</f>
        <v>0</v>
      </c>
      <c r="R16" s="2">
        <f>VLOOKUP($A16,[14]TONTMAI23!$A$6:$P$21,10,0)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VLOOKUP(A17,[12]HISTOBQUEMAI23!$A$6:$G$44,3,0)</f>
        <v>140000</v>
      </c>
      <c r="E17" s="9">
        <f>VLOOKUP(A17,[12]HISTOBQUEMAI23!$A$6:$G$39,4,0)</f>
        <v>0</v>
      </c>
      <c r="F17" s="9">
        <f>VLOOKUP(A17,[12]HISTOBQUEMAI23!$A$6:$G$39,5,0)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VLOOKUP($A17,[15]TONTMAI23!$A$6:$P$35,12,0)</f>
        <v>0</v>
      </c>
      <c r="Q17" s="2"/>
      <c r="R17" s="2">
        <f>VLOOKUP($A17,[14]TONTMAI23!$A$6:$P$21,10,0)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9">
        <f t="shared" si="0"/>
        <v>0</v>
      </c>
      <c r="D18" s="9">
        <f>VLOOKUP(A18,[12]HISTOBQUEMAI23!$A$6:$G$44,3,0)</f>
        <v>315000</v>
      </c>
      <c r="E18" s="9">
        <f>VLOOKUP(A18,[12]HISTOBQUEMAI23!$A$6:$G$39,4,0)</f>
        <v>0</v>
      </c>
      <c r="F18" s="9">
        <f>VLOOKUP(A18,[12]HISTOBQUEMAI23!$A$6:$G$39,5,0)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VLOOKUP($A18,[15]TONTMAI23!$A$6:$P$35,12,0)</f>
        <v>0</v>
      </c>
      <c r="Q18" s="2">
        <f>VLOOKUP($A18,[13]TONTMAI23!$A$6:$P$20,10,0)</f>
        <v>101000</v>
      </c>
      <c r="R18" s="2">
        <f>VLOOKUP($A18,[14]TONTMAI23!$A$6:$P$21,10,0)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VLOOKUP(A19,[12]HISTOBQUEMAI23!$A$6:$G$44,3,0)</f>
        <v>40000</v>
      </c>
      <c r="E19" s="9">
        <f>VLOOKUP(A19,[12]HISTOBQUEMAI23!$A$6:$G$39,4,0)</f>
        <v>0</v>
      </c>
      <c r="F19" s="9">
        <f>VLOOKUP(A19,[12]HISTOBQUEMAI23!$A$6:$G$39,5,0)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VLOOKUP(A20,[12]HISTOBQUEMAI23!$A$6:$G$44,3,0)</f>
        <v>215000</v>
      </c>
      <c r="E20" s="9">
        <f>VLOOKUP(A20,[12]HISTOBQUEMAI23!$A$6:$G$39,4,0)</f>
        <v>0</v>
      </c>
      <c r="F20" s="9">
        <f>VLOOKUP(A20,[12]HISTOBQUEMAI23!$A$6:$G$39,5,0)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VLOOKUP($A20,[15]TONTMAI23!$A$6:$P$35,12,0)</f>
        <v>0</v>
      </c>
      <c r="Q20" s="2">
        <f>VLOOKUP($A20,[13]TONTMAI23!$A$6:$P$20,10,0)</f>
        <v>0</v>
      </c>
      <c r="R20" s="2">
        <f>VLOOKUP($A20,[14]TONTMAI23!$A$6:$P$21,10,0)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VLOOKUP(A21,[12]HISTOBQUEMAI23!$A$6:$G$44,3,0)</f>
        <v>40000</v>
      </c>
      <c r="E21" s="9">
        <f>VLOOKUP(A21,[12]HISTOBQUEMAI23!$A$6:$G$39,4,0)</f>
        <v>0</v>
      </c>
      <c r="F21" s="9">
        <f>VLOOKUP(A21,[12]HISTOBQUEMAI23!$A$6:$G$39,5,0)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VLOOKUP(A22,[12]HISTOBQUEMAI23!$A$6:$G$44,3,0)</f>
        <v>115000</v>
      </c>
      <c r="E22" s="9">
        <f>VLOOKUP(A22,[12]HISTOBQUEMAI23!$A$6:$G$39,4,0)</f>
        <v>0</v>
      </c>
      <c r="F22" s="9">
        <f>VLOOKUP(A22,[12]HISTOBQUEMAI23!$A$6:$G$39,5,0)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VLOOKUP(A23,[12]HISTOBQUEMAI23!$A$6:$G$44,3,0)</f>
        <v>250000</v>
      </c>
      <c r="E23" s="9">
        <f>VLOOKUP(A23,[12]HISTOBQUEMAI23!$A$6:$G$39,4,0)</f>
        <v>0</v>
      </c>
      <c r="F23" s="9">
        <f>VLOOKUP(A23,[12]HISTOBQUEMAI23!$A$6:$G$39,5,0)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VLOOKUP($A23,[15]TONTMAI23!$A$6:$P$35,12,0)</f>
        <v>0</v>
      </c>
      <c r="Q23" s="2"/>
      <c r="R23" s="2">
        <f>VLOOKUP($A23,[14]TONTMAI23!$A$6:$P$21,10,0)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VLOOKUP(A24,[12]HISTOBQUEMAI23!$A$6:$G$44,3,0)</f>
        <v>210000</v>
      </c>
      <c r="E24" s="9">
        <f>VLOOKUP(A24,[12]HISTOBQUEMAI23!$A$6:$G$39,4,0)</f>
        <v>0</v>
      </c>
      <c r="F24" s="9">
        <f>VLOOKUP(A24,[12]HISTOBQUEMAI23!$A$6:$G$39,5,0)+70000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VLOOKUP($A24,[15]TONTMAI23!$A$6:$P$35,12,0)</f>
        <v>0</v>
      </c>
      <c r="Q24" s="2">
        <f>VLOOKUP($A24,[13]TONTMAI23!$A$6:$P$20,10,0)</f>
        <v>0</v>
      </c>
      <c r="R24" s="2">
        <f>VLOOKUP($A24,[14]TONTMAI23!$A$6:$P$21,10,0)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149</v>
      </c>
      <c r="BO24" t="s">
        <v>144</v>
      </c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VLOOKUP(A25,[12]HISTOBQUEMAI23!$A$6:$G$44,3,0)+27000</f>
        <v>407000</v>
      </c>
      <c r="E25" s="9">
        <f>VLOOKUP(A25,[12]HISTOBQUEMAI23!$A$6:$G$39,4,0)</f>
        <v>0</v>
      </c>
      <c r="F25" s="9">
        <f>VLOOKUP(A25,[12]HISTOBQUEMAI23!$A$6:$G$39,5,0)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VLOOKUP($A25,[15]TONTMAI23!$A$6:$P$35,12,0)</f>
        <v>0</v>
      </c>
      <c r="Q25" s="2">
        <f>VLOOKUP($A25,[13]TONTMAI23!$A$6:$P$20,10,0)</f>
        <v>0</v>
      </c>
      <c r="R25" s="2">
        <f>VLOOKUP($A25,[14]TONTMAI23!$A$6:$P$21,10,0)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VLOOKUP(A26,[12]HISTOBQUEMAI23!$A$6:$G$44,3,0)</f>
        <v>0</v>
      </c>
      <c r="E26" s="9">
        <f>VLOOKUP(A26,[12]HISTOBQUEMAI23!$A$6:$G$39,4,0)</f>
        <v>104000</v>
      </c>
      <c r="F26" s="9">
        <f>VLOOKUP(A26,[12]HISTOBQUEMAI23!$A$6:$G$39,5,0)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9">
        <f t="shared" si="0"/>
        <v>120000</v>
      </c>
      <c r="D27" s="9">
        <f>VLOOKUP(A27,[12]HISTOBQUEMAI23!$A$6:$G$44,3,0)</f>
        <v>560000</v>
      </c>
      <c r="E27" s="9">
        <f>VLOOKUP(A27,[12]HISTOBQUEMAI23!$A$6:$G$39,4,0)</f>
        <v>0</v>
      </c>
      <c r="F27" s="9">
        <f>VLOOKUP(A27,[12]HISTOBQUEMAI23!$A$6:$G$39,5,0)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VLOOKUP(A28,[12]HISTOBQUEMAI23!$A$6:$G$44,3,0)</f>
        <v>115000</v>
      </c>
      <c r="E28" s="9">
        <f>VLOOKUP(A28,[12]HISTOBQUEMAI23!$A$6:$G$39,4,0)</f>
        <v>0</v>
      </c>
      <c r="F28" s="9">
        <f>VLOOKUP(A28,[12]HISTOBQUEMAI23!$A$6:$G$39,5,0)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VLOOKUP(A29,[12]HISTOBQUEMAI23!$A$6:$G$44,3,0)</f>
        <v>40000</v>
      </c>
      <c r="E29" s="9">
        <f>VLOOKUP(A29,[12]HISTOBQUEMAI23!$A$6:$G$39,4,0)</f>
        <v>0</v>
      </c>
      <c r="F29" s="9">
        <f>VLOOKUP(A29,[12]HISTOBQUEMAI23!$A$6:$G$39,5,0)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VLOOKUP(A30,[12]HISTOBQUEMAI23!$A$6:$G$44,3,0)</f>
        <v>115000</v>
      </c>
      <c r="E30" s="9">
        <f>VLOOKUP(A30,[12]HISTOBQUEMAI23!$A$6:$G$39,4,0)</f>
        <v>0</v>
      </c>
      <c r="F30" s="9">
        <f>VLOOKUP(A30,[12]HISTOBQUEMAI23!$A$6:$G$39,5,0)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>
        <v>200000</v>
      </c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VLOOKUP(A31,[12]HISTOBQUEMAI23!$A$6:$G$44,3,0)</f>
        <v>140000</v>
      </c>
      <c r="E31" s="9">
        <f>VLOOKUP(A31,[12]HISTOBQUEMAI23!$A$6:$G$39,4,0)</f>
        <v>0</v>
      </c>
      <c r="F31" s="9">
        <f>VLOOKUP(A31,[12]HISTOBQUEMAI23!$A$6:$G$39,5,0)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VLOOKUP($A31,[15]TONTMAI23!$A$6:$P$35,12,0)</f>
        <v>0</v>
      </c>
      <c r="Q31" s="2"/>
      <c r="R31" s="2">
        <f>VLOOKUP($A31,[14]TONTMAI23!$A$6:$P$21,10,0)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VLOOKUP(A32,[12]HISTOBQUEMAI23!$A$6:$G$44,3,0)</f>
        <v>255000</v>
      </c>
      <c r="E32" s="9">
        <f>VLOOKUP(A32,[12]HISTOBQUEMAI23!$A$6:$G$39,4,0)</f>
        <v>0</v>
      </c>
      <c r="F32" s="9">
        <f>VLOOKUP(A32,[12]HISTOBQUEMAI23!$A$6:$G$39,5,0)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9">
        <f t="shared" si="0"/>
        <v>-3000</v>
      </c>
      <c r="D33" s="9">
        <f>VLOOKUP(A33,[12]HISTOBQUEMAI23!$A$6:$G$44,3,0)</f>
        <v>0</v>
      </c>
      <c r="E33" s="9">
        <f>VLOOKUP(A33,[12]HISTOBQUEMAI23!$A$6:$G$39,4,0)</f>
        <v>40000</v>
      </c>
      <c r="F33" s="9">
        <f>VLOOKUP(A33,[12]HISTOBQUEMAI23!$A$6:$G$39,5,0)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200000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VLOOKUP(A34,[12]HISTOBQUEMAI23!$A$6:$G$44,3,0)</f>
        <v>100000</v>
      </c>
      <c r="E34" s="9">
        <f>VLOOKUP(A34,[12]HISTOBQUEMAI23!$A$6:$G$39,4,0)</f>
        <v>0</v>
      </c>
      <c r="F34" s="9">
        <f>VLOOKUP(A34,[12]HISTOBQUEMAI23!$A$6:$G$39,5,0)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9">
        <f t="shared" si="0"/>
        <v>43000</v>
      </c>
      <c r="D35" s="9">
        <f>VLOOKUP(A35,[12]HISTOBQUEMAI23!$A$6:$G$44,3,0)</f>
        <v>0</v>
      </c>
      <c r="E35" s="9">
        <f>VLOOKUP(A35,[12]HISTOBQUEMAI23!$A$6:$G$39,4,0)</f>
        <v>86000</v>
      </c>
      <c r="F35" s="9">
        <f>VLOOKUP(A35,[12]HISTOBQUEMAI23!$A$6:$G$39,5,0)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VLOOKUP(A36,[12]HISTOBQUEMAI23!$A$6:$G$44,3,0)</f>
        <v>290000</v>
      </c>
      <c r="E36" s="9">
        <f>VLOOKUP(A36,[12]HISTOBQUEMAI23!$A$6:$G$39,4,0)</f>
        <v>0</v>
      </c>
      <c r="F36" s="9">
        <f>VLOOKUP(A36,[12]HISTOBQUEMAI23!$A$6:$G$39,5,0)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VLOOKUP($A36,[15]TONTMAI23!$A$6:$P$35,12,0)</f>
        <v>0</v>
      </c>
      <c r="Q36" s="2">
        <f>VLOOKUP($A36,[13]TONTMAI23!$A$6:$P$20,10,0)</f>
        <v>0</v>
      </c>
      <c r="R36" s="2">
        <f>VLOOKUP($A36,[14]TONTMAI23!$A$6:$P$21,10,0)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306000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VLOOKUP(A6,[12]HISTOBQUEJUIN23!$A$6:$G$44,3,0)</f>
        <v>175000</v>
      </c>
      <c r="E6" s="9">
        <f>VLOOKUP(A6,[12]HISTOBQUEJUIN23!$A$6:$G$39,4,0)</f>
        <v>0</v>
      </c>
      <c r="F6" s="9">
        <f>VLOOKUP(A6,[12]HISTOBQUEJUIN23!$A$6:$G$39,5,0)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VLOOKUP($A6,[14]TONTJUIN23!$A$6:$P$21,10,0)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VLOOKUP(A7,[12]HISTOBQUEJUIN23!$A$6:$G$44,3,0)</f>
        <v>40000</v>
      </c>
      <c r="E7" s="9">
        <f>VLOOKUP(A7,[12]HISTOBQUEJUIN23!$A$6:$G$39,4,0)</f>
        <v>0</v>
      </c>
      <c r="F7" s="9">
        <f>VLOOKUP(A7,[12]HISTOBQUEJUIN23!$A$6:$G$39,5,0)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VLOOKUP(A8,[12]HISTOBQUEJUIN23!$A$6:$G$44,3,0)+500000</f>
        <v>615000</v>
      </c>
      <c r="E8" s="9">
        <f>VLOOKUP(A8,[12]HISTOBQUEJUIN23!$A$6:$G$39,4,0)</f>
        <v>0</v>
      </c>
      <c r="F8" s="9">
        <f>VLOOKUP(A8,[12]HISTOBQUEJUIN23!$A$6:$G$39,5,0)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118</v>
      </c>
      <c r="BO8" t="s">
        <v>115</v>
      </c>
      <c r="BP8" s="6">
        <v>15000</v>
      </c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VLOOKUP(A9,[12]HISTOBQUEJUIN23!$A$6:$G$44,3,0)</f>
        <v>191000</v>
      </c>
      <c r="E9" s="9">
        <f>VLOOKUP(A9,[12]HISTOBQUEJUIN23!$A$6:$G$39,4,0)</f>
        <v>0</v>
      </c>
      <c r="F9" s="9">
        <f>VLOOKUP(A9,[12]HISTOBQUEJUIN23!$A$6:$G$39,5,0)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VLOOKUP($A9,[15]TONTJUIN23!$A$6:$P$35,12,0)</f>
        <v>0</v>
      </c>
      <c r="Q9" s="2"/>
      <c r="R9" s="2">
        <f>VLOOKUP($A9,[14]TONTJUIN23!$A$6:$P$21,10,0)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VLOOKUP(A10,[12]HISTOBQUEJUIN23!$A$6:$G$44,3,0)</f>
        <v>0</v>
      </c>
      <c r="E10" s="9">
        <f>VLOOKUP(A10,[12]HISTOBQUEJUIN23!$A$6:$G$39,4,0)</f>
        <v>43000</v>
      </c>
      <c r="F10" s="9">
        <f>VLOOKUP(A10,[12]HISTOBQUEJUIN23!$A$6:$G$39,5,0)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-500</v>
      </c>
      <c r="D11" s="9">
        <f>VLOOKUP(A11,[12]HISTOBQUEJUIN23!$A$6:$G$44,3,0)+81500</f>
        <v>251500</v>
      </c>
      <c r="E11" s="9">
        <f>VLOOKUP(A11,[12]HISTOBQUEJUIN23!$A$6:$G$39,4,0)</f>
        <v>0</v>
      </c>
      <c r="F11" s="9">
        <f>VLOOKUP(A11,[12]HISTOBQUEJUIN23!$A$6:$G$39,5,0)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>
        <v>3000</v>
      </c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VLOOKUP(A12,[12]HISTOBQUEJUIN23!$A$6:$G$44,3,0)+202500</f>
        <v>590500</v>
      </c>
      <c r="E12" s="9">
        <f>VLOOKUP(A12,[12]HISTOBQUEJUIN23!$A$6:$G$39,4,0)</f>
        <v>0</v>
      </c>
      <c r="F12" s="9">
        <f>VLOOKUP(A12,[12]HISTOBQUEJUIN23!$A$6:$G$39,5,0)+1000000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VLOOKUP($A12,[15]TONTJUIN23!$A$6:$P$35,12,0)</f>
        <v>0</v>
      </c>
      <c r="Q12" s="2">
        <f>VLOOKUP($A12,[13]TONTJUIN23!$A$6:$P$20,10,0)</f>
        <v>39000</v>
      </c>
      <c r="R12" s="2">
        <f>VLOOKUP($A12,[14]TONTJUIN23!$A$6:$P$21,10,0)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VLOOKUP(A13,[12]HISTOBQUEJUIN23!$A$6:$G$44,3,0)</f>
        <v>40000</v>
      </c>
      <c r="E13" s="9">
        <f>VLOOKUP(A13,[12]HISTOBQUEJUIN23!$A$6:$G$39,4,0)</f>
        <v>0</v>
      </c>
      <c r="F13" s="9">
        <f>VLOOKUP(A13,[12]HISTOBQUEJUIN23!$A$6:$G$39,5,0)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VLOOKUP(A14,[12]HISTOBQUEJUIN23!$A$6:$G$44,3,0)</f>
        <v>40000</v>
      </c>
      <c r="E14" s="9">
        <f>VLOOKUP(A14,[12]HISTOBQUEJUIN23!$A$6:$G$39,4,0)</f>
        <v>0</v>
      </c>
      <c r="F14" s="9">
        <f>VLOOKUP(A14,[12]HISTOBQUEJUIN23!$A$6:$G$39,5,0)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VLOOKUP(A15,[12]HISTOBQUEJUIN23!$A$6:$G$44,3,0)</f>
        <v>115000</v>
      </c>
      <c r="E15" s="9">
        <f>VLOOKUP(A15,[12]HISTOBQUEJUIN23!$A$6:$G$39,4,0)</f>
        <v>0</v>
      </c>
      <c r="F15" s="9">
        <f>VLOOKUP(A15,[12]HISTOBQUEJUIN23!$A$6:$G$39,5,0)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VLOOKUP(A16,[12]HISTOBQUEJUIN23!$A$6:$G$44,3,0)</f>
        <v>250000</v>
      </c>
      <c r="E16" s="9">
        <f>VLOOKUP(A16,[12]HISTOBQUEJUIN23!$A$6:$G$39,4,0)</f>
        <v>0</v>
      </c>
      <c r="F16" s="9">
        <f>VLOOKUP(A16,[12]HISTOBQUEJUIN23!$A$6:$G$39,5,0)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VLOOKUP($A16,[15]TONTJUIN23!$A$6:$P$35,12,0)</f>
        <v>0</v>
      </c>
      <c r="Q16" s="2">
        <f>VLOOKUP($A16,[13]TONTJUIN23!$A$6:$P$20,10,0)</f>
        <v>0</v>
      </c>
      <c r="R16" s="2">
        <f>VLOOKUP($A16,[14]TONTJUIN23!$A$6:$P$21,10,0)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143</v>
      </c>
      <c r="BP16" s="62">
        <f>SUM(BP6:BP15)</f>
        <v>24000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VLOOKUP(A17,[12]HISTOBQUEJUIN23!$A$6:$G$44,3,0)</f>
        <v>140000</v>
      </c>
      <c r="E17" s="9">
        <f>VLOOKUP(A17,[12]HISTOBQUEJUIN23!$A$6:$G$39,4,0)</f>
        <v>0</v>
      </c>
      <c r="F17" s="9">
        <f>VLOOKUP(A17,[12]HISTOBQUEJUIN23!$A$6:$G$39,5,0)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VLOOKUP($A17,[15]TONTJUIN23!$A$6:$P$35,12,0)</f>
        <v>0</v>
      </c>
      <c r="Q17" s="2"/>
      <c r="R17" s="2">
        <f>VLOOKUP($A17,[14]TONTJUIN23!$A$6:$P$21,10,0)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VLOOKUP(A18,[12]HISTOBQUEJUIN23!$A$6:$G$44,3,0)</f>
        <v>1215000</v>
      </c>
      <c r="E18" s="9">
        <f>VLOOKUP(A18,[12]HISTOBQUEJUIN23!$A$6:$G$39,4,0)</f>
        <v>0</v>
      </c>
      <c r="F18" s="9">
        <f>VLOOKUP(A18,[12]HISTOBQUEJUIN23!$A$6:$G$39,5,0)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VLOOKUP($A18,[15]TONTJUIN23!$A$6:$P$35,12,0)</f>
        <v>0</v>
      </c>
      <c r="Q18" s="2">
        <f>VLOOKUP($A18,[13]TONTJUIN23!$A$6:$P$20,10,0)</f>
        <v>0</v>
      </c>
      <c r="R18" s="2">
        <f>VLOOKUP($A18,[14]TONTJUIN23!$A$6:$P$21,10,0)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VLOOKUP(A19,[12]HISTOBQUEJUIN23!$A$6:$G$44,3,0)</f>
        <v>40000</v>
      </c>
      <c r="E19" s="9">
        <f>VLOOKUP(A19,[12]HISTOBQUEJUIN23!$A$6:$G$39,4,0)</f>
        <v>0</v>
      </c>
      <c r="F19" s="9">
        <f>VLOOKUP(A19,[12]HISTOBQUEJUIN23!$A$6:$G$39,5,0)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>D20+E20+F20-U20-BB20-202000-81500-500000</f>
        <v>0</v>
      </c>
      <c r="D20" s="9">
        <f>VLOOKUP(A20,[12]HISTOBQUEJUIN23!$A$6:$G$44,3,0)-500</f>
        <v>997500</v>
      </c>
      <c r="E20" s="9">
        <f>VLOOKUP(A20,[12]HISTOBQUEJUIN23!$A$6:$G$39,4,0)</f>
        <v>0</v>
      </c>
      <c r="F20" s="9">
        <f>VLOOKUP(A20,[12]HISTOBQUEJUIN23!$A$6:$G$39,5,0)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VLOOKUP($A20,[15]TONTJUIN23!$A$6:$P$35,12,0)</f>
        <v>0</v>
      </c>
      <c r="Q20" s="2">
        <f>VLOOKUP($A20,[13]TONTJUIN23!$A$6:$P$20,10,0)</f>
        <v>0</v>
      </c>
      <c r="R20" s="2">
        <f>VLOOKUP($A20,[14]TONTJUIN23!$A$6:$P$21,10,0)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VLOOKUP(A21,[12]HISTOBQUEJUIN23!$A$6:$G$44,3,0)</f>
        <v>40000</v>
      </c>
      <c r="E21" s="9">
        <f>VLOOKUP(A21,[12]HISTOBQUEJUIN23!$A$6:$G$39,4,0)</f>
        <v>0</v>
      </c>
      <c r="F21" s="9">
        <f>VLOOKUP(A21,[12]HISTOBQUEJUIN23!$A$6:$G$39,5,0)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VLOOKUP(A22,[12]HISTOBQUEJUIN23!$A$6:$G$44,3,0)</f>
        <v>115000</v>
      </c>
      <c r="E22" s="9">
        <f>VLOOKUP(A22,[12]HISTOBQUEJUIN23!$A$6:$G$39,4,0)</f>
        <v>0</v>
      </c>
      <c r="F22" s="9">
        <f>VLOOKUP(A22,[12]HISTOBQUEJUIN23!$A$6:$G$39,5,0)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VLOOKUP(A23,[12]HISTOBQUEJUIN23!$A$6:$G$44,3,0)</f>
        <v>452000</v>
      </c>
      <c r="E23" s="9">
        <f>VLOOKUP(A23,[12]HISTOBQUEJUIN23!$A$6:$G$39,4,0)</f>
        <v>0</v>
      </c>
      <c r="F23" s="9">
        <f>VLOOKUP(A23,[12]HISTOBQUEJUIN23!$A$6:$G$39,5,0)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VLOOKUP($A23,[15]TONTJUIN23!$A$6:$P$35,12,0)</f>
        <v>0</v>
      </c>
      <c r="Q23" s="2"/>
      <c r="R23" s="2">
        <f>VLOOKUP($A23,[14]TONTJUIN23!$A$6:$P$21,10,0)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VLOOKUP(A24,[12]HISTOBQUEJUIN23!$A$6:$G$44,3,0)</f>
        <v>215000</v>
      </c>
      <c r="E24" s="9">
        <f>VLOOKUP(A24,[12]HISTOBQUEJUIN23!$A$6:$G$39,4,0)</f>
        <v>0</v>
      </c>
      <c r="F24" s="9">
        <f>VLOOKUP(A24,[12]HISTOBQUEJUIN23!$A$6:$G$39,5,0)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VLOOKUP($A24,[15]TONTJUIN23!$A$6:$P$35,12,0)</f>
        <v>0</v>
      </c>
      <c r="Q24" s="2">
        <f>VLOOKUP($A24,[13]TONTJUIN23!$A$6:$P$20,10,0)</f>
        <v>0</v>
      </c>
      <c r="R24" s="2">
        <f>VLOOKUP($A24,[14]TONTJUIN23!$A$6:$P$21,10,0)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149</v>
      </c>
      <c r="BO24" t="s">
        <v>144</v>
      </c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VLOOKUP(A25,[12]HISTOBQUEJUIN23!$A$6:$G$44,3,0)</f>
        <v>350000</v>
      </c>
      <c r="E25" s="9">
        <f>VLOOKUP(A25,[12]HISTOBQUEJUIN23!$A$6:$G$39,4,0)</f>
        <v>0</v>
      </c>
      <c r="F25" s="9">
        <f>VLOOKUP(A25,[12]HISTOBQUEJUIN23!$A$6:$G$39,5,0)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VLOOKUP($A25,[15]TONTJUIN23!$A$6:$P$35,12,0)</f>
        <v>0</v>
      </c>
      <c r="Q25" s="2">
        <f>VLOOKUP($A25,[13]TONTJUIN23!$A$6:$P$20,10,0)</f>
        <v>51000</v>
      </c>
      <c r="R25" s="2">
        <f>VLOOKUP($A25,[14]TONTJUIN23!$A$6:$P$21,10,0)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VLOOKUP(A26,[12]HISTOBQUEJUIN23!$A$6:$G$44,3,0)</f>
        <v>40000</v>
      </c>
      <c r="E26" s="9">
        <f>VLOOKUP(A26,[12]HISTOBQUEJUIN23!$A$6:$G$39,4,0)</f>
        <v>0</v>
      </c>
      <c r="F26" s="9">
        <f>VLOOKUP(A26,[12]HISTOBQUEJUIN23!$A$6:$G$39,5,0)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193</v>
      </c>
      <c r="BO26" t="s">
        <v>144</v>
      </c>
      <c r="BP26" s="62">
        <v>20000</v>
      </c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VLOOKUP(A27,[12]HISTOBQUEJUIN23!$A$6:$G$44,3,0)</f>
        <v>45000</v>
      </c>
      <c r="E27" s="9">
        <f>VLOOKUP(A27,[12]HISTOBQUEJUIN23!$A$6:$G$39,4,0)</f>
        <v>0</v>
      </c>
      <c r="F27" s="9">
        <f>VLOOKUP(A27,[12]HISTOBQUEJUIN23!$A$6:$G$39,5,0)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VLOOKUP(A28,[12]HISTOBQUEJUIN23!$A$6:$G$44,3,0)</f>
        <v>115000</v>
      </c>
      <c r="E28" s="9">
        <f>VLOOKUP(A28,[12]HISTOBQUEJUIN23!$A$6:$G$39,4,0)</f>
        <v>0</v>
      </c>
      <c r="F28" s="9">
        <f>VLOOKUP(A28,[12]HISTOBQUEJUIN23!$A$6:$G$39,5,0)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20000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VLOOKUP(A29,[12]HISTOBQUEJUIN23!$A$6:$G$44,3,0)</f>
        <v>40000</v>
      </c>
      <c r="E29" s="9">
        <f>VLOOKUP(A29,[12]HISTOBQUEJUIN23!$A$6:$G$39,4,0)</f>
        <v>0</v>
      </c>
      <c r="F29" s="9">
        <f>VLOOKUP(A29,[12]HISTOBQUEJUIN23!$A$6:$G$39,5,0)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VLOOKUP(A30,[12]HISTOBQUEJUIN23!$A$6:$G$44,3,0)</f>
        <v>115000</v>
      </c>
      <c r="E30" s="9">
        <f>VLOOKUP(A30,[12]HISTOBQUEJUIN23!$A$6:$G$39,4,0)</f>
        <v>0</v>
      </c>
      <c r="F30" s="9">
        <f>VLOOKUP(A30,[12]HISTOBQUEJUIN23!$A$6:$G$39,5,0)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VLOOKUP(A31,[12]HISTOBQUEJUIN23!$A$6:$G$44,3,0)</f>
        <v>140000</v>
      </c>
      <c r="E31" s="9">
        <f>VLOOKUP(A31,[12]HISTOBQUEJUIN23!$A$6:$G$39,4,0)</f>
        <v>0</v>
      </c>
      <c r="F31" s="9">
        <f>VLOOKUP(A31,[12]HISTOBQUEJUIN23!$A$6:$G$39,5,0)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VLOOKUP($A31,[15]TONTJUIN23!$A$6:$P$35,12,0)</f>
        <v>0</v>
      </c>
      <c r="Q31" s="2"/>
      <c r="R31" s="2">
        <f>VLOOKUP($A31,[14]TONTJUIN23!$A$6:$P$21,10,0)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VLOOKUP(A32,[12]HISTOBQUEJUIN23!$A$6:$G$44,3,0)</f>
        <v>217000</v>
      </c>
      <c r="E32" s="9">
        <f>VLOOKUP(A32,[12]HISTOBQUEJUIN23!$A$6:$G$39,4,0)</f>
        <v>0</v>
      </c>
      <c r="F32" s="9">
        <f>VLOOKUP(A32,[12]HISTOBQUEJUIN23!$A$6:$G$39,5,0)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VLOOKUP(A33,[12]HISTOBQUEJUIN23!$A$6:$G$44,3,0)</f>
        <v>40000</v>
      </c>
      <c r="E33" s="9">
        <f>VLOOKUP(A33,[12]HISTOBQUEJUIN23!$A$6:$G$39,4,0)</f>
        <v>0</v>
      </c>
      <c r="F33" s="9">
        <f>VLOOKUP(A33,[12]HISTOBQUEJUIN23!$A$6:$G$39,5,0)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VLOOKUP(A34,[12]HISTOBQUEJUIN23!$A$6:$G$44,3,0)</f>
        <v>100000</v>
      </c>
      <c r="E34" s="9">
        <f>VLOOKUP(A34,[12]HISTOBQUEJUIN23!$A$6:$G$39,4,0)</f>
        <v>0</v>
      </c>
      <c r="F34" s="9">
        <f>VLOOKUP(A34,[12]HISTOBQUEJUIN23!$A$6:$G$39,5,0)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VLOOKUP(A35,[12]HISTOBQUEJUIN23!$A$6:$G$44,3,0)</f>
        <v>40000</v>
      </c>
      <c r="E35" s="9">
        <f>VLOOKUP(A35,[12]HISTOBQUEJUIN23!$A$6:$G$39,4,0)</f>
        <v>0</v>
      </c>
      <c r="F35" s="9">
        <f>VLOOKUP(A35,[12]HISTOBQUEJUIN23!$A$6:$G$39,5,0)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VLOOKUP(A36,[12]HISTOBQUEJUIN23!$A$6:$G$44,3,0)</f>
        <v>290000</v>
      </c>
      <c r="E36" s="9">
        <f>VLOOKUP(A36,[12]HISTOBQUEJUIN23!$A$6:$G$39,4,0)</f>
        <v>0</v>
      </c>
      <c r="F36" s="9">
        <f>VLOOKUP(A36,[12]HISTOBQUEJUIN23!$A$6:$G$39,5,0)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VLOOKUP($A36,[15]TONTJUIN23!$A$6:$P$35,12,0)</f>
        <v>0</v>
      </c>
      <c r="Q36" s="2">
        <f>VLOOKUP($A36,[13]TONTJUIN23!$A$6:$P$20,10,0)</f>
        <v>0</v>
      </c>
      <c r="R36" s="2">
        <f>VLOOKUP($A36,[14]TONTJUIN23!$A$6:$P$21,10,0)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181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144000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VLOOKUP(A6,[12]HISTOBQUEJUIL23!$A$6:$G$44,3,0)</f>
        <v>175000</v>
      </c>
      <c r="E6" s="9">
        <f>VLOOKUP(A6,[12]HISTOBQUEJUIL23!$A$6:$G$39,4,0)</f>
        <v>0</v>
      </c>
      <c r="F6" s="9">
        <f>VLOOKUP(A6,[12]HISTOBQUEJUIL23!$A$6:$G$39,5,0)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VLOOKUP($A6,[14]TONTJUIL23!$A$6:$P$21,10,0)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VLOOKUP(A7,[12]HISTOBQUEJUIL23!$A$6:$G$44,3,0)</f>
        <v>40000</v>
      </c>
      <c r="E7" s="9">
        <f>VLOOKUP(A7,[12]HISTOBQUEJUIL23!$A$6:$G$39,4,0)</f>
        <v>33500</v>
      </c>
      <c r="F7" s="9">
        <f>VLOOKUP(A7,[12]HISTOBQUEJUIL23!$A$6:$G$39,5,0)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VLOOKUP(A8,[12]HISTOBQUEJUIL23!$A$6:$G$44,3,0)</f>
        <v>115000</v>
      </c>
      <c r="E8" s="9">
        <f>VLOOKUP(A8,[12]HISTOBQUEJUIL23!$A$6:$G$39,4,0)</f>
        <v>0</v>
      </c>
      <c r="F8" s="9">
        <f>VLOOKUP(A8,[12]HISTOBQUEJUIL23!$A$6:$G$39,5,0)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VLOOKUP(A9,[12]HISTOBQUEJUIL23!$A$6:$G$44,3,0)</f>
        <v>241000</v>
      </c>
      <c r="E9" s="9">
        <f>VLOOKUP(A9,[12]HISTOBQUEJUIL23!$A$6:$G$39,4,0)</f>
        <v>87500</v>
      </c>
      <c r="F9" s="9">
        <f>VLOOKUP(A9,[12]HISTOBQUEJUIL23!$A$6:$G$39,5,0)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VLOOKUP($A9,[15]TONTJUIL23!$A$6:$P$35,12,0)</f>
        <v>0</v>
      </c>
      <c r="Q9" s="2"/>
      <c r="R9" s="2">
        <f>VLOOKUP($A9,[14]TONTJUIL23!$A$6:$P$21,10,0)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14">
        <f t="shared" si="0"/>
        <v>0</v>
      </c>
      <c r="D10" s="9">
        <f>VLOOKUP(A10,[12]HISTOBQUEJUIL23!$A$6:$G$44,3,0)</f>
        <v>0</v>
      </c>
      <c r="E10" s="9">
        <f>VLOOKUP(A10,[12]HISTOBQUEJUIL23!$A$6:$G$39,4,0)+3000</f>
        <v>43000</v>
      </c>
      <c r="F10" s="9">
        <f>VLOOKUP(A10,[12]HISTOBQUEJUIL23!$A$6:$G$39,5,0)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VLOOKUP(A11,[12]HISTOBQUEJUIL23!$A$6:$G$44,3,0)+50000</f>
        <v>165000</v>
      </c>
      <c r="E11" s="9">
        <f>VLOOKUP(A11,[12]HISTOBQUEJUIL23!$A$6:$G$39,4,0)</f>
        <v>85500</v>
      </c>
      <c r="F11" s="9">
        <f>VLOOKUP(A11,[12]HISTOBQUEJUIL23!$A$6:$G$39,5,0)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VLOOKUP(A12,[12]HISTOBQUEJUIL23!$A$6:$G$44,3,0)</f>
        <v>360000</v>
      </c>
      <c r="E12" s="9">
        <f>VLOOKUP(A12,[12]HISTOBQUEJUIL23!$A$6:$G$39,4,0)</f>
        <v>0</v>
      </c>
      <c r="F12" s="9">
        <f>VLOOKUP(A12,[12]HISTOBQUEJUIL23!$A$6:$G$39,5,0)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VLOOKUP($A12,[15]TONTJUIL23!$A$6:$P$35,12,0)</f>
        <v>30500</v>
      </c>
      <c r="Q12" s="2">
        <f>VLOOKUP($A12,[13]TONTJUIL23!$A$6:$P$20,10,0)</f>
        <v>0</v>
      </c>
      <c r="R12" s="2">
        <f>VLOOKUP($A12,[14]TONTJUIL23!$A$6:$P$21,10,0)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VLOOKUP(A13,[12]HISTOBQUEJUIL23!$A$6:$G$44,3,0)</f>
        <v>40000</v>
      </c>
      <c r="E13" s="9">
        <f>VLOOKUP(A13,[12]HISTOBQUEJUIL23!$A$6:$G$39,4,0)</f>
        <v>0</v>
      </c>
      <c r="F13" s="9">
        <f>VLOOKUP(A13,[12]HISTOBQUEJUIL23!$A$6:$G$39,5,0)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VLOOKUP(A14,[12]HISTOBQUEJUIL23!$A$6:$G$44,3,0)</f>
        <v>40000</v>
      </c>
      <c r="E14" s="9">
        <f>VLOOKUP(A14,[12]HISTOBQUEJUIL23!$A$6:$G$39,4,0)</f>
        <v>0</v>
      </c>
      <c r="F14" s="9">
        <f>VLOOKUP(A14,[12]HISTOBQUEJUIL23!$A$6:$G$39,5,0)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VLOOKUP(A15,[12]HISTOBQUEJUIL23!$A$6:$G$44,3,0)</f>
        <v>115000</v>
      </c>
      <c r="E15" s="9">
        <f>VLOOKUP(A15,[12]HISTOBQUEJUIL23!$A$6:$G$39,4,0)</f>
        <v>0</v>
      </c>
      <c r="F15" s="9">
        <f>VLOOKUP(A15,[12]HISTOBQUEJUIL23!$A$6:$G$39,5,0)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VLOOKUP(A16,[12]HISTOBQUEJUIL23!$A$6:$G$44,3,0)</f>
        <v>250000</v>
      </c>
      <c r="E16" s="9">
        <f>VLOOKUP(A16,[12]HISTOBQUEJUIL23!$A$6:$G$39,4,0)</f>
        <v>0</v>
      </c>
      <c r="F16" s="9">
        <f>VLOOKUP(A16,[12]HISTOBQUEJUIL23!$A$6:$G$39,5,0)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VLOOKUP($A16,[15]TONTJUIL23!$A$6:$P$35,12,0)</f>
        <v>0</v>
      </c>
      <c r="Q16" s="2">
        <f>VLOOKUP($A16,[13]TONTJUIL23!$A$6:$P$20,10,0)</f>
        <v>0</v>
      </c>
      <c r="R16" s="2">
        <f>VLOOKUP($A16,[14]TONTJUIL23!$A$6:$P$21,10,0)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VLOOKUP(A17,[12]HISTOBQUEJUIL23!$A$6:$G$44,3,0)</f>
        <v>140000</v>
      </c>
      <c r="E17" s="9">
        <f>VLOOKUP(A17,[12]HISTOBQUEJUIL23!$A$6:$G$39,4,0)</f>
        <v>0</v>
      </c>
      <c r="F17" s="9">
        <f>VLOOKUP(A17,[12]HISTOBQUEJUIL23!$A$6:$G$39,5,0)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VLOOKUP($A17,[15]TONTJUIL23!$A$6:$P$35,12,0)</f>
        <v>0</v>
      </c>
      <c r="Q17" s="2"/>
      <c r="R17" s="2">
        <f>VLOOKUP($A17,[14]TONTJUIL23!$A$6:$P$21,10,0)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VLOOKUP(A18,[12]HISTOBQUEJUIL23!$A$6:$G$44,3,0)</f>
        <v>215000</v>
      </c>
      <c r="E18" s="9">
        <f>VLOOKUP(A18,[12]HISTOBQUEJUIL23!$A$6:$G$39,4,0)</f>
        <v>0</v>
      </c>
      <c r="F18" s="9">
        <f>VLOOKUP(A18,[12]HISTOBQUEJUIL23!$A$6:$G$39,5,0)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VLOOKUP($A18,[15]TONTJUIL23!$A$6:$P$35,12,0)</f>
        <v>0</v>
      </c>
      <c r="Q18" s="2">
        <f>VLOOKUP($A18,[13]TONTJUIL23!$A$6:$P$20,10,0)</f>
        <v>0</v>
      </c>
      <c r="R18" s="2">
        <f>VLOOKUP($A18,[14]TONTJUIL23!$A$6:$P$21,10,0)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VLOOKUP(A19,[12]HISTOBQUEJUIL23!$A$6:$G$44,3,0)</f>
        <v>40000</v>
      </c>
      <c r="E19" s="9">
        <f>VLOOKUP(A19,[12]HISTOBQUEJUIL23!$A$6:$G$39,4,0)</f>
        <v>0</v>
      </c>
      <c r="F19" s="9">
        <f>VLOOKUP(A19,[12]HISTOBQUEJUIL23!$A$6:$G$39,5,0)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VLOOKUP(A20,[12]HISTOBQUEJUIL23!$A$6:$G$44,3,0)-202000-250000-50000</f>
        <v>519000</v>
      </c>
      <c r="E20" s="9">
        <f>VLOOKUP(A20,[12]HISTOBQUEJUIL23!$A$6:$G$39,4,0)</f>
        <v>0</v>
      </c>
      <c r="F20" s="9">
        <f>VLOOKUP(A20,[12]HISTOBQUEJUIL23!$A$6:$G$39,5,0)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VLOOKUP($A20,[15]TONTJUIL23!$A$6:$P$35,12,0)</f>
        <v>0</v>
      </c>
      <c r="Q20" s="2">
        <f>VLOOKUP($A20,[13]TONTJUIL23!$A$6:$P$20,10,0)</f>
        <v>102000</v>
      </c>
      <c r="R20" s="2">
        <f>VLOOKUP($A20,[14]TONTJUIL23!$A$6:$P$21,10,0)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VLOOKUP(A21,[12]HISTOBQUEJUIL23!$A$6:$G$44,3,0)</f>
        <v>40000</v>
      </c>
      <c r="E21" s="9">
        <f>VLOOKUP(A21,[12]HISTOBQUEJUIL23!$A$6:$G$39,4,0)</f>
        <v>0</v>
      </c>
      <c r="F21" s="9">
        <f>VLOOKUP(A21,[12]HISTOBQUEJUIL23!$A$6:$G$39,5,0)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VLOOKUP(A22,[12]HISTOBQUEJUIL23!$A$6:$G$44,3,0)</f>
        <v>115000</v>
      </c>
      <c r="E22" s="9">
        <f>VLOOKUP(A22,[12]HISTOBQUEJUIL23!$A$6:$G$39,4,0)</f>
        <v>0</v>
      </c>
      <c r="F22" s="9">
        <f>VLOOKUP(A22,[12]HISTOBQUEJUIL23!$A$6:$G$39,5,0)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VLOOKUP(A23,[12]HISTOBQUEJUIL23!$A$6:$G$44,3,0)+202000</f>
        <v>452000</v>
      </c>
      <c r="E23" s="9">
        <f>VLOOKUP(A23,[12]HISTOBQUEJUIL23!$A$6:$G$39,4,0)</f>
        <v>0</v>
      </c>
      <c r="F23" s="9">
        <f>VLOOKUP(A23,[12]HISTOBQUEJUIL23!$A$6:$G$39,5,0)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VLOOKUP($A23,[15]TONTJUIL23!$A$6:$P$35,12,0)</f>
        <v>0</v>
      </c>
      <c r="Q23" s="2"/>
      <c r="R23" s="2">
        <f>VLOOKUP($A23,[14]TONTJUIL23!$A$6:$P$21,10,0)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9">
        <f t="shared" si="0"/>
        <v>-122000</v>
      </c>
      <c r="D24" s="9">
        <f>VLOOKUP(A24,[12]HISTOBQUEJUIL23!$A$6:$G$44,3,0)-61000</f>
        <v>159000</v>
      </c>
      <c r="E24" s="9">
        <f>VLOOKUP(A24,[12]HISTOBQUEJUIL23!$A$6:$G$39,4,0)</f>
        <v>0</v>
      </c>
      <c r="F24" s="9">
        <f>VLOOKUP(A24,[12]HISTOBQUEJUIL23!$A$6:$G$39,5,0)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VLOOKUP($A24,[15]TONTJUIL23!$A$6:$P$35,12,0)</f>
        <v>61000</v>
      </c>
      <c r="Q24" s="2">
        <f>VLOOKUP($A24,[13]TONTJUIL23!$A$6:$P$20,10,0)</f>
        <v>0</v>
      </c>
      <c r="R24" s="2">
        <f>VLOOKUP($A24,[14]TONTJUIL23!$A$6:$P$21,10,0)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VLOOKUP(A25,[12]HISTOBQUEJUIL23!$A$6:$G$44,3,0)</f>
        <v>400000</v>
      </c>
      <c r="E25" s="9">
        <f>VLOOKUP(A25,[12]HISTOBQUEJUIL23!$A$6:$G$39,4,0)</f>
        <v>0</v>
      </c>
      <c r="F25" s="9">
        <f>VLOOKUP(A25,[12]HISTOBQUEJUIL23!$A$6:$G$39,5,0)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VLOOKUP($A25,[15]TONTJUIL23!$A$6:$P$35,12,0)</f>
        <v>0</v>
      </c>
      <c r="Q25" s="2">
        <f>VLOOKUP($A25,[13]TONTJUIL23!$A$6:$P$20,10,0)</f>
        <v>102000</v>
      </c>
      <c r="R25" s="2">
        <f>VLOOKUP($A25,[14]TONTJUIL23!$A$6:$P$21,10,0)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VLOOKUP(A26,[12]HISTOBQUEJUIL23!$A$6:$G$44,3,0)</f>
        <v>0</v>
      </c>
      <c r="E26" s="9">
        <f>VLOOKUP(A26,[12]HISTOBQUEJUIL23!$A$6:$G$39,4,0)</f>
        <v>43000</v>
      </c>
      <c r="F26" s="9">
        <f>VLOOKUP(A26,[12]HISTOBQUEJUIL23!$A$6:$G$39,5,0)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191</v>
      </c>
      <c r="BO26" t="s">
        <v>144</v>
      </c>
      <c r="BP26" s="6">
        <v>50000</v>
      </c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VLOOKUP(A27,[12]HISTOBQUEJUIL23!$A$6:$G$44,3,0)</f>
        <v>50000</v>
      </c>
      <c r="E27" s="9">
        <f>VLOOKUP(A27,[12]HISTOBQUEJUIL23!$A$6:$G$39,4,0)</f>
        <v>0</v>
      </c>
      <c r="F27" s="9">
        <f>VLOOKUP(A27,[12]HISTOBQUEJUIL23!$A$6:$G$39,5,0)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VLOOKUP(A28,[12]HISTOBQUEJUIL23!$A$6:$G$44,3,0)</f>
        <v>115000</v>
      </c>
      <c r="E28" s="9">
        <f>VLOOKUP(A28,[12]HISTOBQUEJUIL23!$A$6:$G$39,4,0)</f>
        <v>0</v>
      </c>
      <c r="F28" s="9">
        <f>VLOOKUP(A28,[12]HISTOBQUEJUIL23!$A$6:$G$39,5,0)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50000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VLOOKUP(A29,[12]HISTOBQUEJUIL23!$A$6:$G$44,3,0)</f>
        <v>40000</v>
      </c>
      <c r="E29" s="9">
        <f>VLOOKUP(A29,[12]HISTOBQUEJUIL23!$A$6:$G$39,4,0)</f>
        <v>0</v>
      </c>
      <c r="F29" s="9">
        <f>VLOOKUP(A29,[12]HISTOBQUEJUIL23!$A$6:$G$39,5,0)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VLOOKUP(A30,[12]HISTOBQUEJUIL23!$A$6:$G$44,3,0)</f>
        <v>115000</v>
      </c>
      <c r="E30" s="9">
        <f>VLOOKUP(A30,[12]HISTOBQUEJUIL23!$A$6:$G$39,4,0)</f>
        <v>0</v>
      </c>
      <c r="F30" s="9">
        <f>VLOOKUP(A30,[12]HISTOBQUEJUIL23!$A$6:$G$39,5,0)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VLOOKUP(A31,[12]HISTOBQUEJUIL23!$A$6:$G$44,3,0)</f>
        <v>140000</v>
      </c>
      <c r="E31" s="9">
        <f>VLOOKUP(A31,[12]HISTOBQUEJUIL23!$A$6:$G$39,4,0)</f>
        <v>0</v>
      </c>
      <c r="F31" s="9">
        <f>VLOOKUP(A31,[12]HISTOBQUEJUIL23!$A$6:$G$39,5,0)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VLOOKUP($A31,[15]TONTJUIL23!$A$6:$P$35,12,0)</f>
        <v>0</v>
      </c>
      <c r="Q31" s="2"/>
      <c r="R31" s="2">
        <f>VLOOKUP($A31,[14]TONTJUIL23!$A$6:$P$21,10,0)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VLOOKUP(A32,[12]HISTOBQUEJUIL23!$A$6:$G$44,3,0)+250000</f>
        <v>365000</v>
      </c>
      <c r="E32" s="9">
        <f>VLOOKUP(A32,[12]HISTOBQUEJUIL23!$A$6:$G$39,4,0)</f>
        <v>102000</v>
      </c>
      <c r="F32" s="9">
        <f>VLOOKUP(A32,[12]HISTOBQUEJUIL23!$A$6:$G$39,5,0)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VLOOKUP(A33,[12]HISTOBQUEJUIL23!$A$6:$G$44,3,0)</f>
        <v>40000</v>
      </c>
      <c r="E33" s="9">
        <f>VLOOKUP(A33,[12]HISTOBQUEJUIL23!$A$6:$G$39,4,0)</f>
        <v>0</v>
      </c>
      <c r="F33" s="9">
        <f>VLOOKUP(A33,[12]HISTOBQUEJUIL23!$A$6:$G$39,5,0)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VLOOKUP(A34,[12]HISTOBQUEJUIL23!$A$6:$G$44,3,0)</f>
        <v>100000</v>
      </c>
      <c r="E34" s="9">
        <f>VLOOKUP(A34,[12]HISTOBQUEJUIL23!$A$6:$G$39,4,0)</f>
        <v>0</v>
      </c>
      <c r="F34" s="9">
        <f>VLOOKUP(A34,[12]HISTOBQUEJUIL23!$A$6:$G$39,5,0)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VLOOKUP(A35,[12]HISTOBQUEJUIL23!$A$6:$G$44,3,0)</f>
        <v>40000</v>
      </c>
      <c r="E35" s="9">
        <f>VLOOKUP(A35,[12]HISTOBQUEJUIL23!$A$6:$G$39,4,0)</f>
        <v>0</v>
      </c>
      <c r="F35" s="9">
        <f>VLOOKUP(A35,[12]HISTOBQUEJUIL23!$A$6:$G$39,5,0)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VLOOKUP(A36,[12]HISTOBQUEJUIL23!$A$6:$G$44,3,0)</f>
        <v>290000</v>
      </c>
      <c r="E36" s="9">
        <f>VLOOKUP(A36,[12]HISTOBQUEJUIL23!$A$6:$G$39,4,0)</f>
        <v>0</v>
      </c>
      <c r="F36" s="9">
        <f>VLOOKUP(A36,[12]HISTOBQUEJUIL23!$A$6:$G$39,5,0)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VLOOKUP($A36,[15]TONTJUIL23!$A$6:$P$35,12,0)</f>
        <v>0</v>
      </c>
      <c r="Q36" s="2">
        <f>VLOOKUP($A36,[13]TONTJUIL23!$A$6:$P$20,10,0)</f>
        <v>0</v>
      </c>
      <c r="R36" s="2">
        <f>VLOOKUP($A36,[14]TONTJUIL23!$A$6:$P$21,10,0)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143</v>
      </c>
      <c r="BP41" s="62">
        <f>BP16+BP22+BP28+BP33+BP38</f>
        <v>156000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VLOOKUP(A6,[12]HISTOBQUEAOUT23!$A$6:$G$44,3,0)</f>
        <v>175000</v>
      </c>
      <c r="E6" s="9">
        <f>VLOOKUP(A6,[12]HISTOBQUEAOUT23!$A$6:$G$39,4,0)</f>
        <v>0</v>
      </c>
      <c r="F6" s="9">
        <f>VLOOKUP(A6,[12]HISTOBQUEAOUT23!$A$6:$G$39,5,0)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VLOOKUP($A6,[14]TONTAOUT23!$A$6:$P$21,10,0)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190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VLOOKUP(A7,[12]HISTOBQUEAOUT23!$A$6:$G$44,3,0)</f>
        <v>40000</v>
      </c>
      <c r="E7" s="9">
        <f>VLOOKUP(A7,[12]HISTOBQUEAOUT23!$A$6:$G$39,4,0)</f>
        <v>0</v>
      </c>
      <c r="F7" s="9">
        <f>VLOOKUP(A7,[12]HISTOBQUEAOUT23!$A$6:$G$39,5,0)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VLOOKUP(A8,[12]HISTOBQUEAOUT23!$A$6:$G$44,3,0)</f>
        <v>115000</v>
      </c>
      <c r="E8" s="9">
        <f>VLOOKUP(A8,[12]HISTOBQUEAOUT23!$A$6:$G$39,4,0)</f>
        <v>0</v>
      </c>
      <c r="F8" s="9">
        <f>VLOOKUP(A8,[12]HISTOBQUEAOUT23!$A$6:$G$39,5,0)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118</v>
      </c>
      <c r="BO8" t="s">
        <v>115</v>
      </c>
      <c r="BP8" s="6">
        <v>33000</v>
      </c>
    </row>
    <row r="9" spans="1:68" s="72" customFormat="1" ht="18.75" x14ac:dyDescent="0.3">
      <c r="A9" s="73" t="s">
        <v>14</v>
      </c>
      <c r="B9" s="73" t="str">
        <f>VLOOKUP(A9,[11]LISTADHERENT!A$5:H$39,3,0)</f>
        <v xml:space="preserve">DJOMO JEAN PAUL </v>
      </c>
      <c r="C9" s="14">
        <f t="shared" si="0"/>
        <v>0</v>
      </c>
      <c r="D9" s="14">
        <f>VLOOKUP(A9,[12]HISTOBQUEAOUT23!$A$6:$G$44,3,0)</f>
        <v>140000</v>
      </c>
      <c r="E9" s="14">
        <f>VLOOKUP(A9,[12]HISTOBQUEAOUT23!$A$6:$G$39,4,0)</f>
        <v>202000</v>
      </c>
      <c r="F9" s="14">
        <f>VLOOKUP(A9,[12]HISTOBQUEAOUT23!$A$6:$G$39,5,0)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VLOOKUP($A9,[15]TONTAOUT23!$A$6:$P$35,12,0)</f>
        <v>0</v>
      </c>
      <c r="Q9" s="76"/>
      <c r="R9" s="76">
        <f>VLOOKUP($A9,[14]TONTAOUT23!$A$6:$P$21,10,0)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189</v>
      </c>
      <c r="BO9" s="72" t="s">
        <v>115</v>
      </c>
      <c r="BP9" s="70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VLOOKUP(A10,[12]HISTOBQUEAOUT23!$A$6:$G$44,3,0)</f>
        <v>0</v>
      </c>
      <c r="E10" s="9">
        <f>VLOOKUP(A10,[12]HISTOBQUEAOUT23!$A$6:$G$39,4,0)</f>
        <v>43000</v>
      </c>
      <c r="F10" s="9">
        <f>VLOOKUP(A10,[12]HISTOBQUEAOUT23!$A$6:$G$39,5,0)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VLOOKUP(A11,[12]HISTOBQUEAOUT23!$A$6:$G$44,3,0)</f>
        <v>115000</v>
      </c>
      <c r="E11" s="9">
        <f>VLOOKUP(A11,[12]HISTOBQUEAOUT23!$A$6:$G$39,4,0)</f>
        <v>0</v>
      </c>
      <c r="F11" s="9">
        <f>VLOOKUP(A11,[12]HISTOBQUEAOUT23!$A$6:$G$39,5,0)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VLOOKUP(A12,[12]HISTOBQUEAOUT23!$A$6:$G$44,3,0)</f>
        <v>320000</v>
      </c>
      <c r="E12" s="9">
        <f>VLOOKUP(A12,[12]HISTOBQUEAOUT23!$A$6:$G$39,4,0)</f>
        <v>0</v>
      </c>
      <c r="F12" s="9">
        <f>VLOOKUP(A12,[12]HISTOBQUEAOUT23!$A$6:$G$39,5,0)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VLOOKUP($A12,[15]TONTAOUT23!$A$6:$P$35,12,0)</f>
        <v>0</v>
      </c>
      <c r="Q12" s="2">
        <f>VLOOKUP($A12,[13]TONTAOUT23!$A$6:$P$20,10,0)</f>
        <v>0</v>
      </c>
      <c r="R12" s="2">
        <f>VLOOKUP($A12,[14]TONTAOUT23!$A$6:$P$21,10,0)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VLOOKUP(A13,[12]HISTOBQUEAOUT23!$A$6:$G$44,3,0)</f>
        <v>40000</v>
      </c>
      <c r="E13" s="9">
        <f>VLOOKUP(A13,[12]HISTOBQUEAOUT23!$A$6:$G$39,4,0)</f>
        <v>0</v>
      </c>
      <c r="F13" s="9">
        <f>VLOOKUP(A13,[12]HISTOBQUEAOUT23!$A$6:$G$39,5,0)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12000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VLOOKUP(A14,[12]HISTOBQUEAOUT23!$A$6:$G$44,3,0)</f>
        <v>40000</v>
      </c>
      <c r="E14" s="9">
        <f>VLOOKUP(A14,[12]HISTOBQUEAOUT23!$A$6:$G$39,4,0)</f>
        <v>0</v>
      </c>
      <c r="F14" s="9">
        <f>VLOOKUP(A14,[12]HISTOBQUEAOUT23!$A$6:$G$39,5,0)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VLOOKUP(A15,[12]HISTOBQUEAOUT23!$A$6:$G$44,3,0)</f>
        <v>115000</v>
      </c>
      <c r="E15" s="9">
        <f>VLOOKUP(A15,[12]HISTOBQUEAOUT23!$A$6:$G$39,4,0)</f>
        <v>0</v>
      </c>
      <c r="F15" s="9">
        <f>VLOOKUP(A15,[12]HISTOBQUEAOUT23!$A$6:$G$39,5,0)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VLOOKUP(A16,[12]HISTOBQUEAOUT23!$A$6:$G$44,3,0)</f>
        <v>250000</v>
      </c>
      <c r="E16" s="9">
        <f>VLOOKUP(A16,[12]HISTOBQUEAOUT23!$A$6:$G$39,4,0)</f>
        <v>0</v>
      </c>
      <c r="F16" s="9">
        <f>VLOOKUP(A16,[12]HISTOBQUEAOUT23!$A$6:$G$39,5,0)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VLOOKUP($A16,[15]TONTAOUT23!$A$6:$P$35,12,0)</f>
        <v>0</v>
      </c>
      <c r="Q16" s="2">
        <f>VLOOKUP($A16,[13]TONTAOUT23!$A$6:$P$20,10,0)</f>
        <v>0</v>
      </c>
      <c r="R16" s="2">
        <f>VLOOKUP($A16,[14]TONTAOUT23!$A$6:$P$21,10,0)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143</v>
      </c>
      <c r="BP16" s="62">
        <f>SUM(BP6:BP15)</f>
        <v>45000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VLOOKUP(A17,[12]HISTOBQUEAOUT23!$A$6:$G$44,3,0)</f>
        <v>241000</v>
      </c>
      <c r="E17" s="9">
        <f>VLOOKUP(A17,[12]HISTOBQUEAOUT23!$A$6:$G$39,4,0)</f>
        <v>0</v>
      </c>
      <c r="F17" s="9">
        <f>VLOOKUP(A17,[12]HISTOBQUEAOUT23!$A$6:$G$39,5,0)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VLOOKUP($A17,[15]TONTAOUT23!$A$6:$P$35,12,0)</f>
        <v>0</v>
      </c>
      <c r="Q17" s="2"/>
      <c r="R17" s="2">
        <f>VLOOKUP($A17,[14]TONTAOUT23!$A$6:$P$21,10,0)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VLOOKUP(A18,[12]HISTOBQUEAOUT23!$A$6:$G$44,3,0)</f>
        <v>215000</v>
      </c>
      <c r="E18" s="9">
        <f>VLOOKUP(A18,[12]HISTOBQUEAOUT23!$A$6:$G$39,4,0)</f>
        <v>0</v>
      </c>
      <c r="F18" s="9">
        <f>VLOOKUP(A18,[12]HISTOBQUEAOUT23!$A$6:$G$39,5,0)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VLOOKUP($A18,[15]TONTAOUT23!$A$6:$P$35,12,0)</f>
        <v>0</v>
      </c>
      <c r="Q18" s="2">
        <f>VLOOKUP($A18,[13]TONTAOUT23!$A$6:$P$20,10,0)</f>
        <v>0</v>
      </c>
      <c r="R18" s="2">
        <f>VLOOKUP($A18,[14]TONTAOUT23!$A$6:$P$21,10,0)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VLOOKUP(A19,[12]HISTOBQUEAOUT23!$A$6:$G$44,3,0)</f>
        <v>340000</v>
      </c>
      <c r="E19" s="9">
        <f>VLOOKUP(A19,[12]HISTOBQUEAOUT23!$A$6:$G$39,4,0)</f>
        <v>0</v>
      </c>
      <c r="F19" s="9">
        <f>VLOOKUP(A19,[12]HISTOBQUEAOUT23!$A$6:$G$39,5,0)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VLOOKUP(A20,[12]HISTOBQUEAOUT23!$A$6:$G$44,3,0)</f>
        <v>586500</v>
      </c>
      <c r="E20" s="9">
        <f>VLOOKUP(A20,[12]HISTOBQUEAOUT23!$A$6:$G$39,4,0)</f>
        <v>0</v>
      </c>
      <c r="F20" s="9">
        <f>VLOOKUP(A20,[12]HISTOBQUEAOUT23!$A$6:$G$39,5,0)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VLOOKUP($A20,[15]TONTAOUT23!$A$6:$P$35,12,0)</f>
        <v>0</v>
      </c>
      <c r="Q20" s="2">
        <f>VLOOKUP($A20,[13]TONTAOUT23!$A$6:$P$20,10,0)</f>
        <v>76000</v>
      </c>
      <c r="R20" s="2">
        <f>VLOOKUP($A20,[14]TONTAOUT23!$A$6:$P$21,10,0)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VLOOKUP(A21,[12]HISTOBQUEAOUT23!$A$6:$G$44,3,0)</f>
        <v>40000</v>
      </c>
      <c r="E21" s="9">
        <f>VLOOKUP(A21,[12]HISTOBQUEAOUT23!$A$6:$G$39,4,0)</f>
        <v>0</v>
      </c>
      <c r="F21" s="9">
        <f>VLOOKUP(A21,[12]HISTOBQUEAOUT23!$A$6:$G$39,5,0)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VLOOKUP(A22,[12]HISTOBQUEAOUT23!$A$6:$G$44,3,0)</f>
        <v>115000</v>
      </c>
      <c r="E22" s="9">
        <f>VLOOKUP(A22,[12]HISTOBQUEAOUT23!$A$6:$G$39,4,0)</f>
        <v>0</v>
      </c>
      <c r="F22" s="9">
        <f>VLOOKUP(A22,[12]HISTOBQUEAOUT23!$A$6:$G$39,5,0)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69">
        <f t="shared" si="0"/>
        <v>-576000</v>
      </c>
      <c r="D23" s="9">
        <f>VLOOKUP(A23,[12]HISTOBQUEAOUT23!$A$6:$G$44,3,0)</f>
        <v>270000</v>
      </c>
      <c r="E23" s="9">
        <f>VLOOKUP(A23,[12]HISTOBQUEAOUT23!$A$6:$G$39,4,0)</f>
        <v>0</v>
      </c>
      <c r="F23" s="9">
        <f>VLOOKUP(A23,[12]HISTOBQUEAOUT23!$A$6:$G$39,5,0)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VLOOKUP($A23,[15]TONTAOUT23!$A$6:$P$35,12,0)</f>
        <v>0</v>
      </c>
      <c r="Q23" s="2"/>
      <c r="R23" s="2">
        <f>VLOOKUP($A23,[14]TONTAOUT23!$A$6:$P$21,10,0)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69">
        <f t="shared" si="0"/>
        <v>-230000</v>
      </c>
      <c r="D24" s="9">
        <f>VLOOKUP(A24,[12]HISTOBQUEAOUT23!$A$6:$G$44,3,0)</f>
        <v>320000</v>
      </c>
      <c r="E24" s="9">
        <f>VLOOKUP(A24,[12]HISTOBQUEAOUT23!$A$6:$G$39,4,0)</f>
        <v>0</v>
      </c>
      <c r="F24" s="9">
        <f>VLOOKUP(A24,[12]HISTOBQUEAOUT23!$A$6:$G$39,5,0)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VLOOKUP($A24,[15]TONTAOUT23!$A$6:$P$35,12,0)</f>
        <v>61000</v>
      </c>
      <c r="Q24" s="2">
        <f>VLOOKUP($A24,[13]TONTAOUT23!$A$6:$P$20,10,0)</f>
        <v>169000</v>
      </c>
      <c r="R24" s="2">
        <f>VLOOKUP($A24,[14]TONTAOUT23!$A$6:$P$21,10,0)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VLOOKUP(A25,[12]HISTOBQUEAOUT23!$A$6:$G$44,3,0)</f>
        <v>400000</v>
      </c>
      <c r="E25" s="9">
        <f>VLOOKUP(A25,[12]HISTOBQUEAOUT23!$A$6:$G$39,4,0)</f>
        <v>0</v>
      </c>
      <c r="F25" s="9">
        <f>VLOOKUP(A25,[12]HISTOBQUEAOUT23!$A$6:$G$39,5,0)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VLOOKUP($A25,[15]TONTAOUT23!$A$6:$P$35,12,0)</f>
        <v>0</v>
      </c>
      <c r="Q25" s="2">
        <f>VLOOKUP($A25,[13]TONTAOUT23!$A$6:$P$20,10,0)</f>
        <v>0</v>
      </c>
      <c r="R25" s="2">
        <f>VLOOKUP($A25,[14]TONTAOUT23!$A$6:$P$21,10,0)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69">
        <f t="shared" si="0"/>
        <v>-1000000</v>
      </c>
      <c r="D26" s="9">
        <f>VLOOKUP(A26,[12]HISTOBQUEAOUT23!$A$6:$G$44,3,0)-76000</f>
        <v>40000</v>
      </c>
      <c r="E26" s="9">
        <f>VLOOKUP(A26,[12]HISTOBQUEAOUT23!$A$6:$G$39,4,0)</f>
        <v>0</v>
      </c>
      <c r="F26" s="9">
        <f>VLOOKUP(A26,[12]HISTOBQUEAOUT23!$A$6:$G$39,5,0)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192</v>
      </c>
      <c r="BO26" t="s">
        <v>144</v>
      </c>
      <c r="BP26" s="62">
        <v>155000</v>
      </c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VLOOKUP(A27,[12]HISTOBQUEAOUT23!$A$6:$G$44,3,0)</f>
        <v>50000</v>
      </c>
      <c r="E27" s="9">
        <f>VLOOKUP(A27,[12]HISTOBQUEAOUT23!$A$6:$G$39,4,0)</f>
        <v>0</v>
      </c>
      <c r="F27" s="9">
        <f>VLOOKUP(A27,[12]HISTOBQUEAOUT23!$A$6:$G$39,5,0)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VLOOKUP(A28,[12]HISTOBQUEAOUT23!$A$6:$G$44,3,0)</f>
        <v>115000</v>
      </c>
      <c r="E28" s="9">
        <f>VLOOKUP(A28,[12]HISTOBQUEAOUT23!$A$6:$G$39,4,0)</f>
        <v>0</v>
      </c>
      <c r="F28" s="9">
        <f>VLOOKUP(A28,[12]HISTOBQUEAOUT23!$A$6:$G$39,5,0)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155000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VLOOKUP(A29,[12]HISTOBQUEAOUT23!$A$6:$G$44,3,0)</f>
        <v>40000</v>
      </c>
      <c r="E29" s="9">
        <f>VLOOKUP(A29,[12]HISTOBQUEAOUT23!$A$6:$G$39,4,0)</f>
        <v>0</v>
      </c>
      <c r="F29" s="9">
        <f>VLOOKUP(A29,[12]HISTOBQUEAOUT23!$A$6:$G$39,5,0)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VLOOKUP(A30,[12]HISTOBQUEAOUT23!$A$6:$G$44,3,0)</f>
        <v>115000</v>
      </c>
      <c r="E30" s="9">
        <f>VLOOKUP(A30,[12]HISTOBQUEAOUT23!$A$6:$G$39,4,0)</f>
        <v>0</v>
      </c>
      <c r="F30" s="9">
        <f>VLOOKUP(A30,[12]HISTOBQUEAOUT23!$A$6:$G$39,5,0)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>
        <v>560000</v>
      </c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VLOOKUP(A31,[12]HISTOBQUEAOUT23!$A$6:$G$44,3,0)</f>
        <v>140000</v>
      </c>
      <c r="E31" s="9">
        <f>VLOOKUP(A31,[12]HISTOBQUEAOUT23!$A$6:$G$39,4,0)</f>
        <v>0</v>
      </c>
      <c r="F31" s="9">
        <f>VLOOKUP(A31,[12]HISTOBQUEAOUT23!$A$6:$G$39,5,0)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VLOOKUP($A31,[15]TONTAOUT23!$A$6:$P$35,12,0)</f>
        <v>0</v>
      </c>
      <c r="Q31" s="2"/>
      <c r="R31" s="2">
        <f>VLOOKUP($A31,[14]TONTAOUT23!$A$6:$P$21,10,0)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s="72" customFormat="1" ht="18.75" x14ac:dyDescent="0.3">
      <c r="A32" s="73" t="s">
        <v>39</v>
      </c>
      <c r="B32" s="73" t="str">
        <f>VLOOKUP(A32,[11]LISTADHERENT!A$5:H$39,3,0)</f>
        <v>TCHOUAMOU MATHIEU</v>
      </c>
      <c r="C32" s="14">
        <f t="shared" si="0"/>
        <v>0</v>
      </c>
      <c r="D32" s="14">
        <f>VLOOKUP(A32,[12]HISTOBQUEAOUT23!$A$6:$G$44,3,0)+76000</f>
        <v>441000</v>
      </c>
      <c r="E32" s="14">
        <f>VLOOKUP(A32,[12]HISTOBQUEAOUT23!$A$6:$G$39,4,0)</f>
        <v>0</v>
      </c>
      <c r="F32" s="14">
        <f>VLOOKUP(A32,[12]HISTOBQUEAOUT23!$A$6:$G$39,5,0)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VLOOKUP($A32,[15]TONTAOUT23!$A$6:$P$35,12,0)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VLOOKUP(A33,[12]HISTOBQUEAOUT23!$A$6:$G$44,3,0)+40000</f>
        <v>40000</v>
      </c>
      <c r="E33" s="9">
        <f>VLOOKUP(A33,[12]HISTOBQUEAOUT23!$A$6:$G$39,4,0)</f>
        <v>0</v>
      </c>
      <c r="F33" s="9">
        <f>VLOOKUP(A33,[12]HISTOBQUEAOUT23!$A$6:$G$39,5,0)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560000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VLOOKUP(A34,[12]HISTOBQUEAOUT23!$A$6:$G$44,3,0)</f>
        <v>100000</v>
      </c>
      <c r="E34" s="9">
        <f>VLOOKUP(A34,[12]HISTOBQUEAOUT23!$A$6:$G$39,4,0)</f>
        <v>0</v>
      </c>
      <c r="F34" s="9">
        <f>VLOOKUP(A34,[12]HISTOBQUEAOUT23!$A$6:$G$39,5,0)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VLOOKUP(A35,[12]HISTOBQUEAOUT23!$A$6:$G$44,3,0)</f>
        <v>40000</v>
      </c>
      <c r="E35" s="9">
        <f>VLOOKUP(A35,[12]HISTOBQUEAOUT23!$A$6:$G$39,4,0)</f>
        <v>0</v>
      </c>
      <c r="F35" s="9">
        <f>VLOOKUP(A35,[12]HISTOBQUEAOUT23!$A$6:$G$39,5,0)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VLOOKUP(A36,[12]HISTOBQUEAOUT23!$A$6:$G$44,3,0)</f>
        <v>290000</v>
      </c>
      <c r="E36" s="9">
        <f>VLOOKUP(A36,[12]HISTOBQUEAOUT23!$A$6:$G$39,4,0)</f>
        <v>0</v>
      </c>
      <c r="F36" s="9">
        <f>VLOOKUP(A36,[12]HISTOBQUEAOUT23!$A$6:$G$39,5,0)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VLOOKUP($A36,[15]TONTAOUT23!$A$6:$P$35,12,0)</f>
        <v>0</v>
      </c>
      <c r="Q36" s="2">
        <f>VLOOKUP($A36,[13]TONTAOUT23!$A$6:$P$20,10,0)</f>
        <v>0</v>
      </c>
      <c r="R36" s="2">
        <f>VLOOKUP($A36,[14]TONTAOUT23!$A$6:$P$21,10,0)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181</v>
      </c>
      <c r="BA40" s="14">
        <v>248000</v>
      </c>
      <c r="BD40" s="6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860000</v>
      </c>
    </row>
    <row r="42" spans="1:68" ht="18.75" x14ac:dyDescent="0.3">
      <c r="B42" s="1" t="s">
        <v>79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80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VLOOKUP(A6,[12]HISTOBQUESEPT23!$A$6:$G$44,3,0)</f>
        <v>175000</v>
      </c>
      <c r="E6" s="9">
        <f>VLOOKUP(A6,[12]HISTOBQUESEPT23!$A$6:$G$39,4,0)</f>
        <v>0</v>
      </c>
      <c r="F6" s="9">
        <f>VLOOKUP(A6,[12]HISTOBQUESEPT23!$A$6:$G$39,5,0)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VLOOKUP($A6,[14]TONTSEPT23!$A$6:$P$21,10,0)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VLOOKUP(A7,[12]HISTOBQUESEPT23!$A$6:$G$44,3,0)</f>
        <v>40000</v>
      </c>
      <c r="E7" s="9">
        <f>VLOOKUP(A7,[12]HISTOBQUESEPT23!$A$6:$G$39,4,0)</f>
        <v>0</v>
      </c>
      <c r="F7" s="9">
        <f>VLOOKUP(A7,[12]HISTOBQUESEPT23!$A$6:$G$39,5,0)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VLOOKUP(A8,[12]HISTOBQUESEPT23!$A$6:$G$44,3,0)</f>
        <v>115000</v>
      </c>
      <c r="E8" s="9">
        <f>VLOOKUP(A8,[12]HISTOBQUESEPT23!$A$6:$G$39,4,0)</f>
        <v>0</v>
      </c>
      <c r="F8" s="9">
        <f>VLOOKUP(A8,[12]HISTOBQUESEPT23!$A$6:$G$39,5,0)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VLOOKUP(A9,[12]HISTOBQUESEPT23!$A$6:$G$44,3,0)+101000</f>
        <v>441000</v>
      </c>
      <c r="E9" s="9">
        <f>VLOOKUP(A9,[12]HISTOBQUESEPT23!$A$6:$G$39,4,0)</f>
        <v>0</v>
      </c>
      <c r="F9" s="9">
        <f>VLOOKUP(A9,[12]HISTOBQUESEPT23!$A$6:$G$39,5,0)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VLOOKUP($A9,[15]TONTSEPT23!$A$6:$P$35,12,0)</f>
        <v>0</v>
      </c>
      <c r="Q9" s="2"/>
      <c r="R9" s="2">
        <f>VLOOKUP($A9,[14]TONTSEPT23!$A$6:$P$21,10,0)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VLOOKUP(A10,[12]HISTOBQUESEPT23!$A$6:$G$44,3,0)-101000</f>
        <v>40000</v>
      </c>
      <c r="E10" s="9">
        <f>VLOOKUP(A10,[12]HISTOBQUESEPT23!$A$6:$G$39,4,0)</f>
        <v>0</v>
      </c>
      <c r="F10" s="9">
        <f>VLOOKUP(A10,[12]HISTOBQUESEPT23!$A$6:$G$39,5,0)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VLOOKUP(A11,[12]HISTOBQUESEPT23!$A$6:$G$44,3,0)</f>
        <v>347000</v>
      </c>
      <c r="E11" s="9">
        <f>VLOOKUP(A11,[12]HISTOBQUESEPT23!$A$6:$G$39,4,0)</f>
        <v>0</v>
      </c>
      <c r="F11" s="9">
        <f>VLOOKUP(A11,[12]HISTOBQUESEPT23!$A$6:$G$39,5,0)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VLOOKUP(A12,[12]HISTOBQUESEPT23!$A$6:$G$44,3,0)</f>
        <v>320000</v>
      </c>
      <c r="E12" s="9">
        <f>VLOOKUP(A12,[12]HISTOBQUESEPT23!$A$6:$G$39,4,0)</f>
        <v>0</v>
      </c>
      <c r="F12" s="9">
        <f>VLOOKUP(A12,[12]HISTOBQUESEPT23!$A$6:$G$39,5,0)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VLOOKUP($A12,[15]TONTSEPT23!$A$6:$P$35,12,0)</f>
        <v>0</v>
      </c>
      <c r="Q12" s="2">
        <f>VLOOKUP($A12,[13]TONTSEPT23!$A$6:$P$20,10,0)</f>
        <v>0</v>
      </c>
      <c r="R12" s="2">
        <f>VLOOKUP($A12,[14]TONTSEPT23!$A$6:$P$21,10,0)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VLOOKUP(A13,[12]HISTOBQUESEPT23!$A$6:$G$44,3,0)</f>
        <v>40000</v>
      </c>
      <c r="E13" s="9">
        <f>VLOOKUP(A13,[12]HISTOBQUESEPT23!$A$6:$G$39,4,0)</f>
        <v>0</v>
      </c>
      <c r="F13" s="9">
        <f>VLOOKUP(A13,[12]HISTOBQUESEPT23!$A$6:$G$39,5,0)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VLOOKUP(A14,[12]HISTOBQUESEPT23!$A$6:$G$44,3,0)</f>
        <v>40000</v>
      </c>
      <c r="E14" s="9">
        <f>VLOOKUP(A14,[12]HISTOBQUESEPT23!$A$6:$G$39,4,0)</f>
        <v>0</v>
      </c>
      <c r="F14" s="9">
        <f>VLOOKUP(A14,[12]HISTOBQUESEPT23!$A$6:$G$39,5,0)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VLOOKUP(A15,[12]HISTOBQUESEPT23!$A$6:$G$44,3,0)</f>
        <v>115000</v>
      </c>
      <c r="E15" s="9">
        <f>VLOOKUP(A15,[12]HISTOBQUESEPT23!$A$6:$G$39,4,0)</f>
        <v>0</v>
      </c>
      <c r="F15" s="9">
        <f>VLOOKUP(A15,[12]HISTOBQUESEPT23!$A$6:$G$39,5,0)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VLOOKUP(A16,[12]HISTOBQUESEPT23!$A$6:$G$44,3,0)</f>
        <v>250000</v>
      </c>
      <c r="E16" s="9">
        <f>VLOOKUP(A16,[12]HISTOBQUESEPT23!$A$6:$G$39,4,0)</f>
        <v>0</v>
      </c>
      <c r="F16" s="9">
        <f>VLOOKUP(A16,[12]HISTOBQUESEPT23!$A$6:$G$39,5,0)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VLOOKUP($A16,[15]TONTSEPT23!$A$6:$P$35,12,0)</f>
        <v>0</v>
      </c>
      <c r="Q16" s="2">
        <f>VLOOKUP($A16,[13]TONTSEPT23!$A$6:$P$20,10,0)</f>
        <v>0</v>
      </c>
      <c r="R16" s="2">
        <f>VLOOKUP($A16,[14]TONTSEPT23!$A$6:$P$21,10,0)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VLOOKUP(A17,[12]HISTOBQUESEPT23!$A$6:$G$44,3,0)</f>
        <v>140000</v>
      </c>
      <c r="E17" s="9">
        <f>VLOOKUP(A17,[12]HISTOBQUESEPT23!$A$6:$G$39,4,0)</f>
        <v>0</v>
      </c>
      <c r="F17" s="9">
        <f>VLOOKUP(A17,[12]HISTOBQUESEPT23!$A$6:$G$39,5,0)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VLOOKUP($A17,[15]TONTSEPT23!$A$6:$P$35,12,0)</f>
        <v>0</v>
      </c>
      <c r="Q17" s="2"/>
      <c r="R17" s="2">
        <f>VLOOKUP($A17,[14]TONTSEPT23!$A$6:$P$21,10,0)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VLOOKUP(A18,[12]HISTOBQUESEPT23!$A$6:$G$44,3,0)</f>
        <v>215000</v>
      </c>
      <c r="E18" s="9">
        <f>VLOOKUP(A18,[12]HISTOBQUESEPT23!$A$6:$G$39,4,0)</f>
        <v>100000</v>
      </c>
      <c r="F18" s="9">
        <f>VLOOKUP(A18,[12]HISTOBQUESEPT23!$A$6:$G$39,5,0)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VLOOKUP($A18,[15]TONTSEPT23!$A$6:$P$35,12,0)</f>
        <v>0</v>
      </c>
      <c r="Q18" s="2">
        <f>VLOOKUP($A18,[13]TONTSEPT23!$A$6:$P$20,10,0)</f>
        <v>0</v>
      </c>
      <c r="R18" s="2">
        <f>VLOOKUP($A18,[14]TONTSEPT23!$A$6:$P$21,10,0)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VLOOKUP(A19,[12]HISTOBQUESEPT23!$A$6:$G$44,3,0)</f>
        <v>40000</v>
      </c>
      <c r="E19" s="9">
        <f>VLOOKUP(A19,[12]HISTOBQUESEPT23!$A$6:$G$39,4,0)</f>
        <v>0</v>
      </c>
      <c r="F19" s="9">
        <f>VLOOKUP(A19,[12]HISTOBQUESEPT23!$A$6:$G$39,5,0)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VLOOKUP(A20,[12]HISTOBQUESEPT23!$A$6:$G$44,3,0)</f>
        <v>528500</v>
      </c>
      <c r="E20" s="9">
        <f>VLOOKUP(A20,[12]HISTOBQUESEPT23!$A$6:$G$39,4,0)</f>
        <v>0</v>
      </c>
      <c r="F20" s="9">
        <f>VLOOKUP(A20,[12]HISTOBQUESEPT23!$A$6:$G$39,5,0)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VLOOKUP($A20,[15]TONTSEPT23!$A$6:$P$35,12,0)</f>
        <v>61000</v>
      </c>
      <c r="Q20" s="2">
        <f>VLOOKUP($A20,[13]TONTSEPT23!$A$6:$P$20,10,0)</f>
        <v>152000</v>
      </c>
      <c r="R20" s="2">
        <f>VLOOKUP($A20,[14]TONTSEPT23!$A$6:$P$21,10,0)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VLOOKUP(A21,[12]HISTOBQUESEPT23!$A$6:$G$44,3,0)</f>
        <v>40000</v>
      </c>
      <c r="E21" s="9">
        <f>VLOOKUP(A21,[12]HISTOBQUESEPT23!$A$6:$G$39,4,0)</f>
        <v>0</v>
      </c>
      <c r="F21" s="9">
        <f>VLOOKUP(A21,[12]HISTOBQUESEPT23!$A$6:$G$39,5,0)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VLOOKUP(A22,[12]HISTOBQUESEPT23!$A$6:$G$44,3,0)</f>
        <v>115000</v>
      </c>
      <c r="E22" s="9">
        <f>VLOOKUP(A22,[12]HISTOBQUESEPT23!$A$6:$G$39,4,0)</f>
        <v>0</v>
      </c>
      <c r="F22" s="9">
        <f>VLOOKUP(A22,[12]HISTOBQUESEPT23!$A$6:$G$39,5,0)+892500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VLOOKUP(A23,[12]HISTOBQUESEPT23!$A$6:$G$44,3,0)</f>
        <v>250000</v>
      </c>
      <c r="E23" s="9">
        <f>VLOOKUP(A23,[12]HISTOBQUESEPT23!$A$6:$G$39,4,0)</f>
        <v>0</v>
      </c>
      <c r="F23" s="9">
        <f>VLOOKUP(A23,[12]HISTOBQUESEPT23!$A$6:$G$39,5,0)+70000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VLOOKUP($A23,[15]TONTSEPT23!$A$6:$P$35,12,0)</f>
        <v>0</v>
      </c>
      <c r="Q23" s="2"/>
      <c r="R23" s="2">
        <f>VLOOKUP($A23,[14]TONTSEPT23!$A$6:$P$21,10,0)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-171000</v>
      </c>
      <c r="D24" s="9">
        <f>VLOOKUP(A24,[12]HISTOBQUESEPT23!$A$6:$G$44,3,0)</f>
        <v>215000</v>
      </c>
      <c r="E24" s="9">
        <f>VLOOKUP(A24,[12]HISTOBQUESEPT23!$A$6:$G$39,4,0)</f>
        <v>0</v>
      </c>
      <c r="F24" s="9">
        <f>VLOOKUP(A24,[12]HISTOBQUESEPT23!$A$6:$G$39,5,0)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VLOOKUP($A24,[15]TONTSEPT23!$A$6:$P$35,12,0)</f>
        <v>0</v>
      </c>
      <c r="Q24" s="2">
        <f>VLOOKUP($A24,[13]TONTSEPT23!$A$6:$P$20,10,0)</f>
        <v>171000</v>
      </c>
      <c r="R24" s="2">
        <f>VLOOKUP($A24,[14]TONTSEPT23!$A$6:$P$21,10,0)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149</v>
      </c>
      <c r="BO24" t="s">
        <v>144</v>
      </c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VLOOKUP(A25,[12]HISTOBQUESEPT23!$A$6:$G$44,3,0)</f>
        <v>440000</v>
      </c>
      <c r="E25" s="9">
        <f>VLOOKUP(A25,[12]HISTOBQUESEPT23!$A$6:$G$39,4,0)</f>
        <v>0</v>
      </c>
      <c r="F25" s="9">
        <f>VLOOKUP(A25,[12]HISTOBQUESEPT23!$A$6:$G$39,5,0)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VLOOKUP($A25,[15]TONTSEPT23!$A$6:$P$35,12,0)</f>
        <v>0</v>
      </c>
      <c r="Q25" s="2">
        <f>VLOOKUP($A25,[13]TONTSEPT23!$A$6:$P$20,10,0)</f>
        <v>0</v>
      </c>
      <c r="R25" s="2">
        <f>VLOOKUP($A25,[14]TONTSEPT23!$A$6:$P$21,10,0)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s="72" customFormat="1" ht="18.75" x14ac:dyDescent="0.3">
      <c r="A26" s="73" t="s">
        <v>32</v>
      </c>
      <c r="B26" s="73" t="str">
        <f>VLOOKUP(A26,[11]LISTADHERENT!A$5:H$39,3,0)</f>
        <v>NKAMGANG JUSTIN DEJOLIE</v>
      </c>
      <c r="C26" s="14">
        <f t="shared" si="0"/>
        <v>40000</v>
      </c>
      <c r="D26" s="14">
        <f>VLOOKUP(A26,[12]HISTOBQUESEPT23!$A$6:$G$44,3,0)</f>
        <v>50000</v>
      </c>
      <c r="E26" s="14">
        <f>VLOOKUP(A26,[12]HISTOBQUESEPT23!$A$6:$G$39,4,0)</f>
        <v>94000</v>
      </c>
      <c r="F26" s="14">
        <f>VLOOKUP(A26,[12]HISTOBQUESEPT23!$A$6:$G$39,5,0)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VLOOKUP($A26,[15]TONTSEPT23!$A$6:$P$35,12,0)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145</v>
      </c>
      <c r="BO26" s="72" t="s">
        <v>144</v>
      </c>
      <c r="BP26" s="71"/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9">
        <f t="shared" si="0"/>
        <v>-127500</v>
      </c>
      <c r="D27" s="9">
        <f>VLOOKUP(A27,[12]HISTOBQUESEPT23!$A$6:$G$44,3,0)</f>
        <v>50000</v>
      </c>
      <c r="E27" s="9">
        <f>VLOOKUP(A27,[12]HISTOBQUESEPT23!$A$6:$G$39,4,0)</f>
        <v>0</v>
      </c>
      <c r="F27" s="9">
        <f>VLOOKUP(A27,[12]HISTOBQUESEPT23!$A$6:$G$39,5,0)+70000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VLOOKUP(A28,[12]HISTOBQUESEPT23!$A$6:$G$44,3,0)</f>
        <v>115000</v>
      </c>
      <c r="E28" s="9">
        <f>VLOOKUP(A28,[12]HISTOBQUESEPT23!$A$6:$G$39,4,0)</f>
        <v>0</v>
      </c>
      <c r="F28" s="9">
        <f>VLOOKUP(A28,[12]HISTOBQUESEPT23!$A$6:$G$39,5,0)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9">
        <f t="shared" si="0"/>
        <v>-177500</v>
      </c>
      <c r="D29" s="9">
        <f>VLOOKUP(A29,[12]HISTOBQUESEPT23!$A$6:$G$44,3,0)</f>
        <v>40000</v>
      </c>
      <c r="E29" s="9">
        <f>VLOOKUP(A29,[12]HISTOBQUESEPT23!$A$6:$G$39,4,0)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VLOOKUP(A30,[12]HISTOBQUESEPT23!$A$6:$G$44,3,0)</f>
        <v>115000</v>
      </c>
      <c r="E30" s="9">
        <f>VLOOKUP(A30,[12]HISTOBQUESEPT23!$A$6:$G$39,4,0)</f>
        <v>0</v>
      </c>
      <c r="F30" s="9">
        <f>VLOOKUP(A30,[12]HISTOBQUESEPT23!$A$6:$G$39,5,0)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VLOOKUP(A31,[12]HISTOBQUESEPT23!$A$6:$G$44,3,0)</f>
        <v>140000</v>
      </c>
      <c r="E31" s="9">
        <f>VLOOKUP(A31,[12]HISTOBQUESEPT23!$A$6:$G$39,4,0)</f>
        <v>0</v>
      </c>
      <c r="F31" s="9">
        <f>VLOOKUP(A31,[12]HISTOBQUESEPT23!$A$6:$G$39,5,0)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VLOOKUP($A31,[15]TONTSEPT23!$A$6:$P$35,12,0)</f>
        <v>0</v>
      </c>
      <c r="Q31" s="2"/>
      <c r="R31" s="2">
        <f>VLOOKUP($A31,[14]TONTSEPT23!$A$6:$P$21,10,0)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VLOOKUP(A32,[12]HISTOBQUESEPT23!$A$6:$G$44,3,0)</f>
        <v>191000</v>
      </c>
      <c r="E32" s="9">
        <f>VLOOKUP(A32,[12]HISTOBQUESEPT23!$A$6:$G$39,4,0)</f>
        <v>0</v>
      </c>
      <c r="F32" s="9">
        <f>VLOOKUP(A32,[12]HISTOBQUESEPT23!$A$6:$G$39,5,0)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VLOOKUP(A33,[12]HISTOBQUESEPT23!$A$6:$G$44,3,0)+40000</f>
        <v>40000</v>
      </c>
      <c r="E33" s="9">
        <f>VLOOKUP(A33,[12]HISTOBQUESEPT23!$A$6:$G$39,4,0)</f>
        <v>0</v>
      </c>
      <c r="F33" s="9">
        <f>VLOOKUP(A33,[12]HISTOBQUESEPT23!$A$6:$G$39,5,0)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VLOOKUP(A34,[12]HISTOBQUESEPT23!$A$6:$G$44,3,0)</f>
        <v>40000</v>
      </c>
      <c r="E34" s="9">
        <f>VLOOKUP(A34,[12]HISTOBQUESEPT23!$A$6:$G$39,4,0)</f>
        <v>0</v>
      </c>
      <c r="F34" s="9">
        <f>VLOOKUP(A34,[12]HISTOBQUESEPT23!$A$6:$G$39,5,0)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VLOOKUP(A35,[12]HISTOBQUESEPT23!$A$6:$G$44,3,0)</f>
        <v>40000</v>
      </c>
      <c r="E35" s="9">
        <f>VLOOKUP(A35,[12]HISTOBQUESEPT23!$A$6:$G$39,4,0)</f>
        <v>0</v>
      </c>
      <c r="F35" s="9">
        <f>VLOOKUP(A35,[12]HISTOBQUESEPT23!$A$6:$G$39,5,0)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 t="shared" si="0"/>
        <v>0</v>
      </c>
      <c r="D36" s="9">
        <f>VLOOKUP(A36,[12]HISTOBQUESEPT23!$A$6:$G$44,3,0)</f>
        <v>400000</v>
      </c>
      <c r="E36" s="9">
        <f>VLOOKUP(A36,[12]HISTOBQUESEPT23!$A$6:$G$39,4,0)</f>
        <v>0</v>
      </c>
      <c r="F36" s="9">
        <f>VLOOKUP(A36,[12]HISTOBQUESEPT23!$A$6:$G$39,5,0)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VLOOKUP($A36,[15]TONTSEPT23!$A$6:$P$35,12,0)</f>
        <v>0</v>
      </c>
      <c r="Q36" s="2">
        <f>VLOOKUP($A36,[13]TONTSEPT23!$A$6:$P$20,10,0)</f>
        <v>0</v>
      </c>
      <c r="R36" s="2">
        <f>VLOOKUP($A36,[14]TONTSEPT23!$A$6:$P$21,10,0)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106000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5" si="0">D6+E6+F6-U6-BB6</f>
        <v>0</v>
      </c>
      <c r="D6" s="9">
        <f>VLOOKUP(A6,[12]HISTOBQUEOCT23!$A$6:$G$44,3,0)</f>
        <v>175000</v>
      </c>
      <c r="E6" s="9">
        <f>VLOOKUP(A6,[12]HISTOBQUEOCT23!$A$6:$G$39,4,0)</f>
        <v>0</v>
      </c>
      <c r="F6" s="9">
        <f>VLOOKUP(A6,[12]HISTOBQUEOCT23!$A$6:$G$39,5,0)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VLOOKUP($A6,[14]TONTOCT23!$A$6:$P$21,10,0)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VLOOKUP(A7,[12]HISTOBQUEOCT23!$A$6:$G$44,3,0)</f>
        <v>40000</v>
      </c>
      <c r="E7" s="9">
        <f>VLOOKUP(A7,[12]HISTOBQUEOCT23!$A$6:$G$39,4,0)</f>
        <v>0</v>
      </c>
      <c r="F7" s="9">
        <f>VLOOKUP(A7,[12]HISTOBQUEOCT23!$A$6:$G$39,5,0)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VLOOKUP(A8,[12]HISTOBQUEOCT23!$A$6:$G$44,3,0)</f>
        <v>0</v>
      </c>
      <c r="E8" s="9">
        <f>VLOOKUP(A8,[12]HISTOBQUEOCT23!$A$6:$G$39,4,0)</f>
        <v>115000</v>
      </c>
      <c r="F8" s="9">
        <f>VLOOKUP(A8,[12]HISTOBQUEOCT23!$A$6:$G$39,5,0)+70000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118</v>
      </c>
      <c r="BO8" t="s">
        <v>115</v>
      </c>
      <c r="BP8" s="6">
        <v>7500</v>
      </c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VLOOKUP(A9,[12]HISTOBQUEOCT23!$A$6:$G$44,3,0)+202000</f>
        <v>342000</v>
      </c>
      <c r="E9" s="9">
        <f>VLOOKUP(A9,[12]HISTOBQUEOCT23!$A$6:$G$39,4,0)</f>
        <v>0</v>
      </c>
      <c r="F9" s="9">
        <f>VLOOKUP(A9,[12]HISTOBQUEOCT23!$A$6:$G$39,5,0)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VLOOKUP($A9,[15]TONTOCT23!$A$6:$P$35,12,0)</f>
        <v>0</v>
      </c>
      <c r="Q9" s="2"/>
      <c r="R9" s="2">
        <f>VLOOKUP($A9,[14]TONTOCT23!$A$6:$P$21,10,0)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VLOOKUP(A10,[12]HISTOBQUEOCT23!$A$6:$G$44,3,0)-303000</f>
        <v>40000</v>
      </c>
      <c r="E10" s="9">
        <f>VLOOKUP(A10,[12]HISTOBQUEOCT23!$A$6:$G$39,4,0)</f>
        <v>0</v>
      </c>
      <c r="F10" s="9">
        <f>VLOOKUP(A10,[12]HISTOBQUEOCT23!$A$6:$G$39,5,0)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VLOOKUP(A11,[12]HISTOBQUEOCT23!$A$6:$G$44,3,0)</f>
        <v>115000</v>
      </c>
      <c r="E11" s="9">
        <f>VLOOKUP(A11,[12]HISTOBQUEOCT23!$A$6:$G$39,4,0)</f>
        <v>59000</v>
      </c>
      <c r="F11" s="9">
        <f>VLOOKUP(A11,[12]HISTOBQUEOCT23!$A$6:$G$39,5,0)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VLOOKUP(A12,[12]HISTOBQUEOCT23!$A$6:$G$44,3,0)</f>
        <v>522000</v>
      </c>
      <c r="E12" s="9">
        <f>VLOOKUP(A12,[12]HISTOBQUEOCT23!$A$6:$G$39,4,0)</f>
        <v>0</v>
      </c>
      <c r="F12" s="9">
        <f>VLOOKUP(A12,[12]HISTOBQUEOCT23!$A$6:$G$39,5,0)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VLOOKUP($A12,[15]TONTOCT23!$A$6:$P$35,12,0)</f>
        <v>0</v>
      </c>
      <c r="Q12" s="2">
        <f>VLOOKUP($A12,[13]TONTOCT23!$A$6:$P$20,10,0)</f>
        <v>0</v>
      </c>
      <c r="R12" s="2">
        <f>VLOOKUP($A12,[14]TONTOCT23!$A$6:$P$21,10,0)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VLOOKUP(A13,[12]HISTOBQUEOCT23!$A$6:$G$44,3,0)</f>
        <v>40000</v>
      </c>
      <c r="E13" s="9">
        <f>VLOOKUP(A13,[12]HISTOBQUEOCT23!$A$6:$G$39,4,0)</f>
        <v>0</v>
      </c>
      <c r="F13" s="9">
        <f>VLOOKUP(A13,[12]HISTOBQUEOCT23!$A$6:$G$39,5,0)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VLOOKUP(A14,[12]HISTOBQUEOCT23!$A$6:$G$44,3,0)</f>
        <v>40000</v>
      </c>
      <c r="E14" s="9">
        <f>VLOOKUP(A14,[12]HISTOBQUEOCT23!$A$6:$G$39,4,0)</f>
        <v>0</v>
      </c>
      <c r="F14" s="9">
        <f>VLOOKUP(A14,[12]HISTOBQUEOCT23!$A$6:$G$39,5,0)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VLOOKUP(A15,[12]HISTOBQUEOCT23!$A$6:$G$44,3,0)</f>
        <v>115000</v>
      </c>
      <c r="E15" s="9">
        <f>VLOOKUP(A15,[12]HISTOBQUEOCT23!$A$6:$G$39,4,0)</f>
        <v>0</v>
      </c>
      <c r="F15" s="9">
        <f>VLOOKUP(A15,[12]HISTOBQUEOCT23!$A$6:$G$39,5,0)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136500</v>
      </c>
      <c r="D16" s="9">
        <f>VLOOKUP(A16,[12]HISTOBQUEOCT23!$A$6:$G$44,3,0)</f>
        <v>452000</v>
      </c>
      <c r="E16" s="9">
        <f>VLOOKUP(A16,[12]HISTOBQUEOCT23!$A$6:$G$39,4,0)</f>
        <v>136500</v>
      </c>
      <c r="F16" s="9">
        <f>VLOOKUP(A16,[12]HISTOBQUEOCT23!$A$6:$G$39,5,0)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VLOOKUP($A16,[15]TONTOCT23!$A$6:$P$35,12,0)</f>
        <v>0</v>
      </c>
      <c r="Q16" s="2">
        <f>VLOOKUP($A16,[13]TONTOCT23!$A$6:$P$20,10,0)</f>
        <v>0</v>
      </c>
      <c r="R16" s="2">
        <f>VLOOKUP($A16,[14]TONTOCT23!$A$6:$P$21,10,0)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143</v>
      </c>
      <c r="BP16" s="6">
        <f>SUM(BP6:BP15)</f>
        <v>13500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VLOOKUP(A17,[12]HISTOBQUEOCT23!$A$6:$G$44,3,0)</f>
        <v>140000</v>
      </c>
      <c r="E17" s="9">
        <f>VLOOKUP(A17,[12]HISTOBQUEOCT23!$A$6:$G$39,4,0)</f>
        <v>0</v>
      </c>
      <c r="F17" s="9">
        <f>VLOOKUP(A17,[12]HISTOBQUEOCT23!$A$6:$G$39,5,0)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VLOOKUP($A17,[15]TONTOCT23!$A$6:$P$35,12,0)</f>
        <v>0</v>
      </c>
      <c r="Q17" s="2"/>
      <c r="R17" s="2">
        <f>VLOOKUP($A17,[14]TONTOCT23!$A$6:$P$21,10,0)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VLOOKUP(A18,[12]HISTOBQUEOCT23!$A$6:$G$44,3,0)+101000</f>
        <v>456000</v>
      </c>
      <c r="E18" s="14">
        <f>VLOOKUP(A18,[12]HISTOBQUEOCT23!$A$6:$G$39,4,0)+10000</f>
        <v>10000</v>
      </c>
      <c r="F18" s="9">
        <f>VLOOKUP(A18,[12]HISTOBQUEOCT23!$A$6:$G$39,5,0)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VLOOKUP($A18,[15]TONTOCT23!$A$6:$P$35,12,0)</f>
        <v>0</v>
      </c>
      <c r="Q18" s="2">
        <f>VLOOKUP($A18,[13]TONTOCT23!$A$6:$P$20,10,0)</f>
        <v>0</v>
      </c>
      <c r="R18" s="2">
        <f>VLOOKUP($A18,[14]TONTOCT23!$A$6:$P$21,10,0)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VLOOKUP(A19,[12]HISTOBQUEOCT23!$A$6:$G$44,3,0)</f>
        <v>40000</v>
      </c>
      <c r="E19" s="9">
        <f>VLOOKUP(A19,[12]HISTOBQUEOCT23!$A$6:$G$39,4,0)</f>
        <v>0</v>
      </c>
      <c r="F19" s="9">
        <f>VLOOKUP(A19,[12]HISTOBQUEOCT23!$A$6:$G$39,5,0)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VLOOKUP(A20,[12]HISTOBQUEOCT23!$A$6:$G$44,3,0)</f>
        <v>417000</v>
      </c>
      <c r="E20" s="9">
        <f>VLOOKUP(A20,[12]HISTOBQUEOCT23!$A$6:$G$39,4,0)</f>
        <v>0</v>
      </c>
      <c r="F20" s="9">
        <f>VLOOKUP(A20,[12]HISTOBQUEOCT23!$A$6:$G$39,5,0)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VLOOKUP($A20,[15]TONTOCT23!$A$6:$P$35,12,0)</f>
        <v>0</v>
      </c>
      <c r="Q20" s="2">
        <f>VLOOKUP($A20,[13]TONTOCT23!$A$6:$P$20,10,0)</f>
        <v>0</v>
      </c>
      <c r="R20" s="2">
        <f>VLOOKUP($A20,[14]TONTOCT23!$A$6:$P$21,10,0)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VLOOKUP(A21,[12]HISTOBQUEOCT23!$A$6:$G$44,3,0)</f>
        <v>40000</v>
      </c>
      <c r="E21" s="9">
        <f>VLOOKUP(A21,[12]HISTOBQUEOCT23!$A$6:$G$39,4,0)</f>
        <v>0</v>
      </c>
      <c r="F21" s="9">
        <f>VLOOKUP(A21,[12]HISTOBQUEOCT23!$A$6:$G$39,5,0)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VLOOKUP(A22,[12]HISTOBQUEOCT23!$A$6:$G$44,3,0)</f>
        <v>115000</v>
      </c>
      <c r="E22" s="9">
        <f>VLOOKUP(A22,[12]HISTOBQUEOCT23!$A$6:$G$39,4,0)</f>
        <v>0</v>
      </c>
      <c r="F22" s="9">
        <f>VLOOKUP(A22,[12]HISTOBQUEOCT23!$A$6:$G$39,5,0)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VLOOKUP(A23,[12]HISTOBQUEOCT23!$A$6:$G$44,3,0)+101000</f>
        <v>351000</v>
      </c>
      <c r="E23" s="9">
        <f>VLOOKUP(A23,[12]HISTOBQUEOCT23!$A$6:$G$39,4,0)</f>
        <v>0</v>
      </c>
      <c r="F23" s="9">
        <f>VLOOKUP(A23,[12]HISTOBQUEOCT23!$A$6:$G$39,5,0)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VLOOKUP($A23,[15]TONTOCT23!$A$6:$P$35,12,0)</f>
        <v>0</v>
      </c>
      <c r="Q23" s="2"/>
      <c r="R23" s="2">
        <f>VLOOKUP($A23,[14]TONTOCT23!$A$6:$P$21,10,0)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VLOOKUP(A24,[12]HISTOBQUEOCT23!$A$6:$G$44,3,0)</f>
        <v>400000</v>
      </c>
      <c r="E24" s="9">
        <f>VLOOKUP(A24,[12]HISTOBQUEOCT23!$A$6:$G$39,4,0)</f>
        <v>17000</v>
      </c>
      <c r="F24" s="9">
        <f>VLOOKUP(A24,[12]HISTOBQUEOCT23!$A$6:$G$39,5,0)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VLOOKUP($A24,[15]TONTOCT23!$A$6:$P$35,12,0)</f>
        <v>0</v>
      </c>
      <c r="Q24" s="2">
        <f>VLOOKUP($A24,[13]TONTOCT23!$A$6:$P$20,10,0)</f>
        <v>0</v>
      </c>
      <c r="R24" s="2">
        <f>VLOOKUP($A24,[14]TONTOCT23!$A$6:$P$21,10,0)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149</v>
      </c>
      <c r="BO24" t="s">
        <v>144</v>
      </c>
      <c r="BP24" s="62"/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VLOOKUP(A25,[12]HISTOBQUEOCT23!$A$6:$G$44,3,0)</f>
        <v>500000</v>
      </c>
      <c r="E25" s="9">
        <f>VLOOKUP(A25,[12]HISTOBQUEOCT23!$A$6:$G$39,4,0)</f>
        <v>0</v>
      </c>
      <c r="F25" s="9">
        <f>VLOOKUP(A25,[12]HISTOBQUEOCT23!$A$6:$G$39,5,0)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VLOOKUP($A25,[15]TONTOCT23!$A$6:$P$35,12,0)</f>
        <v>0</v>
      </c>
      <c r="Q25" s="2">
        <f>VLOOKUP($A25,[13]TONTOCT23!$A$6:$P$20,10,0)</f>
        <v>0</v>
      </c>
      <c r="R25" s="2">
        <f>VLOOKUP($A25,[14]TONTOCT23!$A$6:$P$21,10,0)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179</v>
      </c>
      <c r="BO25" t="s">
        <v>144</v>
      </c>
      <c r="BP25">
        <f>500000+100000</f>
        <v>600000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9">
        <f t="shared" si="0"/>
        <v>101000</v>
      </c>
      <c r="D26" s="9">
        <f>VLOOKUP(A26,[12]HISTOBQUEOCT23!$A$6:$G$44,3,0)</f>
        <v>0</v>
      </c>
      <c r="E26" s="9">
        <f>VLOOKUP(A26,[12]HISTOBQUEOCT23!$A$6:$G$39,4,0)</f>
        <v>158500</v>
      </c>
      <c r="F26" s="9">
        <f>VLOOKUP(A26,[12]HISTOBQUEOCT23!$A$6:$G$39,5,0)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145</v>
      </c>
      <c r="BO26" t="s">
        <v>144</v>
      </c>
      <c r="BP26" s="62"/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VLOOKUP(A27,[12]HISTOBQUEOCT23!$A$6:$G$44,3,0)</f>
        <v>50000</v>
      </c>
      <c r="E27" s="9">
        <f>VLOOKUP(A27,[12]HISTOBQUEOCT23!$A$6:$G$39,4,0)</f>
        <v>0</v>
      </c>
      <c r="F27" s="9">
        <f>VLOOKUP(A27,[12]HISTOBQUEOCT23!$A$6:$G$39,5,0)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VLOOKUP(A28,[12]HISTOBQUEOCT23!$A$6:$G$44,3,0)</f>
        <v>115000</v>
      </c>
      <c r="E28" s="9">
        <f>VLOOKUP(A28,[12]HISTOBQUEOCT23!$A$6:$G$39,4,0)</f>
        <v>0</v>
      </c>
      <c r="F28" s="9">
        <f>VLOOKUP(A28,[12]HISTOBQUEOCT23!$A$6:$G$39,5,0)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143</v>
      </c>
      <c r="BP28" s="6">
        <f>SUM(BP24:BP26)</f>
        <v>600000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VLOOKUP(A29,[12]HISTOBQUEOCT23!$A$6:$G$44,3,0)</f>
        <v>40000</v>
      </c>
      <c r="E29" s="9">
        <f>VLOOKUP(A29,[12]HISTOBQUEOCT23!$A$6:$G$39,4,0)</f>
        <v>0</v>
      </c>
      <c r="F29" s="9">
        <f>VLOOKUP(A29,[12]HISTOBQUEOCT23!$A$6:$G$39,5,0)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VLOOKUP(A30,[12]HISTOBQUEOCT23!$A$6:$G$44,3,0)</f>
        <v>115000</v>
      </c>
      <c r="E30" s="9">
        <f>VLOOKUP(A30,[12]HISTOBQUEOCT23!$A$6:$G$39,4,0)</f>
        <v>0</v>
      </c>
      <c r="F30" s="9">
        <f>VLOOKUP(A30,[12]HISTOBQUEOCT23!$A$6:$G$39,5,0)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VLOOKUP(A31,[12]HISTOBQUEOCT23!$A$6:$G$44,3,0)</f>
        <v>171000</v>
      </c>
      <c r="E31" s="9">
        <f>VLOOKUP(A31,[12]HISTOBQUEOCT23!$A$6:$G$39,4,0)</f>
        <v>0</v>
      </c>
      <c r="F31" s="9">
        <f>VLOOKUP(A31,[12]HISTOBQUEOCT23!$A$6:$G$39,5,0)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VLOOKUP($A31,[15]TONTOCT23!$A$6:$P$35,12,0)</f>
        <v>0</v>
      </c>
      <c r="Q31" s="2"/>
      <c r="R31" s="2">
        <f>VLOOKUP($A31,[14]TONTOCT23!$A$6:$P$21,10,0)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VLOOKUP(A32,[12]HISTOBQUEOCT23!$A$6:$G$44,3,0)</f>
        <v>115000</v>
      </c>
      <c r="E32" s="9">
        <f>VLOOKUP(A32,[12]HISTOBQUEOCT23!$A$6:$G$39,4,0)</f>
        <v>0</v>
      </c>
      <c r="F32" s="9">
        <f>VLOOKUP(A32,[12]HISTOBQUEOCT23!$A$6:$G$39,5,0)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 t="shared" si="0"/>
        <v>0</v>
      </c>
      <c r="D33" s="9">
        <f>VLOOKUP(A33,[12]HISTOBQUEOCT23!$A$6:$G$44,3,0)</f>
        <v>40000</v>
      </c>
      <c r="E33" s="9">
        <f>VLOOKUP(A33,[12]HISTOBQUEOCT23!$A$6:$G$39,4,0)</f>
        <v>0</v>
      </c>
      <c r="F33" s="9">
        <f>VLOOKUP(A33,[12]HISTOBQUEOCT23!$A$6:$G$39,5,0)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9">
        <f t="shared" si="0"/>
        <v>-227500</v>
      </c>
      <c r="D34" s="9">
        <f>VLOOKUP(A34,[12]HISTOBQUEOCT23!$A$6:$G$44,3,0)</f>
        <v>80000</v>
      </c>
      <c r="E34" s="9">
        <f>VLOOKUP(A34,[12]HISTOBQUEOCT23!$A$6:$G$39,4,0)</f>
        <v>0</v>
      </c>
      <c r="F34" s="9">
        <f>VLOOKUP(A34,[12]HISTOBQUEOCT23!$A$6:$G$39,5,0)+70000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VLOOKUP(A35,[12]HISTOBQUEOCT23!$A$6:$G$44,3,0)</f>
        <v>0</v>
      </c>
      <c r="E35" s="9">
        <f>VLOOKUP(A35,[12]HISTOBQUEOCT23!$A$6:$G$39,4,0)</f>
        <v>40000</v>
      </c>
      <c r="F35" s="9">
        <f>VLOOKUP(A35,[12]HISTOBQUEOCT23!$A$6:$G$39,5,0)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>D36+E36+F36-U36-BB36</f>
        <v>0</v>
      </c>
      <c r="D36" s="9">
        <f>VLOOKUP(A36,[12]HISTOBQUEOCT23!$A$6:$G$44,3,0)</f>
        <v>880000</v>
      </c>
      <c r="E36" s="9">
        <f>VLOOKUP(A36,[12]HISTOBQUEOCT23!$A$6:$G$39,4,0)</f>
        <v>0</v>
      </c>
      <c r="F36" s="9">
        <f>VLOOKUP(A36,[12]HISTOBQUEOCT23!$A$6:$G$39,5,0)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VLOOKUP($A36,[15]TONTOCT23!$A$6:$P$35,12,0)</f>
        <v>0</v>
      </c>
      <c r="Q36" s="2">
        <f>VLOOKUP($A36,[13]TONTOCT23!$A$6:$P$20,10,0)</f>
        <v>0</v>
      </c>
      <c r="R36" s="2">
        <f>VLOOKUP($A36,[14]TONTOCT23!$A$6:$P$21,10,0)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713500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H6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VLOOKUP(A6,[12]HISTOBQUENOV23!$A$6:$G$44,3,0)</f>
        <v>175000</v>
      </c>
      <c r="E6" s="9">
        <f>VLOOKUP(A6,[12]HISTOBQUENOV23!$A$6:$G$39,4,0)</f>
        <v>0</v>
      </c>
      <c r="F6" s="9">
        <f>VLOOKUP(A6,[12]HISTOBQUENOV23!$A$6:$G$39,5,0)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VLOOKUP($A6,[14]TONTNOV23!$A$6:$P$21,10,0)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187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VLOOKUP(A7,[12]HISTOBQUENOV23!$A$6:$G$44,3,0)+28000</f>
        <v>68000</v>
      </c>
      <c r="E7" s="9">
        <f>VLOOKUP(A7,[12]HISTOBQUENOV23!$A$6:$G$39,4,0)</f>
        <v>0</v>
      </c>
      <c r="F7" s="9">
        <f>VLOOKUP(A7,[12]HISTOBQUENOV23!$A$6:$G$39,5,0)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 t="shared" si="0"/>
        <v>0</v>
      </c>
      <c r="D8" s="9">
        <f>VLOOKUP(A8,[12]HISTOBQUENOV23!$A$6:$G$44,3,0)</f>
        <v>115000</v>
      </c>
      <c r="E8" s="9">
        <f>VLOOKUP(A8,[12]HISTOBQUENOV23!$A$6:$G$39,4,0)</f>
        <v>0</v>
      </c>
      <c r="F8" s="9">
        <f>VLOOKUP(A8,[12]HISTOBQUENOV23!$A$6:$G$39,5,0)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187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 t="shared" si="0"/>
        <v>0</v>
      </c>
      <c r="D9" s="9">
        <f>VLOOKUP(A9,[12]HISTOBQUENOV23!$A$6:$G$44,3,0)</f>
        <v>342000</v>
      </c>
      <c r="E9" s="9">
        <f>VLOOKUP(A9,[12]HISTOBQUENOV23!$A$6:$G$39,4,0)</f>
        <v>0</v>
      </c>
      <c r="F9" s="9">
        <f>VLOOKUP(A9,[12]HISTOBQUENOV23!$A$6:$G$39,5,0)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VLOOKUP($A9,[15]TONTNOV23!$A$6:$P$35,12,0)</f>
        <v>0</v>
      </c>
      <c r="Q9" s="2"/>
      <c r="R9" s="2">
        <f>VLOOKUP($A9,[14]TONTNOV23!$A$6:$P$21,10,0)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 t="shared" si="0"/>
        <v>0</v>
      </c>
      <c r="D10" s="9">
        <f>VLOOKUP(A10,[12]HISTOBQUENOV23!$A$6:$G$44,3,0)</f>
        <v>40000</v>
      </c>
      <c r="E10" s="9">
        <f>VLOOKUP(A10,[12]HISTOBQUENOV23!$A$6:$G$39,4,0)</f>
        <v>0</v>
      </c>
      <c r="F10" s="9">
        <f>VLOOKUP(A10,[12]HISTOBQUENOV23!$A$6:$G$39,5,0)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VLOOKUP(A11,[12]HISTOBQUENOV23!$A$6:$G$44,3,0)+76000</f>
        <v>191000</v>
      </c>
      <c r="E11" s="9">
        <f>VLOOKUP(A11,[12]HISTOBQUENOV23!$A$6:$G$39,4,0)</f>
        <v>0</v>
      </c>
      <c r="F11" s="9">
        <f>VLOOKUP(A11,[12]HISTOBQUENOV23!$A$6:$G$39,5,0)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VLOOKUP(A12,[12]HISTOBQUENOV23!$A$6:$G$44,3,0)+202000</f>
        <v>522000</v>
      </c>
      <c r="E12" s="9">
        <f>VLOOKUP(A12,[12]HISTOBQUENOV23!$A$6:$G$39,4,0)</f>
        <v>0</v>
      </c>
      <c r="F12" s="9">
        <f>VLOOKUP(A12,[12]HISTOBQUENOV23!$A$6:$G$39,5,0)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VLOOKUP($A12,[15]TONTNOV23!$A$6:$P$35,12,0)</f>
        <v>0</v>
      </c>
      <c r="Q12" s="2">
        <f>VLOOKUP($A12,[13]TONTNOV23!$A$6:$P$20,10,0)</f>
        <v>0</v>
      </c>
      <c r="R12" s="2">
        <f>VLOOKUP($A12,[14]TONTNOV23!$A$6:$P$21,10,0)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VLOOKUP(A13,[12]HISTOBQUENOV23!$A$6:$G$44,3,0)</f>
        <v>40000</v>
      </c>
      <c r="E13" s="9">
        <f>VLOOKUP(A13,[12]HISTOBQUENOV23!$A$6:$G$39,4,0)</f>
        <v>0</v>
      </c>
      <c r="F13" s="9">
        <f>VLOOKUP(A13,[12]HISTOBQUENOV23!$A$6:$G$39,5,0)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9">
        <f t="shared" si="0"/>
        <v>-70000</v>
      </c>
      <c r="D14" s="9">
        <f>VLOOKUP(A14,[12]HISTOBQUENOV23!$A$6:$G$44,3,0)</f>
        <v>40000</v>
      </c>
      <c r="E14" s="9">
        <f>VLOOKUP(A14,[12]HISTOBQUENOV23!$A$6:$G$39,4,0)</f>
        <v>0</v>
      </c>
      <c r="F14" s="9">
        <f>VLOOKUP(A14,[12]HISTOBQUENOV23!$A$6:$G$39,5,0)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187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VLOOKUP(A15,[12]HISTOBQUENOV23!$A$6:$G$44,3,0)</f>
        <v>115000</v>
      </c>
      <c r="E15" s="9">
        <f>VLOOKUP(A15,[12]HISTOBQUENOV23!$A$6:$G$39,4,0)</f>
        <v>0</v>
      </c>
      <c r="F15" s="9">
        <f>VLOOKUP(A15,[12]HISTOBQUENOV23!$A$6:$G$39,5,0)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-136500</v>
      </c>
      <c r="D16" s="9">
        <f>VLOOKUP(A16,[12]HISTOBQUENOV23!$A$6:$G$44,3,0)+202000</f>
        <v>452000</v>
      </c>
      <c r="E16" s="9">
        <f>VLOOKUP(A16,[12]HISTOBQUENOV23!$A$6:$G$39,4,0)</f>
        <v>0</v>
      </c>
      <c r="F16" s="9">
        <f>VLOOKUP(A16,[12]HISTOBQUENOV23!$A$6:$G$39,5,0)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VLOOKUP($A16,[15]TONTNOV23!$A$6:$P$35,12,0)</f>
        <v>0</v>
      </c>
      <c r="Q16" s="2">
        <f>VLOOKUP($A16,[13]TONTNOV23!$A$6:$P$20,10,0)</f>
        <v>0</v>
      </c>
      <c r="R16" s="2">
        <f>VLOOKUP($A16,[14]TONTNOV23!$A$6:$P$21,10,0)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VLOOKUP(A17,[12]HISTOBQUENOV23!$A$6:$G$44,3,0)</f>
        <v>140000</v>
      </c>
      <c r="E17" s="9">
        <f>VLOOKUP(A17,[12]HISTOBQUENOV23!$A$6:$G$39,4,0)</f>
        <v>0</v>
      </c>
      <c r="F17" s="9">
        <f>VLOOKUP(A17,[12]HISTOBQUENOV23!$A$6:$G$39,5,0)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VLOOKUP($A17,[15]TONTNOV23!$A$6:$P$35,12,0)</f>
        <v>0</v>
      </c>
      <c r="Q17" s="2"/>
      <c r="R17" s="2">
        <f>VLOOKUP($A17,[14]TONTNOV23!$A$6:$P$21,10,0)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VLOOKUP(A18,[12]HISTOBQUENOV23!$A$6:$G$44,3,0)</f>
        <v>367000</v>
      </c>
      <c r="E18" s="9">
        <f>VLOOKUP(A18,[12]HISTOBQUENOV23!$A$6:$G$39,4,0)</f>
        <v>0</v>
      </c>
      <c r="F18" s="9">
        <f>VLOOKUP(A18,[12]HISTOBQUENOV23!$A$6:$G$39,5,0)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VLOOKUP($A18,[15]TONTNOV23!$A$6:$P$35,12,0)</f>
        <v>0</v>
      </c>
      <c r="Q18" s="2">
        <f>VLOOKUP($A18,[13]TONTNOV23!$A$6:$P$20,10,0)</f>
        <v>152000</v>
      </c>
      <c r="R18" s="2">
        <f>VLOOKUP($A18,[14]TONTNOV23!$A$6:$P$21,10,0)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187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VLOOKUP(A19,[12]HISTOBQUENOV23!$A$6:$G$44,3,0)</f>
        <v>40000</v>
      </c>
      <c r="E19" s="9">
        <f>VLOOKUP(A19,[12]HISTOBQUENOV23!$A$6:$G$39,4,0)</f>
        <v>0</v>
      </c>
      <c r="F19" s="9">
        <f>VLOOKUP(A19,[12]HISTOBQUENOV23!$A$6:$G$39,5,0)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VLOOKUP(A20,[12]HISTOBQUENOV23!$A$6:$G$44,3,0)+354000</f>
        <v>599500</v>
      </c>
      <c r="E20" s="9">
        <f>VLOOKUP(A20,[12]HISTOBQUENOV23!$A$6:$G$39,4,0)</f>
        <v>0</v>
      </c>
      <c r="F20" s="9">
        <f>VLOOKUP(A20,[12]HISTOBQUENOV23!$A$6:$G$39,5,0)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VLOOKUP($A20,[15]TONTNOV23!$A$6:$P$35,12,0)</f>
        <v>30500</v>
      </c>
      <c r="Q20" s="2">
        <f>VLOOKUP($A20,[13]TONTNOV23!$A$6:$P$20,10,0)</f>
        <v>152000</v>
      </c>
      <c r="R20" s="2">
        <f>VLOOKUP($A20,[14]TONTNOV23!$A$6:$P$21,10,0)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VLOOKUP(A21,[12]HISTOBQUENOV23!$A$6:$G$44,3,0)</f>
        <v>40000</v>
      </c>
      <c r="E21" s="9">
        <f>VLOOKUP(A21,[12]HISTOBQUENOV23!$A$6:$G$39,4,0)</f>
        <v>0</v>
      </c>
      <c r="F21" s="9">
        <f>VLOOKUP(A21,[12]HISTOBQUENOV23!$A$6:$G$39,5,0)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 t="shared" si="0"/>
        <v>0</v>
      </c>
      <c r="D22" s="9">
        <f>VLOOKUP(A22,[12]HISTOBQUENOV23!$A$6:$G$44,3,0)</f>
        <v>115000</v>
      </c>
      <c r="E22" s="9">
        <f>VLOOKUP(A22,[12]HISTOBQUENOV23!$A$6:$G$39,4,0)</f>
        <v>0</v>
      </c>
      <c r="F22" s="9">
        <f>VLOOKUP(A22,[12]HISTOBQUENOV23!$A$6:$G$39,5,0)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VLOOKUP(A23,[12]HISTOBQUENOV23!$A$6:$G$44,3,0)</f>
        <v>250000</v>
      </c>
      <c r="E23" s="9">
        <f>VLOOKUP(A23,[12]HISTOBQUENOV23!$A$6:$G$39,4,0)</f>
        <v>0</v>
      </c>
      <c r="F23" s="9">
        <f>VLOOKUP(A23,[12]HISTOBQUENOV23!$A$6:$G$39,5,0)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VLOOKUP($A23,[15]TONTNOV23!$A$6:$P$35,12,0)</f>
        <v>0</v>
      </c>
      <c r="Q23" s="2"/>
      <c r="R23" s="2">
        <f>VLOOKUP($A23,[14]TONTNOV23!$A$6:$P$21,10,0)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VLOOKUP(A24,[12]HISTOBQUENOV23!$A$6:$G$44,3,0)</f>
        <v>420000</v>
      </c>
      <c r="E24" s="9">
        <f>VLOOKUP(A24,[12]HISTOBQUENOV23!$A$6:$G$39,4,0)</f>
        <v>0</v>
      </c>
      <c r="F24" s="9">
        <f>VLOOKUP(A24,[12]HISTOBQUENOV23!$A$6:$G$39,5,0)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VLOOKUP($A24,[15]TONTNOV23!$A$6:$P$35,12,0)</f>
        <v>0</v>
      </c>
      <c r="Q24" s="2">
        <f>VLOOKUP($A24,[13]TONTNOV23!$A$6:$P$20,10,0)</f>
        <v>0</v>
      </c>
      <c r="R24" s="2">
        <f>VLOOKUP($A24,[14]TONTNOV23!$A$6:$P$21,10,0)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187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VLOOKUP(A25,[12]HISTOBQUENOV23!$A$6:$G$44,3,0)</f>
        <v>500000</v>
      </c>
      <c r="E25" s="9">
        <f>VLOOKUP(A25,[12]HISTOBQUENOV23!$A$6:$G$39,4,0)</f>
        <v>0</v>
      </c>
      <c r="F25" s="9">
        <f>VLOOKUP(A25,[12]HISTOBQUENOV23!$A$6:$G$39,5,0)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VLOOKUP($A25,[15]TONTNOV23!$A$6:$P$35,12,0)</f>
        <v>0</v>
      </c>
      <c r="Q25" s="2">
        <f>VLOOKUP($A25,[13]TONTNOV23!$A$6:$P$20,10,0)</f>
        <v>0</v>
      </c>
      <c r="R25" s="2">
        <f>VLOOKUP($A25,[14]TONTNOV23!$A$6:$P$21,10,0)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187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VLOOKUP(A26,[12]HISTOBQUENOV23!$A$6:$G$44,3,0)</f>
        <v>0</v>
      </c>
      <c r="E26" s="9">
        <f>VLOOKUP(A26,[12]HISTOBQUENOV23!$A$6:$G$39,4,0)</f>
        <v>102000</v>
      </c>
      <c r="F26" s="9">
        <f>VLOOKUP(A26,[12]HISTOBQUENOV23!$A$6:$G$39,5,0)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VLOOKUP(A27,[12]HISTOBQUENOV23!$A$6:$G$44,3,0)</f>
        <v>50000</v>
      </c>
      <c r="E27" s="9">
        <f>VLOOKUP(A27,[12]HISTOBQUENOV23!$A$6:$G$39,4,0)</f>
        <v>0</v>
      </c>
      <c r="F27" s="9">
        <f>VLOOKUP(A27,[12]HISTOBQUENOV23!$A$6:$G$39,5,0)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9">
        <f t="shared" si="0"/>
        <v>-70000</v>
      </c>
      <c r="D28" s="9">
        <f>VLOOKUP(A28,[12]HISTOBQUENOV23!$A$6:$G$44,3,0)</f>
        <v>115000</v>
      </c>
      <c r="E28" s="9">
        <f>VLOOKUP(A28,[12]HISTOBQUENOV23!$A$6:$G$39,4,0)</f>
        <v>0</v>
      </c>
      <c r="F28" s="9">
        <f>VLOOKUP(A28,[12]HISTOBQUENOV23!$A$6:$G$39,5,0)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187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VLOOKUP(A29,[12]HISTOBQUENOV23!$A$6:$G$44,3,0)</f>
        <v>40000</v>
      </c>
      <c r="E29" s="9">
        <f>VLOOKUP(A29,[12]HISTOBQUENOV23!$A$6:$G$39,4,0)</f>
        <v>0</v>
      </c>
      <c r="F29" s="9">
        <f>VLOOKUP(A29,[12]HISTOBQUENOV23!$A$6:$G$39,5,0)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 t="shared" si="0"/>
        <v>0</v>
      </c>
      <c r="D30" s="9">
        <f>VLOOKUP(A30,[12]HISTOBQUENOV23!$A$6:$G$44,3,0)</f>
        <v>115000</v>
      </c>
      <c r="E30" s="9">
        <f>VLOOKUP(A30,[12]HISTOBQUENOV23!$A$6:$G$39,4,0)</f>
        <v>0</v>
      </c>
      <c r="F30" s="9">
        <f>VLOOKUP(A30,[12]HISTOBQUENOV23!$A$6:$G$39,5,0)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VLOOKUP(A31,[12]HISTOBQUENOV23!$A$6:$G$44,3,0)</f>
        <v>171000</v>
      </c>
      <c r="E31" s="9">
        <f>VLOOKUP(A31,[12]HISTOBQUENOV23!$A$6:$G$39,4,0)</f>
        <v>0</v>
      </c>
      <c r="F31" s="9">
        <f>VLOOKUP(A31,[12]HISTOBQUENOV23!$A$6:$G$39,5,0)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VLOOKUP($A31,[15]TONTNOV23!$A$6:$P$35,12,0)</f>
        <v>30500</v>
      </c>
      <c r="Q31" s="2"/>
      <c r="R31" s="2">
        <f>VLOOKUP($A31,[14]TONTNOV23!$A$6:$P$21,10,0)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187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VLOOKUP(A32,[12]HISTOBQUENOV23!$A$6:$G$44,3,0)</f>
        <v>115000</v>
      </c>
      <c r="E32" s="9">
        <f>VLOOKUP(A32,[12]HISTOBQUENOV23!$A$6:$G$39,4,0)</f>
        <v>0</v>
      </c>
      <c r="F32" s="9">
        <f>VLOOKUP(A32,[12]HISTOBQUENOV23!$A$6:$G$39,5,0)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187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9">
        <f t="shared" si="0"/>
        <v>80000</v>
      </c>
      <c r="D33" s="9">
        <f>VLOOKUP(A33,[12]HISTOBQUENOV23!$A$6:$G$44,3,0)</f>
        <v>120000</v>
      </c>
      <c r="E33" s="9">
        <f>VLOOKUP(A33,[12]HISTOBQUENOV23!$A$6:$G$39,4,0)</f>
        <v>0</v>
      </c>
      <c r="F33" s="9">
        <f>VLOOKUP(A33,[12]HISTOBQUENOV23!$A$6:$G$39,5,0)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VLOOKUP(A34,[12]HISTOBQUENOV23!$A$6:$G$44,3,0)</f>
        <v>70000</v>
      </c>
      <c r="E34" s="9">
        <f>VLOOKUP(A34,[12]HISTOBQUENOV23!$A$6:$G$39,4,0)</f>
        <v>0</v>
      </c>
      <c r="F34" s="9">
        <f>VLOOKUP(A34,[12]HISTOBQUENOV23!$A$6:$G$39,5,0)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 t="shared" si="0"/>
        <v>0</v>
      </c>
      <c r="D35" s="9">
        <f>VLOOKUP(A35,[12]HISTOBQUENOV23!$A$6:$G$44,3,0)</f>
        <v>0</v>
      </c>
      <c r="E35" s="9">
        <f>VLOOKUP(A35,[12]HISTOBQUENOV23!$A$6:$G$39,4,0)</f>
        <v>40000</v>
      </c>
      <c r="F35" s="9">
        <f>VLOOKUP(A35,[12]HISTOBQUENOV23!$A$6:$G$39,5,0)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f>100000+10000</f>
        <v>110000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9">
        <f t="shared" si="0"/>
        <v>-70000</v>
      </c>
      <c r="D36" s="9">
        <f>VLOOKUP(A36,[12]HISTOBQUENOV23!$A$6:$G$44,3,0)</f>
        <v>593000</v>
      </c>
      <c r="E36" s="9">
        <f>VLOOKUP(A36,[12]HISTOBQUENOV23!$A$6:$G$39,4,0)</f>
        <v>0</v>
      </c>
      <c r="F36" s="9">
        <f>VLOOKUP(A36,[12]HISTOBQUENOV23!$A$6:$G$39,5,0)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VLOOKUP($A36,[15]TONTNOV23!$A$6:$P$35,12,0)</f>
        <v>0</v>
      </c>
      <c r="Q36" s="2">
        <f>VLOOKUP($A36,[13]TONTNOV23!$A$6:$P$20,10,0)</f>
        <v>0</v>
      </c>
      <c r="R36" s="2">
        <f>VLOOKUP($A36,[14]TONTNOV23!$A$6:$P$21,10,0)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187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116000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tabSelected="1" zoomScaleNormal="100" workbookViewId="0">
      <pane xSplit="4" ySplit="5" topLeftCell="E6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7.5703125" bestFit="1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 t="shared" ref="C6:C36" si="0">D6+E6+F6-U6-BB6</f>
        <v>0</v>
      </c>
      <c r="D6" s="9">
        <f>VLOOKUP(A6,[12]HISTOBQUEDEC23!$A$6:$G$44,3,0)</f>
        <v>175000</v>
      </c>
      <c r="E6" s="9">
        <f>VLOOKUP(A6,[12]HISTOBQUEDEC23!$A$6:$G$39,4,0)</f>
        <v>0</v>
      </c>
      <c r="F6" s="9">
        <f>VLOOKUP(A6,[12]HISTOBQUEDEC23!$A$6:$G$39,5,0)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VLOOKUP($A6,[14]TONTDEC23!$A$6:$P$21,10,0)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116</v>
      </c>
      <c r="BO6" t="s">
        <v>115</v>
      </c>
      <c r="BP6" s="6"/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 t="shared" si="0"/>
        <v>0</v>
      </c>
      <c r="D7" s="9">
        <f>VLOOKUP(A7,[12]HISTOBQUEDEC23!$A$6:$G$44,3,0)</f>
        <v>0</v>
      </c>
      <c r="E7" s="9">
        <f>VLOOKUP(A7,[12]HISTOBQUEDEC23!$A$6:$G$39,4,0)</f>
        <v>669000</v>
      </c>
      <c r="F7" s="9">
        <f>VLOOKUP(A7,[12]HISTOBQUEDEC23!$A$6:$G$39,5,0)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VLOOKUP($A7,[15]TONTDEC23!$A$6:$P$35,12,0)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564000</v>
      </c>
      <c r="BA7" s="58"/>
      <c r="BB7" s="58"/>
      <c r="BC7" s="15"/>
      <c r="BD7" s="57">
        <f t="shared" ref="BD7:BD36" si="13">IF(AZ7=0,(AZ7-BA7-BC7),(AZ7-BA7-BB7-BC7))+F7</f>
        <v>564000</v>
      </c>
      <c r="BE7" s="82"/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117</v>
      </c>
      <c r="BO7" t="s">
        <v>115</v>
      </c>
      <c r="BP7" s="6"/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69">
        <f t="shared" si="0"/>
        <v>0</v>
      </c>
      <c r="D8" s="9">
        <f>VLOOKUP(A8,[12]HISTOBQUEDEC23!$A$6:$G$44,3,0)</f>
        <v>115000</v>
      </c>
      <c r="E8" s="9">
        <f>VLOOKUP(A8,[12]HISTOBQUEDEC23!$A$6:$G$39,4,0)</f>
        <v>0</v>
      </c>
      <c r="F8" s="9">
        <f>VLOOKUP(A8,[12]HISTOBQUEDEC23!$A$6:$G$39,5,0)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VLOOKUP($A8,[15]TONTDEC23!$A$6:$P$35,12,0)</f>
        <v>0</v>
      </c>
      <c r="Q8" s="2">
        <f>VLOOKUP($A8,[15]TONTDEC23!$A$6:$P$35,12,0)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118</v>
      </c>
      <c r="BO8" t="s">
        <v>115</v>
      </c>
      <c r="BP8" s="6"/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69">
        <f>D9+E9+F9-U9-BB9</f>
        <v>221000</v>
      </c>
      <c r="D9" s="9">
        <f>VLOOKUP(A9,[12]HISTOBQUEDEC23!$A$6:$G$44,3,0)</f>
        <v>386000</v>
      </c>
      <c r="E9" s="9">
        <f>VLOOKUP(A9,[12]HISTOBQUEDEC23!$A$6:$G$39,4,0)</f>
        <v>1000000</v>
      </c>
      <c r="F9" s="9">
        <f>VLOOKUP(A9,[12]HISTOBQUEDEC23!$A$6:$G$39,5,0)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VLOOKUP($A9,[15]TONTDEC23!$A$6:$P$35,12,0)</f>
        <v>0</v>
      </c>
      <c r="Q9" s="2"/>
      <c r="R9" s="2">
        <f>VLOOKUP($A9,[14]TONTDEC23!$A$6:$P$21,10,0)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148</v>
      </c>
      <c r="BO9" t="s">
        <v>115</v>
      </c>
      <c r="BP9" s="6"/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69">
        <f t="shared" si="0"/>
        <v>0</v>
      </c>
      <c r="D10" s="9">
        <f>VLOOKUP(A10,[12]HISTOBQUEDEC23!$A$6:$G$44,3,0)</f>
        <v>0</v>
      </c>
      <c r="E10" s="9">
        <f>VLOOKUP(A10,[12]HISTOBQUEDEC23!$A$6:$G$39,4,0)</f>
        <v>40000</v>
      </c>
      <c r="F10" s="9">
        <f>VLOOKUP(A10,[12]HISTOBQUEDEC23!$A$6:$G$39,5,0)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VLOOKUP($A10,[15]TONTDEC23!$A$6:$P$35,12,0)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119</v>
      </c>
      <c r="BO10" t="s">
        <v>115</v>
      </c>
      <c r="BP10" s="6"/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 t="shared" si="0"/>
        <v>0</v>
      </c>
      <c r="D11" s="9">
        <f>VLOOKUP(A11,[12]HISTOBQUEDEC23!$A$6:$G$44,3,0)</f>
        <v>115000</v>
      </c>
      <c r="E11" s="9">
        <f>VLOOKUP(A11,[12]HISTOBQUEDEC23!$A$6:$G$39,4,0)+77000</f>
        <v>1077000</v>
      </c>
      <c r="F11" s="9">
        <f>VLOOKUP(A11,[12]HISTOBQUEDEC23!$A$6:$G$39,5,0)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VLOOKUP($A11,[15]TONTDEC23!$A$6:$P$35,12,0)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120</v>
      </c>
      <c r="BO11" t="s">
        <v>115</v>
      </c>
      <c r="BP11" s="6"/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 t="shared" si="0"/>
        <v>0</v>
      </c>
      <c r="D12" s="9">
        <f>VLOOKUP(A12,[12]HISTOBQUEDEC23!$A$6:$G$44,3,0)</f>
        <v>1040000</v>
      </c>
      <c r="E12" s="9">
        <f>VLOOKUP(A12,[12]HISTOBQUEDEC23!$A$6:$G$39,4,0)+206000</f>
        <v>257000</v>
      </c>
      <c r="F12" s="9">
        <f>VLOOKUP(A12,[12]HISTOBQUEDEC23!$A$6:$G$39,5,0)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VLOOKUP($A12,[15]TONTDEC23!$A$6:$P$35,12,0)</f>
        <v>0</v>
      </c>
      <c r="Q12" s="2">
        <f>VLOOKUP($A12,[13]TONTDEC23!$A$6:$P$20,10,0)</f>
        <v>51000</v>
      </c>
      <c r="R12" s="2">
        <f>VLOOKUP($A12,[14]TONTDEC23!$A$6:$P$21,10,0)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121</v>
      </c>
      <c r="BO12" t="s">
        <v>115</v>
      </c>
      <c r="BP12" s="6"/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 t="shared" si="0"/>
        <v>0</v>
      </c>
      <c r="D13" s="9">
        <f>VLOOKUP(A13,[12]HISTOBQUEDEC23!$A$6:$G$44,3,0)</f>
        <v>1040000</v>
      </c>
      <c r="E13" s="9">
        <f>VLOOKUP(A13,[12]HISTOBQUEDEC23!$A$6:$G$39,4,0)</f>
        <v>0</v>
      </c>
      <c r="F13" s="9">
        <f>VLOOKUP(A13,[12]HISTOBQUEDEC23!$A$6:$G$39,5,0)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VLOOKUP($A13,[15]TONTDEC23!$A$6:$P$35,12,0)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146</v>
      </c>
      <c r="BO13" t="s">
        <v>115</v>
      </c>
      <c r="BP13" s="6">
        <v>6000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 t="shared" si="0"/>
        <v>0</v>
      </c>
      <c r="D14" s="9">
        <f>VLOOKUP(A14,[12]HISTOBQUEDEC23!$A$6:$G$44,3,0)</f>
        <v>40000</v>
      </c>
      <c r="E14" s="9">
        <f>VLOOKUP(A14,[12]HISTOBQUEDEC23!$A$6:$G$39,4,0)</f>
        <v>0</v>
      </c>
      <c r="F14" s="9">
        <f>VLOOKUP(A14,[12]HISTOBQUEDEC23!$A$6:$G$39,5,0)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VLOOKUP($A14,[15]TONTDEC23!$A$6:$P$35,12,0)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123</v>
      </c>
      <c r="BO14" t="s">
        <v>115</v>
      </c>
      <c r="BP14" s="6"/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 t="shared" si="0"/>
        <v>0</v>
      </c>
      <c r="D15" s="9">
        <f>VLOOKUP(A15,[12]HISTOBQUEDEC23!$A$6:$G$44,3,0)</f>
        <v>115000</v>
      </c>
      <c r="E15" s="9">
        <f>VLOOKUP(A15,[12]HISTOBQUEDEC23!$A$6:$G$39,4,0)</f>
        <v>0</v>
      </c>
      <c r="F15" s="9">
        <f>VLOOKUP(A15,[12]HISTOBQUEDEC23!$A$6:$G$39,5,0)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VLOOKUP($A15,[15]TONTDEC23!$A$6:$P$35,12,0)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 t="shared" si="0"/>
        <v>0</v>
      </c>
      <c r="D16" s="9">
        <f>VLOOKUP(A16,[12]HISTOBQUEDEC23!$A$6:$G$44,3,0)</f>
        <v>250000</v>
      </c>
      <c r="E16" s="9">
        <f>VLOOKUP(A16,[12]HISTOBQUEDEC23!$A$6:$G$39,4,0)+206000+125000+238500</f>
        <v>569500</v>
      </c>
      <c r="F16" s="9">
        <f>VLOOKUP(A16,[12]HISTOBQUEDEC23!$A$6:$G$39,5,0)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VLOOKUP($A16,[15]TONTDEC23!$A$6:$P$35,12,0)</f>
        <v>0</v>
      </c>
      <c r="Q16" s="2">
        <f>VLOOKUP($A16,[13]TONTDEC23!$A$6:$P$20,10,0)</f>
        <v>0</v>
      </c>
      <c r="R16" s="2">
        <f>VLOOKUP($A16,[14]TONTDEC23!$A$6:$P$21,10,0)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>
        <v>363500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363500</v>
      </c>
      <c r="BA16" s="58"/>
      <c r="BB16" s="58"/>
      <c r="BC16" s="15"/>
      <c r="BD16" s="71">
        <f>IF(AZ16=0,(AZ16-BA16-BC16),(AZ16-BA16-BB16-BC16))+F16+400000</f>
        <v>763500</v>
      </c>
      <c r="BE16" s="82"/>
      <c r="BF16" s="29"/>
      <c r="BG16" s="29">
        <v>12</v>
      </c>
      <c r="BH16" s="15"/>
      <c r="BI16" s="15"/>
      <c r="BJ16" s="15"/>
      <c r="BK16" s="15"/>
      <c r="BL16" s="61"/>
      <c r="BN16" s="62" t="s">
        <v>143</v>
      </c>
      <c r="BP16" s="62">
        <f>SUM(BP6:BP15)</f>
        <v>6000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 t="shared" si="0"/>
        <v>0</v>
      </c>
      <c r="D17" s="9">
        <f>VLOOKUP(A17,[12]HISTOBQUEDEC23!$A$6:$G$44,3,0)</f>
        <v>1140000</v>
      </c>
      <c r="E17" s="9">
        <f>VLOOKUP(A17,[12]HISTOBQUEDEC23!$A$6:$G$39,4,0)</f>
        <v>0</v>
      </c>
      <c r="F17" s="9">
        <f>VLOOKUP(A17,[12]HISTOBQUEDEC23!$A$6:$G$39,5,0)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VLOOKUP($A17,[15]TONTDEC23!$A$6:$P$35,12,0)</f>
        <v>0</v>
      </c>
      <c r="Q17" s="2"/>
      <c r="R17" s="2">
        <f>VLOOKUP($A17,[14]TONTDEC23!$A$6:$P$21,10,0)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 t="shared" si="0"/>
        <v>0</v>
      </c>
      <c r="D18" s="9">
        <f>VLOOKUP(A18,[12]HISTOBQUEDEC23!$A$6:$G$44,3,0)</f>
        <v>1000000</v>
      </c>
      <c r="E18" s="9">
        <f>VLOOKUP(A18,[12]HISTOBQUEDEC23!$A$6:$G$39,4,0)</f>
        <v>447500</v>
      </c>
      <c r="F18" s="9">
        <f>VLOOKUP(A18,[12]HISTOBQUEDEC23!$A$6:$G$39,5,0)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VLOOKUP($A18,[15]TONTDEC23!$A$6:$P$35,12,0)</f>
        <v>30500</v>
      </c>
      <c r="Q18" s="2">
        <f>VLOOKUP($A18,[13]TONTDEC23!$A$6:$P$20,10,0)</f>
        <v>202000</v>
      </c>
      <c r="R18" s="2">
        <f>VLOOKUP($A18,[14]TONTDEC23!$A$6:$P$21,10,0)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149</v>
      </c>
      <c r="BO18" t="s">
        <v>46</v>
      </c>
      <c r="BP18" s="6"/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 t="shared" si="0"/>
        <v>0</v>
      </c>
      <c r="D19" s="9">
        <f>VLOOKUP(A19,[12]HISTOBQUEDEC23!$A$6:$G$44,3,0)</f>
        <v>40000</v>
      </c>
      <c r="E19" s="9">
        <f>VLOOKUP(A19,[12]HISTOBQUEDEC23!$A$6:$G$39,4,0)</f>
        <v>0</v>
      </c>
      <c r="F19" s="9">
        <f>VLOOKUP(A19,[12]HISTOBQUEDEC23!$A$6:$G$39,5,0)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VLOOKUP($A19,[15]TONTDEC23!$A$6:$P$35,12,0)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150</v>
      </c>
      <c r="BO19" t="s">
        <v>46</v>
      </c>
      <c r="BP19" s="6"/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 t="shared" si="0"/>
        <v>0</v>
      </c>
      <c r="D20" s="9">
        <f>VLOOKUP(A20,[12]HISTOBQUEDEC23!$A$6:$G$44,3,0)</f>
        <v>0</v>
      </c>
      <c r="E20" s="9">
        <f>VLOOKUP(A20,[12]HISTOBQUEDEC23!$A$6:$G$39,4,0)+300000</f>
        <v>1829000</v>
      </c>
      <c r="F20" s="9">
        <f>VLOOKUP(A20,[12]HISTOBQUEDEC23!$A$6:$G$39,5,0)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VLOOKUP($A20,[15]TONTDEC23!$A$6:$P$35,12,0)</f>
        <v>0</v>
      </c>
      <c r="Q20" s="2">
        <f>VLOOKUP($A20,[13]TONTDEC23!$A$6:$P$20,10,0)</f>
        <v>307000</v>
      </c>
      <c r="R20" s="2">
        <f>VLOOKUP($A20,[14]TONTDEC23!$A$6:$P$21,10,0)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 t="shared" si="0"/>
        <v>0</v>
      </c>
      <c r="D21" s="9">
        <f>VLOOKUP(A21,[12]HISTOBQUEDEC23!$A$6:$G$44,3,0)</f>
        <v>540000</v>
      </c>
      <c r="E21" s="9">
        <f>VLOOKUP(A21,[12]HISTOBQUEDEC23!$A$6:$G$39,4,0)</f>
        <v>0</v>
      </c>
      <c r="F21" s="9">
        <f>VLOOKUP(A21,[12]HISTOBQUEDEC23!$A$6:$G$39,5,0)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VLOOKUP($A21,[15]TONTDEC23!$A$6:$P$35,12,0)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69">
        <f t="shared" si="0"/>
        <v>0</v>
      </c>
      <c r="D22" s="9">
        <f>VLOOKUP(A22,[12]HISTOBQUEDEC23!$A$6:$G$44,3,0)</f>
        <v>222500</v>
      </c>
      <c r="E22" s="9">
        <f>VLOOKUP(A22,[12]HISTOBQUEDEC23!$A$6:$G$39,4,0)</f>
        <v>0</v>
      </c>
      <c r="F22" s="9">
        <f>VLOOKUP(A22,[12]HISTOBQUEDEC23!$A$6:$G$39,5,0)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VLOOKUP($A22,[15]TONTDEC23!$A$6:$P$35,12,0)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143</v>
      </c>
      <c r="BP22" s="62">
        <f>SUM(BP18:BP21)</f>
        <v>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 t="shared" si="0"/>
        <v>0</v>
      </c>
      <c r="D23" s="9">
        <f>VLOOKUP(A23,[12]HISTOBQUEDEC23!$A$6:$G$44,3,0)</f>
        <v>850000</v>
      </c>
      <c r="E23" s="9">
        <f>VLOOKUP(A23,[12]HISTOBQUEDEC23!$A$6:$G$39,4,0)</f>
        <v>0</v>
      </c>
      <c r="F23" s="9">
        <f>VLOOKUP(A23,[12]HISTOBQUEDEC23!$A$6:$G$39,5,0)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VLOOKUP($A23,[15]TONTDEC23!$A$6:$P$35,12,0)</f>
        <v>0</v>
      </c>
      <c r="Q23" s="2"/>
      <c r="R23" s="2">
        <f>VLOOKUP($A23,[14]TONTDEC23!$A$6:$P$21,10,0)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 t="shared" si="0"/>
        <v>0</v>
      </c>
      <c r="D24" s="9">
        <f>VLOOKUP(A24,[12]HISTOBQUEDEC23!$A$6:$G$44,3,0)</f>
        <v>1215000</v>
      </c>
      <c r="E24" s="9">
        <f>VLOOKUP(A24,[12]HISTOBQUEDEC23!$A$6:$G$39,4,0)</f>
        <v>202000</v>
      </c>
      <c r="F24" s="9">
        <f>VLOOKUP(A24,[12]HISTOBQUEDEC23!$A$6:$G$39,5,0)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VLOOKUP($A24,[15]TONTDEC23!$A$6:$P$35,12,0)</f>
        <v>0</v>
      </c>
      <c r="Q24" s="2">
        <f>VLOOKUP($A24,[13]TONTDEC23!$A$6:$P$20,10,0)</f>
        <v>0</v>
      </c>
      <c r="R24" s="2">
        <f>VLOOKUP($A24,[14]TONTDEC23!$A$6:$P$21,10,0)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149</v>
      </c>
      <c r="BO24" t="s">
        <v>144</v>
      </c>
      <c r="BP24" s="6"/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 t="shared" si="0"/>
        <v>0</v>
      </c>
      <c r="D25" s="9">
        <f>VLOOKUP(A25,[12]HISTOBQUEDEC23!$A$6:$G$44,3,0)</f>
        <v>600000</v>
      </c>
      <c r="E25" s="9">
        <f>VLOOKUP(A25,[12]HISTOBQUEDEC23!$A$6:$G$39,4,0)</f>
        <v>1000000</v>
      </c>
      <c r="F25" s="9">
        <f>VLOOKUP(A25,[12]HISTOBQUEDEC23!$A$6:$G$39,5,0)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VLOOKUP($A25,[15]TONTDEC23!$A$6:$P$35,12,0)</f>
        <v>0</v>
      </c>
      <c r="Q25" s="2">
        <f>VLOOKUP($A25,[13]TONTDEC23!$A$6:$P$20,10,0)</f>
        <v>0</v>
      </c>
      <c r="R25" s="2">
        <f>VLOOKUP($A25,[14]TONTDEC23!$A$6:$P$21,10,0)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126</v>
      </c>
      <c r="BO25" t="s">
        <v>144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 t="shared" si="0"/>
        <v>0</v>
      </c>
      <c r="D26" s="9">
        <f>VLOOKUP(A26,[12]HISTOBQUEDEC23!$A$6:$G$44,3,0)</f>
        <v>0</v>
      </c>
      <c r="E26" s="9">
        <f>VLOOKUP(A26,[12]HISTOBQUEDEC23!$A$6:$G$39,4,0)</f>
        <v>1040000</v>
      </c>
      <c r="F26" s="9">
        <f>VLOOKUP(A26,[12]HISTOBQUEDEC23!$A$6:$G$39,5,0)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VLOOKUP($A26,[15]TONTDEC23!$A$6:$P$35,12,0)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145</v>
      </c>
      <c r="BO26" t="s">
        <v>144</v>
      </c>
      <c r="BP26" s="62"/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 t="shared" si="0"/>
        <v>0</v>
      </c>
      <c r="D27" s="9">
        <f>VLOOKUP(A27,[12]HISTOBQUEDEC23!$A$6:$G$44,3,0)</f>
        <v>50000</v>
      </c>
      <c r="E27" s="9">
        <f>VLOOKUP(A27,[12]HISTOBQUEDEC23!$A$6:$G$39,4,0)</f>
        <v>0</v>
      </c>
      <c r="F27" s="9">
        <f>VLOOKUP(A27,[12]HISTOBQUEDEC23!$A$6:$G$39,5,0)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VLOOKUP($A27,[15]TONTDEC23!$A$6:$P$35,12,0)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 t="shared" si="0"/>
        <v>0</v>
      </c>
      <c r="D28" s="9">
        <f>VLOOKUP(A28,[12]HISTOBQUEDEC23!$A$6:$G$44,3,0)</f>
        <v>115000</v>
      </c>
      <c r="E28" s="9">
        <f>VLOOKUP(A28,[12]HISTOBQUEDEC23!$A$6:$G$39,4,0)</f>
        <v>0</v>
      </c>
      <c r="F28" s="9">
        <f>VLOOKUP(A28,[12]HISTOBQUEDEC23!$A$6:$G$39,5,0)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VLOOKUP($A28,[15]TONTDEC23!$A$6:$P$35,12,0)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143</v>
      </c>
      <c r="BP28" s="62">
        <f>SUM(BP24:BP26)</f>
        <v>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 t="shared" si="0"/>
        <v>0</v>
      </c>
      <c r="D29" s="9">
        <f>VLOOKUP(A29,[12]HISTOBQUEDEC23!$A$6:$G$44,3,0)</f>
        <v>40000</v>
      </c>
      <c r="E29" s="9">
        <f>VLOOKUP(A29,[12]HISTOBQUEDEC23!$A$6:$G$39,4,0)</f>
        <v>0</v>
      </c>
      <c r="F29" s="9">
        <f>VLOOKUP(A29,[12]HISTOBQUEDEC23!$A$6:$G$39,5,0)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VLOOKUP($A29,[15]TONTDEC23!$A$6:$P$35,12,0)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69">
        <f t="shared" si="0"/>
        <v>0</v>
      </c>
      <c r="D30" s="9">
        <f>VLOOKUP(A30,[12]HISTOBQUEDEC23!$A$6:$G$44,3,0)</f>
        <v>115000</v>
      </c>
      <c r="E30" s="9">
        <f>VLOOKUP(A30,[12]HISTOBQUEDEC23!$A$6:$G$39,4,0)</f>
        <v>0</v>
      </c>
      <c r="F30" s="9">
        <f>VLOOKUP(A30,[12]HISTOBQUEDEC23!$A$6:$G$39,5,0)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VLOOKUP($A30,[15]TONTDEC23!$A$6:$P$35,12,0)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129</v>
      </c>
      <c r="BO30" t="s">
        <v>51</v>
      </c>
      <c r="BP30" s="6"/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 t="shared" si="0"/>
        <v>0</v>
      </c>
      <c r="D31" s="9">
        <f>VLOOKUP(A31,[12]HISTOBQUEDEC23!$A$6:$G$44,3,0)</f>
        <v>1171000</v>
      </c>
      <c r="E31" s="9">
        <f>VLOOKUP(A31,[12]HISTOBQUEDEC23!$A$6:$G$39,4,0)</f>
        <v>0</v>
      </c>
      <c r="F31" s="9">
        <f>VLOOKUP(A31,[12]HISTOBQUEDEC23!$A$6:$G$39,5,0)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VLOOKUP($A31,[15]TONTDEC23!$A$6:$P$35,12,0)</f>
        <v>0</v>
      </c>
      <c r="Q31" s="2"/>
      <c r="R31" s="2">
        <f>VLOOKUP($A31,[14]TONTDEC23!$A$6:$P$21,10,0)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130</v>
      </c>
      <c r="BO31" t="s">
        <v>51</v>
      </c>
      <c r="BP31" s="6"/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 t="shared" si="0"/>
        <v>0</v>
      </c>
      <c r="D32" s="9">
        <f>VLOOKUP(A32,[12]HISTOBQUEDEC23!$A$6:$G$44,3,0)</f>
        <v>416000</v>
      </c>
      <c r="E32" s="9">
        <f>VLOOKUP(A32,[12]HISTOBQUEDEC23!$A$6:$G$39,4,0)</f>
        <v>0</v>
      </c>
      <c r="F32" s="9">
        <f>VLOOKUP(A32,[12]HISTOBQUEDEC23!$A$6:$G$39,5,0)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VLOOKUP($A32,[15]TONTDEC23!$A$6:$P$35,12,0)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69">
        <f>D33+E33+F33-U33-BB33+70000</f>
        <v>40000</v>
      </c>
      <c r="D33" s="9">
        <f>VLOOKUP(A33,[12]HISTOBQUEDEC23!$A$6:$G$44,3,0)</f>
        <v>90000</v>
      </c>
      <c r="E33" s="9">
        <f>VLOOKUP(A33,[12]HISTOBQUEDEC23!$A$6:$G$39,4,0)</f>
        <v>0</v>
      </c>
      <c r="F33" s="9">
        <f>VLOOKUP(A33,[12]HISTOBQUEDEC23!$A$6:$G$39,5,0)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VLOOKUP($A33,[15]TONTDEC23!$A$6:$P$35,12,0)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143</v>
      </c>
      <c r="BP33" s="62">
        <f>SUM(BP30:BP32)</f>
        <v>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 t="shared" si="0"/>
        <v>0</v>
      </c>
      <c r="D34" s="9">
        <f>VLOOKUP(A34,[12]HISTOBQUEDEC23!$A$6:$G$44,3,0)</f>
        <v>40000</v>
      </c>
      <c r="E34" s="9">
        <f>VLOOKUP(A34,[12]HISTOBQUEDEC23!$A$6:$G$39,4,0)</f>
        <v>0</v>
      </c>
      <c r="F34" s="9">
        <f>VLOOKUP(A34,[12]HISTOBQUEDEC23!$A$6:$G$39,5,0)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VLOOKUP($A34,[15]TONTDEC23!$A$6:$P$35,12,0)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>D35+E35+F35-U35-BB35+70000</f>
        <v>0</v>
      </c>
      <c r="D35" s="9">
        <f>VLOOKUP(A35,[12]HISTOBQUEDEC23!$A$6:$G$44,3,0)+227500</f>
        <v>227500</v>
      </c>
      <c r="E35" s="9">
        <f>VLOOKUP(A35,[12]HISTOBQUEDEC23!$A$6:$G$39,4,0)</f>
        <v>40000</v>
      </c>
      <c r="F35" s="9">
        <f>VLOOKUP(A35,[12]HISTOBQUEDEC23!$A$6:$G$39,5,0)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VLOOKUP($A35,[15]TONTDEC23!$A$6:$P$35,12,0)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127</v>
      </c>
      <c r="BO35" t="s">
        <v>127</v>
      </c>
      <c r="BP35" s="6">
        <v>100000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69">
        <f t="shared" si="0"/>
        <v>0</v>
      </c>
      <c r="D36" s="9">
        <f>VLOOKUP(A36,[12]HISTOBQUEDEC23!$A$6:$G$44,3,0)</f>
        <v>290000</v>
      </c>
      <c r="E36" s="9">
        <f>VLOOKUP(A36,[12]HISTOBQUEDEC23!$A$6:$G$39,4,0)</f>
        <v>0</v>
      </c>
      <c r="F36" s="9">
        <f>VLOOKUP(A36,[12]HISTOBQUEDEC23!$A$6:$G$39,5,0)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VLOOKUP($A36,[15]TONTDEC23!$A$6:$P$35,12,0)</f>
        <v>0</v>
      </c>
      <c r="Q36" s="2">
        <f>VLOOKUP($A36,[13]TONTDEC23!$A$6:$P$20,10,0)</f>
        <v>0</v>
      </c>
      <c r="R36" s="2">
        <f>VLOOKUP($A36,[14]TONTDEC23!$A$6:$P$21,10,0)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128</v>
      </c>
      <c r="BO36" t="s">
        <v>127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15213500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16699000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16956500</v>
      </c>
      <c r="BE38" s="5"/>
      <c r="BF38" s="5">
        <f>SUM(BF6:BF37)</f>
        <v>1198000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143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106000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16699000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30745500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86" t="s">
        <v>44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48</v>
      </c>
      <c r="D5" s="4" t="s">
        <v>73</v>
      </c>
      <c r="E5" s="4" t="s">
        <v>72</v>
      </c>
      <c r="F5" s="4" t="s">
        <v>74</v>
      </c>
      <c r="G5" s="4" t="s">
        <v>46</v>
      </c>
      <c r="H5" s="4" t="s">
        <v>49</v>
      </c>
      <c r="I5" s="4" t="s">
        <v>69</v>
      </c>
      <c r="J5" s="4" t="s">
        <v>47</v>
      </c>
      <c r="K5" s="4" t="s">
        <v>157</v>
      </c>
      <c r="L5" s="4" t="s">
        <v>47</v>
      </c>
      <c r="M5" s="4" t="s">
        <v>5</v>
      </c>
      <c r="N5" s="4" t="s">
        <v>47</v>
      </c>
      <c r="O5" s="4" t="s">
        <v>6</v>
      </c>
      <c r="P5" s="4" t="s">
        <v>166</v>
      </c>
      <c r="Q5" s="4" t="s">
        <v>11</v>
      </c>
      <c r="R5" s="4" t="s">
        <v>12</v>
      </c>
      <c r="S5" s="4" t="s">
        <v>86</v>
      </c>
      <c r="T5" s="4" t="s">
        <v>85</v>
      </c>
      <c r="U5" s="4" t="s">
        <v>59</v>
      </c>
      <c r="V5" s="4" t="s">
        <v>7</v>
      </c>
      <c r="W5" s="4" t="s">
        <v>52</v>
      </c>
      <c r="X5" s="4" t="s">
        <v>60</v>
      </c>
      <c r="Y5" s="4" t="s">
        <v>61</v>
      </c>
      <c r="Z5" s="4" t="s">
        <v>53</v>
      </c>
      <c r="AA5" s="4" t="s">
        <v>62</v>
      </c>
      <c r="AB5" s="4" t="s">
        <v>58</v>
      </c>
      <c r="AC5" s="4" t="s">
        <v>163</v>
      </c>
      <c r="AD5" s="4" t="s">
        <v>43</v>
      </c>
      <c r="AE5" s="4" t="s">
        <v>63</v>
      </c>
      <c r="AF5" s="4" t="s">
        <v>50</v>
      </c>
      <c r="AG5" s="4" t="s">
        <v>58</v>
      </c>
      <c r="AH5" s="4" t="s">
        <v>46</v>
      </c>
      <c r="AI5" s="4" t="s">
        <v>164</v>
      </c>
      <c r="AJ5" s="4" t="s">
        <v>54</v>
      </c>
      <c r="AK5" s="4" t="s">
        <v>55</v>
      </c>
      <c r="AL5" s="4" t="s">
        <v>165</v>
      </c>
      <c r="AM5" s="4" t="s">
        <v>56</v>
      </c>
      <c r="AN5" s="4" t="s">
        <v>57</v>
      </c>
      <c r="AO5" s="4" t="s">
        <v>58</v>
      </c>
      <c r="AP5" s="4" t="s">
        <v>64</v>
      </c>
      <c r="AQ5" s="4" t="s">
        <v>65</v>
      </c>
      <c r="AR5" s="4" t="s">
        <v>66</v>
      </c>
      <c r="AS5" s="4" t="s">
        <v>70</v>
      </c>
      <c r="AT5" s="4" t="s">
        <v>51</v>
      </c>
      <c r="AU5" s="4" t="s">
        <v>71</v>
      </c>
      <c r="AV5" s="4" t="s">
        <v>87</v>
      </c>
      <c r="AW5" s="4" t="s">
        <v>167</v>
      </c>
      <c r="AX5" s="4" t="s">
        <v>84</v>
      </c>
      <c r="AY5" s="4" t="s">
        <v>82</v>
      </c>
      <c r="AZ5" s="4" t="s">
        <v>83</v>
      </c>
      <c r="BA5" s="4" t="s">
        <v>88</v>
      </c>
      <c r="BB5" s="4" t="s">
        <v>110</v>
      </c>
      <c r="BC5" s="4" t="s">
        <v>139</v>
      </c>
      <c r="BD5" s="4" t="s">
        <v>134</v>
      </c>
      <c r="BE5" s="4" t="s">
        <v>91</v>
      </c>
      <c r="BF5" s="4" t="s">
        <v>140</v>
      </c>
      <c r="BG5" s="4" t="s">
        <v>141</v>
      </c>
      <c r="BH5" s="4" t="s">
        <v>154</v>
      </c>
      <c r="BI5" s="4" t="s">
        <v>153</v>
      </c>
      <c r="BJ5" s="4" t="s">
        <v>151</v>
      </c>
      <c r="BK5" s="4" t="s">
        <v>152</v>
      </c>
      <c r="BL5" s="59" t="s">
        <v>142</v>
      </c>
      <c r="BM5" s="4" t="s">
        <v>156</v>
      </c>
      <c r="BN5" s="4" t="s">
        <v>75</v>
      </c>
      <c r="BO5" s="60" t="s">
        <v>147</v>
      </c>
      <c r="BP5" s="1" t="s">
        <v>155</v>
      </c>
    </row>
    <row r="6" spans="1:68" ht="18.75" x14ac:dyDescent="0.3">
      <c r="A6" s="1" t="s">
        <v>109</v>
      </c>
      <c r="B6" s="1" t="str">
        <f>VLOOKUP(A6,[11]LISTADHERENT!A$5:H$39,3,0)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116</v>
      </c>
      <c r="BO6" t="s">
        <v>115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162</v>
      </c>
      <c r="B7" s="1" t="str">
        <f>VLOOKUP(A7,[11]LISTADHERENT!A$5:H$39,3,0)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1200000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1342500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1315000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72000</v>
      </c>
      <c r="BG7" s="5">
        <f>HISTOJANV23!BG7+HISTOFEV23!BG7+HISTOMARS23!BG7+HISTOAVRIL23!BG7+HISTOMAI23!BG7+HISTOJUIN23!BG7+HISTOJUIL23!BG7+HISTOAOUT23!BG7+HISTOSEPT23!BG7+HISTOOCT23!BG7+HISTONOV23!BG7+HISTODEC23!BG7</f>
        <v>72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117</v>
      </c>
      <c r="BO7" t="s">
        <v>115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13</v>
      </c>
      <c r="B8" s="1" t="str">
        <f>VLOOKUP(A8,[11]LISTADHERENT!A$5:H$39,3,0)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118</v>
      </c>
      <c r="BO8" t="s">
        <v>115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14</v>
      </c>
      <c r="B9" s="1" t="str">
        <f>VLOOKUP(A9,[11]LISTADHERENT!A$5:H$39,3,0)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148</v>
      </c>
      <c r="BO9" t="s">
        <v>115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15</v>
      </c>
      <c r="B10" s="1" t="str">
        <f>VLOOKUP(A10,[11]LISTADHERENT!A$5:H$39,3,0)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119</v>
      </c>
      <c r="BO10" t="s">
        <v>115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16</v>
      </c>
      <c r="B11" s="1" t="str">
        <f>VLOOKUP(A11,[11]LISTADHERENT!A$5:H$39,3,0)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120</v>
      </c>
      <c r="BO11" t="s">
        <v>115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17</v>
      </c>
      <c r="B12" s="1" t="str">
        <f>VLOOKUP(A12,[11]LISTADHERENT!A$5:H$39,3,0)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121</v>
      </c>
      <c r="BO12" t="s">
        <v>115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18</v>
      </c>
      <c r="B13" s="1" t="str">
        <f>VLOOKUP(A13,[11]LISTADHERENT!A$5:H$39,3,0)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146</v>
      </c>
      <c r="BO13" t="s">
        <v>115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19</v>
      </c>
      <c r="B14" s="1" t="str">
        <f>VLOOKUP(A14,[11]LISTADHERENT!A$5:H$39,3,0)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123</v>
      </c>
      <c r="BO14" t="s">
        <v>115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21</v>
      </c>
      <c r="B15" s="1" t="str">
        <f>VLOOKUP(A15,[11]LISTADHERENT!A$5:H$39,3,0)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22</v>
      </c>
      <c r="B16" s="1" t="str">
        <f>VLOOKUP(A16,[11]LISTADHERENT!A$5:H$39,3,0)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863500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2707000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3054000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143</v>
      </c>
      <c r="BP16" s="5">
        <f>SUM(BP6:BP15)</f>
        <v>199000</v>
      </c>
    </row>
    <row r="17" spans="1:68" ht="18.75" x14ac:dyDescent="0.3">
      <c r="A17" s="1" t="s">
        <v>23</v>
      </c>
      <c r="B17" s="1" t="str">
        <f>VLOOKUP(A17,[11]LISTADHERENT!A$5:H$39,3,0)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24</v>
      </c>
      <c r="B18" s="1" t="str">
        <f>VLOOKUP(A18,[11]LISTADHERENT!A$5:H$39,3,0)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149</v>
      </c>
      <c r="BO18" t="s">
        <v>46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25</v>
      </c>
      <c r="B19" s="1" t="str">
        <f>VLOOKUP(A19,[11]LISTADHERENT!A$5:H$39,3,0)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150</v>
      </c>
      <c r="BO19" t="s">
        <v>46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26</v>
      </c>
      <c r="B20" s="1" t="str">
        <f>VLOOKUP(A20,[11]LISTADHERENT!A$5:H$39,3,0)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27</v>
      </c>
      <c r="B21" s="1" t="str">
        <f>VLOOKUP(A21,[11]LISTADHERENT!A$5:H$39,3,0)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28</v>
      </c>
      <c r="B22" s="1" t="str">
        <f>VLOOKUP(A22,[11]LISTADHERENT!A$5:H$39,3,0)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143</v>
      </c>
      <c r="BP22" s="62">
        <f>SUM(BP18:BP21)</f>
        <v>200000</v>
      </c>
    </row>
    <row r="23" spans="1:68" ht="18.75" x14ac:dyDescent="0.3">
      <c r="A23" s="1" t="s">
        <v>29</v>
      </c>
      <c r="B23" s="1" t="str">
        <f>VLOOKUP(A23,[11]LISTADHERENT!A$5:H$39,3,0)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30</v>
      </c>
      <c r="B24" s="1" t="str">
        <f>VLOOKUP(A24,[11]LISTADHERENT!A$5:H$39,3,0)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149</v>
      </c>
      <c r="BO24" t="s">
        <v>144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31</v>
      </c>
      <c r="B25" s="1" t="str">
        <f>VLOOKUP(A25,[11]LISTADHERENT!A$5:H$39,3,0)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126</v>
      </c>
      <c r="BO25" t="s">
        <v>144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32</v>
      </c>
      <c r="B26" s="1" t="str">
        <f>VLOOKUP(A26,[11]LISTADHERENT!A$5:H$39,3,0)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145</v>
      </c>
      <c r="BO26" t="s">
        <v>144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159</v>
      </c>
      <c r="B27" s="1" t="str">
        <f>VLOOKUP(A27,[11]LISTADHERENT!A$5:H$39,3,0)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35</v>
      </c>
      <c r="B28" s="1" t="str">
        <f>VLOOKUP(A28,[11]LISTADHERENT!A$5:H$39,3,0)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143</v>
      </c>
      <c r="BP28" s="62">
        <f>SUM(BP24:BP26)</f>
        <v>825000</v>
      </c>
    </row>
    <row r="29" spans="1:68" ht="18.75" x14ac:dyDescent="0.3">
      <c r="A29" s="1" t="s">
        <v>160</v>
      </c>
      <c r="B29" s="1" t="str">
        <f>VLOOKUP(A29,[11]LISTADHERENT!A$5:H$39,3,0)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36</v>
      </c>
      <c r="B30" s="1" t="str">
        <f>VLOOKUP(A30,[11]LISTADHERENT!A$5:H$39,3,0)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129</v>
      </c>
      <c r="BO30" t="s">
        <v>51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38</v>
      </c>
      <c r="B31" s="1" t="str">
        <f>VLOOKUP(A31,[11]LISTADHERENT!A$5:H$39,3,0)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130</v>
      </c>
      <c r="BO31" t="s">
        <v>51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39</v>
      </c>
      <c r="B32" s="1" t="str">
        <f>VLOOKUP(A32,[11]LISTADHERENT!A$5:H$39,3,0)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158</v>
      </c>
      <c r="B33" s="1" t="str">
        <f>VLOOKUP(A33,[11]LISTADHERENT!A$5:H$39,3,0)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143</v>
      </c>
      <c r="BP33" s="62">
        <f>SUM(BP30:BP32)</f>
        <v>1320000</v>
      </c>
    </row>
    <row r="34" spans="1:68" ht="18.75" x14ac:dyDescent="0.3">
      <c r="A34" s="21" t="s">
        <v>161</v>
      </c>
      <c r="B34" s="1" t="str">
        <f>VLOOKUP(A34,[11]LISTADHERENT!A$5:H$39,3,0)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41</v>
      </c>
      <c r="B35" s="1" t="str">
        <f>VLOOKUP(A35,[11]LISTADHERENT!A$5:H$39,3,0)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127</v>
      </c>
      <c r="BO35" t="s">
        <v>127</v>
      </c>
      <c r="BP35" s="5">
        <f>HISTOJANV23!BP35+HISTOFEV23!BP35+HISTOMARS23!BP35+HISTOAVRIL23!BP35+HISTOMAI23!BP35+HISTOJUIN23!BP35+HISTOJUIL23!BP35+HISTOAOUT23!BP35+HISTOSEPT23!BP35+HISTOOCT23!BP35+HISTONOV23!BP35+HISTODEC23!BP35</f>
        <v>1110000</v>
      </c>
    </row>
    <row r="36" spans="1:68" ht="18.75" x14ac:dyDescent="0.3">
      <c r="A36" s="1" t="s">
        <v>42</v>
      </c>
      <c r="B36" s="1" t="str">
        <f>VLOOKUP(A36,[11]LISTADHERENT!A$5:H$39,3,0)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128</v>
      </c>
      <c r="BO36" t="s">
        <v>127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45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25568500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66269300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59959000</v>
      </c>
      <c r="BE38" s="5"/>
      <c r="BF38" s="5">
        <f>SUM(BF6:BF37)</f>
        <v>1676200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143</v>
      </c>
      <c r="BP38" s="62">
        <f>SUM(BP35:BP36)</f>
        <v>1110000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75</v>
      </c>
      <c r="C41" s="1" t="s">
        <v>77</v>
      </c>
      <c r="D41" s="1" t="s">
        <v>76</v>
      </c>
      <c r="E41" s="1" t="s">
        <v>78</v>
      </c>
      <c r="F41" s="1" t="s">
        <v>76</v>
      </c>
      <c r="G41" s="1" t="s">
        <v>77</v>
      </c>
      <c r="H41" s="1" t="s">
        <v>78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143</v>
      </c>
      <c r="BP41" s="62">
        <f>BP16+BP22+BP28+BP33+BP38</f>
        <v>3654000</v>
      </c>
    </row>
    <row r="42" spans="1:68" ht="18.75" x14ac:dyDescent="0.3">
      <c r="B42" s="1" t="s">
        <v>79</v>
      </c>
      <c r="AW42" s="15"/>
      <c r="AX42" s="15"/>
      <c r="AY42" s="15"/>
      <c r="AZ42" s="16"/>
    </row>
    <row r="43" spans="1:68" ht="18.75" x14ac:dyDescent="0.3">
      <c r="B43" s="1" t="s">
        <v>80</v>
      </c>
      <c r="C43" s="14">
        <f>AZ38</f>
        <v>66269300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126852600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MODEVERSEMENT</vt:lpstr>
      <vt:lpstr>HISTOMVTDEPENSE</vt:lpstr>
      <vt:lpstr>COMPTE BANQUE</vt:lpstr>
      <vt:lpstr>HISTODEC22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2024-03-20T09:01:07Z</dcterms:modified>
</cp:coreProperties>
</file>