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20" windowWidth="16155" windowHeight="8505"/>
  </bookViews>
  <calcPr calcId="145621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  <sheet name="Sheet31" sheetId="31" r:id="rId31"/>
  </sheets>
</workbook>
</file>

<file path=xl/sharedStrings.xml><?xml version="1.0" encoding="utf-8"?>
<sst xmlns="http://schemas.openxmlformats.org/spreadsheetml/2006/main" count="4708" uniqueCount="206">
  <si>
    <t>MATRICULE</t>
  </si>
  <si>
    <t>NOM ET PRENOM</t>
  </si>
  <si>
    <t>ASSOCIATION</t>
  </si>
  <si>
    <t>ASELBY</t>
  </si>
  <si>
    <t>ANNEE</t>
  </si>
  <si>
    <t>TONTINE 75 000</t>
  </si>
  <si>
    <t>TONTINE 100 000</t>
  </si>
  <si>
    <t>SANCTION</t>
  </si>
  <si>
    <t>BANQUE</t>
  </si>
  <si>
    <t>ESPECES</t>
  </si>
  <si>
    <t>REMBOURSEMENT PETIT LOT T75</t>
  </si>
  <si>
    <t>REMBOURSEMENT PETIT LOT T100</t>
  </si>
  <si>
    <t>AS201602</t>
  </si>
  <si>
    <t>AS201604</t>
  </si>
  <si>
    <t>AS201654</t>
  </si>
  <si>
    <t>AS201605</t>
  </si>
  <si>
    <t>AS201608</t>
  </si>
  <si>
    <t>AS201651</t>
  </si>
  <si>
    <t>AS201609</t>
  </si>
  <si>
    <t>AS201610</t>
  </si>
  <si>
    <t>AS201611</t>
  </si>
  <si>
    <t>AS201613</t>
  </si>
  <si>
    <t>AS201617</t>
  </si>
  <si>
    <t>AS201619</t>
  </si>
  <si>
    <t>AS201620</t>
  </si>
  <si>
    <t>AS201649</t>
  </si>
  <si>
    <t>AS201639</t>
  </si>
  <si>
    <t>AS201621</t>
  </si>
  <si>
    <t>AS201622</t>
  </si>
  <si>
    <t>AS201624</t>
  </si>
  <si>
    <t>AS201626</t>
  </si>
  <si>
    <t>AS201628</t>
  </si>
  <si>
    <t>AS201614</t>
  </si>
  <si>
    <t>AS201629</t>
  </si>
  <si>
    <t>AS201633</t>
  </si>
  <si>
    <t>AS201653</t>
  </si>
  <si>
    <t>AS201636</t>
  </si>
  <si>
    <t>AS201638</t>
  </si>
  <si>
    <t>AS201641</t>
  </si>
  <si>
    <t>AS201644</t>
  </si>
  <si>
    <t>AS201646</t>
  </si>
  <si>
    <t>AS201647</t>
  </si>
  <si>
    <t>ACHAT LOT PRINCIPAL T75</t>
  </si>
  <si>
    <t>TABLEAU DE BORD SAISIE DES DONNEES</t>
  </si>
  <si>
    <t>TOTAUX</t>
  </si>
  <si>
    <t>PENALITE VERSEMENT ESPECES</t>
  </si>
  <si>
    <t>NBRE DE LOT</t>
  </si>
  <si>
    <t>BONUS MALUS</t>
  </si>
  <si>
    <t>MODE PAIEMENT TONTINE</t>
  </si>
  <si>
    <t>MODE PAIEMENT LOT PRINCIPAL</t>
  </si>
  <si>
    <t>MUTUELLE</t>
  </si>
  <si>
    <t>INSCRIPTION</t>
  </si>
  <si>
    <t>PRÊT FONDS</t>
  </si>
  <si>
    <t>VENTE PETIT LOT T75</t>
  </si>
  <si>
    <t>VENTE PETIT LOT T100</t>
  </si>
  <si>
    <t>INTERET PETIT LOT T75</t>
  </si>
  <si>
    <t>INTERET PETIT LOT T100</t>
  </si>
  <si>
    <t>NUM CHEQUE</t>
  </si>
  <si>
    <t>MONTANT ENGAGEMENT</t>
  </si>
  <si>
    <t>EPARGNE ASSURANCE</t>
  </si>
  <si>
    <t>RECONSTITUTION FONDS</t>
  </si>
  <si>
    <t>MODE PAIEMENT PRÊT</t>
  </si>
  <si>
    <t>ACHAT LOT PRINCIPAL T100</t>
  </si>
  <si>
    <t xml:space="preserve">MODE PAIEMENT PETEIT LOT </t>
  </si>
  <si>
    <t>PENELAITE RETARD TONTINE</t>
  </si>
  <si>
    <t>PENELAITE ECHEC TONTINE</t>
  </si>
  <si>
    <t>TONTINE 35 000</t>
  </si>
  <si>
    <t>REMBOURSEMENT PETIT LOT T35</t>
  </si>
  <si>
    <t>COMPLEMENT EPARGNE</t>
  </si>
  <si>
    <t>RESTE</t>
  </si>
  <si>
    <t>REMBOURSEMENT TRANSPORT</t>
  </si>
  <si>
    <t>HITORIQUE ESPECES</t>
  </si>
  <si>
    <t>HISTORIQUE BANQUE</t>
  </si>
  <si>
    <t>HITORIQUE TONTINE</t>
  </si>
  <si>
    <t>LIBELLE</t>
  </si>
  <si>
    <t>ENTREE</t>
  </si>
  <si>
    <t>SORTIE</t>
  </si>
  <si>
    <t>SOLDE</t>
  </si>
  <si>
    <t>REPORT</t>
  </si>
  <si>
    <t>TONTINE</t>
  </si>
  <si>
    <t>MONTANT T30</t>
  </si>
  <si>
    <t>MONTANT T100</t>
  </si>
  <si>
    <t>MONTANT CHEQUE</t>
  </si>
  <si>
    <t>MONTANT T75</t>
  </si>
  <si>
    <t>MODE PAIEMENT REMBOURSEMENT PRÊT FONDS</t>
  </si>
  <si>
    <t xml:space="preserve">REMBOURSEMENT PRÊT FONDS </t>
  </si>
  <si>
    <t>RETRAIT PARTIEL FONDS</t>
  </si>
  <si>
    <t>MONTANT ESPECES</t>
  </si>
  <si>
    <t>COMPTE BANQUE</t>
  </si>
  <si>
    <t>MOIS</t>
  </si>
  <si>
    <t>NUMERO CHEQUE</t>
  </si>
  <si>
    <t xml:space="preserve">SORTIE </t>
  </si>
  <si>
    <t>REPORT A NOUVEAU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</si>
  <si>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</si>
  <si>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</si>
  <si>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</si>
  <si>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</si>
  <si>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</si>
  <si>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</si>
  <si>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</si>
  <si>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</si>
  <si>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</si>
  <si>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</si>
  <si>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</si>
  <si>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</si>
  <si>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</si>
  <si>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NUMERO PIECE</t>
  </si>
  <si>
    <t>COMPTE CAISSE</t>
  </si>
  <si>
    <t>AS201648</t>
  </si>
  <si>
    <t>CONTRIBUTION  FOYER</t>
  </si>
  <si>
    <t>ACHAT LOT PRINCIPAL T30</t>
  </si>
  <si>
    <t>VENTE  PETIT LOT T30</t>
  </si>
  <si>
    <t>INTERET  PETIT LOT T30</t>
  </si>
  <si>
    <t>TABLEAU DE BORD SAISIE DES DEPENSES</t>
  </si>
  <si>
    <t>FONDS DE ROULEMENT</t>
  </si>
  <si>
    <t>ACHAT FOURNITURE</t>
  </si>
  <si>
    <t>COMMUNICATION</t>
  </si>
  <si>
    <t>COMMISSION</t>
  </si>
  <si>
    <t>CREDIT TELEPHONE</t>
  </si>
  <si>
    <t>PRODUCTION RAPPORT</t>
  </si>
  <si>
    <t>ACHAT SOURIS ET PHOTOCOPIE</t>
  </si>
  <si>
    <t>FRAIS DE BANQUE</t>
  </si>
  <si>
    <t>CONFECTION CACHET</t>
  </si>
  <si>
    <t>FRAIS EXCEPTIONNEL</t>
  </si>
  <si>
    <t>GRATIFICATION BUREAU</t>
  </si>
  <si>
    <t>DEVELOPPEMENT LAGWEU</t>
  </si>
  <si>
    <t>COLLATION</t>
  </si>
  <si>
    <t>BOISSON</t>
  </si>
  <si>
    <t xml:space="preserve">DECES </t>
  </si>
  <si>
    <t>TRANSPORT DELEGUE</t>
  </si>
  <si>
    <t xml:space="preserve">DEUIL </t>
  </si>
  <si>
    <t>FRAIS BANCAIRE</t>
  </si>
  <si>
    <t>AUTRES AIDES</t>
  </si>
  <si>
    <t>MONTANT CHEQUE EFFECTIF</t>
  </si>
  <si>
    <t>CHINGUE</t>
  </si>
  <si>
    <t>NJIEPDIO DELUX</t>
  </si>
  <si>
    <t>TCHOUANTE FRANCOIS</t>
  </si>
  <si>
    <t>TCHOUTCHOU</t>
  </si>
  <si>
    <t>AUTRES SOTIES</t>
  </si>
  <si>
    <t>INTERET PRÊT</t>
  </si>
  <si>
    <t>NBRE MOIS</t>
  </si>
  <si>
    <t>PENALITE PRET FONDS</t>
  </si>
  <si>
    <t>S/TOTAL</t>
  </si>
  <si>
    <t>FRAIS EXEPTIONNEL</t>
  </si>
  <si>
    <t>DEUIL TCHEMNOU EMMANUEL</t>
  </si>
  <si>
    <t>TAXI BANQUE</t>
  </si>
  <si>
    <t>COMPTE</t>
  </si>
  <si>
    <t>AIDE UEEB ET CONT FEMME</t>
  </si>
  <si>
    <t>GRATIFICATION BUREAU 2021</t>
  </si>
  <si>
    <t>ACHAT LAPTOP</t>
  </si>
  <si>
    <t>DEPENSE FONDS MUTUEL</t>
  </si>
  <si>
    <t>DEPENSE COLLATION RECEPTION</t>
  </si>
  <si>
    <t>DEPENSE FRAIS EXCEPTIONNEL</t>
  </si>
  <si>
    <t>DEPENSE FONDS DE ROULEMENT</t>
  </si>
  <si>
    <t>MONTANT</t>
  </si>
  <si>
    <t>DEPENSE PENALITE VERSEMENT BANQUE</t>
  </si>
  <si>
    <t>TONTINE 40 000</t>
  </si>
  <si>
    <t>AS201643</t>
  </si>
  <si>
    <t>AS201656</t>
  </si>
  <si>
    <t>AS201657</t>
  </si>
  <si>
    <t>AS201658</t>
  </si>
  <si>
    <t>AS201601</t>
  </si>
  <si>
    <t>ACHAT LOT PRINCIPAL T40</t>
  </si>
  <si>
    <t>VENTE  PETIT LOT T40</t>
  </si>
  <si>
    <t>INTERET  PETIT LOT T40</t>
  </si>
  <si>
    <t>REMBOURSEMENT PETIT LOT T40</t>
  </si>
  <si>
    <t>MONTANT T40</t>
  </si>
  <si>
    <t>FONDS</t>
  </si>
  <si>
    <t>OBSEQUES</t>
  </si>
  <si>
    <t>REMBOURSEMENT FONDS</t>
  </si>
  <si>
    <t>FONDS DE CAISSE</t>
  </si>
  <si>
    <t>REMBOURSEMENT FOND NGONGANG</t>
  </si>
  <si>
    <t>T100</t>
  </si>
  <si>
    <t>T75</t>
  </si>
  <si>
    <t>T30</t>
  </si>
  <si>
    <t>T25</t>
  </si>
  <si>
    <t>NGONGANG</t>
  </si>
  <si>
    <t>BORDEREAU</t>
  </si>
  <si>
    <t>NUIT DES ELITES</t>
  </si>
  <si>
    <t>RETRAIT NGONGANG</t>
  </si>
  <si>
    <t>CENTRALISATION CAISSE</t>
  </si>
  <si>
    <t>TOTAL BORDEREAU</t>
  </si>
  <si>
    <t>TOTAL CENTRALISATION</t>
  </si>
  <si>
    <t>RETRAIT COMPTE FOYER</t>
  </si>
  <si>
    <t>RETRAIT CPTE FOYER</t>
  </si>
  <si>
    <t>MONTANT GRATIFICATION 2022</t>
  </si>
  <si>
    <t>OK</t>
  </si>
  <si>
    <t>GRATIFICATION BUREAU 2022</t>
  </si>
  <si>
    <t>ECHARPE</t>
  </si>
  <si>
    <t>ACHAT FOURNITURE (ECHARPE)</t>
  </si>
  <si>
    <t>CARBURANT HENGUE ET KOUAMO</t>
  </si>
  <si>
    <t>CONFECTION ECHARPE</t>
  </si>
  <si>
    <t>SOUTIEN GERBY</t>
  </si>
  <si>
    <t>AS201659</t>
  </si>
  <si>
    <t>AS201660</t>
  </si>
  <si>
    <t>AS201661</t>
  </si>
  <si>
    <t>OUVERTURE COMPTE</t>
  </si>
  <si>
    <t>GRATIFICATION BUREAU 2023</t>
  </si>
  <si>
    <t>REMBOURSEMENT PETIT LOT T50</t>
  </si>
  <si>
    <t>VENTE  PETIT LOT T50</t>
  </si>
  <si>
    <t>INTERET  PETIT LOT T50</t>
  </si>
  <si>
    <t>ACHAT LOT PRINCIPAL T50</t>
  </si>
  <si>
    <t>MONTANT T50</t>
  </si>
  <si>
    <t>FUNERAILLE JOSUE DJOSSE</t>
  </si>
  <si>
    <t>DOSSIER TECHNIQUE NGIEMENI</t>
  </si>
  <si>
    <t xml:space="preserve">MODE PAIEMENT PETIT LOT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</si>
</sst>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_€"/>
    <numFmt numFmtId="165" formatCode="#,##0;[Red]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22"/>
      <color theme="1"/>
      <name val="Britannic Bold"/>
      <family val="2"/>
    </font>
    <font>
      <sz val="22"/>
      <color theme="1"/>
      <name val="Calibri"/>
      <family val="2"/>
      <scheme val="minor"/>
    </font>
    <font>
      <sz val="14"/>
      <color theme="1"/>
      <name val="Britannic Bold"/>
      <family val="2"/>
    </font>
    <font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  <font>
      <sz val="11"/>
      <color theme="1"/>
      <name val="Castellar"/>
      <family val="1"/>
    </font>
    <font>
      <b/>
      <sz val="14"/>
      <color rgb="FF00B05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name val="Britannic Bold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ritannic Bold"/>
      <family val="2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stellar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rgb="FF0070C0"/>
      <name val="Calibri"/>
      <family val="2"/>
      <scheme val="minor"/>
    </font>
    <font>
      <b/>
      <sz val="11"/>
      <color rgb="FFFF0000"/>
      <name val="Castellar"/>
      <family val="1"/>
    </font>
    <font>
      <sz val="11"/>
      <name val="Britannic Bold"/>
      <family val="2"/>
    </font>
    <font>
      <sz val="11"/>
      <color rgb="FF00B050"/>
      <name val="Britannic Bold"/>
      <family val="2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0070C0"/>
      <name val="Britannic Bold"/>
      <family val="2"/>
    </font>
    <font>
      <b/>
      <sz val="14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4"/>
      <color rgb="FFFF0000"/>
      <name val="Calibri"/>
      <family val="2"/>
      <scheme val="minor"/>
    </font>
    <font>
      <sz val="11"/>
      <color rgb="FFFF0000"/>
      <name val="Castellar"/>
      <family val="1"/>
    </font>
    <font>
      <b/>
      <sz val="11"/>
      <color rgb="FF00B05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16">
    <border>
      <left/>
      <right/>
      <top/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ck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 style="hair">
        <color auto="1"/>
      </right>
      <top style="thick">
        <color auto="1"/>
      </top>
      <bottom style="thick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thick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double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ck">
        <color auto="1"/>
      </right>
      <top style="hair">
        <color auto="1"/>
      </top>
      <bottom style="thick">
        <color auto="1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>
      <alignment horizontal="center"/>
    </xf>
    <xf numFmtId="0" fontId="6" fillId="0" borderId="0" xfId="0" applyFont="1"/>
    <xf numFmtId="3" fontId="7" fillId="0" borderId="0" xfId="0" applyNumberFormat="1" applyFont="1"/>
    <xf numFmtId="164" fontId="5" fillId="0" borderId="0" xfId="0" applyNumberFormat="1" applyFont="1" applyAlignment="1">
      <alignment horizontal="center"/>
    </xf>
    <xf numFmtId="164" fontId="0" fillId="0" borderId="0" xfId="0" applyNumberFormat="1"/>
    <xf numFmtId="164" fontId="5" fillId="0" borderId="0" xfId="0" applyNumberFormat="1" applyFont="1"/>
    <xf numFmtId="164" fontId="8" fillId="0" borderId="0" xfId="0" applyNumberFormat="1" applyFont="1"/>
    <xf numFmtId="3" fontId="9" fillId="0" borderId="0" xfId="0" applyNumberFormat="1" applyFont="1"/>
    <xf numFmtId="3" fontId="10" fillId="0" borderId="0" xfId="0" applyNumberFormat="1" applyFont="1"/>
    <xf numFmtId="3" fontId="11" fillId="0" borderId="0" xfId="0" applyNumberFormat="1" applyFont="1"/>
    <xf numFmtId="164" fontId="4" fillId="0" borderId="0" xfId="0" applyNumberFormat="1" applyFont="1"/>
    <xf numFmtId="0" fontId="13" fillId="0" borderId="0" xfId="0" applyFont="1"/>
    <xf numFmtId="165" fontId="14" fillId="0" borderId="0" xfId="0" applyNumberFormat="1" applyFont="1"/>
    <xf numFmtId="3" fontId="5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3" fontId="4" fillId="0" borderId="2" xfId="0" applyNumberFormat="1" applyFont="1" applyBorder="1"/>
    <xf numFmtId="3" fontId="7" fillId="0" borderId="2" xfId="0" applyNumberFormat="1" applyFont="1" applyBorder="1"/>
    <xf numFmtId="164" fontId="5" fillId="0" borderId="2" xfId="0" applyNumberFormat="1" applyFont="1" applyBorder="1" applyAlignment="1">
      <alignment horizontal="center"/>
    </xf>
    <xf numFmtId="164" fontId="0" fillId="0" borderId="2" xfId="0" applyNumberFormat="1" applyBorder="1"/>
    <xf numFmtId="3" fontId="0" fillId="0" borderId="2" xfId="0" applyNumberFormat="1" applyBorder="1"/>
    <xf numFmtId="3" fontId="5" fillId="0" borderId="2" xfId="0" applyNumberFormat="1" applyFont="1" applyBorder="1"/>
    <xf numFmtId="3" fontId="1" fillId="0" borderId="2" xfId="0" applyNumberFormat="1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3" fontId="4" fillId="0" borderId="4" xfId="0" applyNumberFormat="1" applyFont="1" applyBorder="1"/>
    <xf numFmtId="0" fontId="16" fillId="0" borderId="0" xfId="0" applyFont="1"/>
    <xf numFmtId="0" fontId="17" fillId="0" borderId="0" xfId="0" applyFont="1"/>
    <xf numFmtId="3" fontId="17" fillId="0" borderId="0" xfId="0" applyNumberFormat="1" applyFont="1"/>
    <xf numFmtId="0" fontId="16" fillId="0" borderId="0" xfId="0" applyFont="1" applyAlignment="1">
      <alignment horizontal="center"/>
    </xf>
    <xf numFmtId="0" fontId="18" fillId="0" borderId="0" xfId="0" applyFont="1"/>
    <xf numFmtId="0" fontId="17" fillId="0" borderId="0" xfId="0" applyFont="1" applyAlignment="1">
      <alignment horizontal="center" wrapText="1"/>
    </xf>
    <xf numFmtId="164" fontId="16" fillId="0" borderId="0" xfId="0" applyNumberFormat="1" applyFont="1"/>
    <xf numFmtId="164" fontId="17" fillId="0" borderId="0" xfId="0" applyNumberFormat="1" applyFont="1"/>
    <xf numFmtId="164" fontId="19" fillId="0" borderId="0" xfId="0" applyNumberFormat="1" applyFont="1"/>
    <xf numFmtId="3" fontId="20" fillId="0" borderId="0" xfId="0" applyNumberFormat="1" applyFont="1"/>
    <xf numFmtId="3" fontId="19" fillId="0" borderId="0" xfId="0" applyNumberFormat="1" applyFont="1"/>
    <xf numFmtId="0" fontId="1" fillId="0" borderId="5" xfId="0" applyFont="1" applyBorder="1"/>
    <xf numFmtId="0" fontId="1" fillId="0" borderId="6" xfId="0" applyFont="1" applyBorder="1"/>
    <xf numFmtId="0" fontId="15" fillId="2" borderId="6" xfId="0" applyFont="1" applyFill="1" applyBorder="1"/>
    <xf numFmtId="0" fontId="1" fillId="0" borderId="7" xfId="0" applyFont="1" applyBorder="1"/>
    <xf numFmtId="0" fontId="1" fillId="0" borderId="8" xfId="0" applyFont="1" applyBorder="1"/>
    <xf numFmtId="3" fontId="5" fillId="0" borderId="9" xfId="0" applyNumberFormat="1" applyFont="1" applyBorder="1"/>
    <xf numFmtId="0" fontId="15" fillId="2" borderId="11" xfId="0" applyFont="1" applyFill="1" applyBorder="1"/>
    <xf numFmtId="3" fontId="0" fillId="0" borderId="9" xfId="0" applyNumberFormat="1" applyBorder="1"/>
    <xf numFmtId="3" fontId="4" fillId="0" borderId="12" xfId="0" applyNumberFormat="1" applyFont="1" applyBorder="1"/>
    <xf numFmtId="3" fontId="4" fillId="0" borderId="14" xfId="0" applyNumberFormat="1" applyFont="1" applyBorder="1"/>
    <xf numFmtId="3" fontId="4" fillId="0" borderId="15" xfId="0" applyNumberFormat="1" applyFont="1" applyBorder="1"/>
    <xf numFmtId="3" fontId="23" fillId="0" borderId="0" xfId="0" applyNumberFormat="1" applyFont="1"/>
    <xf numFmtId="3" fontId="24" fillId="0" borderId="0" xfId="0" applyNumberFormat="1" applyFont="1"/>
    <xf numFmtId="3" fontId="1" fillId="0" borderId="0" xfId="0" applyNumberFormat="1" applyFont="1" applyAlignment="1">
      <alignment wrapText="1"/>
    </xf>
    <xf numFmtId="0" fontId="25" fillId="0" borderId="0" xfId="0" applyFont="1"/>
    <xf numFmtId="3" fontId="26" fillId="0" borderId="0" xfId="0" applyNumberFormat="1" applyFont="1"/>
    <xf numFmtId="3" fontId="27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29" fillId="0" borderId="0" xfId="0" applyNumberFormat="1" applyFont="1"/>
    <xf numFmtId="3" fontId="28" fillId="0" borderId="0" xfId="0" applyNumberFormat="1" applyFont="1"/>
    <xf numFmtId="3" fontId="30" fillId="0" borderId="0" xfId="0" applyNumberFormat="1" applyFont="1"/>
    <xf numFmtId="0" fontId="28" fillId="0" borderId="0" xfId="0" applyFont="1"/>
    <xf numFmtId="0" fontId="31" fillId="0" borderId="0" xfId="0" applyFont="1"/>
    <xf numFmtId="164" fontId="32" fillId="0" borderId="0" xfId="0" applyNumberFormat="1" applyFont="1" applyAlignment="1">
      <alignment horizontal="center"/>
    </xf>
    <xf numFmtId="164" fontId="28" fillId="0" borderId="0" xfId="0" applyNumberFormat="1" applyFont="1"/>
    <xf numFmtId="3" fontId="31" fillId="0" borderId="0" xfId="0" applyNumberFormat="1" applyFont="1"/>
    <xf numFmtId="3" fontId="32" fillId="0" borderId="0" xfId="0" applyNumberFormat="1" applyFont="1"/>
    <xf numFmtId="164" fontId="32" fillId="0" borderId="0" xfId="0" applyNumberFormat="1" applyFont="1"/>
    <xf numFmtId="164" fontId="9" fillId="0" borderId="0" xfId="0" applyNumberFormat="1" applyFont="1"/>
    <xf numFmtId="3" fontId="33" fillId="0" borderId="0" xfId="0" applyNumberFormat="1" applyFont="1"/>
    <xf numFmtId="3" fontId="31" fillId="0" borderId="2" xfId="0" applyNumberFormat="1" applyFont="1" applyBorder="1"/>
    <xf numFmtId="3" fontId="34" fillId="0" borderId="0" xfId="0" applyNumberFormat="1" applyFont="1"/>
    <xf numFmtId="3" fontId="6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7" fillId="2" borderId="13" xfId="0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E30" activePane="bottomRight" state="frozen"/>
      <selection activeCell="C36" sqref="C36"/>
      <selection pane="topRight" activeCell="C36" sqref="C36"/>
      <selection pane="bottomLeft" activeCell="C36" sqref="C36"/>
      <selection pane="bottomRight" activeCell="A33" sqref="A33:XFD33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35" width="16" customWidth="1"/>
    <col min="36" max="36" width="13" customWidth="1"/>
    <col min="37" max="37" width="15.140625" customWidth="1"/>
    <col min="38" max="38" width="11.5703125" customWidth="1"/>
    <col min="39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7" max="57" width="15.85546875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5" si="0">D6+E6+F6-U6-BB6</f>
        <v>0</v>
      </c>
      <c r="D6" s="9">
        <f>VLOOKUP(A6,[18]HISTOBQUEOCT23!$A$6:$G$44,3,0)</f>
        <v>175000</v>
      </c>
      <c r="E6" s="9">
        <f>VLOOKUP(A6,[18]HISTOBQUEOCT23!$A$6:$G$39,4,0)</f>
        <v>0</v>
      </c>
      <c r="F6" s="9">
        <f>VLOOKUP(A6,[18]HISTOBQUEOCT23!$A$6:$G$39,5,0)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VLOOKUP($A6,[13]TONTOCT23!$A$6:$P$20,10,0)</f>
        <v>0</v>
      </c>
      <c r="R6" s="2">
        <f>VLOOKUP($A6,[19]TONTOCT23!$A$6:$P$21,10,0)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</f>
        <v>713500</v>
      </c>
      <c r="BA6" s="58"/>
      <c r="BB6" s="58"/>
      <c r="BC6" s="15"/>
      <c r="BD6" s="57">
        <f>IF(AZ6=0,(AZ6-BA6-BC6),(AZ6-BA6-BB6-BC6))+F6</f>
        <v>713500</v>
      </c>
      <c r="BE6" s="82">
        <v>749500</v>
      </c>
      <c r="BF6" s="29">
        <f t="shared" ref="BF6:BF36" si="6">Z6*1/100*BG6</f>
        <v>0</v>
      </c>
      <c r="BG6" s="29">
        <v>2</v>
      </c>
      <c r="BH6" s="15">
        <f>BP16</f>
        <v>13500</v>
      </c>
      <c r="BI6" s="15">
        <f>BP28</f>
        <v>600000</v>
      </c>
      <c r="BJ6" s="15">
        <f>BP33</f>
        <v>0</v>
      </c>
      <c r="BK6" s="15">
        <f>+BP38</f>
        <v>100000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VLOOKUP(A7,[18]HISTOBQUEOCT23!$A$6:$G$44,3,0)</f>
        <v>40000</v>
      </c>
      <c r="E7" s="9">
        <f>VLOOKUP(A7,[18]HISTOBQUEOCT23!$A$6:$G$39,4,0)</f>
        <v>0</v>
      </c>
      <c r="F7" s="9">
        <f>VLOOKUP(A7,[18]HISTOBQUEOCT23!$A$6:$G$39,5,0)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VLOOKUP($A7,[20]TONTOCT23!$A$6:$P$35,12,0)</f>
        <v>0</v>
      </c>
      <c r="Q7" s="2"/>
      <c r="R7" s="2"/>
      <c r="S7" s="20"/>
      <c r="T7" s="12"/>
      <c r="U7" s="17">
        <f>G7+S7++R7+P7+O7+M7+I7+K7+Q7+V7+W7</f>
        <v>40000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27500</v>
      </c>
      <c r="AJ7" s="12"/>
      <c r="AK7" s="12"/>
      <c r="AL7" s="12">
        <v>500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27500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 t="shared" ref="AZ7:AZ36" si="12">SUM(AV7:AY7)-BF7+Z7-F7+BH7+BI7+BJ7+BK7+BL7+BM7</f>
        <v>27500</v>
      </c>
      <c r="BA7" s="58">
        <v>27500</v>
      </c>
      <c r="BB7" s="58"/>
      <c r="BC7" s="15"/>
      <c r="BD7" s="57">
        <f t="shared" ref="BD7:BD36" si="13">IF(AZ7=0,(AZ7-BA7-BC7),(AZ7-BA7-BB7-BC7))+F7</f>
        <v>0</v>
      </c>
      <c r="BE7" s="82"/>
      <c r="BF7" s="29">
        <f t="shared" si="6"/>
        <v>0</v>
      </c>
      <c r="BG7" s="29">
        <v>2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VLOOKUP(A8,[18]HISTOBQUEOCT23!$A$6:$G$44,3,0)</f>
        <v>0</v>
      </c>
      <c r="E8" s="9">
        <f>VLOOKUP(A8,[18]HISTOBQUEOCT23!$A$6:$G$39,4,0)</f>
        <v>115000</v>
      </c>
      <c r="F8" s="9">
        <f>VLOOKUP(A8,[18]HISTOBQUEOCT23!$A$6:$G$39,5,0)+70000</f>
        <v>70000</v>
      </c>
      <c r="G8" s="5">
        <f>IF(H8="ESPECES",3000,0)-3000</f>
        <v>0</v>
      </c>
      <c r="H8" s="10" t="str">
        <f t="shared" si="1"/>
        <v>ESPECES</v>
      </c>
      <c r="I8" s="10"/>
      <c r="J8" s="11">
        <v>1</v>
      </c>
      <c r="K8" s="11">
        <f t="shared" ref="K8:K36" si="14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VLOOKUP($A8,[20]TONTOCT23!$A$6:$P$35,12,0)</f>
        <v>0</v>
      </c>
      <c r="Q8" s="2">
        <f>VLOOKUP($A8,[13]TONTOCT23!$A$6:$P$20,10,0)</f>
        <v>0</v>
      </c>
      <c r="R8" s="2"/>
      <c r="S8" s="20"/>
      <c r="T8" s="12"/>
      <c r="U8" s="17">
        <f t="shared" ref="U8:U36" si="15">G8+S8++R8+P8+O8+M8+I8+K8+Q8+V8+W8</f>
        <v>115000</v>
      </c>
      <c r="V8" s="12"/>
      <c r="W8" s="12"/>
      <c r="X8" s="12"/>
      <c r="Y8" s="12"/>
      <c r="Z8" s="12"/>
      <c r="AA8" s="12"/>
      <c r="AB8" s="12"/>
      <c r="AC8" s="12">
        <v>2500</v>
      </c>
      <c r="AD8" s="12"/>
      <c r="AE8" s="12"/>
      <c r="AF8" s="12" t="s">
        <v>8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297500</v>
      </c>
      <c r="AX8" s="15">
        <f t="shared" si="10"/>
        <v>0</v>
      </c>
      <c r="AY8" s="15">
        <f t="shared" si="11"/>
        <v>0</v>
      </c>
      <c r="AZ8" s="16">
        <f t="shared" si="12"/>
        <v>227500</v>
      </c>
      <c r="BA8" s="58"/>
      <c r="BB8" s="58">
        <v>70000</v>
      </c>
      <c r="BC8" s="15"/>
      <c r="BD8" s="57">
        <f t="shared" si="13"/>
        <v>227500</v>
      </c>
      <c r="BE8" s="82">
        <v>227500</v>
      </c>
      <c r="BF8" s="29">
        <f t="shared" si="6"/>
        <v>0</v>
      </c>
      <c r="BG8" s="29">
        <v>2</v>
      </c>
      <c r="BH8" s="15"/>
      <c r="BI8" s="15"/>
      <c r="BJ8" s="15"/>
      <c r="BK8" s="15"/>
      <c r="BL8" s="61"/>
      <c r="BN8" t="s">
        <v>117</v>
      </c>
      <c r="BO8" t="s">
        <v>114</v>
      </c>
      <c r="BP8" s="6">
        <v>7500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VLOOKUP(A9,[18]HISTOBQUEOCT23!$A$6:$G$44,3,0)+202000</f>
        <v>342000</v>
      </c>
      <c r="E9" s="9">
        <f>VLOOKUP(A9,[18]HISTOBQUEOCT23!$A$6:$G$39,4,0)</f>
        <v>0</v>
      </c>
      <c r="F9" s="9">
        <f>VLOOKUP(A9,[18]HISTOBQUEOCT23!$A$6:$G$39,5,0)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4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VLOOKUP($A9,[20]TONTOCT23!$A$6:$P$35,12,0)</f>
        <v>0</v>
      </c>
      <c r="Q9" s="2"/>
      <c r="R9" s="2">
        <f>VLOOKUP($A9,[19]TONTOCT23!$A$6:$P$21,10,0)</f>
        <v>202000</v>
      </c>
      <c r="S9" s="20"/>
      <c r="T9" s="12"/>
      <c r="U9" s="17">
        <f t="shared" si="15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>
        <v>200000</v>
      </c>
      <c r="AL9" s="12"/>
      <c r="AM9" s="12"/>
      <c r="AN9" s="12">
        <v>2000</v>
      </c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200000</v>
      </c>
      <c r="AZ9" s="16">
        <f t="shared" si="12"/>
        <v>200000</v>
      </c>
      <c r="BA9" s="58"/>
      <c r="BB9" s="58"/>
      <c r="BC9" s="15"/>
      <c r="BD9" s="57">
        <f t="shared" si="13"/>
        <v>200000</v>
      </c>
      <c r="BE9" s="82">
        <v>100000</v>
      </c>
      <c r="BF9" s="29">
        <f t="shared" si="6"/>
        <v>0</v>
      </c>
      <c r="BG9" s="29">
        <v>2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VLOOKUP(A10,[18]HISTOBQUEOCT23!$A$6:$G$44,3,0)-303000</f>
        <v>40000</v>
      </c>
      <c r="E10" s="9">
        <f>VLOOKUP(A10,[18]HISTOBQUEOCT23!$A$6:$G$39,4,0)</f>
        <v>0</v>
      </c>
      <c r="F10" s="9">
        <f>VLOOKUP(A10,[18]HISTOBQUEOCT23!$A$6:$G$39,5,0)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4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VLOOKUP($A10,[20]TONTOCT23!$A$6:$P$35,12,0)</f>
        <v>0</v>
      </c>
      <c r="Q10" s="2"/>
      <c r="R10" s="2"/>
      <c r="S10" s="20"/>
      <c r="T10" s="12"/>
      <c r="U10" s="17">
        <f t="shared" si="15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2"/>
        <v>0</v>
      </c>
      <c r="BA10" s="58"/>
      <c r="BB10" s="58"/>
      <c r="BC10" s="15"/>
      <c r="BD10" s="57">
        <f t="shared" si="13"/>
        <v>0</v>
      </c>
      <c r="BE10" s="82"/>
      <c r="BF10" s="29">
        <f t="shared" si="6"/>
        <v>0</v>
      </c>
      <c r="BG10" s="29">
        <v>2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VLOOKUP(A11,[18]HISTOBQUEOCT23!$A$6:$G$44,3,0)</f>
        <v>115000</v>
      </c>
      <c r="E11" s="9">
        <f>VLOOKUP(A11,[18]HISTOBQUEOCT23!$A$6:$G$39,4,0)</f>
        <v>59000</v>
      </c>
      <c r="F11" s="9">
        <f>VLOOKUP(A11,[18]HISTOBQUEOCT23!$A$6:$G$39,5,0)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4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VLOOKUP($A11,[20]TONTOCT23!$A$6:$P$35,12,0)</f>
        <v>0</v>
      </c>
      <c r="Q11" s="2">
        <f>VLOOKUP($A11,[13]TONTOCT23!$A$6:$P$20,10,0)</f>
        <v>59000</v>
      </c>
      <c r="R11" s="2"/>
      <c r="S11" s="20"/>
      <c r="T11" s="12"/>
      <c r="U11" s="17">
        <f t="shared" si="15"/>
        <v>174000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75000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75000</v>
      </c>
      <c r="AY11" s="15">
        <f t="shared" si="11"/>
        <v>0</v>
      </c>
      <c r="AZ11" s="16">
        <f t="shared" si="12"/>
        <v>75000</v>
      </c>
      <c r="BA11" s="58">
        <v>75000</v>
      </c>
      <c r="BB11" s="58"/>
      <c r="BC11" s="15"/>
      <c r="BD11" s="57">
        <f t="shared" si="13"/>
        <v>0</v>
      </c>
      <c r="BE11" s="82"/>
      <c r="BF11" s="29">
        <f t="shared" si="6"/>
        <v>0</v>
      </c>
      <c r="BG11" s="29">
        <v>2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VLOOKUP(A12,[18]HISTOBQUEOCT23!$A$6:$G$44,3,0)</f>
        <v>522000</v>
      </c>
      <c r="E12" s="9">
        <f>VLOOKUP(A12,[18]HISTOBQUEOCT23!$A$6:$G$39,4,0)</f>
        <v>0</v>
      </c>
      <c r="F12" s="9">
        <f>VLOOKUP(A12,[18]HISTOBQUEOCT23!$A$6:$G$39,5,0)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4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VLOOKUP($A12,[20]TONTOCT23!$A$6:$P$35,12,0)</f>
        <v>0</v>
      </c>
      <c r="Q12" s="2">
        <f>VLOOKUP($A12,[13]TONTOCT23!$A$6:$P$20,10,0)</f>
        <v>0</v>
      </c>
      <c r="R12" s="2">
        <f>VLOOKUP($A12,[19]TONTOCT23!$A$6:$P$21,10,0)</f>
        <v>202000</v>
      </c>
      <c r="S12" s="20"/>
      <c r="T12" s="12"/>
      <c r="U12" s="17">
        <f t="shared" si="15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>
        <v>200000</v>
      </c>
      <c r="AL12" s="12"/>
      <c r="AM12" s="12"/>
      <c r="AN12" s="12">
        <v>2000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0</v>
      </c>
      <c r="AY12" s="15">
        <f t="shared" si="11"/>
        <v>200000</v>
      </c>
      <c r="AZ12" s="16">
        <f t="shared" si="12"/>
        <v>200000</v>
      </c>
      <c r="BA12" s="58"/>
      <c r="BB12" s="58"/>
      <c r="BC12" s="15"/>
      <c r="BD12" s="57">
        <f t="shared" si="13"/>
        <v>200000</v>
      </c>
      <c r="BE12" s="82">
        <v>200000</v>
      </c>
      <c r="BF12" s="29">
        <f t="shared" si="6"/>
        <v>0</v>
      </c>
      <c r="BG12" s="29">
        <v>2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VLOOKUP(A13,[18]HISTOBQUEOCT23!$A$6:$G$44,3,0)</f>
        <v>40000</v>
      </c>
      <c r="E13" s="9">
        <f>VLOOKUP(A13,[18]HISTOBQUEOCT23!$A$6:$G$39,4,0)</f>
        <v>0</v>
      </c>
      <c r="F13" s="9">
        <f>VLOOKUP(A13,[18]HISTOBQUEOCT23!$A$6:$G$39,5,0)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4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VLOOKUP($A13,[20]TONTOCT23!$A$6:$P$35,12,0)</f>
        <v>0</v>
      </c>
      <c r="Q13" s="2"/>
      <c r="R13" s="2"/>
      <c r="S13" s="20"/>
      <c r="T13" s="12"/>
      <c r="U13" s="17">
        <f t="shared" si="15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2"/>
        <v>0</v>
      </c>
      <c r="BA13" s="58"/>
      <c r="BB13" s="58"/>
      <c r="BC13" s="15"/>
      <c r="BD13" s="57">
        <f t="shared" si="13"/>
        <v>0</v>
      </c>
      <c r="BE13" s="82"/>
      <c r="BF13" s="29">
        <f t="shared" si="6"/>
        <v>0</v>
      </c>
      <c r="BG13" s="29">
        <v>2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 t="shared" si="0"/>
        <v>0</v>
      </c>
      <c r="D14" s="9">
        <f>VLOOKUP(A14,[18]HISTOBQUEOCT23!$A$6:$G$44,3,0)</f>
        <v>40000</v>
      </c>
      <c r="E14" s="9">
        <f>VLOOKUP(A14,[18]HISTOBQUEOCT23!$A$6:$G$39,4,0)</f>
        <v>0</v>
      </c>
      <c r="F14" s="9">
        <f>VLOOKUP(A14,[18]HISTOBQUEOCT23!$A$6:$G$39,5,0)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4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VLOOKUP($A14,[20]TONTOCT23!$A$6:$P$35,12,0)</f>
        <v>0</v>
      </c>
      <c r="Q14" s="2"/>
      <c r="R14" s="2"/>
      <c r="S14" s="20"/>
      <c r="T14" s="12"/>
      <c r="U14" s="17">
        <f t="shared" si="15"/>
        <v>40000</v>
      </c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0</v>
      </c>
      <c r="AX14" s="15">
        <f t="shared" si="10"/>
        <v>0</v>
      </c>
      <c r="AY14" s="15">
        <f t="shared" si="11"/>
        <v>0</v>
      </c>
      <c r="AZ14" s="16">
        <f t="shared" si="12"/>
        <v>0</v>
      </c>
      <c r="BA14" s="58"/>
      <c r="BB14" s="58"/>
      <c r="BC14" s="15"/>
      <c r="BD14" s="57">
        <f t="shared" si="13"/>
        <v>0</v>
      </c>
      <c r="BE14" s="82"/>
      <c r="BF14" s="29">
        <f t="shared" si="6"/>
        <v>0</v>
      </c>
      <c r="BG14" s="29">
        <v>2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VLOOKUP(A15,[18]HISTOBQUEOCT23!$A$6:$G$44,3,0)</f>
        <v>115000</v>
      </c>
      <c r="E15" s="9">
        <f>VLOOKUP(A15,[18]HISTOBQUEOCT23!$A$6:$G$39,4,0)</f>
        <v>0</v>
      </c>
      <c r="F15" s="9">
        <f>VLOOKUP(A15,[18]HISTOBQUEOCT23!$A$6:$G$39,5,0)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4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VLOOKUP($A15,[20]TONTOCT23!$A$6:$P$35,12,0)</f>
        <v>0</v>
      </c>
      <c r="Q15" s="2">
        <f>VLOOKUP($A15,[13]TONTOCT23!$A$6:$P$20,10,0)</f>
        <v>0</v>
      </c>
      <c r="R15" s="2"/>
      <c r="S15" s="20"/>
      <c r="T15" s="12"/>
      <c r="U15" s="17">
        <f t="shared" si="15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2"/>
        <v>0</v>
      </c>
      <c r="BA15" s="58"/>
      <c r="BB15" s="58"/>
      <c r="BC15" s="15"/>
      <c r="BD15" s="57">
        <f t="shared" si="13"/>
        <v>0</v>
      </c>
      <c r="BE15" s="82"/>
      <c r="BF15" s="29">
        <f t="shared" si="6"/>
        <v>0</v>
      </c>
      <c r="BG15" s="29">
        <v>2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136500</v>
      </c>
      <c r="D16" s="9">
        <f>VLOOKUP(A16,[18]HISTOBQUEOCT23!$A$6:$G$44,3,0)</f>
        <v>452000</v>
      </c>
      <c r="E16" s="9">
        <f>VLOOKUP(A16,[18]HISTOBQUEOCT23!$A$6:$G$39,4,0)</f>
        <v>136500</v>
      </c>
      <c r="F16" s="9">
        <f>VLOOKUP(A16,[18]HISTOBQUEOCT23!$A$6:$G$39,5,0)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4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VLOOKUP($A16,[20]TONTOCT23!$A$6:$P$35,12,0)</f>
        <v>0</v>
      </c>
      <c r="Q16" s="2">
        <f>VLOOKUP($A16,[13]TONTOCT23!$A$6:$P$20,10,0)</f>
        <v>0</v>
      </c>
      <c r="R16" s="2">
        <f>VLOOKUP($A16,[19]TONTOCT23!$A$6:$P$21,10,0)</f>
        <v>202000</v>
      </c>
      <c r="S16" s="20"/>
      <c r="T16" s="12"/>
      <c r="U16" s="17">
        <f t="shared" si="15"/>
        <v>452000</v>
      </c>
      <c r="V16" s="12"/>
      <c r="W16" s="12"/>
      <c r="X16" s="12"/>
      <c r="Y16" s="12"/>
      <c r="Z16" s="12">
        <v>500000</v>
      </c>
      <c r="AA16" s="12" t="s">
        <v>8</v>
      </c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200000</v>
      </c>
      <c r="AL16" s="12"/>
      <c r="AM16" s="12"/>
      <c r="AN16" s="12">
        <v>2000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200000</v>
      </c>
      <c r="AZ16" s="16">
        <f t="shared" si="12"/>
        <v>700000</v>
      </c>
      <c r="BA16" s="58"/>
      <c r="BB16" s="58"/>
      <c r="BC16" s="15"/>
      <c r="BD16" s="57">
        <f t="shared" si="13"/>
        <v>700000</v>
      </c>
      <c r="BE16" s="82">
        <f>500000+200000</f>
        <v>700000</v>
      </c>
      <c r="BF16" s="29">
        <f t="shared" si="6"/>
        <v>0</v>
      </c>
      <c r="BG16" s="29"/>
      <c r="BH16" s="15"/>
      <c r="BI16" s="15"/>
      <c r="BJ16" s="15"/>
      <c r="BK16" s="15"/>
      <c r="BL16" s="61"/>
      <c r="BN16" t="s">
        <v>142</v>
      </c>
      <c r="BP16" s="6">
        <f>SUM(BP6:BP15)</f>
        <v>13500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VLOOKUP(A17,[18]HISTOBQUEOCT23!$A$6:$G$44,3,0)</f>
        <v>140000</v>
      </c>
      <c r="E17" s="9">
        <f>VLOOKUP(A17,[18]HISTOBQUEOCT23!$A$6:$G$39,4,0)</f>
        <v>0</v>
      </c>
      <c r="F17" s="9">
        <f>VLOOKUP(A17,[18]HISTOBQUEOCT23!$A$6:$G$39,5,0)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4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VLOOKUP($A17,[20]TONTOCT23!$A$6:$P$35,12,0)</f>
        <v>0</v>
      </c>
      <c r="Q17" s="2"/>
      <c r="R17" s="2">
        <f>VLOOKUP($A17,[19]TONTOCT23!$A$6:$P$21,10,0)</f>
        <v>0</v>
      </c>
      <c r="S17" s="20"/>
      <c r="T17" s="12"/>
      <c r="U17" s="17">
        <f t="shared" si="15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2"/>
        <v>0</v>
      </c>
      <c r="BA17" s="58"/>
      <c r="BB17" s="58"/>
      <c r="BC17" s="15"/>
      <c r="BD17" s="57">
        <f t="shared" si="13"/>
        <v>0</v>
      </c>
      <c r="BE17" s="82"/>
      <c r="BF17" s="29">
        <f t="shared" si="6"/>
        <v>0</v>
      </c>
      <c r="BG17" s="29">
        <v>2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VLOOKUP(A18,[18]HISTOBQUEOCT23!$A$6:$G$44,3,0)+101000</f>
        <v>456000</v>
      </c>
      <c r="E18" s="14">
        <f>VLOOKUP(A18,[18]HISTOBQUEOCT23!$A$6:$G$39,4,0)+10000</f>
        <v>10000</v>
      </c>
      <c r="F18" s="9">
        <f>VLOOKUP(A18,[18]HISTOBQUEOCT23!$A$6:$G$39,5,0)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4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VLOOKUP($A18,[20]TONTOCT23!$A$6:$P$35,12,0)</f>
        <v>0</v>
      </c>
      <c r="Q18" s="2">
        <f>VLOOKUP($A18,[13]TONTOCT23!$A$6:$P$20,10,0)</f>
        <v>0</v>
      </c>
      <c r="R18" s="2">
        <f>VLOOKUP($A18,[19]TONTOCT23!$A$6:$P$21,10,0)</f>
        <v>101000</v>
      </c>
      <c r="S18" s="20">
        <v>150000</v>
      </c>
      <c r="T18" s="12" t="s">
        <v>8</v>
      </c>
      <c r="U18" s="17">
        <f t="shared" si="15"/>
        <v>466000</v>
      </c>
      <c r="V18" s="12"/>
      <c r="W18" s="12"/>
      <c r="X18" s="12"/>
      <c r="Y18" s="12"/>
      <c r="Z18" s="12">
        <v>1000000</v>
      </c>
      <c r="AA18" s="12" t="s">
        <v>8</v>
      </c>
      <c r="AB18" s="12"/>
      <c r="AC18" s="12"/>
      <c r="AD18" s="12"/>
      <c r="AE18" s="12"/>
      <c r="AF18" s="12"/>
      <c r="AG18" s="12"/>
      <c r="AH18" s="12"/>
      <c r="AI18" s="12"/>
      <c r="AJ18" s="12">
        <v>150000</v>
      </c>
      <c r="AK18" s="12"/>
      <c r="AL18" s="12"/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0</v>
      </c>
      <c r="AX18" s="15">
        <f t="shared" si="10"/>
        <v>150000</v>
      </c>
      <c r="AY18" s="15">
        <f t="shared" si="11"/>
        <v>0</v>
      </c>
      <c r="AZ18" s="16">
        <f t="shared" si="12"/>
        <v>1130000</v>
      </c>
      <c r="BA18" s="58">
        <v>100000</v>
      </c>
      <c r="BB18" s="58"/>
      <c r="BC18" s="15"/>
      <c r="BD18" s="57">
        <f t="shared" si="13"/>
        <v>1030000</v>
      </c>
      <c r="BE18" s="82">
        <f>980000+150000</f>
        <v>1130000</v>
      </c>
      <c r="BF18" s="29">
        <f t="shared" si="6"/>
        <v>20000</v>
      </c>
      <c r="BG18" s="29">
        <v>2</v>
      </c>
      <c r="BH18" s="15"/>
      <c r="BI18" s="15"/>
      <c r="BJ18" s="15"/>
      <c r="BK18" s="15"/>
      <c r="BL18" s="61"/>
      <c r="BN18" s="62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VLOOKUP(A19,[18]HISTOBQUEOCT23!$A$6:$G$44,3,0)</f>
        <v>40000</v>
      </c>
      <c r="E19" s="9">
        <f>VLOOKUP(A19,[18]HISTOBQUEOCT23!$A$6:$G$39,4,0)</f>
        <v>0</v>
      </c>
      <c r="F19" s="9">
        <f>VLOOKUP(A19,[18]HISTOBQUEOCT23!$A$6:$G$39,5,0)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4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VLOOKUP($A19,[20]TONTOCT23!$A$6:$P$35,12,0)</f>
        <v>0</v>
      </c>
      <c r="Q19" s="2"/>
      <c r="R19" s="2"/>
      <c r="S19" s="20"/>
      <c r="T19" s="12"/>
      <c r="U19" s="17">
        <f t="shared" si="15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2"/>
        <v>0</v>
      </c>
      <c r="BA19" s="58"/>
      <c r="BB19" s="58"/>
      <c r="BC19" s="15"/>
      <c r="BD19" s="57">
        <f t="shared" si="13"/>
        <v>0</v>
      </c>
      <c r="BE19" s="82"/>
      <c r="BF19" s="29">
        <f t="shared" si="6"/>
        <v>0</v>
      </c>
      <c r="BG19" s="29">
        <v>2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VLOOKUP(A20,[18]HISTOBQUEOCT23!$A$6:$G$44,3,0)</f>
        <v>417000</v>
      </c>
      <c r="E20" s="9">
        <f>VLOOKUP(A20,[18]HISTOBQUEOCT23!$A$6:$G$39,4,0)</f>
        <v>0</v>
      </c>
      <c r="F20" s="9">
        <f>VLOOKUP(A20,[18]HISTOBQUEOCT23!$A$6:$G$39,5,0)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4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VLOOKUP($A20,[20]TONTOCT23!$A$6:$P$35,12,0)</f>
        <v>0</v>
      </c>
      <c r="Q20" s="2">
        <f>VLOOKUP($A20,[13]TONTOCT23!$A$6:$P$20,10,0)</f>
        <v>0</v>
      </c>
      <c r="R20" s="2">
        <f>VLOOKUP($A20,[19]TONTOCT23!$A$6:$P$21,10,0)</f>
        <v>202000</v>
      </c>
      <c r="S20" s="20"/>
      <c r="T20" s="12"/>
      <c r="U20" s="17">
        <f t="shared" si="15"/>
        <v>417000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>
        <v>30000</v>
      </c>
      <c r="AJ20" s="12">
        <v>150000</v>
      </c>
      <c r="AK20" s="12">
        <v>200000</v>
      </c>
      <c r="AL20" s="12">
        <v>500</v>
      </c>
      <c r="AM20" s="12">
        <v>2000</v>
      </c>
      <c r="AN20" s="12">
        <v>2000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30000</v>
      </c>
      <c r="AX20" s="15">
        <f t="shared" si="10"/>
        <v>150000</v>
      </c>
      <c r="AY20" s="15">
        <f t="shared" si="11"/>
        <v>200000</v>
      </c>
      <c r="AZ20" s="16">
        <f t="shared" si="12"/>
        <v>380000</v>
      </c>
      <c r="BA20" s="58">
        <f>30000+27000</f>
        <v>57000</v>
      </c>
      <c r="BB20" s="58"/>
      <c r="BC20" s="15"/>
      <c r="BD20" s="57">
        <f t="shared" si="13"/>
        <v>323000</v>
      </c>
      <c r="BE20" s="82">
        <f>123000+200000</f>
        <v>323000</v>
      </c>
      <c r="BF20" s="29">
        <f t="shared" si="6"/>
        <v>0</v>
      </c>
      <c r="BG20" s="29">
        <v>2</v>
      </c>
      <c r="BH20" s="15"/>
      <c r="BI20" s="15"/>
      <c r="BJ20" s="15"/>
      <c r="BK20" s="15"/>
      <c r="BL20" s="61"/>
      <c r="BN20" s="62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VLOOKUP(A21,[18]HISTOBQUEOCT23!$A$6:$G$44,3,0)</f>
        <v>40000</v>
      </c>
      <c r="E21" s="9">
        <f>VLOOKUP(A21,[18]HISTOBQUEOCT23!$A$6:$G$39,4,0)</f>
        <v>0</v>
      </c>
      <c r="F21" s="9">
        <f>VLOOKUP(A21,[18]HISTOBQUEOCT23!$A$6:$G$39,5,0)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4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VLOOKUP($A21,[20]TONTOCT23!$A$6:$P$35,12,0)</f>
        <v>0</v>
      </c>
      <c r="Q21" s="2"/>
      <c r="R21" s="2"/>
      <c r="S21" s="20"/>
      <c r="T21" s="12"/>
      <c r="U21" s="17">
        <f t="shared" si="15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2"/>
        <v>0</v>
      </c>
      <c r="BA21" s="58"/>
      <c r="BB21" s="58"/>
      <c r="BC21" s="15"/>
      <c r="BD21" s="57">
        <f t="shared" si="13"/>
        <v>0</v>
      </c>
      <c r="BE21" s="82"/>
      <c r="BF21" s="29">
        <f t="shared" si="6"/>
        <v>0</v>
      </c>
      <c r="BG21" s="29">
        <v>2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VLOOKUP(A22,[18]HISTOBQUEOCT23!$A$6:$G$44,3,0)</f>
        <v>115000</v>
      </c>
      <c r="E22" s="9">
        <f>VLOOKUP(A22,[18]HISTOBQUEOCT23!$A$6:$G$39,4,0)</f>
        <v>0</v>
      </c>
      <c r="F22" s="9">
        <f>VLOOKUP(A22,[18]HISTOBQUEOCT23!$A$6:$G$39,5,0)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4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VLOOKUP($A22,[20]TONTOCT23!$A$6:$P$35,12,0)</f>
        <v>0</v>
      </c>
      <c r="Q22" s="2">
        <f>VLOOKUP($A22,[13]TONTOCT23!$A$6:$P$20,10,0)</f>
        <v>0</v>
      </c>
      <c r="R22" s="2"/>
      <c r="S22" s="20"/>
      <c r="T22" s="12"/>
      <c r="U22" s="17">
        <f t="shared" si="15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2"/>
        <v>0</v>
      </c>
      <c r="BA22" s="58"/>
      <c r="BB22" s="58"/>
      <c r="BC22" s="15"/>
      <c r="BD22" s="57">
        <f t="shared" si="13"/>
        <v>0</v>
      </c>
      <c r="BE22" s="82"/>
      <c r="BF22" s="29">
        <f t="shared" si="6"/>
        <v>0</v>
      </c>
      <c r="BG22" s="29">
        <v>2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VLOOKUP(A23,[18]HISTOBQUEOCT23!$A$6:$G$44,3,0)+101000</f>
        <v>351000</v>
      </c>
      <c r="E23" s="9">
        <f>VLOOKUP(A23,[18]HISTOBQUEOCT23!$A$6:$G$39,4,0)</f>
        <v>0</v>
      </c>
      <c r="F23" s="9">
        <f>VLOOKUP(A23,[18]HISTOBQUEOCT23!$A$6:$G$39,5,0)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4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VLOOKUP($A23,[20]TONTOCT23!$A$6:$P$35,12,0)</f>
        <v>0</v>
      </c>
      <c r="Q23" s="2"/>
      <c r="R23" s="2">
        <f>VLOOKUP($A23,[19]TONTOCT23!$A$6:$P$21,10,0)</f>
        <v>101000</v>
      </c>
      <c r="S23" s="20"/>
      <c r="T23" s="12"/>
      <c r="U23" s="17">
        <f t="shared" si="15"/>
        <v>351000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 t="s">
        <v>8</v>
      </c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2"/>
        <v>0</v>
      </c>
      <c r="BA23" s="58"/>
      <c r="BB23" s="58"/>
      <c r="BC23" s="15"/>
      <c r="BD23" s="57">
        <f t="shared" si="13"/>
        <v>0</v>
      </c>
      <c r="BE23" s="82"/>
      <c r="BF23" s="29">
        <f t="shared" si="6"/>
        <v>0</v>
      </c>
      <c r="BG23" s="29">
        <v>2</v>
      </c>
      <c r="BH23" s="15"/>
      <c r="BI23" s="15"/>
      <c r="BJ23" s="15"/>
      <c r="BK23" s="15"/>
      <c r="BL23" s="61"/>
      <c r="BN23" s="62"/>
      <c r="BP23" s="62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VLOOKUP(A24,[18]HISTOBQUEOCT23!$A$6:$G$44,3,0)</f>
        <v>400000</v>
      </c>
      <c r="E24" s="9">
        <f>VLOOKUP(A24,[18]HISTOBQUEOCT23!$A$6:$G$39,4,0)</f>
        <v>17000</v>
      </c>
      <c r="F24" s="9">
        <f>VLOOKUP(A24,[18]HISTOBQUEOCT23!$A$6:$G$39,5,0)</f>
        <v>0</v>
      </c>
      <c r="G24" s="5">
        <f t="shared" si="7"/>
        <v>0</v>
      </c>
      <c r="H24" s="10" t="str">
        <f t="shared" si="1"/>
        <v>BANQUE</v>
      </c>
      <c r="I24" s="10"/>
      <c r="J24" s="11">
        <v>1</v>
      </c>
      <c r="K24" s="11">
        <f t="shared" si="14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VLOOKUP($A24,[20]TONTOCT23!$A$6:$P$35,12,0)</f>
        <v>0</v>
      </c>
      <c r="Q24" s="2">
        <f>VLOOKUP($A24,[13]TONTOCT23!$A$6:$P$20,10,0)</f>
        <v>0</v>
      </c>
      <c r="R24" s="2">
        <f>VLOOKUP($A24,[19]TONTOCT23!$A$6:$P$21,10,0)</f>
        <v>202000</v>
      </c>
      <c r="S24" s="20"/>
      <c r="T24" s="12"/>
      <c r="U24" s="17">
        <f t="shared" si="15"/>
        <v>417000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15000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2"/>
        <v>200000</v>
      </c>
      <c r="BA24" s="58">
        <v>70000</v>
      </c>
      <c r="BB24" s="58"/>
      <c r="BC24" s="15"/>
      <c r="BD24" s="57">
        <f t="shared" si="13"/>
        <v>130000</v>
      </c>
      <c r="BE24" s="82">
        <v>130000</v>
      </c>
      <c r="BF24" s="29">
        <f t="shared" si="6"/>
        <v>0</v>
      </c>
      <c r="BG24" s="29">
        <v>2</v>
      </c>
      <c r="BH24" s="15"/>
      <c r="BI24" s="15"/>
      <c r="BJ24" s="15"/>
      <c r="BK24" s="15"/>
      <c r="BL24" s="61"/>
      <c r="BN24" s="62" t="s">
        <v>148</v>
      </c>
      <c r="BO24" t="s">
        <v>143</v>
      </c>
      <c r="BP24" s="62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VLOOKUP(A25,[18]HISTOBQUEOCT23!$A$6:$G$44,3,0)</f>
        <v>500000</v>
      </c>
      <c r="E25" s="9">
        <f>VLOOKUP(A25,[18]HISTOBQUEOCT23!$A$6:$G$39,4,0)</f>
        <v>0</v>
      </c>
      <c r="F25" s="9">
        <f>VLOOKUP(A25,[18]HISTOBQUEOCT23!$A$6:$G$39,5,0)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4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VLOOKUP($A25,[20]TONTOCT23!$A$6:$P$35,12,0)</f>
        <v>0</v>
      </c>
      <c r="Q25" s="2">
        <f>VLOOKUP($A25,[13]TONTOCT23!$A$6:$P$20,10,0)</f>
        <v>0</v>
      </c>
      <c r="R25" s="2">
        <f>VLOOKUP($A25,[19]TONTOCT23!$A$6:$P$21,10,0)</f>
        <v>202000</v>
      </c>
      <c r="S25" s="20"/>
      <c r="T25" s="12"/>
      <c r="U25" s="17">
        <f t="shared" si="15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2"/>
        <v>200000</v>
      </c>
      <c r="BA25" s="58"/>
      <c r="BB25" s="58"/>
      <c r="BC25" s="15"/>
      <c r="BD25" s="57">
        <f t="shared" si="13"/>
        <v>200000</v>
      </c>
      <c r="BE25" s="82">
        <v>200000</v>
      </c>
      <c r="BF25" s="29">
        <f t="shared" si="6"/>
        <v>0</v>
      </c>
      <c r="BG25" s="29">
        <v>2</v>
      </c>
      <c r="BH25" s="15"/>
      <c r="BI25" s="15"/>
      <c r="BJ25" s="15"/>
      <c r="BK25" s="15"/>
      <c r="BL25" s="61"/>
      <c r="BN25" t="s">
        <v>178</v>
      </c>
      <c r="BO25" t="s">
        <v>143</v>
      </c>
      <c r="BP25">
        <f>500000+100000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9">
        <f t="shared" si="0"/>
        <v>101000</v>
      </c>
      <c r="D26" s="9">
        <f>VLOOKUP(A26,[18]HISTOBQUEOCT23!$A$6:$G$44,3,0)</f>
        <v>0</v>
      </c>
      <c r="E26" s="9">
        <f>VLOOKUP(A26,[18]HISTOBQUEOCT23!$A$6:$G$39,4,0)</f>
        <v>158500</v>
      </c>
      <c r="F26" s="9">
        <f>VLOOKUP(A26,[18]HISTOBQUEOCT23!$A$6:$G$39,5,0)</f>
        <v>0</v>
      </c>
      <c r="G26" s="5">
        <f>IF(H26="ESPECES",3000,0)-3000</f>
        <v>0</v>
      </c>
      <c r="H26" s="10" t="str">
        <f t="shared" si="1"/>
        <v>ESPECES</v>
      </c>
      <c r="I26" s="10"/>
      <c r="J26" s="11">
        <v>1</v>
      </c>
      <c r="K26" s="11">
        <f t="shared" si="14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VLOOKUP($A26,[20]TONTOCT23!$A$6:$P$35,12,0)</f>
        <v>17500</v>
      </c>
      <c r="Q26" s="2"/>
      <c r="R26" s="2"/>
      <c r="S26" s="20"/>
      <c r="T26" s="12"/>
      <c r="U26" s="17">
        <f t="shared" si="15"/>
        <v>57500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>
        <v>60000</v>
      </c>
      <c r="AJ26" s="12"/>
      <c r="AK26" s="12"/>
      <c r="AL26" s="12">
        <v>1000</v>
      </c>
      <c r="AM26" s="12"/>
      <c r="AN26" s="12"/>
      <c r="AO26" s="12"/>
      <c r="AP26" s="12" t="s">
        <v>8</v>
      </c>
      <c r="AQ26" s="8">
        <f t="shared" si="4"/>
        <v>0</v>
      </c>
      <c r="AR26" s="8">
        <f t="shared" si="5"/>
        <v>0</v>
      </c>
      <c r="AS26" s="13">
        <f t="shared" si="8"/>
        <v>15000</v>
      </c>
      <c r="AT26" s="12"/>
      <c r="AV26" s="15"/>
      <c r="AW26" s="15">
        <f t="shared" si="9"/>
        <v>60000</v>
      </c>
      <c r="AX26" s="15">
        <f t="shared" si="10"/>
        <v>0</v>
      </c>
      <c r="AY26" s="15">
        <f t="shared" si="11"/>
        <v>0</v>
      </c>
      <c r="AZ26" s="16">
        <f t="shared" si="12"/>
        <v>60000</v>
      </c>
      <c r="BA26" s="58">
        <v>60000</v>
      </c>
      <c r="BB26" s="58"/>
      <c r="BC26" s="15"/>
      <c r="BD26" s="57">
        <f t="shared" si="13"/>
        <v>0</v>
      </c>
      <c r="BE26" s="82"/>
      <c r="BF26" s="29">
        <f t="shared" si="6"/>
        <v>0</v>
      </c>
      <c r="BG26" s="29">
        <v>2</v>
      </c>
      <c r="BH26" s="15"/>
      <c r="BI26" s="15"/>
      <c r="BJ26" s="15"/>
      <c r="BK26" s="15"/>
      <c r="BL26" s="61"/>
      <c r="BN26" s="62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VLOOKUP(A27,[18]HISTOBQUEOCT23!$A$6:$G$44,3,0)</f>
        <v>50000</v>
      </c>
      <c r="E27" s="9">
        <f>VLOOKUP(A27,[18]HISTOBQUEOCT23!$A$6:$G$39,4,0)</f>
        <v>0</v>
      </c>
      <c r="F27" s="9">
        <f>VLOOKUP(A27,[18]HISTOBQUEOCT23!$A$6:$G$39,5,0)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4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VLOOKUP($A27,[20]TONTOCT23!$A$6:$P$35,12,0)</f>
        <v>0</v>
      </c>
      <c r="Q27" s="2"/>
      <c r="R27" s="2"/>
      <c r="S27" s="20"/>
      <c r="T27" s="12"/>
      <c r="U27" s="17">
        <f t="shared" si="15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2"/>
        <v>0</v>
      </c>
      <c r="BA27" s="58"/>
      <c r="BB27" s="58"/>
      <c r="BC27" s="15"/>
      <c r="BD27" s="57">
        <f t="shared" si="13"/>
        <v>0</v>
      </c>
      <c r="BE27" s="82"/>
      <c r="BF27" s="29">
        <f t="shared" si="6"/>
        <v>0</v>
      </c>
      <c r="BG27" s="29">
        <v>2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 t="shared" si="0"/>
        <v>0</v>
      </c>
      <c r="D28" s="9">
        <f>VLOOKUP(A28,[18]HISTOBQUEOCT23!$A$6:$G$44,3,0)</f>
        <v>115000</v>
      </c>
      <c r="E28" s="9">
        <f>VLOOKUP(A28,[18]HISTOBQUEOCT23!$A$6:$G$39,4,0)</f>
        <v>0</v>
      </c>
      <c r="F28" s="9">
        <f>VLOOKUP(A28,[18]HISTOBQUEOCT23!$A$6:$G$39,5,0)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4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VLOOKUP($A28,[20]TONTOCT23!$A$6:$P$35,12,0)</f>
        <v>0</v>
      </c>
      <c r="Q28" s="2">
        <f>VLOOKUP($A28,[13]TONTOCT23!$A$6:$P$20,10,0)</f>
        <v>0</v>
      </c>
      <c r="R28" s="2"/>
      <c r="S28" s="20"/>
      <c r="T28" s="12"/>
      <c r="U28" s="17">
        <f t="shared" si="15"/>
        <v>115000</v>
      </c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0</v>
      </c>
      <c r="AX28" s="15">
        <f t="shared" si="10"/>
        <v>0</v>
      </c>
      <c r="AY28" s="15">
        <f t="shared" si="11"/>
        <v>0</v>
      </c>
      <c r="AZ28" s="16">
        <f t="shared" si="12"/>
        <v>0</v>
      </c>
      <c r="BA28" s="58"/>
      <c r="BB28" s="58"/>
      <c r="BC28" s="15"/>
      <c r="BD28" s="57">
        <f t="shared" si="13"/>
        <v>0</v>
      </c>
      <c r="BE28" s="82">
        <v>500000</v>
      </c>
      <c r="BF28" s="29">
        <f t="shared" si="6"/>
        <v>0</v>
      </c>
      <c r="BG28" s="29">
        <v>2</v>
      </c>
      <c r="BH28" s="15"/>
      <c r="BI28" s="15"/>
      <c r="BJ28" s="15"/>
      <c r="BK28" s="15"/>
      <c r="BL28" s="61"/>
      <c r="BN28" t="s">
        <v>142</v>
      </c>
      <c r="BP28" s="6">
        <f>SUM(BP24:BP26)</f>
        <v>600000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VLOOKUP(A29,[18]HISTOBQUEOCT23!$A$6:$G$44,3,0)</f>
        <v>40000</v>
      </c>
      <c r="E29" s="9">
        <f>VLOOKUP(A29,[18]HISTOBQUEOCT23!$A$6:$G$39,4,0)</f>
        <v>0</v>
      </c>
      <c r="F29" s="9">
        <f>VLOOKUP(A29,[18]HISTOBQUEOCT23!$A$6:$G$39,5,0)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4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VLOOKUP($A29,[20]TONTOCT23!$A$6:$P$35,12,0)</f>
        <v>0</v>
      </c>
      <c r="Q29" s="2"/>
      <c r="R29" s="2"/>
      <c r="S29" s="20"/>
      <c r="T29" s="12"/>
      <c r="U29" s="17">
        <f t="shared" si="15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2"/>
        <v>0</v>
      </c>
      <c r="BA29" s="58"/>
      <c r="BB29" s="58"/>
      <c r="BC29" s="15"/>
      <c r="BD29" s="57">
        <f t="shared" si="13"/>
        <v>0</v>
      </c>
      <c r="BE29" s="82"/>
      <c r="BF29" s="29">
        <f t="shared" si="6"/>
        <v>0</v>
      </c>
      <c r="BG29" s="29">
        <v>2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VLOOKUP(A30,[18]HISTOBQUEOCT23!$A$6:$G$44,3,0)</f>
        <v>115000</v>
      </c>
      <c r="E30" s="9">
        <f>VLOOKUP(A30,[18]HISTOBQUEOCT23!$A$6:$G$39,4,0)</f>
        <v>0</v>
      </c>
      <c r="F30" s="9">
        <f>VLOOKUP(A30,[18]HISTOBQUEOCT23!$A$6:$G$39,5,0)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4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VLOOKUP($A30,[20]TONTOCT23!$A$6:$P$35,12,0)</f>
        <v>0</v>
      </c>
      <c r="Q30" s="2">
        <f>VLOOKUP($A30,[13]TONTOCT23!$A$6:$P$20,10,0)</f>
        <v>0</v>
      </c>
      <c r="R30" s="2"/>
      <c r="S30" s="20"/>
      <c r="T30" s="12"/>
      <c r="U30" s="17">
        <f t="shared" si="15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2"/>
        <v>0</v>
      </c>
      <c r="BA30" s="58"/>
      <c r="BB30" s="58"/>
      <c r="BC30" s="15"/>
      <c r="BD30" s="57">
        <f t="shared" si="13"/>
        <v>0</v>
      </c>
      <c r="BE30" s="82"/>
      <c r="BF30" s="29">
        <f t="shared" si="6"/>
        <v>0</v>
      </c>
      <c r="BG30" s="29">
        <v>2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VLOOKUP(A31,[18]HISTOBQUEOCT23!$A$6:$G$44,3,0)</f>
        <v>171000</v>
      </c>
      <c r="E31" s="9">
        <f>VLOOKUP(A31,[18]HISTOBQUEOCT23!$A$6:$G$39,4,0)</f>
        <v>0</v>
      </c>
      <c r="F31" s="9">
        <f>VLOOKUP(A31,[18]HISTOBQUEOCT23!$A$6:$G$39,5,0)</f>
        <v>0</v>
      </c>
      <c r="G31" s="5">
        <f t="shared" si="7"/>
        <v>0</v>
      </c>
      <c r="H31" s="10" t="str">
        <f t="shared" si="1"/>
        <v>BANQUE</v>
      </c>
      <c r="I31" s="10"/>
      <c r="J31" s="11">
        <v>1</v>
      </c>
      <c r="K31" s="11">
        <f t="shared" si="14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VLOOKUP($A31,[20]TONTOCT23!$A$6:$P$35,12,0)</f>
        <v>0</v>
      </c>
      <c r="Q31" s="2"/>
      <c r="R31" s="2">
        <f>VLOOKUP($A31,[19]TONTOCT23!$A$6:$P$21,10,0)</f>
        <v>31000</v>
      </c>
      <c r="S31" s="20"/>
      <c r="T31" s="12"/>
      <c r="U31" s="17">
        <f t="shared" si="15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>
        <v>30000</v>
      </c>
      <c r="AJ31" s="12"/>
      <c r="AK31" s="12"/>
      <c r="AL31" s="12">
        <v>500</v>
      </c>
      <c r="AM31" s="12"/>
      <c r="AN31" s="12"/>
      <c r="AO31" s="12"/>
      <c r="AP31" s="12" t="s">
        <v>8</v>
      </c>
      <c r="AQ31" s="8">
        <f t="shared" si="4"/>
        <v>0</v>
      </c>
      <c r="AR31" s="8">
        <f t="shared" si="5"/>
        <v>0</v>
      </c>
      <c r="AS31" s="13">
        <f t="shared" si="8"/>
        <v>15000</v>
      </c>
      <c r="AT31" s="12"/>
      <c r="AV31" s="15"/>
      <c r="AW31" s="15">
        <f t="shared" si="9"/>
        <v>30000</v>
      </c>
      <c r="AX31" s="15">
        <f t="shared" si="10"/>
        <v>0</v>
      </c>
      <c r="AY31" s="15">
        <f t="shared" si="11"/>
        <v>0</v>
      </c>
      <c r="AZ31" s="16">
        <f t="shared" si="12"/>
        <v>30000</v>
      </c>
      <c r="BA31" s="58"/>
      <c r="BB31" s="58"/>
      <c r="BC31" s="15"/>
      <c r="BD31" s="57">
        <f t="shared" si="13"/>
        <v>30000</v>
      </c>
      <c r="BE31" s="82">
        <v>30000</v>
      </c>
      <c r="BF31" s="29">
        <f t="shared" si="6"/>
        <v>0</v>
      </c>
      <c r="BG31" s="29">
        <v>2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VLOOKUP(A32,[18]HISTOBQUEOCT23!$A$6:$G$44,3,0)</f>
        <v>115000</v>
      </c>
      <c r="E32" s="9">
        <f>VLOOKUP(A32,[18]HISTOBQUEOCT23!$A$6:$G$39,4,0)</f>
        <v>0</v>
      </c>
      <c r="F32" s="9">
        <f>VLOOKUP(A32,[18]HISTOBQUEOCT23!$A$6:$G$39,5,0)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4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VLOOKUP($A32,[20]TONTOCT23!$A$6:$P$35,12,0)</f>
        <v>0</v>
      </c>
      <c r="Q32" s="2">
        <f>VLOOKUP($A32,[13]TONTOCT23!$A$6:$P$20,10,0)</f>
        <v>0</v>
      </c>
      <c r="R32" s="2"/>
      <c r="S32" s="20"/>
      <c r="T32" s="12"/>
      <c r="U32" s="17">
        <f t="shared" si="15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0</v>
      </c>
      <c r="AY32" s="15">
        <f t="shared" si="11"/>
        <v>0</v>
      </c>
      <c r="AZ32" s="16">
        <f t="shared" si="12"/>
        <v>0</v>
      </c>
      <c r="BA32" s="58"/>
      <c r="BB32" s="58"/>
      <c r="BC32" s="15"/>
      <c r="BD32" s="57">
        <f t="shared" si="13"/>
        <v>0</v>
      </c>
      <c r="BE32" s="82"/>
      <c r="BF32" s="29">
        <f t="shared" si="6"/>
        <v>0</v>
      </c>
      <c r="BG32" s="29">
        <v>2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 t="shared" si="0"/>
        <v>0</v>
      </c>
      <c r="D33" s="9">
        <f>VLOOKUP(A33,[18]HISTOBQUEOCT23!$A$6:$G$44,3,0)</f>
        <v>40000</v>
      </c>
      <c r="E33" s="9">
        <f>VLOOKUP(A33,[18]HISTOBQUEOCT23!$A$6:$G$39,4,0)</f>
        <v>0</v>
      </c>
      <c r="F33" s="9">
        <f>VLOOKUP(A33,[18]HISTOBQUEOCT23!$A$6:$G$39,5,0)</f>
        <v>0</v>
      </c>
      <c r="G33" s="5">
        <f t="shared" si="7"/>
        <v>0</v>
      </c>
      <c r="H33" s="10" t="str">
        <f t="shared" si="1"/>
        <v>BANQUE</v>
      </c>
      <c r="I33" s="10"/>
      <c r="J33" s="11">
        <v>1</v>
      </c>
      <c r="K33" s="11">
        <f t="shared" si="14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VLOOKUP($A33,[20]TONTOCT23!$A$6:$P$35,12,0)</f>
        <v>0</v>
      </c>
      <c r="Q33" s="2"/>
      <c r="R33" s="2"/>
      <c r="S33" s="20"/>
      <c r="T33" s="12"/>
      <c r="U33" s="17">
        <f t="shared" si="15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15000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2"/>
        <v>0</v>
      </c>
      <c r="BA33" s="58"/>
      <c r="BB33" s="58"/>
      <c r="BC33" s="15"/>
      <c r="BD33" s="57">
        <f t="shared" si="13"/>
        <v>0</v>
      </c>
      <c r="BE33" s="82"/>
      <c r="BF33" s="29">
        <f t="shared" si="6"/>
        <v>0</v>
      </c>
      <c r="BG33" s="29">
        <v>2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9">
        <f t="shared" si="0"/>
        <v>-227500</v>
      </c>
      <c r="D34" s="9">
        <f>VLOOKUP(A34,[18]HISTOBQUEOCT23!$A$6:$G$44,3,0)</f>
        <v>80000</v>
      </c>
      <c r="E34" s="9">
        <f>VLOOKUP(A34,[18]HISTOBQUEOCT23!$A$6:$G$39,4,0)</f>
        <v>0</v>
      </c>
      <c r="F34" s="9">
        <f>VLOOKUP(A34,[18]HISTOBQUEOCT23!$A$6:$G$39,5,0)+70000</f>
        <v>70000</v>
      </c>
      <c r="G34" s="5">
        <f t="shared" si="7"/>
        <v>0</v>
      </c>
      <c r="H34" s="10" t="str">
        <f t="shared" si="1"/>
        <v>BANQUE</v>
      </c>
      <c r="I34" s="10">
        <f>40000+227500</f>
        <v>267500</v>
      </c>
      <c r="J34" s="11">
        <v>1</v>
      </c>
      <c r="K34" s="11">
        <f t="shared" si="14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VLOOKUP($A34,[20]TONTOCT23!$A$6:$P$35,12,0)</f>
        <v>0</v>
      </c>
      <c r="Q34" s="2"/>
      <c r="R34" s="2"/>
      <c r="S34" s="20"/>
      <c r="T34" s="12"/>
      <c r="U34" s="17">
        <f t="shared" si="15"/>
        <v>307500</v>
      </c>
      <c r="V34" s="12"/>
      <c r="W34" s="12"/>
      <c r="X34" s="12"/>
      <c r="Y34" s="12"/>
      <c r="Z34" s="12"/>
      <c r="AA34" s="12"/>
      <c r="AB34" s="12"/>
      <c r="AC34" s="12">
        <v>2500</v>
      </c>
      <c r="AD34" s="12"/>
      <c r="AE34" s="12"/>
      <c r="AF34" s="12" t="s">
        <v>8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282500</v>
      </c>
      <c r="AT34" s="12"/>
      <c r="AV34" s="15"/>
      <c r="AW34" s="15">
        <f t="shared" si="9"/>
        <v>297500</v>
      </c>
      <c r="AX34" s="15">
        <f t="shared" si="10"/>
        <v>0</v>
      </c>
      <c r="AY34" s="15">
        <f t="shared" si="11"/>
        <v>0</v>
      </c>
      <c r="AZ34" s="16">
        <f t="shared" si="12"/>
        <v>227500</v>
      </c>
      <c r="BA34" s="58"/>
      <c r="BB34" s="58">
        <v>70000</v>
      </c>
      <c r="BC34" s="15"/>
      <c r="BD34" s="57">
        <f>IF(AZ34=0,(AZ34-BA34-BC34),(AZ34-BA34-BB34-BC34))+F34-227500</f>
        <v>0</v>
      </c>
      <c r="BE34" s="82"/>
      <c r="BF34" s="29">
        <f t="shared" si="6"/>
        <v>0</v>
      </c>
      <c r="BG34" s="29">
        <v>2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VLOOKUP(A35,[18]HISTOBQUEOCT23!$A$6:$G$44,3,0)</f>
        <v>0</v>
      </c>
      <c r="E35" s="9">
        <f>VLOOKUP(A35,[18]HISTOBQUEOCT23!$A$6:$G$39,4,0)</f>
        <v>40000</v>
      </c>
      <c r="F35" s="9">
        <f>VLOOKUP(A35,[18]HISTOBQUEOCT23!$A$6:$G$39,5,0)</f>
        <v>0</v>
      </c>
      <c r="G35" s="5">
        <f>IF(H35="ESPECES",3000,0)-3000</f>
        <v>0</v>
      </c>
      <c r="H35" s="10" t="str">
        <f t="shared" si="1"/>
        <v>ESPECES</v>
      </c>
      <c r="I35" s="10"/>
      <c r="J35" s="11">
        <v>1</v>
      </c>
      <c r="K35" s="11">
        <f t="shared" si="14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VLOOKUP($A35,[20]TONTOCT23!$A$6:$P$35,12,0)</f>
        <v>0</v>
      </c>
      <c r="Q35" s="2"/>
      <c r="R35" s="2"/>
      <c r="S35" s="20"/>
      <c r="T35" s="12"/>
      <c r="U35" s="17">
        <f t="shared" si="15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15000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2"/>
        <v>0</v>
      </c>
      <c r="BA35" s="58"/>
      <c r="BB35" s="58"/>
      <c r="BC35" s="15"/>
      <c r="BD35" s="57">
        <f t="shared" si="13"/>
        <v>0</v>
      </c>
      <c r="BE35" s="82"/>
      <c r="BF35" s="29">
        <f t="shared" si="6"/>
        <v>0</v>
      </c>
      <c r="BG35" s="29">
        <v>2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v>100000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D36+E36+F36-U36-BB36</f>
        <v>0</v>
      </c>
      <c r="D36" s="9">
        <f>VLOOKUP(A36,[18]HISTOBQUEOCT23!$A$6:$G$44,3,0)</f>
        <v>880000</v>
      </c>
      <c r="E36" s="9">
        <f>VLOOKUP(A36,[18]HISTOBQUEOCT23!$A$6:$G$39,4,0)</f>
        <v>0</v>
      </c>
      <c r="F36" s="9">
        <f>VLOOKUP(A36,[18]HISTOBQUEOCT23!$A$6:$G$39,5,0)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4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VLOOKUP($A36,[20]TONTOCT23!$A$6:$P$35,12,0)</f>
        <v>0</v>
      </c>
      <c r="Q36" s="2">
        <f>VLOOKUP($A36,[13]TONTOCT23!$A$6:$P$20,10,0)</f>
        <v>0</v>
      </c>
      <c r="R36" s="2">
        <f>VLOOKUP($A36,[19]TONTOCT23!$A$6:$P$21,10,0)</f>
        <v>0</v>
      </c>
      <c r="S36" s="6">
        <v>590000</v>
      </c>
      <c r="T36" s="12" t="s">
        <v>8</v>
      </c>
      <c r="U36" s="17">
        <f t="shared" si="15"/>
        <v>880000</v>
      </c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0</v>
      </c>
      <c r="AX36" s="15">
        <f t="shared" si="10"/>
        <v>0</v>
      </c>
      <c r="AY36" s="15">
        <f t="shared" si="11"/>
        <v>0</v>
      </c>
      <c r="AZ36" s="16">
        <f t="shared" si="12"/>
        <v>0</v>
      </c>
      <c r="BA36" s="58"/>
      <c r="BB36" s="58"/>
      <c r="BC36" s="15"/>
      <c r="BD36" s="57">
        <f t="shared" si="13"/>
        <v>0</v>
      </c>
      <c r="BE36" s="82"/>
      <c r="BF36" s="29">
        <f t="shared" si="6"/>
        <v>0</v>
      </c>
      <c r="BG36" s="29">
        <v>2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10000</v>
      </c>
      <c r="D38" s="5">
        <f t="shared" si="16"/>
        <v>5946000</v>
      </c>
      <c r="E38" s="5">
        <f t="shared" si="16"/>
        <v>536000</v>
      </c>
      <c r="F38" s="5">
        <f t="shared" si="16"/>
        <v>140000</v>
      </c>
      <c r="G38" s="5">
        <f t="shared" si="16"/>
        <v>0</v>
      </c>
      <c r="H38" s="5">
        <f t="shared" si="16"/>
        <v>0</v>
      </c>
      <c r="I38" s="5">
        <f t="shared" si="16"/>
        <v>335500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17500</v>
      </c>
      <c r="Q38" s="5">
        <f t="shared" si="16"/>
        <v>59000</v>
      </c>
      <c r="R38" s="5">
        <f t="shared" si="16"/>
        <v>1445000</v>
      </c>
      <c r="S38" s="5">
        <f t="shared" si="16"/>
        <v>740000</v>
      </c>
      <c r="T38" s="5"/>
      <c r="U38" s="5">
        <f t="shared" ref="U38:AA38" si="17">SUM(U6:U37)</f>
        <v>6472000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1500000</v>
      </c>
      <c r="AA38" s="5">
        <f t="shared" si="17"/>
        <v>0</v>
      </c>
      <c r="AB38" s="5"/>
      <c r="AC38" s="5">
        <f>SUM(AC6:AC37)</f>
        <v>5000</v>
      </c>
      <c r="AD38" s="5">
        <f>SUM(AD6:AD37)</f>
        <v>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E38" si="18">SUM(AI6:AI37)</f>
        <v>147500</v>
      </c>
      <c r="AJ38" s="5">
        <f t="shared" si="18"/>
        <v>375000</v>
      </c>
      <c r="AK38" s="5">
        <f t="shared" si="18"/>
        <v>1200000</v>
      </c>
      <c r="AL38" s="5">
        <f t="shared" si="18"/>
        <v>2500</v>
      </c>
      <c r="AM38" s="5">
        <f t="shared" si="18"/>
        <v>5000</v>
      </c>
      <c r="AN38" s="5">
        <f t="shared" si="18"/>
        <v>12000</v>
      </c>
      <c r="AO38" s="5">
        <f t="shared" si="18"/>
        <v>0</v>
      </c>
      <c r="AP38" s="5">
        <f t="shared" si="18"/>
        <v>0</v>
      </c>
      <c r="AQ38" s="5">
        <f t="shared" si="18"/>
        <v>0</v>
      </c>
      <c r="AR38" s="5">
        <f t="shared" si="18"/>
        <v>0</v>
      </c>
      <c r="AS38" s="5">
        <f t="shared" si="18"/>
        <v>785500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742500</v>
      </c>
      <c r="AX38" s="5">
        <f t="shared" si="18"/>
        <v>375000</v>
      </c>
      <c r="AY38" s="5">
        <f t="shared" si="18"/>
        <v>1200000</v>
      </c>
      <c r="AZ38" s="5">
        <f t="shared" si="18"/>
        <v>4371000</v>
      </c>
      <c r="BA38" s="5">
        <f t="shared" si="18"/>
        <v>389500</v>
      </c>
      <c r="BB38" s="5">
        <f t="shared" si="18"/>
        <v>140000</v>
      </c>
      <c r="BC38" s="5">
        <f t="shared" si="18"/>
        <v>0</v>
      </c>
      <c r="BD38" s="5">
        <f t="shared" si="18"/>
        <v>3754000</v>
      </c>
      <c r="BE38" s="5">
        <f t="shared" si="18"/>
        <v>4290000</v>
      </c>
      <c r="BF38" s="5">
        <f>SUM(BF6:BF37)</f>
        <v>20000</v>
      </c>
      <c r="BH38" s="5">
        <f t="shared" ref="BH38:BL38" si="19">SUM(BH6:BH37)</f>
        <v>13500</v>
      </c>
      <c r="BI38" s="5">
        <f t="shared" si="19"/>
        <v>600000</v>
      </c>
      <c r="BJ38" s="5">
        <f t="shared" si="19"/>
        <v>0</v>
      </c>
      <c r="BK38" s="5">
        <f t="shared" si="19"/>
        <v>100000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100000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713500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4371000</v>
      </c>
      <c r="D43" s="9">
        <f>SUMIFS(D8:D38,H8:H38,"BANQUE")</f>
        <v>5731000</v>
      </c>
      <c r="F43" s="9">
        <f>E38</f>
        <v>536000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8001000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A6:AA36 AF6:AF33 AF35:AF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AI18" activePane="bottomRight" state="frozen"/>
      <selection activeCell="C36" sqref="C36"/>
      <selection pane="topRight" activeCell="C36" sqref="C36"/>
      <selection pane="bottomLeft" activeCell="C36" sqref="C36"/>
      <selection pane="bottomRight" activeCell="AK20" sqref="AK20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5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4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 t="shared" ref="C6:C36" si="0">D6+E6+F6-U6-BB6</f>
        <v>0</v>
      </c>
      <c r="D6" s="9">
        <f>VLOOKUP(A6,[18]HISTOBQUENOV23!$A$6:$G$44,3,0)</f>
        <v>175000</v>
      </c>
      <c r="E6" s="9">
        <f>VLOOKUP(A6,[18]HISTOBQUENOV23!$A$6:$G$39,4,0)</f>
        <v>0</v>
      </c>
      <c r="F6" s="9">
        <f>VLOOKUP(A6,[18]HISTOBQUENOV23!$A$6:$G$39,5,0)</f>
        <v>0</v>
      </c>
      <c r="G6" s="5">
        <f>IF(H6="ESPECES",3000,0)</f>
        <v>0</v>
      </c>
      <c r="H6" s="10" t="str">
        <f t="shared" ref="H6:H36" si="1">IF($D6&lt;&gt;0,"BANQUE",IF($E6&lt;&gt;0,"ESPECES","ECHEC"))</f>
        <v>BANQUE</v>
      </c>
      <c r="I6" s="10"/>
      <c r="J6" s="11"/>
      <c r="K6" s="11">
        <f>IF($D6&lt;&gt;0,J6*40000,IF($E6&lt;&gt;0,J6*40000,0))</f>
        <v>0</v>
      </c>
      <c r="L6" s="6">
        <v>1</v>
      </c>
      <c r="M6" s="11">
        <f t="shared" ref="M6:M36" si="2">IF($D6&lt;&gt;0,L6*75000,IF($E6&lt;&gt;0,L6*75000,0))</f>
        <v>75000</v>
      </c>
      <c r="N6" s="6">
        <v>1</v>
      </c>
      <c r="O6" s="11">
        <f t="shared" ref="O6:O36" si="3">IF($D6&lt;&gt;0,N6*100000,IF($E6&lt;&gt;0,N6*100000,0))</f>
        <v>100000</v>
      </c>
      <c r="P6" s="2"/>
      <c r="Q6" s="2">
        <f>VLOOKUP($A6,[13]TONTNOV23!$A$6:$P$20,10,0)</f>
        <v>0</v>
      </c>
      <c r="R6" s="2">
        <f>VLOOKUP($A6,[19]TONTNOV23!$A$6:$P$21,10,0)</f>
        <v>0</v>
      </c>
      <c r="S6" s="20"/>
      <c r="T6" s="12"/>
      <c r="U6" s="17">
        <f>G6+S6++R6+P6+O6+M6+I6+K6+Q6+V6+W6</f>
        <v>175000</v>
      </c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8">
        <f t="shared" ref="AQ6:AQ36" si="4">IF(H6="ECHEC",((K6+M6+O6)*20/100),0)</f>
        <v>0</v>
      </c>
      <c r="AR6" s="8">
        <f t="shared" ref="AR6:AR36" si="5">IF(H6="ECHEC",((K6+M6+O6)*20/100),0)</f>
        <v>0</v>
      </c>
      <c r="AS6" s="13"/>
      <c r="AT6" s="12"/>
      <c r="AV6" s="15"/>
      <c r="AW6" s="15">
        <f>IF(AC6=0,AI6,(1*25000*12)+AI6-AC6)</f>
        <v>0</v>
      </c>
      <c r="AX6" s="15">
        <f>IF(AD6=0,AJ6,(1*75000*12)+(AJ6)-AD6)</f>
        <v>0</v>
      </c>
      <c r="AY6" s="15">
        <f>IF(AE6=0,AK6,(1*100000*12)+(AK6)-AE6)</f>
        <v>0</v>
      </c>
      <c r="AZ6" s="16">
        <f>SUM(AV6:AY6)-BF6+Z6-F6+BH6+BI6+BJ6+BK6+BL6+BM6-1190000</f>
        <v>-1074000</v>
      </c>
      <c r="BA6" s="58"/>
      <c r="BB6" s="58"/>
      <c r="BC6" s="15"/>
      <c r="BD6" s="57">
        <f>IF(AZ6=0,(AZ6-BA6-BC6),(AZ6-BA6-BB6-BC6))+F6</f>
        <v>-1074000</v>
      </c>
      <c r="BE6" s="82" t="s">
        <v>186</v>
      </c>
      <c r="BF6" s="29">
        <f t="shared" ref="BF6:BF36" si="6">Z6*1/100*BG6</f>
        <v>0</v>
      </c>
      <c r="BG6" s="29">
        <v>1</v>
      </c>
      <c r="BH6" s="15">
        <f>BP16</f>
        <v>6000</v>
      </c>
      <c r="BI6" s="15">
        <f>BP28</f>
        <v>0</v>
      </c>
      <c r="BJ6" s="15">
        <f>BP33</f>
        <v>0</v>
      </c>
      <c r="BK6" s="15">
        <f>+BP38</f>
        <v>110000</v>
      </c>
      <c r="BL6" s="15"/>
      <c r="BM6" s="15">
        <f>BP22</f>
        <v>0</v>
      </c>
      <c r="BN6" t="s">
        <v>115</v>
      </c>
      <c r="BO6" t="s">
        <v>114</v>
      </c>
      <c r="BP6" s="6"/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 t="shared" si="0"/>
        <v>0</v>
      </c>
      <c r="D7" s="9">
        <f>VLOOKUP(A7,[18]HISTOBQUENOV23!$A$6:$G$44,3,0)+28000</f>
        <v>68000</v>
      </c>
      <c r="E7" s="9">
        <f>VLOOKUP(A7,[18]HISTOBQUENOV23!$A$6:$G$39,4,0)</f>
        <v>0</v>
      </c>
      <c r="F7" s="9">
        <f>VLOOKUP(A7,[18]HISTOBQUENOV23!$A$6:$G$39,5,0)</f>
        <v>0</v>
      </c>
      <c r="G7" s="5">
        <f t="shared" ref="G7:G36" si="7">IF(H7="ESPECES",3000,0)</f>
        <v>0</v>
      </c>
      <c r="H7" s="10" t="str">
        <f t="shared" si="1"/>
        <v>BANQUE</v>
      </c>
      <c r="I7" s="10"/>
      <c r="J7" s="11">
        <v>1</v>
      </c>
      <c r="K7" s="11">
        <f>IF($D7&lt;&gt;0,J7*40000,IF($E7&lt;&gt;0,J7*40000,0))</f>
        <v>40000</v>
      </c>
      <c r="L7" s="6"/>
      <c r="M7" s="11">
        <f t="shared" si="2"/>
        <v>0</v>
      </c>
      <c r="N7" s="6"/>
      <c r="O7" s="11">
        <f t="shared" si="3"/>
        <v>0</v>
      </c>
      <c r="P7" s="2">
        <f>VLOOKUP($A7,[20]TONTNOV23!$A$6:$P$35,12,0)</f>
        <v>28000</v>
      </c>
      <c r="Q7" s="2"/>
      <c r="R7" s="2"/>
      <c r="S7" s="20"/>
      <c r="T7" s="12"/>
      <c r="U7" s="17">
        <f>G7+S7++R7+P7+O7+M7+I7+K7+Q7+V7+W7</f>
        <v>68000</v>
      </c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>
        <v>28000</v>
      </c>
      <c r="AJ7" s="12"/>
      <c r="AK7" s="12"/>
      <c r="AL7" s="12">
        <v>1000</v>
      </c>
      <c r="AM7" s="12"/>
      <c r="AN7" s="12"/>
      <c r="AO7" s="12"/>
      <c r="AP7" s="12" t="s">
        <v>8</v>
      </c>
      <c r="AQ7" s="8">
        <f t="shared" si="4"/>
        <v>0</v>
      </c>
      <c r="AR7" s="8">
        <f t="shared" si="5"/>
        <v>0</v>
      </c>
      <c r="AS7" s="13">
        <f t="shared" ref="AS7:AS36" si="8">IF(H7="ECHEC",0,(K7+I7-25000))</f>
        <v>15000</v>
      </c>
      <c r="AT7" s="12"/>
      <c r="AV7" s="15"/>
      <c r="AW7" s="15">
        <f t="shared" ref="AW7:AW36" si="9">IF(AC7=0,AI7,(1*25000*12)+AI7-AC7)</f>
        <v>28000</v>
      </c>
      <c r="AX7" s="15">
        <f t="shared" ref="AX7:AX36" si="10">IF(AD7=0,AJ7,(1*75000*12)+(AJ7)-AD7)</f>
        <v>0</v>
      </c>
      <c r="AY7" s="15">
        <f t="shared" ref="AY7:AY36" si="11">IF(AE7=0,AK7,(1*100000*12)+(AK7)-AE7)</f>
        <v>0</v>
      </c>
      <c r="AZ7" s="16">
        <f>SUM(AV7:AY7)-BF7+Z7-F7+BH7+BI7+BJ7+BK7+BL7+BM7-28000</f>
        <v>0</v>
      </c>
      <c r="BA7" s="58"/>
      <c r="BB7" s="58"/>
      <c r="BC7" s="15"/>
      <c r="BD7" s="57">
        <f t="shared" ref="BD7:BD36" si="12">IF(AZ7=0,(AZ7-BA7-BC7),(AZ7-BA7-BB7-BC7))+F7</f>
        <v>0</v>
      </c>
      <c r="BE7" s="82"/>
      <c r="BF7" s="29">
        <f t="shared" si="6"/>
        <v>0</v>
      </c>
      <c r="BG7" s="29">
        <v>1</v>
      </c>
      <c r="BH7" s="15">
        <f>BP17</f>
        <v>0</v>
      </c>
      <c r="BI7" s="15">
        <f>BP27</f>
        <v>0</v>
      </c>
      <c r="BJ7" s="15">
        <f>BP33</f>
        <v>0</v>
      </c>
      <c r="BK7" s="15"/>
      <c r="BL7" s="15"/>
      <c r="BM7" s="15">
        <f>BP23</f>
        <v>0</v>
      </c>
      <c r="BN7" t="s">
        <v>116</v>
      </c>
      <c r="BO7" t="s">
        <v>114</v>
      </c>
      <c r="BP7" s="6"/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 t="shared" si="0"/>
        <v>0</v>
      </c>
      <c r="D8" s="9">
        <f>VLOOKUP(A8,[18]HISTOBQUENOV23!$A$6:$G$44,3,0)</f>
        <v>115000</v>
      </c>
      <c r="E8" s="9">
        <f>VLOOKUP(A8,[18]HISTOBQUENOV23!$A$6:$G$39,4,0)</f>
        <v>0</v>
      </c>
      <c r="F8" s="9">
        <f>VLOOKUP(A8,[18]HISTOBQUENOV23!$A$6:$G$39,5,0)</f>
        <v>0</v>
      </c>
      <c r="G8" s="5">
        <f t="shared" si="7"/>
        <v>0</v>
      </c>
      <c r="H8" s="10" t="str">
        <f t="shared" si="1"/>
        <v>BANQUE</v>
      </c>
      <c r="I8" s="10"/>
      <c r="J8" s="11">
        <v>1</v>
      </c>
      <c r="K8" s="11">
        <f t="shared" ref="K8:K36" si="13">IF($D8&lt;&gt;0,J8*40000,IF($E8&lt;&gt;0,J8*40000,0))</f>
        <v>40000</v>
      </c>
      <c r="L8" s="6">
        <v>1</v>
      </c>
      <c r="M8" s="11">
        <f t="shared" si="2"/>
        <v>75000</v>
      </c>
      <c r="N8" s="6"/>
      <c r="O8" s="11">
        <f t="shared" si="3"/>
        <v>0</v>
      </c>
      <c r="P8" s="2">
        <f>VLOOKUP($A8,[20]TONTNOV23!$A$6:$P$35,12,0)</f>
        <v>0</v>
      </c>
      <c r="Q8" s="2">
        <f>VLOOKUP($A8,[13]TONTNOV23!$A$6:$P$20,10,0)</f>
        <v>0</v>
      </c>
      <c r="R8" s="2"/>
      <c r="S8" s="20"/>
      <c r="T8" s="12"/>
      <c r="U8" s="17">
        <f t="shared" ref="U8:U36" si="14">G8+S8++R8+P8+O8+M8+I8+K8+Q8+V8+W8</f>
        <v>115000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>
        <v>100000</v>
      </c>
      <c r="AK8" s="12"/>
      <c r="AL8" s="12"/>
      <c r="AM8" s="12">
        <v>1000</v>
      </c>
      <c r="AN8" s="12"/>
      <c r="AO8" s="12"/>
      <c r="AP8" s="12" t="s">
        <v>8</v>
      </c>
      <c r="AQ8" s="8">
        <f t="shared" si="4"/>
        <v>0</v>
      </c>
      <c r="AR8" s="8">
        <f t="shared" si="5"/>
        <v>0</v>
      </c>
      <c r="AS8" s="13">
        <f t="shared" si="8"/>
        <v>15000</v>
      </c>
      <c r="AT8" s="12"/>
      <c r="AV8" s="15"/>
      <c r="AW8" s="15">
        <f t="shared" si="9"/>
        <v>0</v>
      </c>
      <c r="AX8" s="15">
        <f t="shared" si="10"/>
        <v>100000</v>
      </c>
      <c r="AY8" s="15">
        <f t="shared" si="11"/>
        <v>0</v>
      </c>
      <c r="AZ8" s="16">
        <f t="shared" ref="AZ8:AZ36" si="15">SUM(AV8:AY8)-BF8+Z8-F8+BH8+BI8+BJ8+BK8+BL8+BM8</f>
        <v>100000</v>
      </c>
      <c r="BA8" s="58"/>
      <c r="BB8" s="58"/>
      <c r="BC8" s="15"/>
      <c r="BD8" s="57">
        <f t="shared" si="12"/>
        <v>100000</v>
      </c>
      <c r="BE8" s="82" t="s">
        <v>186</v>
      </c>
      <c r="BF8" s="29">
        <f t="shared" si="6"/>
        <v>0</v>
      </c>
      <c r="BG8" s="29">
        <v>1</v>
      </c>
      <c r="BH8" s="15"/>
      <c r="BI8" s="15"/>
      <c r="BJ8" s="15"/>
      <c r="BK8" s="15"/>
      <c r="BL8" s="61"/>
      <c r="BN8" t="s">
        <v>117</v>
      </c>
      <c r="BO8" t="s">
        <v>114</v>
      </c>
      <c r="BP8" s="6"/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 t="shared" si="0"/>
        <v>0</v>
      </c>
      <c r="D9" s="9">
        <f>VLOOKUP(A9,[18]HISTOBQUENOV23!$A$6:$G$44,3,0)</f>
        <v>342000</v>
      </c>
      <c r="E9" s="9">
        <f>VLOOKUP(A9,[18]HISTOBQUENOV23!$A$6:$G$39,4,0)</f>
        <v>0</v>
      </c>
      <c r="F9" s="9">
        <f>VLOOKUP(A9,[18]HISTOBQUENOV23!$A$6:$G$39,5,0)</f>
        <v>0</v>
      </c>
      <c r="G9" s="5">
        <f t="shared" si="7"/>
        <v>0</v>
      </c>
      <c r="H9" s="10" t="str">
        <f t="shared" si="1"/>
        <v>BANQUE</v>
      </c>
      <c r="I9" s="10"/>
      <c r="J9" s="11">
        <v>1</v>
      </c>
      <c r="K9" s="11">
        <f t="shared" si="13"/>
        <v>40000</v>
      </c>
      <c r="L9" s="6"/>
      <c r="M9" s="11">
        <f t="shared" si="2"/>
        <v>0</v>
      </c>
      <c r="N9" s="6">
        <v>1</v>
      </c>
      <c r="O9" s="11">
        <f t="shared" si="3"/>
        <v>100000</v>
      </c>
      <c r="P9" s="2">
        <f>VLOOKUP($A9,[20]TONTNOV23!$A$6:$P$35,12,0)</f>
        <v>0</v>
      </c>
      <c r="Q9" s="2"/>
      <c r="R9" s="2">
        <f>VLOOKUP($A9,[19]TONTNOV23!$A$6:$P$21,10,0)</f>
        <v>202000</v>
      </c>
      <c r="S9" s="20"/>
      <c r="T9" s="12"/>
      <c r="U9" s="17">
        <f t="shared" si="14"/>
        <v>342000</v>
      </c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 t="s">
        <v>8</v>
      </c>
      <c r="AQ9" s="8">
        <f t="shared" si="4"/>
        <v>0</v>
      </c>
      <c r="AR9" s="8">
        <f t="shared" si="5"/>
        <v>0</v>
      </c>
      <c r="AS9" s="13">
        <f t="shared" si="8"/>
        <v>15000</v>
      </c>
      <c r="AT9" s="12"/>
      <c r="AV9" s="15"/>
      <c r="AW9" s="15">
        <f t="shared" si="9"/>
        <v>0</v>
      </c>
      <c r="AX9" s="15">
        <f t="shared" si="10"/>
        <v>0</v>
      </c>
      <c r="AY9" s="15">
        <f t="shared" si="11"/>
        <v>0</v>
      </c>
      <c r="AZ9" s="16">
        <f t="shared" si="15"/>
        <v>0</v>
      </c>
      <c r="BA9" s="58"/>
      <c r="BB9" s="58"/>
      <c r="BC9" s="15"/>
      <c r="BD9" s="57">
        <f t="shared" si="12"/>
        <v>0</v>
      </c>
      <c r="BE9" s="82"/>
      <c r="BF9" s="29">
        <f t="shared" si="6"/>
        <v>0</v>
      </c>
      <c r="BG9" s="29">
        <v>1</v>
      </c>
      <c r="BH9" s="15"/>
      <c r="BI9" s="15"/>
      <c r="BJ9" s="15"/>
      <c r="BK9" s="15"/>
      <c r="BL9" s="61"/>
      <c r="BN9" t="s">
        <v>147</v>
      </c>
      <c r="BO9" t="s">
        <v>114</v>
      </c>
      <c r="BP9" s="6"/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 t="shared" si="0"/>
        <v>0</v>
      </c>
      <c r="D10" s="9">
        <f>VLOOKUP(A10,[18]HISTOBQUENOV23!$A$6:$G$44,3,0)</f>
        <v>40000</v>
      </c>
      <c r="E10" s="9">
        <f>VLOOKUP(A10,[18]HISTOBQUENOV23!$A$6:$G$39,4,0)</f>
        <v>0</v>
      </c>
      <c r="F10" s="9">
        <f>VLOOKUP(A10,[18]HISTOBQUENOV23!$A$6:$G$39,5,0)</f>
        <v>0</v>
      </c>
      <c r="G10" s="5">
        <f t="shared" si="7"/>
        <v>0</v>
      </c>
      <c r="H10" s="10" t="str">
        <f t="shared" si="1"/>
        <v>BANQUE</v>
      </c>
      <c r="I10" s="10"/>
      <c r="J10" s="11">
        <v>1</v>
      </c>
      <c r="K10" s="11">
        <f t="shared" si="13"/>
        <v>40000</v>
      </c>
      <c r="L10" s="6"/>
      <c r="M10" s="11">
        <f t="shared" si="2"/>
        <v>0</v>
      </c>
      <c r="N10" s="6"/>
      <c r="O10" s="11">
        <f t="shared" si="3"/>
        <v>0</v>
      </c>
      <c r="P10" s="2">
        <f>VLOOKUP($A10,[20]TONTNOV23!$A$6:$P$35,12,0)</f>
        <v>0</v>
      </c>
      <c r="Q10" s="2"/>
      <c r="R10" s="2"/>
      <c r="S10" s="20"/>
      <c r="T10" s="12"/>
      <c r="U10" s="17">
        <f t="shared" si="14"/>
        <v>40000</v>
      </c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8">
        <f t="shared" si="4"/>
        <v>0</v>
      </c>
      <c r="AR10" s="8">
        <f t="shared" si="5"/>
        <v>0</v>
      </c>
      <c r="AS10" s="13">
        <f t="shared" si="8"/>
        <v>15000</v>
      </c>
      <c r="AT10" s="12"/>
      <c r="AV10" s="15"/>
      <c r="AW10" s="15">
        <f t="shared" si="9"/>
        <v>0</v>
      </c>
      <c r="AX10" s="15">
        <f t="shared" si="10"/>
        <v>0</v>
      </c>
      <c r="AY10" s="15">
        <f t="shared" si="11"/>
        <v>0</v>
      </c>
      <c r="AZ10" s="16">
        <f t="shared" si="15"/>
        <v>0</v>
      </c>
      <c r="BA10" s="58"/>
      <c r="BB10" s="58"/>
      <c r="BC10" s="15"/>
      <c r="BD10" s="57">
        <f t="shared" si="12"/>
        <v>0</v>
      </c>
      <c r="BE10" s="82"/>
      <c r="BF10" s="29">
        <f t="shared" si="6"/>
        <v>0</v>
      </c>
      <c r="BG10" s="29">
        <v>1</v>
      </c>
      <c r="BH10" s="15"/>
      <c r="BI10" s="15"/>
      <c r="BJ10" s="15"/>
      <c r="BK10" s="15"/>
      <c r="BL10" s="61"/>
      <c r="BN10" t="s">
        <v>118</v>
      </c>
      <c r="BO10" t="s">
        <v>114</v>
      </c>
      <c r="BP10" s="6"/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 t="shared" si="0"/>
        <v>0</v>
      </c>
      <c r="D11" s="9">
        <f>VLOOKUP(A11,[18]HISTOBQUENOV23!$A$6:$G$44,3,0)+76000</f>
        <v>191000</v>
      </c>
      <c r="E11" s="9">
        <f>VLOOKUP(A11,[18]HISTOBQUENOV23!$A$6:$G$39,4,0)</f>
        <v>0</v>
      </c>
      <c r="F11" s="9">
        <f>VLOOKUP(A11,[18]HISTOBQUENOV23!$A$6:$G$39,5,0)</f>
        <v>0</v>
      </c>
      <c r="G11" s="5">
        <f t="shared" si="7"/>
        <v>0</v>
      </c>
      <c r="H11" s="10" t="str">
        <f t="shared" si="1"/>
        <v>BANQUE</v>
      </c>
      <c r="I11" s="10"/>
      <c r="J11" s="11">
        <v>1</v>
      </c>
      <c r="K11" s="11">
        <f t="shared" si="13"/>
        <v>40000</v>
      </c>
      <c r="L11" s="6">
        <v>1</v>
      </c>
      <c r="M11" s="11">
        <f t="shared" si="2"/>
        <v>75000</v>
      </c>
      <c r="N11" s="6"/>
      <c r="O11" s="11">
        <f t="shared" si="3"/>
        <v>0</v>
      </c>
      <c r="P11" s="2">
        <f>VLOOKUP($A11,[20]TONTNOV23!$A$6:$P$35,12,0)</f>
        <v>0</v>
      </c>
      <c r="Q11" s="2">
        <f>VLOOKUP($A11,[13]TONTNOV23!$A$6:$P$20,10,0)</f>
        <v>76000</v>
      </c>
      <c r="R11" s="2"/>
      <c r="S11" s="20"/>
      <c r="T11" s="12"/>
      <c r="U11" s="17">
        <f t="shared" si="14"/>
        <v>191000</v>
      </c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>
        <v>76000</v>
      </c>
      <c r="AK11" s="12"/>
      <c r="AL11" s="12"/>
      <c r="AM11" s="12">
        <v>1000</v>
      </c>
      <c r="AN11" s="12"/>
      <c r="AO11" s="12"/>
      <c r="AP11" s="12" t="s">
        <v>8</v>
      </c>
      <c r="AQ11" s="8">
        <f t="shared" si="4"/>
        <v>0</v>
      </c>
      <c r="AR11" s="8">
        <f t="shared" si="5"/>
        <v>0</v>
      </c>
      <c r="AS11" s="13">
        <f t="shared" si="8"/>
        <v>15000</v>
      </c>
      <c r="AT11" s="12"/>
      <c r="AV11" s="15"/>
      <c r="AW11" s="15">
        <f t="shared" si="9"/>
        <v>0</v>
      </c>
      <c r="AX11" s="15">
        <f t="shared" si="10"/>
        <v>76000</v>
      </c>
      <c r="AY11" s="15">
        <f t="shared" si="11"/>
        <v>0</v>
      </c>
      <c r="AZ11" s="16">
        <f>SUM(AV11:AY11)-BF11+Z11-F11+BH11+BI11+BJ11+BK11+BL11+BM11-76000</f>
        <v>0</v>
      </c>
      <c r="BA11" s="58"/>
      <c r="BB11" s="58"/>
      <c r="BC11" s="15"/>
      <c r="BD11" s="57">
        <f t="shared" si="12"/>
        <v>0</v>
      </c>
      <c r="BE11" s="82"/>
      <c r="BF11" s="29">
        <f t="shared" si="6"/>
        <v>0</v>
      </c>
      <c r="BG11" s="29">
        <v>1</v>
      </c>
      <c r="BH11" s="15"/>
      <c r="BI11" s="15"/>
      <c r="BJ11" s="15"/>
      <c r="BK11" s="15"/>
      <c r="BL11" s="61"/>
      <c r="BN11" t="s">
        <v>119</v>
      </c>
      <c r="BO11" t="s">
        <v>114</v>
      </c>
      <c r="BP11" s="6"/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 t="shared" si="0"/>
        <v>0</v>
      </c>
      <c r="D12" s="9">
        <f>VLOOKUP(A12,[18]HISTOBQUENOV23!$A$6:$G$44,3,0)+202000</f>
        <v>522000</v>
      </c>
      <c r="E12" s="9">
        <f>VLOOKUP(A12,[18]HISTOBQUENOV23!$A$6:$G$39,4,0)</f>
        <v>0</v>
      </c>
      <c r="F12" s="9">
        <f>VLOOKUP(A12,[18]HISTOBQUENOV23!$A$6:$G$39,5,0)</f>
        <v>0</v>
      </c>
      <c r="G12" s="5">
        <f t="shared" si="7"/>
        <v>0</v>
      </c>
      <c r="H12" s="10" t="str">
        <f t="shared" si="1"/>
        <v>BANQUE</v>
      </c>
      <c r="I12" s="10">
        <v>5000</v>
      </c>
      <c r="J12" s="11">
        <v>1</v>
      </c>
      <c r="K12" s="11">
        <f t="shared" si="13"/>
        <v>40000</v>
      </c>
      <c r="L12" s="6">
        <v>1</v>
      </c>
      <c r="M12" s="11">
        <f t="shared" si="2"/>
        <v>75000</v>
      </c>
      <c r="N12" s="6">
        <v>2</v>
      </c>
      <c r="O12" s="11">
        <f t="shared" si="3"/>
        <v>200000</v>
      </c>
      <c r="P12" s="2">
        <f>VLOOKUP($A12,[20]TONTNOV23!$A$6:$P$35,12,0)</f>
        <v>0</v>
      </c>
      <c r="Q12" s="2">
        <f>VLOOKUP($A12,[13]TONTNOV23!$A$6:$P$20,10,0)</f>
        <v>0</v>
      </c>
      <c r="R12" s="2">
        <f>VLOOKUP($A12,[19]TONTNOV23!$A$6:$P$21,10,0)</f>
        <v>202000</v>
      </c>
      <c r="S12" s="20"/>
      <c r="T12" s="12"/>
      <c r="U12" s="17">
        <f t="shared" si="14"/>
        <v>522000</v>
      </c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>
        <v>50000</v>
      </c>
      <c r="AK12" s="12">
        <v>202000</v>
      </c>
      <c r="AL12" s="12"/>
      <c r="AM12" s="12">
        <v>1000</v>
      </c>
      <c r="AN12" s="12">
        <v>4000</v>
      </c>
      <c r="AO12" s="12"/>
      <c r="AP12" s="12" t="s">
        <v>8</v>
      </c>
      <c r="AQ12" s="8">
        <f t="shared" si="4"/>
        <v>0</v>
      </c>
      <c r="AR12" s="8">
        <f t="shared" si="5"/>
        <v>0</v>
      </c>
      <c r="AS12" s="13">
        <f t="shared" si="8"/>
        <v>20000</v>
      </c>
      <c r="AT12" s="12"/>
      <c r="AV12" s="15"/>
      <c r="AW12" s="15">
        <f t="shared" si="9"/>
        <v>0</v>
      </c>
      <c r="AX12" s="15">
        <f t="shared" si="10"/>
        <v>50000</v>
      </c>
      <c r="AY12" s="15">
        <f t="shared" si="11"/>
        <v>202000</v>
      </c>
      <c r="AZ12" s="16">
        <f>SUM(AV12:AY12)-BF12+Z12-F12+BH12+BI12+BJ12+BK12+BL12+BM12-202000</f>
        <v>50000</v>
      </c>
      <c r="BA12" s="58">
        <v>50000</v>
      </c>
      <c r="BB12" s="58"/>
      <c r="BC12" s="15"/>
      <c r="BD12" s="57">
        <f t="shared" si="12"/>
        <v>0</v>
      </c>
      <c r="BE12" s="82"/>
      <c r="BF12" s="29">
        <f t="shared" si="6"/>
        <v>0</v>
      </c>
      <c r="BG12" s="29">
        <v>1</v>
      </c>
      <c r="BH12" s="15"/>
      <c r="BI12" s="15"/>
      <c r="BJ12" s="15"/>
      <c r="BK12" s="15"/>
      <c r="BL12" s="61"/>
      <c r="BN12" t="s">
        <v>120</v>
      </c>
      <c r="BO12" t="s">
        <v>114</v>
      </c>
      <c r="BP12" s="6"/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 t="shared" si="0"/>
        <v>0</v>
      </c>
      <c r="D13" s="9">
        <f>VLOOKUP(A13,[18]HISTOBQUENOV23!$A$6:$G$44,3,0)</f>
        <v>40000</v>
      </c>
      <c r="E13" s="9">
        <f>VLOOKUP(A13,[18]HISTOBQUENOV23!$A$6:$G$39,4,0)</f>
        <v>0</v>
      </c>
      <c r="F13" s="9">
        <f>VLOOKUP(A13,[18]HISTOBQUENOV23!$A$6:$G$39,5,0)</f>
        <v>0</v>
      </c>
      <c r="G13" s="5">
        <f t="shared" si="7"/>
        <v>0</v>
      </c>
      <c r="H13" s="10" t="str">
        <f t="shared" si="1"/>
        <v>BANQUE</v>
      </c>
      <c r="I13" s="10"/>
      <c r="J13" s="11">
        <v>1</v>
      </c>
      <c r="K13" s="11">
        <f t="shared" si="13"/>
        <v>40000</v>
      </c>
      <c r="L13" s="6"/>
      <c r="M13" s="11">
        <f t="shared" si="2"/>
        <v>0</v>
      </c>
      <c r="N13" s="6"/>
      <c r="O13" s="11">
        <f t="shared" si="3"/>
        <v>0</v>
      </c>
      <c r="P13" s="2">
        <f>VLOOKUP($A13,[20]TONTNOV23!$A$6:$P$35,12,0)</f>
        <v>0</v>
      </c>
      <c r="Q13" s="2"/>
      <c r="R13" s="2"/>
      <c r="S13" s="20"/>
      <c r="T13" s="12"/>
      <c r="U13" s="17">
        <f t="shared" si="14"/>
        <v>40000</v>
      </c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8">
        <f t="shared" si="4"/>
        <v>0</v>
      </c>
      <c r="AR13" s="8">
        <f t="shared" si="5"/>
        <v>0</v>
      </c>
      <c r="AS13" s="13">
        <f t="shared" si="8"/>
        <v>15000</v>
      </c>
      <c r="AT13" s="12"/>
      <c r="AV13" s="15"/>
      <c r="AW13" s="15">
        <f t="shared" si="9"/>
        <v>0</v>
      </c>
      <c r="AX13" s="15">
        <f t="shared" si="10"/>
        <v>0</v>
      </c>
      <c r="AY13" s="15">
        <f t="shared" si="11"/>
        <v>0</v>
      </c>
      <c r="AZ13" s="16">
        <f t="shared" si="15"/>
        <v>0</v>
      </c>
      <c r="BA13" s="58"/>
      <c r="BB13" s="58"/>
      <c r="BC13" s="15"/>
      <c r="BD13" s="57">
        <f t="shared" si="12"/>
        <v>0</v>
      </c>
      <c r="BE13" s="82"/>
      <c r="BF13" s="29">
        <f t="shared" si="6"/>
        <v>0</v>
      </c>
      <c r="BG13" s="29">
        <v>1</v>
      </c>
      <c r="BH13" s="15"/>
      <c r="BI13" s="15"/>
      <c r="BJ13" s="15"/>
      <c r="BK13" s="15"/>
      <c r="BL13" s="61"/>
      <c r="BN13" t="s">
        <v>145</v>
      </c>
      <c r="BO13" t="s">
        <v>114</v>
      </c>
      <c r="BP13" s="6">
        <v>6000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9">
        <f t="shared" si="0"/>
        <v>-70000</v>
      </c>
      <c r="D14" s="9">
        <f>VLOOKUP(A14,[18]HISTOBQUENOV23!$A$6:$G$44,3,0)</f>
        <v>40000</v>
      </c>
      <c r="E14" s="9">
        <f>VLOOKUP(A14,[18]HISTOBQUENOV23!$A$6:$G$39,4,0)</f>
        <v>0</v>
      </c>
      <c r="F14" s="9">
        <f>VLOOKUP(A14,[18]HISTOBQUENOV23!$A$6:$G$39,5,0)</f>
        <v>0</v>
      </c>
      <c r="G14" s="5">
        <f t="shared" si="7"/>
        <v>0</v>
      </c>
      <c r="H14" s="10" t="str">
        <f t="shared" si="1"/>
        <v>BANQUE</v>
      </c>
      <c r="I14" s="10"/>
      <c r="J14" s="11">
        <v>1</v>
      </c>
      <c r="K14" s="11">
        <f t="shared" si="13"/>
        <v>40000</v>
      </c>
      <c r="L14" s="6"/>
      <c r="M14" s="11">
        <f t="shared" si="2"/>
        <v>0</v>
      </c>
      <c r="N14" s="6"/>
      <c r="O14" s="11">
        <f t="shared" si="3"/>
        <v>0</v>
      </c>
      <c r="P14" s="2">
        <f>VLOOKUP($A14,[20]TONTNOV23!$A$6:$P$35,12,0)</f>
        <v>0</v>
      </c>
      <c r="Q14" s="2"/>
      <c r="R14" s="2"/>
      <c r="S14" s="20"/>
      <c r="T14" s="12"/>
      <c r="U14" s="17">
        <f t="shared" si="14"/>
        <v>40000</v>
      </c>
      <c r="V14" s="12"/>
      <c r="W14" s="12"/>
      <c r="X14" s="12"/>
      <c r="Y14" s="12"/>
      <c r="Z14" s="12"/>
      <c r="AA14" s="12"/>
      <c r="AB14" s="12"/>
      <c r="AC14" s="12">
        <v>2500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8">
        <f t="shared" si="4"/>
        <v>0</v>
      </c>
      <c r="AR14" s="8">
        <f t="shared" si="5"/>
        <v>0</v>
      </c>
      <c r="AS14" s="13">
        <f t="shared" si="8"/>
        <v>15000</v>
      </c>
      <c r="AT14" s="12"/>
      <c r="AV14" s="15"/>
      <c r="AW14" s="15">
        <f t="shared" si="9"/>
        <v>297500</v>
      </c>
      <c r="AX14" s="15">
        <f t="shared" si="10"/>
        <v>0</v>
      </c>
      <c r="AY14" s="15">
        <f t="shared" si="11"/>
        <v>0</v>
      </c>
      <c r="AZ14" s="16">
        <f t="shared" si="15"/>
        <v>297500</v>
      </c>
      <c r="BA14" s="58"/>
      <c r="BB14" s="58">
        <v>70000</v>
      </c>
      <c r="BC14" s="15"/>
      <c r="BD14" s="57">
        <f t="shared" si="12"/>
        <v>227500</v>
      </c>
      <c r="BE14" s="82" t="s">
        <v>186</v>
      </c>
      <c r="BF14" s="29">
        <f t="shared" si="6"/>
        <v>0</v>
      </c>
      <c r="BG14" s="29">
        <v>1</v>
      </c>
      <c r="BH14" s="15"/>
      <c r="BI14" s="15"/>
      <c r="BJ14" s="15"/>
      <c r="BK14" s="15"/>
      <c r="BL14" s="61"/>
      <c r="BN14" t="s">
        <v>122</v>
      </c>
      <c r="BO14" t="s">
        <v>114</v>
      </c>
      <c r="BP14" s="6"/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 t="shared" si="0"/>
        <v>0</v>
      </c>
      <c r="D15" s="9">
        <f>VLOOKUP(A15,[18]HISTOBQUENOV23!$A$6:$G$44,3,0)</f>
        <v>115000</v>
      </c>
      <c r="E15" s="9">
        <f>VLOOKUP(A15,[18]HISTOBQUENOV23!$A$6:$G$39,4,0)</f>
        <v>0</v>
      </c>
      <c r="F15" s="9">
        <f>VLOOKUP(A15,[18]HISTOBQUENOV23!$A$6:$G$39,5,0)</f>
        <v>0</v>
      </c>
      <c r="G15" s="5">
        <f t="shared" si="7"/>
        <v>0</v>
      </c>
      <c r="H15" s="10" t="str">
        <f t="shared" si="1"/>
        <v>BANQUE</v>
      </c>
      <c r="I15" s="10"/>
      <c r="J15" s="11">
        <v>1</v>
      </c>
      <c r="K15" s="11">
        <f t="shared" si="13"/>
        <v>40000</v>
      </c>
      <c r="L15" s="6">
        <v>1</v>
      </c>
      <c r="M15" s="11">
        <f t="shared" si="2"/>
        <v>75000</v>
      </c>
      <c r="N15" s="6"/>
      <c r="O15" s="11">
        <f t="shared" si="3"/>
        <v>0</v>
      </c>
      <c r="P15" s="2">
        <f>VLOOKUP($A15,[20]TONTNOV23!$A$6:$P$35,12,0)</f>
        <v>0</v>
      </c>
      <c r="Q15" s="2">
        <f>VLOOKUP($A15,[13]TONTNOV23!$A$6:$P$20,10,0)</f>
        <v>0</v>
      </c>
      <c r="R15" s="2"/>
      <c r="S15" s="20"/>
      <c r="T15" s="12"/>
      <c r="U15" s="17">
        <f t="shared" si="14"/>
        <v>115000</v>
      </c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8">
        <f t="shared" si="4"/>
        <v>0</v>
      </c>
      <c r="AR15" s="8">
        <f t="shared" si="5"/>
        <v>0</v>
      </c>
      <c r="AS15" s="13">
        <f t="shared" si="8"/>
        <v>15000</v>
      </c>
      <c r="AT15" s="12"/>
      <c r="AV15" s="15"/>
      <c r="AW15" s="15">
        <f t="shared" si="9"/>
        <v>0</v>
      </c>
      <c r="AX15" s="15">
        <f t="shared" si="10"/>
        <v>0</v>
      </c>
      <c r="AY15" s="15">
        <f t="shared" si="11"/>
        <v>0</v>
      </c>
      <c r="AZ15" s="16">
        <f t="shared" si="15"/>
        <v>0</v>
      </c>
      <c r="BA15" s="58"/>
      <c r="BB15" s="58"/>
      <c r="BC15" s="15"/>
      <c r="BD15" s="57">
        <f t="shared" si="12"/>
        <v>0</v>
      </c>
      <c r="BE15" s="82"/>
      <c r="BF15" s="29">
        <f t="shared" si="6"/>
        <v>0</v>
      </c>
      <c r="BG15" s="29">
        <v>1</v>
      </c>
      <c r="BH15" s="15"/>
      <c r="BI15" s="15"/>
      <c r="BJ15" s="15"/>
      <c r="BK15" s="15"/>
      <c r="BL15" s="61"/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 t="shared" si="0"/>
        <v>-136500</v>
      </c>
      <c r="D16" s="9">
        <f>VLOOKUP(A16,[18]HISTOBQUENOV23!$A$6:$G$44,3,0)+202000</f>
        <v>452000</v>
      </c>
      <c r="E16" s="9">
        <f>VLOOKUP(A16,[18]HISTOBQUENOV23!$A$6:$G$39,4,0)</f>
        <v>0</v>
      </c>
      <c r="F16" s="9">
        <f>VLOOKUP(A16,[18]HISTOBQUENOV23!$A$6:$G$39,5,0)</f>
        <v>0</v>
      </c>
      <c r="G16" s="5">
        <f t="shared" si="7"/>
        <v>0</v>
      </c>
      <c r="H16" s="10" t="str">
        <f t="shared" si="1"/>
        <v>BANQUE</v>
      </c>
      <c r="I16" s="10">
        <v>35000</v>
      </c>
      <c r="J16" s="11">
        <v>1</v>
      </c>
      <c r="K16" s="11">
        <f t="shared" si="13"/>
        <v>40000</v>
      </c>
      <c r="L16" s="6">
        <v>1</v>
      </c>
      <c r="M16" s="11">
        <f t="shared" si="2"/>
        <v>75000</v>
      </c>
      <c r="N16" s="6">
        <v>1</v>
      </c>
      <c r="O16" s="11">
        <f t="shared" si="3"/>
        <v>100000</v>
      </c>
      <c r="P16" s="2">
        <f>VLOOKUP($A16,[20]TONTNOV23!$A$6:$P$35,12,0)</f>
        <v>0</v>
      </c>
      <c r="Q16" s="2">
        <f>VLOOKUP($A16,[13]TONTNOV23!$A$6:$P$20,10,0)</f>
        <v>0</v>
      </c>
      <c r="R16" s="2">
        <f>VLOOKUP($A16,[19]TONTNOV23!$A$6:$P$21,10,0)</f>
        <v>202000</v>
      </c>
      <c r="S16" s="20">
        <v>136500</v>
      </c>
      <c r="T16" s="12"/>
      <c r="U16" s="17">
        <f t="shared" si="14"/>
        <v>588500</v>
      </c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>
        <v>202000</v>
      </c>
      <c r="AL16" s="12"/>
      <c r="AM16" s="12"/>
      <c r="AN16" s="12">
        <v>4000</v>
      </c>
      <c r="AO16" s="12"/>
      <c r="AP16" s="12" t="s">
        <v>8</v>
      </c>
      <c r="AQ16" s="8">
        <f t="shared" si="4"/>
        <v>0</v>
      </c>
      <c r="AR16" s="8">
        <f t="shared" si="5"/>
        <v>0</v>
      </c>
      <c r="AS16" s="13">
        <f t="shared" si="8"/>
        <v>50000</v>
      </c>
      <c r="AT16" s="12"/>
      <c r="AV16" s="15"/>
      <c r="AW16" s="15">
        <f t="shared" si="9"/>
        <v>0</v>
      </c>
      <c r="AX16" s="15">
        <f t="shared" si="10"/>
        <v>0</v>
      </c>
      <c r="AY16" s="15">
        <f t="shared" si="11"/>
        <v>202000</v>
      </c>
      <c r="AZ16" s="16">
        <f>SUM(AV16:AY16)-BF16+Z16-F16+BH16+BI16+BJ16+BK16+BL16+BM16-202000</f>
        <v>0</v>
      </c>
      <c r="BA16" s="58"/>
      <c r="BB16" s="58"/>
      <c r="BC16" s="15"/>
      <c r="BD16" s="57">
        <f t="shared" si="12"/>
        <v>0</v>
      </c>
      <c r="BE16" s="82"/>
      <c r="BF16" s="29">
        <f t="shared" si="6"/>
        <v>0</v>
      </c>
      <c r="BG16" s="29">
        <v>1</v>
      </c>
      <c r="BH16" s="15"/>
      <c r="BI16" s="15"/>
      <c r="BJ16" s="15"/>
      <c r="BK16" s="15"/>
      <c r="BL16" s="61"/>
      <c r="BN16" s="62" t="s">
        <v>142</v>
      </c>
      <c r="BP16" s="62">
        <f>SUM(BP6:BP15)</f>
        <v>6000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 t="shared" si="0"/>
        <v>0</v>
      </c>
      <c r="D17" s="9">
        <f>VLOOKUP(A17,[18]HISTOBQUENOV23!$A$6:$G$44,3,0)</f>
        <v>140000</v>
      </c>
      <c r="E17" s="9">
        <f>VLOOKUP(A17,[18]HISTOBQUENOV23!$A$6:$G$39,4,0)</f>
        <v>0</v>
      </c>
      <c r="F17" s="9">
        <f>VLOOKUP(A17,[18]HISTOBQUENOV23!$A$6:$G$39,5,0)</f>
        <v>0</v>
      </c>
      <c r="G17" s="5">
        <f t="shared" si="7"/>
        <v>0</v>
      </c>
      <c r="H17" s="10" t="str">
        <f t="shared" si="1"/>
        <v>BANQUE</v>
      </c>
      <c r="I17" s="10"/>
      <c r="J17" s="11">
        <v>1</v>
      </c>
      <c r="K17" s="11">
        <f t="shared" si="13"/>
        <v>40000</v>
      </c>
      <c r="L17" s="6"/>
      <c r="M17" s="11">
        <f t="shared" si="2"/>
        <v>0</v>
      </c>
      <c r="N17" s="6">
        <v>1</v>
      </c>
      <c r="O17" s="11">
        <f t="shared" si="3"/>
        <v>100000</v>
      </c>
      <c r="P17" s="2">
        <f>VLOOKUP($A17,[20]TONTNOV23!$A$6:$P$35,12,0)</f>
        <v>0</v>
      </c>
      <c r="Q17" s="2"/>
      <c r="R17" s="2">
        <f>VLOOKUP($A17,[19]TONTNOV23!$A$6:$P$21,10,0)</f>
        <v>0</v>
      </c>
      <c r="S17" s="20"/>
      <c r="T17" s="12"/>
      <c r="U17" s="17">
        <f t="shared" si="14"/>
        <v>140000</v>
      </c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8">
        <f t="shared" si="4"/>
        <v>0</v>
      </c>
      <c r="AR17" s="8">
        <f t="shared" si="5"/>
        <v>0</v>
      </c>
      <c r="AS17" s="13">
        <f t="shared" si="8"/>
        <v>15000</v>
      </c>
      <c r="AT17" s="12"/>
      <c r="AV17" s="15"/>
      <c r="AW17" s="15">
        <f t="shared" si="9"/>
        <v>0</v>
      </c>
      <c r="AX17" s="15">
        <f t="shared" si="10"/>
        <v>0</v>
      </c>
      <c r="AY17" s="15">
        <f t="shared" si="11"/>
        <v>0</v>
      </c>
      <c r="AZ17" s="16">
        <f t="shared" si="15"/>
        <v>0</v>
      </c>
      <c r="BA17" s="58"/>
      <c r="BB17" s="58"/>
      <c r="BC17" s="15"/>
      <c r="BD17" s="57">
        <f t="shared" si="12"/>
        <v>0</v>
      </c>
      <c r="BE17" s="82"/>
      <c r="BF17" s="29">
        <f t="shared" si="6"/>
        <v>0</v>
      </c>
      <c r="BG17" s="29">
        <v>1</v>
      </c>
      <c r="BH17" s="15"/>
      <c r="BI17" s="15"/>
      <c r="BJ17" s="15"/>
      <c r="BK17" s="15"/>
      <c r="BL17" s="61"/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 t="shared" si="0"/>
        <v>0</v>
      </c>
      <c r="D18" s="9">
        <f>VLOOKUP(A18,[18]HISTOBQUENOV23!$A$6:$G$44,3,0)</f>
        <v>367000</v>
      </c>
      <c r="E18" s="9">
        <f>VLOOKUP(A18,[18]HISTOBQUENOV23!$A$6:$G$39,4,0)</f>
        <v>0</v>
      </c>
      <c r="F18" s="9">
        <f>VLOOKUP(A18,[18]HISTOBQUENOV23!$A$6:$G$39,5,0)</f>
        <v>0</v>
      </c>
      <c r="G18" s="5">
        <f t="shared" si="7"/>
        <v>0</v>
      </c>
      <c r="H18" s="10" t="str">
        <f t="shared" si="1"/>
        <v>BANQUE</v>
      </c>
      <c r="I18" s="10"/>
      <c r="J18" s="11">
        <v>1</v>
      </c>
      <c r="K18" s="11">
        <f t="shared" si="13"/>
        <v>40000</v>
      </c>
      <c r="L18" s="6">
        <v>1</v>
      </c>
      <c r="M18" s="11">
        <f t="shared" si="2"/>
        <v>75000</v>
      </c>
      <c r="N18" s="6">
        <v>1</v>
      </c>
      <c r="O18" s="11">
        <f t="shared" si="3"/>
        <v>100000</v>
      </c>
      <c r="P18" s="2">
        <f>VLOOKUP($A18,[20]TONTNOV23!$A$6:$P$35,12,0)</f>
        <v>0</v>
      </c>
      <c r="Q18" s="2">
        <f>VLOOKUP($A18,[13]TONTNOV23!$A$6:$P$20,10,0)</f>
        <v>152000</v>
      </c>
      <c r="R18" s="2">
        <f>VLOOKUP($A18,[19]TONTNOV23!$A$6:$P$21,10,0)</f>
        <v>0</v>
      </c>
      <c r="S18" s="20"/>
      <c r="T18" s="12"/>
      <c r="U18" s="17">
        <f t="shared" si="14"/>
        <v>367000</v>
      </c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>
        <v>30000</v>
      </c>
      <c r="AJ18" s="12">
        <v>200000</v>
      </c>
      <c r="AK18" s="12"/>
      <c r="AL18" s="12">
        <v>500</v>
      </c>
      <c r="AM18" s="12">
        <v>2000</v>
      </c>
      <c r="AN18" s="12"/>
      <c r="AO18" s="12"/>
      <c r="AP18" s="12" t="s">
        <v>8</v>
      </c>
      <c r="AQ18" s="8">
        <f t="shared" si="4"/>
        <v>0</v>
      </c>
      <c r="AR18" s="8">
        <f t="shared" si="5"/>
        <v>0</v>
      </c>
      <c r="AS18" s="13">
        <f t="shared" si="8"/>
        <v>15000</v>
      </c>
      <c r="AT18" s="12"/>
      <c r="AV18" s="15"/>
      <c r="AW18" s="15">
        <f t="shared" si="9"/>
        <v>30000</v>
      </c>
      <c r="AX18" s="15">
        <f t="shared" si="10"/>
        <v>200000</v>
      </c>
      <c r="AY18" s="15">
        <f t="shared" si="11"/>
        <v>0</v>
      </c>
      <c r="AZ18" s="16">
        <f t="shared" si="15"/>
        <v>230000</v>
      </c>
      <c r="BA18" s="58">
        <f>17500+30000</f>
        <v>47500</v>
      </c>
      <c r="BB18" s="58"/>
      <c r="BC18" s="15"/>
      <c r="BD18" s="57">
        <f t="shared" si="12"/>
        <v>182500</v>
      </c>
      <c r="BE18" s="82" t="s">
        <v>186</v>
      </c>
      <c r="BF18" s="29">
        <f t="shared" si="6"/>
        <v>0</v>
      </c>
      <c r="BG18" s="29">
        <v>1</v>
      </c>
      <c r="BH18" s="15"/>
      <c r="BI18" s="15"/>
      <c r="BJ18" s="15"/>
      <c r="BK18" s="15"/>
      <c r="BL18" s="61"/>
      <c r="BN18" t="s">
        <v>148</v>
      </c>
      <c r="BO18" t="s">
        <v>45</v>
      </c>
      <c r="BP18" s="6"/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 t="shared" si="0"/>
        <v>0</v>
      </c>
      <c r="D19" s="9">
        <f>VLOOKUP(A19,[18]HISTOBQUENOV23!$A$6:$G$44,3,0)</f>
        <v>40000</v>
      </c>
      <c r="E19" s="9">
        <f>VLOOKUP(A19,[18]HISTOBQUENOV23!$A$6:$G$39,4,0)</f>
        <v>0</v>
      </c>
      <c r="F19" s="9">
        <f>VLOOKUP(A19,[18]HISTOBQUENOV23!$A$6:$G$39,5,0)</f>
        <v>0</v>
      </c>
      <c r="G19" s="5">
        <f t="shared" si="7"/>
        <v>0</v>
      </c>
      <c r="H19" s="10" t="str">
        <f t="shared" si="1"/>
        <v>BANQUE</v>
      </c>
      <c r="I19" s="10"/>
      <c r="J19" s="11">
        <v>1</v>
      </c>
      <c r="K19" s="11">
        <f t="shared" si="13"/>
        <v>40000</v>
      </c>
      <c r="L19" s="6"/>
      <c r="M19" s="11">
        <f t="shared" si="2"/>
        <v>0</v>
      </c>
      <c r="N19" s="6"/>
      <c r="O19" s="11">
        <f t="shared" si="3"/>
        <v>0</v>
      </c>
      <c r="P19" s="2">
        <f>VLOOKUP($A19,[20]TONTNOV23!$A$6:$P$35,12,0)</f>
        <v>0</v>
      </c>
      <c r="Q19" s="2"/>
      <c r="R19" s="2"/>
      <c r="S19" s="20"/>
      <c r="T19" s="12"/>
      <c r="U19" s="17">
        <f t="shared" si="14"/>
        <v>40000</v>
      </c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8">
        <f t="shared" si="4"/>
        <v>0</v>
      </c>
      <c r="AR19" s="8">
        <f t="shared" si="5"/>
        <v>0</v>
      </c>
      <c r="AS19" s="13">
        <f t="shared" si="8"/>
        <v>15000</v>
      </c>
      <c r="AT19" s="12"/>
      <c r="AV19" s="15"/>
      <c r="AW19" s="15">
        <f t="shared" si="9"/>
        <v>0</v>
      </c>
      <c r="AX19" s="15">
        <f t="shared" si="10"/>
        <v>0</v>
      </c>
      <c r="AY19" s="15">
        <f t="shared" si="11"/>
        <v>0</v>
      </c>
      <c r="AZ19" s="16">
        <f t="shared" si="15"/>
        <v>0</v>
      </c>
      <c r="BA19" s="58"/>
      <c r="BB19" s="58"/>
      <c r="BC19" s="15"/>
      <c r="BD19" s="57">
        <f t="shared" si="12"/>
        <v>0</v>
      </c>
      <c r="BE19" s="82"/>
      <c r="BF19" s="29">
        <f t="shared" si="6"/>
        <v>0</v>
      </c>
      <c r="BG19" s="29">
        <v>1</v>
      </c>
      <c r="BH19" s="15"/>
      <c r="BI19" s="15"/>
      <c r="BJ19" s="15"/>
      <c r="BK19" s="15"/>
      <c r="BL19" s="61"/>
      <c r="BN19" t="s">
        <v>149</v>
      </c>
      <c r="BO19" t="s">
        <v>45</v>
      </c>
      <c r="BP19" s="6"/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 t="shared" si="0"/>
        <v>0</v>
      </c>
      <c r="D20" s="9">
        <f>VLOOKUP(A20,[18]HISTOBQUENOV23!$A$6:$G$44,3,0)+354000</f>
        <v>599500</v>
      </c>
      <c r="E20" s="9">
        <f>VLOOKUP(A20,[18]HISTOBQUENOV23!$A$6:$G$39,4,0)</f>
        <v>0</v>
      </c>
      <c r="F20" s="9">
        <f>VLOOKUP(A20,[18]HISTOBQUENOV23!$A$6:$G$39,5,0)</f>
        <v>0</v>
      </c>
      <c r="G20" s="5">
        <f t="shared" si="7"/>
        <v>0</v>
      </c>
      <c r="H20" s="10" t="str">
        <f t="shared" si="1"/>
        <v>BANQUE</v>
      </c>
      <c r="I20" s="10"/>
      <c r="J20" s="11">
        <v>1</v>
      </c>
      <c r="K20" s="11">
        <f t="shared" si="13"/>
        <v>40000</v>
      </c>
      <c r="L20" s="6">
        <v>1</v>
      </c>
      <c r="M20" s="11">
        <f t="shared" si="2"/>
        <v>75000</v>
      </c>
      <c r="N20" s="6">
        <v>1</v>
      </c>
      <c r="O20" s="11">
        <f t="shared" si="3"/>
        <v>100000</v>
      </c>
      <c r="P20" s="2">
        <f>VLOOKUP($A20,[20]TONTNOV23!$A$6:$P$35,12,0)</f>
        <v>30500</v>
      </c>
      <c r="Q20" s="2">
        <f>VLOOKUP($A20,[13]TONTNOV23!$A$6:$P$20,10,0)</f>
        <v>152000</v>
      </c>
      <c r="R20" s="2">
        <f>VLOOKUP($A20,[19]TONTNOV23!$A$6:$P$21,10,0)</f>
        <v>202000</v>
      </c>
      <c r="S20" s="20"/>
      <c r="T20" s="12"/>
      <c r="U20" s="17">
        <f t="shared" si="14"/>
        <v>599500</v>
      </c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>
        <f>152000+51000+100000</f>
        <v>303000</v>
      </c>
      <c r="AK20" s="12">
        <f>202000+100000</f>
        <v>302000</v>
      </c>
      <c r="AL20" s="12"/>
      <c r="AM20" s="12">
        <f>1000+1000+2000</f>
        <v>4000</v>
      </c>
      <c r="AN20" s="12">
        <v>5000</v>
      </c>
      <c r="AO20" s="12"/>
      <c r="AP20" s="12" t="s">
        <v>8</v>
      </c>
      <c r="AQ20" s="8">
        <f t="shared" si="4"/>
        <v>0</v>
      </c>
      <c r="AR20" s="8">
        <f t="shared" si="5"/>
        <v>0</v>
      </c>
      <c r="AS20" s="13">
        <f t="shared" si="8"/>
        <v>15000</v>
      </c>
      <c r="AT20" s="12"/>
      <c r="AV20" s="15"/>
      <c r="AW20" s="15">
        <f t="shared" si="9"/>
        <v>0</v>
      </c>
      <c r="AX20" s="15">
        <f t="shared" si="10"/>
        <v>303000</v>
      </c>
      <c r="AY20" s="15">
        <f t="shared" si="11"/>
        <v>302000</v>
      </c>
      <c r="AZ20" s="16">
        <f>SUM(AV20:AY20)-BF20+Z20-F20+BH20+BI20+BJ20+BK20+BL20+BM20-354000-151000</f>
        <v>100000</v>
      </c>
      <c r="BA20" s="58"/>
      <c r="BB20" s="58"/>
      <c r="BC20" s="15"/>
      <c r="BD20" s="57">
        <f t="shared" si="12"/>
        <v>100000</v>
      </c>
      <c r="BE20" s="82"/>
      <c r="BF20" s="29">
        <f t="shared" si="6"/>
        <v>0</v>
      </c>
      <c r="BG20" s="29">
        <v>1</v>
      </c>
      <c r="BH20" s="15"/>
      <c r="BI20" s="15"/>
      <c r="BJ20" s="15"/>
      <c r="BK20" s="15"/>
      <c r="BL20" s="61"/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 t="shared" si="0"/>
        <v>0</v>
      </c>
      <c r="D21" s="9">
        <f>VLOOKUP(A21,[18]HISTOBQUENOV23!$A$6:$G$44,3,0)</f>
        <v>40000</v>
      </c>
      <c r="E21" s="9">
        <f>VLOOKUP(A21,[18]HISTOBQUENOV23!$A$6:$G$39,4,0)</f>
        <v>0</v>
      </c>
      <c r="F21" s="9">
        <f>VLOOKUP(A21,[18]HISTOBQUENOV23!$A$6:$G$39,5,0)</f>
        <v>0</v>
      </c>
      <c r="G21" s="5">
        <f t="shared" si="7"/>
        <v>0</v>
      </c>
      <c r="H21" s="10" t="str">
        <f t="shared" si="1"/>
        <v>BANQUE</v>
      </c>
      <c r="I21" s="10"/>
      <c r="J21" s="11">
        <v>1</v>
      </c>
      <c r="K21" s="11">
        <f t="shared" si="13"/>
        <v>40000</v>
      </c>
      <c r="L21" s="6"/>
      <c r="M21" s="11">
        <f t="shared" si="2"/>
        <v>0</v>
      </c>
      <c r="N21" s="6"/>
      <c r="O21" s="11">
        <f t="shared" si="3"/>
        <v>0</v>
      </c>
      <c r="P21" s="2">
        <f>VLOOKUP($A21,[20]TONTNOV23!$A$6:$P$35,12,0)</f>
        <v>0</v>
      </c>
      <c r="Q21" s="2"/>
      <c r="R21" s="2"/>
      <c r="S21" s="20"/>
      <c r="T21" s="12"/>
      <c r="U21" s="17">
        <f t="shared" si="14"/>
        <v>40000</v>
      </c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8">
        <f t="shared" si="4"/>
        <v>0</v>
      </c>
      <c r="AR21" s="8">
        <f t="shared" si="5"/>
        <v>0</v>
      </c>
      <c r="AS21" s="13">
        <f t="shared" si="8"/>
        <v>15000</v>
      </c>
      <c r="AT21" s="12"/>
      <c r="AV21" s="15"/>
      <c r="AW21" s="15">
        <f t="shared" si="9"/>
        <v>0</v>
      </c>
      <c r="AX21" s="15">
        <f t="shared" si="10"/>
        <v>0</v>
      </c>
      <c r="AY21" s="15">
        <f t="shared" si="11"/>
        <v>0</v>
      </c>
      <c r="AZ21" s="16">
        <f t="shared" si="15"/>
        <v>0</v>
      </c>
      <c r="BA21" s="58"/>
      <c r="BB21" s="58"/>
      <c r="BC21" s="15"/>
      <c r="BD21" s="57">
        <f t="shared" si="12"/>
        <v>0</v>
      </c>
      <c r="BE21" s="82"/>
      <c r="BF21" s="29">
        <f t="shared" si="6"/>
        <v>0</v>
      </c>
      <c r="BG21" s="29">
        <v>1</v>
      </c>
      <c r="BH21" s="15"/>
      <c r="BI21" s="15"/>
      <c r="BJ21" s="15"/>
      <c r="BK21" s="15"/>
      <c r="BL21" s="61"/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 t="shared" si="0"/>
        <v>0</v>
      </c>
      <c r="D22" s="9">
        <f>VLOOKUP(A22,[18]HISTOBQUENOV23!$A$6:$G$44,3,0)</f>
        <v>115000</v>
      </c>
      <c r="E22" s="9">
        <f>VLOOKUP(A22,[18]HISTOBQUENOV23!$A$6:$G$39,4,0)</f>
        <v>0</v>
      </c>
      <c r="F22" s="9">
        <f>VLOOKUP(A22,[18]HISTOBQUENOV23!$A$6:$G$39,5,0)</f>
        <v>0</v>
      </c>
      <c r="G22" s="5">
        <f t="shared" si="7"/>
        <v>0</v>
      </c>
      <c r="H22" s="10" t="str">
        <f t="shared" si="1"/>
        <v>BANQUE</v>
      </c>
      <c r="I22" s="10"/>
      <c r="J22" s="11">
        <v>1</v>
      </c>
      <c r="K22" s="11">
        <f t="shared" si="13"/>
        <v>40000</v>
      </c>
      <c r="L22" s="6">
        <v>1</v>
      </c>
      <c r="M22" s="11">
        <f t="shared" si="2"/>
        <v>75000</v>
      </c>
      <c r="N22" s="6"/>
      <c r="O22" s="11">
        <f t="shared" si="3"/>
        <v>0</v>
      </c>
      <c r="P22" s="2">
        <f>VLOOKUP($A22,[20]TONTNOV23!$A$6:$P$35,12,0)</f>
        <v>0</v>
      </c>
      <c r="Q22" s="2">
        <f>VLOOKUP($A22,[13]TONTNOV23!$A$6:$P$20,10,0)</f>
        <v>0</v>
      </c>
      <c r="R22" s="2"/>
      <c r="S22" s="20"/>
      <c r="T22" s="12"/>
      <c r="U22" s="17">
        <f t="shared" si="14"/>
        <v>115000</v>
      </c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8">
        <f t="shared" si="4"/>
        <v>0</v>
      </c>
      <c r="AR22" s="8">
        <f t="shared" si="5"/>
        <v>0</v>
      </c>
      <c r="AS22" s="13">
        <f t="shared" si="8"/>
        <v>15000</v>
      </c>
      <c r="AT22" s="12"/>
      <c r="AV22" s="15"/>
      <c r="AW22" s="15">
        <f t="shared" si="9"/>
        <v>0</v>
      </c>
      <c r="AX22" s="15">
        <f t="shared" si="10"/>
        <v>0</v>
      </c>
      <c r="AY22" s="15">
        <f t="shared" si="11"/>
        <v>0</v>
      </c>
      <c r="AZ22" s="16">
        <f t="shared" si="15"/>
        <v>0</v>
      </c>
      <c r="BA22" s="58"/>
      <c r="BB22" s="58"/>
      <c r="BC22" s="15"/>
      <c r="BD22" s="57">
        <f t="shared" si="12"/>
        <v>0</v>
      </c>
      <c r="BE22" s="82"/>
      <c r="BF22" s="29">
        <f t="shared" si="6"/>
        <v>0</v>
      </c>
      <c r="BG22" s="29">
        <v>1</v>
      </c>
      <c r="BH22" s="15"/>
      <c r="BI22" s="15"/>
      <c r="BJ22" s="15"/>
      <c r="BK22" s="15"/>
      <c r="BL22" s="61"/>
      <c r="BN22" s="62" t="s">
        <v>142</v>
      </c>
      <c r="BP22" s="62">
        <f>SUM(BP18:BP21)</f>
        <v>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 t="shared" si="0"/>
        <v>0</v>
      </c>
      <c r="D23" s="9">
        <f>VLOOKUP(A23,[18]HISTOBQUENOV23!$A$6:$G$44,3,0)</f>
        <v>250000</v>
      </c>
      <c r="E23" s="9">
        <f>VLOOKUP(A23,[18]HISTOBQUENOV23!$A$6:$G$39,4,0)</f>
        <v>0</v>
      </c>
      <c r="F23" s="9">
        <f>VLOOKUP(A23,[18]HISTOBQUENOV23!$A$6:$G$39,5,0)</f>
        <v>0</v>
      </c>
      <c r="G23" s="5">
        <f t="shared" si="7"/>
        <v>0</v>
      </c>
      <c r="H23" s="10" t="str">
        <f t="shared" si="1"/>
        <v>BANQUE</v>
      </c>
      <c r="I23" s="10">
        <v>10000</v>
      </c>
      <c r="J23" s="11">
        <v>1</v>
      </c>
      <c r="K23" s="11">
        <f t="shared" si="13"/>
        <v>40000</v>
      </c>
      <c r="L23" s="6"/>
      <c r="M23" s="11">
        <f t="shared" si="2"/>
        <v>0</v>
      </c>
      <c r="N23" s="6">
        <v>2</v>
      </c>
      <c r="O23" s="11">
        <f t="shared" si="3"/>
        <v>200000</v>
      </c>
      <c r="P23" s="2">
        <f>VLOOKUP($A23,[20]TONTNOV23!$A$6:$P$35,12,0)</f>
        <v>0</v>
      </c>
      <c r="Q23" s="2"/>
      <c r="R23" s="2">
        <f>VLOOKUP($A23,[19]TONTNOV23!$A$6:$P$21,10,0)</f>
        <v>0</v>
      </c>
      <c r="S23" s="20"/>
      <c r="T23" s="12"/>
      <c r="U23" s="17">
        <f t="shared" si="14"/>
        <v>250000</v>
      </c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8">
        <f t="shared" si="4"/>
        <v>0</v>
      </c>
      <c r="AR23" s="8">
        <f t="shared" si="5"/>
        <v>0</v>
      </c>
      <c r="AS23" s="13">
        <f t="shared" si="8"/>
        <v>25000</v>
      </c>
      <c r="AT23" s="12"/>
      <c r="AV23" s="15"/>
      <c r="AW23" s="15">
        <f t="shared" si="9"/>
        <v>0</v>
      </c>
      <c r="AX23" s="15">
        <f t="shared" si="10"/>
        <v>0</v>
      </c>
      <c r="AY23" s="15">
        <f t="shared" si="11"/>
        <v>0</v>
      </c>
      <c r="AZ23" s="16">
        <f t="shared" si="15"/>
        <v>0</v>
      </c>
      <c r="BA23" s="58"/>
      <c r="BB23" s="58"/>
      <c r="BC23" s="15"/>
      <c r="BD23" s="57">
        <f t="shared" si="12"/>
        <v>0</v>
      </c>
      <c r="BE23" s="82"/>
      <c r="BF23" s="29">
        <f t="shared" si="6"/>
        <v>0</v>
      </c>
      <c r="BG23" s="29">
        <v>1</v>
      </c>
      <c r="BH23" s="15"/>
      <c r="BI23" s="15"/>
      <c r="BJ23" s="15"/>
      <c r="BK23" s="15"/>
      <c r="BL23" s="61"/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 t="shared" si="0"/>
        <v>0</v>
      </c>
      <c r="D24" s="9">
        <f>VLOOKUP(A24,[18]HISTOBQUENOV23!$A$6:$G$44,3,0)</f>
        <v>420000</v>
      </c>
      <c r="E24" s="9">
        <f>VLOOKUP(A24,[18]HISTOBQUENOV23!$A$6:$G$39,4,0)</f>
        <v>0</v>
      </c>
      <c r="F24" s="9">
        <f>VLOOKUP(A24,[18]HISTOBQUENOV23!$A$6:$G$39,5,0)</f>
        <v>0</v>
      </c>
      <c r="G24" s="5">
        <f t="shared" si="7"/>
        <v>0</v>
      </c>
      <c r="H24" s="10" t="str">
        <f t="shared" si="1"/>
        <v>BANQUE</v>
      </c>
      <c r="I24" s="10">
        <v>3000</v>
      </c>
      <c r="J24" s="11">
        <v>1</v>
      </c>
      <c r="K24" s="11">
        <f t="shared" si="13"/>
        <v>40000</v>
      </c>
      <c r="L24" s="6">
        <v>1</v>
      </c>
      <c r="M24" s="11">
        <f t="shared" si="2"/>
        <v>75000</v>
      </c>
      <c r="N24" s="6">
        <v>1</v>
      </c>
      <c r="O24" s="11">
        <f t="shared" si="3"/>
        <v>100000</v>
      </c>
      <c r="P24" s="2">
        <f>VLOOKUP($A24,[20]TONTNOV23!$A$6:$P$35,12,0)</f>
        <v>0</v>
      </c>
      <c r="Q24" s="2">
        <f>VLOOKUP($A24,[13]TONTNOV23!$A$6:$P$20,10,0)</f>
        <v>0</v>
      </c>
      <c r="R24" s="2">
        <f>VLOOKUP($A24,[19]TONTNOV23!$A$6:$P$21,10,0)</f>
        <v>202000</v>
      </c>
      <c r="S24" s="20"/>
      <c r="T24" s="12"/>
      <c r="U24" s="17">
        <f t="shared" si="14"/>
        <v>420000</v>
      </c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>
        <v>200000</v>
      </c>
      <c r="AL24" s="12"/>
      <c r="AM24" s="12"/>
      <c r="AN24" s="12">
        <v>2000</v>
      </c>
      <c r="AO24" s="12"/>
      <c r="AP24" s="12" t="s">
        <v>8</v>
      </c>
      <c r="AQ24" s="8">
        <f t="shared" si="4"/>
        <v>0</v>
      </c>
      <c r="AR24" s="8">
        <f t="shared" si="5"/>
        <v>0</v>
      </c>
      <c r="AS24" s="13">
        <f t="shared" si="8"/>
        <v>18000</v>
      </c>
      <c r="AT24" s="12"/>
      <c r="AV24" s="15"/>
      <c r="AW24" s="15">
        <f t="shared" si="9"/>
        <v>0</v>
      </c>
      <c r="AX24" s="15">
        <f t="shared" si="10"/>
        <v>0</v>
      </c>
      <c r="AY24" s="15">
        <f t="shared" si="11"/>
        <v>200000</v>
      </c>
      <c r="AZ24" s="16">
        <f t="shared" si="15"/>
        <v>200000</v>
      </c>
      <c r="BA24" s="58"/>
      <c r="BB24" s="58"/>
      <c r="BC24" s="15"/>
      <c r="BD24" s="57">
        <f t="shared" si="12"/>
        <v>200000</v>
      </c>
      <c r="BE24" s="82" t="s">
        <v>186</v>
      </c>
      <c r="BF24" s="29">
        <f t="shared" si="6"/>
        <v>0</v>
      </c>
      <c r="BG24" s="29">
        <v>1</v>
      </c>
      <c r="BH24" s="15"/>
      <c r="BI24" s="15"/>
      <c r="BJ24" s="15"/>
      <c r="BK24" s="15"/>
      <c r="BL24" s="61"/>
      <c r="BN24" t="s">
        <v>148</v>
      </c>
      <c r="BO24" t="s">
        <v>143</v>
      </c>
      <c r="BP24" s="6"/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 t="shared" si="0"/>
        <v>0</v>
      </c>
      <c r="D25" s="9">
        <f>VLOOKUP(A25,[18]HISTOBQUENOV23!$A$6:$G$44,3,0)</f>
        <v>500000</v>
      </c>
      <c r="E25" s="9">
        <f>VLOOKUP(A25,[18]HISTOBQUENOV23!$A$6:$G$39,4,0)</f>
        <v>0</v>
      </c>
      <c r="F25" s="9">
        <f>VLOOKUP(A25,[18]HISTOBQUENOV23!$A$6:$G$39,5,0)</f>
        <v>0</v>
      </c>
      <c r="G25" s="5">
        <f t="shared" si="7"/>
        <v>0</v>
      </c>
      <c r="H25" s="10" t="str">
        <f t="shared" si="1"/>
        <v>BANQUE</v>
      </c>
      <c r="I25" s="10">
        <v>8000</v>
      </c>
      <c r="J25" s="11">
        <v>1</v>
      </c>
      <c r="K25" s="11">
        <f t="shared" si="13"/>
        <v>40000</v>
      </c>
      <c r="L25" s="6">
        <v>2</v>
      </c>
      <c r="M25" s="11">
        <f t="shared" si="2"/>
        <v>150000</v>
      </c>
      <c r="N25" s="6">
        <v>1</v>
      </c>
      <c r="O25" s="11">
        <f t="shared" si="3"/>
        <v>100000</v>
      </c>
      <c r="P25" s="2">
        <f>VLOOKUP($A25,[20]TONTNOV23!$A$6:$P$35,12,0)</f>
        <v>0</v>
      </c>
      <c r="Q25" s="2">
        <f>VLOOKUP($A25,[13]TONTNOV23!$A$6:$P$20,10,0)</f>
        <v>0</v>
      </c>
      <c r="R25" s="2">
        <f>VLOOKUP($A25,[19]TONTNOV23!$A$6:$P$21,10,0)</f>
        <v>202000</v>
      </c>
      <c r="S25" s="20"/>
      <c r="T25" s="12"/>
      <c r="U25" s="17">
        <f t="shared" si="14"/>
        <v>500000</v>
      </c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>
        <v>200000</v>
      </c>
      <c r="AL25" s="12"/>
      <c r="AM25" s="12"/>
      <c r="AN25" s="12">
        <v>2000</v>
      </c>
      <c r="AO25" s="12"/>
      <c r="AP25" s="12" t="s">
        <v>8</v>
      </c>
      <c r="AQ25" s="8">
        <f t="shared" si="4"/>
        <v>0</v>
      </c>
      <c r="AR25" s="8">
        <f t="shared" si="5"/>
        <v>0</v>
      </c>
      <c r="AS25" s="13">
        <f t="shared" si="8"/>
        <v>23000</v>
      </c>
      <c r="AT25" s="12"/>
      <c r="AV25" s="15"/>
      <c r="AW25" s="15">
        <f t="shared" si="9"/>
        <v>0</v>
      </c>
      <c r="AX25" s="15">
        <f t="shared" si="10"/>
        <v>0</v>
      </c>
      <c r="AY25" s="15">
        <f t="shared" si="11"/>
        <v>200000</v>
      </c>
      <c r="AZ25" s="16">
        <f t="shared" si="15"/>
        <v>200000</v>
      </c>
      <c r="BA25" s="58"/>
      <c r="BB25" s="58"/>
      <c r="BC25" s="15"/>
      <c r="BD25" s="57">
        <f t="shared" si="12"/>
        <v>200000</v>
      </c>
      <c r="BE25" s="82" t="s">
        <v>186</v>
      </c>
      <c r="BF25" s="29">
        <f t="shared" si="6"/>
        <v>0</v>
      </c>
      <c r="BG25" s="29">
        <v>1</v>
      </c>
      <c r="BH25" s="15"/>
      <c r="BI25" s="15"/>
      <c r="BJ25" s="15"/>
      <c r="BK25" s="15"/>
      <c r="BL25" s="61"/>
      <c r="BN25" t="s">
        <v>125</v>
      </c>
      <c r="BO25" t="s">
        <v>143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 t="shared" si="0"/>
        <v>0</v>
      </c>
      <c r="D26" s="9">
        <f>VLOOKUP(A26,[18]HISTOBQUENOV23!$A$6:$G$44,3,0)</f>
        <v>0</v>
      </c>
      <c r="E26" s="9">
        <f>VLOOKUP(A26,[18]HISTOBQUENOV23!$A$6:$G$39,4,0)</f>
        <v>102000</v>
      </c>
      <c r="F26" s="9">
        <f>VLOOKUP(A26,[18]HISTOBQUENOV23!$A$6:$G$39,5,0)</f>
        <v>0</v>
      </c>
      <c r="G26" s="5">
        <f t="shared" si="7"/>
        <v>3000</v>
      </c>
      <c r="H26" s="10" t="str">
        <f t="shared" si="1"/>
        <v>ESPECES</v>
      </c>
      <c r="I26" s="10">
        <v>-2000</v>
      </c>
      <c r="J26" s="11">
        <v>1</v>
      </c>
      <c r="K26" s="11">
        <f t="shared" si="13"/>
        <v>40000</v>
      </c>
      <c r="L26" s="6"/>
      <c r="M26" s="11">
        <f t="shared" si="2"/>
        <v>0</v>
      </c>
      <c r="N26" s="6"/>
      <c r="O26" s="11">
        <f t="shared" si="3"/>
        <v>0</v>
      </c>
      <c r="P26" s="2">
        <f>VLOOKUP($A26,[20]TONTNOV23!$A$6:$P$35,12,0)</f>
        <v>61000</v>
      </c>
      <c r="Q26" s="2"/>
      <c r="R26" s="2"/>
      <c r="S26" s="20"/>
      <c r="T26" s="12"/>
      <c r="U26" s="17">
        <f t="shared" si="14"/>
        <v>102000</v>
      </c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8">
        <f t="shared" si="4"/>
        <v>0</v>
      </c>
      <c r="AR26" s="8">
        <f t="shared" si="5"/>
        <v>0</v>
      </c>
      <c r="AS26" s="13">
        <f t="shared" si="8"/>
        <v>13000</v>
      </c>
      <c r="AT26" s="12"/>
      <c r="AV26" s="15"/>
      <c r="AW26" s="15">
        <f t="shared" si="9"/>
        <v>0</v>
      </c>
      <c r="AX26" s="15">
        <f t="shared" si="10"/>
        <v>0</v>
      </c>
      <c r="AY26" s="15">
        <f t="shared" si="11"/>
        <v>0</v>
      </c>
      <c r="AZ26" s="16">
        <f t="shared" si="15"/>
        <v>0</v>
      </c>
      <c r="BA26" s="58"/>
      <c r="BB26" s="58"/>
      <c r="BC26" s="15"/>
      <c r="BD26" s="57">
        <f t="shared" si="12"/>
        <v>0</v>
      </c>
      <c r="BE26" s="82"/>
      <c r="BF26" s="29">
        <f t="shared" si="6"/>
        <v>0</v>
      </c>
      <c r="BG26" s="29">
        <v>1</v>
      </c>
      <c r="BH26" s="15"/>
      <c r="BI26" s="15"/>
      <c r="BJ26" s="15"/>
      <c r="BK26" s="15"/>
      <c r="BL26" s="61"/>
      <c r="BN26" t="s">
        <v>144</v>
      </c>
      <c r="BO26" t="s">
        <v>143</v>
      </c>
      <c r="BP26" s="62"/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 t="shared" si="0"/>
        <v>0</v>
      </c>
      <c r="D27" s="9">
        <f>VLOOKUP(A27,[18]HISTOBQUENOV23!$A$6:$G$44,3,0)</f>
        <v>50000</v>
      </c>
      <c r="E27" s="9">
        <f>VLOOKUP(A27,[18]HISTOBQUENOV23!$A$6:$G$39,4,0)</f>
        <v>0</v>
      </c>
      <c r="F27" s="9">
        <f>VLOOKUP(A27,[18]HISTOBQUENOV23!$A$6:$G$39,5,0)</f>
        <v>0</v>
      </c>
      <c r="G27" s="5">
        <f t="shared" si="7"/>
        <v>0</v>
      </c>
      <c r="H27" s="10" t="str">
        <f t="shared" si="1"/>
        <v>BANQUE</v>
      </c>
      <c r="I27" s="10">
        <v>10000</v>
      </c>
      <c r="J27" s="11">
        <v>1</v>
      </c>
      <c r="K27" s="11">
        <f t="shared" si="13"/>
        <v>40000</v>
      </c>
      <c r="L27" s="6"/>
      <c r="M27" s="11">
        <f t="shared" si="2"/>
        <v>0</v>
      </c>
      <c r="N27" s="6"/>
      <c r="O27" s="11">
        <f t="shared" si="3"/>
        <v>0</v>
      </c>
      <c r="P27" s="2">
        <f>VLOOKUP($A27,[20]TONTNOV23!$A$6:$P$35,12,0)</f>
        <v>0</v>
      </c>
      <c r="Q27" s="2"/>
      <c r="R27" s="2"/>
      <c r="S27" s="20"/>
      <c r="T27" s="12"/>
      <c r="U27" s="17">
        <f t="shared" si="14"/>
        <v>50000</v>
      </c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8">
        <f t="shared" si="4"/>
        <v>0</v>
      </c>
      <c r="AR27" s="8">
        <f t="shared" si="5"/>
        <v>0</v>
      </c>
      <c r="AS27" s="13">
        <f t="shared" si="8"/>
        <v>25000</v>
      </c>
      <c r="AT27" s="12"/>
      <c r="AV27" s="15"/>
      <c r="AW27" s="15">
        <f t="shared" si="9"/>
        <v>0</v>
      </c>
      <c r="AX27" s="15">
        <f t="shared" si="10"/>
        <v>0</v>
      </c>
      <c r="AY27" s="15">
        <f t="shared" si="11"/>
        <v>0</v>
      </c>
      <c r="AZ27" s="16">
        <f t="shared" si="15"/>
        <v>0</v>
      </c>
      <c r="BA27" s="58"/>
      <c r="BB27" s="58"/>
      <c r="BC27" s="15"/>
      <c r="BD27" s="57">
        <f t="shared" si="12"/>
        <v>0</v>
      </c>
      <c r="BE27" s="82"/>
      <c r="BF27" s="29">
        <f t="shared" si="6"/>
        <v>0</v>
      </c>
      <c r="BG27" s="29">
        <v>1</v>
      </c>
      <c r="BH27" s="15"/>
      <c r="BI27" s="15"/>
      <c r="BJ27" s="15"/>
      <c r="BK27" s="15"/>
      <c r="BL27" s="61"/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9">
        <f t="shared" si="0"/>
        <v>-70000</v>
      </c>
      <c r="D28" s="9">
        <f>VLOOKUP(A28,[18]HISTOBQUENOV23!$A$6:$G$44,3,0)</f>
        <v>115000</v>
      </c>
      <c r="E28" s="9">
        <f>VLOOKUP(A28,[18]HISTOBQUENOV23!$A$6:$G$39,4,0)</f>
        <v>0</v>
      </c>
      <c r="F28" s="9">
        <f>VLOOKUP(A28,[18]HISTOBQUENOV23!$A$6:$G$39,5,0)</f>
        <v>0</v>
      </c>
      <c r="G28" s="5">
        <f t="shared" si="7"/>
        <v>0</v>
      </c>
      <c r="H28" s="10" t="str">
        <f t="shared" si="1"/>
        <v>BANQUE</v>
      </c>
      <c r="I28" s="10"/>
      <c r="J28" s="11">
        <v>1</v>
      </c>
      <c r="K28" s="11">
        <f t="shared" si="13"/>
        <v>40000</v>
      </c>
      <c r="L28" s="6">
        <v>1</v>
      </c>
      <c r="M28" s="11">
        <f t="shared" si="2"/>
        <v>75000</v>
      </c>
      <c r="N28" s="6"/>
      <c r="O28" s="11">
        <f t="shared" si="3"/>
        <v>0</v>
      </c>
      <c r="P28" s="2">
        <f>VLOOKUP($A28,[20]TONTNOV23!$A$6:$P$35,12,0)</f>
        <v>0</v>
      </c>
      <c r="Q28" s="2">
        <f>VLOOKUP($A28,[13]TONTNOV23!$A$6:$P$20,10,0)</f>
        <v>0</v>
      </c>
      <c r="R28" s="2"/>
      <c r="S28" s="20"/>
      <c r="T28" s="12"/>
      <c r="U28" s="17">
        <f t="shared" si="14"/>
        <v>115000</v>
      </c>
      <c r="V28" s="12"/>
      <c r="W28" s="12"/>
      <c r="X28" s="12"/>
      <c r="Y28" s="12"/>
      <c r="Z28" s="12"/>
      <c r="AA28" s="12"/>
      <c r="AB28" s="12"/>
      <c r="AC28" s="12">
        <v>2500</v>
      </c>
      <c r="AD28" s="12">
        <v>7500</v>
      </c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8">
        <f t="shared" si="4"/>
        <v>0</v>
      </c>
      <c r="AR28" s="8">
        <f t="shared" si="5"/>
        <v>0</v>
      </c>
      <c r="AS28" s="13">
        <f t="shared" si="8"/>
        <v>15000</v>
      </c>
      <c r="AT28" s="12"/>
      <c r="AV28" s="15"/>
      <c r="AW28" s="15">
        <f t="shared" si="9"/>
        <v>297500</v>
      </c>
      <c r="AX28" s="15">
        <f t="shared" si="10"/>
        <v>892500</v>
      </c>
      <c r="AY28" s="15">
        <f t="shared" si="11"/>
        <v>0</v>
      </c>
      <c r="AZ28" s="16">
        <f>SUM(AV28:AY28)-BF28+Z28-F28+BH28+BI28+BJ28+BK28+BL28+BM28-500000-30000-115000</f>
        <v>545000</v>
      </c>
      <c r="BA28" s="58"/>
      <c r="BB28" s="58">
        <v>70000</v>
      </c>
      <c r="BC28" s="15"/>
      <c r="BD28" s="57">
        <f t="shared" si="12"/>
        <v>475000</v>
      </c>
      <c r="BE28" s="82" t="s">
        <v>186</v>
      </c>
      <c r="BF28" s="29">
        <f t="shared" si="6"/>
        <v>0</v>
      </c>
      <c r="BG28" s="29">
        <v>1</v>
      </c>
      <c r="BH28" s="15"/>
      <c r="BI28" s="15"/>
      <c r="BJ28" s="15"/>
      <c r="BK28" s="15"/>
      <c r="BL28" s="61"/>
      <c r="BN28" s="62" t="s">
        <v>142</v>
      </c>
      <c r="BP28" s="62">
        <f>SUM(BP24:BP26)</f>
        <v>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 t="shared" si="0"/>
        <v>0</v>
      </c>
      <c r="D29" s="9">
        <f>VLOOKUP(A29,[18]HISTOBQUENOV23!$A$6:$G$44,3,0)</f>
        <v>40000</v>
      </c>
      <c r="E29" s="9">
        <f>VLOOKUP(A29,[18]HISTOBQUENOV23!$A$6:$G$39,4,0)</f>
        <v>0</v>
      </c>
      <c r="F29" s="9">
        <f>VLOOKUP(A29,[18]HISTOBQUENOV23!$A$6:$G$39,5,0)</f>
        <v>0</v>
      </c>
      <c r="G29" s="5">
        <f t="shared" si="7"/>
        <v>0</v>
      </c>
      <c r="H29" s="10" t="str">
        <f t="shared" si="1"/>
        <v>BANQUE</v>
      </c>
      <c r="I29" s="10"/>
      <c r="J29" s="11">
        <v>1</v>
      </c>
      <c r="K29" s="11">
        <f t="shared" si="13"/>
        <v>40000</v>
      </c>
      <c r="L29" s="6"/>
      <c r="M29" s="11">
        <f t="shared" si="2"/>
        <v>0</v>
      </c>
      <c r="N29" s="6"/>
      <c r="O29" s="11">
        <f t="shared" si="3"/>
        <v>0</v>
      </c>
      <c r="P29" s="2">
        <f>VLOOKUP($A29,[20]TONTNOV23!$A$6:$P$35,12,0)</f>
        <v>0</v>
      </c>
      <c r="Q29" s="2"/>
      <c r="R29" s="2"/>
      <c r="S29" s="20"/>
      <c r="T29" s="12"/>
      <c r="U29" s="17">
        <f t="shared" si="14"/>
        <v>40000</v>
      </c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8">
        <f t="shared" si="4"/>
        <v>0</v>
      </c>
      <c r="AR29" s="8">
        <f t="shared" si="5"/>
        <v>0</v>
      </c>
      <c r="AS29" s="13">
        <f t="shared" si="8"/>
        <v>15000</v>
      </c>
      <c r="AT29" s="12"/>
      <c r="AV29" s="15"/>
      <c r="AW29" s="15">
        <f t="shared" si="9"/>
        <v>0</v>
      </c>
      <c r="AX29" s="15">
        <f t="shared" si="10"/>
        <v>0</v>
      </c>
      <c r="AY29" s="15">
        <f t="shared" si="11"/>
        <v>0</v>
      </c>
      <c r="AZ29" s="16">
        <f t="shared" si="15"/>
        <v>0</v>
      </c>
      <c r="BA29" s="58"/>
      <c r="BB29" s="58"/>
      <c r="BC29" s="15"/>
      <c r="BD29" s="57">
        <f t="shared" si="12"/>
        <v>0</v>
      </c>
      <c r="BE29" s="82"/>
      <c r="BF29" s="29">
        <f t="shared" si="6"/>
        <v>0</v>
      </c>
      <c r="BG29" s="29">
        <v>1</v>
      </c>
      <c r="BH29" s="15"/>
      <c r="BI29" s="15"/>
      <c r="BJ29" s="15"/>
      <c r="BK29" s="15"/>
      <c r="BL29" s="61"/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 t="shared" si="0"/>
        <v>0</v>
      </c>
      <c r="D30" s="9">
        <f>VLOOKUP(A30,[18]HISTOBQUENOV23!$A$6:$G$44,3,0)</f>
        <v>115000</v>
      </c>
      <c r="E30" s="9">
        <f>VLOOKUP(A30,[18]HISTOBQUENOV23!$A$6:$G$39,4,0)</f>
        <v>0</v>
      </c>
      <c r="F30" s="9">
        <f>VLOOKUP(A30,[18]HISTOBQUENOV23!$A$6:$G$39,5,0)</f>
        <v>0</v>
      </c>
      <c r="G30" s="5">
        <f t="shared" si="7"/>
        <v>0</v>
      </c>
      <c r="H30" s="10" t="str">
        <f t="shared" si="1"/>
        <v>BANQUE</v>
      </c>
      <c r="I30" s="10"/>
      <c r="J30" s="11">
        <v>1</v>
      </c>
      <c r="K30" s="11">
        <f t="shared" si="13"/>
        <v>40000</v>
      </c>
      <c r="L30" s="6">
        <v>1</v>
      </c>
      <c r="M30" s="11">
        <f t="shared" si="2"/>
        <v>75000</v>
      </c>
      <c r="N30" s="6"/>
      <c r="O30" s="11">
        <f t="shared" si="3"/>
        <v>0</v>
      </c>
      <c r="P30" s="2">
        <f>VLOOKUP($A30,[20]TONTNOV23!$A$6:$P$35,12,0)</f>
        <v>0</v>
      </c>
      <c r="Q30" s="2">
        <f>VLOOKUP($A30,[13]TONTNOV23!$A$6:$P$20,10,0)</f>
        <v>0</v>
      </c>
      <c r="R30" s="2"/>
      <c r="S30" s="20"/>
      <c r="T30" s="12"/>
      <c r="U30" s="17">
        <f t="shared" si="14"/>
        <v>115000</v>
      </c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8">
        <f t="shared" si="4"/>
        <v>0</v>
      </c>
      <c r="AR30" s="8">
        <f t="shared" si="5"/>
        <v>0</v>
      </c>
      <c r="AS30" s="13">
        <f t="shared" si="8"/>
        <v>15000</v>
      </c>
      <c r="AT30" s="12"/>
      <c r="AV30" s="15"/>
      <c r="AW30" s="15">
        <f t="shared" si="9"/>
        <v>0</v>
      </c>
      <c r="AX30" s="15">
        <f t="shared" si="10"/>
        <v>0</v>
      </c>
      <c r="AY30" s="15">
        <f t="shared" si="11"/>
        <v>0</v>
      </c>
      <c r="AZ30" s="16">
        <f t="shared" si="15"/>
        <v>0</v>
      </c>
      <c r="BA30" s="58"/>
      <c r="BB30" s="58"/>
      <c r="BC30" s="15"/>
      <c r="BD30" s="57">
        <f t="shared" si="12"/>
        <v>0</v>
      </c>
      <c r="BE30" s="82"/>
      <c r="BF30" s="29">
        <f t="shared" si="6"/>
        <v>0</v>
      </c>
      <c r="BG30" s="29">
        <v>1</v>
      </c>
      <c r="BH30" s="15"/>
      <c r="BI30" s="15"/>
      <c r="BJ30" s="15"/>
      <c r="BK30" s="15"/>
      <c r="BL30" s="61"/>
      <c r="BN30" t="s">
        <v>128</v>
      </c>
      <c r="BO30" t="s">
        <v>50</v>
      </c>
      <c r="BP30" s="6"/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 t="shared" si="0"/>
        <v>0</v>
      </c>
      <c r="D31" s="9">
        <f>VLOOKUP(A31,[18]HISTOBQUENOV23!$A$6:$G$44,3,0)</f>
        <v>171000</v>
      </c>
      <c r="E31" s="9">
        <f>VLOOKUP(A31,[18]HISTOBQUENOV23!$A$6:$G$39,4,0)</f>
        <v>0</v>
      </c>
      <c r="F31" s="9">
        <f>VLOOKUP(A31,[18]HISTOBQUENOV23!$A$6:$G$39,5,0)</f>
        <v>0</v>
      </c>
      <c r="G31" s="5">
        <f t="shared" si="7"/>
        <v>0</v>
      </c>
      <c r="H31" s="10" t="str">
        <f t="shared" si="1"/>
        <v>BANQUE</v>
      </c>
      <c r="I31" s="10">
        <v>500</v>
      </c>
      <c r="J31" s="11">
        <v>1</v>
      </c>
      <c r="K31" s="11">
        <f t="shared" si="13"/>
        <v>40000</v>
      </c>
      <c r="L31" s="6"/>
      <c r="M31" s="11">
        <f t="shared" si="2"/>
        <v>0</v>
      </c>
      <c r="N31" s="6">
        <v>1</v>
      </c>
      <c r="O31" s="11">
        <f t="shared" si="3"/>
        <v>100000</v>
      </c>
      <c r="P31" s="2">
        <f>VLOOKUP($A31,[20]TONTNOV23!$A$6:$P$35,12,0)</f>
        <v>30500</v>
      </c>
      <c r="Q31" s="2"/>
      <c r="R31" s="2">
        <f>VLOOKUP($A31,[19]TONTNOV23!$A$6:$P$21,10,0)</f>
        <v>0</v>
      </c>
      <c r="S31" s="20"/>
      <c r="T31" s="12"/>
      <c r="U31" s="17">
        <f t="shared" si="14"/>
        <v>171000</v>
      </c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>
        <v>30000</v>
      </c>
      <c r="AL31" s="12"/>
      <c r="AM31" s="12"/>
      <c r="AN31" s="12">
        <v>1000</v>
      </c>
      <c r="AO31" s="12"/>
      <c r="AP31" s="12"/>
      <c r="AQ31" s="8">
        <f t="shared" si="4"/>
        <v>0</v>
      </c>
      <c r="AR31" s="8">
        <f t="shared" si="5"/>
        <v>0</v>
      </c>
      <c r="AS31" s="13">
        <f t="shared" si="8"/>
        <v>15500</v>
      </c>
      <c r="AT31" s="12"/>
      <c r="AV31" s="15"/>
      <c r="AW31" s="15">
        <f t="shared" si="9"/>
        <v>0</v>
      </c>
      <c r="AX31" s="15">
        <f t="shared" si="10"/>
        <v>0</v>
      </c>
      <c r="AY31" s="15">
        <f t="shared" si="11"/>
        <v>30000</v>
      </c>
      <c r="AZ31" s="16">
        <f t="shared" si="15"/>
        <v>30000</v>
      </c>
      <c r="BA31" s="58">
        <v>30000</v>
      </c>
      <c r="BB31" s="58"/>
      <c r="BC31" s="15"/>
      <c r="BD31" s="57">
        <f t="shared" si="12"/>
        <v>0</v>
      </c>
      <c r="BE31" s="82" t="s">
        <v>186</v>
      </c>
      <c r="BF31" s="29">
        <f t="shared" si="6"/>
        <v>0</v>
      </c>
      <c r="BG31" s="29">
        <v>1</v>
      </c>
      <c r="BH31" s="15"/>
      <c r="BI31" s="15"/>
      <c r="BJ31" s="15"/>
      <c r="BK31" s="15"/>
      <c r="BL31" s="61"/>
      <c r="BN31" t="s">
        <v>129</v>
      </c>
      <c r="BO31" t="s">
        <v>50</v>
      </c>
      <c r="BP31" s="6"/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 t="shared" si="0"/>
        <v>0</v>
      </c>
      <c r="D32" s="9">
        <f>VLOOKUP(A32,[18]HISTOBQUENOV23!$A$6:$G$44,3,0)</f>
        <v>115000</v>
      </c>
      <c r="E32" s="9">
        <f>VLOOKUP(A32,[18]HISTOBQUENOV23!$A$6:$G$39,4,0)</f>
        <v>0</v>
      </c>
      <c r="F32" s="9">
        <f>VLOOKUP(A32,[18]HISTOBQUENOV23!$A$6:$G$39,5,0)</f>
        <v>0</v>
      </c>
      <c r="G32" s="5">
        <f t="shared" si="7"/>
        <v>0</v>
      </c>
      <c r="H32" s="10" t="str">
        <f t="shared" si="1"/>
        <v>BANQUE</v>
      </c>
      <c r="I32" s="10"/>
      <c r="J32" s="11">
        <v>1</v>
      </c>
      <c r="K32" s="11">
        <f t="shared" si="13"/>
        <v>40000</v>
      </c>
      <c r="L32" s="6">
        <v>1</v>
      </c>
      <c r="M32" s="11">
        <f t="shared" si="2"/>
        <v>75000</v>
      </c>
      <c r="N32" s="6"/>
      <c r="O32" s="11">
        <f t="shared" si="3"/>
        <v>0</v>
      </c>
      <c r="P32" s="2">
        <f>VLOOKUP($A32,[20]TONTNOV23!$A$6:$P$35,12,0)</f>
        <v>0</v>
      </c>
      <c r="Q32" s="2">
        <f>VLOOKUP($A32,[13]TONTNOV23!$A$6:$P$20,10,0)</f>
        <v>0</v>
      </c>
      <c r="R32" s="2"/>
      <c r="S32" s="20"/>
      <c r="T32" s="12"/>
      <c r="U32" s="17">
        <f t="shared" si="14"/>
        <v>115000</v>
      </c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>
        <v>100000</v>
      </c>
      <c r="AK32" s="12"/>
      <c r="AL32" s="12"/>
      <c r="AM32" s="12">
        <v>1000</v>
      </c>
      <c r="AN32" s="12"/>
      <c r="AO32" s="12"/>
      <c r="AP32" s="12" t="s">
        <v>8</v>
      </c>
      <c r="AQ32" s="8">
        <f t="shared" si="4"/>
        <v>0</v>
      </c>
      <c r="AR32" s="8">
        <f t="shared" si="5"/>
        <v>0</v>
      </c>
      <c r="AS32" s="13">
        <f t="shared" si="8"/>
        <v>15000</v>
      </c>
      <c r="AT32" s="12"/>
      <c r="AV32" s="15"/>
      <c r="AW32" s="15">
        <f t="shared" si="9"/>
        <v>0</v>
      </c>
      <c r="AX32" s="15">
        <f t="shared" si="10"/>
        <v>100000</v>
      </c>
      <c r="AY32" s="15">
        <f t="shared" si="11"/>
        <v>0</v>
      </c>
      <c r="AZ32" s="16">
        <f t="shared" si="15"/>
        <v>100000</v>
      </c>
      <c r="BA32" s="58"/>
      <c r="BB32" s="58"/>
      <c r="BC32" s="15"/>
      <c r="BD32" s="57">
        <f t="shared" si="12"/>
        <v>100000</v>
      </c>
      <c r="BE32" s="82" t="s">
        <v>186</v>
      </c>
      <c r="BF32" s="29">
        <f t="shared" si="6"/>
        <v>0</v>
      </c>
      <c r="BG32" s="29">
        <v>1</v>
      </c>
      <c r="BH32" s="15"/>
      <c r="BI32" s="15"/>
      <c r="BJ32" s="15"/>
      <c r="BK32" s="15"/>
      <c r="BL32" s="61"/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9">
        <f t="shared" si="0"/>
        <v>80000</v>
      </c>
      <c r="D33" s="9">
        <f>VLOOKUP(A33,[18]HISTOBQUENOV23!$A$6:$G$44,3,0)</f>
        <v>120000</v>
      </c>
      <c r="E33" s="9">
        <f>VLOOKUP(A33,[18]HISTOBQUENOV23!$A$6:$G$39,4,0)</f>
        <v>0</v>
      </c>
      <c r="F33" s="9">
        <f>VLOOKUP(A33,[18]HISTOBQUENOV23!$A$6:$G$39,5,0)</f>
        <v>0</v>
      </c>
      <c r="G33" s="5">
        <f>IF(H33="ESPECES",3000,0)+12000</f>
        <v>12000</v>
      </c>
      <c r="H33" s="10" t="str">
        <f t="shared" si="1"/>
        <v>BANQUE</v>
      </c>
      <c r="I33" s="10">
        <v>-12000</v>
      </c>
      <c r="J33" s="11">
        <v>1</v>
      </c>
      <c r="K33" s="11">
        <f t="shared" si="13"/>
        <v>40000</v>
      </c>
      <c r="L33" s="6"/>
      <c r="M33" s="11">
        <f t="shared" si="2"/>
        <v>0</v>
      </c>
      <c r="N33" s="6"/>
      <c r="O33" s="11">
        <f t="shared" si="3"/>
        <v>0</v>
      </c>
      <c r="P33" s="2">
        <f>VLOOKUP($A33,[20]TONTNOV23!$A$6:$P$35,12,0)</f>
        <v>0</v>
      </c>
      <c r="Q33" s="2"/>
      <c r="R33" s="2"/>
      <c r="S33" s="20"/>
      <c r="T33" s="12"/>
      <c r="U33" s="17">
        <f t="shared" si="14"/>
        <v>40000</v>
      </c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8">
        <f t="shared" si="4"/>
        <v>0</v>
      </c>
      <c r="AR33" s="8">
        <f t="shared" si="5"/>
        <v>0</v>
      </c>
      <c r="AS33" s="13">
        <f t="shared" si="8"/>
        <v>3000</v>
      </c>
      <c r="AT33" s="12"/>
      <c r="AV33" s="15"/>
      <c r="AW33" s="15">
        <f t="shared" si="9"/>
        <v>0</v>
      </c>
      <c r="AX33" s="15">
        <f t="shared" si="10"/>
        <v>0</v>
      </c>
      <c r="AY33" s="15">
        <f t="shared" si="11"/>
        <v>0</v>
      </c>
      <c r="AZ33" s="16">
        <f t="shared" si="15"/>
        <v>0</v>
      </c>
      <c r="BA33" s="58"/>
      <c r="BB33" s="58"/>
      <c r="BC33" s="15"/>
      <c r="BD33" s="57">
        <f t="shared" si="12"/>
        <v>0</v>
      </c>
      <c r="BE33" s="82"/>
      <c r="BF33" s="29">
        <f t="shared" si="6"/>
        <v>0</v>
      </c>
      <c r="BG33" s="29">
        <v>1</v>
      </c>
      <c r="BH33" s="15"/>
      <c r="BI33" s="15"/>
      <c r="BJ33" s="15"/>
      <c r="BK33" s="15"/>
      <c r="BL33" s="61"/>
      <c r="BN33" s="62" t="s">
        <v>142</v>
      </c>
      <c r="BP33" s="62">
        <f>SUM(BP30:BP32)</f>
        <v>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 t="shared" si="0"/>
        <v>0</v>
      </c>
      <c r="D34" s="9">
        <f>VLOOKUP(A34,[18]HISTOBQUENOV23!$A$6:$G$44,3,0)</f>
        <v>70000</v>
      </c>
      <c r="E34" s="9">
        <f>VLOOKUP(A34,[18]HISTOBQUENOV23!$A$6:$G$39,4,0)</f>
        <v>0</v>
      </c>
      <c r="F34" s="9">
        <f>VLOOKUP(A34,[18]HISTOBQUENOV23!$A$6:$G$39,5,0)</f>
        <v>0</v>
      </c>
      <c r="G34" s="5">
        <f t="shared" si="7"/>
        <v>0</v>
      </c>
      <c r="H34" s="10" t="str">
        <f t="shared" si="1"/>
        <v>BANQUE</v>
      </c>
      <c r="I34" s="10">
        <v>30000</v>
      </c>
      <c r="J34" s="11">
        <v>1</v>
      </c>
      <c r="K34" s="11">
        <f t="shared" si="13"/>
        <v>40000</v>
      </c>
      <c r="L34" s="6"/>
      <c r="M34" s="11">
        <f t="shared" si="2"/>
        <v>0</v>
      </c>
      <c r="N34" s="6"/>
      <c r="O34" s="11">
        <f t="shared" si="3"/>
        <v>0</v>
      </c>
      <c r="P34" s="2">
        <f>VLOOKUP($A34,[20]TONTNOV23!$A$6:$P$35,12,0)</f>
        <v>0</v>
      </c>
      <c r="Q34" s="2"/>
      <c r="R34" s="2"/>
      <c r="S34" s="20"/>
      <c r="T34" s="12"/>
      <c r="U34" s="17">
        <f t="shared" si="14"/>
        <v>70000</v>
      </c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8">
        <f t="shared" si="4"/>
        <v>0</v>
      </c>
      <c r="AR34" s="8">
        <f t="shared" si="5"/>
        <v>0</v>
      </c>
      <c r="AS34" s="13">
        <f t="shared" si="8"/>
        <v>45000</v>
      </c>
      <c r="AT34" s="12"/>
      <c r="AV34" s="15"/>
      <c r="AW34" s="15">
        <f t="shared" si="9"/>
        <v>0</v>
      </c>
      <c r="AX34" s="15">
        <f t="shared" si="10"/>
        <v>0</v>
      </c>
      <c r="AY34" s="15">
        <f t="shared" si="11"/>
        <v>0</v>
      </c>
      <c r="AZ34" s="16">
        <f t="shared" si="15"/>
        <v>0</v>
      </c>
      <c r="BA34" s="58"/>
      <c r="BB34" s="58"/>
      <c r="BC34" s="15"/>
      <c r="BD34" s="57">
        <f t="shared" si="12"/>
        <v>0</v>
      </c>
      <c r="BE34" s="82"/>
      <c r="BF34" s="29">
        <f t="shared" si="6"/>
        <v>0</v>
      </c>
      <c r="BG34" s="29">
        <v>1</v>
      </c>
      <c r="BH34" s="15"/>
      <c r="BI34" s="15"/>
      <c r="BJ34" s="15"/>
      <c r="BK34" s="15"/>
      <c r="BL34" s="61"/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 t="shared" si="0"/>
        <v>0</v>
      </c>
      <c r="D35" s="9">
        <f>VLOOKUP(A35,[18]HISTOBQUENOV23!$A$6:$G$44,3,0)</f>
        <v>0</v>
      </c>
      <c r="E35" s="9">
        <f>VLOOKUP(A35,[18]HISTOBQUENOV23!$A$6:$G$39,4,0)</f>
        <v>40000</v>
      </c>
      <c r="F35" s="9">
        <f>VLOOKUP(A35,[18]HISTOBQUENOV23!$A$6:$G$39,5,0)</f>
        <v>0</v>
      </c>
      <c r="G35" s="5">
        <f t="shared" si="7"/>
        <v>3000</v>
      </c>
      <c r="H35" s="10" t="str">
        <f t="shared" si="1"/>
        <v>ESPECES</v>
      </c>
      <c r="I35" s="10">
        <v>-3000</v>
      </c>
      <c r="J35" s="11">
        <v>1</v>
      </c>
      <c r="K35" s="11">
        <f t="shared" si="13"/>
        <v>40000</v>
      </c>
      <c r="L35" s="6"/>
      <c r="M35" s="11">
        <f t="shared" si="2"/>
        <v>0</v>
      </c>
      <c r="N35" s="6"/>
      <c r="O35" s="11">
        <f t="shared" si="3"/>
        <v>0</v>
      </c>
      <c r="P35" s="2">
        <f>VLOOKUP($A35,[20]TONTNOV23!$A$6:$P$35,12,0)</f>
        <v>0</v>
      </c>
      <c r="Q35" s="2"/>
      <c r="R35" s="2"/>
      <c r="S35" s="20"/>
      <c r="T35" s="12"/>
      <c r="U35" s="17">
        <f t="shared" si="14"/>
        <v>40000</v>
      </c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8">
        <f t="shared" si="4"/>
        <v>0</v>
      </c>
      <c r="AR35" s="8">
        <f t="shared" si="5"/>
        <v>0</v>
      </c>
      <c r="AS35" s="13">
        <f t="shared" si="8"/>
        <v>12000</v>
      </c>
      <c r="AT35" s="12"/>
      <c r="AV35" s="15"/>
      <c r="AW35" s="15">
        <f t="shared" si="9"/>
        <v>0</v>
      </c>
      <c r="AX35" s="15">
        <f t="shared" si="10"/>
        <v>0</v>
      </c>
      <c r="AY35" s="15">
        <f t="shared" si="11"/>
        <v>0</v>
      </c>
      <c r="AZ35" s="16">
        <f t="shared" si="15"/>
        <v>0</v>
      </c>
      <c r="BA35" s="58"/>
      <c r="BB35" s="58"/>
      <c r="BC35" s="15"/>
      <c r="BD35" s="57">
        <f t="shared" si="12"/>
        <v>0</v>
      </c>
      <c r="BE35" s="82"/>
      <c r="BF35" s="29">
        <f t="shared" si="6"/>
        <v>0</v>
      </c>
      <c r="BG35" s="29">
        <v>1</v>
      </c>
      <c r="BH35" s="15"/>
      <c r="BI35" s="15"/>
      <c r="BJ35" s="15"/>
      <c r="BK35" s="15"/>
      <c r="BL35" s="61"/>
      <c r="BN35" t="s">
        <v>126</v>
      </c>
      <c r="BO35" t="s">
        <v>126</v>
      </c>
      <c r="BP35" s="6">
        <f>100000+10000</f>
        <v>110000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9">
        <f t="shared" si="0"/>
        <v>-70000</v>
      </c>
      <c r="D36" s="9">
        <f>VLOOKUP(A36,[18]HISTOBQUENOV23!$A$6:$G$44,3,0)</f>
        <v>593000</v>
      </c>
      <c r="E36" s="9">
        <f>VLOOKUP(A36,[18]HISTOBQUENOV23!$A$6:$G$39,4,0)</f>
        <v>0</v>
      </c>
      <c r="F36" s="9">
        <f>VLOOKUP(A36,[18]HISTOBQUENOV23!$A$6:$G$39,5,0)</f>
        <v>0</v>
      </c>
      <c r="G36" s="5">
        <f t="shared" si="7"/>
        <v>0</v>
      </c>
      <c r="H36" s="10" t="str">
        <f t="shared" si="1"/>
        <v>BANQUE</v>
      </c>
      <c r="I36" s="10"/>
      <c r="J36" s="11">
        <v>1</v>
      </c>
      <c r="K36" s="11">
        <f t="shared" si="13"/>
        <v>40000</v>
      </c>
      <c r="L36" s="6">
        <v>2</v>
      </c>
      <c r="M36" s="11">
        <f t="shared" si="2"/>
        <v>150000</v>
      </c>
      <c r="N36" s="6">
        <v>1</v>
      </c>
      <c r="O36" s="11">
        <f t="shared" si="3"/>
        <v>100000</v>
      </c>
      <c r="P36" s="2">
        <f>VLOOKUP($A36,[20]TONTNOV23!$A$6:$P$35,12,0)</f>
        <v>0</v>
      </c>
      <c r="Q36" s="2">
        <f>VLOOKUP($A36,[13]TONTNOV23!$A$6:$P$20,10,0)</f>
        <v>0</v>
      </c>
      <c r="R36" s="2">
        <f>VLOOKUP($A36,[19]TONTNOV23!$A$6:$P$21,10,0)</f>
        <v>0</v>
      </c>
      <c r="S36" s="20">
        <v>303000</v>
      </c>
      <c r="T36" s="12" t="s">
        <v>8</v>
      </c>
      <c r="U36" s="17">
        <f t="shared" si="14"/>
        <v>593000</v>
      </c>
      <c r="V36" s="12"/>
      <c r="W36" s="12"/>
      <c r="X36" s="12"/>
      <c r="Y36" s="12"/>
      <c r="Z36" s="12"/>
      <c r="AA36" s="12"/>
      <c r="AB36" s="12"/>
      <c r="AC36" s="12">
        <v>2500</v>
      </c>
      <c r="AD36" s="12">
        <v>7500</v>
      </c>
      <c r="AE36" s="12"/>
      <c r="AF36" s="12"/>
      <c r="AG36" s="12"/>
      <c r="AH36" s="12"/>
      <c r="AI36" s="11"/>
      <c r="AJ36" s="11"/>
      <c r="AK36" s="11"/>
      <c r="AL36" s="11"/>
      <c r="AM36" s="11"/>
      <c r="AN36" s="11"/>
      <c r="AO36" s="11"/>
      <c r="AP36" s="12"/>
      <c r="AQ36" s="8">
        <f t="shared" si="4"/>
        <v>0</v>
      </c>
      <c r="AR36" s="8">
        <f t="shared" si="5"/>
        <v>0</v>
      </c>
      <c r="AS36" s="13">
        <f t="shared" si="8"/>
        <v>15000</v>
      </c>
      <c r="AT36" s="12"/>
      <c r="AV36" s="15"/>
      <c r="AW36" s="15">
        <f t="shared" si="9"/>
        <v>297500</v>
      </c>
      <c r="AX36" s="15">
        <f t="shared" si="10"/>
        <v>892500</v>
      </c>
      <c r="AY36" s="15">
        <f t="shared" si="11"/>
        <v>0</v>
      </c>
      <c r="AZ36" s="16">
        <f t="shared" si="15"/>
        <v>1190000</v>
      </c>
      <c r="BA36" s="58"/>
      <c r="BB36" s="58">
        <v>70000</v>
      </c>
      <c r="BC36" s="15"/>
      <c r="BD36" s="57">
        <f t="shared" si="12"/>
        <v>1120000</v>
      </c>
      <c r="BE36" s="82" t="s">
        <v>186</v>
      </c>
      <c r="BF36" s="29">
        <f t="shared" si="6"/>
        <v>0</v>
      </c>
      <c r="BG36" s="29">
        <v>1</v>
      </c>
      <c r="BH36" s="15"/>
      <c r="BI36" s="15"/>
      <c r="BJ36" s="15"/>
      <c r="BK36" s="15"/>
      <c r="BL36" s="15"/>
      <c r="BN36" t="s">
        <v>127</v>
      </c>
      <c r="BO36" t="s">
        <v>126</v>
      </c>
      <c r="BP36" s="6"/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16">SUM(C6:C37)</f>
        <v>-266500</v>
      </c>
      <c r="D38" s="5">
        <f t="shared" si="16"/>
        <v>5960500</v>
      </c>
      <c r="E38" s="5">
        <f t="shared" si="16"/>
        <v>142000</v>
      </c>
      <c r="F38" s="5">
        <f t="shared" si="16"/>
        <v>0</v>
      </c>
      <c r="G38" s="5">
        <f t="shared" si="16"/>
        <v>18000</v>
      </c>
      <c r="H38" s="5">
        <f t="shared" si="16"/>
        <v>0</v>
      </c>
      <c r="I38" s="5">
        <f t="shared" si="16"/>
        <v>84500</v>
      </c>
      <c r="J38" s="5">
        <f t="shared" si="16"/>
        <v>30</v>
      </c>
      <c r="K38" s="5">
        <f t="shared" si="16"/>
        <v>1200000</v>
      </c>
      <c r="L38" s="5">
        <f t="shared" si="16"/>
        <v>17</v>
      </c>
      <c r="M38" s="5">
        <f t="shared" si="16"/>
        <v>1275000</v>
      </c>
      <c r="N38" s="5">
        <f t="shared" si="16"/>
        <v>14</v>
      </c>
      <c r="O38" s="5">
        <f t="shared" si="16"/>
        <v>1400000</v>
      </c>
      <c r="P38" s="5">
        <f t="shared" si="16"/>
        <v>150000</v>
      </c>
      <c r="Q38" s="5">
        <f t="shared" si="16"/>
        <v>380000</v>
      </c>
      <c r="R38" s="5">
        <f t="shared" si="16"/>
        <v>1212000</v>
      </c>
      <c r="S38" s="5">
        <f t="shared" si="16"/>
        <v>439500</v>
      </c>
      <c r="T38" s="5"/>
      <c r="U38" s="5">
        <f t="shared" ref="U38:AA38" si="17">SUM(U6:U37)</f>
        <v>6159000</v>
      </c>
      <c r="V38" s="5">
        <f t="shared" si="17"/>
        <v>0</v>
      </c>
      <c r="W38" s="5">
        <f t="shared" si="17"/>
        <v>0</v>
      </c>
      <c r="X38" s="5">
        <f t="shared" si="17"/>
        <v>0</v>
      </c>
      <c r="Y38" s="5">
        <f t="shared" si="17"/>
        <v>0</v>
      </c>
      <c r="Z38" s="5">
        <f t="shared" si="17"/>
        <v>0</v>
      </c>
      <c r="AA38" s="5">
        <f t="shared" si="17"/>
        <v>0</v>
      </c>
      <c r="AB38" s="5"/>
      <c r="AC38" s="5">
        <f>SUM(AC6:AC37)</f>
        <v>7500</v>
      </c>
      <c r="AD38" s="5">
        <f>SUM(AD6:AD37)</f>
        <v>15000</v>
      </c>
      <c r="AE38" s="5">
        <f>SUM(AE6:AE37)</f>
        <v>0</v>
      </c>
      <c r="AF38" s="5">
        <f>SUM(AF6:AF37)</f>
        <v>0</v>
      </c>
      <c r="AG38" s="5">
        <f>SUM(AG6:AG37)</f>
        <v>0</v>
      </c>
      <c r="AH38" s="5"/>
      <c r="AI38" s="5">
        <f t="shared" ref="AI38:BD38" si="18">SUM(AI6:AI37)</f>
        <v>58000</v>
      </c>
      <c r="AJ38" s="5">
        <f t="shared" si="18"/>
        <v>829000</v>
      </c>
      <c r="AK38" s="5">
        <f t="shared" si="18"/>
        <v>1136000</v>
      </c>
      <c r="AL38" s="5">
        <f t="shared" si="18"/>
        <v>1500</v>
      </c>
      <c r="AM38" s="5">
        <f t="shared" si="18"/>
        <v>10000</v>
      </c>
      <c r="AN38" s="5">
        <f t="shared" si="18"/>
        <v>18000</v>
      </c>
      <c r="AO38" s="5"/>
      <c r="AP38" s="5"/>
      <c r="AQ38" s="5">
        <f t="shared" si="18"/>
        <v>0</v>
      </c>
      <c r="AR38" s="5">
        <f t="shared" si="18"/>
        <v>0</v>
      </c>
      <c r="AS38" s="5">
        <f t="shared" si="18"/>
        <v>534500</v>
      </c>
      <c r="AT38" s="5">
        <f t="shared" si="18"/>
        <v>0</v>
      </c>
      <c r="AU38" s="5">
        <f t="shared" si="18"/>
        <v>0</v>
      </c>
      <c r="AV38" s="5">
        <f t="shared" si="18"/>
        <v>0</v>
      </c>
      <c r="AW38" s="5">
        <f t="shared" si="18"/>
        <v>950500</v>
      </c>
      <c r="AX38" s="5">
        <f t="shared" si="18"/>
        <v>2614000</v>
      </c>
      <c r="AY38" s="5">
        <f t="shared" si="18"/>
        <v>1136000</v>
      </c>
      <c r="AZ38" s="5">
        <f t="shared" si="18"/>
        <v>1968500</v>
      </c>
      <c r="BA38" s="5">
        <f t="shared" si="18"/>
        <v>127500</v>
      </c>
      <c r="BB38" s="5">
        <f t="shared" si="18"/>
        <v>210000</v>
      </c>
      <c r="BC38" s="5">
        <f t="shared" si="18"/>
        <v>0</v>
      </c>
      <c r="BD38" s="5">
        <f t="shared" si="18"/>
        <v>1631000</v>
      </c>
      <c r="BE38" s="5"/>
      <c r="BF38" s="5">
        <f>SUM(BF6:BF37)</f>
        <v>0</v>
      </c>
      <c r="BH38" s="5">
        <f t="shared" ref="BH38:BL38" si="19">SUM(BH6:BH37)</f>
        <v>6000</v>
      </c>
      <c r="BI38" s="5">
        <f t="shared" si="19"/>
        <v>0</v>
      </c>
      <c r="BJ38" s="5">
        <f t="shared" si="19"/>
        <v>0</v>
      </c>
      <c r="BK38" s="5">
        <f t="shared" si="19"/>
        <v>110000</v>
      </c>
      <c r="BL38" s="5">
        <f t="shared" si="19"/>
        <v>0</v>
      </c>
      <c r="BM38" s="5">
        <f>SUM(BM6:BM37)</f>
        <v>0</v>
      </c>
      <c r="BN38" s="62" t="s">
        <v>142</v>
      </c>
      <c r="BP38" s="62">
        <f>SUM(BP35:BP36)</f>
        <v>110000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116000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1968500</v>
      </c>
      <c r="D43" s="9">
        <f>SUMIFS(D8:D38,H8:H38,"BANQUE")</f>
        <v>5717500</v>
      </c>
      <c r="F43" s="9">
        <f>E38</f>
        <v>142000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5011000</v>
      </c>
    </row>
  </sheetData>
  <autoFilter ref="A5:AF36"/>
  <mergeCells count="1">
    <mergeCell ref="B4:M4"/>
  </mergeCells>
  <dataValidations count="1">
    <dataValidation type="list" allowBlank="1" showInputMessage="1" showErrorMessage="1" sqref="T6:T36 AP6:AP36 AF6:AF36 AA6:AA36">
      <formula1>MODEVERSEMENTS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81"/>
  <sheetViews>
    <sheetView zoomScaleNormal="100" workbookViewId="0">
      <pane xSplit="4" ySplit="5" topLeftCell="R12" activePane="bottomRight" state="frozen"/>
      <selection activeCell="C36" sqref="C36"/>
      <selection pane="topRight" activeCell="C36" sqref="C36"/>
      <selection pane="bottomLeft" activeCell="C36" sqref="C36"/>
      <selection pane="bottomRight" activeCell="A16" sqref="A16:XFD16"/>
    </sheetView>
  </sheetViews>
  <sheetFormatPr baseColWidth="10" defaultRowHeight="15" x14ac:dyDescent="0.25"/>
  <cols>
    <col min="1" max="1" width="13.85546875" bestFit="1" customWidth="1"/>
    <col min="2" max="2" width="35.140625" bestFit="1" customWidth="1"/>
    <col min="3" max="3" width="20" customWidth="1"/>
    <col min="4" max="4" width="17.5703125" bestFit="1" customWidth="1"/>
    <col min="5" max="7" width="17.5703125" customWidth="1"/>
    <col min="8" max="9" width="16.28515625" customWidth="1"/>
    <col min="10" max="10" width="14.140625" bestFit="1" customWidth="1"/>
    <col min="11" max="11" width="15" bestFit="1" customWidth="1"/>
    <col min="12" max="12" width="11.28515625" customWidth="1"/>
    <col min="13" max="13" width="15" bestFit="1" customWidth="1"/>
    <col min="14" max="14" width="11.28515625" customWidth="1"/>
    <col min="15" max="15" width="15" bestFit="1" customWidth="1"/>
    <col min="16" max="16" width="16" customWidth="1"/>
    <col min="17" max="17" width="19.42578125" customWidth="1"/>
    <col min="18" max="18" width="16" customWidth="1"/>
    <col min="19" max="19" width="15.140625" bestFit="1" customWidth="1"/>
    <col min="20" max="20" width="16.140625" customWidth="1"/>
    <col min="21" max="21" width="20.42578125" customWidth="1"/>
    <col min="22" max="22" width="14.42578125" bestFit="1" customWidth="1"/>
    <col min="24" max="25" width="13.85546875" customWidth="1"/>
    <col min="26" max="26" width="16.28515625" customWidth="1"/>
    <col min="27" max="27" width="13.85546875" customWidth="1"/>
    <col min="28" max="28" width="18.28515625" bestFit="1" customWidth="1"/>
    <col min="29" max="29" width="22.5703125" customWidth="1"/>
    <col min="30" max="31" width="19" customWidth="1"/>
    <col min="32" max="34" width="16.140625" customWidth="1"/>
    <col min="35" max="40" width="16" customWidth="1"/>
    <col min="41" max="41" width="15.28515625" customWidth="1"/>
    <col min="45" max="46" width="12.42578125" bestFit="1" customWidth="1"/>
    <col min="49" max="51" width="15" customWidth="1"/>
    <col min="52" max="52" width="16.85546875" bestFit="1" customWidth="1"/>
    <col min="53" max="53" width="15" bestFit="1" customWidth="1"/>
    <col min="54" max="55" width="12.42578125" customWidth="1"/>
    <col min="56" max="56" width="16.85546875" bestFit="1" customWidth="1"/>
    <col min="58" max="58" width="15" bestFit="1" customWidth="1"/>
    <col min="60" max="60" width="12.42578125" bestFit="1" customWidth="1"/>
    <col min="61" max="62" width="15" bestFit="1" customWidth="1"/>
    <col min="63" max="64" width="12.42578125" bestFit="1" customWidth="1"/>
    <col min="65" max="65" width="14.85546875" customWidth="1"/>
    <col min="67" max="67" width="28.42578125" bestFit="1" customWidth="1"/>
    <col min="68" max="68" width="27.85546875" bestFit="1" customWidth="1"/>
    <col min="69" max="69" width="21.42578125" bestFit="1" customWidth="1"/>
  </cols>
  <sheetData>
    <row r="1" spans="1:68" x14ac:dyDescent="0.25">
      <c r="A1" s="1" t="s">
        <v>2</v>
      </c>
      <c r="B1" s="1" t="s">
        <v>3</v>
      </c>
      <c r="C1" s="1"/>
    </row>
    <row r="2" spans="1:68" x14ac:dyDescent="0.25">
      <c r="A2" s="1" t="s">
        <v>4</v>
      </c>
      <c r="B2" s="1">
        <v>2023</v>
      </c>
      <c r="C2" s="1"/>
    </row>
    <row r="3" spans="1:68" x14ac:dyDescent="0.25">
      <c r="A3" s="1">
        <v>1</v>
      </c>
      <c r="B3" s="2">
        <v>2</v>
      </c>
      <c r="C3" s="1">
        <v>3</v>
      </c>
      <c r="D3" s="2">
        <v>4</v>
      </c>
      <c r="E3" s="1">
        <v>5</v>
      </c>
      <c r="F3" s="2">
        <v>6</v>
      </c>
      <c r="G3" s="1">
        <v>7</v>
      </c>
      <c r="H3" s="2">
        <v>8</v>
      </c>
      <c r="I3" s="1">
        <v>9</v>
      </c>
      <c r="J3" s="2">
        <v>10</v>
      </c>
      <c r="K3" s="1">
        <v>11</v>
      </c>
      <c r="L3" s="2">
        <v>12</v>
      </c>
      <c r="M3" s="1">
        <v>13</v>
      </c>
      <c r="N3" s="2">
        <v>14</v>
      </c>
      <c r="O3" s="1">
        <v>15</v>
      </c>
      <c r="P3" s="2">
        <v>16</v>
      </c>
      <c r="Q3" s="1">
        <v>17</v>
      </c>
      <c r="R3" s="2">
        <v>18</v>
      </c>
      <c r="S3" s="1">
        <v>19</v>
      </c>
      <c r="T3" s="2">
        <v>20</v>
      </c>
      <c r="U3" s="1">
        <v>21</v>
      </c>
      <c r="V3" s="2">
        <v>22</v>
      </c>
      <c r="W3" s="1">
        <v>23</v>
      </c>
      <c r="X3" s="2">
        <v>24</v>
      </c>
      <c r="Y3" s="1">
        <v>25</v>
      </c>
      <c r="Z3" s="2">
        <v>26</v>
      </c>
      <c r="AA3" s="1">
        <v>27</v>
      </c>
      <c r="AB3" s="2">
        <v>28</v>
      </c>
      <c r="AC3" s="1">
        <v>29</v>
      </c>
      <c r="AD3" s="2">
        <v>30</v>
      </c>
      <c r="AE3" s="1">
        <v>31</v>
      </c>
      <c r="AF3" s="2">
        <v>32</v>
      </c>
      <c r="AG3" s="1">
        <v>33</v>
      </c>
      <c r="AH3" s="2">
        <v>34</v>
      </c>
      <c r="AI3" s="1">
        <v>35</v>
      </c>
      <c r="AJ3" s="2">
        <v>36</v>
      </c>
      <c r="AK3" s="1">
        <v>37</v>
      </c>
      <c r="AL3" s="2">
        <v>38</v>
      </c>
      <c r="AM3" s="1">
        <v>39</v>
      </c>
      <c r="AN3" s="2">
        <v>40</v>
      </c>
      <c r="AO3" s="1">
        <v>41</v>
      </c>
      <c r="AP3" s="2">
        <v>42</v>
      </c>
      <c r="AQ3" s="1">
        <v>43</v>
      </c>
      <c r="AR3" s="2">
        <v>44</v>
      </c>
      <c r="AS3" s="1">
        <v>45</v>
      </c>
      <c r="AT3" s="2">
        <v>46</v>
      </c>
      <c r="AU3" s="1">
        <v>47</v>
      </c>
      <c r="AV3" s="2">
        <v>48</v>
      </c>
      <c r="AW3" s="1">
        <v>49</v>
      </c>
      <c r="AX3" s="2">
        <v>50</v>
      </c>
      <c r="AY3" s="1">
        <v>51</v>
      </c>
      <c r="AZ3" s="2">
        <v>52</v>
      </c>
      <c r="BA3" s="1">
        <v>53</v>
      </c>
      <c r="BB3" s="2">
        <v>54</v>
      </c>
      <c r="BC3" s="1">
        <v>55</v>
      </c>
      <c r="BD3" s="2">
        <v>56</v>
      </c>
      <c r="BE3" s="1">
        <v>57</v>
      </c>
      <c r="BF3" s="2">
        <v>58</v>
      </c>
      <c r="BG3" s="1">
        <v>59</v>
      </c>
      <c r="BH3" s="2">
        <v>60</v>
      </c>
      <c r="BI3" s="1">
        <v>61</v>
      </c>
      <c r="BJ3" s="2">
        <v>62</v>
      </c>
      <c r="BK3" s="1">
        <v>63</v>
      </c>
      <c r="BL3" s="2">
        <v>64</v>
      </c>
      <c r="BM3" s="1">
        <v>65</v>
      </c>
      <c r="BN3" s="2">
        <v>66</v>
      </c>
      <c r="BO3" s="1">
        <v>67</v>
      </c>
      <c r="BP3" s="2">
        <v>68</v>
      </c>
    </row>
    <row r="4" spans="1:68" ht="28.5" x14ac:dyDescent="0.45">
      <c r="B4" s="90" t="s">
        <v>43</v>
      </c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W4" s="8"/>
      <c r="AX4" s="8"/>
      <c r="AY4" s="8"/>
    </row>
    <row r="5" spans="1:68" ht="68.25" customHeight="1" x14ac:dyDescent="0.25">
      <c r="A5" s="1" t="s">
        <v>0</v>
      </c>
      <c r="B5" s="1" t="s">
        <v>1</v>
      </c>
      <c r="C5" s="1" t="s">
        <v>47</v>
      </c>
      <c r="D5" s="4" t="s">
        <v>72</v>
      </c>
      <c r="E5" s="4" t="s">
        <v>71</v>
      </c>
      <c r="F5" s="4" t="s">
        <v>73</v>
      </c>
      <c r="G5" s="4" t="s">
        <v>45</v>
      </c>
      <c r="H5" s="4" t="s">
        <v>48</v>
      </c>
      <c r="I5" s="4" t="s">
        <v>68</v>
      </c>
      <c r="J5" s="4" t="s">
        <v>46</v>
      </c>
      <c r="K5" s="4" t="s">
        <v>156</v>
      </c>
      <c r="L5" s="4" t="s">
        <v>46</v>
      </c>
      <c r="M5" s="4" t="s">
        <v>5</v>
      </c>
      <c r="N5" s="4" t="s">
        <v>46</v>
      </c>
      <c r="O5" s="4" t="s">
        <v>6</v>
      </c>
      <c r="P5" s="4" t="s">
        <v>165</v>
      </c>
      <c r="Q5" s="4" t="s">
        <v>10</v>
      </c>
      <c r="R5" s="4" t="s">
        <v>11</v>
      </c>
      <c r="S5" s="4" t="s">
        <v>85</v>
      </c>
      <c r="T5" s="4" t="s">
        <v>84</v>
      </c>
      <c r="U5" s="4" t="s">
        <v>58</v>
      </c>
      <c r="V5" s="4" t="s">
        <v>7</v>
      </c>
      <c r="W5" s="4" t="s">
        <v>51</v>
      </c>
      <c r="X5" s="4" t="s">
        <v>59</v>
      </c>
      <c r="Y5" s="4" t="s">
        <v>60</v>
      </c>
      <c r="Z5" s="4" t="s">
        <v>52</v>
      </c>
      <c r="AA5" s="4" t="s">
        <v>61</v>
      </c>
      <c r="AB5" s="4" t="s">
        <v>57</v>
      </c>
      <c r="AC5" s="4" t="s">
        <v>162</v>
      </c>
      <c r="AD5" s="4" t="s">
        <v>42</v>
      </c>
      <c r="AE5" s="4" t="s">
        <v>62</v>
      </c>
      <c r="AF5" s="4" t="s">
        <v>49</v>
      </c>
      <c r="AG5" s="4" t="s">
        <v>57</v>
      </c>
      <c r="AH5" s="4" t="s">
        <v>45</v>
      </c>
      <c r="AI5" s="4" t="s">
        <v>163</v>
      </c>
      <c r="AJ5" s="4" t="s">
        <v>53</v>
      </c>
      <c r="AK5" s="4" t="s">
        <v>54</v>
      </c>
      <c r="AL5" s="4" t="s">
        <v>164</v>
      </c>
      <c r="AM5" s="4" t="s">
        <v>55</v>
      </c>
      <c r="AN5" s="4" t="s">
        <v>56</v>
      </c>
      <c r="AO5" s="4" t="s">
        <v>57</v>
      </c>
      <c r="AP5" s="4" t="s">
        <v>63</v>
      </c>
      <c r="AQ5" s="4" t="s">
        <v>64</v>
      </c>
      <c r="AR5" s="4" t="s">
        <v>65</v>
      </c>
      <c r="AS5" s="4" t="s">
        <v>69</v>
      </c>
      <c r="AT5" s="4" t="s">
        <v>50</v>
      </c>
      <c r="AU5" s="4" t="s">
        <v>70</v>
      </c>
      <c r="AV5" s="4" t="s">
        <v>86</v>
      </c>
      <c r="AW5" s="4" t="s">
        <v>166</v>
      </c>
      <c r="AX5" s="4" t="s">
        <v>83</v>
      </c>
      <c r="AY5" s="4" t="s">
        <v>81</v>
      </c>
      <c r="AZ5" s="4" t="s">
        <v>82</v>
      </c>
      <c r="BA5" s="4" t="s">
        <v>87</v>
      </c>
      <c r="BB5" s="4" t="s">
        <v>109</v>
      </c>
      <c r="BC5" s="4" t="s">
        <v>138</v>
      </c>
      <c r="BD5" s="4" t="s">
        <v>133</v>
      </c>
      <c r="BE5" s="4" t="s">
        <v>90</v>
      </c>
      <c r="BF5" s="4" t="s">
        <v>139</v>
      </c>
      <c r="BG5" s="4" t="s">
        <v>140</v>
      </c>
      <c r="BH5" s="4" t="s">
        <v>153</v>
      </c>
      <c r="BI5" s="4" t="s">
        <v>152</v>
      </c>
      <c r="BJ5" s="4" t="s">
        <v>150</v>
      </c>
      <c r="BK5" s="4" t="s">
        <v>151</v>
      </c>
      <c r="BL5" s="59" t="s">
        <v>141</v>
      </c>
      <c r="BM5" s="4" t="s">
        <v>155</v>
      </c>
      <c r="BN5" s="4" t="s">
        <v>74</v>
      </c>
      <c r="BO5" s="60" t="s">
        <v>146</v>
      </c>
      <c r="BP5" s="1" t="s">
        <v>154</v>
      </c>
    </row>
    <row r="6" spans="1:68" ht="18.75" x14ac:dyDescent="0.3">
      <c r="A6" s="1" t="s">
        <v>108</v>
      </c>
      <c r="B6" s="1" t="str">
        <f>VLOOKUP(A6,[17]LISTADHERENT!A$5:H$39,3,0)</f>
        <v>ASELBY</v>
      </c>
      <c r="C6" s="5">
        <f>HISTOJANV23!C6+HISTOFEV23!C6+HISTOMARS23!C6+HISTOAVRIL23!C6+HISTOMAI23!C6+HISTOJUIN23!C6+HISTOJUIL23!C6+HISTOAOUT23!C6+HISTOSEPT23!C6+HISTOOCT23!C6+HISTONOV23!C6+HISTODEC23!C6</f>
        <v>0</v>
      </c>
      <c r="D6" s="5">
        <f>HISTOJANV23!D6+HISTOFEV23!D6+HISTOMARS23!D6+HISTOAVRIL23!D6+HISTOMAI23!D6+HISTOJUIN23!D6+HISTOJUIL23!D6+HISTOAOUT23!D6+HISTOSEPT23!D6+HISTOOCT23!D6+HISTONOV23!D6+HISTODEC23!D6</f>
        <v>2100000</v>
      </c>
      <c r="E6" s="5">
        <f>HISTOJANV23!E6+HISTOFEV23!E6+HISTOMARS23!E6+HISTOAVRIL23!E6+HISTOMAI23!E6+HISTOJUIN23!E6+HISTOJUIL23!E6+HISTOAOUT23!E6+HISTOSEPT23!E6+HISTOOCT23!E6+HISTONOV23!E6+HISTODEC23!E6</f>
        <v>0</v>
      </c>
      <c r="F6" s="5">
        <f>HISTOJANV23!F6+HISTOFEV23!F6+HISTOMARS23!F6+HISTOAVRIL23!F6+HISTOMAI23!F6+HISTOJUIN23!F6+HISTOJUIL23!F6+HISTOAOUT23!F6+HISTOSEPT23!F6+HISTOOCT23!F6+HISTONOV23!F6+HISTODEC23!F6</f>
        <v>0</v>
      </c>
      <c r="G6" s="5">
        <f>HISTOJANV23!G6+HISTOFEV23!G6+HISTOMARS23!G6+HISTOAVRIL23!G6+HISTOMAI23!G6+HISTOJUIN23!G6+HISTOJUIL23!G6+HISTOAOUT23!G6+HISTOSEPT23!G6+HISTOOCT23!G6+HISTONOV23!G6+HISTODEC23!G6</f>
        <v>0</v>
      </c>
      <c r="H6" s="10" t="str">
        <f t="shared" ref="H6:H36" si="0">IF($D6&lt;&gt;0,"BANQUE",IF($E6&lt;&gt;0,"ESPECES","ECHEC"))</f>
        <v>BANQUE</v>
      </c>
      <c r="I6" s="5">
        <f>HISTOJANV23!I6+HISTOFEV23!I6+HISTOMARS23!I6+HISTOAVRIL23!I6+HISTOMAI23!I6+HISTOJUIN23!I6+HISTOJUIL23!I6+HISTOAOUT23!I6+HISTOSEPT23!I6+HISTOOCT23!I6+HISTONOV23!I6+HISTODEC23!I6</f>
        <v>0</v>
      </c>
      <c r="J6" s="5">
        <f>HISTOJANV23!J6+HISTOFEV23!J6+HISTOMARS23!J6+HISTOAVRIL23!J6+HISTOMAI23!J6+HISTOJUIN23!J6+HISTOJUIL23!J6+HISTOAOUT23!J6+HISTOSEPT23!J6+HISTOOCT23!J6+HISTONOV23!J6+HISTODEC23!J6</f>
        <v>0</v>
      </c>
      <c r="K6" s="5">
        <f>HISTOJANV23!K6+HISTOFEV23!K6+HISTOMARS23!K6+HISTOAVRIL23!K6+HISTOMAI23!K6+HISTOJUIN23!K6+HISTOJUIL23!K6+HISTOAOUT23!K6+HISTOSEPT23!K6+HISTOOCT23!K6+HISTONOV23!K6+HISTODEC23!K6</f>
        <v>0</v>
      </c>
      <c r="L6" s="5">
        <f>HISTOJANV23!L6+HISTOFEV23!L6+HISTOMARS23!L6+HISTOAVRIL23!L6+HISTOMAI23!L6+HISTOJUIN23!L6+HISTOJUIL23!L6+HISTOAOUT23!L6+HISTOSEPT23!L6+HISTOOCT23!L6+HISTONOV23!L6+HISTODEC23!L6</f>
        <v>12</v>
      </c>
      <c r="M6" s="5">
        <f>HISTOJANV23!M6+HISTOFEV23!M6+HISTOMARS23!M6+HISTOAVRIL23!M6+HISTOMAI23!M6+HISTOJUIN23!M6+HISTOJUIL23!M6+HISTOAOUT23!M6+HISTOSEPT23!M6+HISTOOCT23!M6+HISTONOV23!M6+HISTODEC23!M6</f>
        <v>900000</v>
      </c>
      <c r="N6" s="5">
        <f>HISTOJANV23!N6+HISTOFEV23!N6+HISTOMARS23!N6+HISTOAVRIL23!N6+HISTOMAI23!N6+HISTOJUIN23!N6+HISTOJUIL23!N6+HISTOAOUT23!N6+HISTOSEPT23!N6+HISTOOCT23!N6+HISTONOV23!N6+HISTODEC23!N6</f>
        <v>12</v>
      </c>
      <c r="O6" s="5">
        <f>HISTOJANV23!O6+HISTOFEV23!O6+HISTOMARS23!O6+HISTOAVRIL23!O6+HISTOMAI23!O6+HISTOJUIN23!O6+HISTOJUIL23!O6+HISTOAOUT23!O6+HISTOSEPT23!O6+HISTOOCT23!O6+HISTONOV23!O6+HISTODEC23!O6</f>
        <v>1200000</v>
      </c>
      <c r="P6" s="5">
        <f>HISTOJANV23!P6+HISTOFEV23!P6+HISTOMARS23!P6+HISTOAVRIL23!P6+HISTOMAI23!P6+HISTOJUIN23!P6+HISTOJUIL23!P6+HISTOAOUT23!P6+HISTOSEPT23!P6+HISTOOCT23!P6+HISTONOV23!P6+HISTODEC23!P6</f>
        <v>0</v>
      </c>
      <c r="Q6" s="5">
        <f>HISTOJANV23!Q6+HISTOFEV23!Q6+HISTOMARS23!Q6+HISTOAVRIL23!Q6+HISTOMAI23!Q6+HISTOJUIN23!Q6+HISTOJUIL23!Q6+HISTOAOUT23!Q6+HISTOSEPT23!Q6+HISTOOCT23!Q6+HISTONOV23!Q6+HISTODEC23!Q6</f>
        <v>0</v>
      </c>
      <c r="R6" s="5">
        <f>HISTOJANV23!R6+HISTOFEV23!R6+HISTOMARS23!R6+HISTOAVRIL23!R6+HISTOMAI23!R6+HISTOJUIN23!R6+HISTOJUIL23!R6+HISTOAOUT23!R6+HISTOSEPT23!R6+HISTOOCT23!R6+HISTONOV23!R6+HISTODEC23!R6</f>
        <v>0</v>
      </c>
      <c r="S6" s="5">
        <f>HISTOJANV23!S6+HISTOFEV23!S6+HISTOMARS23!S6+HISTOAVRIL23!S6+HISTOMAI23!S6+HISTOJUIN23!S6+HISTOJUIL23!S6+HISTOAOUT23!S6+HISTOSEPT23!S6+HISTOOCT23!S6+HISTONOV23!S6+HISTODEC23!S6</f>
        <v>0</v>
      </c>
      <c r="T6" s="5">
        <f>HISTOJANV23!T6+HISTOFEV23!T6+HISTOMARS23!T6+HISTOAVRIL23!T6+HISTOMAI23!T6+HISTOJUIN23!T6+HISTOJUIL23!T6+HISTOAOUT23!T6+HISTOSEPT23!T6+HISTOOCT23!T6+HISTONOV23!T6+HISTODEC23!T6</f>
        <v>0</v>
      </c>
      <c r="U6" s="17">
        <f>G6+S6++R6+P6+O6+M6+I6+K6+Q6+V6+W6</f>
        <v>2100000</v>
      </c>
      <c r="V6" s="5">
        <f>HISTOJANV23!V6+HISTOFEV23!V6+HISTOMARS23!V6+HISTOAVRIL23!V6+HISTOMAI23!V6+HISTOJUIN23!V6+HISTOJUIL23!V6+HISTOAOUT23!V6+HISTOSEPT23!V6+HISTOOCT23!V6+HISTONOV23!V6+HISTODEC23!V6</f>
        <v>0</v>
      </c>
      <c r="W6" s="5">
        <f>HISTOJANV23!W6+HISTOFEV23!W6+HISTOMARS23!W6+HISTOAVRIL23!W6+HISTOMAI23!W6+HISTOJUIN23!W6+HISTOJUIL23!W6+HISTOAOUT23!W6+HISTOSEPT23!W6+HISTOOCT23!W6+HISTONOV23!W6+HISTODEC23!W6</f>
        <v>0</v>
      </c>
      <c r="X6" s="5">
        <f>HISTOJANV23!X6+HISTOFEV23!X6+HISTOMARS23!X6+HISTOAVRIL23!X6+HISTOMAI23!X6+HISTOJUIN23!X6+HISTOJUIL23!X6+HISTOAOUT23!X6+HISTOSEPT23!X6+HISTOOCT23!X6+HISTONOV23!X6+HISTODEC23!X6</f>
        <v>0</v>
      </c>
      <c r="Y6" s="5">
        <f>HISTOJANV23!Y6+HISTOFEV23!Y6+HISTOMARS23!Y6+HISTOAVRIL23!Y6+HISTOMAI23!Y6+HISTOJUIN23!Y6+HISTOJUIL23!Y6+HISTOAOUT23!Y6+HISTOSEPT23!Y6+HISTOOCT23!Y6+HISTONOV23!Y6+HISTODEC23!Y6</f>
        <v>0</v>
      </c>
      <c r="Z6" s="5">
        <f>HISTOJANV23!Z6+HISTOFEV23!Z6+HISTOMARS23!Z6+HISTOAVRIL23!Z6+HISTOMAI23!Z6+HISTOJUIN23!Z6+HISTOJUIL23!Z6+HISTOAOUT23!Z6+HISTOSEPT23!Z6+HISTOOCT23!Z6+HISTONOV23!Z6+HISTODEC23!Z6</f>
        <v>0</v>
      </c>
      <c r="AA6" s="5">
        <f>HISTOJANV23!AA6+HISTOFEV23!AA6+HISTOMARS23!AA6+HISTOAVRIL23!AA6+HISTOMAI23!AA6+HISTOJUIN23!AA6+HISTOJUIL23!AA6+HISTOAOUT23!AA6+HISTOSEPT23!AA6+HISTOOCT23!AA6+HISTONOV23!AA6+HISTODEC23!AA6</f>
        <v>0</v>
      </c>
      <c r="AB6" s="5">
        <f>HISTOJANV23!AB6+HISTOFEV23!AB6+HISTOMARS23!AB6+HISTOAVRIL23!AB6+HISTOMAI23!AB6+HISTOJUIN23!AB6+HISTOJUIL23!AB6+HISTOAOUT23!AB6+HISTOSEPT23!AB6+HISTOOCT23!AB6+HISTONOV23!AB6+HISTODEC23!AB6</f>
        <v>0</v>
      </c>
      <c r="AC6" s="5">
        <f>HISTOJANV23!AC6+HISTOFEV23!AC6+HISTOMARS23!AC6+HISTOAVRIL23!AC6+HISTOMAI23!AC6+HISTOJUIN23!AC6+HISTOJUIL23!AC6+HISTOAOUT23!AC6+HISTOSEPT23!AC6+HISTOOCT23!AC6+HISTONOV23!AC6+HISTODEC23!AC6</f>
        <v>0</v>
      </c>
      <c r="AD6" s="5">
        <f>HISTOJANV23!AD6+HISTOFEV23!AD6+HISTOMARS23!AD6+HISTOAVRIL23!AD6+HISTOMAI23!AD6+HISTOJUIN23!AD6+HISTOJUIL23!AD6+HISTOAOUT23!AD6+HISTOSEPT23!AD6+HISTOOCT23!AD6+HISTONOV23!AD6+HISTODEC23!AD6</f>
        <v>7500</v>
      </c>
      <c r="AE6" s="5">
        <f>HISTOJANV23!AE6+HISTOFEV23!AE6+HISTOMARS23!AE6+HISTOAVRIL23!AE6+HISTOMAI23!AE6+HISTOJUIN23!AE6+HISTOJUIL23!AE6+HISTOAOUT23!AE6+HISTOSEPT23!AE6+HISTOOCT23!AE6+HISTONOV23!AE6+HISTODEC23!AE6</f>
        <v>10000</v>
      </c>
      <c r="AF6" s="5">
        <f>HISTOJANV23!AF6+HISTOFEV23!AF6+HISTOMARS23!AF6+HISTOAVRIL23!AF6+HISTOMAI23!AF6+HISTOJUIN23!AF6+HISTOJUIL23!AF6+HISTOAOUT23!AF6+HISTOSEPT23!AF6+HISTOOCT23!AF6+HISTONOV23!AF6+HISTODEC23!AF6</f>
        <v>0</v>
      </c>
      <c r="AG6" s="5">
        <f>HISTOJANV23!AG6+HISTOFEV23!AG6+HISTOMARS23!AG6+HISTOAVRIL23!AG6+HISTOMAI23!AG6+HISTOJUIN23!AG6+HISTOJUIL23!AG6+HISTOAOUT23!AG6+HISTOSEPT23!AG6+HISTOOCT23!AG6+HISTONOV23!AG6+HISTODEC23!AG6</f>
        <v>0</v>
      </c>
      <c r="AH6" s="5">
        <f>HISTOJANV23!AH6+HISTOFEV23!AH6+HISTOMARS23!AH6+HISTOAVRIL23!AH6+HISTOMAI23!AH6+HISTOJUIN23!AH6+HISTOJUIL23!AH6+HISTOAOUT23!AH6+HISTOSEPT23!AH6+HISTOOCT23!AH6+HISTONOV23!AH6+HISTODEC23!AH6</f>
        <v>0</v>
      </c>
      <c r="AI6" s="5">
        <f>HISTOJANV23!AI6+HISTOFEV23!AI6+HISTOMARS23!AI6+HISTOAVRIL23!AI6+HISTOMAI23!AI6+HISTOJUIN23!AI6+HISTOJUIL23!AI6+HISTOAOUT23!AI6+HISTOSEPT23!AI6+HISTOOCT23!AI6+HISTONOV23!AI6+HISTODEC23!AI6</f>
        <v>0</v>
      </c>
      <c r="AJ6" s="5">
        <f>HISTOJANV23!AJ6+HISTOFEV23!AJ6+HISTOMARS23!AJ6+HISTOAVRIL23!AJ6+HISTOMAI23!AJ6+HISTOJUIN23!AJ6+HISTOJUIL23!AJ6+HISTOAOUT23!AJ6+HISTOSEPT23!AJ6+HISTOOCT23!AJ6+HISTONOV23!AJ6+HISTODEC23!AJ6</f>
        <v>0</v>
      </c>
      <c r="AK6" s="5">
        <f>HISTOJANV23!AK6+HISTOFEV23!AK6+HISTOMARS23!AK6+HISTOAVRIL23!AK6+HISTOMAI23!AK6+HISTOJUIN23!AK6+HISTOJUIL23!AK6+HISTOAOUT23!AK6+HISTOSEPT23!AK6+HISTOOCT23!AK6+HISTONOV23!AK6+HISTODEC23!AK6</f>
        <v>0</v>
      </c>
      <c r="AL6" s="5">
        <f>HISTOJANV23!AL6+HISTOFEV23!AL6+HISTOMARS23!AL6+HISTOAVRIL23!AL6+HISTOMAI23!AL6+HISTOJUIN23!AL6+HISTOJUIL23!AL6+HISTOAOUT23!AL6+HISTOSEPT23!AL6+HISTOOCT23!AL6+HISTONOV23!AL6+HISTODEC23!AL6</f>
        <v>0</v>
      </c>
      <c r="AM6" s="5">
        <f>HISTOJANV23!AM6+HISTOFEV23!AM6+HISTOMARS23!AM6+HISTOAVRIL23!AM6+HISTOMAI23!AM6+HISTOJUIN23!AM6+HISTOJUIL23!AM6+HISTOAOUT23!AM6+HISTOSEPT23!AM6+HISTOOCT23!AM6+HISTONOV23!AM6+HISTODEC23!AM6</f>
        <v>0</v>
      </c>
      <c r="AN6" s="5">
        <f>HISTOJANV23!AN6+HISTOFEV23!AN6+HISTOMARS23!AN6+HISTOAVRIL23!AN6+HISTOMAI23!AN6+HISTOJUIN23!AN6+HISTOJUIL23!AN6+HISTOAOUT23!AN6+HISTOSEPT23!AN6+HISTOOCT23!AN6+HISTONOV23!AN6+HISTODEC23!AN6</f>
        <v>0</v>
      </c>
      <c r="AO6" s="5">
        <f>HISTOJANV23!AO6+HISTOFEV23!AO6+HISTOMARS23!AO6+HISTOAVRIL23!AO6+HISTOMAI23!AO6+HISTOJUIN23!AO6+HISTOJUIL23!AO6+HISTOAOUT23!AO6+HISTOSEPT23!AO6+HISTOOCT23!AO6+HISTONOV23!AO6+HISTODEC23!AO6</f>
        <v>0</v>
      </c>
      <c r="AP6" s="5">
        <f>HISTOJANV23!AP6+HISTOFEV23!AP6+HISTOMARS23!AP6+HISTOAVRIL23!AP6+HISTOMAI23!AP6+HISTOJUIN23!AP6+HISTOJUIL23!AP6+HISTOAOUT23!AP6+HISTOSEPT23!AP6+HISTOOCT23!AP6+HISTONOV23!AP6+HISTODEC23!AP6</f>
        <v>0</v>
      </c>
      <c r="AQ6" s="5">
        <f>HISTOJANV23!AQ6+HISTOFEV23!AQ6+HISTOMARS23!AQ6+HISTOAVRIL23!AQ6+HISTOMAI23!AQ6+HISTOJUIN23!AQ6+HISTOJUIL23!AQ6+HISTOAOUT23!AQ6+HISTOSEPT23!AQ6+HISTOOCT23!AQ6+HISTONOV23!AQ6+HISTODEC23!AQ6</f>
        <v>0</v>
      </c>
      <c r="AR6" s="5">
        <f>HISTOJANV23!AR6+HISTOFEV23!AR6+HISTOMARS23!AR6+HISTOAVRIL23!AR6+HISTOMAI23!AR6+HISTOJUIN23!AR6+HISTOJUIL23!AR6+HISTOAOUT23!AR6+HISTOSEPT23!AR6+HISTOOCT23!AR6+HISTONOV23!AR6+HISTODEC23!AR6</f>
        <v>0</v>
      </c>
      <c r="AS6" s="5">
        <f>HISTOJANV23!AS6+HISTOFEV23!AS6+HISTOMARS23!AS6+HISTOAVRIL23!AS6+HISTOMAI23!AS6+HISTOJUIN23!AS6+HISTOJUIL23!AS6+HISTOAOUT23!AS6+HISTOSEPT23!AS6+HISTOOCT23!AS6+HISTONOV23!AS6+HISTODEC23!AS6</f>
        <v>0</v>
      </c>
      <c r="AT6" s="5">
        <f>HISTOJANV23!AT6+HISTOFEV23!AT6+HISTOMARS23!AT6+HISTOAVRIL23!AT6+HISTOMAI23!AT6+HISTOJUIN23!AT6+HISTOJUIL23!AT6+HISTOAOUT23!AT6+HISTOSEPT23!AT6+HISTOOCT23!AT6+HISTONOV23!AT6+HISTODEC23!AT6</f>
        <v>0</v>
      </c>
      <c r="AU6" s="5">
        <f>HISTOJANV23!AU6+HISTOFEV23!AU6+HISTOMARS23!AU6+HISTOAVRIL23!AU6+HISTOMAI23!AU6+HISTOJUIN23!AU6+HISTOJUIL23!AU6+HISTOAOUT23!AU6+HISTOSEPT23!AU6+HISTOOCT23!AU6+HISTONOV23!AU6+HISTODEC23!AU6</f>
        <v>0</v>
      </c>
      <c r="AV6" s="5">
        <f>HISTOJANV23!AV6+HISTOFEV23!AV6+HISTOMARS23!AV6+HISTOAVRIL23!AV6+HISTOMAI23!AV6+HISTOJUIN23!AV6+HISTOJUIL23!AV6+HISTOAOUT23!AV6+HISTOSEPT23!AV6+HISTOOCT23!AV6+HISTONOV23!AV6+HISTODEC23!AV6</f>
        <v>0</v>
      </c>
      <c r="AW6" s="5">
        <f>HISTOJANV23!AW6+HISTOFEV23!AW6+HISTOMARS23!AW6+HISTOAVRIL23!AW6+HISTOMAI23!AW6+HISTOJUIN23!AW6+HISTOJUIL23!AW6+HISTOAOUT23!AW6+HISTOSEPT23!AW6+HISTOOCT23!AW6+HISTONOV23!AW6+HISTODEC23!AW6</f>
        <v>0</v>
      </c>
      <c r="AX6" s="5">
        <f>HISTOJANV23!AX6+HISTOFEV23!AX6+HISTOMARS23!AX6+HISTOAVRIL23!AX6+HISTOMAI23!AX6+HISTOJUIN23!AX6+HISTOJUIL23!AX6+HISTOAOUT23!AX6+HISTOSEPT23!AX6+HISTOOCT23!AX6+HISTONOV23!AX6+HISTODEC23!AX6</f>
        <v>892500</v>
      </c>
      <c r="AY6" s="5">
        <f>HISTOJANV23!AY6+HISTOFEV23!AY6+HISTOMARS23!AY6+HISTOAVRIL23!AY6+HISTOMAI23!AY6+HISTOJUIN23!AY6+HISTOJUIL23!AY6+HISTOAOUT23!AY6+HISTOSEPT23!AY6+HISTOOCT23!AY6+HISTONOV23!AY6+HISTODEC23!AY6</f>
        <v>1190000</v>
      </c>
      <c r="AZ6" s="5">
        <f>HISTOJANV23!AZ6+HISTOFEV23!AZ6+HISTOMARS23!AZ6+HISTOAVRIL23!AZ6+HISTOMAI23!AZ6+HISTOJUIN23!AZ6+HISTOJUIL23!AZ6+HISTOAOUT23!AZ6+HISTOSEPT23!AZ6+HISTOOCT23!AZ6+HISTONOV23!AZ6+HISTODEC23!AZ6</f>
        <v>4343500</v>
      </c>
      <c r="BA6" s="5">
        <f>HISTOJANV23!BA6+HISTOFEV23!BA6+HISTOMARS23!BA6+HISTOAVRIL23!BA6+HISTOMAI23!BA6+HISTOJUIN23!BA6+HISTOJUIL23!BA6+HISTOAOUT23!BA6+HISTOSEPT23!BA6+HISTOOCT23!BA6+HISTONOV23!BA6+HISTODEC23!BA6</f>
        <v>265500</v>
      </c>
      <c r="BB6" s="5">
        <f>HISTOJANV23!BB6+HISTOFEV23!BB6+HISTOMARS23!BB6+HISTOAVRIL23!BB6+HISTOMAI23!BB6+HISTOJUIN23!BB6+HISTOJUIL23!BB6+HISTOAOUT23!BB6+HISTOSEPT23!BB6+HISTOOCT23!BB6+HISTONOV23!BB6+HISTODEC23!BB6</f>
        <v>0</v>
      </c>
      <c r="BC6" s="5">
        <f>HISTOJANV23!BC6+HISTOFEV23!BC6+HISTOMARS23!BC6+HISTOAVRIL23!BC6+HISTOMAI23!BC6+HISTOJUIN23!BC6+HISTOJUIL23!BC6+HISTOAOUT23!BC6+HISTOSEPT23!BC6+HISTOOCT23!BC6+HISTONOV23!BC6+HISTODEC23!BC6</f>
        <v>0</v>
      </c>
      <c r="BD6" s="5">
        <f>HISTOJANV23!BD6+HISTOFEV23!BD6+HISTOMARS23!BD6+HISTOAVRIL23!BD6+HISTOMAI23!BD6+HISTOJUIN23!BD6+HISTOJUIL23!BD6+HISTOAOUT23!BD6+HISTOSEPT23!BD6+HISTOOCT23!BD6+HISTONOV23!BD6+HISTODEC23!BD6</f>
        <v>2334000</v>
      </c>
      <c r="BE6" s="82" t="e">
        <f>HISTOJANV23!BE6+HISTOFEV23!BE6+HISTOMARS23!BE6+HISTOAVRIL23!BE6+HISTOMAI23!BE6+HISTOJUIN23!BE6+HISTOJUIL23!BE6+HISTOAOUT23!BE6+HISTOSEPT23!BE6+HISTOOCT23!BE6+HISTONOV23!BE6+HISTODEC23!BE6</f>
        <v>#VALUE!</v>
      </c>
      <c r="BF6" s="5">
        <f>HISTOJANV23!BF6+HISTOFEV23!BF6+HISTOMARS23!BF6+HISTOAVRIL23!BF6+HISTOMAI23!BF6+HISTOJUIN23!BF6+HISTOJUIL23!BF6+HISTOAOUT23!BF6+HISTOSEPT23!BF6+HISTOOCT23!BF6+HISTONOV23!BF6+HISTODEC23!BF6</f>
        <v>0</v>
      </c>
      <c r="BG6" s="5">
        <f>HISTOJANV23!BG6+HISTOFEV23!BG6+HISTOMARS23!BG6+HISTOAVRIL23!BG6+HISTOMAI23!BG6+HISTOJUIN23!BG6+HISTOJUIL23!BG6+HISTOAOUT23!BG6+HISTOSEPT23!BG6+HISTOOCT23!BG6+HISTONOV23!BG6+HISTODEC23!BG6</f>
        <v>78</v>
      </c>
      <c r="BH6" s="5">
        <f>HISTOJANV23!BH6+HISTOFEV23!BH6+HISTOMARS23!BH6+HISTOAVRIL23!BH6+HISTOMAI23!BH6+HISTOJUIN23!BH6+HISTOJUIL23!BH6+HISTOAOUT23!BH6+HISTOSEPT23!BH6+HISTOOCT23!BH6+HISTONOV23!BH6+HISTODEC23!BH6</f>
        <v>199000</v>
      </c>
      <c r="BI6" s="5">
        <f>HISTOJANV23!BI6+HISTOFEV23!BI6+HISTOMARS23!BI6+HISTOAVRIL23!BI6+HISTOMAI23!BI6+HISTOJUIN23!BI6+HISTOJUIL23!BI6+HISTOAOUT23!BI6+HISTOSEPT23!BI6+HISTOOCT23!BI6+HISTONOV23!BI6+HISTODEC23!BI6</f>
        <v>825000</v>
      </c>
      <c r="BJ6" s="5">
        <f>HISTOJANV23!BJ6+HISTOFEV23!BJ6+HISTOMARS23!BJ6+HISTOAVRIL23!BJ6+HISTOMAI23!BJ6+HISTOJUIN23!BJ6+HISTOJUIL23!BJ6+HISTOAOUT23!BJ6+HISTOSEPT23!BJ6+HISTOOCT23!BJ6+HISTONOV23!BJ6+HISTODEC23!BJ6</f>
        <v>1320000</v>
      </c>
      <c r="BK6" s="5">
        <f>HISTOJANV23!BK6+HISTOFEV23!BK6+HISTOMARS23!BK6+HISTOAVRIL23!BK6+HISTOMAI23!BK6+HISTOJUIN23!BK6+HISTOJUIL23!BK6+HISTOAOUT23!BK6+HISTOSEPT23!BK6+HISTOOCT23!BK6+HISTONOV23!BK6+HISTODEC23!BK6</f>
        <v>910000</v>
      </c>
      <c r="BL6" s="5">
        <f>HISTOJANV23!BL6+HISTOFEV23!BL6+HISTOMARS23!BL6+HISTOAVRIL23!BL6+HISTOMAI23!BL6+HISTOJUIN23!BL6+HISTOJUIL23!BL6+HISTOAOUT23!BL6+HISTOSEPT23!BL6+HISTOOCT23!BL6+HISTONOV23!BL6+HISTODEC23!BL6</f>
        <v>0</v>
      </c>
      <c r="BM6" s="5">
        <f>HISTOJANV23!BM6+HISTOFEV23!BM6+HISTOMARS23!BM6+HISTOAVRIL23!BM6+HISTOMAI23!BM6+HISTOJUIN23!BM6+HISTOJUIL23!BM6+HISTOAOUT23!BM6+HISTOSEPT23!BM6+HISTOOCT23!BM6+HISTONOV23!BM6+HISTODEC23!BM6</f>
        <v>200000</v>
      </c>
      <c r="BN6" t="s">
        <v>115</v>
      </c>
      <c r="BO6" t="s">
        <v>114</v>
      </c>
      <c r="BP6" s="5">
        <f>HISTOJANV23!BP6+HISTOFEV23!BP6+HISTOMARS23!BP6+HISTOAVRIL23!BP6+HISTOMAI23!BP6+HISTOJUIN23!BP6+HISTOJUIL23!BP6+HISTOAOUT23!BP6+HISTOSEPT23!BP6+HISTOOCT23!BP6+HISTONOV23!BP6+HISTODEC23!BP6</f>
        <v>0</v>
      </c>
    </row>
    <row r="7" spans="1:68" ht="18.75" x14ac:dyDescent="0.3">
      <c r="A7" s="1" t="s">
        <v>161</v>
      </c>
      <c r="B7" s="1" t="str">
        <f>VLOOKUP(A7,[17]LISTADHERENT!A$5:H$39,3,0)</f>
        <v>BAKOP ACHILLE</v>
      </c>
      <c r="C7" s="5">
        <f>HISTOJANV23!C7+HISTOFEV23!C7+HISTOMARS23!C7+HISTOAVRIL23!C7+HISTOMAI23!C7+HISTOJUIN23!C7+HISTOJUIL23!C7+HISTOAOUT23!C7+HISTOSEPT23!C7+HISTOOCT23!C7+HISTONOV23!C7+HISTODEC23!C7</f>
        <v>0</v>
      </c>
      <c r="D7" s="5">
        <f>HISTOJANV23!D7+HISTOFEV23!D7+HISTOMARS23!D7+HISTOAVRIL23!D7+HISTOMAI23!D7+HISTOJUIN23!D7+HISTOJUIL23!D7+HISTOAOUT23!D7+HISTOSEPT23!D7+HISTOOCT23!D7+HISTONOV23!D7+HISTODEC23!D7</f>
        <v>388000</v>
      </c>
      <c r="E7" s="5">
        <f>HISTOJANV23!E7+HISTOFEV23!E7+HISTOMARS23!E7+HISTOAVRIL23!E7+HISTOMAI23!E7+HISTOJUIN23!E7+HISTOJUIL23!E7+HISTOAOUT23!E7+HISTOSEPT23!E7+HISTOOCT23!E7+HISTONOV23!E7+HISTODEC23!E7</f>
        <v>846500</v>
      </c>
      <c r="F7" s="5">
        <f>HISTOJANV23!F7+HISTOFEV23!F7+HISTOMARS23!F7+HISTOAVRIL23!F7+HISTOMAI23!F7+HISTOJUIN23!F7+HISTOJUIL23!F7+HISTOAOUT23!F7+HISTOSEPT23!F7+HISTOOCT23!F7+HISTONOV23!F7+HISTODEC23!F7</f>
        <v>140000</v>
      </c>
      <c r="G7" s="5">
        <f>HISTOJANV23!G7+HISTOFEV23!G7+HISTOMARS23!G7+HISTOAVRIL23!G7+HISTOMAI23!G7+HISTOJUIN23!G7+HISTOJUIL23!G7+HISTOAOUT23!G7+HISTOSEPT23!G7+HISTOOCT23!G7+HISTONOV23!G7+HISTODEC23!G7</f>
        <v>3000</v>
      </c>
      <c r="H7" s="10" t="str">
        <f t="shared" si="0"/>
        <v>BANQUE</v>
      </c>
      <c r="I7" s="5">
        <f>HISTOJANV23!I7+HISTOFEV23!I7+HISTOMARS23!I7+HISTOAVRIL23!I7+HISTOMAI23!I7+HISTOJUIN23!I7+HISTOJUIL23!I7+HISTOAOUT23!I7+HISTOSEPT23!I7+HISTOOCT23!I7+HISTONOV23!I7+HISTODEC23!I7</f>
        <v>64000</v>
      </c>
      <c r="J7" s="5">
        <f>HISTOJANV23!J7+HISTOFEV23!J7+HISTOMARS23!J7+HISTOAVRIL23!J7+HISTOMAI23!J7+HISTOJUIN23!J7+HISTOJUIL23!J7+HISTOAOUT23!J7+HISTOSEPT23!J7+HISTOOCT23!J7+HISTONOV23!J7+HISTODEC23!J7</f>
        <v>12</v>
      </c>
      <c r="K7" s="5">
        <f>HISTOJANV23!K7+HISTOFEV23!K7+HISTOMARS23!K7+HISTOAVRIL23!K7+HISTOMAI23!K7+HISTOJUIN23!K7+HISTOJUIL23!K7+HISTOAOUT23!K7+HISTOSEPT23!K7+HISTOOCT23!K7+HISTONOV23!K7+HISTODEC23!K7</f>
        <v>480000</v>
      </c>
      <c r="L7" s="5">
        <f>HISTOJANV23!L7+HISTOFEV23!L7+HISTOMARS23!L7+HISTOAVRIL23!L7+HISTOMAI23!L7+HISTOJUIN23!L7+HISTOJUIL23!L7+HISTOAOUT23!L7+HISTOSEPT23!L7+HISTOOCT23!L7+HISTONOV23!L7+HISTODEC23!L7</f>
        <v>0</v>
      </c>
      <c r="M7" s="5">
        <f>HISTOJANV23!M7+HISTOFEV23!M7+HISTOMARS23!M7+HISTOAVRIL23!M7+HISTOMAI23!M7+HISTOJUIN23!M7+HISTOJUIL23!M7+HISTOAOUT23!M7+HISTOSEPT23!M7+HISTOOCT23!M7+HISTONOV23!M7+HISTODEC23!M7</f>
        <v>0</v>
      </c>
      <c r="N7" s="5">
        <f>HISTOJANV23!N7+HISTOFEV23!N7+HISTOMARS23!N7+HISTOAVRIL23!N7+HISTOMAI23!N7+HISTOJUIN23!N7+HISTOJUIL23!N7+HISTOAOUT23!N7+HISTOSEPT23!N7+HISTOOCT23!N7+HISTONOV23!N7+HISTODEC23!N7</f>
        <v>0</v>
      </c>
      <c r="O7" s="5">
        <f>HISTOJANV23!O7+HISTOFEV23!O7+HISTOMARS23!O7+HISTOAVRIL23!O7+HISTOMAI23!O7+HISTOJUIN23!O7+HISTOJUIL23!O7+HISTOAOUT23!O7+HISTOSEPT23!O7+HISTOOCT23!O7+HISTONOV23!O7+HISTODEC23!O7</f>
        <v>0</v>
      </c>
      <c r="P7" s="5">
        <f>HISTOJANV23!P7+HISTOFEV23!P7+HISTOMARS23!P7+HISTOAVRIL23!P7+HISTOMAI23!P7+HISTOJUIN23!P7+HISTOJUIL23!P7+HISTOAOUT23!P7+HISTOSEPT23!P7+HISTOOCT23!P7+HISTONOV23!P7+HISTODEC23!P7</f>
        <v>87500</v>
      </c>
      <c r="Q7" s="5">
        <f>HISTOJANV23!Q7+HISTOFEV23!Q7+HISTOMARS23!Q7+HISTOAVRIL23!Q7+HISTOMAI23!Q7+HISTOJUIN23!Q7+HISTOJUIL23!Q7+HISTOAOUT23!Q7+HISTOSEPT23!Q7+HISTOOCT23!Q7+HISTONOV23!Q7+HISTODEC23!Q7</f>
        <v>0</v>
      </c>
      <c r="R7" s="5">
        <f>HISTOJANV23!R7+HISTOFEV23!R7+HISTOMARS23!R7+HISTOAVRIL23!R7+HISTOMAI23!R7+HISTOJUIN23!R7+HISTOJUIL23!R7+HISTOAOUT23!R7+HISTOSEPT23!R7+HISTOOCT23!R7+HISTONOV23!R7+HISTODEC23!R7</f>
        <v>0</v>
      </c>
      <c r="S7" s="5">
        <f>HISTOJANV23!S7+HISTOFEV23!S7+HISTOMARS23!S7+HISTOAVRIL23!S7+HISTOMAI23!S7+HISTOJUIN23!S7+HISTOJUIL23!S7+HISTOAOUT23!S7+HISTOSEPT23!S7+HISTOOCT23!S7+HISTONOV23!S7+HISTODEC23!S7</f>
        <v>600000</v>
      </c>
      <c r="T7" s="5" t="e">
        <f>HISTOJANV23!T7+HISTOFEV23!T7+HISTOMARS23!T7+HISTOAVRIL23!T7+HISTOMAI23!T7+HISTOJUIN23!T7+HISTOJUIL23!T7+HISTOAOUT23!T7+HISTOSEPT23!T7+HISTOOCT23!T7+HISTONOV23!T7+HISTODEC23!T7</f>
        <v>#VALUE!</v>
      </c>
      <c r="U7" s="17">
        <f>G7+S7++R7+P7+O7+M7+I7+K7+Q7+V7+W7</f>
        <v>1234500</v>
      </c>
      <c r="V7" s="5">
        <f>HISTOJANV23!V7+HISTOFEV23!V7+HISTOMARS23!V7+HISTOAVRIL23!V7+HISTOMAI23!V7+HISTOJUIN23!V7+HISTOJUIL23!V7+HISTOAOUT23!V7+HISTOSEPT23!V7+HISTOOCT23!V7+HISTONOV23!V7+HISTODEC23!V7</f>
        <v>0</v>
      </c>
      <c r="W7" s="5">
        <f>HISTOJANV23!W7+HISTOFEV23!W7+HISTOMARS23!W7+HISTOAVRIL23!W7+HISTOMAI23!W7+HISTOJUIN23!W7+HISTOJUIL23!W7+HISTOAOUT23!W7+HISTOSEPT23!W7+HISTOOCT23!W7+HISTONOV23!W7+HISTODEC23!W7</f>
        <v>0</v>
      </c>
      <c r="X7" s="5">
        <f>HISTOJANV23!X7+HISTOFEV23!X7+HISTOMARS23!X7+HISTOAVRIL23!X7+HISTOMAI23!X7+HISTOJUIN23!X7+HISTOJUIL23!X7+HISTOAOUT23!X7+HISTOSEPT23!X7+HISTOOCT23!X7+HISTONOV23!X7+HISTODEC23!X7</f>
        <v>0</v>
      </c>
      <c r="Y7" s="5">
        <f>HISTOJANV23!Y7+HISTOFEV23!Y7+HISTOMARS23!Y7+HISTOAVRIL23!Y7+HISTOMAI23!Y7+HISTOJUIN23!Y7+HISTOJUIL23!Y7+HISTOAOUT23!Y7+HISTOSEPT23!Y7+HISTOOCT23!Y7+HISTONOV23!Y7+HISTODEC23!Y7</f>
        <v>0</v>
      </c>
      <c r="Z7" s="5">
        <f>HISTOJANV23!Z7+HISTOFEV23!Z7+HISTOMARS23!Z7+HISTOAVRIL23!Z7+HISTOMAI23!Z7+HISTOJUIN23!Z7+HISTOJUIL23!Z7+HISTOAOUT23!Z7+HISTOSEPT23!Z7+HISTOOCT23!Z7+HISTONOV23!Z7+HISTODEC23!Z7</f>
        <v>600000</v>
      </c>
      <c r="AA7" s="5" t="e">
        <f>HISTOJANV23!AA7+HISTOFEV23!AA7+HISTOMARS23!AA7+HISTOAVRIL23!AA7+HISTOMAI23!AA7+HISTOJUIN23!AA7+HISTOJUIL23!AA7+HISTOAOUT23!AA7+HISTOSEPT23!AA7+HISTOOCT23!AA7+HISTONOV23!AA7+HISTODEC23!AA7</f>
        <v>#VALUE!</v>
      </c>
      <c r="AB7" s="5">
        <f>HISTOJANV23!AB7+HISTOFEV23!AB7+HISTOMARS23!AB7+HISTOAVRIL23!AB7+HISTOMAI23!AB7+HISTOJUIN23!AB7+HISTOJUIL23!AB7+HISTOAOUT23!AB7+HISTOSEPT23!AB7+HISTOOCT23!AB7+HISTONOV23!AB7+HISTODEC23!AB7</f>
        <v>0</v>
      </c>
      <c r="AC7" s="5">
        <f>HISTOJANV23!AC7+HISTOFEV23!AC7+HISTOMARS23!AC7+HISTOAVRIL23!AC7+HISTOMAI23!AC7+HISTOJUIN23!AC7+HISTOJUIL23!AC7+HISTOAOUT23!AC7+HISTOSEPT23!AC7+HISTOOCT23!AC7+HISTONOV23!AC7+HISTODEC23!AC7</f>
        <v>3000</v>
      </c>
      <c r="AD7" s="5">
        <f>HISTOJANV23!AD7+HISTOFEV23!AD7+HISTOMARS23!AD7+HISTOAVRIL23!AD7+HISTOMAI23!AD7+HISTOJUIN23!AD7+HISTOJUIL23!AD7+HISTOAOUT23!AD7+HISTOSEPT23!AD7+HISTOOCT23!AD7+HISTONOV23!AD7+HISTODEC23!AD7</f>
        <v>0</v>
      </c>
      <c r="AE7" s="5">
        <f>HISTOJANV23!AE7+HISTOFEV23!AE7+HISTOMARS23!AE7+HISTOAVRIL23!AE7+HISTOMAI23!AE7+HISTOJUIN23!AE7+HISTOJUIL23!AE7+HISTOAOUT23!AE7+HISTOSEPT23!AE7+HISTOOCT23!AE7+HISTONOV23!AE7+HISTODEC23!AE7</f>
        <v>0</v>
      </c>
      <c r="AF7" s="5" t="e">
        <f>HISTOJANV23!AF7+HISTOFEV23!AF7+HISTOMARS23!AF7+HISTOAVRIL23!AF7+HISTOMAI23!AF7+HISTOJUIN23!AF7+HISTOJUIL23!AF7+HISTOAOUT23!AF7+HISTOSEPT23!AF7+HISTOOCT23!AF7+HISTONOV23!AF7+HISTODEC23!AF7</f>
        <v>#VALUE!</v>
      </c>
      <c r="AG7" s="5">
        <f>HISTOJANV23!AG7+HISTOFEV23!AG7+HISTOMARS23!AG7+HISTOAVRIL23!AG7+HISTOMAI23!AG7+HISTOJUIN23!AG7+HISTOJUIL23!AG7+HISTOAOUT23!AG7+HISTOSEPT23!AG7+HISTOOCT23!AG7+HISTONOV23!AG7+HISTODEC23!AG7</f>
        <v>0</v>
      </c>
      <c r="AH7" s="5">
        <f>HISTOJANV23!AH7+HISTOFEV23!AH7+HISTOMARS23!AH7+HISTOAVRIL23!AH7+HISTOMAI23!AH7+HISTOJUIN23!AH7+HISTOJUIL23!AH7+HISTOAOUT23!AH7+HISTOSEPT23!AH7+HISTOOCT23!AH7+HISTONOV23!AH7+HISTODEC23!AH7</f>
        <v>0</v>
      </c>
      <c r="AI7" s="5">
        <f>HISTOJANV23!AI7+HISTOFEV23!AI7+HISTOMARS23!AI7+HISTOAVRIL23!AI7+HISTOMAI23!AI7+HISTOJUIN23!AI7+HISTOJUIL23!AI7+HISTOAOUT23!AI7+HISTOSEPT23!AI7+HISTOOCT23!AI7+HISTONOV23!AI7+HISTODEC23!AI7</f>
        <v>85500</v>
      </c>
      <c r="AJ7" s="5">
        <f>HISTOJANV23!AJ7+HISTOFEV23!AJ7+HISTOMARS23!AJ7+HISTOAVRIL23!AJ7+HISTOMAI23!AJ7+HISTOJUIN23!AJ7+HISTOJUIL23!AJ7+HISTOAOUT23!AJ7+HISTOSEPT23!AJ7+HISTOOCT23!AJ7+HISTONOV23!AJ7+HISTODEC23!AJ7</f>
        <v>0</v>
      </c>
      <c r="AK7" s="5">
        <f>HISTOJANV23!AK7+HISTOFEV23!AK7+HISTOMARS23!AK7+HISTOAVRIL23!AK7+HISTOMAI23!AK7+HISTOJUIN23!AK7+HISTOJUIL23!AK7+HISTOAOUT23!AK7+HISTOSEPT23!AK7+HISTOOCT23!AK7+HISTONOV23!AK7+HISTODEC23!AK7</f>
        <v>0</v>
      </c>
      <c r="AL7" s="5">
        <f>HISTOJANV23!AL7+HISTOFEV23!AL7+HISTOMARS23!AL7+HISTOAVRIL23!AL7+HISTOMAI23!AL7+HISTOJUIN23!AL7+HISTOJUIL23!AL7+HISTOAOUT23!AL7+HISTOSEPT23!AL7+HISTOOCT23!AL7+HISTONOV23!AL7+HISTODEC23!AL7</f>
        <v>2000</v>
      </c>
      <c r="AM7" s="5">
        <f>HISTOJANV23!AM7+HISTOFEV23!AM7+HISTOMARS23!AM7+HISTOAVRIL23!AM7+HISTOMAI23!AM7+HISTOJUIN23!AM7+HISTOJUIL23!AM7+HISTOAOUT23!AM7+HISTOSEPT23!AM7+HISTOOCT23!AM7+HISTONOV23!AM7+HISTODEC23!AM7</f>
        <v>0</v>
      </c>
      <c r="AN7" s="5">
        <f>HISTOJANV23!AN7+HISTOFEV23!AN7+HISTOMARS23!AN7+HISTOAVRIL23!AN7+HISTOMAI23!AN7+HISTOJUIN23!AN7+HISTOJUIL23!AN7+HISTOAOUT23!AN7+HISTOSEPT23!AN7+HISTOOCT23!AN7+HISTONOV23!AN7+HISTODEC23!AN7</f>
        <v>0</v>
      </c>
      <c r="AO7" s="5">
        <f>HISTOJANV23!AO7+HISTOFEV23!AO7+HISTOMARS23!AO7+HISTOAVRIL23!AO7+HISTOMAI23!AO7+HISTOJUIN23!AO7+HISTOJUIL23!AO7+HISTOAOUT23!AO7+HISTOSEPT23!AO7+HISTOOCT23!AO7+HISTONOV23!AO7+HISTODEC23!AO7</f>
        <v>0</v>
      </c>
      <c r="AP7" s="5" t="e">
        <f>HISTOJANV23!AP7+HISTOFEV23!AP7+HISTOMARS23!AP7+HISTOAVRIL23!AP7+HISTOMAI23!AP7+HISTOJUIN23!AP7+HISTOJUIL23!AP7+HISTOAOUT23!AP7+HISTOSEPT23!AP7+HISTOOCT23!AP7+HISTONOV23!AP7+HISTODEC23!AP7</f>
        <v>#VALUE!</v>
      </c>
      <c r="AQ7" s="5">
        <f>HISTOJANV23!AQ7+HISTOFEV23!AQ7+HISTOMARS23!AQ7+HISTOAVRIL23!AQ7+HISTOMAI23!AQ7+HISTOJUIN23!AQ7+HISTOJUIL23!AQ7+HISTOAOUT23!AQ7+HISTOSEPT23!AQ7+HISTOOCT23!AQ7+HISTONOV23!AQ7+HISTODEC23!AQ7</f>
        <v>0</v>
      </c>
      <c r="AR7" s="5">
        <f>HISTOJANV23!AR7+HISTOFEV23!AR7+HISTOMARS23!AR7+HISTOAVRIL23!AR7+HISTOMAI23!AR7+HISTOJUIN23!AR7+HISTOJUIL23!AR7+HISTOAOUT23!AR7+HISTOSEPT23!AR7+HISTOOCT23!AR7+HISTONOV23!AR7+HISTODEC23!AR7</f>
        <v>0</v>
      </c>
      <c r="AS7" s="5">
        <f>HISTOJANV23!AS7+HISTOFEV23!AS7+HISTOMARS23!AS7+HISTOAVRIL23!AS7+HISTOMAI23!AS7+HISTOJUIN23!AS7+HISTOJUIL23!AS7+HISTOAOUT23!AS7+HISTOSEPT23!AS7+HISTOOCT23!AS7+HISTONOV23!AS7+HISTODEC23!AS7</f>
        <v>241000</v>
      </c>
      <c r="AT7" s="5">
        <f>HISTOJANV23!AT7+HISTOFEV23!AT7+HISTOMARS23!AT7+HISTOAVRIL23!AT7+HISTOMAI23!AT7+HISTOJUIN23!AT7+HISTOJUIL23!AT7+HISTOAOUT23!AT7+HISTOSEPT23!AT7+HISTOOCT23!AT7+HISTONOV23!AT7+HISTODEC23!AT7</f>
        <v>0</v>
      </c>
      <c r="AU7" s="5">
        <f>HISTOJANV23!AU7+HISTOFEV23!AU7+HISTOMARS23!AU7+HISTOAVRIL23!AU7+HISTOMAI23!AU7+HISTOJUIN23!AU7+HISTOJUIL23!AU7+HISTOAOUT23!AU7+HISTOSEPT23!AU7+HISTOOCT23!AU7+HISTONOV23!AU7+HISTODEC23!AU7</f>
        <v>0</v>
      </c>
      <c r="AV7" s="5">
        <f>HISTOJANV23!AV7+HISTOFEV23!AV7+HISTOMARS23!AV7+HISTOAVRIL23!AV7+HISTOMAI23!AV7+HISTOJUIN23!AV7+HISTOJUIL23!AV7+HISTOAOUT23!AV7+HISTOSEPT23!AV7+HISTOOCT23!AV7+HISTONOV23!AV7+HISTODEC23!AV7</f>
        <v>0</v>
      </c>
      <c r="AW7" s="5">
        <f>HISTOJANV23!AW7+HISTOFEV23!AW7+HISTOMARS23!AW7+HISTOAVRIL23!AW7+HISTOMAI23!AW7+HISTOJUIN23!AW7+HISTOJUIL23!AW7+HISTOAOUT23!AW7+HISTOSEPT23!AW7+HISTOOCT23!AW7+HISTONOV23!AW7+HISTODEC23!AW7</f>
        <v>382500</v>
      </c>
      <c r="AX7" s="5">
        <f>HISTOJANV23!AX7+HISTOFEV23!AX7+HISTOMARS23!AX7+HISTOAVRIL23!AX7+HISTOMAI23!AX7+HISTOJUIN23!AX7+HISTOJUIL23!AX7+HISTOAOUT23!AX7+HISTOSEPT23!AX7+HISTOOCT23!AX7+HISTONOV23!AX7+HISTODEC23!AX7</f>
        <v>0</v>
      </c>
      <c r="AY7" s="5">
        <f>HISTOJANV23!AY7+HISTOFEV23!AY7+HISTOMARS23!AY7+HISTOAVRIL23!AY7+HISTOMAI23!AY7+HISTOJUIN23!AY7+HISTOJUIL23!AY7+HISTOAOUT23!AY7+HISTOSEPT23!AY7+HISTOOCT23!AY7+HISTONOV23!AY7+HISTODEC23!AY7</f>
        <v>0</v>
      </c>
      <c r="AZ7" s="5">
        <f>HISTOJANV23!AZ7+HISTOFEV23!AZ7+HISTOMARS23!AZ7+HISTOAVRIL23!AZ7+HISTOMAI23!AZ7+HISTOJUIN23!AZ7+HISTOJUIL23!AZ7+HISTOAOUT23!AZ7+HISTOSEPT23!AZ7+HISTOOCT23!AZ7+HISTONOV23!AZ7+HISTODEC23!AZ7</f>
        <v>778500</v>
      </c>
      <c r="BA7" s="5">
        <f>HISTOJANV23!BA7+HISTOFEV23!BA7+HISTOMARS23!BA7+HISTOAVRIL23!BA7+HISTOMAI23!BA7+HISTOJUIN23!BA7+HISTOJUIL23!BA7+HISTOAOUT23!BA7+HISTOSEPT23!BA7+HISTOOCT23!BA7+HISTONOV23!BA7+HISTODEC23!BA7</f>
        <v>27500</v>
      </c>
      <c r="BB7" s="5">
        <f>HISTOJANV23!BB7+HISTOFEV23!BB7+HISTOMARS23!BB7+HISTOAVRIL23!BB7+HISTOMAI23!BB7+HISTOJUIN23!BB7+HISTOJUIL23!BB7+HISTOAOUT23!BB7+HISTOSEPT23!BB7+HISTOOCT23!BB7+HISTONOV23!BB7+HISTODEC23!BB7</f>
        <v>140000</v>
      </c>
      <c r="BC7" s="5">
        <f>HISTOJANV23!BC7+HISTOFEV23!BC7+HISTOMARS23!BC7+HISTOAVRIL23!BC7+HISTOMAI23!BC7+HISTOJUIN23!BC7+HISTOJUIL23!BC7+HISTOAOUT23!BC7+HISTOSEPT23!BC7+HISTOOCT23!BC7+HISTONOV23!BC7+HISTODEC23!BC7</f>
        <v>0</v>
      </c>
      <c r="BD7" s="5">
        <f>HISTOJANV23!BD7+HISTOFEV23!BD7+HISTOMARS23!BD7+HISTOAVRIL23!BD7+HISTOMAI23!BD7+HISTOJUIN23!BD7+HISTOJUIL23!BD7+HISTOAOUT23!BD7+HISTOSEPT23!BD7+HISTOOCT23!BD7+HISTONOV23!BD7+HISTODEC23!BD7</f>
        <v>751000</v>
      </c>
      <c r="BE7" s="82">
        <f>HISTOJANV23!BE7+HISTOFEV23!BE7+HISTOMARS23!BE7+HISTOAVRIL23!BE7+HISTOMAI23!BE7+HISTOJUIN23!BE7+HISTOJUIL23!BE7+HISTOAOUT23!BE7+HISTOSEPT23!BE7+HISTOOCT23!BE7+HISTONOV23!BE7+HISTODEC23!BE7</f>
        <v>751000</v>
      </c>
      <c r="BF7" s="5">
        <f>HISTOJANV23!BF7+HISTOFEV23!BF7+HISTOMARS23!BF7+HISTOAVRIL23!BF7+HISTOMAI23!BF7+HISTOJUIN23!BF7+HISTOJUIL23!BF7+HISTOAOUT23!BF7+HISTOSEPT23!BF7+HISTOOCT23!BF7+HISTONOV23!BF7+HISTODEC23!BF7</f>
        <v>36000</v>
      </c>
      <c r="BG7" s="5">
        <f>HISTOJANV23!BG7+HISTOFEV23!BG7+HISTOMARS23!BG7+HISTOAVRIL23!BG7+HISTOMAI23!BG7+HISTOJUIN23!BG7+HISTOJUIL23!BG7+HISTOAOUT23!BG7+HISTOSEPT23!BG7+HISTOOCT23!BG7+HISTONOV23!BG7+HISTODEC23!BG7</f>
        <v>78</v>
      </c>
      <c r="BH7" s="5">
        <f>HISTOJANV23!BH7+HISTOFEV23!BH7+HISTOMARS23!BH7+HISTOAVRIL23!BH7+HISTOMAI23!BH7+HISTOJUIN23!BH7+HISTOJUIL23!BH7+HISTOAOUT23!BH7+HISTOSEPT23!BH7+HISTOOCT23!BH7+HISTONOV23!BH7+HISTODEC23!BH7</f>
        <v>0</v>
      </c>
      <c r="BI7" s="5">
        <f>HISTOJANV23!BI7+HISTOFEV23!BI7+HISTOMARS23!BI7+HISTOAVRIL23!BI7+HISTOMAI23!BI7+HISTOJUIN23!BI7+HISTOJUIL23!BI7+HISTOAOUT23!BI7+HISTOSEPT23!BI7+HISTOOCT23!BI7+HISTONOV23!BI7+HISTODEC23!BI7</f>
        <v>0</v>
      </c>
      <c r="BJ7" s="5">
        <f>HISTOJANV23!BJ7+HISTOFEV23!BJ7+HISTOMARS23!BJ7+HISTOAVRIL23!BJ7+HISTOMAI23!BJ7+HISTOJUIN23!BJ7+HISTOJUIL23!BJ7+HISTOAOUT23!BJ7+HISTOSEPT23!BJ7+HISTOOCT23!BJ7+HISTONOV23!BJ7+HISTODEC23!BJ7</f>
        <v>0</v>
      </c>
      <c r="BK7" s="5">
        <f>HISTOJANV23!BK7+HISTOFEV23!BK7+HISTOMARS23!BK7+HISTOAVRIL23!BK7+HISTOMAI23!BK7+HISTOJUIN23!BK7+HISTOJUIL23!BK7+HISTOAOUT23!BK7+HISTOSEPT23!BK7+HISTOOCT23!BK7+HISTONOV23!BK7+HISTODEC23!BK7</f>
        <v>0</v>
      </c>
      <c r="BL7" s="5">
        <f>HISTOJANV23!BL7+HISTOFEV23!BL7+HISTOMARS23!BL7+HISTOAVRIL23!BL7+HISTOMAI23!BL7+HISTOJUIN23!BL7+HISTOJUIL23!BL7+HISTOAOUT23!BL7+HISTOSEPT23!BL7+HISTOOCT23!BL7+HISTONOV23!BL7+HISTODEC23!BL7</f>
        <v>0</v>
      </c>
      <c r="BM7" s="5">
        <f>HISTOJANV23!BM7+HISTOFEV23!BM7+HISTOMARS23!BM7+HISTOAVRIL23!BM7+HISTOMAI23!BM7+HISTOJUIN23!BM7+HISTOJUIL23!BM7+HISTOAOUT23!BM7+HISTOSEPT23!BM7+HISTOOCT23!BM7+HISTONOV23!BM7+HISTODEC23!BM7</f>
        <v>0</v>
      </c>
      <c r="BN7" t="s">
        <v>116</v>
      </c>
      <c r="BO7" t="s">
        <v>114</v>
      </c>
      <c r="BP7" s="5">
        <f>HISTOJANV23!BP7+HISTOFEV23!BP7+HISTOMARS23!BP7+HISTOAVRIL23!BP7+HISTOMAI23!BP7+HISTOJUIN23!BP7+HISTOJUIL23!BP7+HISTOAOUT23!BP7+HISTOSEPT23!BP7+HISTOOCT23!BP7+HISTONOV23!BP7+HISTODEC23!BP7</f>
        <v>0</v>
      </c>
    </row>
    <row r="8" spans="1:68" ht="18.75" x14ac:dyDescent="0.3">
      <c r="A8" s="1" t="s">
        <v>12</v>
      </c>
      <c r="B8" s="1" t="str">
        <f>VLOOKUP(A8,[17]LISTADHERENT!A$5:H$39,3,0)</f>
        <v>BOUTCHOUANG WILLIAM</v>
      </c>
      <c r="C8" s="5">
        <f>HISTOJANV23!C8+HISTOFEV23!C8+HISTOMARS23!C8+HISTOAVRIL23!C8+HISTOMAI23!C8+HISTOJUIN23!C8+HISTOJUIL23!C8+HISTOAOUT23!C8+HISTOSEPT23!C8+HISTOOCT23!C8+HISTONOV23!C8+HISTODEC23!C8</f>
        <v>0</v>
      </c>
      <c r="D8" s="5">
        <f>HISTOJANV23!D8+HISTOFEV23!D8+HISTOMARS23!D8+HISTOAVRIL23!D8+HISTOMAI23!D8+HISTOJUIN23!D8+HISTOJUIL23!D8+HISTOAOUT23!D8+HISTOSEPT23!D8+HISTOOCT23!D8+HISTONOV23!D8+HISTODEC23!D8</f>
        <v>2255000</v>
      </c>
      <c r="E8" s="5">
        <f>HISTOJANV23!E8+HISTOFEV23!E8+HISTOMARS23!E8+HISTOAVRIL23!E8+HISTOMAI23!E8+HISTOJUIN23!E8+HISTOJUIL23!E8+HISTOAOUT23!E8+HISTOSEPT23!E8+HISTOOCT23!E8+HISTONOV23!E8+HISTODEC23!E8</f>
        <v>125000</v>
      </c>
      <c r="F8" s="5">
        <f>HISTOJANV23!F8+HISTOFEV23!F8+HISTOMARS23!F8+HISTOAVRIL23!F8+HISTOMAI23!F8+HISTOJUIN23!F8+HISTOJUIL23!F8+HISTOAOUT23!F8+HISTOSEPT23!F8+HISTOOCT23!F8+HISTONOV23!F8+HISTODEC23!F8</f>
        <v>70000</v>
      </c>
      <c r="G8" s="5">
        <f>HISTOJANV23!G8+HISTOFEV23!G8+HISTOMARS23!G8+HISTOAVRIL23!G8+HISTOMAI23!G8+HISTOJUIN23!G8+HISTOJUIL23!G8+HISTOAOUT23!G8+HISTOSEPT23!G8+HISTOOCT23!G8+HISTONOV23!G8+HISTODEC23!G8</f>
        <v>0</v>
      </c>
      <c r="H8" s="10" t="str">
        <f t="shared" si="0"/>
        <v>BANQUE</v>
      </c>
      <c r="I8" s="5">
        <f>HISTOJANV23!I8+HISTOFEV23!I8+HISTOMARS23!I8+HISTOAVRIL23!I8+HISTOMAI23!I8+HISTOJUIN23!I8+HISTOJUIL23!I8+HISTOAOUT23!I8+HISTOSEPT23!I8+HISTOOCT23!I8+HISTONOV23!I8+HISTODEC23!I8</f>
        <v>0</v>
      </c>
      <c r="J8" s="5">
        <f>HISTOJANV23!J8+HISTOFEV23!J8+HISTOMARS23!J8+HISTOAVRIL23!J8+HISTOMAI23!J8+HISTOJUIN23!J8+HISTOJUIL23!J8+HISTOAOUT23!J8+HISTOSEPT23!J8+HISTOOCT23!J8+HISTONOV23!J8+HISTODEC23!J8</f>
        <v>12</v>
      </c>
      <c r="K8" s="5">
        <f>HISTOJANV23!K8+HISTOFEV23!K8+HISTOMARS23!K8+HISTOAVRIL23!K8+HISTOMAI23!K8+HISTOJUIN23!K8+HISTOJUIL23!K8+HISTOAOUT23!K8+HISTOSEPT23!K8+HISTOOCT23!K8+HISTONOV23!K8+HISTODEC23!K8</f>
        <v>480000</v>
      </c>
      <c r="L8" s="5">
        <f>HISTOJANV23!L8+HISTOFEV23!L8+HISTOMARS23!L8+HISTOAVRIL23!L8+HISTOMAI23!L8+HISTOJUIN23!L8+HISTOJUIL23!L8+HISTOAOUT23!L8+HISTOSEPT23!L8+HISTOOCT23!L8+HISTONOV23!L8+HISTODEC23!L8</f>
        <v>12</v>
      </c>
      <c r="M8" s="5">
        <f>HISTOJANV23!M8+HISTOFEV23!M8+HISTOMARS23!M8+HISTOAVRIL23!M8+HISTOMAI23!M8+HISTOJUIN23!M8+HISTOJUIL23!M8+HISTOAOUT23!M8+HISTOSEPT23!M8+HISTOOCT23!M8+HISTONOV23!M8+HISTODEC23!M8</f>
        <v>900000</v>
      </c>
      <c r="N8" s="5">
        <f>HISTOJANV23!N8+HISTOFEV23!N8+HISTOMARS23!N8+HISTOAVRIL23!N8+HISTOMAI23!N8+HISTOJUIN23!N8+HISTOJUIL23!N8+HISTOAOUT23!N8+HISTOSEPT23!N8+HISTOOCT23!N8+HISTONOV23!N8+HISTODEC23!N8</f>
        <v>0</v>
      </c>
      <c r="O8" s="5">
        <f>HISTOJANV23!O8+HISTOFEV23!O8+HISTOMARS23!O8+HISTOAVRIL23!O8+HISTOMAI23!O8+HISTOJUIN23!O8+HISTOJUIL23!O8+HISTOAOUT23!O8+HISTOSEPT23!O8+HISTOOCT23!O8+HISTONOV23!O8+HISTODEC23!O8</f>
        <v>0</v>
      </c>
      <c r="P8" s="5">
        <f>HISTOJANV23!P8+HISTOFEV23!P8+HISTOMARS23!P8+HISTOAVRIL23!P8+HISTOMAI23!P8+HISTOJUIN23!P8+HISTOJUIL23!P8+HISTOAOUT23!P8+HISTOSEPT23!P8+HISTOOCT23!P8+HISTONOV23!P8+HISTODEC23!P8</f>
        <v>0</v>
      </c>
      <c r="Q8" s="5">
        <f>HISTOJANV23!Q8+HISTOFEV23!Q8+HISTOMARS23!Q8+HISTOAVRIL23!Q8+HISTOMAI23!Q8+HISTOJUIN23!Q8+HISTOJUIL23!Q8+HISTOAOUT23!Q8+HISTOSEPT23!Q8+HISTOOCT23!Q8+HISTONOV23!Q8+HISTODEC23!Q8</f>
        <v>0</v>
      </c>
      <c r="R8" s="5">
        <f>HISTOJANV23!R8+HISTOFEV23!R8+HISTOMARS23!R8+HISTOAVRIL23!R8+HISTOMAI23!R8+HISTOJUIN23!R8+HISTOJUIL23!R8+HISTOAOUT23!R8+HISTOSEPT23!R8+HISTOOCT23!R8+HISTONOV23!R8+HISTODEC23!R8</f>
        <v>0</v>
      </c>
      <c r="S8" s="5">
        <f>HISTOJANV23!S8+HISTOFEV23!S8+HISTOMARS23!S8+HISTOAVRIL23!S8+HISTOMAI23!S8+HISTOJUIN23!S8+HISTOJUIL23!S8+HISTOAOUT23!S8+HISTOSEPT23!S8+HISTOOCT23!S8+HISTONOV23!S8+HISTODEC23!S8</f>
        <v>1000000</v>
      </c>
      <c r="T8" s="5" t="e">
        <f>HISTOJANV23!T8+HISTOFEV23!T8+HISTOMARS23!T8+HISTOAVRIL23!T8+HISTOMAI23!T8+HISTOJUIN23!T8+HISTOJUIL23!T8+HISTOAOUT23!T8+HISTOSEPT23!T8+HISTOOCT23!T8+HISTONOV23!T8+HISTODEC23!T8</f>
        <v>#VALUE!</v>
      </c>
      <c r="U8" s="17">
        <f t="shared" ref="U8:U36" si="1">G8+S8++R8+P8+O8+M8+I8+K8+Q8+V8+W8</f>
        <v>2399000</v>
      </c>
      <c r="V8" s="5">
        <f>HISTOJANV23!V8+HISTOFEV23!V8+HISTOMARS23!V8+HISTOAVRIL23!V8+HISTOMAI23!V8+HISTOJUIN23!V8+HISTOJUIL23!V8+HISTOAOUT23!V8+HISTOSEPT23!V8+HISTOOCT23!V8+HISTONOV23!V8+HISTODEC23!V8</f>
        <v>19000</v>
      </c>
      <c r="W8" s="5">
        <f>HISTOJANV23!W8+HISTOFEV23!W8+HISTOMARS23!W8+HISTOAVRIL23!W8+HISTOMAI23!W8+HISTOJUIN23!W8+HISTOJUIL23!W8+HISTOAOUT23!W8+HISTOSEPT23!W8+HISTOOCT23!W8+HISTONOV23!W8+HISTODEC23!W8</f>
        <v>0</v>
      </c>
      <c r="X8" s="5">
        <f>HISTOJANV23!X8+HISTOFEV23!X8+HISTOMARS23!X8+HISTOAVRIL23!X8+HISTOMAI23!X8+HISTOJUIN23!X8+HISTOJUIL23!X8+HISTOAOUT23!X8+HISTOSEPT23!X8+HISTOOCT23!X8+HISTONOV23!X8+HISTODEC23!X8</f>
        <v>0</v>
      </c>
      <c r="Y8" s="5">
        <f>HISTOJANV23!Y8+HISTOFEV23!Y8+HISTOMARS23!Y8+HISTOAVRIL23!Y8+HISTOMAI23!Y8+HISTOJUIN23!Y8+HISTOJUIL23!Y8+HISTOAOUT23!Y8+HISTOSEPT23!Y8+HISTOOCT23!Y8+HISTONOV23!Y8+HISTODEC23!Y8</f>
        <v>0</v>
      </c>
      <c r="Z8" s="5">
        <f>HISTOJANV23!Z8+HISTOFEV23!Z8+HISTOMARS23!Z8+HISTOAVRIL23!Z8+HISTOMAI23!Z8+HISTOJUIN23!Z8+HISTOJUIL23!Z8+HISTOAOUT23!Z8+HISTOSEPT23!Z8+HISTOOCT23!Z8+HISTONOV23!Z8+HISTODEC23!Z8</f>
        <v>1000000</v>
      </c>
      <c r="AA8" s="5" t="e">
        <f>HISTOJANV23!AA8+HISTOFEV23!AA8+HISTOMARS23!AA8+HISTOAVRIL23!AA8+HISTOMAI23!AA8+HISTOJUIN23!AA8+HISTOJUIL23!AA8+HISTOAOUT23!AA8+HISTOSEPT23!AA8+HISTOOCT23!AA8+HISTONOV23!AA8+HISTODEC23!AA8</f>
        <v>#VALUE!</v>
      </c>
      <c r="AB8" s="5">
        <f>HISTOJANV23!AB8+HISTOFEV23!AB8+HISTOMARS23!AB8+HISTOAVRIL23!AB8+HISTOMAI23!AB8+HISTOJUIN23!AB8+HISTOJUIL23!AB8+HISTOAOUT23!AB8+HISTOSEPT23!AB8+HISTOOCT23!AB8+HISTONOV23!AB8+HISTODEC23!AB8</f>
        <v>0</v>
      </c>
      <c r="AC8" s="5">
        <f>HISTOJANV23!AC8+HISTOFEV23!AC8+HISTOMARS23!AC8+HISTOAVRIL23!AC8+HISTOMAI23!AC8+HISTOJUIN23!AC8+HISTOJUIL23!AC8+HISTOAOUT23!AC8+HISTOSEPT23!AC8+HISTOOCT23!AC8+HISTONOV23!AC8+HISTODEC23!AC8</f>
        <v>2500</v>
      </c>
      <c r="AD8" s="5">
        <f>HISTOJANV23!AD8+HISTOFEV23!AD8+HISTOMARS23!AD8+HISTOAVRIL23!AD8+HISTOMAI23!AD8+HISTOJUIN23!AD8+HISTOJUIL23!AD8+HISTOAOUT23!AD8+HISTOSEPT23!AD8+HISTOOCT23!AD8+HISTONOV23!AD8+HISTODEC23!AD8</f>
        <v>7500</v>
      </c>
      <c r="AE8" s="5">
        <f>HISTOJANV23!AE8+HISTOFEV23!AE8+HISTOMARS23!AE8+HISTOAVRIL23!AE8+HISTOMAI23!AE8+HISTOJUIN23!AE8+HISTOJUIL23!AE8+HISTOAOUT23!AE8+HISTOSEPT23!AE8+HISTOOCT23!AE8+HISTONOV23!AE8+HISTODEC23!AE8</f>
        <v>0</v>
      </c>
      <c r="AF8" s="5" t="e">
        <f>HISTOJANV23!AF8+HISTOFEV23!AF8+HISTOMARS23!AF8+HISTOAVRIL23!AF8+HISTOMAI23!AF8+HISTOJUIN23!AF8+HISTOJUIL23!AF8+HISTOAOUT23!AF8+HISTOSEPT23!AF8+HISTOOCT23!AF8+HISTONOV23!AF8+HISTODEC23!AF8</f>
        <v>#VALUE!</v>
      </c>
      <c r="AG8" s="5">
        <f>HISTOJANV23!AG8+HISTOFEV23!AG8+HISTOMARS23!AG8+HISTOAVRIL23!AG8+HISTOMAI23!AG8+HISTOJUIN23!AG8+HISTOJUIL23!AG8+HISTOAOUT23!AG8+HISTOSEPT23!AG8+HISTOOCT23!AG8+HISTONOV23!AG8+HISTODEC23!AG8</f>
        <v>0</v>
      </c>
      <c r="AH8" s="5">
        <f>HISTOJANV23!AH8+HISTOFEV23!AH8+HISTOMARS23!AH8+HISTOAVRIL23!AH8+HISTOMAI23!AH8+HISTOJUIN23!AH8+HISTOJUIL23!AH8+HISTOAOUT23!AH8+HISTOSEPT23!AH8+HISTOOCT23!AH8+HISTONOV23!AH8+HISTODEC23!AH8</f>
        <v>0</v>
      </c>
      <c r="AI8" s="5">
        <f>HISTOJANV23!AI8+HISTOFEV23!AI8+HISTOMARS23!AI8+HISTOAVRIL23!AI8+HISTOMAI23!AI8+HISTOJUIN23!AI8+HISTOJUIL23!AI8+HISTOAOUT23!AI8+HISTOSEPT23!AI8+HISTOOCT23!AI8+HISTONOV23!AI8+HISTODEC23!AI8</f>
        <v>0</v>
      </c>
      <c r="AJ8" s="5">
        <f>HISTOJANV23!AJ8+HISTOFEV23!AJ8+HISTOMARS23!AJ8+HISTOAVRIL23!AJ8+HISTOMAI23!AJ8+HISTOJUIN23!AJ8+HISTOJUIL23!AJ8+HISTOAOUT23!AJ8+HISTOSEPT23!AJ8+HISTOOCT23!AJ8+HISTONOV23!AJ8+HISTODEC23!AJ8</f>
        <v>100000</v>
      </c>
      <c r="AK8" s="5">
        <f>HISTOJANV23!AK8+HISTOFEV23!AK8+HISTOMARS23!AK8+HISTOAVRIL23!AK8+HISTOMAI23!AK8+HISTOJUIN23!AK8+HISTOJUIL23!AK8+HISTOAOUT23!AK8+HISTOSEPT23!AK8+HISTOOCT23!AK8+HISTONOV23!AK8+HISTODEC23!AK8</f>
        <v>0</v>
      </c>
      <c r="AL8" s="5">
        <f>HISTOJANV23!AL8+HISTOFEV23!AL8+HISTOMARS23!AL8+HISTOAVRIL23!AL8+HISTOMAI23!AL8+HISTOJUIN23!AL8+HISTOJUIL23!AL8+HISTOAOUT23!AL8+HISTOSEPT23!AL8+HISTOOCT23!AL8+HISTONOV23!AL8+HISTODEC23!AL8</f>
        <v>0</v>
      </c>
      <c r="AM8" s="5">
        <f>HISTOJANV23!AM8+HISTOFEV23!AM8+HISTOMARS23!AM8+HISTOAVRIL23!AM8+HISTOMAI23!AM8+HISTOJUIN23!AM8+HISTOJUIL23!AM8+HISTOAOUT23!AM8+HISTOSEPT23!AM8+HISTOOCT23!AM8+HISTONOV23!AM8+HISTODEC23!AM8</f>
        <v>1000</v>
      </c>
      <c r="AN8" s="5">
        <f>HISTOJANV23!AN8+HISTOFEV23!AN8+HISTOMARS23!AN8+HISTOAVRIL23!AN8+HISTOMAI23!AN8+HISTOJUIN23!AN8+HISTOJUIL23!AN8+HISTOAOUT23!AN8+HISTOSEPT23!AN8+HISTOOCT23!AN8+HISTONOV23!AN8+HISTODEC23!AN8</f>
        <v>0</v>
      </c>
      <c r="AO8" s="5">
        <f>HISTOJANV23!AO8+HISTOFEV23!AO8+HISTOMARS23!AO8+HISTOAVRIL23!AO8+HISTOMAI23!AO8+HISTOJUIN23!AO8+HISTOJUIL23!AO8+HISTOAOUT23!AO8+HISTOSEPT23!AO8+HISTOOCT23!AO8+HISTONOV23!AO8+HISTODEC23!AO8</f>
        <v>0</v>
      </c>
      <c r="AP8" s="5" t="e">
        <f>HISTOJANV23!AP8+HISTOFEV23!AP8+HISTOMARS23!AP8+HISTOAVRIL23!AP8+HISTOMAI23!AP8+HISTOJUIN23!AP8+HISTOJUIL23!AP8+HISTOAOUT23!AP8+HISTOSEPT23!AP8+HISTOOCT23!AP8+HISTONOV23!AP8+HISTODEC23!AP8</f>
        <v>#VALUE!</v>
      </c>
      <c r="AQ8" s="5">
        <f>HISTOJANV23!AQ8+HISTOFEV23!AQ8+HISTOMARS23!AQ8+HISTOAVRIL23!AQ8+HISTOMAI23!AQ8+HISTOJUIN23!AQ8+HISTOJUIL23!AQ8+HISTOAOUT23!AQ8+HISTOSEPT23!AQ8+HISTOOCT23!AQ8+HISTONOV23!AQ8+HISTODEC23!AQ8</f>
        <v>0</v>
      </c>
      <c r="AR8" s="5">
        <f>HISTOJANV23!AR8+HISTOFEV23!AR8+HISTOMARS23!AR8+HISTOAVRIL23!AR8+HISTOMAI23!AR8+HISTOJUIN23!AR8+HISTOJUIL23!AR8+HISTOAOUT23!AR8+HISTOSEPT23!AR8+HISTOOCT23!AR8+HISTONOV23!AR8+HISTODEC23!AR8</f>
        <v>0</v>
      </c>
      <c r="AS8" s="5">
        <f>HISTOJANV23!AS8+HISTOFEV23!AS8+HISTOMARS23!AS8+HISTOAVRIL23!AS8+HISTOMAI23!AS8+HISTOJUIN23!AS8+HISTOJUIL23!AS8+HISTOAOUT23!AS8+HISTOSEPT23!AS8+HISTOOCT23!AS8+HISTONOV23!AS8+HISTODEC23!AS8</f>
        <v>180000</v>
      </c>
      <c r="AT8" s="5">
        <f>HISTOJANV23!AT8+HISTOFEV23!AT8+HISTOMARS23!AT8+HISTOAVRIL23!AT8+HISTOMAI23!AT8+HISTOJUIN23!AT8+HISTOJUIL23!AT8+HISTOAOUT23!AT8+HISTOSEPT23!AT8+HISTOOCT23!AT8+HISTONOV23!AT8+HISTODEC23!AT8</f>
        <v>0</v>
      </c>
      <c r="AU8" s="5">
        <f>HISTOJANV23!AU8+HISTOFEV23!AU8+HISTOMARS23!AU8+HISTOAVRIL23!AU8+HISTOMAI23!AU8+HISTOJUIN23!AU8+HISTOJUIL23!AU8+HISTOAOUT23!AU8+HISTOSEPT23!AU8+HISTOOCT23!AU8+HISTONOV23!AU8+HISTODEC23!AU8</f>
        <v>0</v>
      </c>
      <c r="AV8" s="5">
        <f>HISTOJANV23!AV8+HISTOFEV23!AV8+HISTOMARS23!AV8+HISTOAVRIL23!AV8+HISTOMAI23!AV8+HISTOJUIN23!AV8+HISTOJUIL23!AV8+HISTOAOUT23!AV8+HISTOSEPT23!AV8+HISTOOCT23!AV8+HISTONOV23!AV8+HISTODEC23!AV8</f>
        <v>0</v>
      </c>
      <c r="AW8" s="5">
        <f>HISTOJANV23!AW8+HISTOFEV23!AW8+HISTOMARS23!AW8+HISTOAVRIL23!AW8+HISTOMAI23!AW8+HISTOJUIN23!AW8+HISTOJUIL23!AW8+HISTOAOUT23!AW8+HISTOSEPT23!AW8+HISTOOCT23!AW8+HISTONOV23!AW8+HISTODEC23!AW8</f>
        <v>297500</v>
      </c>
      <c r="AX8" s="5">
        <f>HISTOJANV23!AX8+HISTOFEV23!AX8+HISTOMARS23!AX8+HISTOAVRIL23!AX8+HISTOMAI23!AX8+HISTOJUIN23!AX8+HISTOJUIL23!AX8+HISTOAOUT23!AX8+HISTOSEPT23!AX8+HISTOOCT23!AX8+HISTONOV23!AX8+HISTODEC23!AX8</f>
        <v>992500</v>
      </c>
      <c r="AY8" s="5">
        <f>HISTOJANV23!AY8+HISTOFEV23!AY8+HISTOMARS23!AY8+HISTOAVRIL23!AY8+HISTOMAI23!AY8+HISTOJUIN23!AY8+HISTOJUIL23!AY8+HISTOAOUT23!AY8+HISTOSEPT23!AY8+HISTOOCT23!AY8+HISTONOV23!AY8+HISTODEC23!AY8</f>
        <v>0</v>
      </c>
      <c r="AZ8" s="5">
        <f>HISTOJANV23!AZ8+HISTOFEV23!AZ8+HISTOMARS23!AZ8+HISTOAVRIL23!AZ8+HISTOMAI23!AZ8+HISTOJUIN23!AZ8+HISTOJUIL23!AZ8+HISTOAOUT23!AZ8+HISTOSEPT23!AZ8+HISTOOCT23!AZ8+HISTONOV23!AZ8+HISTODEC23!AZ8</f>
        <v>2195000</v>
      </c>
      <c r="BA8" s="5">
        <f>HISTOJANV23!BA8+HISTOFEV23!BA8+HISTOMARS23!BA8+HISTOAVRIL23!BA8+HISTOMAI23!BA8+HISTOJUIN23!BA8+HISTOJUIL23!BA8+HISTOAOUT23!BA8+HISTOSEPT23!BA8+HISTOOCT23!BA8+HISTONOV23!BA8+HISTODEC23!BA8</f>
        <v>0</v>
      </c>
      <c r="BB8" s="5">
        <f>HISTOJANV23!BB8+HISTOFEV23!BB8+HISTOMARS23!BB8+HISTOAVRIL23!BB8+HISTOMAI23!BB8+HISTOJUIN23!BB8+HISTOJUIL23!BB8+HISTOAOUT23!BB8+HISTOSEPT23!BB8+HISTOOCT23!BB8+HISTONOV23!BB8+HISTODEC23!BB8</f>
        <v>70000</v>
      </c>
      <c r="BC8" s="5">
        <f>HISTOJANV23!BC8+HISTOFEV23!BC8+HISTOMARS23!BC8+HISTOAVRIL23!BC8+HISTOMAI23!BC8+HISTOJUIN23!BC8+HISTOJUIL23!BC8+HISTOAOUT23!BC8+HISTOSEPT23!BC8+HISTOOCT23!BC8+HISTONOV23!BC8+HISTODEC23!BC8</f>
        <v>0</v>
      </c>
      <c r="BD8" s="5">
        <f>HISTOJANV23!BD8+HISTOFEV23!BD8+HISTOMARS23!BD8+HISTOAVRIL23!BD8+HISTOMAI23!BD8+HISTOJUIN23!BD8+HISTOJUIL23!BD8+HISTOAOUT23!BD8+HISTOSEPT23!BD8+HISTOOCT23!BD8+HISTONOV23!BD8+HISTODEC23!BD8</f>
        <v>2195000</v>
      </c>
      <c r="BE8" s="82" t="e">
        <f>HISTOJANV23!BE8+HISTOFEV23!BE8+HISTOMARS23!BE8+HISTOAVRIL23!BE8+HISTOMAI23!BE8+HISTOJUIN23!BE8+HISTOJUIL23!BE8+HISTOAOUT23!BE8+HISTOSEPT23!BE8+HISTOOCT23!BE8+HISTONOV23!BE8+HISTODEC23!BE8</f>
        <v>#VALUE!</v>
      </c>
      <c r="BF8" s="5">
        <f>HISTOJANV23!BF8+HISTOFEV23!BF8+HISTOMARS23!BF8+HISTOAVRIL23!BF8+HISTOMAI23!BF8+HISTOJUIN23!BF8+HISTOJUIL23!BF8+HISTOAOUT23!BF8+HISTOSEPT23!BF8+HISTOOCT23!BF8+HISTONOV23!BF8+HISTODEC23!BF8</f>
        <v>25000</v>
      </c>
      <c r="BG8" s="5">
        <f>HISTOJANV23!BG8+HISTOFEV23!BG8+HISTOMARS23!BG8+HISTOAVRIL23!BG8+HISTOMAI23!BG8+HISTOJUIN23!BG8+HISTOJUIL23!BG8+HISTOAOUT23!BG8+HISTOSEPT23!BG8+HISTOOCT23!BG8+HISTONOV23!BG8+HISTODEC23!BG8</f>
        <v>63</v>
      </c>
      <c r="BH8" s="5">
        <f>HISTOJANV23!BH8+HISTOFEV23!BH8+HISTOMARS23!BH8+HISTOAVRIL23!BH8+HISTOMAI23!BH8+HISTOJUIN23!BH8+HISTOJUIL23!BH8+HISTOAOUT23!BH8+HISTOSEPT23!BH8+HISTOOCT23!BH8+HISTONOV23!BH8+HISTODEC23!BH8</f>
        <v>0</v>
      </c>
      <c r="BI8" s="5">
        <f>HISTOJANV23!BI8+HISTOFEV23!BI8+HISTOMARS23!BI8+HISTOAVRIL23!BI8+HISTOMAI23!BI8+HISTOJUIN23!BI8+HISTOJUIL23!BI8+HISTOAOUT23!BI8+HISTOSEPT23!BI8+HISTOOCT23!BI8+HISTONOV23!BI8+HISTODEC23!BI8</f>
        <v>0</v>
      </c>
      <c r="BJ8" s="5">
        <f>HISTOJANV23!BJ8+HISTOFEV23!BJ8+HISTOMARS23!BJ8+HISTOAVRIL23!BJ8+HISTOMAI23!BJ8+HISTOJUIN23!BJ8+HISTOJUIL23!BJ8+HISTOAOUT23!BJ8+HISTOSEPT23!BJ8+HISTOOCT23!BJ8+HISTONOV23!BJ8+HISTODEC23!BJ8</f>
        <v>0</v>
      </c>
      <c r="BK8" s="5">
        <f>HISTOJANV23!BK8+HISTOFEV23!BK8+HISTOMARS23!BK8+HISTOAVRIL23!BK8+HISTOMAI23!BK8+HISTOJUIN23!BK8+HISTOJUIL23!BK8+HISTOAOUT23!BK8+HISTOSEPT23!BK8+HISTOOCT23!BK8+HISTONOV23!BK8+HISTODEC23!BK8</f>
        <v>0</v>
      </c>
      <c r="BL8" s="5">
        <f>HISTOJANV23!BL8+HISTOFEV23!BL8+HISTOMARS23!BL8+HISTOAVRIL23!BL8+HISTOMAI23!BL8+HISTOJUIN23!BL8+HISTOJUIL23!BL8+HISTOAOUT23!BL8+HISTOSEPT23!BL8+HISTOOCT23!BL8+HISTONOV23!BL8+HISTODEC23!BL8</f>
        <v>0</v>
      </c>
      <c r="BM8" s="5">
        <f>HISTOJANV23!BM8+HISTOFEV23!BM8+HISTOMARS23!BM8+HISTOAVRIL23!BM8+HISTOMAI23!BM8+HISTOJUIN23!BM8+HISTOJUIL23!BM8+HISTOAOUT23!BM8+HISTOSEPT23!BM8+HISTOOCT23!BM8+HISTONOV23!BM8+HISTODEC23!BM8</f>
        <v>0</v>
      </c>
      <c r="BN8" t="s">
        <v>117</v>
      </c>
      <c r="BO8" t="s">
        <v>114</v>
      </c>
      <c r="BP8" s="5">
        <f>HISTOJANV23!BP8+HISTOFEV23!BP8+HISTOMARS23!BP8+HISTOAVRIL23!BP8+HISTOMAI23!BP8+HISTOJUIN23!BP8+HISTOJUIL23!BP8+HISTOAOUT23!BP8+HISTOSEPT23!BP8+HISTOOCT23!BP8+HISTONOV23!BP8+HISTODEC23!BP8</f>
        <v>83000</v>
      </c>
    </row>
    <row r="9" spans="1:68" ht="18.75" x14ac:dyDescent="0.3">
      <c r="A9" s="1" t="s">
        <v>13</v>
      </c>
      <c r="B9" s="1" t="str">
        <f>VLOOKUP(A9,[17]LISTADHERENT!A$5:H$39,3,0)</f>
        <v xml:space="preserve">DJOMO JEAN PAUL </v>
      </c>
      <c r="C9" s="5">
        <f>HISTOJANV23!C9+HISTOFEV23!C9+HISTOMARS23!C9+HISTOAVRIL23!C9+HISTOMAI23!C9+HISTOJUIN23!C9+HISTOJUIL23!C9+HISTOAOUT23!C9+HISTOSEPT23!C9+HISTOOCT23!C9+HISTONOV23!C9+HISTODEC23!C9</f>
        <v>221000</v>
      </c>
      <c r="D9" s="5">
        <f>HISTOJANV23!D9+HISTOFEV23!D9+HISTOMARS23!D9+HISTOAVRIL23!D9+HISTOMAI23!D9+HISTOJUIN23!D9+HISTOJUIL23!D9+HISTOAOUT23!D9+HISTOSEPT23!D9+HISTOOCT23!D9+HISTONOV23!D9+HISTODEC23!D9</f>
        <v>2793000</v>
      </c>
      <c r="E9" s="5">
        <f>HISTOJANV23!E9+HISTOFEV23!E9+HISTOMARS23!E9+HISTOAVRIL23!E9+HISTOMAI23!E9+HISTOJUIN23!E9+HISTOJUIL23!E9+HISTOAOUT23!E9+HISTOSEPT23!E9+HISTOOCT23!E9+HISTONOV23!E9+HISTODEC23!E9</f>
        <v>1392500</v>
      </c>
      <c r="F9" s="5">
        <f>HISTOJANV23!F9+HISTOFEV23!F9+HISTOMARS23!F9+HISTOAVRIL23!F9+HISTOMAI23!F9+HISTOJUIN23!F9+HISTOJUIL23!F9+HISTOAOUT23!F9+HISTOSEPT23!F9+HISTOOCT23!F9+HISTONOV23!F9+HISTODEC23!F9</f>
        <v>830000</v>
      </c>
      <c r="G9" s="5">
        <f>HISTOJANV23!G9+HISTOFEV23!G9+HISTOMARS23!G9+HISTOAVRIL23!G9+HISTOMAI23!G9+HISTOJUIN23!G9+HISTOJUIL23!G9+HISTOAOUT23!G9+HISTOSEPT23!G9+HISTOOCT23!G9+HISTONOV23!G9+HISTODEC23!G9</f>
        <v>3000</v>
      </c>
      <c r="H9" s="10" t="str">
        <f t="shared" si="0"/>
        <v>BANQUE</v>
      </c>
      <c r="I9" s="5">
        <f>HISTOJANV23!I9+HISTOFEV23!I9+HISTOMARS23!I9+HISTOAVRIL23!I9+HISTOMAI23!I9+HISTOJUIN23!I9+HISTOJUIL23!I9+HISTOAOUT23!I9+HISTOSEPT23!I9+HISTOOCT23!I9+HISTONOV23!I9+HISTODEC23!I9</f>
        <v>61000</v>
      </c>
      <c r="J9" s="5">
        <f>HISTOJANV23!J9+HISTOFEV23!J9+HISTOMARS23!J9+HISTOAVRIL23!J9+HISTOMAI23!J9+HISTOJUIN23!J9+HISTOJUIL23!J9+HISTOAOUT23!J9+HISTOSEPT23!J9+HISTOOCT23!J9+HISTONOV23!J9+HISTODEC23!J9</f>
        <v>12</v>
      </c>
      <c r="K9" s="5">
        <f>HISTOJANV23!K9+HISTOFEV23!K9+HISTOMARS23!K9+HISTOAVRIL23!K9+HISTOMAI23!K9+HISTOJUIN23!K9+HISTOJUIL23!K9+HISTOAOUT23!K9+HISTOSEPT23!K9+HISTOOCT23!K9+HISTONOV23!K9+HISTODEC23!K9</f>
        <v>480000</v>
      </c>
      <c r="L9" s="5">
        <f>HISTOJANV23!L9+HISTOFEV23!L9+HISTOMARS23!L9+HISTOAVRIL23!L9+HISTOMAI23!L9+HISTOJUIN23!L9+HISTOJUIL23!L9+HISTOAOUT23!L9+HISTOSEPT23!L9+HISTOOCT23!L9+HISTONOV23!L9+HISTODEC23!L9</f>
        <v>0</v>
      </c>
      <c r="M9" s="5">
        <f>HISTOJANV23!M9+HISTOFEV23!M9+HISTOMARS23!M9+HISTOAVRIL23!M9+HISTOMAI23!M9+HISTOJUIN23!M9+HISTOJUIL23!M9+HISTOAOUT23!M9+HISTOSEPT23!M9+HISTOOCT23!M9+HISTONOV23!M9+HISTODEC23!M9</f>
        <v>0</v>
      </c>
      <c r="N9" s="5">
        <f>HISTOJANV23!N9+HISTOFEV23!N9+HISTOMARS23!N9+HISTOAVRIL23!N9+HISTOMAI23!N9+HISTOJUIN23!N9+HISTOJUIL23!N9+HISTOAOUT23!N9+HISTOSEPT23!N9+HISTOOCT23!N9+HISTONOV23!N9+HISTODEC23!N9</f>
        <v>12</v>
      </c>
      <c r="O9" s="5">
        <f>HISTOJANV23!O9+HISTOFEV23!O9+HISTOMARS23!O9+HISTOAVRIL23!O9+HISTOMAI23!O9+HISTOJUIN23!O9+HISTOJUIL23!O9+HISTOAOUT23!O9+HISTOSEPT23!O9+HISTOOCT23!O9+HISTONOV23!O9+HISTODEC23!O9</f>
        <v>1200000</v>
      </c>
      <c r="P9" s="5">
        <f>HISTOJANV23!P9+HISTOFEV23!P9+HISTOMARS23!P9+HISTOAVRIL23!P9+HISTOMAI23!P9+HISTOJUIN23!P9+HISTOJUIL23!P9+HISTOAOUT23!P9+HISTOSEPT23!P9+HISTOOCT23!P9+HISTONOV23!P9+HISTODEC23!P9</f>
        <v>23000</v>
      </c>
      <c r="Q9" s="5">
        <f>HISTOJANV23!Q9+HISTOFEV23!Q9+HISTOMARS23!Q9+HISTOAVRIL23!Q9+HISTOMAI23!Q9+HISTOJUIN23!Q9+HISTOJUIL23!Q9+HISTOAOUT23!Q9+HISTOSEPT23!Q9+HISTOOCT23!Q9+HISTONOV23!Q9+HISTODEC23!Q9</f>
        <v>0</v>
      </c>
      <c r="R9" s="5">
        <f>HISTOJANV23!R9+HISTOFEV23!R9+HISTOMARS23!R9+HISTOAVRIL23!R9+HISTOMAI23!R9+HISTOJUIN23!R9+HISTOJUIL23!R9+HISTOAOUT23!R9+HISTOSEPT23!R9+HISTOOCT23!R9+HISTONOV23!R9+HISTODEC23!R9</f>
        <v>1197500</v>
      </c>
      <c r="S9" s="5">
        <f>HISTOJANV23!S9+HISTOFEV23!S9+HISTOMARS23!S9+HISTOAVRIL23!S9+HISTOMAI23!S9+HISTOJUIN23!S9+HISTOJUIL23!S9+HISTOAOUT23!S9+HISTOSEPT23!S9+HISTOOCT23!S9+HISTONOV23!S9+HISTODEC23!S9</f>
        <v>1690000</v>
      </c>
      <c r="T9" s="5" t="e">
        <f>HISTOJANV23!T9+HISTOFEV23!T9+HISTOMARS23!T9+HISTOAVRIL23!T9+HISTOMAI23!T9+HISTOJUIN23!T9+HISTOJUIL23!T9+HISTOAOUT23!T9+HISTOSEPT23!T9+HISTOOCT23!T9+HISTONOV23!T9+HISTODEC23!T9</f>
        <v>#VALUE!</v>
      </c>
      <c r="U9" s="17">
        <f t="shared" si="1"/>
        <v>4663500</v>
      </c>
      <c r="V9" s="5">
        <f>HISTOJANV23!V9+HISTOFEV23!V9+HISTOMARS23!V9+HISTOAVRIL23!V9+HISTOMAI23!V9+HISTOJUIN23!V9+HISTOJUIL23!V9+HISTOAOUT23!V9+HISTOSEPT23!V9+HISTOOCT23!V9+HISTONOV23!V9+HISTODEC23!V9</f>
        <v>9000</v>
      </c>
      <c r="W9" s="5">
        <f>HISTOJANV23!W9+HISTOFEV23!W9+HISTOMARS23!W9+HISTOAVRIL23!W9+HISTOMAI23!W9+HISTOJUIN23!W9+HISTOJUIL23!W9+HISTOAOUT23!W9+HISTOSEPT23!W9+HISTOOCT23!W9+HISTONOV23!W9+HISTODEC23!W9</f>
        <v>0</v>
      </c>
      <c r="X9" s="5">
        <f>HISTOJANV23!X9+HISTOFEV23!X9+HISTOMARS23!X9+HISTOAVRIL23!X9+HISTOMAI23!X9+HISTOJUIN23!X9+HISTOJUIL23!X9+HISTOAOUT23!X9+HISTOSEPT23!X9+HISTOOCT23!X9+HISTONOV23!X9+HISTODEC23!X9</f>
        <v>0</v>
      </c>
      <c r="Y9" s="5">
        <f>HISTOJANV23!Y9+HISTOFEV23!Y9+HISTOMARS23!Y9+HISTOAVRIL23!Y9+HISTOMAI23!Y9+HISTOJUIN23!Y9+HISTOJUIL23!Y9+HISTOAOUT23!Y9+HISTOSEPT23!Y9+HISTOOCT23!Y9+HISTONOV23!Y9+HISTODEC23!Y9</f>
        <v>0</v>
      </c>
      <c r="Z9" s="5">
        <f>HISTOJANV23!Z9+HISTOFEV23!Z9+HISTOMARS23!Z9+HISTOAVRIL23!Z9+HISTOMAI23!Z9+HISTOJUIN23!Z9+HISTOJUIL23!Z9+HISTOAOUT23!Z9+HISTOSEPT23!Z9+HISTOOCT23!Z9+HISTONOV23!Z9+HISTODEC23!Z9</f>
        <v>1000000</v>
      </c>
      <c r="AA9" s="5" t="e">
        <f>HISTOJANV23!AA9+HISTOFEV23!AA9+HISTOMARS23!AA9+HISTOAVRIL23!AA9+HISTOMAI23!AA9+HISTOJUIN23!AA9+HISTOJUIL23!AA9+HISTOAOUT23!AA9+HISTOSEPT23!AA9+HISTOOCT23!AA9+HISTONOV23!AA9+HISTODEC23!AA9</f>
        <v>#VALUE!</v>
      </c>
      <c r="AB9" s="5">
        <f>HISTOJANV23!AB9+HISTOFEV23!AB9+HISTOMARS23!AB9+HISTOAVRIL23!AB9+HISTOMAI23!AB9+HISTOJUIN23!AB9+HISTOJUIL23!AB9+HISTOAOUT23!AB9+HISTOSEPT23!AB9+HISTOOCT23!AB9+HISTONOV23!AB9+HISTODEC23!AB9</f>
        <v>0</v>
      </c>
      <c r="AC9" s="5">
        <f>HISTOJANV23!AC9+HISTOFEV23!AC9+HISTOMARS23!AC9+HISTOAVRIL23!AC9+HISTOMAI23!AC9+HISTOJUIN23!AC9+HISTOJUIL23!AC9+HISTOAOUT23!AC9+HISTOSEPT23!AC9+HISTOOCT23!AC9+HISTONOV23!AC9+HISTODEC23!AC9</f>
        <v>45000</v>
      </c>
      <c r="AD9" s="5">
        <f>HISTOJANV23!AD9+HISTOFEV23!AD9+HISTOMARS23!AD9+HISTOAVRIL23!AD9+HISTOMAI23!AD9+HISTOJUIN23!AD9+HISTOJUIL23!AD9+HISTOAOUT23!AD9+HISTOSEPT23!AD9+HISTOOCT23!AD9+HISTONOV23!AD9+HISTODEC23!AD9</f>
        <v>0</v>
      </c>
      <c r="AE9" s="5">
        <f>HISTOJANV23!AE9+HISTOFEV23!AE9+HISTOMARS23!AE9+HISTOAVRIL23!AE9+HISTOMAI23!AE9+HISTOJUIN23!AE9+HISTOJUIL23!AE9+HISTOAOUT23!AE9+HISTOSEPT23!AE9+HISTOOCT23!AE9+HISTONOV23!AE9+HISTODEC23!AE9</f>
        <v>10000</v>
      </c>
      <c r="AF9" s="5" t="e">
        <f>HISTOJANV23!AF9+HISTOFEV23!AF9+HISTOMARS23!AF9+HISTOAVRIL23!AF9+HISTOMAI23!AF9+HISTOJUIN23!AF9+HISTOJUIL23!AF9+HISTOAOUT23!AF9+HISTOSEPT23!AF9+HISTOOCT23!AF9+HISTONOV23!AF9+HISTODEC23!AF9</f>
        <v>#VALUE!</v>
      </c>
      <c r="AG9" s="5">
        <f>HISTOJANV23!AG9+HISTOFEV23!AG9+HISTOMARS23!AG9+HISTOAVRIL23!AG9+HISTOMAI23!AG9+HISTOJUIN23!AG9+HISTOJUIL23!AG9+HISTOAOUT23!AG9+HISTOSEPT23!AG9+HISTOOCT23!AG9+HISTONOV23!AG9+HISTODEC23!AG9</f>
        <v>0</v>
      </c>
      <c r="AH9" s="5">
        <f>HISTOJANV23!AH9+HISTOFEV23!AH9+HISTOMARS23!AH9+HISTOAVRIL23!AH9+HISTOMAI23!AH9+HISTOJUIN23!AH9+HISTOJUIL23!AH9+HISTOAOUT23!AH9+HISTOSEPT23!AH9+HISTOOCT23!AH9+HISTONOV23!AH9+HISTODEC23!AH9</f>
        <v>0</v>
      </c>
      <c r="AI9" s="5">
        <f>HISTOJANV23!AI9+HISTOFEV23!AI9+HISTOMARS23!AI9+HISTOAVRIL23!AI9+HISTOMAI23!AI9+HISTOJUIN23!AI9+HISTOJUIL23!AI9+HISTOAOUT23!AI9+HISTOSEPT23!AI9+HISTOOCT23!AI9+HISTONOV23!AI9+HISTODEC23!AI9</f>
        <v>22500</v>
      </c>
      <c r="AJ9" s="5">
        <f>HISTOJANV23!AJ9+HISTOFEV23!AJ9+HISTOMARS23!AJ9+HISTOAVRIL23!AJ9+HISTOMAI23!AJ9+HISTOJUIN23!AJ9+HISTOJUIL23!AJ9+HISTOAOUT23!AJ9+HISTOSEPT23!AJ9+HISTOOCT23!AJ9+HISTONOV23!AJ9+HISTODEC23!AJ9</f>
        <v>0</v>
      </c>
      <c r="AK9" s="5">
        <f>HISTOJANV23!AK9+HISTOFEV23!AK9+HISTOMARS23!AK9+HISTOAVRIL23!AK9+HISTOMAI23!AK9+HISTOJUIN23!AK9+HISTOJUIL23!AK9+HISTOAOUT23!AK9+HISTOSEPT23!AK9+HISTOOCT23!AK9+HISTONOV23!AK9+HISTODEC23!AK9</f>
        <v>1184000</v>
      </c>
      <c r="AL9" s="5">
        <f>HISTOJANV23!AL9+HISTOFEV23!AL9+HISTOMARS23!AL9+HISTOAVRIL23!AL9+HISTOMAI23!AL9+HISTOJUIN23!AL9+HISTOJUIL23!AL9+HISTOAOUT23!AL9+HISTOSEPT23!AL9+HISTOOCT23!AL9+HISTONOV23!AL9+HISTODEC23!AL9</f>
        <v>500</v>
      </c>
      <c r="AM9" s="5">
        <f>HISTOJANV23!AM9+HISTOFEV23!AM9+HISTOMARS23!AM9+HISTOAVRIL23!AM9+HISTOMAI23!AM9+HISTOJUIN23!AM9+HISTOJUIL23!AM9+HISTOAOUT23!AM9+HISTOSEPT23!AM9+HISTOOCT23!AM9+HISTONOV23!AM9+HISTODEC23!AM9</f>
        <v>0</v>
      </c>
      <c r="AN9" s="5">
        <f>HISTOJANV23!AN9+HISTOFEV23!AN9+HISTOMARS23!AN9+HISTOAVRIL23!AN9+HISTOMAI23!AN9+HISTOJUIN23!AN9+HISTOJUIL23!AN9+HISTOAOUT23!AN9+HISTOSEPT23!AN9+HISTOOCT23!AN9+HISTONOV23!AN9+HISTODEC23!AN9</f>
        <v>13500</v>
      </c>
      <c r="AO9" s="5">
        <f>HISTOJANV23!AO9+HISTOFEV23!AO9+HISTOMARS23!AO9+HISTOAVRIL23!AO9+HISTOMAI23!AO9+HISTOJUIN23!AO9+HISTOJUIL23!AO9+HISTOAOUT23!AO9+HISTOSEPT23!AO9+HISTOOCT23!AO9+HISTONOV23!AO9+HISTODEC23!AO9</f>
        <v>0</v>
      </c>
      <c r="AP9" s="5" t="e">
        <f>HISTOJANV23!AP9+HISTOFEV23!AP9+HISTOMARS23!AP9+HISTOAVRIL23!AP9+HISTOMAI23!AP9+HISTOJUIN23!AP9+HISTOJUIL23!AP9+HISTOAOUT23!AP9+HISTOSEPT23!AP9+HISTOOCT23!AP9+HISTONOV23!AP9+HISTODEC23!AP9</f>
        <v>#VALUE!</v>
      </c>
      <c r="AQ9" s="5">
        <f>HISTOJANV23!AQ9+HISTOFEV23!AQ9+HISTOMARS23!AQ9+HISTOAVRIL23!AQ9+HISTOMAI23!AQ9+HISTOJUIN23!AQ9+HISTOJUIL23!AQ9+HISTOAOUT23!AQ9+HISTOSEPT23!AQ9+HISTOOCT23!AQ9+HISTONOV23!AQ9+HISTODEC23!AQ9</f>
        <v>0</v>
      </c>
      <c r="AR9" s="5">
        <f>HISTOJANV23!AR9+HISTOFEV23!AR9+HISTOMARS23!AR9+HISTOAVRIL23!AR9+HISTOMAI23!AR9+HISTOJUIN23!AR9+HISTOJUIL23!AR9+HISTOAOUT23!AR9+HISTOSEPT23!AR9+HISTOOCT23!AR9+HISTONOV23!AR9+HISTODEC23!AR9</f>
        <v>0</v>
      </c>
      <c r="AS9" s="5">
        <f>HISTOJANV23!AS9+HISTOFEV23!AS9+HISTOMARS23!AS9+HISTOAVRIL23!AS9+HISTOMAI23!AS9+HISTOJUIN23!AS9+HISTOJUIL23!AS9+HISTOAOUT23!AS9+HISTOSEPT23!AS9+HISTOOCT23!AS9+HISTONOV23!AS9+HISTODEC23!AS9</f>
        <v>241000</v>
      </c>
      <c r="AT9" s="5">
        <f>HISTOJANV23!AT9+HISTOFEV23!AT9+HISTOMARS23!AT9+HISTOAVRIL23!AT9+HISTOMAI23!AT9+HISTOJUIN23!AT9+HISTOJUIL23!AT9+HISTOAOUT23!AT9+HISTOSEPT23!AT9+HISTOOCT23!AT9+HISTONOV23!AT9+HISTODEC23!AT9</f>
        <v>0</v>
      </c>
      <c r="AU9" s="5">
        <f>HISTOJANV23!AU9+HISTOFEV23!AU9+HISTOMARS23!AU9+HISTOAVRIL23!AU9+HISTOMAI23!AU9+HISTOJUIN23!AU9+HISTOJUIL23!AU9+HISTOAOUT23!AU9+HISTOSEPT23!AU9+HISTOOCT23!AU9+HISTONOV23!AU9+HISTODEC23!AU9</f>
        <v>0</v>
      </c>
      <c r="AV9" s="5">
        <f>HISTOJANV23!AV9+HISTOFEV23!AV9+HISTOMARS23!AV9+HISTOAVRIL23!AV9+HISTOMAI23!AV9+HISTOJUIN23!AV9+HISTOJUIL23!AV9+HISTOAOUT23!AV9+HISTOSEPT23!AV9+HISTOOCT23!AV9+HISTONOV23!AV9+HISTODEC23!AV9</f>
        <v>0</v>
      </c>
      <c r="AW9" s="5">
        <f>HISTOJANV23!AW9+HISTOFEV23!AW9+HISTOMARS23!AW9+HISTOAVRIL23!AW9+HISTOMAI23!AW9+HISTOJUIN23!AW9+HISTOJUIL23!AW9+HISTOAOUT23!AW9+HISTOSEPT23!AW9+HISTOOCT23!AW9+HISTONOV23!AW9+HISTODEC23!AW9</f>
        <v>277500</v>
      </c>
      <c r="AX9" s="5">
        <f>HISTOJANV23!AX9+HISTOFEV23!AX9+HISTOMARS23!AX9+HISTOAVRIL23!AX9+HISTOMAI23!AX9+HISTOJUIN23!AX9+HISTOJUIL23!AX9+HISTOAOUT23!AX9+HISTOSEPT23!AX9+HISTOOCT23!AX9+HISTONOV23!AX9+HISTODEC23!AX9</f>
        <v>0</v>
      </c>
      <c r="AY9" s="5">
        <f>HISTOJANV23!AY9+HISTOFEV23!AY9+HISTOMARS23!AY9+HISTOAVRIL23!AY9+HISTOMAI23!AY9+HISTOJUIN23!AY9+HISTOJUIL23!AY9+HISTOAOUT23!AY9+HISTOSEPT23!AY9+HISTOOCT23!AY9+HISTONOV23!AY9+HISTODEC23!AY9</f>
        <v>2374000</v>
      </c>
      <c r="AZ9" s="5">
        <f>HISTOJANV23!AZ9+HISTOFEV23!AZ9+HISTOMARS23!AZ9+HISTOAVRIL23!AZ9+HISTOMAI23!AZ9+HISTOJUIN23!AZ9+HISTOJUIL23!AZ9+HISTOAOUT23!AZ9+HISTOSEPT23!AZ9+HISTOOCT23!AZ9+HISTONOV23!AZ9+HISTODEC23!AZ9</f>
        <v>2701500</v>
      </c>
      <c r="BA9" s="5">
        <f>HISTOJANV23!BA9+HISTOFEV23!BA9+HISTOMARS23!BA9+HISTOAVRIL23!BA9+HISTOMAI23!BA9+HISTOJUIN23!BA9+HISTOJUIL23!BA9+HISTOAOUT23!BA9+HISTOSEPT23!BA9+HISTOOCT23!BA9+HISTONOV23!BA9+HISTODEC23!BA9</f>
        <v>622500</v>
      </c>
      <c r="BB9" s="5">
        <f>HISTOJANV23!BB9+HISTOFEV23!BB9+HISTOMARS23!BB9+HISTOAVRIL23!BB9+HISTOMAI23!BB9+HISTOJUIN23!BB9+HISTOJUIL23!BB9+HISTOAOUT23!BB9+HISTOSEPT23!BB9+HISTOOCT23!BB9+HISTONOV23!BB9+HISTODEC23!BB9</f>
        <v>140000</v>
      </c>
      <c r="BC9" s="5">
        <f>HISTOJANV23!BC9+HISTOFEV23!BC9+HISTOMARS23!BC9+HISTOAVRIL23!BC9+HISTOMAI23!BC9+HISTOJUIN23!BC9+HISTOJUIL23!BC9+HISTOAOUT23!BC9+HISTOSEPT23!BC9+HISTOOCT23!BC9+HISTONOV23!BC9+HISTODEC23!BC9</f>
        <v>0</v>
      </c>
      <c r="BD9" s="5">
        <f>HISTOJANV23!BD9+HISTOFEV23!BD9+HISTOMARS23!BD9+HISTOAVRIL23!BD9+HISTOMAI23!BD9+HISTOJUIN23!BD9+HISTOJUIL23!BD9+HISTOAOUT23!BD9+HISTOSEPT23!BD9+HISTOOCT23!BD9+HISTONOV23!BD9+HISTODEC23!BD9</f>
        <v>2769000</v>
      </c>
      <c r="BE9" s="82">
        <f>HISTOJANV23!BE9+HISTOFEV23!BE9+HISTOMARS23!BE9+HISTOAVRIL23!BE9+HISTOMAI23!BE9+HISTOJUIN23!BE9+HISTOJUIL23!BE9+HISTOAOUT23!BE9+HISTOSEPT23!BE9+HISTOOCT23!BE9+HISTONOV23!BE9+HISTODEC23!BE9</f>
        <v>1789000</v>
      </c>
      <c r="BF9" s="5">
        <f>HISTOJANV23!BF9+HISTOFEV23!BF9+HISTOMARS23!BF9+HISTOAVRIL23!BF9+HISTOMAI23!BF9+HISTOJUIN23!BF9+HISTOJUIL23!BF9+HISTOAOUT23!BF9+HISTOSEPT23!BF9+HISTOOCT23!BF9+HISTONOV23!BF9+HISTODEC23!BF9</f>
        <v>120000</v>
      </c>
      <c r="BG9" s="5">
        <f>HISTOJANV23!BG9+HISTOFEV23!BG9+HISTOMARS23!BG9+HISTOAVRIL23!BG9+HISTOMAI23!BG9+HISTOJUIN23!BG9+HISTOJUIL23!BG9+HISTOAOUT23!BG9+HISTOSEPT23!BG9+HISTOOCT23!BG9+HISTONOV23!BG9+HISTODEC23!BG9</f>
        <v>78</v>
      </c>
      <c r="BH9" s="5">
        <f>HISTOJANV23!BH9+HISTOFEV23!BH9+HISTOMARS23!BH9+HISTOAVRIL23!BH9+HISTOMAI23!BH9+HISTOJUIN23!BH9+HISTOJUIL23!BH9+HISTOAOUT23!BH9+HISTOSEPT23!BH9+HISTOOCT23!BH9+HISTONOV23!BH9+HISTODEC23!BH9</f>
        <v>0</v>
      </c>
      <c r="BI9" s="5">
        <f>HISTOJANV23!BI9+HISTOFEV23!BI9+HISTOMARS23!BI9+HISTOAVRIL23!BI9+HISTOMAI23!BI9+HISTOJUIN23!BI9+HISTOJUIL23!BI9+HISTOAOUT23!BI9+HISTOSEPT23!BI9+HISTOOCT23!BI9+HISTONOV23!BI9+HISTODEC23!BI9</f>
        <v>0</v>
      </c>
      <c r="BJ9" s="5">
        <f>HISTOJANV23!BJ9+HISTOFEV23!BJ9+HISTOMARS23!BJ9+HISTOAVRIL23!BJ9+HISTOMAI23!BJ9+HISTOJUIN23!BJ9+HISTOJUIL23!BJ9+HISTOAOUT23!BJ9+HISTOSEPT23!BJ9+HISTOOCT23!BJ9+HISTONOV23!BJ9+HISTODEC23!BJ9</f>
        <v>0</v>
      </c>
      <c r="BK9" s="5">
        <f>HISTOJANV23!BK9+HISTOFEV23!BK9+HISTOMARS23!BK9+HISTOAVRIL23!BK9+HISTOMAI23!BK9+HISTOJUIN23!BK9+HISTOJUIL23!BK9+HISTOAOUT23!BK9+HISTOSEPT23!BK9+HISTOOCT23!BK9+HISTONOV23!BK9+HISTODEC23!BK9</f>
        <v>0</v>
      </c>
      <c r="BL9" s="5">
        <f>HISTOJANV23!BL9+HISTOFEV23!BL9+HISTOMARS23!BL9+HISTOAVRIL23!BL9+HISTOMAI23!BL9+HISTOJUIN23!BL9+HISTOJUIL23!BL9+HISTOAOUT23!BL9+HISTOSEPT23!BL9+HISTOOCT23!BL9+HISTONOV23!BL9+HISTODEC23!BL9</f>
        <v>0</v>
      </c>
      <c r="BM9" s="5">
        <f>HISTOJANV23!BM9+HISTOFEV23!BM9+HISTOMARS23!BM9+HISTOAVRIL23!BM9+HISTOMAI23!BM9+HISTOJUIN23!BM9+HISTOJUIL23!BM9+HISTOAOUT23!BM9+HISTOSEPT23!BM9+HISTOOCT23!BM9+HISTONOV23!BM9+HISTODEC23!BM9</f>
        <v>0</v>
      </c>
      <c r="BN9" t="s">
        <v>147</v>
      </c>
      <c r="BO9" t="s">
        <v>114</v>
      </c>
      <c r="BP9" s="5">
        <f>HISTOJANV23!BP9+HISTOFEV23!BP9+HISTOMARS23!BP9+HISTOAVRIL23!BP9+HISTOMAI23!BP9+HISTOJUIN23!BP9+HISTOJUIL23!BP9+HISTOAOUT23!BP9+HISTOSEPT23!BP9+HISTOOCT23!BP9+HISTONOV23!BP9+HISTODEC23!BP9</f>
        <v>0</v>
      </c>
    </row>
    <row r="10" spans="1:68" ht="18.75" x14ac:dyDescent="0.3">
      <c r="A10" s="1" t="s">
        <v>14</v>
      </c>
      <c r="B10" s="1" t="str">
        <f>VLOOKUP(A10,[17]LISTADHERENT!A$5:H$39,3,0)</f>
        <v>DJOMOU TCHAPDA</v>
      </c>
      <c r="C10" s="5">
        <f>HISTOJANV23!C10+HISTOFEV23!C10+HISTOMARS23!C10+HISTOAVRIL23!C10+HISTOMAI23!C10+HISTOJUIN23!C10+HISTOJUIL23!C10+HISTOAOUT23!C10+HISTOSEPT23!C10+HISTOOCT23!C10+HISTONOV23!C10+HISTODEC23!C10</f>
        <v>-70000</v>
      </c>
      <c r="D10" s="5">
        <f>HISTOJANV23!D10+HISTOFEV23!D10+HISTOMARS23!D10+HISTOAVRIL23!D10+HISTOMAI23!D10+HISTOJUIN23!D10+HISTOJUIL23!D10+HISTOAOUT23!D10+HISTOSEPT23!D10+HISTOOCT23!D10+HISTONOV23!D10+HISTODEC23!D10</f>
        <v>345000</v>
      </c>
      <c r="E10" s="5">
        <f>HISTOJANV23!E10+HISTOFEV23!E10+HISTOMARS23!E10+HISTOAVRIL23!E10+HISTOMAI23!E10+HISTOJUIN23!E10+HISTOJUIL23!E10+HISTOAOUT23!E10+HISTOSEPT23!E10+HISTOOCT23!E10+HISTONOV23!E10+HISTODEC23!E10</f>
        <v>317000</v>
      </c>
      <c r="F10" s="5">
        <f>HISTOJANV23!F10+HISTOFEV23!F10+HISTOMARS23!F10+HISTOAVRIL23!F10+HISTOMAI23!F10+HISTOJUIN23!F10+HISTOJUIL23!F10+HISTOAOUT23!F10+HISTOSEPT23!F10+HISTOOCT23!F10+HISTONOV23!F10+HISTODEC23!F10</f>
        <v>0</v>
      </c>
      <c r="G10" s="5">
        <f>HISTOJANV23!G10+HISTOFEV23!G10+HISTOMARS23!G10+HISTOAVRIL23!G10+HISTOMAI23!G10+HISTOJUIN23!G10+HISTOJUIL23!G10+HISTOAOUT23!G10+HISTOSEPT23!G10+HISTOOCT23!G10+HISTONOV23!G10+HISTODEC23!G10</f>
        <v>15000</v>
      </c>
      <c r="H10" s="10" t="str">
        <f t="shared" si="0"/>
        <v>BANQUE</v>
      </c>
      <c r="I10" s="5">
        <f>HISTOJANV23!I10+HISTOFEV23!I10+HISTOMARS23!I10+HISTOAVRIL23!I10+HISTOMAI23!I10+HISTOJUIN23!I10+HISTOJUIL23!I10+HISTOAOUT23!I10+HISTOSEPT23!I10+HISTOOCT23!I10+HISTONOV23!I10+HISTODEC23!I10</f>
        <v>1000</v>
      </c>
      <c r="J10" s="5">
        <f>HISTOJANV23!J10+HISTOFEV23!J10+HISTOMARS23!J10+HISTOAVRIL23!J10+HISTOMAI23!J10+HISTOJUIN23!J10+HISTOJUIL23!J10+HISTOAOUT23!J10+HISTOSEPT23!J10+HISTOOCT23!J10+HISTONOV23!J10+HISTODEC23!J10</f>
        <v>12</v>
      </c>
      <c r="K10" s="5">
        <f>HISTOJANV23!K10+HISTOFEV23!K10+HISTOMARS23!K10+HISTOAVRIL23!K10+HISTOMAI23!K10+HISTOJUIN23!K10+HISTOJUIL23!K10+HISTOAOUT23!K10+HISTOSEPT23!K10+HISTOOCT23!K10+HISTONOV23!K10+HISTODEC23!K10</f>
        <v>480000</v>
      </c>
      <c r="L10" s="5">
        <f>HISTOJANV23!L10+HISTOFEV23!L10+HISTOMARS23!L10+HISTOAVRIL23!L10+HISTOMAI23!L10+HISTOJUIN23!L10+HISTOJUIL23!L10+HISTOAOUT23!L10+HISTOSEPT23!L10+HISTOOCT23!L10+HISTONOV23!L10+HISTODEC23!L10</f>
        <v>0</v>
      </c>
      <c r="M10" s="5">
        <f>HISTOJANV23!M10+HISTOFEV23!M10+HISTOMARS23!M10+HISTOAVRIL23!M10+HISTOMAI23!M10+HISTOJUIN23!M10+HISTOJUIL23!M10+HISTOAOUT23!M10+HISTOSEPT23!M10+HISTOOCT23!M10+HISTONOV23!M10+HISTODEC23!M10</f>
        <v>0</v>
      </c>
      <c r="N10" s="5">
        <f>HISTOJANV23!N10+HISTOFEV23!N10+HISTOMARS23!N10+HISTOAVRIL23!N10+HISTOMAI23!N10+HISTOJUIN23!N10+HISTOJUIL23!N10+HISTOAOUT23!N10+HISTOSEPT23!N10+HISTOOCT23!N10+HISTONOV23!N10+HISTODEC23!N10</f>
        <v>0</v>
      </c>
      <c r="O10" s="5">
        <f>HISTOJANV23!O10+HISTOFEV23!O10+HISTOMARS23!O10+HISTOAVRIL23!O10+HISTOMAI23!O10+HISTOJUIN23!O10+HISTOJUIL23!O10+HISTOAOUT23!O10+HISTOSEPT23!O10+HISTOOCT23!O10+HISTONOV23!O10+HISTODEC23!O10</f>
        <v>0</v>
      </c>
      <c r="P10" s="5">
        <f>HISTOJANV23!P10+HISTOFEV23!P10+HISTOMARS23!P10+HISTOAVRIL23!P10+HISTOMAI23!P10+HISTOJUIN23!P10+HISTOJUIL23!P10+HISTOAOUT23!P10+HISTOSEPT23!P10+HISTOOCT23!P10+HISTONOV23!P10+HISTODEC23!P10</f>
        <v>166000</v>
      </c>
      <c r="Q10" s="5">
        <f>HISTOJANV23!Q10+HISTOFEV23!Q10+HISTOMARS23!Q10+HISTOAVRIL23!Q10+HISTOMAI23!Q10+HISTOJUIN23!Q10+HISTOJUIL23!Q10+HISTOAOUT23!Q10+HISTOSEPT23!Q10+HISTOOCT23!Q10+HISTONOV23!Q10+HISTODEC23!Q10</f>
        <v>0</v>
      </c>
      <c r="R10" s="5">
        <f>HISTOJANV23!R10+HISTOFEV23!R10+HISTOMARS23!R10+HISTOAVRIL23!R10+HISTOMAI23!R10+HISTOJUIN23!R10+HISTOJUIL23!R10+HISTOAOUT23!R10+HISTOSEPT23!R10+HISTOOCT23!R10+HISTONOV23!R10+HISTODEC23!R10</f>
        <v>0</v>
      </c>
      <c r="S10" s="5">
        <f>HISTOJANV23!S10+HISTOFEV23!S10+HISTOMARS23!S10+HISTOAVRIL23!S10+HISTOMAI23!S10+HISTOJUIN23!S10+HISTOJUIL23!S10+HISTOAOUT23!S10+HISTOSEPT23!S10+HISTOOCT23!S10+HISTONOV23!S10+HISTODEC23!S10</f>
        <v>0</v>
      </c>
      <c r="T10" s="5">
        <f>HISTOJANV23!T10+HISTOFEV23!T10+HISTOMARS23!T10+HISTOAVRIL23!T10+HISTOMAI23!T10+HISTOJUIN23!T10+HISTOJUIL23!T10+HISTOAOUT23!T10+HISTOSEPT23!T10+HISTOOCT23!T10+HISTONOV23!T10+HISTODEC23!T10</f>
        <v>0</v>
      </c>
      <c r="U10" s="17">
        <f t="shared" si="1"/>
        <v>684000</v>
      </c>
      <c r="V10" s="5">
        <f>HISTOJANV23!V10+HISTOFEV23!V10+HISTOMARS23!V10+HISTOAVRIL23!V10+HISTOMAI23!V10+HISTOJUIN23!V10+HISTOJUIL23!V10+HISTOAOUT23!V10+HISTOSEPT23!V10+HISTOOCT23!V10+HISTONOV23!V10+HISTODEC23!V10</f>
        <v>22000</v>
      </c>
      <c r="W10" s="5">
        <f>HISTOJANV23!W10+HISTOFEV23!W10+HISTOMARS23!W10+HISTOAVRIL23!W10+HISTOMAI23!W10+HISTOJUIN23!W10+HISTOJUIL23!W10+HISTOAOUT23!W10+HISTOSEPT23!W10+HISTOOCT23!W10+HISTONOV23!W10+HISTODEC23!W10</f>
        <v>0</v>
      </c>
      <c r="X10" s="5">
        <f>HISTOJANV23!X10+HISTOFEV23!X10+HISTOMARS23!X10+HISTOAVRIL23!X10+HISTOMAI23!X10+HISTOJUIN23!X10+HISTOJUIL23!X10+HISTOAOUT23!X10+HISTOSEPT23!X10+HISTOOCT23!X10+HISTONOV23!X10+HISTODEC23!X10</f>
        <v>0</v>
      </c>
      <c r="Y10" s="5">
        <f>HISTOJANV23!Y10+HISTOFEV23!Y10+HISTOMARS23!Y10+HISTOAVRIL23!Y10+HISTOMAI23!Y10+HISTOJUIN23!Y10+HISTOJUIL23!Y10+HISTOAOUT23!Y10+HISTOSEPT23!Y10+HISTOOCT23!Y10+HISTONOV23!Y10+HISTODEC23!Y10</f>
        <v>0</v>
      </c>
      <c r="Z10" s="5">
        <f>HISTOJANV23!Z10+HISTOFEV23!Z10+HISTOMARS23!Z10+HISTOAVRIL23!Z10+HISTOMAI23!Z10+HISTOJUIN23!Z10+HISTOJUIL23!Z10+HISTOAOUT23!Z10+HISTOSEPT23!Z10+HISTOOCT23!Z10+HISTONOV23!Z10+HISTODEC23!Z10</f>
        <v>1000000</v>
      </c>
      <c r="AA10" s="5" t="e">
        <f>HISTOJANV23!AA10+HISTOFEV23!AA10+HISTOMARS23!AA10+HISTOAVRIL23!AA10+HISTOMAI23!AA10+HISTOJUIN23!AA10+HISTOJUIL23!AA10+HISTOAOUT23!AA10+HISTOSEPT23!AA10+HISTOOCT23!AA10+HISTONOV23!AA10+HISTODEC23!AA10</f>
        <v>#VALUE!</v>
      </c>
      <c r="AB10" s="5">
        <f>HISTOJANV23!AB10+HISTOFEV23!AB10+HISTOMARS23!AB10+HISTOAVRIL23!AB10+HISTOMAI23!AB10+HISTOJUIN23!AB10+HISTOJUIL23!AB10+HISTOAOUT23!AB10+HISTOSEPT23!AB10+HISTOOCT23!AB10+HISTONOV23!AB10+HISTODEC23!AB10</f>
        <v>0</v>
      </c>
      <c r="AC10" s="5">
        <f>HISTOJANV23!AC10+HISTOFEV23!AC10+HISTOMARS23!AC10+HISTOAVRIL23!AC10+HISTOMAI23!AC10+HISTOJUIN23!AC10+HISTOJUIL23!AC10+HISTOAOUT23!AC10+HISTOSEPT23!AC10+HISTOOCT23!AC10+HISTONOV23!AC10+HISTODEC23!AC10</f>
        <v>11000</v>
      </c>
      <c r="AD10" s="5">
        <f>HISTOJANV23!AD10+HISTOFEV23!AD10+HISTOMARS23!AD10+HISTOAVRIL23!AD10+HISTOMAI23!AD10+HISTOJUIN23!AD10+HISTOJUIL23!AD10+HISTOAOUT23!AD10+HISTOSEPT23!AD10+HISTOOCT23!AD10+HISTONOV23!AD10+HISTODEC23!AD10</f>
        <v>0</v>
      </c>
      <c r="AE10" s="5">
        <f>HISTOJANV23!AE10+HISTOFEV23!AE10+HISTOMARS23!AE10+HISTOAVRIL23!AE10+HISTOMAI23!AE10+HISTOJUIN23!AE10+HISTOJUIL23!AE10+HISTOAOUT23!AE10+HISTOSEPT23!AE10+HISTOOCT23!AE10+HISTONOV23!AE10+HISTODEC23!AE10</f>
        <v>0</v>
      </c>
      <c r="AF10" s="5">
        <f>HISTOJANV23!AF10+HISTOFEV23!AF10+HISTOMARS23!AF10+HISTOAVRIL23!AF10+HISTOMAI23!AF10+HISTOJUIN23!AF10+HISTOJUIL23!AF10+HISTOAOUT23!AF10+HISTOSEPT23!AF10+HISTOOCT23!AF10+HISTONOV23!AF10+HISTODEC23!AF10</f>
        <v>0</v>
      </c>
      <c r="AG10" s="5">
        <f>HISTOJANV23!AG10+HISTOFEV23!AG10+HISTOMARS23!AG10+HISTOAVRIL23!AG10+HISTOMAI23!AG10+HISTOJUIN23!AG10+HISTOJUIL23!AG10+HISTOAOUT23!AG10+HISTOSEPT23!AG10+HISTOOCT23!AG10+HISTONOV23!AG10+HISTODEC23!AG10</f>
        <v>0</v>
      </c>
      <c r="AH10" s="5">
        <f>HISTOJANV23!AH10+HISTOFEV23!AH10+HISTOMARS23!AH10+HISTOAVRIL23!AH10+HISTOMAI23!AH10+HISTOJUIN23!AH10+HISTOJUIL23!AH10+HISTOAOUT23!AH10+HISTOSEPT23!AH10+HISTOOCT23!AH10+HISTONOV23!AH10+HISTODEC23!AH10</f>
        <v>0</v>
      </c>
      <c r="AI10" s="5">
        <f>HISTOJANV23!AI10+HISTOFEV23!AI10+HISTOMARS23!AI10+HISTOAVRIL23!AI10+HISTOMAI23!AI10+HISTOJUIN23!AI10+HISTOJUIL23!AI10+HISTOAOUT23!AI10+HISTOSEPT23!AI10+HISTOOCT23!AI10+HISTONOV23!AI10+HISTODEC23!AI10</f>
        <v>160000</v>
      </c>
      <c r="AJ10" s="5">
        <f>HISTOJANV23!AJ10+HISTOFEV23!AJ10+HISTOMARS23!AJ10+HISTOAVRIL23!AJ10+HISTOMAI23!AJ10+HISTOJUIN23!AJ10+HISTOJUIL23!AJ10+HISTOAOUT23!AJ10+HISTOSEPT23!AJ10+HISTOOCT23!AJ10+HISTONOV23!AJ10+HISTODEC23!AJ10</f>
        <v>0</v>
      </c>
      <c r="AK10" s="5">
        <f>HISTOJANV23!AK10+HISTOFEV23!AK10+HISTOMARS23!AK10+HISTOAVRIL23!AK10+HISTOMAI23!AK10+HISTOJUIN23!AK10+HISTOJUIL23!AK10+HISTOAOUT23!AK10+HISTOSEPT23!AK10+HISTOOCT23!AK10+HISTONOV23!AK10+HISTODEC23!AK10</f>
        <v>0</v>
      </c>
      <c r="AL10" s="5">
        <f>HISTOJANV23!AL10+HISTOFEV23!AL10+HISTOMARS23!AL10+HISTOAVRIL23!AL10+HISTOMAI23!AL10+HISTOJUIN23!AL10+HISTOJUIL23!AL10+HISTOAOUT23!AL10+HISTOSEPT23!AL10+HISTOOCT23!AL10+HISTONOV23!AL10+HISTODEC23!AL10</f>
        <v>6000</v>
      </c>
      <c r="AM10" s="5">
        <f>HISTOJANV23!AM10+HISTOFEV23!AM10+HISTOMARS23!AM10+HISTOAVRIL23!AM10+HISTOMAI23!AM10+HISTOJUIN23!AM10+HISTOJUIL23!AM10+HISTOAOUT23!AM10+HISTOSEPT23!AM10+HISTOOCT23!AM10+HISTONOV23!AM10+HISTODEC23!AM10</f>
        <v>0</v>
      </c>
      <c r="AN10" s="5">
        <f>HISTOJANV23!AN10+HISTOFEV23!AN10+HISTOMARS23!AN10+HISTOAVRIL23!AN10+HISTOMAI23!AN10+HISTOJUIN23!AN10+HISTOJUIL23!AN10+HISTOAOUT23!AN10+HISTOSEPT23!AN10+HISTOOCT23!AN10+HISTONOV23!AN10+HISTODEC23!AN10</f>
        <v>0</v>
      </c>
      <c r="AO10" s="5">
        <f>HISTOJANV23!AO10+HISTOFEV23!AO10+HISTOMARS23!AO10+HISTOAVRIL23!AO10+HISTOMAI23!AO10+HISTOJUIN23!AO10+HISTOJUIL23!AO10+HISTOAOUT23!AO10+HISTOSEPT23!AO10+HISTOOCT23!AO10+HISTONOV23!AO10+HISTODEC23!AO10</f>
        <v>0</v>
      </c>
      <c r="AP10" s="5" t="e">
        <f>HISTOJANV23!AP10+HISTOFEV23!AP10+HISTOMARS23!AP10+HISTOAVRIL23!AP10+HISTOMAI23!AP10+HISTOJUIN23!AP10+HISTOJUIL23!AP10+HISTOAOUT23!AP10+HISTOSEPT23!AP10+HISTOOCT23!AP10+HISTONOV23!AP10+HISTODEC23!AP10</f>
        <v>#VALUE!</v>
      </c>
      <c r="AQ10" s="5">
        <f>HISTOJANV23!AQ10+HISTOFEV23!AQ10+HISTOMARS23!AQ10+HISTOAVRIL23!AQ10+HISTOMAI23!AQ10+HISTOJUIN23!AQ10+HISTOJUIL23!AQ10+HISTOAOUT23!AQ10+HISTOSEPT23!AQ10+HISTOOCT23!AQ10+HISTONOV23!AQ10+HISTODEC23!AQ10</f>
        <v>0</v>
      </c>
      <c r="AR10" s="5">
        <f>HISTOJANV23!AR10+HISTOFEV23!AR10+HISTOMARS23!AR10+HISTOAVRIL23!AR10+HISTOMAI23!AR10+HISTOJUIN23!AR10+HISTOJUIL23!AR10+HISTOAOUT23!AR10+HISTOSEPT23!AR10+HISTOOCT23!AR10+HISTONOV23!AR10+HISTODEC23!AR10</f>
        <v>0</v>
      </c>
      <c r="AS10" s="5">
        <f>HISTOJANV23!AS10+HISTOFEV23!AS10+HISTOMARS23!AS10+HISTOAVRIL23!AS10+HISTOMAI23!AS10+HISTOJUIN23!AS10+HISTOJUIL23!AS10+HISTOAOUT23!AS10+HISTOSEPT23!AS10+HISTOOCT23!AS10+HISTONOV23!AS10+HISTODEC23!AS10</f>
        <v>178000</v>
      </c>
      <c r="AT10" s="5">
        <f>HISTOJANV23!AT10+HISTOFEV23!AT10+HISTOMARS23!AT10+HISTOAVRIL23!AT10+HISTOMAI23!AT10+HISTOJUIN23!AT10+HISTOJUIL23!AT10+HISTOAOUT23!AT10+HISTOSEPT23!AT10+HISTOOCT23!AT10+HISTONOV23!AT10+HISTODEC23!AT10</f>
        <v>0</v>
      </c>
      <c r="AU10" s="5">
        <f>HISTOJANV23!AU10+HISTOFEV23!AU10+HISTOMARS23!AU10+HISTOAVRIL23!AU10+HISTOMAI23!AU10+HISTOJUIN23!AU10+HISTOJUIL23!AU10+HISTOAOUT23!AU10+HISTOSEPT23!AU10+HISTOOCT23!AU10+HISTONOV23!AU10+HISTODEC23!AU10</f>
        <v>0</v>
      </c>
      <c r="AV10" s="5">
        <f>HISTOJANV23!AV10+HISTOFEV23!AV10+HISTOMARS23!AV10+HISTOAVRIL23!AV10+HISTOMAI23!AV10+HISTOJUIN23!AV10+HISTOJUIL23!AV10+HISTOAOUT23!AV10+HISTOSEPT23!AV10+HISTOOCT23!AV10+HISTONOV23!AV10+HISTODEC23!AV10</f>
        <v>0</v>
      </c>
      <c r="AW10" s="5">
        <f>HISTOJANV23!AW10+HISTOFEV23!AW10+HISTOMARS23!AW10+HISTOAVRIL23!AW10+HISTOMAI23!AW10+HISTOJUIN23!AW10+HISTOJUIL23!AW10+HISTOAOUT23!AW10+HISTOSEPT23!AW10+HISTOOCT23!AW10+HISTONOV23!AW10+HISTODEC23!AW10</f>
        <v>449000</v>
      </c>
      <c r="AX10" s="5">
        <f>HISTOJANV23!AX10+HISTOFEV23!AX10+HISTOMARS23!AX10+HISTOAVRIL23!AX10+HISTOMAI23!AX10+HISTOJUIN23!AX10+HISTOJUIL23!AX10+HISTOAOUT23!AX10+HISTOSEPT23!AX10+HISTOOCT23!AX10+HISTONOV23!AX10+HISTODEC23!AX10</f>
        <v>0</v>
      </c>
      <c r="AY10" s="5">
        <f>HISTOJANV23!AY10+HISTOFEV23!AY10+HISTOMARS23!AY10+HISTOAVRIL23!AY10+HISTOMAI23!AY10+HISTOJUIN23!AY10+HISTOJUIL23!AY10+HISTOAOUT23!AY10+HISTOSEPT23!AY10+HISTOOCT23!AY10+HISTONOV23!AY10+HISTODEC23!AY10</f>
        <v>0</v>
      </c>
      <c r="AZ10" s="5">
        <f>HISTOJANV23!AZ10+HISTOFEV23!AZ10+HISTOMARS23!AZ10+HISTOAVRIL23!AZ10+HISTOMAI23!AZ10+HISTOJUIN23!AZ10+HISTOJUIL23!AZ10+HISTOAOUT23!AZ10+HISTOSEPT23!AZ10+HISTOOCT23!AZ10+HISTONOV23!AZ10+HISTODEC23!AZ10</f>
        <v>1329000</v>
      </c>
      <c r="BA10" s="5">
        <f>HISTOJANV23!BA10+HISTOFEV23!BA10+HISTOMARS23!BA10+HISTOAVRIL23!BA10+HISTOMAI23!BA10+HISTOJUIN23!BA10+HISTOJUIL23!BA10+HISTOAOUT23!BA10+HISTOSEPT23!BA10+HISTOOCT23!BA10+HISTONOV23!BA10+HISTODEC23!BA10</f>
        <v>160000</v>
      </c>
      <c r="BB10" s="5">
        <f>HISTOJANV23!BB10+HISTOFEV23!BB10+HISTOMARS23!BB10+HISTOAVRIL23!BB10+HISTOMAI23!BB10+HISTOJUIN23!BB10+HISTOJUIL23!BB10+HISTOAOUT23!BB10+HISTOSEPT23!BB10+HISTOOCT23!BB10+HISTONOV23!BB10+HISTODEC23!BB10</f>
        <v>70000</v>
      </c>
      <c r="BC10" s="5">
        <f>HISTOJANV23!BC10+HISTOFEV23!BC10+HISTOMARS23!BC10+HISTOAVRIL23!BC10+HISTOMAI23!BC10+HISTOJUIN23!BC10+HISTOJUIL23!BC10+HISTOAOUT23!BC10+HISTOSEPT23!BC10+HISTOOCT23!BC10+HISTONOV23!BC10+HISTODEC23!BC10</f>
        <v>0</v>
      </c>
      <c r="BD10" s="5">
        <f>HISTOJANV23!BD10+HISTOFEV23!BD10+HISTOMARS23!BD10+HISTOAVRIL23!BD10+HISTOMAI23!BD10+HISTOJUIN23!BD10+HISTOJUIL23!BD10+HISTOAOUT23!BD10+HISTOSEPT23!BD10+HISTOOCT23!BD10+HISTONOV23!BD10+HISTODEC23!BD10</f>
        <v>1148000</v>
      </c>
      <c r="BE10" s="82">
        <f>HISTOJANV23!BE10+HISTOFEV23!BE10+HISTOMARS23!BE10+HISTOAVRIL23!BE10+HISTOMAI23!BE10+HISTOJUIN23!BE10+HISTOJUIL23!BE10+HISTOAOUT23!BE10+HISTOSEPT23!BE10+HISTOOCT23!BE10+HISTONOV23!BE10+HISTODEC23!BE10</f>
        <v>219000</v>
      </c>
      <c r="BF10" s="5">
        <f>HISTOJANV23!BF10+HISTOFEV23!BF10+HISTOMARS23!BF10+HISTOAVRIL23!BF10+HISTOMAI23!BF10+HISTOJUIN23!BF10+HISTOJUIL23!BF10+HISTOAOUT23!BF10+HISTOSEPT23!BF10+HISTOOCT23!BF10+HISTONOV23!BF10+HISTODEC23!BF10</f>
        <v>120000</v>
      </c>
      <c r="BG10" s="5">
        <f>HISTOJANV23!BG10+HISTOFEV23!BG10+HISTOMARS23!BG10+HISTOAVRIL23!BG10+HISTOMAI23!BG10+HISTOJUIN23!BG10+HISTOJUIL23!BG10+HISTOAOUT23!BG10+HISTOSEPT23!BG10+HISTOOCT23!BG10+HISTONOV23!BG10+HISTODEC23!BG10</f>
        <v>78</v>
      </c>
      <c r="BH10" s="5">
        <f>HISTOJANV23!BH10+HISTOFEV23!BH10+HISTOMARS23!BH10+HISTOAVRIL23!BH10+HISTOMAI23!BH10+HISTOJUIN23!BH10+HISTOJUIL23!BH10+HISTOAOUT23!BH10+HISTOSEPT23!BH10+HISTOOCT23!BH10+HISTONOV23!BH10+HISTODEC23!BH10</f>
        <v>0</v>
      </c>
      <c r="BI10" s="5">
        <f>HISTOJANV23!BI10+HISTOFEV23!BI10+HISTOMARS23!BI10+HISTOAVRIL23!BI10+HISTOMAI23!BI10+HISTOJUIN23!BI10+HISTOJUIL23!BI10+HISTOAOUT23!BI10+HISTOSEPT23!BI10+HISTOOCT23!BI10+HISTONOV23!BI10+HISTODEC23!BI10</f>
        <v>0</v>
      </c>
      <c r="BJ10" s="5">
        <f>HISTOJANV23!BJ10+HISTOFEV23!BJ10+HISTOMARS23!BJ10+HISTOAVRIL23!BJ10+HISTOMAI23!BJ10+HISTOJUIN23!BJ10+HISTOJUIL23!BJ10+HISTOAOUT23!BJ10+HISTOSEPT23!BJ10+HISTOOCT23!BJ10+HISTONOV23!BJ10+HISTODEC23!BJ10</f>
        <v>0</v>
      </c>
      <c r="BK10" s="5">
        <f>HISTOJANV23!BK10+HISTOFEV23!BK10+HISTOMARS23!BK10+HISTOAVRIL23!BK10+HISTOMAI23!BK10+HISTOJUIN23!BK10+HISTOJUIL23!BK10+HISTOAOUT23!BK10+HISTOSEPT23!BK10+HISTOOCT23!BK10+HISTONOV23!BK10+HISTODEC23!BK10</f>
        <v>0</v>
      </c>
      <c r="BL10" s="5">
        <f>HISTOJANV23!BL10+HISTOFEV23!BL10+HISTOMARS23!BL10+HISTOAVRIL23!BL10+HISTOMAI23!BL10+HISTOJUIN23!BL10+HISTOJUIL23!BL10+HISTOAOUT23!BL10+HISTOSEPT23!BL10+HISTOOCT23!BL10+HISTONOV23!BL10+HISTODEC23!BL10</f>
        <v>0</v>
      </c>
      <c r="BM10" s="5">
        <f>HISTOJANV23!BM10+HISTOFEV23!BM10+HISTOMARS23!BM10+HISTOAVRIL23!BM10+HISTOMAI23!BM10+HISTOJUIN23!BM10+HISTOJUIL23!BM10+HISTOAOUT23!BM10+HISTOSEPT23!BM10+HISTOOCT23!BM10+HISTONOV23!BM10+HISTODEC23!BM10</f>
        <v>0</v>
      </c>
      <c r="BN10" t="s">
        <v>118</v>
      </c>
      <c r="BO10" t="s">
        <v>114</v>
      </c>
      <c r="BP10" s="5">
        <f>HISTOJANV23!BP10+HISTOFEV23!BP10+HISTOMARS23!BP10+HISTOAVRIL23!BP10+HISTOMAI23!BP10+HISTOJUIN23!BP10+HISTOJUIL23!BP10+HISTOAOUT23!BP10+HISTOSEPT23!BP10+HISTOOCT23!BP10+HISTONOV23!BP10+HISTODEC23!BP10</f>
        <v>0</v>
      </c>
    </row>
    <row r="11" spans="1:68" ht="18.75" x14ac:dyDescent="0.3">
      <c r="A11" s="1" t="s">
        <v>15</v>
      </c>
      <c r="B11" s="1" t="str">
        <f>VLOOKUP(A11,[17]LISTADHERENT!A$5:H$39,3,0)</f>
        <v>DJOUKWE NANGUEN GUY BLAISE</v>
      </c>
      <c r="C11" s="5">
        <f>HISTOJANV23!C11+HISTOFEV23!C11+HISTOMARS23!C11+HISTOAVRIL23!C11+HISTOMAI23!C11+HISTOJUIN23!C11+HISTOJUIL23!C11+HISTOAOUT23!C11+HISTOSEPT23!C11+HISTOOCT23!C11+HISTONOV23!C11+HISTODEC23!C11</f>
        <v>-258000</v>
      </c>
      <c r="D11" s="5">
        <f>HISTOJANV23!D11+HISTOFEV23!D11+HISTOMARS23!D11+HISTOAVRIL23!D11+HISTOMAI23!D11+HISTOJUIN23!D11+HISTOJUIL23!D11+HISTOAOUT23!D11+HISTOSEPT23!D11+HISTOOCT23!D11+HISTONOV23!D11+HISTODEC23!D11</f>
        <v>2886000</v>
      </c>
      <c r="E11" s="5">
        <f>HISTOJANV23!E11+HISTOFEV23!E11+HISTOMARS23!E11+HISTOAVRIL23!E11+HISTOMAI23!E11+HISTOJUIN23!E11+HISTOJUIL23!E11+HISTOAOUT23!E11+HISTOSEPT23!E11+HISTOOCT23!E11+HISTONOV23!E11+HISTODEC23!E11</f>
        <v>1221500</v>
      </c>
      <c r="F11" s="5">
        <f>HISTOJANV23!F11+HISTOFEV23!F11+HISTOMARS23!F11+HISTOAVRIL23!F11+HISTOMAI23!F11+HISTOJUIN23!F11+HISTOJUIL23!F11+HISTOAOUT23!F11+HISTOSEPT23!F11+HISTOOCT23!F11+HISTONOV23!F11+HISTODEC23!F11</f>
        <v>70000</v>
      </c>
      <c r="G11" s="5">
        <f>HISTOJANV23!G11+HISTOFEV23!G11+HISTOMARS23!G11+HISTOAVRIL23!G11+HISTOMAI23!G11+HISTOJUIN23!G11+HISTOJUIL23!G11+HISTOAOUT23!G11+HISTOSEPT23!G11+HISTOOCT23!G11+HISTONOV23!G11+HISTODEC23!G11</f>
        <v>3000</v>
      </c>
      <c r="H11" s="10" t="str">
        <f t="shared" si="0"/>
        <v>BANQUE</v>
      </c>
      <c r="I11" s="5">
        <f>HISTOJANV23!I11+HISTOFEV23!I11+HISTOMARS23!I11+HISTOAVRIL23!I11+HISTOMAI23!I11+HISTOJUIN23!I11+HISTOJUIL23!I11+HISTOAOUT23!I11+HISTOSEPT23!I11+HISTOOCT23!I11+HISTONOV23!I11+HISTODEC23!I11</f>
        <v>9500</v>
      </c>
      <c r="J11" s="5">
        <f>HISTOJANV23!J11+HISTOFEV23!J11+HISTOMARS23!J11+HISTOAVRIL23!J11+HISTOMAI23!J11+HISTOJUIN23!J11+HISTOJUIL23!J11+HISTOAOUT23!J11+HISTOSEPT23!J11+HISTOOCT23!J11+HISTONOV23!J11+HISTODEC23!J11</f>
        <v>12</v>
      </c>
      <c r="K11" s="5">
        <f>HISTOJANV23!K11+HISTOFEV23!K11+HISTOMARS23!K11+HISTOAVRIL23!K11+HISTOMAI23!K11+HISTOJUIN23!K11+HISTOJUIL23!K11+HISTOAOUT23!K11+HISTOSEPT23!K11+HISTOOCT23!K11+HISTONOV23!K11+HISTODEC23!K11</f>
        <v>480000</v>
      </c>
      <c r="L11" s="5">
        <f>HISTOJANV23!L11+HISTOFEV23!L11+HISTOMARS23!L11+HISTOAVRIL23!L11+HISTOMAI23!L11+HISTOJUIN23!L11+HISTOJUIL23!L11+HISTOAOUT23!L11+HISTOSEPT23!L11+HISTOOCT23!L11+HISTONOV23!L11+HISTODEC23!L11</f>
        <v>12</v>
      </c>
      <c r="M11" s="5">
        <f>HISTOJANV23!M11+HISTOFEV23!M11+HISTOMARS23!M11+HISTOAVRIL23!M11+HISTOMAI23!M11+HISTOJUIN23!M11+HISTOJUIL23!M11+HISTOAOUT23!M11+HISTOSEPT23!M11+HISTOOCT23!M11+HISTONOV23!M11+HISTODEC23!M11</f>
        <v>900000</v>
      </c>
      <c r="N11" s="5">
        <f>HISTOJANV23!N11+HISTOFEV23!N11+HISTOMARS23!N11+HISTOAVRIL23!N11+HISTOMAI23!N11+HISTOJUIN23!N11+HISTOJUIL23!N11+HISTOAOUT23!N11+HISTOSEPT23!N11+HISTOOCT23!N11+HISTONOV23!N11+HISTODEC23!N11</f>
        <v>0</v>
      </c>
      <c r="O11" s="5">
        <f>HISTOJANV23!O11+HISTOFEV23!O11+HISTOMARS23!O11+HISTOAVRIL23!O11+HISTOMAI23!O11+HISTOJUIN23!O11+HISTOJUIL23!O11+HISTOAOUT23!O11+HISTOSEPT23!O11+HISTOOCT23!O11+HISTONOV23!O11+HISTODEC23!O11</f>
        <v>0</v>
      </c>
      <c r="P11" s="5">
        <f>HISTOJANV23!P11+HISTOFEV23!P11+HISTOMARS23!P11+HISTOAVRIL23!P11+HISTOMAI23!P11+HISTOJUIN23!P11+HISTOJUIL23!P11+HISTOAOUT23!P11+HISTOSEPT23!P11+HISTOOCT23!P11+HISTONOV23!P11+HISTODEC23!P11</f>
        <v>186000</v>
      </c>
      <c r="Q11" s="5">
        <f>HISTOJANV23!Q11+HISTOFEV23!Q11+HISTOMARS23!Q11+HISTOAVRIL23!Q11+HISTOMAI23!Q11+HISTOJUIN23!Q11+HISTOJUIL23!Q11+HISTOAOUT23!Q11+HISTOSEPT23!Q11+HISTOOCT23!Q11+HISTONOV23!Q11+HISTODEC23!Q11</f>
        <v>737000</v>
      </c>
      <c r="R11" s="5">
        <f>HISTOJANV23!R11+HISTOFEV23!R11+HISTOMARS23!R11+HISTOAVRIL23!R11+HISTOMAI23!R11+HISTOJUIN23!R11+HISTOJUIL23!R11+HISTOAOUT23!R11+HISTOSEPT23!R11+HISTOOCT23!R11+HISTONOV23!R11+HISTODEC23!R11</f>
        <v>0</v>
      </c>
      <c r="S11" s="5">
        <f>HISTOJANV23!S11+HISTOFEV23!S11+HISTOMARS23!S11+HISTOAVRIL23!S11+HISTOMAI23!S11+HISTOJUIN23!S11+HISTOJUIL23!S11+HISTOAOUT23!S11+HISTOSEPT23!S11+HISTOOCT23!S11+HISTONOV23!S11+HISTODEC23!S11</f>
        <v>2050000</v>
      </c>
      <c r="T11" s="5" t="e">
        <f>HISTOJANV23!T11+HISTOFEV23!T11+HISTOMARS23!T11+HISTOAVRIL23!T11+HISTOMAI23!T11+HISTOJUIN23!T11+HISTOJUIL23!T11+HISTOAOUT23!T11+HISTOSEPT23!T11+HISTOOCT23!T11+HISTONOV23!T11+HISTODEC23!T11</f>
        <v>#VALUE!</v>
      </c>
      <c r="U11" s="17">
        <f t="shared" si="1"/>
        <v>4365500</v>
      </c>
      <c r="V11" s="5">
        <f>HISTOJANV23!V11+HISTOFEV23!V11+HISTOMARS23!V11+HISTOAVRIL23!V11+HISTOMAI23!V11+HISTOJUIN23!V11+HISTOJUIL23!V11+HISTOAOUT23!V11+HISTOSEPT23!V11+HISTOOCT23!V11+HISTONOV23!V11+HISTODEC23!V11</f>
        <v>0</v>
      </c>
      <c r="W11" s="5">
        <f>HISTOJANV23!W11+HISTOFEV23!W11+HISTOMARS23!W11+HISTOAVRIL23!W11+HISTOMAI23!W11+HISTOJUIN23!W11+HISTOJUIL23!W11+HISTOAOUT23!W11+HISTOSEPT23!W11+HISTOOCT23!W11+HISTONOV23!W11+HISTODEC23!W11</f>
        <v>0</v>
      </c>
      <c r="X11" s="5">
        <f>HISTOJANV23!X11+HISTOFEV23!X11+HISTOMARS23!X11+HISTOAVRIL23!X11+HISTOMAI23!X11+HISTOJUIN23!X11+HISTOJUIL23!X11+HISTOAOUT23!X11+HISTOSEPT23!X11+HISTOOCT23!X11+HISTONOV23!X11+HISTODEC23!X11</f>
        <v>0</v>
      </c>
      <c r="Y11" s="5">
        <f>HISTOJANV23!Y11+HISTOFEV23!Y11+HISTOMARS23!Y11+HISTOAVRIL23!Y11+HISTOMAI23!Y11+HISTOJUIN23!Y11+HISTOJUIL23!Y11+HISTOAOUT23!Y11+HISTOSEPT23!Y11+HISTOOCT23!Y11+HISTONOV23!Y11+HISTODEC23!Y11</f>
        <v>0</v>
      </c>
      <c r="Z11" s="5">
        <f>HISTOJANV23!Z11+HISTOFEV23!Z11+HISTOMARS23!Z11+HISTOAVRIL23!Z11+HISTOMAI23!Z11+HISTOJUIN23!Z11+HISTOJUIL23!Z11+HISTOAOUT23!Z11+HISTOSEPT23!Z11+HISTOOCT23!Z11+HISTONOV23!Z11+HISTODEC23!Z11</f>
        <v>2000000</v>
      </c>
      <c r="AA11" s="5" t="e">
        <f>HISTOJANV23!AA11+HISTOFEV23!AA11+HISTOMARS23!AA11+HISTOAVRIL23!AA11+HISTOMAI23!AA11+HISTOJUIN23!AA11+HISTOJUIL23!AA11+HISTOAOUT23!AA11+HISTOSEPT23!AA11+HISTOOCT23!AA11+HISTONOV23!AA11+HISTODEC23!AA11</f>
        <v>#VALUE!</v>
      </c>
      <c r="AB11" s="5">
        <f>HISTOJANV23!AB11+HISTOFEV23!AB11+HISTOMARS23!AB11+HISTOAVRIL23!AB11+HISTOMAI23!AB11+HISTOJUIN23!AB11+HISTOJUIL23!AB11+HISTOAOUT23!AB11+HISTOSEPT23!AB11+HISTOOCT23!AB11+HISTONOV23!AB11+HISTODEC23!AB11</f>
        <v>0</v>
      </c>
      <c r="AC11" s="5">
        <f>HISTOJANV23!AC11+HISTOFEV23!AC11+HISTOMARS23!AC11+HISTOAVRIL23!AC11+HISTOMAI23!AC11+HISTOJUIN23!AC11+HISTOJUIL23!AC11+HISTOAOUT23!AC11+HISTOSEPT23!AC11+HISTOOCT23!AC11+HISTONOV23!AC11+HISTODEC23!AC11</f>
        <v>10000</v>
      </c>
      <c r="AD11" s="5">
        <f>HISTOJANV23!AD11+HISTOFEV23!AD11+HISTOMARS23!AD11+HISTOAVRIL23!AD11+HISTOMAI23!AD11+HISTOJUIN23!AD11+HISTOJUIL23!AD11+HISTOAOUT23!AD11+HISTOSEPT23!AD11+HISTOOCT23!AD11+HISTONOV23!AD11+HISTODEC23!AD11</f>
        <v>7500</v>
      </c>
      <c r="AE11" s="5">
        <f>HISTOJANV23!AE11+HISTOFEV23!AE11+HISTOMARS23!AE11+HISTOAVRIL23!AE11+HISTOMAI23!AE11+HISTOJUIN23!AE11+HISTOJUIL23!AE11+HISTOAOUT23!AE11+HISTOSEPT23!AE11+HISTOOCT23!AE11+HISTONOV23!AE11+HISTODEC23!AE11</f>
        <v>0</v>
      </c>
      <c r="AF11" s="5">
        <f>HISTOJANV23!AF11+HISTOFEV23!AF11+HISTOMARS23!AF11+HISTOAVRIL23!AF11+HISTOMAI23!AF11+HISTOJUIN23!AF11+HISTOJUIL23!AF11+HISTOAOUT23!AF11+HISTOSEPT23!AF11+HISTOOCT23!AF11+HISTONOV23!AF11+HISTODEC23!AF11</f>
        <v>0</v>
      </c>
      <c r="AG11" s="5">
        <f>HISTOJANV23!AG11+HISTOFEV23!AG11+HISTOMARS23!AG11+HISTOAVRIL23!AG11+HISTOMAI23!AG11+HISTOJUIN23!AG11+HISTOJUIL23!AG11+HISTOAOUT23!AG11+HISTOSEPT23!AG11+HISTOOCT23!AG11+HISTONOV23!AG11+HISTODEC23!AG11</f>
        <v>0</v>
      </c>
      <c r="AH11" s="5">
        <f>HISTOJANV23!AH11+HISTOFEV23!AH11+HISTOMARS23!AH11+HISTOAVRIL23!AH11+HISTOMAI23!AH11+HISTOJUIN23!AH11+HISTOJUIL23!AH11+HISTOAOUT23!AH11+HISTOSEPT23!AH11+HISTOOCT23!AH11+HISTONOV23!AH11+HISTODEC23!AH11</f>
        <v>0</v>
      </c>
      <c r="AI11" s="5">
        <f>HISTOJANV23!AI11+HISTOFEV23!AI11+HISTOMARS23!AI11+HISTOAVRIL23!AI11+HISTOMAI23!AI11+HISTOJUIN23!AI11+HISTOJUIL23!AI11+HISTOAOUT23!AI11+HISTOSEPT23!AI11+HISTOOCT23!AI11+HISTONOV23!AI11+HISTODEC23!AI11</f>
        <v>181000</v>
      </c>
      <c r="AJ11" s="5">
        <f>HISTOJANV23!AJ11+HISTOFEV23!AJ11+HISTOMARS23!AJ11+HISTOAVRIL23!AJ11+HISTOMAI23!AJ11+HISTOJUIN23!AJ11+HISTOJUIL23!AJ11+HISTOAOUT23!AJ11+HISTOSEPT23!AJ11+HISTOOCT23!AJ11+HISTONOV23!AJ11+HISTODEC23!AJ11</f>
        <v>726000</v>
      </c>
      <c r="AK11" s="5">
        <f>HISTOJANV23!AK11+HISTOFEV23!AK11+HISTOMARS23!AK11+HISTOAVRIL23!AK11+HISTOMAI23!AK11+HISTOJUIN23!AK11+HISTOJUIL23!AK11+HISTOAOUT23!AK11+HISTOSEPT23!AK11+HISTOOCT23!AK11+HISTONOV23!AK11+HISTODEC23!AK11</f>
        <v>0</v>
      </c>
      <c r="AL11" s="5">
        <f>HISTOJANV23!AL11+HISTOFEV23!AL11+HISTOMARS23!AL11+HISTOAVRIL23!AL11+HISTOMAI23!AL11+HISTOJUIN23!AL11+HISTOJUIL23!AL11+HISTOAOUT23!AL11+HISTOSEPT23!AL11+HISTOOCT23!AL11+HISTONOV23!AL11+HISTODEC23!AL11</f>
        <v>5000</v>
      </c>
      <c r="AM11" s="5">
        <f>HISTOJANV23!AM11+HISTOFEV23!AM11+HISTOMARS23!AM11+HISTOAVRIL23!AM11+HISTOMAI23!AM11+HISTOJUIN23!AM11+HISTOJUIL23!AM11+HISTOAOUT23!AM11+HISTOSEPT23!AM11+HISTOOCT23!AM11+HISTONOV23!AM11+HISTODEC23!AM11</f>
        <v>11000</v>
      </c>
      <c r="AN11" s="5">
        <f>HISTOJANV23!AN11+HISTOFEV23!AN11+HISTOMARS23!AN11+HISTOAVRIL23!AN11+HISTOMAI23!AN11+HISTOJUIN23!AN11+HISTOJUIL23!AN11+HISTOAOUT23!AN11+HISTOSEPT23!AN11+HISTOOCT23!AN11+HISTONOV23!AN11+HISTODEC23!AN11</f>
        <v>1000</v>
      </c>
      <c r="AO11" s="5">
        <f>HISTOJANV23!AO11+HISTOFEV23!AO11+HISTOMARS23!AO11+HISTOAVRIL23!AO11+HISTOMAI23!AO11+HISTOJUIN23!AO11+HISTOJUIL23!AO11+HISTOAOUT23!AO11+HISTOSEPT23!AO11+HISTOOCT23!AO11+HISTONOV23!AO11+HISTODEC23!AO11</f>
        <v>0</v>
      </c>
      <c r="AP11" s="5" t="e">
        <f>HISTOJANV23!AP11+HISTOFEV23!AP11+HISTOMARS23!AP11+HISTOAVRIL23!AP11+HISTOMAI23!AP11+HISTOJUIN23!AP11+HISTOJUIL23!AP11+HISTOAOUT23!AP11+HISTOSEPT23!AP11+HISTOOCT23!AP11+HISTONOV23!AP11+HISTODEC23!AP11</f>
        <v>#VALUE!</v>
      </c>
      <c r="AQ11" s="5">
        <f>HISTOJANV23!AQ11+HISTOFEV23!AQ11+HISTOMARS23!AQ11+HISTOAVRIL23!AQ11+HISTOMAI23!AQ11+HISTOJUIN23!AQ11+HISTOJUIL23!AQ11+HISTOAOUT23!AQ11+HISTOSEPT23!AQ11+HISTOOCT23!AQ11+HISTONOV23!AQ11+HISTODEC23!AQ11</f>
        <v>0</v>
      </c>
      <c r="AR11" s="5">
        <f>HISTOJANV23!AR11+HISTOFEV23!AR11+HISTOMARS23!AR11+HISTOAVRIL23!AR11+HISTOMAI23!AR11+HISTOJUIN23!AR11+HISTOJUIL23!AR11+HISTOAOUT23!AR11+HISTOSEPT23!AR11+HISTOOCT23!AR11+HISTONOV23!AR11+HISTODEC23!AR11</f>
        <v>0</v>
      </c>
      <c r="AS11" s="5">
        <f>HISTOJANV23!AS11+HISTOFEV23!AS11+HISTOMARS23!AS11+HISTOAVRIL23!AS11+HISTOMAI23!AS11+HISTOJUIN23!AS11+HISTOJUIL23!AS11+HISTOAOUT23!AS11+HISTOSEPT23!AS11+HISTOOCT23!AS11+HISTONOV23!AS11+HISTODEC23!AS11</f>
        <v>189500</v>
      </c>
      <c r="AT11" s="5">
        <f>HISTOJANV23!AT11+HISTOFEV23!AT11+HISTOMARS23!AT11+HISTOAVRIL23!AT11+HISTOMAI23!AT11+HISTOJUIN23!AT11+HISTOJUIL23!AT11+HISTOAOUT23!AT11+HISTOSEPT23!AT11+HISTOOCT23!AT11+HISTONOV23!AT11+HISTODEC23!AT11</f>
        <v>0</v>
      </c>
      <c r="AU11" s="5">
        <f>HISTOJANV23!AU11+HISTOFEV23!AU11+HISTOMARS23!AU11+HISTOAVRIL23!AU11+HISTOMAI23!AU11+HISTOJUIN23!AU11+HISTOJUIL23!AU11+HISTOAOUT23!AU11+HISTOSEPT23!AU11+HISTOOCT23!AU11+HISTONOV23!AU11+HISTODEC23!AU11</f>
        <v>0</v>
      </c>
      <c r="AV11" s="5">
        <f>HISTOJANV23!AV11+HISTOFEV23!AV11+HISTOMARS23!AV11+HISTOAVRIL23!AV11+HISTOMAI23!AV11+HISTOJUIN23!AV11+HISTOJUIL23!AV11+HISTOAOUT23!AV11+HISTOSEPT23!AV11+HISTOOCT23!AV11+HISTONOV23!AV11+HISTODEC23!AV11</f>
        <v>0</v>
      </c>
      <c r="AW11" s="5">
        <f>HISTOJANV23!AW11+HISTOFEV23!AW11+HISTOMARS23!AW11+HISTOAVRIL23!AW11+HISTOMAI23!AW11+HISTOJUIN23!AW11+HISTOJUIL23!AW11+HISTOAOUT23!AW11+HISTOSEPT23!AW11+HISTOOCT23!AW11+HISTONOV23!AW11+HISTODEC23!AW11</f>
        <v>313500</v>
      </c>
      <c r="AX11" s="5">
        <f>HISTOJANV23!AX11+HISTOFEV23!AX11+HISTOMARS23!AX11+HISTOAVRIL23!AX11+HISTOMAI23!AX11+HISTOJUIN23!AX11+HISTOJUIL23!AX11+HISTOAOUT23!AX11+HISTOSEPT23!AX11+HISTOOCT23!AX11+HISTONOV23!AX11+HISTODEC23!AX11</f>
        <v>1618500</v>
      </c>
      <c r="AY11" s="5">
        <f>HISTOJANV23!AY11+HISTOFEV23!AY11+HISTOMARS23!AY11+HISTOAVRIL23!AY11+HISTOMAI23!AY11+HISTOJUIN23!AY11+HISTOJUIL23!AY11+HISTOAOUT23!AY11+HISTOSEPT23!AY11+HISTOOCT23!AY11+HISTONOV23!AY11+HISTODEC23!AY11</f>
        <v>0</v>
      </c>
      <c r="AZ11" s="5">
        <f>HISTOJANV23!AZ11+HISTOFEV23!AZ11+HISTOMARS23!AZ11+HISTOAVRIL23!AZ11+HISTOMAI23!AZ11+HISTOJUIN23!AZ11+HISTOJUIL23!AZ11+HISTOAOUT23!AZ11+HISTOSEPT23!AZ11+HISTOOCT23!AZ11+HISTONOV23!AZ11+HISTODEC23!AZ11</f>
        <v>3686000</v>
      </c>
      <c r="BA11" s="5">
        <f>HISTOJANV23!BA11+HISTOFEV23!BA11+HISTOMARS23!BA11+HISTOAVRIL23!BA11+HISTOMAI23!BA11+HISTOJUIN23!BA11+HISTOJUIL23!BA11+HISTOAOUT23!BA11+HISTOSEPT23!BA11+HISTOOCT23!BA11+HISTONOV23!BA11+HISTODEC23!BA11</f>
        <v>343000</v>
      </c>
      <c r="BB11" s="5">
        <f>HISTOJANV23!BB11+HISTOFEV23!BB11+HISTOMARS23!BB11+HISTOAVRIL23!BB11+HISTOMAI23!BB11+HISTOJUIN23!BB11+HISTOJUIL23!BB11+HISTOAOUT23!BB11+HISTOSEPT23!BB11+HISTOOCT23!BB11+HISTONOV23!BB11+HISTODEC23!BB11</f>
        <v>70000</v>
      </c>
      <c r="BC11" s="5">
        <f>HISTOJANV23!BC11+HISTOFEV23!BC11+HISTOMARS23!BC11+HISTOAVRIL23!BC11+HISTOMAI23!BC11+HISTOJUIN23!BC11+HISTOJUIL23!BC11+HISTOAOUT23!BC11+HISTOSEPT23!BC11+HISTOOCT23!BC11+HISTONOV23!BC11+HISTODEC23!BC11</f>
        <v>0</v>
      </c>
      <c r="BD11" s="5">
        <f>HISTOJANV23!BD11+HISTOFEV23!BD11+HISTOMARS23!BD11+HISTOAVRIL23!BD11+HISTOMAI23!BD11+HISTOJUIN23!BD11+HISTOJUIL23!BD11+HISTOAOUT23!BD11+HISTOSEPT23!BD11+HISTOOCT23!BD11+HISTONOV23!BD11+HISTODEC23!BD11</f>
        <v>3343000</v>
      </c>
      <c r="BE11" s="82">
        <f>HISTOJANV23!BE11+HISTOFEV23!BE11+HISTOMARS23!BE11+HISTOAVRIL23!BE11+HISTOMAI23!BE11+HISTOJUIN23!BE11+HISTOJUIL23!BE11+HISTOAOUT23!BE11+HISTOSEPT23!BE11+HISTOOCT23!BE11+HISTONOV23!BE11+HISTODEC23!BE11</f>
        <v>1520500</v>
      </c>
      <c r="BF11" s="5">
        <f>HISTOJANV23!BF11+HISTOFEV23!BF11+HISTOMARS23!BF11+HISTOAVRIL23!BF11+HISTOMAI23!BF11+HISTOJUIN23!BF11+HISTOJUIL23!BF11+HISTOAOUT23!BF11+HISTOSEPT23!BF11+HISTOOCT23!BF11+HISTONOV23!BF11+HISTODEC23!BF11</f>
        <v>100000</v>
      </c>
      <c r="BG11" s="5">
        <f>HISTOJANV23!BG11+HISTOFEV23!BG11+HISTOMARS23!BG11+HISTOAVRIL23!BG11+HISTOMAI23!BG11+HISTOJUIN23!BG11+HISTOJUIL23!BG11+HISTOAOUT23!BG11+HISTOSEPT23!BG11+HISTOOCT23!BG11+HISTONOV23!BG11+HISTODEC23!BG11</f>
        <v>68</v>
      </c>
      <c r="BH11" s="5">
        <f>HISTOJANV23!BH11+HISTOFEV23!BH11+HISTOMARS23!BH11+HISTOAVRIL23!BH11+HISTOMAI23!BH11+HISTOJUIN23!BH11+HISTOJUIL23!BH11+HISTOAOUT23!BH11+HISTOSEPT23!BH11+HISTOOCT23!BH11+HISTONOV23!BH11+HISTODEC23!BH11</f>
        <v>0</v>
      </c>
      <c r="BI11" s="5">
        <f>HISTOJANV23!BI11+HISTOFEV23!BI11+HISTOMARS23!BI11+HISTOAVRIL23!BI11+HISTOMAI23!BI11+HISTOJUIN23!BI11+HISTOJUIL23!BI11+HISTOAOUT23!BI11+HISTOSEPT23!BI11+HISTOOCT23!BI11+HISTONOV23!BI11+HISTODEC23!BI11</f>
        <v>0</v>
      </c>
      <c r="BJ11" s="5">
        <f>HISTOJANV23!BJ11+HISTOFEV23!BJ11+HISTOMARS23!BJ11+HISTOAVRIL23!BJ11+HISTOMAI23!BJ11+HISTOJUIN23!BJ11+HISTOJUIL23!BJ11+HISTOAOUT23!BJ11+HISTOSEPT23!BJ11+HISTOOCT23!BJ11+HISTONOV23!BJ11+HISTODEC23!BJ11</f>
        <v>0</v>
      </c>
      <c r="BK11" s="5">
        <f>HISTOJANV23!BK11+HISTOFEV23!BK11+HISTOMARS23!BK11+HISTOAVRIL23!BK11+HISTOMAI23!BK11+HISTOJUIN23!BK11+HISTOJUIL23!BK11+HISTOAOUT23!BK11+HISTOSEPT23!BK11+HISTOOCT23!BK11+HISTONOV23!BK11+HISTODEC23!BK11</f>
        <v>0</v>
      </c>
      <c r="BL11" s="5">
        <f>HISTOJANV23!BL11+HISTOFEV23!BL11+HISTOMARS23!BL11+HISTOAVRIL23!BL11+HISTOMAI23!BL11+HISTOJUIN23!BL11+HISTOJUIL23!BL11+HISTOAOUT23!BL11+HISTOSEPT23!BL11+HISTOOCT23!BL11+HISTONOV23!BL11+HISTODEC23!BL11</f>
        <v>0</v>
      </c>
      <c r="BM11" s="5">
        <f>HISTOJANV23!BM11+HISTOFEV23!BM11+HISTOMARS23!BM11+HISTOAVRIL23!BM11+HISTOMAI23!BM11+HISTOJUIN23!BM11+HISTOJUIL23!BM11+HISTOAOUT23!BM11+HISTOSEPT23!BM11+HISTOOCT23!BM11+HISTONOV23!BM11+HISTODEC23!BM11</f>
        <v>0</v>
      </c>
      <c r="BN11" t="s">
        <v>119</v>
      </c>
      <c r="BO11" t="s">
        <v>114</v>
      </c>
      <c r="BP11" s="5">
        <f>HISTOJANV23!BP11+HISTOFEV23!BP11+HISTOMARS23!BP11+HISTOAVRIL23!BP11+HISTOMAI23!BP11+HISTOJUIN23!BP11+HISTOJUIL23!BP11+HISTOAOUT23!BP11+HISTOSEPT23!BP11+HISTOOCT23!BP11+HISTONOV23!BP11+HISTODEC23!BP11</f>
        <v>38000</v>
      </c>
    </row>
    <row r="12" spans="1:68" ht="18.75" x14ac:dyDescent="0.3">
      <c r="A12" s="1" t="s">
        <v>16</v>
      </c>
      <c r="B12" s="1" t="str">
        <f>VLOOKUP(A12,[17]LISTADHERENT!A$5:H$39,3,0)</f>
        <v>DJUOMBESSY ANTOINE</v>
      </c>
      <c r="C12" s="5">
        <f>HISTOJANV23!C12+HISTOFEV23!C12+HISTOMARS23!C12+HISTOAVRIL23!C12+HISTOMAI23!C12+HISTOJUIN23!C12+HISTOJUIL23!C12+HISTOAOUT23!C12+HISTOSEPT23!C12+HISTOOCT23!C12+HISTONOV23!C12+HISTODEC23!C12</f>
        <v>0</v>
      </c>
      <c r="D12" s="5">
        <f>HISTOJANV23!D12+HISTOFEV23!D12+HISTOMARS23!D12+HISTOAVRIL23!D12+HISTOMAI23!D12+HISTOJUIN23!D12+HISTOJUIL23!D12+HISTOAOUT23!D12+HISTOSEPT23!D12+HISTOOCT23!D12+HISTONOV23!D12+HISTODEC23!D12</f>
        <v>5374500</v>
      </c>
      <c r="E12" s="5">
        <f>HISTOJANV23!E12+HISTOFEV23!E12+HISTOMARS23!E12+HISTOAVRIL23!E12+HISTOMAI23!E12+HISTOJUIN23!E12+HISTOJUIL23!E12+HISTOAOUT23!E12+HISTOSEPT23!E12+HISTOOCT23!E12+HISTONOV23!E12+HISTODEC23!E12</f>
        <v>257000</v>
      </c>
      <c r="F12" s="5">
        <f>HISTOJANV23!F12+HISTOFEV23!F12+HISTOMARS23!F12+HISTOAVRIL23!F12+HISTOMAI23!F12+HISTOJUIN23!F12+HISTOJUIL23!F12+HISTOAOUT23!F12+HISTOSEPT23!F12+HISTOOCT23!F12+HISTONOV23!F12+HISTODEC23!F12</f>
        <v>1070000</v>
      </c>
      <c r="G12" s="5">
        <f>HISTOJANV23!G12+HISTOFEV23!G12+HISTOMARS23!G12+HISTOAVRIL23!G12+HISTOMAI23!G12+HISTOJUIN23!G12+HISTOJUIL23!G12+HISTOAOUT23!G12+HISTOSEPT23!G12+HISTOOCT23!G12+HISTONOV23!G12+HISTODEC23!G12</f>
        <v>0</v>
      </c>
      <c r="H12" s="10" t="str">
        <f t="shared" si="0"/>
        <v>BANQUE</v>
      </c>
      <c r="I12" s="5">
        <f>HISTOJANV23!I12+HISTOFEV23!I12+HISTOMARS23!I12+HISTOAVRIL23!I12+HISTOMAI23!I12+HISTOJUIN23!I12+HISTOJUIL23!I12+HISTOAOUT23!I12+HISTOSEPT23!I12+HISTOOCT23!I12+HISTONOV23!I12+HISTODEC23!I12</f>
        <v>199800</v>
      </c>
      <c r="J12" s="5">
        <f>HISTOJANV23!J12+HISTOFEV23!J12+HISTOMARS23!J12+HISTOAVRIL23!J12+HISTOMAI23!J12+HISTOJUIN23!J12+HISTOJUIL23!J12+HISTOAOUT23!J12+HISTOSEPT23!J12+HISTOOCT23!J12+HISTONOV23!J12+HISTODEC23!J12</f>
        <v>12</v>
      </c>
      <c r="K12" s="5">
        <f>HISTOJANV23!K12+HISTOFEV23!K12+HISTOMARS23!K12+HISTOAVRIL23!K12+HISTOMAI23!K12+HISTOJUIN23!K12+HISTOJUIL23!K12+HISTOAOUT23!K12+HISTOSEPT23!K12+HISTOOCT23!K12+HISTONOV23!K12+HISTODEC23!K12</f>
        <v>480000</v>
      </c>
      <c r="L12" s="5">
        <f>HISTOJANV23!L12+HISTOFEV23!L12+HISTOMARS23!L12+HISTOAVRIL23!L12+HISTOMAI23!L12+HISTOJUIN23!L12+HISTOJUIL23!L12+HISTOAOUT23!L12+HISTOSEPT23!L12+HISTOOCT23!L12+HISTONOV23!L12+HISTODEC23!L12</f>
        <v>12</v>
      </c>
      <c r="M12" s="5">
        <f>HISTOJANV23!M12+HISTOFEV23!M12+HISTOMARS23!M12+HISTOAVRIL23!M12+HISTOMAI23!M12+HISTOJUIN23!M12+HISTOJUIL23!M12+HISTOAOUT23!M12+HISTOSEPT23!M12+HISTOOCT23!M12+HISTONOV23!M12+HISTODEC23!M12</f>
        <v>900000</v>
      </c>
      <c r="N12" s="5">
        <f>HISTOJANV23!N12+HISTOFEV23!N12+HISTOMARS23!N12+HISTOAVRIL23!N12+HISTOMAI23!N12+HISTOJUIN23!N12+HISTOJUIL23!N12+HISTOAOUT23!N12+HISTOSEPT23!N12+HISTOOCT23!N12+HISTONOV23!N12+HISTODEC23!N12</f>
        <v>24</v>
      </c>
      <c r="O12" s="5">
        <f>HISTOJANV23!O12+HISTOFEV23!O12+HISTOMARS23!O12+HISTOAVRIL23!O12+HISTOMAI23!O12+HISTOJUIN23!O12+HISTOJUIL23!O12+HISTOAOUT23!O12+HISTOSEPT23!O12+HISTOOCT23!O12+HISTONOV23!O12+HISTODEC23!O12</f>
        <v>2400000</v>
      </c>
      <c r="P12" s="5">
        <f>HISTOJANV23!P12+HISTOFEV23!P12+HISTOMARS23!P12+HISTOAVRIL23!P12+HISTOMAI23!P12+HISTOJUIN23!P12+HISTOJUIL23!P12+HISTOAOUT23!P12+HISTOSEPT23!P12+HISTOOCT23!P12+HISTONOV23!P12+HISTODEC23!P12</f>
        <v>30500</v>
      </c>
      <c r="Q12" s="5">
        <f>HISTOJANV23!Q12+HISTOFEV23!Q12+HISTOMARS23!Q12+HISTOAVRIL23!Q12+HISTOMAI23!Q12+HISTOJUIN23!Q12+HISTOJUIL23!Q12+HISTOAOUT23!Q12+HISTOSEPT23!Q12+HISTOOCT23!Q12+HISTONOV23!Q12+HISTODEC23!Q12</f>
        <v>90000</v>
      </c>
      <c r="R12" s="5">
        <f>HISTOJANV23!R12+HISTOFEV23!R12+HISTOMARS23!R12+HISTOAVRIL23!R12+HISTOMAI23!R12+HISTOJUIN23!R12+HISTOJUIL23!R12+HISTOAOUT23!R12+HISTOSEPT23!R12+HISTOOCT23!R12+HISTONOV23!R12+HISTODEC23!R12</f>
        <v>812000</v>
      </c>
      <c r="S12" s="5">
        <f>HISTOJANV23!S12+HISTOFEV23!S12+HISTOMARS23!S12+HISTOAVRIL23!S12+HISTOMAI23!S12+HISTOJUIN23!S12+HISTOJUIL23!S12+HISTOAOUT23!S12+HISTOSEPT23!S12+HISTOOCT23!S12+HISTONOV23!S12+HISTODEC23!S12</f>
        <v>1719200</v>
      </c>
      <c r="T12" s="5" t="e">
        <f>HISTOJANV23!T12+HISTOFEV23!T12+HISTOMARS23!T12+HISTOAVRIL23!T12+HISTOMAI23!T12+HISTOJUIN23!T12+HISTOJUIL23!T12+HISTOAOUT23!T12+HISTOSEPT23!T12+HISTOOCT23!T12+HISTONOV23!T12+HISTODEC23!T12</f>
        <v>#VALUE!</v>
      </c>
      <c r="U12" s="17">
        <f t="shared" si="1"/>
        <v>6631500</v>
      </c>
      <c r="V12" s="5">
        <f>HISTOJANV23!V12+HISTOFEV23!V12+HISTOMARS23!V12+HISTOAVRIL23!V12+HISTOMAI23!V12+HISTOJUIN23!V12+HISTOJUIL23!V12+HISTOAOUT23!V12+HISTOSEPT23!V12+HISTOOCT23!V12+HISTONOV23!V12+HISTODEC23!V12</f>
        <v>0</v>
      </c>
      <c r="W12" s="5">
        <f>HISTOJANV23!W12+HISTOFEV23!W12+HISTOMARS23!W12+HISTOAVRIL23!W12+HISTOMAI23!W12+HISTOJUIN23!W12+HISTOJUIL23!W12+HISTOAOUT23!W12+HISTOSEPT23!W12+HISTOOCT23!W12+HISTONOV23!W12+HISTODEC23!W12</f>
        <v>0</v>
      </c>
      <c r="X12" s="5">
        <f>HISTOJANV23!X12+HISTOFEV23!X12+HISTOMARS23!X12+HISTOAVRIL23!X12+HISTOMAI23!X12+HISTOJUIN23!X12+HISTOJUIL23!X12+HISTOAOUT23!X12+HISTOSEPT23!X12+HISTOOCT23!X12+HISTONOV23!X12+HISTODEC23!X12</f>
        <v>0</v>
      </c>
      <c r="Y12" s="5">
        <f>HISTOJANV23!Y12+HISTOFEV23!Y12+HISTOMARS23!Y12+HISTOAVRIL23!Y12+HISTOMAI23!Y12+HISTOJUIN23!Y12+HISTOJUIL23!Y12+HISTOAOUT23!Y12+HISTOSEPT23!Y12+HISTOOCT23!Y12+HISTONOV23!Y12+HISTODEC23!Y12</f>
        <v>0</v>
      </c>
      <c r="Z12" s="5">
        <f>HISTOJANV23!Z12+HISTOFEV23!Z12+HISTOMARS23!Z12+HISTOAVRIL23!Z12+HISTOMAI23!Z12+HISTOJUIN23!Z12+HISTOJUIL23!Z12+HISTOAOUT23!Z12+HISTOSEPT23!Z12+HISTOOCT23!Z12+HISTONOV23!Z12+HISTODEC23!Z12</f>
        <v>1705000</v>
      </c>
      <c r="AA12" s="5" t="e">
        <f>HISTOJANV23!AA12+HISTOFEV23!AA12+HISTOMARS23!AA12+HISTOAVRIL23!AA12+HISTOMAI23!AA12+HISTOJUIN23!AA12+HISTOJUIL23!AA12+HISTOAOUT23!AA12+HISTOSEPT23!AA12+HISTOOCT23!AA12+HISTONOV23!AA12+HISTODEC23!AA12</f>
        <v>#VALUE!</v>
      </c>
      <c r="AB12" s="5">
        <f>HISTOJANV23!AB12+HISTOFEV23!AB12+HISTOMARS23!AB12+HISTOAVRIL23!AB12+HISTOMAI23!AB12+HISTOJUIN23!AB12+HISTOJUIL23!AB12+HISTOAOUT23!AB12+HISTOSEPT23!AB12+HISTOOCT23!AB12+HISTONOV23!AB12+HISTODEC23!AB12</f>
        <v>0</v>
      </c>
      <c r="AC12" s="5">
        <f>HISTOJANV23!AC12+HISTOFEV23!AC12+HISTOMARS23!AC12+HISTOAVRIL23!AC12+HISTOMAI23!AC12+HISTOJUIN23!AC12+HISTOJUIL23!AC12+HISTOAOUT23!AC12+HISTOSEPT23!AC12+HISTOOCT23!AC12+HISTONOV23!AC12+HISTODEC23!AC12</f>
        <v>5000</v>
      </c>
      <c r="AD12" s="5">
        <f>HISTOJANV23!AD12+HISTOFEV23!AD12+HISTOMARS23!AD12+HISTOAVRIL23!AD12+HISTOMAI23!AD12+HISTOJUIN23!AD12+HISTOJUIL23!AD12+HISTOAOUT23!AD12+HISTOSEPT23!AD12+HISTOOCT23!AD12+HISTONOV23!AD12+HISTODEC23!AD12</f>
        <v>10000</v>
      </c>
      <c r="AE12" s="5">
        <f>HISTOJANV23!AE12+HISTOFEV23!AE12+HISTOMARS23!AE12+HISTOAVRIL23!AE12+HISTOMAI23!AE12+HISTOJUIN23!AE12+HISTOJUIL23!AE12+HISTOAOUT23!AE12+HISTOSEPT23!AE12+HISTOOCT23!AE12+HISTONOV23!AE12+HISTODEC23!AE12</f>
        <v>20000</v>
      </c>
      <c r="AF12" s="5" t="e">
        <f>HISTOJANV23!AF12+HISTOFEV23!AF12+HISTOMARS23!AF12+HISTOAVRIL23!AF12+HISTOMAI23!AF12+HISTOJUIN23!AF12+HISTOJUIL23!AF12+HISTOAOUT23!AF12+HISTOSEPT23!AF12+HISTOOCT23!AF12+HISTONOV23!AF12+HISTODEC23!AF12</f>
        <v>#VALUE!</v>
      </c>
      <c r="AG12" s="5">
        <f>HISTOJANV23!AG12+HISTOFEV23!AG12+HISTOMARS23!AG12+HISTOAVRIL23!AG12+HISTOMAI23!AG12+HISTOJUIN23!AG12+HISTOJUIL23!AG12+HISTOAOUT23!AG12+HISTOSEPT23!AG12+HISTOOCT23!AG12+HISTONOV23!AG12+HISTODEC23!AG12</f>
        <v>0</v>
      </c>
      <c r="AH12" s="5">
        <f>HISTOJANV23!AH12+HISTOFEV23!AH12+HISTOMARS23!AH12+HISTOAVRIL23!AH12+HISTOMAI23!AH12+HISTOJUIN23!AH12+HISTOJUIL23!AH12+HISTOAOUT23!AH12+HISTOSEPT23!AH12+HISTOOCT23!AH12+HISTONOV23!AH12+HISTODEC23!AH12</f>
        <v>0</v>
      </c>
      <c r="AI12" s="5">
        <f>HISTOJANV23!AI12+HISTOFEV23!AI12+HISTOMARS23!AI12+HISTOAVRIL23!AI12+HISTOMAI23!AI12+HISTOJUIN23!AI12+HISTOJUIL23!AI12+HISTOAOUT23!AI12+HISTOSEPT23!AI12+HISTOOCT23!AI12+HISTONOV23!AI12+HISTODEC23!AI12</f>
        <v>30000</v>
      </c>
      <c r="AJ12" s="5">
        <f>HISTOJANV23!AJ12+HISTOFEV23!AJ12+HISTOMARS23!AJ12+HISTOAVRIL23!AJ12+HISTOMAI23!AJ12+HISTOJUIN23!AJ12+HISTOJUIL23!AJ12+HISTOAOUT23!AJ12+HISTOSEPT23!AJ12+HISTOOCT23!AJ12+HISTONOV23!AJ12+HISTODEC23!AJ12</f>
        <v>88000</v>
      </c>
      <c r="AK12" s="5">
        <f>HISTOJANV23!AK12+HISTOFEV23!AK12+HISTOMARS23!AK12+HISTOAVRIL23!AK12+HISTOMAI23!AK12+HISTOJUIN23!AK12+HISTOJUIL23!AK12+HISTOAOUT23!AK12+HISTOSEPT23!AK12+HISTOOCT23!AK12+HISTONOV23!AK12+HISTODEC23!AK12</f>
        <v>802000</v>
      </c>
      <c r="AL12" s="5">
        <f>HISTOJANV23!AL12+HISTOFEV23!AL12+HISTOMARS23!AL12+HISTOAVRIL23!AL12+HISTOMAI23!AL12+HISTOJUIN23!AL12+HISTOJUIL23!AL12+HISTOAOUT23!AL12+HISTOSEPT23!AL12+HISTOOCT23!AL12+HISTONOV23!AL12+HISTODEC23!AL12</f>
        <v>500</v>
      </c>
      <c r="AM12" s="5">
        <f>HISTOJANV23!AM12+HISTOFEV23!AM12+HISTOMARS23!AM12+HISTOAVRIL23!AM12+HISTOMAI23!AM12+HISTOJUIN23!AM12+HISTOJUIL23!AM12+HISTOAOUT23!AM12+HISTOSEPT23!AM12+HISTOOCT23!AM12+HISTONOV23!AM12+HISTODEC23!AM12</f>
        <v>2000</v>
      </c>
      <c r="AN12" s="5">
        <f>HISTOJANV23!AN12+HISTOFEV23!AN12+HISTOMARS23!AN12+HISTOAVRIL23!AN12+HISTOMAI23!AN12+HISTOJUIN23!AN12+HISTOJUIL23!AN12+HISTOAOUT23!AN12+HISTOSEPT23!AN12+HISTOOCT23!AN12+HISTONOV23!AN12+HISTODEC23!AN12</f>
        <v>10000</v>
      </c>
      <c r="AO12" s="5">
        <f>HISTOJANV23!AO12+HISTOFEV23!AO12+HISTOMARS23!AO12+HISTOAVRIL23!AO12+HISTOMAI23!AO12+HISTOJUIN23!AO12+HISTOJUIL23!AO12+HISTOAOUT23!AO12+HISTOSEPT23!AO12+HISTOOCT23!AO12+HISTONOV23!AO12+HISTODEC23!AO12</f>
        <v>0</v>
      </c>
      <c r="AP12" s="5" t="e">
        <f>HISTOJANV23!AP12+HISTOFEV23!AP12+HISTOMARS23!AP12+HISTOAVRIL23!AP12+HISTOMAI23!AP12+HISTOJUIN23!AP12+HISTOJUIL23!AP12+HISTOAOUT23!AP12+HISTOSEPT23!AP12+HISTOOCT23!AP12+HISTONOV23!AP12+HISTODEC23!AP12</f>
        <v>#VALUE!</v>
      </c>
      <c r="AQ12" s="5">
        <f>HISTOJANV23!AQ12+HISTOFEV23!AQ12+HISTOMARS23!AQ12+HISTOAVRIL23!AQ12+HISTOMAI23!AQ12+HISTOJUIN23!AQ12+HISTOJUIL23!AQ12+HISTOAOUT23!AQ12+HISTOSEPT23!AQ12+HISTOOCT23!AQ12+HISTONOV23!AQ12+HISTODEC23!AQ12</f>
        <v>0</v>
      </c>
      <c r="AR12" s="5">
        <f>HISTOJANV23!AR12+HISTOFEV23!AR12+HISTOMARS23!AR12+HISTOAVRIL23!AR12+HISTOMAI23!AR12+HISTOJUIN23!AR12+HISTOJUIL23!AR12+HISTOAOUT23!AR12+HISTOSEPT23!AR12+HISTOOCT23!AR12+HISTONOV23!AR12+HISTODEC23!AR12</f>
        <v>0</v>
      </c>
      <c r="AS12" s="5">
        <f>HISTOJANV23!AS12+HISTOFEV23!AS12+HISTOMARS23!AS12+HISTOAVRIL23!AS12+HISTOMAI23!AS12+HISTOJUIN23!AS12+HISTOJUIL23!AS12+HISTOAOUT23!AS12+HISTOSEPT23!AS12+HISTOOCT23!AS12+HISTONOV23!AS12+HISTODEC23!AS12</f>
        <v>381600</v>
      </c>
      <c r="AT12" s="5">
        <f>HISTOJANV23!AT12+HISTOFEV23!AT12+HISTOMARS23!AT12+HISTOAVRIL23!AT12+HISTOMAI23!AT12+HISTOJUIN23!AT12+HISTOJUIL23!AT12+HISTOAOUT23!AT12+HISTOSEPT23!AT12+HISTOOCT23!AT12+HISTONOV23!AT12+HISTODEC23!AT12</f>
        <v>0</v>
      </c>
      <c r="AU12" s="5">
        <f>HISTOJANV23!AU12+HISTOFEV23!AU12+HISTOMARS23!AU12+HISTOAVRIL23!AU12+HISTOMAI23!AU12+HISTOJUIN23!AU12+HISTOJUIL23!AU12+HISTOAOUT23!AU12+HISTOSEPT23!AU12+HISTOOCT23!AU12+HISTONOV23!AU12+HISTODEC23!AU12</f>
        <v>0</v>
      </c>
      <c r="AV12" s="5">
        <f>HISTOJANV23!AV12+HISTOFEV23!AV12+HISTOMARS23!AV12+HISTOAVRIL23!AV12+HISTOMAI23!AV12+HISTOJUIN23!AV12+HISTOJUIL23!AV12+HISTOAOUT23!AV12+HISTOSEPT23!AV12+HISTOOCT23!AV12+HISTONOV23!AV12+HISTODEC23!AV12</f>
        <v>0</v>
      </c>
      <c r="AW12" s="5">
        <f>HISTOJANV23!AW12+HISTOFEV23!AW12+HISTOMARS23!AW12+HISTOAVRIL23!AW12+HISTOMAI23!AW12+HISTOJUIN23!AW12+HISTOJUIL23!AW12+HISTOAOUT23!AW12+HISTOSEPT23!AW12+HISTOOCT23!AW12+HISTONOV23!AW12+HISTODEC23!AW12</f>
        <v>325000</v>
      </c>
      <c r="AX12" s="5">
        <f>HISTOJANV23!AX12+HISTOFEV23!AX12+HISTOMARS23!AX12+HISTOAVRIL23!AX12+HISTOMAI23!AX12+HISTOJUIN23!AX12+HISTOJUIL23!AX12+HISTOAOUT23!AX12+HISTOSEPT23!AX12+HISTOOCT23!AX12+HISTONOV23!AX12+HISTODEC23!AX12</f>
        <v>978000</v>
      </c>
      <c r="AY12" s="5">
        <f>HISTOJANV23!AY12+HISTOFEV23!AY12+HISTOMARS23!AY12+HISTOAVRIL23!AY12+HISTOMAI23!AY12+HISTOJUIN23!AY12+HISTOJUIL23!AY12+HISTOAOUT23!AY12+HISTOSEPT23!AY12+HISTOOCT23!AY12+HISTONOV23!AY12+HISTODEC23!AY12</f>
        <v>3182000</v>
      </c>
      <c r="AZ12" s="5">
        <f>HISTOJANV23!AZ12+HISTOFEV23!AZ12+HISTOMARS23!AZ12+HISTOAVRIL23!AZ12+HISTOMAI23!AZ12+HISTOJUIN23!AZ12+HISTOJUIL23!AZ12+HISTOAOUT23!AZ12+HISTOSEPT23!AZ12+HISTOOCT23!AZ12+HISTONOV23!AZ12+HISTODEC23!AZ12</f>
        <v>4829800</v>
      </c>
      <c r="BA12" s="5">
        <f>HISTOJANV23!BA12+HISTOFEV23!BA12+HISTOMARS23!BA12+HISTOAVRIL23!BA12+HISTOMAI23!BA12+HISTOJUIN23!BA12+HISTOJUIL23!BA12+HISTOAOUT23!BA12+HISTOSEPT23!BA12+HISTOOCT23!BA12+HISTONOV23!BA12+HISTODEC23!BA12</f>
        <v>73000</v>
      </c>
      <c r="BB12" s="5">
        <f>HISTOJANV23!BB12+HISTOFEV23!BB12+HISTOMARS23!BB12+HISTOAVRIL23!BB12+HISTOMAI23!BB12+HISTOJUIN23!BB12+HISTOJUIL23!BB12+HISTOAOUT23!BB12+HISTOSEPT23!BB12+HISTOOCT23!BB12+HISTONOV23!BB12+HISTODEC23!BB12</f>
        <v>70000</v>
      </c>
      <c r="BC12" s="5">
        <f>HISTOJANV23!BC12+HISTOFEV23!BC12+HISTOMARS23!BC12+HISTOAVRIL23!BC12+HISTOMAI23!BC12+HISTOJUIN23!BC12+HISTOJUIL23!BC12+HISTOAOUT23!BC12+HISTOSEPT23!BC12+HISTOOCT23!BC12+HISTONOV23!BC12+HISTODEC23!BC12</f>
        <v>0</v>
      </c>
      <c r="BD12" s="5">
        <f>HISTOJANV23!BD12+HISTOFEV23!BD12+HISTOMARS23!BD12+HISTOAVRIL23!BD12+HISTOMAI23!BD12+HISTOJUIN23!BD12+HISTOJUIL23!BD12+HISTOAOUT23!BD12+HISTOSEPT23!BD12+HISTOOCT23!BD12+HISTONOV23!BD12+HISTODEC23!BD12</f>
        <v>4905000</v>
      </c>
      <c r="BE12" s="82">
        <f>HISTOJANV23!BE12+HISTOFEV23!BE12+HISTOMARS23!BE12+HISTOAVRIL23!BE12+HISTOMAI23!BE12+HISTOJUIN23!BE12+HISTOJUIL23!BE12+HISTOAOUT23!BE12+HISTOSEPT23!BE12+HISTOOCT23!BE12+HISTONOV23!BE12+HISTODEC23!BE12</f>
        <v>3815000</v>
      </c>
      <c r="BF12" s="5">
        <f>HISTOJANV23!BF12+HISTOFEV23!BF12+HISTOMARS23!BF12+HISTOAVRIL23!BF12+HISTOMAI23!BF12+HISTOJUIN23!BF12+HISTOJUIL23!BF12+HISTOAOUT23!BF12+HISTOSEPT23!BF12+HISTOOCT23!BF12+HISTONOV23!BF12+HISTODEC23!BF12</f>
        <v>88200</v>
      </c>
      <c r="BG12" s="5">
        <f>HISTOJANV23!BG12+HISTOFEV23!BG12+HISTOMARS23!BG12+HISTOAVRIL23!BG12+HISTOMAI23!BG12+HISTOJUIN23!BG12+HISTOJUIL23!BG12+HISTOAOUT23!BG12+HISTOSEPT23!BG12+HISTOOCT23!BG12+HISTONOV23!BG12+HISTODEC23!BG12</f>
        <v>70</v>
      </c>
      <c r="BH12" s="5">
        <f>HISTOJANV23!BH12+HISTOFEV23!BH12+HISTOMARS23!BH12+HISTOAVRIL23!BH12+HISTOMAI23!BH12+HISTOJUIN23!BH12+HISTOJUIL23!BH12+HISTOAOUT23!BH12+HISTOSEPT23!BH12+HISTOOCT23!BH12+HISTONOV23!BH12+HISTODEC23!BH12</f>
        <v>0</v>
      </c>
      <c r="BI12" s="5">
        <f>HISTOJANV23!BI12+HISTOFEV23!BI12+HISTOMARS23!BI12+HISTOAVRIL23!BI12+HISTOMAI23!BI12+HISTOJUIN23!BI12+HISTOJUIL23!BI12+HISTOAOUT23!BI12+HISTOSEPT23!BI12+HISTOOCT23!BI12+HISTONOV23!BI12+HISTODEC23!BI12</f>
        <v>0</v>
      </c>
      <c r="BJ12" s="5">
        <f>HISTOJANV23!BJ12+HISTOFEV23!BJ12+HISTOMARS23!BJ12+HISTOAVRIL23!BJ12+HISTOMAI23!BJ12+HISTOJUIN23!BJ12+HISTOJUIL23!BJ12+HISTOAOUT23!BJ12+HISTOSEPT23!BJ12+HISTOOCT23!BJ12+HISTONOV23!BJ12+HISTODEC23!BJ12</f>
        <v>0</v>
      </c>
      <c r="BK12" s="5">
        <f>HISTOJANV23!BK12+HISTOFEV23!BK12+HISTOMARS23!BK12+HISTOAVRIL23!BK12+HISTOMAI23!BK12+HISTOJUIN23!BK12+HISTOJUIL23!BK12+HISTOAOUT23!BK12+HISTOSEPT23!BK12+HISTOOCT23!BK12+HISTONOV23!BK12+HISTODEC23!BK12</f>
        <v>0</v>
      </c>
      <c r="BL12" s="5">
        <f>HISTOJANV23!BL12+HISTOFEV23!BL12+HISTOMARS23!BL12+HISTOAVRIL23!BL12+HISTOMAI23!BL12+HISTOJUIN23!BL12+HISTOJUIL23!BL12+HISTOAOUT23!BL12+HISTOSEPT23!BL12+HISTOOCT23!BL12+HISTONOV23!BL12+HISTODEC23!BL12</f>
        <v>0</v>
      </c>
      <c r="BM12" s="5">
        <f>HISTOJANV23!BM12+HISTOFEV23!BM12+HISTOMARS23!BM12+HISTOAVRIL23!BM12+HISTOMAI23!BM12+HISTOJUIN23!BM12+HISTOJUIL23!BM12+HISTOAOUT23!BM12+HISTOSEPT23!BM12+HISTOOCT23!BM12+HISTONOV23!BM12+HISTODEC23!BM12</f>
        <v>0</v>
      </c>
      <c r="BN12" t="s">
        <v>120</v>
      </c>
      <c r="BO12" t="s">
        <v>114</v>
      </c>
      <c r="BP12" s="5">
        <f>HISTOJANV23!BP12+HISTOFEV23!BP12+HISTOMARS23!BP12+HISTOAVRIL23!BP12+HISTOMAI23!BP12+HISTOJUIN23!BP12+HISTOJUIL23!BP12+HISTOAOUT23!BP12+HISTOSEPT23!BP12+HISTOOCT23!BP12+HISTONOV23!BP12+HISTODEC23!BP12</f>
        <v>0</v>
      </c>
    </row>
    <row r="13" spans="1:68" ht="18.75" x14ac:dyDescent="0.3">
      <c r="A13" s="1" t="s">
        <v>17</v>
      </c>
      <c r="B13" s="1" t="str">
        <f>VLOOKUP(A13,[17]LISTADHERENT!A$5:H$39,3,0)</f>
        <v>DOMOU FABIEN</v>
      </c>
      <c r="C13" s="5">
        <f>HISTOJANV23!C13+HISTOFEV23!C13+HISTOMARS23!C13+HISTOAVRIL23!C13+HISTOMAI23!C13+HISTOJUIN23!C13+HISTOJUIL23!C13+HISTOAOUT23!C13+HISTOSEPT23!C13+HISTOOCT23!C13+HISTONOV23!C13+HISTODEC23!C13</f>
        <v>0</v>
      </c>
      <c r="D13" s="5">
        <f>HISTOJANV23!D13+HISTOFEV23!D13+HISTOMARS23!D13+HISTOAVRIL23!D13+HISTOMAI23!D13+HISTOJUIN23!D13+HISTOJUIL23!D13+HISTOAOUT23!D13+HISTOSEPT23!D13+HISTOOCT23!D13+HISTONOV23!D13+HISTODEC23!D13</f>
        <v>1440000</v>
      </c>
      <c r="E13" s="5">
        <f>HISTOJANV23!E13+HISTOFEV23!E13+HISTOMARS23!E13+HISTOAVRIL23!E13+HISTOMAI23!E13+HISTOJUIN23!E13+HISTOJUIL23!E13+HISTOAOUT23!E13+HISTOSEPT23!E13+HISTOOCT23!E13+HISTONOV23!E13+HISTODEC23!E13</f>
        <v>40000</v>
      </c>
      <c r="F13" s="5">
        <f>HISTOJANV23!F13+HISTOFEV23!F13+HISTOMARS23!F13+HISTOAVRIL23!F13+HISTOMAI23!F13+HISTOJUIN23!F13+HISTOJUIL23!F13+HISTOAOUT23!F13+HISTOSEPT23!F13+HISTOOCT23!F13+HISTONOV23!F13+HISTODEC23!F13</f>
        <v>70000</v>
      </c>
      <c r="G13" s="5">
        <f>HISTOJANV23!G13+HISTOFEV23!G13+HISTOMARS23!G13+HISTOAVRIL23!G13+HISTOMAI23!G13+HISTOJUIN23!G13+HISTOJUIL23!G13+HISTOAOUT23!G13+HISTOSEPT23!G13+HISTOOCT23!G13+HISTONOV23!G13+HISTODEC23!G13</f>
        <v>0</v>
      </c>
      <c r="H13" s="10" t="str">
        <f t="shared" si="0"/>
        <v>BANQUE</v>
      </c>
      <c r="I13" s="5">
        <f>HISTOJANV23!I13+HISTOFEV23!I13+HISTOMARS23!I13+HISTOAVRIL23!I13+HISTOMAI23!I13+HISTOJUIN23!I13+HISTOJUIL23!I13+HISTOAOUT23!I13+HISTOSEPT23!I13+HISTOOCT23!I13+HISTONOV23!I13+HISTODEC23!I13</f>
        <v>0</v>
      </c>
      <c r="J13" s="5">
        <f>HISTOJANV23!J13+HISTOFEV23!J13+HISTOMARS23!J13+HISTOAVRIL23!J13+HISTOMAI23!J13+HISTOJUIN23!J13+HISTOJUIL23!J13+HISTOAOUT23!J13+HISTOSEPT23!J13+HISTOOCT23!J13+HISTONOV23!J13+HISTODEC23!J13</f>
        <v>12</v>
      </c>
      <c r="K13" s="5">
        <f>HISTOJANV23!K13+HISTOFEV23!K13+HISTOMARS23!K13+HISTOAVRIL23!K13+HISTOMAI23!K13+HISTOJUIN23!K13+HISTOJUIL23!K13+HISTOAOUT23!K13+HISTOSEPT23!K13+HISTOOCT23!K13+HISTONOV23!K13+HISTODEC23!K13</f>
        <v>480000</v>
      </c>
      <c r="L13" s="5">
        <f>HISTOJANV23!L13+HISTOFEV23!L13+HISTOMARS23!L13+HISTOAVRIL23!L13+HISTOMAI23!L13+HISTOJUIN23!L13+HISTOJUIL23!L13+HISTOAOUT23!L13+HISTOSEPT23!L13+HISTOOCT23!L13+HISTONOV23!L13+HISTODEC23!L13</f>
        <v>0</v>
      </c>
      <c r="M13" s="5">
        <f>HISTOJANV23!M13+HISTOFEV23!M13+HISTOMARS23!M13+HISTOAVRIL23!M13+HISTOMAI23!M13+HISTOJUIN23!M13+HISTOJUIL23!M13+HISTOAOUT23!M13+HISTOSEPT23!M13+HISTOOCT23!M13+HISTONOV23!M13+HISTODEC23!M13</f>
        <v>0</v>
      </c>
      <c r="N13" s="5">
        <f>HISTOJANV23!N13+HISTOFEV23!N13+HISTOMARS23!N13+HISTOAVRIL23!N13+HISTOMAI23!N13+HISTOJUIN23!N13+HISTOJUIL23!N13+HISTOAOUT23!N13+HISTOSEPT23!N13+HISTOOCT23!N13+HISTONOV23!N13+HISTODEC23!N13</f>
        <v>0</v>
      </c>
      <c r="O13" s="5">
        <f>HISTOJANV23!O13+HISTOFEV23!O13+HISTOMARS23!O13+HISTOAVRIL23!O13+HISTOMAI23!O13+HISTOJUIN23!O13+HISTOJUIL23!O13+HISTOAOUT23!O13+HISTOSEPT23!O13+HISTOOCT23!O13+HISTONOV23!O13+HISTODEC23!O13</f>
        <v>0</v>
      </c>
      <c r="P13" s="5">
        <f>HISTOJANV23!P13+HISTOFEV23!P13+HISTOMARS23!P13+HISTOAVRIL23!P13+HISTOMAI23!P13+HISTOJUIN23!P13+HISTOJUIL23!P13+HISTOAOUT23!P13+HISTOSEPT23!P13+HISTOOCT23!P13+HISTONOV23!P13+HISTODEC23!P13</f>
        <v>0</v>
      </c>
      <c r="Q13" s="5">
        <f>HISTOJANV23!Q13+HISTOFEV23!Q13+HISTOMARS23!Q13+HISTOAVRIL23!Q13+HISTOMAI23!Q13+HISTOJUIN23!Q13+HISTOJUIL23!Q13+HISTOAOUT23!Q13+HISTOSEPT23!Q13+HISTOOCT23!Q13+HISTONOV23!Q13+HISTODEC23!Q13</f>
        <v>0</v>
      </c>
      <c r="R13" s="5">
        <f>HISTOJANV23!R13+HISTOFEV23!R13+HISTOMARS23!R13+HISTOAVRIL23!R13+HISTOMAI23!R13+HISTOJUIN23!R13+HISTOJUIL23!R13+HISTOAOUT23!R13+HISTOSEPT23!R13+HISTOOCT23!R13+HISTONOV23!R13+HISTODEC23!R13</f>
        <v>0</v>
      </c>
      <c r="S13" s="5">
        <f>HISTOJANV23!S13+HISTOFEV23!S13+HISTOMARS23!S13+HISTOAVRIL23!S13+HISTOMAI23!S13+HISTOJUIN23!S13+HISTOJUIL23!S13+HISTOAOUT23!S13+HISTOSEPT23!S13+HISTOOCT23!S13+HISTONOV23!S13+HISTODEC23!S13</f>
        <v>1000000</v>
      </c>
      <c r="T13" s="5" t="e">
        <f>HISTOJANV23!T13+HISTOFEV23!T13+HISTOMARS23!T13+HISTOAVRIL23!T13+HISTOMAI23!T13+HISTOJUIN23!T13+HISTOJUIL23!T13+HISTOAOUT23!T13+HISTOSEPT23!T13+HISTOOCT23!T13+HISTONOV23!T13+HISTODEC23!T13</f>
        <v>#VALUE!</v>
      </c>
      <c r="U13" s="17">
        <f t="shared" si="1"/>
        <v>1480000</v>
      </c>
      <c r="V13" s="5">
        <f>HISTOJANV23!V13+HISTOFEV23!V13+HISTOMARS23!V13+HISTOAVRIL23!V13+HISTOMAI23!V13+HISTOJUIN23!V13+HISTOJUIL23!V13+HISTOAOUT23!V13+HISTOSEPT23!V13+HISTOOCT23!V13+HISTONOV23!V13+HISTODEC23!V13</f>
        <v>0</v>
      </c>
      <c r="W13" s="5">
        <f>HISTOJANV23!W13+HISTOFEV23!W13+HISTOMARS23!W13+HISTOAVRIL23!W13+HISTOMAI23!W13+HISTOJUIN23!W13+HISTOJUIL23!W13+HISTOAOUT23!W13+HISTOSEPT23!W13+HISTOOCT23!W13+HISTONOV23!W13+HISTODEC23!W13</f>
        <v>0</v>
      </c>
      <c r="X13" s="5">
        <f>HISTOJANV23!X13+HISTOFEV23!X13+HISTOMARS23!X13+HISTOAVRIL23!X13+HISTOMAI23!X13+HISTOJUIN23!X13+HISTOJUIL23!X13+HISTOAOUT23!X13+HISTOSEPT23!X13+HISTOOCT23!X13+HISTONOV23!X13+HISTODEC23!X13</f>
        <v>0</v>
      </c>
      <c r="Y13" s="5">
        <f>HISTOJANV23!Y13+HISTOFEV23!Y13+HISTOMARS23!Y13+HISTOAVRIL23!Y13+HISTOMAI23!Y13+HISTOJUIN23!Y13+HISTOJUIL23!Y13+HISTOAOUT23!Y13+HISTOSEPT23!Y13+HISTOOCT23!Y13+HISTONOV23!Y13+HISTODEC23!Y13</f>
        <v>0</v>
      </c>
      <c r="Z13" s="5">
        <f>HISTOJANV23!Z13+HISTOFEV23!Z13+HISTOMARS23!Z13+HISTOAVRIL23!Z13+HISTOMAI23!Z13+HISTOJUIN23!Z13+HISTOJUIL23!Z13+HISTOAOUT23!Z13+HISTOSEPT23!Z13+HISTOOCT23!Z13+HISTONOV23!Z13+HISTODEC23!Z13</f>
        <v>1000000</v>
      </c>
      <c r="AA13" s="5" t="e">
        <f>HISTOJANV23!AA13+HISTOFEV23!AA13+HISTOMARS23!AA13+HISTOAVRIL23!AA13+HISTOMAI23!AA13+HISTOJUIN23!AA13+HISTOJUIL23!AA13+HISTOAOUT23!AA13+HISTOSEPT23!AA13+HISTOOCT23!AA13+HISTONOV23!AA13+HISTODEC23!AA13</f>
        <v>#VALUE!</v>
      </c>
      <c r="AB13" s="5">
        <f>HISTOJANV23!AB13+HISTOFEV23!AB13+HISTOMARS23!AB13+HISTOAVRIL23!AB13+HISTOMAI23!AB13+HISTOJUIN23!AB13+HISTOJUIL23!AB13+HISTOAOUT23!AB13+HISTOSEPT23!AB13+HISTOOCT23!AB13+HISTONOV23!AB13+HISTODEC23!AB13</f>
        <v>0</v>
      </c>
      <c r="AC13" s="5">
        <f>HISTOJANV23!AC13+HISTOFEV23!AC13+HISTOMARS23!AC13+HISTOAVRIL23!AC13+HISTOMAI23!AC13+HISTOJUIN23!AC13+HISTOJUIL23!AC13+HISTOAOUT23!AC13+HISTOSEPT23!AC13+HISTOOCT23!AC13+HISTONOV23!AC13+HISTODEC23!AC13</f>
        <v>10000</v>
      </c>
      <c r="AD13" s="5">
        <f>HISTOJANV23!AD13+HISTOFEV23!AD13+HISTOMARS23!AD13+HISTOAVRIL23!AD13+HISTOMAI23!AD13+HISTOJUIN23!AD13+HISTOJUIL23!AD13+HISTOAOUT23!AD13+HISTOSEPT23!AD13+HISTOOCT23!AD13+HISTONOV23!AD13+HISTODEC23!AD13</f>
        <v>0</v>
      </c>
      <c r="AE13" s="5">
        <f>HISTOJANV23!AE13+HISTOFEV23!AE13+HISTOMARS23!AE13+HISTOAVRIL23!AE13+HISTOMAI23!AE13+HISTOJUIN23!AE13+HISTOJUIL23!AE13+HISTOAOUT23!AE13+HISTOSEPT23!AE13+HISTOOCT23!AE13+HISTONOV23!AE13+HISTODEC23!AE13</f>
        <v>0</v>
      </c>
      <c r="AF13" s="5">
        <f>HISTOJANV23!AF13+HISTOFEV23!AF13+HISTOMARS23!AF13+HISTOAVRIL23!AF13+HISTOMAI23!AF13+HISTOJUIN23!AF13+HISTOJUIL23!AF13+HISTOAOUT23!AF13+HISTOSEPT23!AF13+HISTOOCT23!AF13+HISTONOV23!AF13+HISTODEC23!AF13</f>
        <v>0</v>
      </c>
      <c r="AG13" s="5">
        <f>HISTOJANV23!AG13+HISTOFEV23!AG13+HISTOMARS23!AG13+HISTOAVRIL23!AG13+HISTOMAI23!AG13+HISTOJUIN23!AG13+HISTOJUIL23!AG13+HISTOAOUT23!AG13+HISTOSEPT23!AG13+HISTOOCT23!AG13+HISTONOV23!AG13+HISTODEC23!AG13</f>
        <v>0</v>
      </c>
      <c r="AH13" s="5">
        <f>HISTOJANV23!AH13+HISTOFEV23!AH13+HISTOMARS23!AH13+HISTOAVRIL23!AH13+HISTOMAI23!AH13+HISTOJUIN23!AH13+HISTOJUIL23!AH13+HISTOAOUT23!AH13+HISTOSEPT23!AH13+HISTOOCT23!AH13+HISTONOV23!AH13+HISTODEC23!AH13</f>
        <v>0</v>
      </c>
      <c r="AI13" s="5">
        <f>HISTOJANV23!AI13+HISTOFEV23!AI13+HISTOMARS23!AI13+HISTOAVRIL23!AI13+HISTOMAI23!AI13+HISTOJUIN23!AI13+HISTOJUIL23!AI13+HISTOAOUT23!AI13+HISTOSEPT23!AI13+HISTOOCT23!AI13+HISTONOV23!AI13+HISTODEC23!AI13</f>
        <v>0</v>
      </c>
      <c r="AJ13" s="5">
        <f>HISTOJANV23!AJ13+HISTOFEV23!AJ13+HISTOMARS23!AJ13+HISTOAVRIL23!AJ13+HISTOMAI23!AJ13+HISTOJUIN23!AJ13+HISTOJUIL23!AJ13+HISTOAOUT23!AJ13+HISTOSEPT23!AJ13+HISTOOCT23!AJ13+HISTONOV23!AJ13+HISTODEC23!AJ13</f>
        <v>0</v>
      </c>
      <c r="AK13" s="5">
        <f>HISTOJANV23!AK13+HISTOFEV23!AK13+HISTOMARS23!AK13+HISTOAVRIL23!AK13+HISTOMAI23!AK13+HISTOJUIN23!AK13+HISTOJUIL23!AK13+HISTOAOUT23!AK13+HISTOSEPT23!AK13+HISTOOCT23!AK13+HISTONOV23!AK13+HISTODEC23!AK13</f>
        <v>0</v>
      </c>
      <c r="AL13" s="5">
        <f>HISTOJANV23!AL13+HISTOFEV23!AL13+HISTOMARS23!AL13+HISTOAVRIL23!AL13+HISTOMAI23!AL13+HISTOJUIN23!AL13+HISTOJUIL23!AL13+HISTOAOUT23!AL13+HISTOSEPT23!AL13+HISTOOCT23!AL13+HISTONOV23!AL13+HISTODEC23!AL13</f>
        <v>0</v>
      </c>
      <c r="AM13" s="5">
        <f>HISTOJANV23!AM13+HISTOFEV23!AM13+HISTOMARS23!AM13+HISTOAVRIL23!AM13+HISTOMAI23!AM13+HISTOJUIN23!AM13+HISTOJUIL23!AM13+HISTOAOUT23!AM13+HISTOSEPT23!AM13+HISTOOCT23!AM13+HISTONOV23!AM13+HISTODEC23!AM13</f>
        <v>0</v>
      </c>
      <c r="AN13" s="5">
        <f>HISTOJANV23!AN13+HISTOFEV23!AN13+HISTOMARS23!AN13+HISTOAVRIL23!AN13+HISTOMAI23!AN13+HISTOJUIN23!AN13+HISTOJUIL23!AN13+HISTOAOUT23!AN13+HISTOSEPT23!AN13+HISTOOCT23!AN13+HISTONOV23!AN13+HISTODEC23!AN13</f>
        <v>0</v>
      </c>
      <c r="AO13" s="5">
        <f>HISTOJANV23!AO13+HISTOFEV23!AO13+HISTOMARS23!AO13+HISTOAVRIL23!AO13+HISTOMAI23!AO13+HISTOJUIN23!AO13+HISTOJUIL23!AO13+HISTOAOUT23!AO13+HISTOSEPT23!AO13+HISTOOCT23!AO13+HISTONOV23!AO13+HISTODEC23!AO13</f>
        <v>0</v>
      </c>
      <c r="AP13" s="5">
        <f>HISTOJANV23!AP13+HISTOFEV23!AP13+HISTOMARS23!AP13+HISTOAVRIL23!AP13+HISTOMAI23!AP13+HISTOJUIN23!AP13+HISTOJUIL23!AP13+HISTOAOUT23!AP13+HISTOSEPT23!AP13+HISTOOCT23!AP13+HISTONOV23!AP13+HISTODEC23!AP13</f>
        <v>0</v>
      </c>
      <c r="AQ13" s="5">
        <f>HISTOJANV23!AQ13+HISTOFEV23!AQ13+HISTOMARS23!AQ13+HISTOAVRIL23!AQ13+HISTOMAI23!AQ13+HISTOJUIN23!AQ13+HISTOJUIL23!AQ13+HISTOAOUT23!AQ13+HISTOSEPT23!AQ13+HISTOOCT23!AQ13+HISTONOV23!AQ13+HISTODEC23!AQ13</f>
        <v>0</v>
      </c>
      <c r="AR13" s="5">
        <f>HISTOJANV23!AR13+HISTOFEV23!AR13+HISTOMARS23!AR13+HISTOAVRIL23!AR13+HISTOMAI23!AR13+HISTOJUIN23!AR13+HISTOJUIL23!AR13+HISTOAOUT23!AR13+HISTOSEPT23!AR13+HISTOOCT23!AR13+HISTONOV23!AR13+HISTODEC23!AR13</f>
        <v>0</v>
      </c>
      <c r="AS13" s="5">
        <f>HISTOJANV23!AS13+HISTOFEV23!AS13+HISTOMARS23!AS13+HISTOAVRIL23!AS13+HISTOMAI23!AS13+HISTOJUIN23!AS13+HISTOJUIL23!AS13+HISTOAOUT23!AS13+HISTOSEPT23!AS13+HISTOOCT23!AS13+HISTONOV23!AS13+HISTODEC23!AS13</f>
        <v>180000</v>
      </c>
      <c r="AT13" s="5">
        <f>HISTOJANV23!AT13+HISTOFEV23!AT13+HISTOMARS23!AT13+HISTOAVRIL23!AT13+HISTOMAI23!AT13+HISTOJUIN23!AT13+HISTOJUIL23!AT13+HISTOAOUT23!AT13+HISTOSEPT23!AT13+HISTOOCT23!AT13+HISTONOV23!AT13+HISTODEC23!AT13</f>
        <v>0</v>
      </c>
      <c r="AU13" s="5">
        <f>HISTOJANV23!AU13+HISTOFEV23!AU13+HISTOMARS23!AU13+HISTOAVRIL23!AU13+HISTOMAI23!AU13+HISTOJUIN23!AU13+HISTOJUIL23!AU13+HISTOAOUT23!AU13+HISTOSEPT23!AU13+HISTOOCT23!AU13+HISTONOV23!AU13+HISTODEC23!AU13</f>
        <v>0</v>
      </c>
      <c r="AV13" s="5">
        <f>HISTOJANV23!AV13+HISTOFEV23!AV13+HISTOMARS23!AV13+HISTOAVRIL23!AV13+HISTOMAI23!AV13+HISTOJUIN23!AV13+HISTOJUIL23!AV13+HISTOAOUT23!AV13+HISTOSEPT23!AV13+HISTOOCT23!AV13+HISTONOV23!AV13+HISTODEC23!AV13</f>
        <v>0</v>
      </c>
      <c r="AW13" s="5">
        <f>HISTOJANV23!AW13+HISTOFEV23!AW13+HISTOMARS23!AW13+HISTOAVRIL23!AW13+HISTOMAI23!AW13+HISTOJUIN23!AW13+HISTOJUIL23!AW13+HISTOAOUT23!AW13+HISTOSEPT23!AW13+HISTOOCT23!AW13+HISTONOV23!AW13+HISTODEC23!AW13</f>
        <v>290000</v>
      </c>
      <c r="AX13" s="5">
        <f>HISTOJANV23!AX13+HISTOFEV23!AX13+HISTOMARS23!AX13+HISTOAVRIL23!AX13+HISTOMAI23!AX13+HISTOJUIN23!AX13+HISTOJUIL23!AX13+HISTOAOUT23!AX13+HISTOSEPT23!AX13+HISTOOCT23!AX13+HISTONOV23!AX13+HISTODEC23!AX13</f>
        <v>0</v>
      </c>
      <c r="AY13" s="5">
        <f>HISTOJANV23!AY13+HISTOFEV23!AY13+HISTOMARS23!AY13+HISTOAVRIL23!AY13+HISTOMAI23!AY13+HISTOJUIN23!AY13+HISTOJUIL23!AY13+HISTOAOUT23!AY13+HISTOSEPT23!AY13+HISTOOCT23!AY13+HISTONOV23!AY13+HISTODEC23!AY13</f>
        <v>0</v>
      </c>
      <c r="AZ13" s="5">
        <f>HISTOJANV23!AZ13+HISTOFEV23!AZ13+HISTOMARS23!AZ13+HISTOAVRIL23!AZ13+HISTOMAI23!AZ13+HISTOJUIN23!AZ13+HISTOJUIL23!AZ13+HISTOAOUT23!AZ13+HISTOSEPT23!AZ13+HISTOOCT23!AZ13+HISTONOV23!AZ13+HISTODEC23!AZ13</f>
        <v>1100000</v>
      </c>
      <c r="BA13" s="5">
        <f>HISTOJANV23!BA13+HISTOFEV23!BA13+HISTOMARS23!BA13+HISTOAVRIL23!BA13+HISTOMAI23!BA13+HISTOJUIN23!BA13+HISTOJUIL23!BA13+HISTOAOUT23!BA13+HISTOSEPT23!BA13+HISTOOCT23!BA13+HISTONOV23!BA13+HISTODEC23!BA13</f>
        <v>0</v>
      </c>
      <c r="BB13" s="5">
        <f>HISTOJANV23!BB13+HISTOFEV23!BB13+HISTOMARS23!BB13+HISTOAVRIL23!BB13+HISTOMAI23!BB13+HISTOJUIN23!BB13+HISTOJUIL23!BB13+HISTOAOUT23!BB13+HISTOSEPT23!BB13+HISTOOCT23!BB13+HISTONOV23!BB13+HISTODEC23!BB13</f>
        <v>70000</v>
      </c>
      <c r="BC13" s="5">
        <f>HISTOJANV23!BC13+HISTOFEV23!BC13+HISTOMARS23!BC13+HISTOAVRIL23!BC13+HISTOMAI23!BC13+HISTOJUIN23!BC13+HISTOJUIL23!BC13+HISTOAOUT23!BC13+HISTOSEPT23!BC13+HISTOOCT23!BC13+HISTONOV23!BC13+HISTODEC23!BC13</f>
        <v>0</v>
      </c>
      <c r="BD13" s="5">
        <f>HISTOJANV23!BD13+HISTOFEV23!BD13+HISTOMARS23!BD13+HISTOAVRIL23!BD13+HISTOMAI23!BD13+HISTOJUIN23!BD13+HISTOJUIL23!BD13+HISTOAOUT23!BD13+HISTOSEPT23!BD13+HISTOOCT23!BD13+HISTONOV23!BD13+HISTODEC23!BD13</f>
        <v>1121000</v>
      </c>
      <c r="BE13" s="82">
        <f>HISTOJANV23!BE13+HISTOFEV23!BE13+HISTOMARS23!BE13+HISTOAVRIL23!BE13+HISTOMAI23!BE13+HISTOJUIN23!BE13+HISTOJUIL23!BE13+HISTOAOUT23!BE13+HISTOSEPT23!BE13+HISTOOCT23!BE13+HISTONOV23!BE13+HISTODEC23!BE13</f>
        <v>220000</v>
      </c>
      <c r="BF13" s="5">
        <f>HISTOJANV23!BF13+HISTOFEV23!BF13+HISTOMARS23!BF13+HISTOAVRIL23!BF13+HISTOMAI23!BF13+HISTOJUIN23!BF13+HISTOJUIL23!BF13+HISTOAOUT23!BF13+HISTOSEPT23!BF13+HISTOOCT23!BF13+HISTONOV23!BF13+HISTODEC23!BF13</f>
        <v>120000</v>
      </c>
      <c r="BG13" s="5">
        <f>HISTOJANV23!BG13+HISTOFEV23!BG13+HISTOMARS23!BG13+HISTOAVRIL23!BG13+HISTOMAI23!BG13+HISTOJUIN23!BG13+HISTOJUIL23!BG13+HISTOAOUT23!BG13+HISTOSEPT23!BG13+HISTOOCT23!BG13+HISTONOV23!BG13+HISTODEC23!BG13</f>
        <v>78</v>
      </c>
      <c r="BH13" s="5">
        <f>HISTOJANV23!BH13+HISTOFEV23!BH13+HISTOMARS23!BH13+HISTOAVRIL23!BH13+HISTOMAI23!BH13+HISTOJUIN23!BH13+HISTOJUIL23!BH13+HISTOAOUT23!BH13+HISTOSEPT23!BH13+HISTOOCT23!BH13+HISTONOV23!BH13+HISTODEC23!BH13</f>
        <v>0</v>
      </c>
      <c r="BI13" s="5">
        <f>HISTOJANV23!BI13+HISTOFEV23!BI13+HISTOMARS23!BI13+HISTOAVRIL23!BI13+HISTOMAI23!BI13+HISTOJUIN23!BI13+HISTOJUIL23!BI13+HISTOAOUT23!BI13+HISTOSEPT23!BI13+HISTOOCT23!BI13+HISTONOV23!BI13+HISTODEC23!BI13</f>
        <v>0</v>
      </c>
      <c r="BJ13" s="5">
        <f>HISTOJANV23!BJ13+HISTOFEV23!BJ13+HISTOMARS23!BJ13+HISTOAVRIL23!BJ13+HISTOMAI23!BJ13+HISTOJUIN23!BJ13+HISTOJUIL23!BJ13+HISTOAOUT23!BJ13+HISTOSEPT23!BJ13+HISTOOCT23!BJ13+HISTONOV23!BJ13+HISTODEC23!BJ13</f>
        <v>0</v>
      </c>
      <c r="BK13" s="5">
        <f>HISTOJANV23!BK13+HISTOFEV23!BK13+HISTOMARS23!BK13+HISTOAVRIL23!BK13+HISTOMAI23!BK13+HISTOJUIN23!BK13+HISTOJUIL23!BK13+HISTOAOUT23!BK13+HISTOSEPT23!BK13+HISTOOCT23!BK13+HISTONOV23!BK13+HISTODEC23!BK13</f>
        <v>0</v>
      </c>
      <c r="BL13" s="5">
        <f>HISTOJANV23!BL13+HISTOFEV23!BL13+HISTOMARS23!BL13+HISTOAVRIL23!BL13+HISTOMAI23!BL13+HISTOJUIN23!BL13+HISTOJUIL23!BL13+HISTOAOUT23!BL13+HISTOSEPT23!BL13+HISTOOCT23!BL13+HISTONOV23!BL13+HISTODEC23!BL13</f>
        <v>0</v>
      </c>
      <c r="BM13" s="5">
        <f>HISTOJANV23!BM13+HISTOFEV23!BM13+HISTOMARS23!BM13+HISTOAVRIL23!BM13+HISTOMAI23!BM13+HISTOJUIN23!BM13+HISTOJUIL23!BM13+HISTOAOUT23!BM13+HISTOSEPT23!BM13+HISTOOCT23!BM13+HISTONOV23!BM13+HISTODEC23!BM13</f>
        <v>0</v>
      </c>
      <c r="BN13" t="s">
        <v>145</v>
      </c>
      <c r="BO13" t="s">
        <v>114</v>
      </c>
      <c r="BP13" s="5">
        <f>HISTOJANV23!BP13+HISTOFEV23!BP13+HISTOMARS23!BP13+HISTOAVRIL23!BP13+HISTOMAI23!BP13+HISTOJUIN23!BP13+HISTOJUIL23!BP13+HISTOAOUT23!BP13+HISTOSEPT23!BP13+HISTOOCT23!BP13+HISTONOV23!BP13+HISTODEC23!BP13</f>
        <v>78000</v>
      </c>
    </row>
    <row r="14" spans="1:68" ht="18.75" x14ac:dyDescent="0.3">
      <c r="A14" s="1" t="s">
        <v>18</v>
      </c>
      <c r="B14" s="1" t="str">
        <f>VLOOKUP(A14,[17]LISTADHERENT!A$5:H$39,3,0)</f>
        <v>DONHOU DAVID</v>
      </c>
      <c r="C14" s="5">
        <f>HISTOJANV23!C14+HISTOFEV23!C14+HISTOMARS23!C14+HISTOAVRIL23!C14+HISTOMAI23!C14+HISTOJUIN23!C14+HISTOJUIL23!C14+HISTOAOUT23!C14+HISTOSEPT23!C14+HISTOOCT23!C14+HISTONOV23!C14+HISTODEC23!C14</f>
        <v>-70000</v>
      </c>
      <c r="D14" s="5">
        <f>HISTOJANV23!D14+HISTOFEV23!D14+HISTOMARS23!D14+HISTOAVRIL23!D14+HISTOMAI23!D14+HISTOJUIN23!D14+HISTOJUIL23!D14+HISTOAOUT23!D14+HISTOSEPT23!D14+HISTOOCT23!D14+HISTONOV23!D14+HISTODEC23!D14</f>
        <v>480000</v>
      </c>
      <c r="E14" s="5">
        <f>HISTOJANV23!E14+HISTOFEV23!E14+HISTOMARS23!E14+HISTOAVRIL23!E14+HISTOMAI23!E14+HISTOJUIN23!E14+HISTOJUIL23!E14+HISTOAOUT23!E14+HISTOSEPT23!E14+HISTOOCT23!E14+HISTONOV23!E14+HISTODEC23!E14</f>
        <v>0</v>
      </c>
      <c r="F14" s="5">
        <f>HISTOJANV23!F14+HISTOFEV23!F14+HISTOMARS23!F14+HISTOAVRIL23!F14+HISTOMAI23!F14+HISTOJUIN23!F14+HISTOJUIL23!F14+HISTOAOUT23!F14+HISTOSEPT23!F14+HISTOOCT23!F14+HISTONOV23!F14+HISTODEC23!F14</f>
        <v>0</v>
      </c>
      <c r="G14" s="5">
        <f>HISTOJANV23!G14+HISTOFEV23!G14+HISTOMARS23!G14+HISTOAVRIL23!G14+HISTOMAI23!G14+HISTOJUIN23!G14+HISTOJUIL23!G14+HISTOAOUT23!G14+HISTOSEPT23!G14+HISTOOCT23!G14+HISTONOV23!G14+HISTODEC23!G14</f>
        <v>0</v>
      </c>
      <c r="H14" s="10" t="str">
        <f t="shared" si="0"/>
        <v>BANQUE</v>
      </c>
      <c r="I14" s="5">
        <f>HISTOJANV23!I14+HISTOFEV23!I14+HISTOMARS23!I14+HISTOAVRIL23!I14+HISTOMAI23!I14+HISTOJUIN23!I14+HISTOJUIL23!I14+HISTOAOUT23!I14+HISTOSEPT23!I14+HISTOOCT23!I14+HISTONOV23!I14+HISTODEC23!I14</f>
        <v>0</v>
      </c>
      <c r="J14" s="5">
        <f>HISTOJANV23!J14+HISTOFEV23!J14+HISTOMARS23!J14+HISTOAVRIL23!J14+HISTOMAI23!J14+HISTOJUIN23!J14+HISTOJUIL23!J14+HISTOAOUT23!J14+HISTOSEPT23!J14+HISTOOCT23!J14+HISTONOV23!J14+HISTODEC23!J14</f>
        <v>12</v>
      </c>
      <c r="K14" s="5">
        <f>HISTOJANV23!K14+HISTOFEV23!K14+HISTOMARS23!K14+HISTOAVRIL23!K14+HISTOMAI23!K14+HISTOJUIN23!K14+HISTOJUIL23!K14+HISTOAOUT23!K14+HISTOSEPT23!K14+HISTOOCT23!K14+HISTONOV23!K14+HISTODEC23!K14</f>
        <v>480000</v>
      </c>
      <c r="L14" s="5">
        <f>HISTOJANV23!L14+HISTOFEV23!L14+HISTOMARS23!L14+HISTOAVRIL23!L14+HISTOMAI23!L14+HISTOJUIN23!L14+HISTOJUIL23!L14+HISTOAOUT23!L14+HISTOSEPT23!L14+HISTOOCT23!L14+HISTONOV23!L14+HISTODEC23!L14</f>
        <v>0</v>
      </c>
      <c r="M14" s="5">
        <f>HISTOJANV23!M14+HISTOFEV23!M14+HISTOMARS23!M14+HISTOAVRIL23!M14+HISTOMAI23!M14+HISTOJUIN23!M14+HISTOJUIL23!M14+HISTOAOUT23!M14+HISTOSEPT23!M14+HISTOOCT23!M14+HISTONOV23!M14+HISTODEC23!M14</f>
        <v>0</v>
      </c>
      <c r="N14" s="5">
        <f>HISTOJANV23!N14+HISTOFEV23!N14+HISTOMARS23!N14+HISTOAVRIL23!N14+HISTOMAI23!N14+HISTOJUIN23!N14+HISTOJUIL23!N14+HISTOAOUT23!N14+HISTOSEPT23!N14+HISTOOCT23!N14+HISTONOV23!N14+HISTODEC23!N14</f>
        <v>0</v>
      </c>
      <c r="O14" s="5">
        <f>HISTOJANV23!O14+HISTOFEV23!O14+HISTOMARS23!O14+HISTOAVRIL23!O14+HISTOMAI23!O14+HISTOJUIN23!O14+HISTOJUIL23!O14+HISTOAOUT23!O14+HISTOSEPT23!O14+HISTOOCT23!O14+HISTONOV23!O14+HISTODEC23!O14</f>
        <v>0</v>
      </c>
      <c r="P14" s="5">
        <f>HISTOJANV23!P14+HISTOFEV23!P14+HISTOMARS23!P14+HISTOAVRIL23!P14+HISTOMAI23!P14+HISTOJUIN23!P14+HISTOJUIL23!P14+HISTOAOUT23!P14+HISTOSEPT23!P14+HISTOOCT23!P14+HISTONOV23!P14+HISTODEC23!P14</f>
        <v>0</v>
      </c>
      <c r="Q14" s="5">
        <f>HISTOJANV23!Q14+HISTOFEV23!Q14+HISTOMARS23!Q14+HISTOAVRIL23!Q14+HISTOMAI23!Q14+HISTOJUIN23!Q14+HISTOJUIL23!Q14+HISTOAOUT23!Q14+HISTOSEPT23!Q14+HISTOOCT23!Q14+HISTONOV23!Q14+HISTODEC23!Q14</f>
        <v>0</v>
      </c>
      <c r="R14" s="5">
        <f>HISTOJANV23!R14+HISTOFEV23!R14+HISTOMARS23!R14+HISTOAVRIL23!R14+HISTOMAI23!R14+HISTOJUIN23!R14+HISTOJUIL23!R14+HISTOAOUT23!R14+HISTOSEPT23!R14+HISTOOCT23!R14+HISTONOV23!R14+HISTODEC23!R14</f>
        <v>0</v>
      </c>
      <c r="S14" s="5">
        <f>HISTOJANV23!S14+HISTOFEV23!S14+HISTOMARS23!S14+HISTOAVRIL23!S14+HISTOMAI23!S14+HISTOJUIN23!S14+HISTOJUIL23!S14+HISTOAOUT23!S14+HISTOSEPT23!S14+HISTOOCT23!S14+HISTONOV23!S14+HISTODEC23!S14</f>
        <v>0</v>
      </c>
      <c r="T14" s="5">
        <f>HISTOJANV23!T14+HISTOFEV23!T14+HISTOMARS23!T14+HISTOAVRIL23!T14+HISTOMAI23!T14+HISTOJUIN23!T14+HISTOJUIL23!T14+HISTOAOUT23!T14+HISTOSEPT23!T14+HISTOOCT23!T14+HISTONOV23!T14+HISTODEC23!T14</f>
        <v>0</v>
      </c>
      <c r="U14" s="17">
        <f t="shared" si="1"/>
        <v>480000</v>
      </c>
      <c r="V14" s="5">
        <f>HISTOJANV23!V14+HISTOFEV23!V14+HISTOMARS23!V14+HISTOAVRIL23!V14+HISTOMAI23!V14+HISTOJUIN23!V14+HISTOJUIL23!V14+HISTOAOUT23!V14+HISTOSEPT23!V14+HISTOOCT23!V14+HISTONOV23!V14+HISTODEC23!V14</f>
        <v>0</v>
      </c>
      <c r="W14" s="5">
        <f>HISTOJANV23!W14+HISTOFEV23!W14+HISTOMARS23!W14+HISTOAVRIL23!W14+HISTOMAI23!W14+HISTOJUIN23!W14+HISTOJUIL23!W14+HISTOAOUT23!W14+HISTOSEPT23!W14+HISTOOCT23!W14+HISTONOV23!W14+HISTODEC23!W14</f>
        <v>0</v>
      </c>
      <c r="X14" s="5">
        <f>HISTOJANV23!X14+HISTOFEV23!X14+HISTOMARS23!X14+HISTOAVRIL23!X14+HISTOMAI23!X14+HISTOJUIN23!X14+HISTOJUIL23!X14+HISTOAOUT23!X14+HISTOSEPT23!X14+HISTOOCT23!X14+HISTONOV23!X14+HISTODEC23!X14</f>
        <v>0</v>
      </c>
      <c r="Y14" s="5">
        <f>HISTOJANV23!Y14+HISTOFEV23!Y14+HISTOMARS23!Y14+HISTOAVRIL23!Y14+HISTOMAI23!Y14+HISTOJUIN23!Y14+HISTOJUIL23!Y14+HISTOAOUT23!Y14+HISTOSEPT23!Y14+HISTOOCT23!Y14+HISTONOV23!Y14+HISTODEC23!Y14</f>
        <v>0</v>
      </c>
      <c r="Z14" s="5">
        <f>HISTOJANV23!Z14+HISTOFEV23!Z14+HISTOMARS23!Z14+HISTOAVRIL23!Z14+HISTOMAI23!Z14+HISTOJUIN23!Z14+HISTOJUIL23!Z14+HISTOAOUT23!Z14+HISTOSEPT23!Z14+HISTOOCT23!Z14+HISTONOV23!Z14+HISTODEC23!Z14</f>
        <v>0</v>
      </c>
      <c r="AA14" s="5">
        <f>HISTOJANV23!AA14+HISTOFEV23!AA14+HISTOMARS23!AA14+HISTOAVRIL23!AA14+HISTOMAI23!AA14+HISTOJUIN23!AA14+HISTOJUIL23!AA14+HISTOAOUT23!AA14+HISTOSEPT23!AA14+HISTOOCT23!AA14+HISTONOV23!AA14+HISTODEC23!AA14</f>
        <v>0</v>
      </c>
      <c r="AB14" s="5">
        <f>HISTOJANV23!AB14+HISTOFEV23!AB14+HISTOMARS23!AB14+HISTOAVRIL23!AB14+HISTOMAI23!AB14+HISTOJUIN23!AB14+HISTOJUIL23!AB14+HISTOAOUT23!AB14+HISTOSEPT23!AB14+HISTOOCT23!AB14+HISTONOV23!AB14+HISTODEC23!AB14</f>
        <v>0</v>
      </c>
      <c r="AC14" s="5">
        <f>HISTOJANV23!AC14+HISTOFEV23!AC14+HISTOMARS23!AC14+HISTOAVRIL23!AC14+HISTOMAI23!AC14+HISTOJUIN23!AC14+HISTOJUIL23!AC14+HISTOAOUT23!AC14+HISTOSEPT23!AC14+HISTOOCT23!AC14+HISTONOV23!AC14+HISTODEC23!AC14</f>
        <v>2500</v>
      </c>
      <c r="AD14" s="5">
        <f>HISTOJANV23!AD14+HISTOFEV23!AD14+HISTOMARS23!AD14+HISTOAVRIL23!AD14+HISTOMAI23!AD14+HISTOJUIN23!AD14+HISTOJUIL23!AD14+HISTOAOUT23!AD14+HISTOSEPT23!AD14+HISTOOCT23!AD14+HISTONOV23!AD14+HISTODEC23!AD14</f>
        <v>0</v>
      </c>
      <c r="AE14" s="5">
        <f>HISTOJANV23!AE14+HISTOFEV23!AE14+HISTOMARS23!AE14+HISTOAVRIL23!AE14+HISTOMAI23!AE14+HISTOJUIN23!AE14+HISTOJUIL23!AE14+HISTOAOUT23!AE14+HISTOSEPT23!AE14+HISTOOCT23!AE14+HISTONOV23!AE14+HISTODEC23!AE14</f>
        <v>0</v>
      </c>
      <c r="AF14" s="5">
        <f>HISTOJANV23!AF14+HISTOFEV23!AF14+HISTOMARS23!AF14+HISTOAVRIL23!AF14+HISTOMAI23!AF14+HISTOJUIN23!AF14+HISTOJUIL23!AF14+HISTOAOUT23!AF14+HISTOSEPT23!AF14+HISTOOCT23!AF14+HISTONOV23!AF14+HISTODEC23!AF14</f>
        <v>0</v>
      </c>
      <c r="AG14" s="5">
        <f>HISTOJANV23!AG14+HISTOFEV23!AG14+HISTOMARS23!AG14+HISTOAVRIL23!AG14+HISTOMAI23!AG14+HISTOJUIN23!AG14+HISTOJUIL23!AG14+HISTOAOUT23!AG14+HISTOSEPT23!AG14+HISTOOCT23!AG14+HISTONOV23!AG14+HISTODEC23!AG14</f>
        <v>0</v>
      </c>
      <c r="AH14" s="5">
        <f>HISTOJANV23!AH14+HISTOFEV23!AH14+HISTOMARS23!AH14+HISTOAVRIL23!AH14+HISTOMAI23!AH14+HISTOJUIN23!AH14+HISTOJUIL23!AH14+HISTOAOUT23!AH14+HISTOSEPT23!AH14+HISTOOCT23!AH14+HISTONOV23!AH14+HISTODEC23!AH14</f>
        <v>0</v>
      </c>
      <c r="AI14" s="5">
        <f>HISTOJANV23!AI14+HISTOFEV23!AI14+HISTOMARS23!AI14+HISTOAVRIL23!AI14+HISTOMAI23!AI14+HISTOJUIN23!AI14+HISTOJUIL23!AI14+HISTOAOUT23!AI14+HISTOSEPT23!AI14+HISTOOCT23!AI14+HISTONOV23!AI14+HISTODEC23!AI14</f>
        <v>0</v>
      </c>
      <c r="AJ14" s="5">
        <f>HISTOJANV23!AJ14+HISTOFEV23!AJ14+HISTOMARS23!AJ14+HISTOAVRIL23!AJ14+HISTOMAI23!AJ14+HISTOJUIN23!AJ14+HISTOJUIL23!AJ14+HISTOAOUT23!AJ14+HISTOSEPT23!AJ14+HISTOOCT23!AJ14+HISTONOV23!AJ14+HISTODEC23!AJ14</f>
        <v>0</v>
      </c>
      <c r="AK14" s="5">
        <f>HISTOJANV23!AK14+HISTOFEV23!AK14+HISTOMARS23!AK14+HISTOAVRIL23!AK14+HISTOMAI23!AK14+HISTOJUIN23!AK14+HISTOJUIL23!AK14+HISTOAOUT23!AK14+HISTOSEPT23!AK14+HISTOOCT23!AK14+HISTONOV23!AK14+HISTODEC23!AK14</f>
        <v>0</v>
      </c>
      <c r="AL14" s="5">
        <f>HISTOJANV23!AL14+HISTOFEV23!AL14+HISTOMARS23!AL14+HISTOAVRIL23!AL14+HISTOMAI23!AL14+HISTOJUIN23!AL14+HISTOJUIL23!AL14+HISTOAOUT23!AL14+HISTOSEPT23!AL14+HISTOOCT23!AL14+HISTONOV23!AL14+HISTODEC23!AL14</f>
        <v>0</v>
      </c>
      <c r="AM14" s="5">
        <f>HISTOJANV23!AM14+HISTOFEV23!AM14+HISTOMARS23!AM14+HISTOAVRIL23!AM14+HISTOMAI23!AM14+HISTOJUIN23!AM14+HISTOJUIL23!AM14+HISTOAOUT23!AM14+HISTOSEPT23!AM14+HISTOOCT23!AM14+HISTONOV23!AM14+HISTODEC23!AM14</f>
        <v>0</v>
      </c>
      <c r="AN14" s="5">
        <f>HISTOJANV23!AN14+HISTOFEV23!AN14+HISTOMARS23!AN14+HISTOAVRIL23!AN14+HISTOMAI23!AN14+HISTOJUIN23!AN14+HISTOJUIL23!AN14+HISTOAOUT23!AN14+HISTOSEPT23!AN14+HISTOOCT23!AN14+HISTONOV23!AN14+HISTODEC23!AN14</f>
        <v>0</v>
      </c>
      <c r="AO14" s="5">
        <f>HISTOJANV23!AO14+HISTOFEV23!AO14+HISTOMARS23!AO14+HISTOAVRIL23!AO14+HISTOMAI23!AO14+HISTOJUIN23!AO14+HISTOJUIL23!AO14+HISTOAOUT23!AO14+HISTOSEPT23!AO14+HISTOOCT23!AO14+HISTONOV23!AO14+HISTODEC23!AO14</f>
        <v>0</v>
      </c>
      <c r="AP14" s="5">
        <f>HISTOJANV23!AP14+HISTOFEV23!AP14+HISTOMARS23!AP14+HISTOAVRIL23!AP14+HISTOMAI23!AP14+HISTOJUIN23!AP14+HISTOJUIL23!AP14+HISTOAOUT23!AP14+HISTOSEPT23!AP14+HISTOOCT23!AP14+HISTONOV23!AP14+HISTODEC23!AP14</f>
        <v>0</v>
      </c>
      <c r="AQ14" s="5">
        <f>HISTOJANV23!AQ14+HISTOFEV23!AQ14+HISTOMARS23!AQ14+HISTOAVRIL23!AQ14+HISTOMAI23!AQ14+HISTOJUIN23!AQ14+HISTOJUIL23!AQ14+HISTOAOUT23!AQ14+HISTOSEPT23!AQ14+HISTOOCT23!AQ14+HISTONOV23!AQ14+HISTODEC23!AQ14</f>
        <v>0</v>
      </c>
      <c r="AR14" s="5">
        <f>HISTOJANV23!AR14+HISTOFEV23!AR14+HISTOMARS23!AR14+HISTOAVRIL23!AR14+HISTOMAI23!AR14+HISTOJUIN23!AR14+HISTOJUIL23!AR14+HISTOAOUT23!AR14+HISTOSEPT23!AR14+HISTOOCT23!AR14+HISTONOV23!AR14+HISTODEC23!AR14</f>
        <v>0</v>
      </c>
      <c r="AS14" s="5">
        <f>HISTOJANV23!AS14+HISTOFEV23!AS14+HISTOMARS23!AS14+HISTOAVRIL23!AS14+HISTOMAI23!AS14+HISTOJUIN23!AS14+HISTOJUIL23!AS14+HISTOAOUT23!AS14+HISTOSEPT23!AS14+HISTOOCT23!AS14+HISTONOV23!AS14+HISTODEC23!AS14</f>
        <v>180000</v>
      </c>
      <c r="AT14" s="5">
        <f>HISTOJANV23!AT14+HISTOFEV23!AT14+HISTOMARS23!AT14+HISTOAVRIL23!AT14+HISTOMAI23!AT14+HISTOJUIN23!AT14+HISTOJUIL23!AT14+HISTOAOUT23!AT14+HISTOSEPT23!AT14+HISTOOCT23!AT14+HISTONOV23!AT14+HISTODEC23!AT14</f>
        <v>0</v>
      </c>
      <c r="AU14" s="5">
        <f>HISTOJANV23!AU14+HISTOFEV23!AU14+HISTOMARS23!AU14+HISTOAVRIL23!AU14+HISTOMAI23!AU14+HISTOJUIN23!AU14+HISTOJUIL23!AU14+HISTOAOUT23!AU14+HISTOSEPT23!AU14+HISTOOCT23!AU14+HISTONOV23!AU14+HISTODEC23!AU14</f>
        <v>0</v>
      </c>
      <c r="AV14" s="5">
        <f>HISTOJANV23!AV14+HISTOFEV23!AV14+HISTOMARS23!AV14+HISTOAVRIL23!AV14+HISTOMAI23!AV14+HISTOJUIN23!AV14+HISTOJUIL23!AV14+HISTOAOUT23!AV14+HISTOSEPT23!AV14+HISTOOCT23!AV14+HISTONOV23!AV14+HISTODEC23!AV14</f>
        <v>0</v>
      </c>
      <c r="AW14" s="5">
        <f>HISTOJANV23!AW14+HISTOFEV23!AW14+HISTOMARS23!AW14+HISTOAVRIL23!AW14+HISTOMAI23!AW14+HISTOJUIN23!AW14+HISTOJUIL23!AW14+HISTOAOUT23!AW14+HISTOSEPT23!AW14+HISTOOCT23!AW14+HISTONOV23!AW14+HISTODEC23!AW14</f>
        <v>297500</v>
      </c>
      <c r="AX14" s="5">
        <f>HISTOJANV23!AX14+HISTOFEV23!AX14+HISTOMARS23!AX14+HISTOAVRIL23!AX14+HISTOMAI23!AX14+HISTOJUIN23!AX14+HISTOJUIL23!AX14+HISTOAOUT23!AX14+HISTOSEPT23!AX14+HISTOOCT23!AX14+HISTONOV23!AX14+HISTODEC23!AX14</f>
        <v>0</v>
      </c>
      <c r="AY14" s="5">
        <f>HISTOJANV23!AY14+HISTOFEV23!AY14+HISTOMARS23!AY14+HISTOAVRIL23!AY14+HISTOMAI23!AY14+HISTOJUIN23!AY14+HISTOJUIL23!AY14+HISTOAOUT23!AY14+HISTOSEPT23!AY14+HISTOOCT23!AY14+HISTONOV23!AY14+HISTODEC23!AY14</f>
        <v>0</v>
      </c>
      <c r="AZ14" s="5">
        <f>HISTOJANV23!AZ14+HISTOFEV23!AZ14+HISTOMARS23!AZ14+HISTOAVRIL23!AZ14+HISTOMAI23!AZ14+HISTOJUIN23!AZ14+HISTOJUIL23!AZ14+HISTOAOUT23!AZ14+HISTOSEPT23!AZ14+HISTOOCT23!AZ14+HISTONOV23!AZ14+HISTODEC23!AZ14</f>
        <v>297500</v>
      </c>
      <c r="BA14" s="5">
        <f>HISTOJANV23!BA14+HISTOFEV23!BA14+HISTOMARS23!BA14+HISTOAVRIL23!BA14+HISTOMAI23!BA14+HISTOJUIN23!BA14+HISTOJUIL23!BA14+HISTOAOUT23!BA14+HISTOSEPT23!BA14+HISTOOCT23!BA14+HISTONOV23!BA14+HISTODEC23!BA14</f>
        <v>0</v>
      </c>
      <c r="BB14" s="5">
        <f>HISTOJANV23!BB14+HISTOFEV23!BB14+HISTOMARS23!BB14+HISTOAVRIL23!BB14+HISTOMAI23!BB14+HISTOJUIN23!BB14+HISTOJUIL23!BB14+HISTOAOUT23!BB14+HISTOSEPT23!BB14+HISTOOCT23!BB14+HISTONOV23!BB14+HISTODEC23!BB14</f>
        <v>70000</v>
      </c>
      <c r="BC14" s="5">
        <f>HISTOJANV23!BC14+HISTOFEV23!BC14+HISTOMARS23!BC14+HISTOAVRIL23!BC14+HISTOMAI23!BC14+HISTOJUIN23!BC14+HISTOJUIL23!BC14+HISTOAOUT23!BC14+HISTOSEPT23!BC14+HISTOOCT23!BC14+HISTONOV23!BC14+HISTODEC23!BC14</f>
        <v>0</v>
      </c>
      <c r="BD14" s="5">
        <f>HISTOJANV23!BD14+HISTOFEV23!BD14+HISTOMARS23!BD14+HISTOAVRIL23!BD14+HISTOMAI23!BD14+HISTOJUIN23!BD14+HISTOJUIL23!BD14+HISTOAOUT23!BD14+HISTOSEPT23!BD14+HISTOOCT23!BD14+HISTONOV23!BD14+HISTODEC23!BD14</f>
        <v>227500</v>
      </c>
      <c r="BE14" s="82" t="e">
        <f>HISTOJANV23!BE14+HISTOFEV23!BE14+HISTOMARS23!BE14+HISTOAVRIL23!BE14+HISTOMAI23!BE14+HISTOJUIN23!BE14+HISTOJUIL23!BE14+HISTOAOUT23!BE14+HISTOSEPT23!BE14+HISTOOCT23!BE14+HISTONOV23!BE14+HISTODEC23!BE14</f>
        <v>#VALUE!</v>
      </c>
      <c r="BF14" s="5">
        <f>HISTOJANV23!BF14+HISTOFEV23!BF14+HISTOMARS23!BF14+HISTOAVRIL23!BF14+HISTOMAI23!BF14+HISTOJUIN23!BF14+HISTOJUIL23!BF14+HISTOAOUT23!BF14+HISTOSEPT23!BF14+HISTOOCT23!BF14+HISTONOV23!BF14+HISTODEC23!BF14</f>
        <v>0</v>
      </c>
      <c r="BG14" s="5">
        <f>HISTOJANV23!BG14+HISTOFEV23!BG14+HISTOMARS23!BG14+HISTOAVRIL23!BG14+HISTOMAI23!BG14+HISTOJUIN23!BG14+HISTOJUIL23!BG14+HISTOAOUT23!BG14+HISTOSEPT23!BG14+HISTOOCT23!BG14+HISTONOV23!BG14+HISTODEC23!BG14</f>
        <v>78</v>
      </c>
      <c r="BH14" s="5">
        <f>HISTOJANV23!BH14+HISTOFEV23!BH14+HISTOMARS23!BH14+HISTOAVRIL23!BH14+HISTOMAI23!BH14+HISTOJUIN23!BH14+HISTOJUIL23!BH14+HISTOAOUT23!BH14+HISTOSEPT23!BH14+HISTOOCT23!BH14+HISTONOV23!BH14+HISTODEC23!BH14</f>
        <v>0</v>
      </c>
      <c r="BI14" s="5">
        <f>HISTOJANV23!BI14+HISTOFEV23!BI14+HISTOMARS23!BI14+HISTOAVRIL23!BI14+HISTOMAI23!BI14+HISTOJUIN23!BI14+HISTOJUIL23!BI14+HISTOAOUT23!BI14+HISTOSEPT23!BI14+HISTOOCT23!BI14+HISTONOV23!BI14+HISTODEC23!BI14</f>
        <v>0</v>
      </c>
      <c r="BJ14" s="5">
        <f>HISTOJANV23!BJ14+HISTOFEV23!BJ14+HISTOMARS23!BJ14+HISTOAVRIL23!BJ14+HISTOMAI23!BJ14+HISTOJUIN23!BJ14+HISTOJUIL23!BJ14+HISTOAOUT23!BJ14+HISTOSEPT23!BJ14+HISTOOCT23!BJ14+HISTONOV23!BJ14+HISTODEC23!BJ14</f>
        <v>0</v>
      </c>
      <c r="BK14" s="5">
        <f>HISTOJANV23!BK14+HISTOFEV23!BK14+HISTOMARS23!BK14+HISTOAVRIL23!BK14+HISTOMAI23!BK14+HISTOJUIN23!BK14+HISTOJUIL23!BK14+HISTOAOUT23!BK14+HISTOSEPT23!BK14+HISTOOCT23!BK14+HISTONOV23!BK14+HISTODEC23!BK14</f>
        <v>0</v>
      </c>
      <c r="BL14" s="5">
        <f>HISTOJANV23!BL14+HISTOFEV23!BL14+HISTOMARS23!BL14+HISTOAVRIL23!BL14+HISTOMAI23!BL14+HISTOJUIN23!BL14+HISTOJUIL23!BL14+HISTOAOUT23!BL14+HISTOSEPT23!BL14+HISTOOCT23!BL14+HISTONOV23!BL14+HISTODEC23!BL14</f>
        <v>0</v>
      </c>
      <c r="BM14" s="5">
        <f>HISTOJANV23!BM14+HISTOFEV23!BM14+HISTOMARS23!BM14+HISTOAVRIL23!BM14+HISTOMAI23!BM14+HISTOJUIN23!BM14+HISTOJUIL23!BM14+HISTOAOUT23!BM14+HISTOSEPT23!BM14+HISTOOCT23!BM14+HISTONOV23!BM14+HISTODEC23!BM14</f>
        <v>0</v>
      </c>
      <c r="BN14" t="s">
        <v>122</v>
      </c>
      <c r="BO14" t="s">
        <v>114</v>
      </c>
      <c r="BP14" s="5">
        <f>HISTOJANV23!BP14+HISTOFEV23!BP14+HISTOMARS23!BP14+HISTOAVRIL23!BP14+HISTOMAI23!BP14+HISTOJUIN23!BP14+HISTOJUIL23!BP14+HISTOAOUT23!BP14+HISTOSEPT23!BP14+HISTOOCT23!BP14+HISTONOV23!BP14+HISTODEC23!BP14</f>
        <v>0</v>
      </c>
    </row>
    <row r="15" spans="1:68" ht="18.75" x14ac:dyDescent="0.3">
      <c r="A15" s="1" t="s">
        <v>20</v>
      </c>
      <c r="B15" s="1" t="str">
        <f>VLOOKUP(A15,[17]LISTADHERENT!A$5:H$39,3,0)</f>
        <v>HENGUE PAUL OMER</v>
      </c>
      <c r="C15" s="5">
        <f>HISTOJANV23!C15+HISTOFEV23!C15+HISTOMARS23!C15+HISTOAVRIL23!C15+HISTOMAI23!C15+HISTOJUIN23!C15+HISTOJUIL23!C15+HISTOAOUT23!C15+HISTOSEPT23!C15+HISTOOCT23!C15+HISTONOV23!C15+HISTODEC23!C15</f>
        <v>0</v>
      </c>
      <c r="D15" s="5">
        <f>HISTOJANV23!D15+HISTOFEV23!D15+HISTOMARS23!D15+HISTOAVRIL23!D15+HISTOMAI23!D15+HISTOJUIN23!D15+HISTOJUIL23!D15+HISTOAOUT23!D15+HISTOSEPT23!D15+HISTOOCT23!D15+HISTONOV23!D15+HISTODEC23!D15</f>
        <v>1265000</v>
      </c>
      <c r="E15" s="5">
        <f>HISTOJANV23!E15+HISTOFEV23!E15+HISTOMARS23!E15+HISTOAVRIL23!E15+HISTOMAI23!E15+HISTOJUIN23!E15+HISTOJUIL23!E15+HISTOAOUT23!E15+HISTOSEPT23!E15+HISTOOCT23!E15+HISTONOV23!E15+HISTODEC23!E15</f>
        <v>118000</v>
      </c>
      <c r="F15" s="5">
        <f>HISTOJANV23!F15+HISTOFEV23!F15+HISTOMARS23!F15+HISTOAVRIL23!F15+HISTOMAI23!F15+HISTOJUIN23!F15+HISTOJUIL23!F15+HISTOAOUT23!F15+HISTOSEPT23!F15+HISTOOCT23!F15+HISTONOV23!F15+HISTODEC23!F15</f>
        <v>70000</v>
      </c>
      <c r="G15" s="5">
        <f>HISTOJANV23!G15+HISTOFEV23!G15+HISTOMARS23!G15+HISTOAVRIL23!G15+HISTOMAI23!G15+HISTOJUIN23!G15+HISTOJUIL23!G15+HISTOAOUT23!G15+HISTOSEPT23!G15+HISTOOCT23!G15+HISTONOV23!G15+HISTODEC23!G15</f>
        <v>3000</v>
      </c>
      <c r="H15" s="10" t="str">
        <f t="shared" si="0"/>
        <v>BANQUE</v>
      </c>
      <c r="I15" s="5">
        <f>HISTOJANV23!I15+HISTOFEV23!I15+HISTOMARS23!I15+HISTOAVRIL23!I15+HISTOMAI23!I15+HISTOJUIN23!I15+HISTOJUIL23!I15+HISTOAOUT23!I15+HISTOSEPT23!I15+HISTOOCT23!I15+HISTONOV23!I15+HISTODEC23!I15</f>
        <v>0</v>
      </c>
      <c r="J15" s="5">
        <f>HISTOJANV23!J15+HISTOFEV23!J15+HISTOMARS23!J15+HISTOAVRIL23!J15+HISTOMAI23!J15+HISTOJUIN23!J15+HISTOJUIL23!J15+HISTOAOUT23!J15+HISTOSEPT23!J15+HISTOOCT23!J15+HISTONOV23!J15+HISTODEC23!J15</f>
        <v>12</v>
      </c>
      <c r="K15" s="5">
        <f>HISTOJANV23!K15+HISTOFEV23!K15+HISTOMARS23!K15+HISTOAVRIL23!K15+HISTOMAI23!K15+HISTOJUIN23!K15+HISTOJUIL23!K15+HISTOAOUT23!K15+HISTOSEPT23!K15+HISTOOCT23!K15+HISTONOV23!K15+HISTODEC23!K15</f>
        <v>480000</v>
      </c>
      <c r="L15" s="5">
        <f>HISTOJANV23!L15+HISTOFEV23!L15+HISTOMARS23!L15+HISTOAVRIL23!L15+HISTOMAI23!L15+HISTOJUIN23!L15+HISTOJUIL23!L15+HISTOAOUT23!L15+HISTOSEPT23!L15+HISTOOCT23!L15+HISTONOV23!L15+HISTODEC23!L15</f>
        <v>12</v>
      </c>
      <c r="M15" s="5">
        <f>HISTOJANV23!M15+HISTOFEV23!M15+HISTOMARS23!M15+HISTOAVRIL23!M15+HISTOMAI23!M15+HISTOJUIN23!M15+HISTOJUIL23!M15+HISTOAOUT23!M15+HISTOSEPT23!M15+HISTOOCT23!M15+HISTONOV23!M15+HISTODEC23!M15</f>
        <v>900000</v>
      </c>
      <c r="N15" s="5">
        <f>HISTOJANV23!N15+HISTOFEV23!N15+HISTOMARS23!N15+HISTOAVRIL23!N15+HISTOMAI23!N15+HISTOJUIN23!N15+HISTOJUIL23!N15+HISTOAOUT23!N15+HISTOSEPT23!N15+HISTOOCT23!N15+HISTONOV23!N15+HISTODEC23!N15</f>
        <v>0</v>
      </c>
      <c r="O15" s="5">
        <f>HISTOJANV23!O15+HISTOFEV23!O15+HISTOMARS23!O15+HISTOAVRIL23!O15+HISTOMAI23!O15+HISTOJUIN23!O15+HISTOJUIL23!O15+HISTOAOUT23!O15+HISTOSEPT23!O15+HISTOOCT23!O15+HISTONOV23!O15+HISTODEC23!O15</f>
        <v>0</v>
      </c>
      <c r="P15" s="5">
        <f>HISTOJANV23!P15+HISTOFEV23!P15+HISTOMARS23!P15+HISTOAVRIL23!P15+HISTOMAI23!P15+HISTOJUIN23!P15+HISTOJUIL23!P15+HISTOAOUT23!P15+HISTOSEPT23!P15+HISTOOCT23!P15+HISTONOV23!P15+HISTODEC23!P15</f>
        <v>0</v>
      </c>
      <c r="Q15" s="5">
        <f>HISTOJANV23!Q15+HISTOFEV23!Q15+HISTOMARS23!Q15+HISTOAVRIL23!Q15+HISTOMAI23!Q15+HISTOJUIN23!Q15+HISTOJUIL23!Q15+HISTOAOUT23!Q15+HISTOSEPT23!Q15+HISTOOCT23!Q15+HISTONOV23!Q15+HISTODEC23!Q15</f>
        <v>0</v>
      </c>
      <c r="R15" s="5">
        <f>HISTOJANV23!R15+HISTOFEV23!R15+HISTOMARS23!R15+HISTOAVRIL23!R15+HISTOMAI23!R15+HISTOJUIN23!R15+HISTOJUIL23!R15+HISTOAOUT23!R15+HISTOSEPT23!R15+HISTOOCT23!R15+HISTONOV23!R15+HISTODEC23!R15</f>
        <v>0</v>
      </c>
      <c r="S15" s="5">
        <f>HISTOJANV23!S15+HISTOFEV23!S15+HISTOMARS23!S15+HISTOAVRIL23!S15+HISTOMAI23!S15+HISTOJUIN23!S15+HISTOJUIL23!S15+HISTOAOUT23!S15+HISTOSEPT23!S15+HISTOOCT23!S15+HISTONOV23!S15+HISTODEC23!S15</f>
        <v>0</v>
      </c>
      <c r="T15" s="5">
        <f>HISTOJANV23!T15+HISTOFEV23!T15+HISTOMARS23!T15+HISTOAVRIL23!T15+HISTOMAI23!T15+HISTOJUIN23!T15+HISTOJUIL23!T15+HISTOAOUT23!T15+HISTOSEPT23!T15+HISTOOCT23!T15+HISTONOV23!T15+HISTODEC23!T15</f>
        <v>0</v>
      </c>
      <c r="U15" s="17">
        <f t="shared" si="1"/>
        <v>1401000</v>
      </c>
      <c r="V15" s="5">
        <f>HISTOJANV23!V15+HISTOFEV23!V15+HISTOMARS23!V15+HISTOAVRIL23!V15+HISTOMAI23!V15+HISTOJUIN23!V15+HISTOJUIL23!V15+HISTOAOUT23!V15+HISTOSEPT23!V15+HISTOOCT23!V15+HISTONOV23!V15+HISTODEC23!V15</f>
        <v>18000</v>
      </c>
      <c r="W15" s="5">
        <f>HISTOJANV23!W15+HISTOFEV23!W15+HISTOMARS23!W15+HISTOAVRIL23!W15+HISTOMAI23!W15+HISTOJUIN23!W15+HISTOJUIL23!W15+HISTOAOUT23!W15+HISTOSEPT23!W15+HISTOOCT23!W15+HISTONOV23!W15+HISTODEC23!W15</f>
        <v>0</v>
      </c>
      <c r="X15" s="5">
        <f>HISTOJANV23!X15+HISTOFEV23!X15+HISTOMARS23!X15+HISTOAVRIL23!X15+HISTOMAI23!X15+HISTOJUIN23!X15+HISTOJUIL23!X15+HISTOAOUT23!X15+HISTOSEPT23!X15+HISTOOCT23!X15+HISTONOV23!X15+HISTODEC23!X15</f>
        <v>0</v>
      </c>
      <c r="Y15" s="5">
        <f>HISTOJANV23!Y15+HISTOFEV23!Y15+HISTOMARS23!Y15+HISTOAVRIL23!Y15+HISTOMAI23!Y15+HISTOJUIN23!Y15+HISTOJUIL23!Y15+HISTOAOUT23!Y15+HISTOSEPT23!Y15+HISTOOCT23!Y15+HISTONOV23!Y15+HISTODEC23!Y15</f>
        <v>0</v>
      </c>
      <c r="Z15" s="5">
        <f>HISTOJANV23!Z15+HISTOFEV23!Z15+HISTOMARS23!Z15+HISTOAVRIL23!Z15+HISTOMAI23!Z15+HISTOJUIN23!Z15+HISTOJUIL23!Z15+HISTOAOUT23!Z15+HISTOSEPT23!Z15+HISTOOCT23!Z15+HISTONOV23!Z15+HISTODEC23!Z15</f>
        <v>0</v>
      </c>
      <c r="AA15" s="5">
        <f>HISTOJANV23!AA15+HISTOFEV23!AA15+HISTOMARS23!AA15+HISTOAVRIL23!AA15+HISTOMAI23!AA15+HISTOJUIN23!AA15+HISTOJUIL23!AA15+HISTOAOUT23!AA15+HISTOSEPT23!AA15+HISTOOCT23!AA15+HISTONOV23!AA15+HISTODEC23!AA15</f>
        <v>0</v>
      </c>
      <c r="AB15" s="5">
        <f>HISTOJANV23!AB15+HISTOFEV23!AB15+HISTOMARS23!AB15+HISTOAVRIL23!AB15+HISTOMAI23!AB15+HISTOJUIN23!AB15+HISTOJUIL23!AB15+HISTOAOUT23!AB15+HISTOSEPT23!AB15+HISTOOCT23!AB15+HISTONOV23!AB15+HISTODEC23!AB15</f>
        <v>0</v>
      </c>
      <c r="AC15" s="5">
        <f>HISTOJANV23!AC15+HISTOFEV23!AC15+HISTOMARS23!AC15+HISTOAVRIL23!AC15+HISTOMAI23!AC15+HISTOJUIN23!AC15+HISTOJUIL23!AC15+HISTOAOUT23!AC15+HISTOSEPT23!AC15+HISTOOCT23!AC15+HISTONOV23!AC15+HISTODEC23!AC15</f>
        <v>2500</v>
      </c>
      <c r="AD15" s="5">
        <f>HISTOJANV23!AD15+HISTOFEV23!AD15+HISTOMARS23!AD15+HISTOAVRIL23!AD15+HISTOMAI23!AD15+HISTOJUIN23!AD15+HISTOJUIL23!AD15+HISTOAOUT23!AD15+HISTOSEPT23!AD15+HISTOOCT23!AD15+HISTONOV23!AD15+HISTODEC23!AD15</f>
        <v>7500</v>
      </c>
      <c r="AE15" s="5">
        <f>HISTOJANV23!AE15+HISTOFEV23!AE15+HISTOMARS23!AE15+HISTOAVRIL23!AE15+HISTOMAI23!AE15+HISTOJUIN23!AE15+HISTOJUIL23!AE15+HISTOAOUT23!AE15+HISTOSEPT23!AE15+HISTOOCT23!AE15+HISTONOV23!AE15+HISTODEC23!AE15</f>
        <v>0</v>
      </c>
      <c r="AF15" s="5" t="e">
        <f>HISTOJANV23!AF15+HISTOFEV23!AF15+HISTOMARS23!AF15+HISTOAVRIL23!AF15+HISTOMAI23!AF15+HISTOJUIN23!AF15+HISTOJUIL23!AF15+HISTOAOUT23!AF15+HISTOSEPT23!AF15+HISTOOCT23!AF15+HISTONOV23!AF15+HISTODEC23!AF15</f>
        <v>#VALUE!</v>
      </c>
      <c r="AG15" s="5">
        <f>HISTOJANV23!AG15+HISTOFEV23!AG15+HISTOMARS23!AG15+HISTOAVRIL23!AG15+HISTOMAI23!AG15+HISTOJUIN23!AG15+HISTOJUIL23!AG15+HISTOAOUT23!AG15+HISTOSEPT23!AG15+HISTOOCT23!AG15+HISTONOV23!AG15+HISTODEC23!AG15</f>
        <v>0</v>
      </c>
      <c r="AH15" s="5">
        <f>HISTOJANV23!AH15+HISTOFEV23!AH15+HISTOMARS23!AH15+HISTOAVRIL23!AH15+HISTOMAI23!AH15+HISTOJUIN23!AH15+HISTOJUIL23!AH15+HISTOAOUT23!AH15+HISTOSEPT23!AH15+HISTOOCT23!AH15+HISTONOV23!AH15+HISTODEC23!AH15</f>
        <v>0</v>
      </c>
      <c r="AI15" s="5">
        <f>HISTOJANV23!AI15+HISTOFEV23!AI15+HISTOMARS23!AI15+HISTOAVRIL23!AI15+HISTOMAI23!AI15+HISTOJUIN23!AI15+HISTOJUIL23!AI15+HISTOAOUT23!AI15+HISTOSEPT23!AI15+HISTOOCT23!AI15+HISTONOV23!AI15+HISTODEC23!AI15</f>
        <v>0</v>
      </c>
      <c r="AJ15" s="5">
        <f>HISTOJANV23!AJ15+HISTOFEV23!AJ15+HISTOMARS23!AJ15+HISTOAVRIL23!AJ15+HISTOMAI23!AJ15+HISTOJUIN23!AJ15+HISTOJUIL23!AJ15+HISTOAOUT23!AJ15+HISTOSEPT23!AJ15+HISTOOCT23!AJ15+HISTONOV23!AJ15+HISTODEC23!AJ15</f>
        <v>0</v>
      </c>
      <c r="AK15" s="5">
        <f>HISTOJANV23!AK15+HISTOFEV23!AK15+HISTOMARS23!AK15+HISTOAVRIL23!AK15+HISTOMAI23!AK15+HISTOJUIN23!AK15+HISTOJUIL23!AK15+HISTOAOUT23!AK15+HISTOSEPT23!AK15+HISTOOCT23!AK15+HISTONOV23!AK15+HISTODEC23!AK15</f>
        <v>0</v>
      </c>
      <c r="AL15" s="5">
        <f>HISTOJANV23!AL15+HISTOFEV23!AL15+HISTOMARS23!AL15+HISTOAVRIL23!AL15+HISTOMAI23!AL15+HISTOJUIN23!AL15+HISTOJUIL23!AL15+HISTOAOUT23!AL15+HISTOSEPT23!AL15+HISTOOCT23!AL15+HISTONOV23!AL15+HISTODEC23!AL15</f>
        <v>0</v>
      </c>
      <c r="AM15" s="5">
        <f>HISTOJANV23!AM15+HISTOFEV23!AM15+HISTOMARS23!AM15+HISTOAVRIL23!AM15+HISTOMAI23!AM15+HISTOJUIN23!AM15+HISTOJUIL23!AM15+HISTOAOUT23!AM15+HISTOSEPT23!AM15+HISTOOCT23!AM15+HISTONOV23!AM15+HISTODEC23!AM15</f>
        <v>0</v>
      </c>
      <c r="AN15" s="5">
        <f>HISTOJANV23!AN15+HISTOFEV23!AN15+HISTOMARS23!AN15+HISTOAVRIL23!AN15+HISTOMAI23!AN15+HISTOJUIN23!AN15+HISTOJUIL23!AN15+HISTOAOUT23!AN15+HISTOSEPT23!AN15+HISTOOCT23!AN15+HISTONOV23!AN15+HISTODEC23!AN15</f>
        <v>0</v>
      </c>
      <c r="AO15" s="5">
        <f>HISTOJANV23!AO15+HISTOFEV23!AO15+HISTOMARS23!AO15+HISTOAVRIL23!AO15+HISTOMAI23!AO15+HISTOJUIN23!AO15+HISTOJUIL23!AO15+HISTOAOUT23!AO15+HISTOSEPT23!AO15+HISTOOCT23!AO15+HISTONOV23!AO15+HISTODEC23!AO15</f>
        <v>0</v>
      </c>
      <c r="AP15" s="5">
        <f>HISTOJANV23!AP15+HISTOFEV23!AP15+HISTOMARS23!AP15+HISTOAVRIL23!AP15+HISTOMAI23!AP15+HISTOJUIN23!AP15+HISTOJUIL23!AP15+HISTOAOUT23!AP15+HISTOSEPT23!AP15+HISTOOCT23!AP15+HISTONOV23!AP15+HISTODEC23!AP15</f>
        <v>0</v>
      </c>
      <c r="AQ15" s="5">
        <f>HISTOJANV23!AQ15+HISTOFEV23!AQ15+HISTOMARS23!AQ15+HISTOAVRIL23!AQ15+HISTOMAI23!AQ15+HISTOJUIN23!AQ15+HISTOJUIL23!AQ15+HISTOAOUT23!AQ15+HISTOSEPT23!AQ15+HISTOOCT23!AQ15+HISTONOV23!AQ15+HISTODEC23!AQ15</f>
        <v>0</v>
      </c>
      <c r="AR15" s="5">
        <f>HISTOJANV23!AR15+HISTOFEV23!AR15+HISTOMARS23!AR15+HISTOAVRIL23!AR15+HISTOMAI23!AR15+HISTOJUIN23!AR15+HISTOJUIL23!AR15+HISTOAOUT23!AR15+HISTOSEPT23!AR15+HISTOOCT23!AR15+HISTONOV23!AR15+HISTODEC23!AR15</f>
        <v>0</v>
      </c>
      <c r="AS15" s="5">
        <f>HISTOJANV23!AS15+HISTOFEV23!AS15+HISTOMARS23!AS15+HISTOAVRIL23!AS15+HISTOMAI23!AS15+HISTOJUIN23!AS15+HISTOJUIL23!AS15+HISTOAOUT23!AS15+HISTOSEPT23!AS15+HISTOOCT23!AS15+HISTONOV23!AS15+HISTODEC23!AS15</f>
        <v>180000</v>
      </c>
      <c r="AT15" s="5">
        <f>HISTOJANV23!AT15+HISTOFEV23!AT15+HISTOMARS23!AT15+HISTOAVRIL23!AT15+HISTOMAI23!AT15+HISTOJUIN23!AT15+HISTOJUIL23!AT15+HISTOAOUT23!AT15+HISTOSEPT23!AT15+HISTOOCT23!AT15+HISTONOV23!AT15+HISTODEC23!AT15</f>
        <v>0</v>
      </c>
      <c r="AU15" s="5">
        <f>HISTOJANV23!AU15+HISTOFEV23!AU15+HISTOMARS23!AU15+HISTOAVRIL23!AU15+HISTOMAI23!AU15+HISTOJUIN23!AU15+HISTOJUIL23!AU15+HISTOAOUT23!AU15+HISTOSEPT23!AU15+HISTOOCT23!AU15+HISTONOV23!AU15+HISTODEC23!AU15</f>
        <v>0</v>
      </c>
      <c r="AV15" s="5">
        <f>HISTOJANV23!AV15+HISTOFEV23!AV15+HISTOMARS23!AV15+HISTOAVRIL23!AV15+HISTOMAI23!AV15+HISTOJUIN23!AV15+HISTOJUIL23!AV15+HISTOAOUT23!AV15+HISTOSEPT23!AV15+HISTOOCT23!AV15+HISTONOV23!AV15+HISTODEC23!AV15</f>
        <v>0</v>
      </c>
      <c r="AW15" s="5">
        <f>HISTOJANV23!AW15+HISTOFEV23!AW15+HISTOMARS23!AW15+HISTOAVRIL23!AW15+HISTOMAI23!AW15+HISTOJUIN23!AW15+HISTOJUIL23!AW15+HISTOAOUT23!AW15+HISTOSEPT23!AW15+HISTOOCT23!AW15+HISTONOV23!AW15+HISTODEC23!AW15</f>
        <v>297500</v>
      </c>
      <c r="AX15" s="5">
        <f>HISTOJANV23!AX15+HISTOFEV23!AX15+HISTOMARS23!AX15+HISTOAVRIL23!AX15+HISTOMAI23!AX15+HISTOJUIN23!AX15+HISTOJUIL23!AX15+HISTOAOUT23!AX15+HISTOSEPT23!AX15+HISTOOCT23!AX15+HISTONOV23!AX15+HISTODEC23!AX15</f>
        <v>892500</v>
      </c>
      <c r="AY15" s="5">
        <f>HISTOJANV23!AY15+HISTOFEV23!AY15+HISTOMARS23!AY15+HISTOAVRIL23!AY15+HISTOMAI23!AY15+HISTOJUIN23!AY15+HISTOJUIL23!AY15+HISTOAOUT23!AY15+HISTOSEPT23!AY15+HISTOOCT23!AY15+HISTONOV23!AY15+HISTODEC23!AY15</f>
        <v>0</v>
      </c>
      <c r="AZ15" s="5">
        <f>HISTOJANV23!AZ15+HISTOFEV23!AZ15+HISTOMARS23!AZ15+HISTOAVRIL23!AZ15+HISTOMAI23!AZ15+HISTOJUIN23!AZ15+HISTOJUIL23!AZ15+HISTOAOUT23!AZ15+HISTOSEPT23!AZ15+HISTOOCT23!AZ15+HISTONOV23!AZ15+HISTODEC23!AZ15</f>
        <v>1120000</v>
      </c>
      <c r="BA15" s="5">
        <f>HISTOJANV23!BA15+HISTOFEV23!BA15+HISTOMARS23!BA15+HISTOAVRIL23!BA15+HISTOMAI23!BA15+HISTOJUIN23!BA15+HISTOJUIL23!BA15+HISTOAOUT23!BA15+HISTOSEPT23!BA15+HISTOOCT23!BA15+HISTONOV23!BA15+HISTODEC23!BA15</f>
        <v>0</v>
      </c>
      <c r="BB15" s="5">
        <f>HISTOJANV23!BB15+HISTOFEV23!BB15+HISTOMARS23!BB15+HISTOAVRIL23!BB15+HISTOMAI23!BB15+HISTOJUIN23!BB15+HISTOJUIL23!BB15+HISTOAOUT23!BB15+HISTOSEPT23!BB15+HISTOOCT23!BB15+HISTONOV23!BB15+HISTODEC23!BB15</f>
        <v>70000</v>
      </c>
      <c r="BC15" s="5">
        <f>HISTOJANV23!BC15+HISTOFEV23!BC15+HISTOMARS23!BC15+HISTOAVRIL23!BC15+HISTOMAI23!BC15+HISTOJUIN23!BC15+HISTOJUIL23!BC15+HISTOAOUT23!BC15+HISTOSEPT23!BC15+HISTOOCT23!BC15+HISTONOV23!BC15+HISTODEC23!BC15</f>
        <v>0</v>
      </c>
      <c r="BD15" s="5">
        <f>HISTOJANV23!BD15+HISTOFEV23!BD15+HISTOMARS23!BD15+HISTOAVRIL23!BD15+HISTOMAI23!BD15+HISTOJUIN23!BD15+HISTOJUIL23!BD15+HISTOAOUT23!BD15+HISTOSEPT23!BD15+HISTOOCT23!BD15+HISTONOV23!BD15+HISTODEC23!BD15</f>
        <v>1120000</v>
      </c>
      <c r="BE15" s="82">
        <f>HISTOJANV23!BE15+HISTOFEV23!BE15+HISTOMARS23!BE15+HISTOAVRIL23!BE15+HISTOMAI23!BE15+HISTOJUIN23!BE15+HISTOJUIL23!BE15+HISTOAOUT23!BE15+HISTOSEPT23!BE15+HISTOOCT23!BE15+HISTONOV23!BE15+HISTODEC23!BE15</f>
        <v>1120000</v>
      </c>
      <c r="BF15" s="5">
        <f>HISTOJANV23!BF15+HISTOFEV23!BF15+HISTOMARS23!BF15+HISTOAVRIL23!BF15+HISTOMAI23!BF15+HISTOJUIN23!BF15+HISTOJUIL23!BF15+HISTOAOUT23!BF15+HISTOSEPT23!BF15+HISTOOCT23!BF15+HISTONOV23!BF15+HISTODEC23!BF15</f>
        <v>0</v>
      </c>
      <c r="BG15" s="5">
        <f>HISTOJANV23!BG15+HISTOFEV23!BG15+HISTOMARS23!BG15+HISTOAVRIL23!BG15+HISTOMAI23!BG15+HISTOJUIN23!BG15+HISTOJUIL23!BG15+HISTOAOUT23!BG15+HISTOSEPT23!BG15+HISTOOCT23!BG15+HISTONOV23!BG15+HISTODEC23!BG15</f>
        <v>78</v>
      </c>
      <c r="BH15" s="5">
        <f>HISTOJANV23!BH15+HISTOFEV23!BH15+HISTOMARS23!BH15+HISTOAVRIL23!BH15+HISTOMAI23!BH15+HISTOJUIN23!BH15+HISTOJUIL23!BH15+HISTOAOUT23!BH15+HISTOSEPT23!BH15+HISTOOCT23!BH15+HISTONOV23!BH15+HISTODEC23!BH15</f>
        <v>0</v>
      </c>
      <c r="BI15" s="5">
        <f>HISTOJANV23!BI15+HISTOFEV23!BI15+HISTOMARS23!BI15+HISTOAVRIL23!BI15+HISTOMAI23!BI15+HISTOJUIN23!BI15+HISTOJUIL23!BI15+HISTOAOUT23!BI15+HISTOSEPT23!BI15+HISTOOCT23!BI15+HISTONOV23!BI15+HISTODEC23!BI15</f>
        <v>0</v>
      </c>
      <c r="BJ15" s="5">
        <f>HISTOJANV23!BJ15+HISTOFEV23!BJ15+HISTOMARS23!BJ15+HISTOAVRIL23!BJ15+HISTOMAI23!BJ15+HISTOJUIN23!BJ15+HISTOJUIL23!BJ15+HISTOAOUT23!BJ15+HISTOSEPT23!BJ15+HISTOOCT23!BJ15+HISTONOV23!BJ15+HISTODEC23!BJ15</f>
        <v>0</v>
      </c>
      <c r="BK15" s="5">
        <f>HISTOJANV23!BK15+HISTOFEV23!BK15+HISTOMARS23!BK15+HISTOAVRIL23!BK15+HISTOMAI23!BK15+HISTOJUIN23!BK15+HISTOJUIL23!BK15+HISTOAOUT23!BK15+HISTOSEPT23!BK15+HISTOOCT23!BK15+HISTONOV23!BK15+HISTODEC23!BK15</f>
        <v>0</v>
      </c>
      <c r="BL15" s="5">
        <f>HISTOJANV23!BL15+HISTOFEV23!BL15+HISTOMARS23!BL15+HISTOAVRIL23!BL15+HISTOMAI23!BL15+HISTOJUIN23!BL15+HISTOJUIL23!BL15+HISTOAOUT23!BL15+HISTOSEPT23!BL15+HISTOOCT23!BL15+HISTONOV23!BL15+HISTODEC23!BL15</f>
        <v>0</v>
      </c>
      <c r="BM15" s="5">
        <f>HISTOJANV23!BM15+HISTOFEV23!BM15+HISTOMARS23!BM15+HISTOAVRIL23!BM15+HISTOMAI23!BM15+HISTOJUIN23!BM15+HISTOJUIL23!BM15+HISTOAOUT23!BM15+HISTOSEPT23!BM15+HISTOOCT23!BM15+HISTONOV23!BM15+HISTODEC23!BM15</f>
        <v>0</v>
      </c>
      <c r="BP15" s="6"/>
    </row>
    <row r="16" spans="1:68" ht="18.75" x14ac:dyDescent="0.3">
      <c r="A16" s="1" t="s">
        <v>21</v>
      </c>
      <c r="B16" s="1" t="str">
        <f>VLOOKUP(A16,[17]LISTADHERENT!A$5:H$39,3,0)</f>
        <v>HOTCHO BENJAMIN</v>
      </c>
      <c r="C16" s="5">
        <f>HISTOJANV23!C16+HISTOFEV23!C16+HISTOMARS23!C16+HISTOAVRIL23!C16+HISTOMAI23!C16+HISTOJUIN23!C16+HISTOJUIL23!C16+HISTOAOUT23!C16+HISTOSEPT23!C16+HISTOOCT23!C16+HISTONOV23!C16+HISTODEC23!C16</f>
        <v>0</v>
      </c>
      <c r="D16" s="5">
        <f>HISTOJANV23!D16+HISTOFEV23!D16+HISTOMARS23!D16+HISTOAVRIL23!D16+HISTOMAI23!D16+HISTOJUIN23!D16+HISTOJUIL23!D16+HISTOAOUT23!D16+HISTOSEPT23!D16+HISTOOCT23!D16+HISTONOV23!D16+HISTODEC23!D16</f>
        <v>3549000</v>
      </c>
      <c r="E16" s="5">
        <f>HISTOJANV23!E16+HISTOFEV23!E16+HISTOMARS23!E16+HISTOAVRIL23!E16+HISTOMAI23!E16+HISTOJUIN23!E16+HISTOJUIL23!E16+HISTOAOUT23!E16+HISTOSEPT23!E16+HISTOOCT23!E16+HISTONOV23!E16+HISTODEC23!E16</f>
        <v>706000</v>
      </c>
      <c r="F16" s="5">
        <f>HISTOJANV23!F16+HISTOFEV23!F16+HISTOMARS23!F16+HISTOAVRIL23!F16+HISTOMAI23!F16+HISTOJUIN23!F16+HISTOJUIL23!F16+HISTOAOUT23!F16+HISTOSEPT23!F16+HISTOOCT23!F16+HISTONOV23!F16+HISTODEC23!F16</f>
        <v>1070000</v>
      </c>
      <c r="G16" s="5">
        <f>HISTOJANV23!G16+HISTOFEV23!G16+HISTOMARS23!G16+HISTOAVRIL23!G16+HISTOMAI23!G16+HISTOJUIN23!G16+HISTOJUIL23!G16+HISTOAOUT23!G16+HISTOSEPT23!G16+HISTOOCT23!G16+HISTONOV23!G16+HISTODEC23!G16</f>
        <v>0</v>
      </c>
      <c r="H16" s="10" t="str">
        <f t="shared" si="0"/>
        <v>BANQUE</v>
      </c>
      <c r="I16" s="5">
        <f>HISTOJANV23!I16+HISTOFEV23!I16+HISTOMARS23!I16+HISTOAVRIL23!I16+HISTOMAI23!I16+HISTOJUIN23!I16+HISTOJUIL23!I16+HISTOAOUT23!I16+HISTOSEPT23!I16+HISTOOCT23!I16+HISTONOV23!I16+HISTODEC23!I16</f>
        <v>400000</v>
      </c>
      <c r="J16" s="5">
        <f>HISTOJANV23!J16+HISTOFEV23!J16+HISTOMARS23!J16+HISTOAVRIL23!J16+HISTOMAI23!J16+HISTOJUIN23!J16+HISTOJUIL23!J16+HISTOAOUT23!J16+HISTOSEPT23!J16+HISTOOCT23!J16+HISTONOV23!J16+HISTODEC23!J16</f>
        <v>12</v>
      </c>
      <c r="K16" s="5">
        <f>HISTOJANV23!K16+HISTOFEV23!K16+HISTOMARS23!K16+HISTOAVRIL23!K16+HISTOMAI23!K16+HISTOJUIN23!K16+HISTOJUIL23!K16+HISTOAOUT23!K16+HISTOSEPT23!K16+HISTOOCT23!K16+HISTONOV23!K16+HISTODEC23!K16</f>
        <v>480000</v>
      </c>
      <c r="L16" s="5">
        <f>HISTOJANV23!L16+HISTOFEV23!L16+HISTOMARS23!L16+HISTOAVRIL23!L16+HISTOMAI23!L16+HISTOJUIN23!L16+HISTOJUIL23!L16+HISTOAOUT23!L16+HISTOSEPT23!L16+HISTOOCT23!L16+HISTONOV23!L16+HISTODEC23!L16</f>
        <v>12</v>
      </c>
      <c r="M16" s="5">
        <f>HISTOJANV23!M16+HISTOFEV23!M16+HISTOMARS23!M16+HISTOAVRIL23!M16+HISTOMAI23!M16+HISTOJUIN23!M16+HISTOJUIL23!M16+HISTOAOUT23!M16+HISTOSEPT23!M16+HISTOOCT23!M16+HISTONOV23!M16+HISTODEC23!M16</f>
        <v>900000</v>
      </c>
      <c r="N16" s="5">
        <f>HISTOJANV23!N16+HISTOFEV23!N16+HISTOMARS23!N16+HISTOAVRIL23!N16+HISTOMAI23!N16+HISTOJUIN23!N16+HISTOJUIL23!N16+HISTOAOUT23!N16+HISTOSEPT23!N16+HISTOOCT23!N16+HISTONOV23!N16+HISTODEC23!N16</f>
        <v>12</v>
      </c>
      <c r="O16" s="5">
        <f>HISTOJANV23!O16+HISTOFEV23!O16+HISTOMARS23!O16+HISTOAVRIL23!O16+HISTOMAI23!O16+HISTOJUIN23!O16+HISTOJUIL23!O16+HISTOAOUT23!O16+HISTOSEPT23!O16+HISTOOCT23!O16+HISTONOV23!O16+HISTODEC23!O16</f>
        <v>1200000</v>
      </c>
      <c r="P16" s="5">
        <f>HISTOJANV23!P16+HISTOFEV23!P16+HISTOMARS23!P16+HISTOAVRIL23!P16+HISTOMAI23!P16+HISTOJUIN23!P16+HISTOJUIL23!P16+HISTOAOUT23!P16+HISTOSEPT23!P16+HISTOOCT23!P16+HISTONOV23!P16+HISTODEC23!P16</f>
        <v>0</v>
      </c>
      <c r="Q16" s="5">
        <f>HISTOJANV23!Q16+HISTOFEV23!Q16+HISTOMARS23!Q16+HISTOAVRIL23!Q16+HISTOMAI23!Q16+HISTOJUIN23!Q16+HISTOJUIL23!Q16+HISTOAOUT23!Q16+HISTOSEPT23!Q16+HISTOOCT23!Q16+HISTONOV23!Q16+HISTODEC23!Q16</f>
        <v>0</v>
      </c>
      <c r="R16" s="5">
        <f>HISTOJANV23!R16+HISTOFEV23!R16+HISTOMARS23!R16+HISTOAVRIL23!R16+HISTOMAI23!R16+HISTOJUIN23!R16+HISTOJUIL23!R16+HISTOAOUT23!R16+HISTOSEPT23!R16+HISTOOCT23!R16+HISTONOV23!R16+HISTODEC23!R16</f>
        <v>775000</v>
      </c>
      <c r="S16" s="5">
        <f>HISTOJANV23!S16+HISTOFEV23!S16+HISTOMARS23!S16+HISTOAVRIL23!S16+HISTOMAI23!S16+HISTOJUIN23!S16+HISTOJUIL23!S16+HISTOAOUT23!S16+HISTOSEPT23!S16+HISTOOCT23!S16+HISTONOV23!S16+HISTODEC23!S16</f>
        <v>1500000</v>
      </c>
      <c r="T16" s="5" t="e">
        <f>HISTOJANV23!T16+HISTOFEV23!T16+HISTOMARS23!T16+HISTOAVRIL23!T16+HISTOMAI23!T16+HISTOJUIN23!T16+HISTOJUIL23!T16+HISTOAOUT23!T16+HISTOSEPT23!T16+HISTOOCT23!T16+HISTONOV23!T16+HISTODEC23!T16</f>
        <v>#VALUE!</v>
      </c>
      <c r="U16" s="17">
        <f t="shared" si="1"/>
        <v>5267000</v>
      </c>
      <c r="V16" s="5">
        <f>HISTOJANV23!V16+HISTOFEV23!V16+HISTOMARS23!V16+HISTOAVRIL23!V16+HISTOMAI23!V16+HISTOJUIN23!V16+HISTOJUIL23!V16+HISTOAOUT23!V16+HISTOSEPT23!V16+HISTOOCT23!V16+HISTONOV23!V16+HISTODEC23!V16</f>
        <v>12000</v>
      </c>
      <c r="W16" s="5">
        <f>HISTOJANV23!W16+HISTOFEV23!W16+HISTOMARS23!W16+HISTOAVRIL23!W16+HISTOMAI23!W16+HISTOJUIN23!W16+HISTOJUIL23!W16+HISTOAOUT23!W16+HISTOSEPT23!W16+HISTOOCT23!W16+HISTONOV23!W16+HISTODEC23!W16</f>
        <v>0</v>
      </c>
      <c r="X16" s="5">
        <f>HISTOJANV23!X16+HISTOFEV23!X16+HISTOMARS23!X16+HISTOAVRIL23!X16+HISTOMAI23!X16+HISTOJUIN23!X16+HISTOJUIL23!X16+HISTOAOUT23!X16+HISTOSEPT23!X16+HISTOOCT23!X16+HISTONOV23!X16+HISTODEC23!X16</f>
        <v>0</v>
      </c>
      <c r="Y16" s="5">
        <f>HISTOJANV23!Y16+HISTOFEV23!Y16+HISTOMARS23!Y16+HISTOAVRIL23!Y16+HISTOMAI23!Y16+HISTOJUIN23!Y16+HISTOJUIL23!Y16+HISTOAOUT23!Y16+HISTOSEPT23!Y16+HISTOOCT23!Y16+HISTONOV23!Y16+HISTODEC23!Y16</f>
        <v>0</v>
      </c>
      <c r="Z16" s="5">
        <f>HISTOJANV23!Z16+HISTOFEV23!Z16+HISTOMARS23!Z16+HISTOAVRIL23!Z16+HISTOMAI23!Z16+HISTOJUIN23!Z16+HISTOJUIL23!Z16+HISTOAOUT23!Z16+HISTOSEPT23!Z16+HISTOOCT23!Z16+HISTONOV23!Z16+HISTODEC23!Z16</f>
        <v>500000</v>
      </c>
      <c r="AA16" s="5" t="e">
        <f>HISTOJANV23!AA16+HISTOFEV23!AA16+HISTOMARS23!AA16+HISTOAVRIL23!AA16+HISTOMAI23!AA16+HISTOJUIN23!AA16+HISTOJUIL23!AA16+HISTOAOUT23!AA16+HISTOSEPT23!AA16+HISTOOCT23!AA16+HISTONOV23!AA16+HISTODEC23!AA16</f>
        <v>#VALUE!</v>
      </c>
      <c r="AB16" s="5">
        <f>HISTOJANV23!AB16+HISTOFEV23!AB16+HISTOMARS23!AB16+HISTOAVRIL23!AB16+HISTOMAI23!AB16+HISTOJUIN23!AB16+HISTOJUIL23!AB16+HISTOAOUT23!AB16+HISTOSEPT23!AB16+HISTOOCT23!AB16+HISTONOV23!AB16+HISTODEC23!AB16</f>
        <v>0</v>
      </c>
      <c r="AC16" s="5">
        <f>HISTOJANV23!AC16+HISTOFEV23!AC16+HISTOMARS23!AC16+HISTOAVRIL23!AC16+HISTOMAI23!AC16+HISTOJUIN23!AC16+HISTOJUIL23!AC16+HISTOAOUT23!AC16+HISTOSEPT23!AC16+HISTOOCT23!AC16+HISTONOV23!AC16+HISTODEC23!AC16</f>
        <v>2500</v>
      </c>
      <c r="AD16" s="5">
        <f>HISTOJANV23!AD16+HISTOFEV23!AD16+HISTOMARS23!AD16+HISTOAVRIL23!AD16+HISTOMAI23!AD16+HISTOJUIN23!AD16+HISTOJUIL23!AD16+HISTOAOUT23!AD16+HISTOSEPT23!AD16+HISTOOCT23!AD16+HISTONOV23!AD16+HISTODEC23!AD16</f>
        <v>20000</v>
      </c>
      <c r="AE16" s="5">
        <f>HISTOJANV23!AE16+HISTOFEV23!AE16+HISTOMARS23!AE16+HISTOAVRIL23!AE16+HISTOMAI23!AE16+HISTOJUIN23!AE16+HISTOJUIL23!AE16+HISTOAOUT23!AE16+HISTOSEPT23!AE16+HISTOOCT23!AE16+HISTONOV23!AE16+HISTODEC23!AE16</f>
        <v>28000</v>
      </c>
      <c r="AF16" s="5" t="e">
        <f>HISTOJANV23!AF16+HISTOFEV23!AF16+HISTOMARS23!AF16+HISTOAVRIL23!AF16+HISTOMAI23!AF16+HISTOJUIN23!AF16+HISTOJUIL23!AF16+HISTOAOUT23!AF16+HISTOSEPT23!AF16+HISTOOCT23!AF16+HISTONOV23!AF16+HISTODEC23!AF16</f>
        <v>#VALUE!</v>
      </c>
      <c r="AG16" s="5">
        <f>HISTOJANV23!AG16+HISTOFEV23!AG16+HISTOMARS23!AG16+HISTOAVRIL23!AG16+HISTOMAI23!AG16+HISTOJUIN23!AG16+HISTOJUIL23!AG16+HISTOAOUT23!AG16+HISTOSEPT23!AG16+HISTOOCT23!AG16+HISTONOV23!AG16+HISTODEC23!AG16</f>
        <v>0</v>
      </c>
      <c r="AH16" s="5">
        <f>HISTOJANV23!AH16+HISTOFEV23!AH16+HISTOMARS23!AH16+HISTOAVRIL23!AH16+HISTOMAI23!AH16+HISTOJUIN23!AH16+HISTOJUIL23!AH16+HISTOAOUT23!AH16+HISTOSEPT23!AH16+HISTOOCT23!AH16+HISTONOV23!AH16+HISTODEC23!AH16</f>
        <v>0</v>
      </c>
      <c r="AI16" s="5">
        <f>HISTOJANV23!AI16+HISTOFEV23!AI16+HISTOMARS23!AI16+HISTOAVRIL23!AI16+HISTOMAI23!AI16+HISTOJUIN23!AI16+HISTOJUIL23!AI16+HISTOAOUT23!AI16+HISTOSEPT23!AI16+HISTOOCT23!AI16+HISTONOV23!AI16+HISTODEC23!AI16</f>
        <v>0</v>
      </c>
      <c r="AJ16" s="5">
        <f>HISTOJANV23!AJ16+HISTOFEV23!AJ16+HISTOMARS23!AJ16+HISTOAVRIL23!AJ16+HISTOMAI23!AJ16+HISTOJUIN23!AJ16+HISTOJUIL23!AJ16+HISTOAOUT23!AJ16+HISTOSEPT23!AJ16+HISTOOCT23!AJ16+HISTONOV23!AJ16+HISTODEC23!AJ16</f>
        <v>0</v>
      </c>
      <c r="AK16" s="5">
        <f>HISTOJANV23!AK16+HISTOFEV23!AK16+HISTOMARS23!AK16+HISTOAVRIL23!AK16+HISTOMAI23!AK16+HISTOJUIN23!AK16+HISTOJUIL23!AK16+HISTOAOUT23!AK16+HISTOSEPT23!AK16+HISTOOCT23!AK16+HISTONOV23!AK16+HISTODEC23!AK16</f>
        <v>766000</v>
      </c>
      <c r="AL16" s="5">
        <f>HISTOJANV23!AL16+HISTOFEV23!AL16+HISTOMARS23!AL16+HISTOAVRIL23!AL16+HISTOMAI23!AL16+HISTOJUIN23!AL16+HISTOJUIL23!AL16+HISTOAOUT23!AL16+HISTOSEPT23!AL16+HISTOOCT23!AL16+HISTONOV23!AL16+HISTODEC23!AL16</f>
        <v>0</v>
      </c>
      <c r="AM16" s="5">
        <f>HISTOJANV23!AM16+HISTOFEV23!AM16+HISTOMARS23!AM16+HISTOAVRIL23!AM16+HISTOMAI23!AM16+HISTOJUIN23!AM16+HISTOJUIL23!AM16+HISTOAOUT23!AM16+HISTOSEPT23!AM16+HISTOOCT23!AM16+HISTONOV23!AM16+HISTODEC23!AM16</f>
        <v>0</v>
      </c>
      <c r="AN16" s="5">
        <f>HISTOJANV23!AN16+HISTOFEV23!AN16+HISTOMARS23!AN16+HISTOAVRIL23!AN16+HISTOMAI23!AN16+HISTOJUIN23!AN16+HISTOJUIL23!AN16+HISTOAOUT23!AN16+HISTOSEPT23!AN16+HISTOOCT23!AN16+HISTONOV23!AN16+HISTODEC23!AN16</f>
        <v>9000</v>
      </c>
      <c r="AO16" s="5">
        <f>HISTOJANV23!AO16+HISTOFEV23!AO16+HISTOMARS23!AO16+HISTOAVRIL23!AO16+HISTOMAI23!AO16+HISTOJUIN23!AO16+HISTOJUIL23!AO16+HISTOAOUT23!AO16+HISTOSEPT23!AO16+HISTOOCT23!AO16+HISTONOV23!AO16+HISTODEC23!AO16</f>
        <v>0</v>
      </c>
      <c r="AP16" s="5" t="e">
        <f>HISTOJANV23!AP16+HISTOFEV23!AP16+HISTOMARS23!AP16+HISTOAVRIL23!AP16+HISTOMAI23!AP16+HISTOJUIN23!AP16+HISTOJUIL23!AP16+HISTOAOUT23!AP16+HISTOSEPT23!AP16+HISTOOCT23!AP16+HISTONOV23!AP16+HISTODEC23!AP16</f>
        <v>#VALUE!</v>
      </c>
      <c r="AQ16" s="5">
        <f>HISTOJANV23!AQ16+HISTOFEV23!AQ16+HISTOMARS23!AQ16+HISTOAVRIL23!AQ16+HISTOMAI23!AQ16+HISTOJUIN23!AQ16+HISTOJUIL23!AQ16+HISTOAOUT23!AQ16+HISTOSEPT23!AQ16+HISTOOCT23!AQ16+HISTONOV23!AQ16+HISTODEC23!AQ16</f>
        <v>0</v>
      </c>
      <c r="AR16" s="5">
        <f>HISTOJANV23!AR16+HISTOFEV23!AR16+HISTOMARS23!AR16+HISTOAVRIL23!AR16+HISTOMAI23!AR16+HISTOJUIN23!AR16+HISTOJUIL23!AR16+HISTOAOUT23!AR16+HISTOSEPT23!AR16+HISTOOCT23!AR16+HISTONOV23!AR16+HISTODEC23!AR16</f>
        <v>0</v>
      </c>
      <c r="AS16" s="5">
        <f>HISTOJANV23!AS16+HISTOFEV23!AS16+HISTOMARS23!AS16+HISTOAVRIL23!AS16+HISTOMAI23!AS16+HISTOJUIN23!AS16+HISTOJUIL23!AS16+HISTOAOUT23!AS16+HISTOSEPT23!AS16+HISTOOCT23!AS16+HISTONOV23!AS16+HISTODEC23!AS16</f>
        <v>580000</v>
      </c>
      <c r="AT16" s="5">
        <f>HISTOJANV23!AT16+HISTOFEV23!AT16+HISTOMARS23!AT16+HISTOAVRIL23!AT16+HISTOMAI23!AT16+HISTOJUIN23!AT16+HISTOJUIL23!AT16+HISTOAOUT23!AT16+HISTOSEPT23!AT16+HISTOOCT23!AT16+HISTONOV23!AT16+HISTODEC23!AT16</f>
        <v>0</v>
      </c>
      <c r="AU16" s="5">
        <f>HISTOJANV23!AU16+HISTOFEV23!AU16+HISTOMARS23!AU16+HISTOAVRIL23!AU16+HISTOMAI23!AU16+HISTOJUIN23!AU16+HISTOJUIL23!AU16+HISTOAOUT23!AU16+HISTOSEPT23!AU16+HISTOOCT23!AU16+HISTONOV23!AU16+HISTODEC23!AU16</f>
        <v>0</v>
      </c>
      <c r="AV16" s="5">
        <f>HISTOJANV23!AV16+HISTOFEV23!AV16+HISTOMARS23!AV16+HISTOAVRIL23!AV16+HISTOMAI23!AV16+HISTOJUIN23!AV16+HISTOJUIL23!AV16+HISTOAOUT23!AV16+HISTOSEPT23!AV16+HISTOOCT23!AV16+HISTONOV23!AV16+HISTODEC23!AV16</f>
        <v>0</v>
      </c>
      <c r="AW16" s="5">
        <f>HISTOJANV23!AW16+HISTOFEV23!AW16+HISTOMARS23!AW16+HISTOAVRIL23!AW16+HISTOMAI23!AW16+HISTOJUIN23!AW16+HISTOJUIL23!AW16+HISTOAOUT23!AW16+HISTOSEPT23!AW16+HISTOOCT23!AW16+HISTONOV23!AW16+HISTODEC23!AW16</f>
        <v>297500</v>
      </c>
      <c r="AX16" s="5">
        <f>HISTOJANV23!AX16+HISTOFEV23!AX16+HISTOMARS23!AX16+HISTOAVRIL23!AX16+HISTOMAI23!AX16+HISTOJUIN23!AX16+HISTOJUIL23!AX16+HISTOAOUT23!AX16+HISTOSEPT23!AX16+HISTOOCT23!AX16+HISTONOV23!AX16+HISTODEC23!AX16</f>
        <v>880000</v>
      </c>
      <c r="AY16" s="5">
        <f>HISTOJANV23!AY16+HISTOFEV23!AY16+HISTOMARS23!AY16+HISTOAVRIL23!AY16+HISTOMAI23!AY16+HISTOJUIN23!AY16+HISTOJUIL23!AY16+HISTOAOUT23!AY16+HISTOSEPT23!AY16+HISTOOCT23!AY16+HISTONOV23!AY16+HISTODEC23!AY16</f>
        <v>1938000</v>
      </c>
      <c r="AZ16" s="5">
        <f>HISTOJANV23!AZ16+HISTOFEV23!AZ16+HISTOMARS23!AZ16+HISTOAVRIL23!AZ16+HISTOMAI23!AZ16+HISTOJUIN23!AZ16+HISTOJUIL23!AZ16+HISTOAOUT23!AZ16+HISTOSEPT23!AZ16+HISTOOCT23!AZ16+HISTONOV23!AZ16+HISTODEC23!AZ16</f>
        <v>2343500</v>
      </c>
      <c r="BA16" s="5">
        <f>HISTOJANV23!BA16+HISTOFEV23!BA16+HISTOMARS23!BA16+HISTOAVRIL23!BA16+HISTOMAI23!BA16+HISTOJUIN23!BA16+HISTOJUIL23!BA16+HISTOAOUT23!BA16+HISTOSEPT23!BA16+HISTOOCT23!BA16+HISTONOV23!BA16+HISTODEC23!BA16</f>
        <v>53000</v>
      </c>
      <c r="BB16" s="5">
        <f>HISTOJANV23!BB16+HISTOFEV23!BB16+HISTOMARS23!BB16+HISTOAVRIL23!BB16+HISTOMAI23!BB16+HISTOJUIN23!BB16+HISTOJUIL23!BB16+HISTOAOUT23!BB16+HISTOSEPT23!BB16+HISTOOCT23!BB16+HISTONOV23!BB16+HISTODEC23!BB16</f>
        <v>70000</v>
      </c>
      <c r="BC16" s="5">
        <f>HISTOJANV23!BC16+HISTOFEV23!BC16+HISTOMARS23!BC16+HISTOAVRIL23!BC16+HISTOMAI23!BC16+HISTOJUIN23!BC16+HISTOJUIL23!BC16+HISTOAOUT23!BC16+HISTOSEPT23!BC16+HISTOOCT23!BC16+HISTONOV23!BC16+HISTODEC23!BC16</f>
        <v>0</v>
      </c>
      <c r="BD16" s="5">
        <f>HISTOJANV23!BD16+HISTOFEV23!BD16+HISTOMARS23!BD16+HISTOAVRIL23!BD16+HISTOMAI23!BD16+HISTOJUIN23!BD16+HISTOJUIL23!BD16+HISTOAOUT23!BD16+HISTOSEPT23!BD16+HISTOOCT23!BD16+HISTONOV23!BD16+HISTODEC23!BD16</f>
        <v>2690500</v>
      </c>
      <c r="BE16" s="82">
        <f>HISTOJANV23!BE16+HISTOFEV23!BE16+HISTOMARS23!BE16+HISTOAVRIL23!BE16+HISTOMAI23!BE16+HISTOJUIN23!BE16+HISTOJUIL23!BE16+HISTOAOUT23!BE16+HISTOSEPT23!BE16+HISTOOCT23!BE16+HISTONOV23!BE16+HISTODEC23!BE16</f>
        <v>2390500</v>
      </c>
      <c r="BF16" s="5">
        <f>HISTOJANV23!BF16+HISTOFEV23!BF16+HISTOMARS23!BF16+HISTOAVRIL23!BF16+HISTOMAI23!BF16+HISTOJUIN23!BF16+HISTOJUIL23!BF16+HISTOAOUT23!BF16+HISTOSEPT23!BF16+HISTOOCT23!BF16+HISTONOV23!BF16+HISTODEC23!BF16</f>
        <v>0</v>
      </c>
      <c r="BG16" s="5">
        <f>HISTOJANV23!BG16+HISTOFEV23!BG16+HISTOMARS23!BG16+HISTOAVRIL23!BG16+HISTOMAI23!BG16+HISTOJUIN23!BG16+HISTOJUIL23!BG16+HISTOAOUT23!BG16+HISTOSEPT23!BG16+HISTOOCT23!BG16+HISTONOV23!BG16+HISTODEC23!BG16</f>
        <v>76</v>
      </c>
      <c r="BH16" s="5">
        <f>HISTOJANV23!BH16+HISTOFEV23!BH16+HISTOMARS23!BH16+HISTOAVRIL23!BH16+HISTOMAI23!BH16+HISTOJUIN23!BH16+HISTOJUIL23!BH16+HISTOAOUT23!BH16+HISTOSEPT23!BH16+HISTOOCT23!BH16+HISTONOV23!BH16+HISTODEC23!BH16</f>
        <v>0</v>
      </c>
      <c r="BI16" s="5">
        <f>HISTOJANV23!BI16+HISTOFEV23!BI16+HISTOMARS23!BI16+HISTOAVRIL23!BI16+HISTOMAI23!BI16+HISTOJUIN23!BI16+HISTOJUIL23!BI16+HISTOAOUT23!BI16+HISTOSEPT23!BI16+HISTOOCT23!BI16+HISTONOV23!BI16+HISTODEC23!BI16</f>
        <v>0</v>
      </c>
      <c r="BJ16" s="5">
        <f>HISTOJANV23!BJ16+HISTOFEV23!BJ16+HISTOMARS23!BJ16+HISTOAVRIL23!BJ16+HISTOMAI23!BJ16+HISTOJUIN23!BJ16+HISTOJUIL23!BJ16+HISTOAOUT23!BJ16+HISTOSEPT23!BJ16+HISTOOCT23!BJ16+HISTONOV23!BJ16+HISTODEC23!BJ16</f>
        <v>0</v>
      </c>
      <c r="BK16" s="5">
        <f>HISTOJANV23!BK16+HISTOFEV23!BK16+HISTOMARS23!BK16+HISTOAVRIL23!BK16+HISTOMAI23!BK16+HISTOJUIN23!BK16+HISTOJUIL23!BK16+HISTOAOUT23!BK16+HISTOSEPT23!BK16+HISTOOCT23!BK16+HISTONOV23!BK16+HISTODEC23!BK16</f>
        <v>0</v>
      </c>
      <c r="BL16" s="5">
        <f>HISTOJANV23!BL16+HISTOFEV23!BL16+HISTOMARS23!BL16+HISTOAVRIL23!BL16+HISTOMAI23!BL16+HISTOJUIN23!BL16+HISTOJUIL23!BL16+HISTOAOUT23!BL16+HISTOSEPT23!BL16+HISTOOCT23!BL16+HISTONOV23!BL16+HISTODEC23!BL16</f>
        <v>0</v>
      </c>
      <c r="BM16" s="5">
        <f>HISTOJANV23!BM16+HISTOFEV23!BM16+HISTOMARS23!BM16+HISTOAVRIL23!BM16+HISTOMAI23!BM16+HISTOJUIN23!BM16+HISTOJUIL23!BM16+HISTOAOUT23!BM16+HISTOSEPT23!BM16+HISTOOCT23!BM16+HISTONOV23!BM16+HISTODEC23!BM16</f>
        <v>0</v>
      </c>
      <c r="BN16" s="62" t="s">
        <v>142</v>
      </c>
      <c r="BP16" s="5">
        <f>SUM(BP6:BP15)</f>
        <v>199000</v>
      </c>
    </row>
    <row r="17" spans="1:68" ht="18.75" x14ac:dyDescent="0.3">
      <c r="A17" s="1" t="s">
        <v>22</v>
      </c>
      <c r="B17" s="1" t="str">
        <f>VLOOKUP(A17,[17]LISTADHERENT!A$5:H$39,3,0)</f>
        <v>KOUAMOU MOISE</v>
      </c>
      <c r="C17" s="5">
        <f>HISTOJANV23!C17+HISTOFEV23!C17+HISTOMARS23!C17+HISTOAVRIL23!C17+HISTOMAI23!C17+HISTOJUIN23!C17+HISTOJUIL23!C17+HISTOAOUT23!C17+HISTOSEPT23!C17+HISTOOCT23!C17+HISTONOV23!C17+HISTODEC23!C17</f>
        <v>-70000</v>
      </c>
      <c r="D17" s="5">
        <f>HISTOJANV23!D17+HISTOFEV23!D17+HISTOMARS23!D17+HISTOAVRIL23!D17+HISTOMAI23!D17+HISTOJUIN23!D17+HISTOJUIL23!D17+HISTOAOUT23!D17+HISTOSEPT23!D17+HISTOOCT23!D17+HISTONOV23!D17+HISTODEC23!D17</f>
        <v>2983000</v>
      </c>
      <c r="E17" s="5">
        <f>HISTOJANV23!E17+HISTOFEV23!E17+HISTOMARS23!E17+HISTOAVRIL23!E17+HISTOMAI23!E17+HISTOJUIN23!E17+HISTOJUIL23!E17+HISTOAOUT23!E17+HISTOSEPT23!E17+HISTOOCT23!E17+HISTONOV23!E17+HISTODEC23!E17</f>
        <v>0</v>
      </c>
      <c r="F17" s="5">
        <f>HISTOJANV23!F17+HISTOFEV23!F17+HISTOMARS23!F17+HISTOAVRIL23!F17+HISTOMAI23!F17+HISTOJUIN23!F17+HISTOJUIL23!F17+HISTOAOUT23!F17+HISTOSEPT23!F17+HISTOOCT23!F17+HISTONOV23!F17+HISTODEC23!F17</f>
        <v>0</v>
      </c>
      <c r="G17" s="5">
        <f>HISTOJANV23!G17+HISTOFEV23!G17+HISTOMARS23!G17+HISTOAVRIL23!G17+HISTOMAI23!G17+HISTOJUIN23!G17+HISTOJUIL23!G17+HISTOAOUT23!G17+HISTOSEPT23!G17+HISTOOCT23!G17+HISTONOV23!G17+HISTODEC23!G17</f>
        <v>0</v>
      </c>
      <c r="H17" s="10" t="str">
        <f t="shared" si="0"/>
        <v>BANQUE</v>
      </c>
      <c r="I17" s="5">
        <f>HISTOJANV23!I17+HISTOFEV23!I17+HISTOMARS23!I17+HISTOAVRIL23!I17+HISTOMAI23!I17+HISTOJUIN23!I17+HISTOJUIL23!I17+HISTOAOUT23!I17+HISTOSEPT23!I17+HISTOOCT23!I17+HISTONOV23!I17+HISTODEC23!I17</f>
        <v>0</v>
      </c>
      <c r="J17" s="5">
        <f>HISTOJANV23!J17+HISTOFEV23!J17+HISTOMARS23!J17+HISTOAVRIL23!J17+HISTOMAI23!J17+HISTOJUIN23!J17+HISTOJUIL23!J17+HISTOAOUT23!J17+HISTOSEPT23!J17+HISTOOCT23!J17+HISTONOV23!J17+HISTODEC23!J17</f>
        <v>12</v>
      </c>
      <c r="K17" s="5">
        <f>HISTOJANV23!K17+HISTOFEV23!K17+HISTOMARS23!K17+HISTOAVRIL23!K17+HISTOMAI23!K17+HISTOJUIN23!K17+HISTOJUIL23!K17+HISTOAOUT23!K17+HISTOSEPT23!K17+HISTOOCT23!K17+HISTONOV23!K17+HISTODEC23!K17</f>
        <v>480000</v>
      </c>
      <c r="L17" s="5">
        <f>HISTOJANV23!L17+HISTOFEV23!L17+HISTOMARS23!L17+HISTOAVRIL23!L17+HISTOMAI23!L17+HISTOJUIN23!L17+HISTOJUIL23!L17+HISTOAOUT23!L17+HISTOSEPT23!L17+HISTOOCT23!L17+HISTONOV23!L17+HISTODEC23!L17</f>
        <v>0</v>
      </c>
      <c r="M17" s="5">
        <f>HISTOJANV23!M17+HISTOFEV23!M17+HISTOMARS23!M17+HISTOAVRIL23!M17+HISTOMAI23!M17+HISTOJUIN23!M17+HISTOJUIL23!M17+HISTOAOUT23!M17+HISTOSEPT23!M17+HISTOOCT23!M17+HISTONOV23!M17+HISTODEC23!M17</f>
        <v>0</v>
      </c>
      <c r="N17" s="5">
        <f>HISTOJANV23!N17+HISTOFEV23!N17+HISTOMARS23!N17+HISTOAVRIL23!N17+HISTOMAI23!N17+HISTOJUIN23!N17+HISTOJUIL23!N17+HISTOAOUT23!N17+HISTOSEPT23!N17+HISTOOCT23!N17+HISTONOV23!N17+HISTODEC23!N17</f>
        <v>12</v>
      </c>
      <c r="O17" s="5">
        <f>HISTOJANV23!O17+HISTOFEV23!O17+HISTOMARS23!O17+HISTOAVRIL23!O17+HISTOMAI23!O17+HISTOJUIN23!O17+HISTOJUIL23!O17+HISTOAOUT23!O17+HISTOSEPT23!O17+HISTOOCT23!O17+HISTONOV23!O17+HISTODEC23!O17</f>
        <v>1200000</v>
      </c>
      <c r="P17" s="5">
        <f>HISTOJANV23!P17+HISTOFEV23!P17+HISTOMARS23!P17+HISTOAVRIL23!P17+HISTOMAI23!P17+HISTOJUIN23!P17+HISTOJUIL23!P17+HISTOAOUT23!P17+HISTOSEPT23!P17+HISTOOCT23!P17+HISTONOV23!P17+HISTODEC23!P17</f>
        <v>0</v>
      </c>
      <c r="Q17" s="5">
        <f>HISTOJANV23!Q17+HISTOFEV23!Q17+HISTOMARS23!Q17+HISTOAVRIL23!Q17+HISTOMAI23!Q17+HISTOJUIN23!Q17+HISTOJUIL23!Q17+HISTOAOUT23!Q17+HISTOSEPT23!Q17+HISTOOCT23!Q17+HISTONOV23!Q17+HISTODEC23!Q17</f>
        <v>0</v>
      </c>
      <c r="R17" s="5">
        <f>HISTOJANV23!R17+HISTOFEV23!R17+HISTOMARS23!R17+HISTOAVRIL23!R17+HISTOMAI23!R17+HISTOJUIN23!R17+HISTOJUIL23!R17+HISTOAOUT23!R17+HISTOSEPT23!R17+HISTOOCT23!R17+HISTONOV23!R17+HISTODEC23!R17</f>
        <v>303000</v>
      </c>
      <c r="S17" s="5">
        <f>HISTOJANV23!S17+HISTOFEV23!S17+HISTOMARS23!S17+HISTOAVRIL23!S17+HISTOMAI23!S17+HISTOJUIN23!S17+HISTOJUIL23!S17+HISTOAOUT23!S17+HISTOSEPT23!S17+HISTOOCT23!S17+HISTONOV23!S17+HISTODEC23!S17</f>
        <v>1000000</v>
      </c>
      <c r="T17" s="5" t="e">
        <f>HISTOJANV23!T17+HISTOFEV23!T17+HISTOMARS23!T17+HISTOAVRIL23!T17+HISTOMAI23!T17+HISTOJUIN23!T17+HISTOJUIL23!T17+HISTOAOUT23!T17+HISTOSEPT23!T17+HISTOOCT23!T17+HISTONOV23!T17+HISTODEC23!T17</f>
        <v>#VALUE!</v>
      </c>
      <c r="U17" s="17">
        <f t="shared" si="1"/>
        <v>2992000</v>
      </c>
      <c r="V17" s="5">
        <f>HISTOJANV23!V17+HISTOFEV23!V17+HISTOMARS23!V17+HISTOAVRIL23!V17+HISTOMAI23!V17+HISTOJUIN23!V17+HISTOJUIL23!V17+HISTOAOUT23!V17+HISTOSEPT23!V17+HISTOOCT23!V17+HISTONOV23!V17+HISTODEC23!V17</f>
        <v>9000</v>
      </c>
      <c r="W17" s="5">
        <f>HISTOJANV23!W17+HISTOFEV23!W17+HISTOMARS23!W17+HISTOAVRIL23!W17+HISTOMAI23!W17+HISTOJUIN23!W17+HISTOJUIL23!W17+HISTOAOUT23!W17+HISTOSEPT23!W17+HISTOOCT23!W17+HISTONOV23!W17+HISTODEC23!W17</f>
        <v>0</v>
      </c>
      <c r="X17" s="5">
        <f>HISTOJANV23!X17+HISTOFEV23!X17+HISTOMARS23!X17+HISTOAVRIL23!X17+HISTOMAI23!X17+HISTOJUIN23!X17+HISTOJUIL23!X17+HISTOAOUT23!X17+HISTOSEPT23!X17+HISTOOCT23!X17+HISTONOV23!X17+HISTODEC23!X17</f>
        <v>0</v>
      </c>
      <c r="Y17" s="5">
        <f>HISTOJANV23!Y17+HISTOFEV23!Y17+HISTOMARS23!Y17+HISTOAVRIL23!Y17+HISTOMAI23!Y17+HISTOJUIN23!Y17+HISTOJUIL23!Y17+HISTOAOUT23!Y17+HISTOSEPT23!Y17+HISTOOCT23!Y17+HISTONOV23!Y17+HISTODEC23!Y17</f>
        <v>0</v>
      </c>
      <c r="Z17" s="5">
        <f>HISTOJANV23!Z17+HISTOFEV23!Z17+HISTOMARS23!Z17+HISTOAVRIL23!Z17+HISTOMAI23!Z17+HISTOJUIN23!Z17+HISTOJUIL23!Z17+HISTOAOUT23!Z17+HISTOSEPT23!Z17+HISTOOCT23!Z17+HISTONOV23!Z17+HISTODEC23!Z17</f>
        <v>1000000</v>
      </c>
      <c r="AA17" s="5" t="e">
        <f>HISTOJANV23!AA17+HISTOFEV23!AA17+HISTOMARS23!AA17+HISTOAVRIL23!AA17+HISTOMAI23!AA17+HISTOJUIN23!AA17+HISTOJUIL23!AA17+HISTOAOUT23!AA17+HISTOSEPT23!AA17+HISTOOCT23!AA17+HISTONOV23!AA17+HISTODEC23!AA17</f>
        <v>#VALUE!</v>
      </c>
      <c r="AB17" s="5">
        <f>HISTOJANV23!AB17+HISTOFEV23!AB17+HISTOMARS23!AB17+HISTOAVRIL23!AB17+HISTOMAI23!AB17+HISTOJUIN23!AB17+HISTOJUIL23!AB17+HISTOAOUT23!AB17+HISTOSEPT23!AB17+HISTOOCT23!AB17+HISTONOV23!AB17+HISTODEC23!AB17</f>
        <v>0</v>
      </c>
      <c r="AC17" s="5">
        <f>HISTOJANV23!AC17+HISTOFEV23!AC17+HISTOMARS23!AC17+HISTOAVRIL23!AC17+HISTOMAI23!AC17+HISTOJUIN23!AC17+HISTOJUIL23!AC17+HISTOAOUT23!AC17+HISTOSEPT23!AC17+HISTOOCT23!AC17+HISTONOV23!AC17+HISTODEC23!AC17</f>
        <v>6500</v>
      </c>
      <c r="AD17" s="5">
        <f>HISTOJANV23!AD17+HISTOFEV23!AD17+HISTOMARS23!AD17+HISTOAVRIL23!AD17+HISTOMAI23!AD17+HISTOJUIN23!AD17+HISTOJUIL23!AD17+HISTOAOUT23!AD17+HISTOSEPT23!AD17+HISTOOCT23!AD17+HISTONOV23!AD17+HISTODEC23!AD17</f>
        <v>0</v>
      </c>
      <c r="AE17" s="5">
        <f>HISTOJANV23!AE17+HISTOFEV23!AE17+HISTOMARS23!AE17+HISTOAVRIL23!AE17+HISTOMAI23!AE17+HISTOJUIN23!AE17+HISTOJUIL23!AE17+HISTOAOUT23!AE17+HISTOSEPT23!AE17+HISTOOCT23!AE17+HISTONOV23!AE17+HISTODEC23!AE17</f>
        <v>28000</v>
      </c>
      <c r="AF17" s="5" t="e">
        <f>HISTOJANV23!AF17+HISTOFEV23!AF17+HISTOMARS23!AF17+HISTOAVRIL23!AF17+HISTOMAI23!AF17+HISTOJUIN23!AF17+HISTOJUIL23!AF17+HISTOAOUT23!AF17+HISTOSEPT23!AF17+HISTOOCT23!AF17+HISTONOV23!AF17+HISTODEC23!AF17</f>
        <v>#VALUE!</v>
      </c>
      <c r="AG17" s="5">
        <f>HISTOJANV23!AG17+HISTOFEV23!AG17+HISTOMARS23!AG17+HISTOAVRIL23!AG17+HISTOMAI23!AG17+HISTOJUIN23!AG17+HISTOJUIL23!AG17+HISTOAOUT23!AG17+HISTOSEPT23!AG17+HISTOOCT23!AG17+HISTONOV23!AG17+HISTODEC23!AG17</f>
        <v>0</v>
      </c>
      <c r="AH17" s="5">
        <f>HISTOJANV23!AH17+HISTOFEV23!AH17+HISTOMARS23!AH17+HISTOAVRIL23!AH17+HISTOMAI23!AH17+HISTOJUIN23!AH17+HISTOJUIL23!AH17+HISTOAOUT23!AH17+HISTOSEPT23!AH17+HISTOOCT23!AH17+HISTONOV23!AH17+HISTODEC23!AH17</f>
        <v>0</v>
      </c>
      <c r="AI17" s="5">
        <f>HISTOJANV23!AI17+HISTOFEV23!AI17+HISTOMARS23!AI17+HISTOAVRIL23!AI17+HISTOMAI23!AI17+HISTOJUIN23!AI17+HISTOJUIL23!AI17+HISTOAOUT23!AI17+HISTOSEPT23!AI17+HISTOOCT23!AI17+HISTONOV23!AI17+HISTODEC23!AI17</f>
        <v>0</v>
      </c>
      <c r="AJ17" s="5">
        <f>HISTOJANV23!AJ17+HISTOFEV23!AJ17+HISTOMARS23!AJ17+HISTOAVRIL23!AJ17+HISTOMAI23!AJ17+HISTOJUIN23!AJ17+HISTOJUIL23!AJ17+HISTOAOUT23!AJ17+HISTOSEPT23!AJ17+HISTOOCT23!AJ17+HISTONOV23!AJ17+HISTODEC23!AJ17</f>
        <v>0</v>
      </c>
      <c r="AK17" s="5">
        <f>HISTOJANV23!AK17+HISTOFEV23!AK17+HISTOMARS23!AK17+HISTOAVRIL23!AK17+HISTOMAI23!AK17+HISTOJUIN23!AK17+HISTOJUIL23!AK17+HISTOAOUT23!AK17+HISTOSEPT23!AK17+HISTOOCT23!AK17+HISTONOV23!AK17+HISTODEC23!AK17</f>
        <v>300000</v>
      </c>
      <c r="AL17" s="5">
        <f>HISTOJANV23!AL17+HISTOFEV23!AL17+HISTOMARS23!AL17+HISTOAVRIL23!AL17+HISTOMAI23!AL17+HISTOJUIN23!AL17+HISTOJUIL23!AL17+HISTOAOUT23!AL17+HISTOSEPT23!AL17+HISTOOCT23!AL17+HISTONOV23!AL17+HISTODEC23!AL17</f>
        <v>0</v>
      </c>
      <c r="AM17" s="5">
        <f>HISTOJANV23!AM17+HISTOFEV23!AM17+HISTOMARS23!AM17+HISTOAVRIL23!AM17+HISTOMAI23!AM17+HISTOJUIN23!AM17+HISTOJUIL23!AM17+HISTOAOUT23!AM17+HISTOSEPT23!AM17+HISTOOCT23!AM17+HISTONOV23!AM17+HISTODEC23!AM17</f>
        <v>0</v>
      </c>
      <c r="AN17" s="5">
        <f>HISTOJANV23!AN17+HISTOFEV23!AN17+HISTOMARS23!AN17+HISTOAVRIL23!AN17+HISTOMAI23!AN17+HISTOJUIN23!AN17+HISTOJUIL23!AN17+HISTOAOUT23!AN17+HISTOSEPT23!AN17+HISTOOCT23!AN17+HISTONOV23!AN17+HISTODEC23!AN17</f>
        <v>3000</v>
      </c>
      <c r="AO17" s="5">
        <f>HISTOJANV23!AO17+HISTOFEV23!AO17+HISTOMARS23!AO17+HISTOAVRIL23!AO17+HISTOMAI23!AO17+HISTOJUIN23!AO17+HISTOJUIL23!AO17+HISTOAOUT23!AO17+HISTOSEPT23!AO17+HISTOOCT23!AO17+HISTONOV23!AO17+HISTODEC23!AO17</f>
        <v>0</v>
      </c>
      <c r="AP17" s="5" t="e">
        <f>HISTOJANV23!AP17+HISTOFEV23!AP17+HISTOMARS23!AP17+HISTOAVRIL23!AP17+HISTOMAI23!AP17+HISTOJUIN23!AP17+HISTOJUIL23!AP17+HISTOAOUT23!AP17+HISTOSEPT23!AP17+HISTOOCT23!AP17+HISTONOV23!AP17+HISTODEC23!AP17</f>
        <v>#VALUE!</v>
      </c>
      <c r="AQ17" s="5">
        <f>HISTOJANV23!AQ17+HISTOFEV23!AQ17+HISTOMARS23!AQ17+HISTOAVRIL23!AQ17+HISTOMAI23!AQ17+HISTOJUIN23!AQ17+HISTOJUIL23!AQ17+HISTOAOUT23!AQ17+HISTOSEPT23!AQ17+HISTOOCT23!AQ17+HISTONOV23!AQ17+HISTODEC23!AQ17</f>
        <v>0</v>
      </c>
      <c r="AR17" s="5">
        <f>HISTOJANV23!AR17+HISTOFEV23!AR17+HISTOMARS23!AR17+HISTOAVRIL23!AR17+HISTOMAI23!AR17+HISTOJUIN23!AR17+HISTOJUIL23!AR17+HISTOAOUT23!AR17+HISTOSEPT23!AR17+HISTOOCT23!AR17+HISTONOV23!AR17+HISTODEC23!AR17</f>
        <v>0</v>
      </c>
      <c r="AS17" s="5">
        <f>HISTOJANV23!AS17+HISTOFEV23!AS17+HISTOMARS23!AS17+HISTOAVRIL23!AS17+HISTOMAI23!AS17+HISTOJUIN23!AS17+HISTOJUIL23!AS17+HISTOAOUT23!AS17+HISTOSEPT23!AS17+HISTOOCT23!AS17+HISTONOV23!AS17+HISTODEC23!AS17</f>
        <v>180000</v>
      </c>
      <c r="AT17" s="5">
        <f>HISTOJANV23!AT17+HISTOFEV23!AT17+HISTOMARS23!AT17+HISTOAVRIL23!AT17+HISTOMAI23!AT17+HISTOJUIN23!AT17+HISTOJUIL23!AT17+HISTOAOUT23!AT17+HISTOSEPT23!AT17+HISTOOCT23!AT17+HISTONOV23!AT17+HISTODEC23!AT17</f>
        <v>0</v>
      </c>
      <c r="AU17" s="5">
        <f>HISTOJANV23!AU17+HISTOFEV23!AU17+HISTOMARS23!AU17+HISTOAVRIL23!AU17+HISTOMAI23!AU17+HISTOJUIN23!AU17+HISTOJUIL23!AU17+HISTOAOUT23!AU17+HISTOSEPT23!AU17+HISTOOCT23!AU17+HISTONOV23!AU17+HISTODEC23!AU17</f>
        <v>0</v>
      </c>
      <c r="AV17" s="5">
        <f>HISTOJANV23!AV17+HISTOFEV23!AV17+HISTOMARS23!AV17+HISTOAVRIL23!AV17+HISTOMAI23!AV17+HISTOJUIN23!AV17+HISTOJUIL23!AV17+HISTOAOUT23!AV17+HISTOSEPT23!AV17+HISTOOCT23!AV17+HISTONOV23!AV17+HISTODEC23!AV17</f>
        <v>0</v>
      </c>
      <c r="AW17" s="5">
        <f>HISTOJANV23!AW17+HISTOFEV23!AW17+HISTOMARS23!AW17+HISTOAVRIL23!AW17+HISTOMAI23!AW17+HISTOJUIN23!AW17+HISTOJUIL23!AW17+HISTOAOUT23!AW17+HISTOSEPT23!AW17+HISTOOCT23!AW17+HISTONOV23!AW17+HISTODEC23!AW17</f>
        <v>293500</v>
      </c>
      <c r="AX17" s="5">
        <f>HISTOJANV23!AX17+HISTOFEV23!AX17+HISTOMARS23!AX17+HISTOAVRIL23!AX17+HISTOMAI23!AX17+HISTOJUIN23!AX17+HISTOJUIL23!AX17+HISTOAOUT23!AX17+HISTOSEPT23!AX17+HISTOOCT23!AX17+HISTONOV23!AX17+HISTODEC23!AX17</f>
        <v>0</v>
      </c>
      <c r="AY17" s="5">
        <f>HISTOJANV23!AY17+HISTOFEV23!AY17+HISTOMARS23!AY17+HISTOAVRIL23!AY17+HISTOMAI23!AY17+HISTOJUIN23!AY17+HISTOJUIL23!AY17+HISTOAOUT23!AY17+HISTOSEPT23!AY17+HISTOOCT23!AY17+HISTONOV23!AY17+HISTODEC23!AY17</f>
        <v>1472000</v>
      </c>
      <c r="AZ17" s="5">
        <f>HISTOJANV23!AZ17+HISTOFEV23!AZ17+HISTOMARS23!AZ17+HISTOAVRIL23!AZ17+HISTOMAI23!AZ17+HISTOJUIN23!AZ17+HISTOJUIL23!AZ17+HISTOAOUT23!AZ17+HISTOSEPT23!AZ17+HISTOOCT23!AZ17+HISTONOV23!AZ17+HISTODEC23!AZ17</f>
        <v>2715500</v>
      </c>
      <c r="BA17" s="5">
        <f>HISTOJANV23!BA17+HISTOFEV23!BA17+HISTOMARS23!BA17+HISTOAVRIL23!BA17+HISTOMAI23!BA17+HISTOJUIN23!BA17+HISTOJUIL23!BA17+HISTOAOUT23!BA17+HISTOSEPT23!BA17+HISTOOCT23!BA17+HISTONOV23!BA17+HISTODEC23!BA17</f>
        <v>164500</v>
      </c>
      <c r="BB17" s="5">
        <f>HISTOJANV23!BB17+HISTOFEV23!BB17+HISTOMARS23!BB17+HISTOAVRIL23!BB17+HISTOMAI23!BB17+HISTOJUIN23!BB17+HISTOJUIL23!BB17+HISTOAOUT23!BB17+HISTOSEPT23!BB17+HISTOOCT23!BB17+HISTONOV23!BB17+HISTODEC23!BB17</f>
        <v>70000</v>
      </c>
      <c r="BC17" s="5">
        <f>HISTOJANV23!BC17+HISTOFEV23!BC17+HISTOMARS23!BC17+HISTOAVRIL23!BC17+HISTOMAI23!BC17+HISTOJUIN23!BC17+HISTOJUIL23!BC17+HISTOAOUT23!BC17+HISTOSEPT23!BC17+HISTOOCT23!BC17+HISTONOV23!BC17+HISTODEC23!BC17</f>
        <v>0</v>
      </c>
      <c r="BD17" s="5">
        <f>HISTOJANV23!BD17+HISTOFEV23!BD17+HISTOMARS23!BD17+HISTOAVRIL23!BD17+HISTOMAI23!BD17+HISTOJUIN23!BD17+HISTOJUIL23!BD17+HISTOAOUT23!BD17+HISTOSEPT23!BD17+HISTOOCT23!BD17+HISTONOV23!BD17+HISTODEC23!BD17</f>
        <v>2481000</v>
      </c>
      <c r="BE17" s="82">
        <f>HISTOJANV23!BE17+HISTOFEV23!BE17+HISTOMARS23!BE17+HISTOAVRIL23!BE17+HISTOMAI23!BE17+HISTOJUIN23!BE17+HISTOJUIL23!BE17+HISTOAOUT23!BE17+HISTOSEPT23!BE17+HISTOOCT23!BE17+HISTONOV23!BE17+HISTODEC23!BE17</f>
        <v>2481000</v>
      </c>
      <c r="BF17" s="5">
        <f>HISTOJANV23!BF17+HISTOFEV23!BF17+HISTOMARS23!BF17+HISTOAVRIL23!BF17+HISTOMAI23!BF17+HISTOJUIN23!BF17+HISTOJUIL23!BF17+HISTOAOUT23!BF17+HISTOSEPT23!BF17+HISTOOCT23!BF17+HISTONOV23!BF17+HISTODEC23!BF17</f>
        <v>50000</v>
      </c>
      <c r="BG17" s="5">
        <f>HISTOJANV23!BG17+HISTOFEV23!BG17+HISTOMARS23!BG17+HISTOAVRIL23!BG17+HISTOMAI23!BG17+HISTOJUIN23!BG17+HISTOJUIL23!BG17+HISTOAOUT23!BG17+HISTOSEPT23!BG17+HISTOOCT23!BG17+HISTONOV23!BG17+HISTODEC23!BG17</f>
        <v>78</v>
      </c>
      <c r="BH17" s="5">
        <f>HISTOJANV23!BH17+HISTOFEV23!BH17+HISTOMARS23!BH17+HISTOAVRIL23!BH17+HISTOMAI23!BH17+HISTOJUIN23!BH17+HISTOJUIL23!BH17+HISTOAOUT23!BH17+HISTOSEPT23!BH17+HISTOOCT23!BH17+HISTONOV23!BH17+HISTODEC23!BH17</f>
        <v>0</v>
      </c>
      <c r="BI17" s="5">
        <f>HISTOJANV23!BI17+HISTOFEV23!BI17+HISTOMARS23!BI17+HISTOAVRIL23!BI17+HISTOMAI23!BI17+HISTOJUIN23!BI17+HISTOJUIL23!BI17+HISTOAOUT23!BI17+HISTOSEPT23!BI17+HISTOOCT23!BI17+HISTONOV23!BI17+HISTODEC23!BI17</f>
        <v>0</v>
      </c>
      <c r="BJ17" s="5">
        <f>HISTOJANV23!BJ17+HISTOFEV23!BJ17+HISTOMARS23!BJ17+HISTOAVRIL23!BJ17+HISTOMAI23!BJ17+HISTOJUIN23!BJ17+HISTOJUIL23!BJ17+HISTOAOUT23!BJ17+HISTOSEPT23!BJ17+HISTOOCT23!BJ17+HISTONOV23!BJ17+HISTODEC23!BJ17</f>
        <v>0</v>
      </c>
      <c r="BK17" s="5">
        <f>HISTOJANV23!BK17+HISTOFEV23!BK17+HISTOMARS23!BK17+HISTOAVRIL23!BK17+HISTOMAI23!BK17+HISTOJUIN23!BK17+HISTOJUIL23!BK17+HISTOAOUT23!BK17+HISTOSEPT23!BK17+HISTOOCT23!BK17+HISTONOV23!BK17+HISTODEC23!BK17</f>
        <v>0</v>
      </c>
      <c r="BL17" s="5">
        <f>HISTOJANV23!BL17+HISTOFEV23!BL17+HISTOMARS23!BL17+HISTOAVRIL23!BL17+HISTOMAI23!BL17+HISTOJUIN23!BL17+HISTOJUIL23!BL17+HISTOAOUT23!BL17+HISTOSEPT23!BL17+HISTOOCT23!BL17+HISTONOV23!BL17+HISTODEC23!BL17</f>
        <v>0</v>
      </c>
      <c r="BM17" s="5">
        <f>HISTOJANV23!BM17+HISTOFEV23!BM17+HISTOMARS23!BM17+HISTOAVRIL23!BM17+HISTOMAI23!BM17+HISTOJUIN23!BM17+HISTOJUIL23!BM17+HISTOAOUT23!BM17+HISTOSEPT23!BM17+HISTOOCT23!BM17+HISTONOV23!BM17+HISTODEC23!BM17</f>
        <v>0</v>
      </c>
      <c r="BN17" s="62"/>
      <c r="BP17" s="6"/>
    </row>
    <row r="18" spans="1:68" ht="18.75" x14ac:dyDescent="0.3">
      <c r="A18" s="1" t="s">
        <v>23</v>
      </c>
      <c r="B18" s="1" t="str">
        <f>VLOOKUP(A18,[17]LISTADHERENT!A$5:H$39,3,0)</f>
        <v>KOUATCHO MESSACK</v>
      </c>
      <c r="C18" s="5">
        <f>HISTOJANV23!C18+HISTOFEV23!C18+HISTOMARS23!C18+HISTOAVRIL23!C18+HISTOMAI23!C18+HISTOJUIN23!C18+HISTOJUIL23!C18+HISTOAOUT23!C18+HISTOSEPT23!C18+HISTOOCT23!C18+HISTONOV23!C18+HISTODEC23!C18</f>
        <v>1000</v>
      </c>
      <c r="D18" s="5">
        <f>HISTOJANV23!D18+HISTOFEV23!D18+HISTOMARS23!D18+HISTOAVRIL23!D18+HISTOMAI23!D18+HISTOJUIN23!D18+HISTOJUIL23!D18+HISTOAOUT23!D18+HISTOSEPT23!D18+HISTOOCT23!D18+HISTONOV23!D18+HISTODEC23!D18</f>
        <v>4863000</v>
      </c>
      <c r="E18" s="5">
        <f>HISTOJANV23!E18+HISTOFEV23!E18+HISTOMARS23!E18+HISTOAVRIL23!E18+HISTOMAI23!E18+HISTOJUIN23!E18+HISTOJUIL23!E18+HISTOAOUT23!E18+HISTOSEPT23!E18+HISTOOCT23!E18+HISTONOV23!E18+HISTODEC23!E18</f>
        <v>858500</v>
      </c>
      <c r="F18" s="5">
        <f>HISTOJANV23!F18+HISTOFEV23!F18+HISTOMARS23!F18+HISTOAVRIL23!F18+HISTOMAI23!F18+HISTOJUIN23!F18+HISTOJUIL23!F18+HISTOAOUT23!F18+HISTOSEPT23!F18+HISTOOCT23!F18+HISTONOV23!F18+HISTODEC23!F18</f>
        <v>70000</v>
      </c>
      <c r="G18" s="5">
        <f>HISTOJANV23!G18+HISTOFEV23!G18+HISTOMARS23!G18+HISTOAVRIL23!G18+HISTOMAI23!G18+HISTOJUIN23!G18+HISTOJUIL23!G18+HISTOAOUT23!G18+HISTOSEPT23!G18+HISTOOCT23!G18+HISTONOV23!G18+HISTODEC23!G18</f>
        <v>0</v>
      </c>
      <c r="H18" s="10" t="str">
        <f t="shared" si="0"/>
        <v>BANQUE</v>
      </c>
      <c r="I18" s="5">
        <f>HISTOJANV23!I18+HISTOFEV23!I18+HISTOMARS23!I18+HISTOAVRIL23!I18+HISTOMAI23!I18+HISTOJUIN23!I18+HISTOJUIL23!I18+HISTOAOUT23!I18+HISTOSEPT23!I18+HISTOOCT23!I18+HISTONOV23!I18+HISTODEC23!I18</f>
        <v>0</v>
      </c>
      <c r="J18" s="5">
        <f>HISTOJANV23!J18+HISTOFEV23!J18+HISTOMARS23!J18+HISTOAVRIL23!J18+HISTOMAI23!J18+HISTOJUIN23!J18+HISTOJUIL23!J18+HISTOAOUT23!J18+HISTOSEPT23!J18+HISTOOCT23!J18+HISTONOV23!J18+HISTODEC23!J18</f>
        <v>12</v>
      </c>
      <c r="K18" s="5">
        <f>HISTOJANV23!K18+HISTOFEV23!K18+HISTOMARS23!K18+HISTOAVRIL23!K18+HISTOMAI23!K18+HISTOJUIN23!K18+HISTOJUIL23!K18+HISTOAOUT23!K18+HISTOSEPT23!K18+HISTOOCT23!K18+HISTONOV23!K18+HISTODEC23!K18</f>
        <v>480000</v>
      </c>
      <c r="L18" s="5">
        <f>HISTOJANV23!L18+HISTOFEV23!L18+HISTOMARS23!L18+HISTOAVRIL23!L18+HISTOMAI23!L18+HISTOJUIN23!L18+HISTOJUIL23!L18+HISTOAOUT23!L18+HISTOSEPT23!L18+HISTOOCT23!L18+HISTONOV23!L18+HISTODEC23!L18</f>
        <v>12</v>
      </c>
      <c r="M18" s="5">
        <f>HISTOJANV23!M18+HISTOFEV23!M18+HISTOMARS23!M18+HISTOAVRIL23!M18+HISTOMAI23!M18+HISTOJUIN23!M18+HISTOJUIL23!M18+HISTOAOUT23!M18+HISTOSEPT23!M18+HISTOOCT23!M18+HISTONOV23!M18+HISTODEC23!M18</f>
        <v>900000</v>
      </c>
      <c r="N18" s="5">
        <f>HISTOJANV23!N18+HISTOFEV23!N18+HISTOMARS23!N18+HISTOAVRIL23!N18+HISTOMAI23!N18+HISTOJUIN23!N18+HISTOJUIL23!N18+HISTOAOUT23!N18+HISTOSEPT23!N18+HISTOOCT23!N18+HISTONOV23!N18+HISTODEC23!N18</f>
        <v>12</v>
      </c>
      <c r="O18" s="5">
        <f>HISTOJANV23!O18+HISTOFEV23!O18+HISTOMARS23!O18+HISTOAVRIL23!O18+HISTOMAI23!O18+HISTOJUIN23!O18+HISTOJUIL23!O18+HISTOAOUT23!O18+HISTOSEPT23!O18+HISTOOCT23!O18+HISTONOV23!O18+HISTODEC23!O18</f>
        <v>1200000</v>
      </c>
      <c r="P18" s="5">
        <f>HISTOJANV23!P18+HISTOFEV23!P18+HISTOMARS23!P18+HISTOAVRIL23!P18+HISTOMAI23!P18+HISTOJUIN23!P18+HISTOJUIL23!P18+HISTOAOUT23!P18+HISTOSEPT23!P18+HISTOOCT23!P18+HISTONOV23!P18+HISTODEC23!P18</f>
        <v>30500</v>
      </c>
      <c r="Q18" s="5">
        <f>HISTOJANV23!Q18+HISTOFEV23!Q18+HISTOMARS23!Q18+HISTOAVRIL23!Q18+HISTOMAI23!Q18+HISTOJUIN23!Q18+HISTOJUIL23!Q18+HISTOAOUT23!Q18+HISTOSEPT23!Q18+HISTOOCT23!Q18+HISTONOV23!Q18+HISTODEC23!Q18</f>
        <v>557000</v>
      </c>
      <c r="R18" s="5">
        <f>HISTOJANV23!R18+HISTOFEV23!R18+HISTOMARS23!R18+HISTOAVRIL23!R18+HISTOMAI23!R18+HISTOJUIN23!R18+HISTOJUIL23!R18+HISTOAOUT23!R18+HISTOSEPT23!R18+HISTOOCT23!R18+HISTONOV23!R18+HISTODEC23!R18</f>
        <v>303000</v>
      </c>
      <c r="S18" s="5">
        <f>HISTOJANV23!S18+HISTOFEV23!S18+HISTOMARS23!S18+HISTOAVRIL23!S18+HISTOMAI23!S18+HISTOJUIN23!S18+HISTOJUIL23!S18+HISTOAOUT23!S18+HISTOSEPT23!S18+HISTOOCT23!S18+HISTONOV23!S18+HISTODEC23!S18</f>
        <v>2250000</v>
      </c>
      <c r="T18" s="5" t="e">
        <f>HISTOJANV23!T18+HISTOFEV23!T18+HISTOMARS23!T18+HISTOAVRIL23!T18+HISTOMAI23!T18+HISTOJUIN23!T18+HISTOJUIL23!T18+HISTOAOUT23!T18+HISTOSEPT23!T18+HISTOOCT23!T18+HISTONOV23!T18+HISTODEC23!T18</f>
        <v>#VALUE!</v>
      </c>
      <c r="U18" s="17">
        <f t="shared" si="1"/>
        <v>5723500</v>
      </c>
      <c r="V18" s="5">
        <f>HISTOJANV23!V18+HISTOFEV23!V18+HISTOMARS23!V18+HISTOAVRIL23!V18+HISTOMAI23!V18+HISTOJUIN23!V18+HISTOJUIL23!V18+HISTOAOUT23!V18+HISTOSEPT23!V18+HISTOOCT23!V18+HISTONOV23!V18+HISTODEC23!V18</f>
        <v>3000</v>
      </c>
      <c r="W18" s="5">
        <f>HISTOJANV23!W18+HISTOFEV23!W18+HISTOMARS23!W18+HISTOAVRIL23!W18+HISTOMAI23!W18+HISTOJUIN23!W18+HISTOJUIL23!W18+HISTOAOUT23!W18+HISTOSEPT23!W18+HISTOOCT23!W18+HISTONOV23!W18+HISTODEC23!W18</f>
        <v>0</v>
      </c>
      <c r="X18" s="5">
        <f>HISTOJANV23!X18+HISTOFEV23!X18+HISTOMARS23!X18+HISTOAVRIL23!X18+HISTOMAI23!X18+HISTOJUIN23!X18+HISTOJUIL23!X18+HISTOAOUT23!X18+HISTOSEPT23!X18+HISTOOCT23!X18+HISTONOV23!X18+HISTODEC23!X18</f>
        <v>0</v>
      </c>
      <c r="Y18" s="5">
        <f>HISTOJANV23!Y18+HISTOFEV23!Y18+HISTOMARS23!Y18+HISTOAVRIL23!Y18+HISTOMAI23!Y18+HISTOJUIN23!Y18+HISTOJUIL23!Y18+HISTOAOUT23!Y18+HISTOSEPT23!Y18+HISTOOCT23!Y18+HISTONOV23!Y18+HISTODEC23!Y18</f>
        <v>0</v>
      </c>
      <c r="Z18" s="5">
        <f>HISTOJANV23!Z18+HISTOFEV23!Z18+HISTOMARS23!Z18+HISTOAVRIL23!Z18+HISTOMAI23!Z18+HISTOJUIN23!Z18+HISTOJUIL23!Z18+HISTOAOUT23!Z18+HISTOSEPT23!Z18+HISTOOCT23!Z18+HISTONOV23!Z18+HISTODEC23!Z18</f>
        <v>2250000</v>
      </c>
      <c r="AA18" s="5" t="e">
        <f>HISTOJANV23!AA18+HISTOFEV23!AA18+HISTOMARS23!AA18+HISTOAVRIL23!AA18+HISTOMAI23!AA18+HISTOJUIN23!AA18+HISTOJUIL23!AA18+HISTOAOUT23!AA18+HISTOSEPT23!AA18+HISTOOCT23!AA18+HISTONOV23!AA18+HISTODEC23!AA18</f>
        <v>#VALUE!</v>
      </c>
      <c r="AB18" s="5">
        <f>HISTOJANV23!AB18+HISTOFEV23!AB18+HISTOMARS23!AB18+HISTOAVRIL23!AB18+HISTOMAI23!AB18+HISTOJUIN23!AB18+HISTOJUIL23!AB18+HISTOAOUT23!AB18+HISTOSEPT23!AB18+HISTOOCT23!AB18+HISTONOV23!AB18+HISTODEC23!AB18</f>
        <v>0</v>
      </c>
      <c r="AC18" s="5">
        <f>HISTOJANV23!AC18+HISTOFEV23!AC18+HISTOMARS23!AC18+HISTOAVRIL23!AC18+HISTOMAI23!AC18+HISTOJUIN23!AC18+HISTOJUIL23!AC18+HISTOAOUT23!AC18+HISTOSEPT23!AC18+HISTOOCT23!AC18+HISTONOV23!AC18+HISTODEC23!AC18</f>
        <v>40000</v>
      </c>
      <c r="AD18" s="5">
        <f>HISTOJANV23!AD18+HISTOFEV23!AD18+HISTOMARS23!AD18+HISTOAVRIL23!AD18+HISTOMAI23!AD18+HISTOJUIN23!AD18+HISTOJUIL23!AD18+HISTOAOUT23!AD18+HISTOSEPT23!AD18+HISTOOCT23!AD18+HISTONOV23!AD18+HISTODEC23!AD18</f>
        <v>13000</v>
      </c>
      <c r="AE18" s="5">
        <f>HISTOJANV23!AE18+HISTOFEV23!AE18+HISTOMARS23!AE18+HISTOAVRIL23!AE18+HISTOMAI23!AE18+HISTOJUIN23!AE18+HISTOJUIL23!AE18+HISTOAOUT23!AE18+HISTOSEPT23!AE18+HISTOOCT23!AE18+HISTONOV23!AE18+HISTODEC23!AE18</f>
        <v>125000</v>
      </c>
      <c r="AF18" s="5" t="e">
        <f>HISTOJANV23!AF18+HISTOFEV23!AF18+HISTOMARS23!AF18+HISTOAVRIL23!AF18+HISTOMAI23!AF18+HISTOJUIN23!AF18+HISTOJUIL23!AF18+HISTOAOUT23!AF18+HISTOSEPT23!AF18+HISTOOCT23!AF18+HISTONOV23!AF18+HISTODEC23!AF18</f>
        <v>#VALUE!</v>
      </c>
      <c r="AG18" s="5">
        <f>HISTOJANV23!AG18+HISTOFEV23!AG18+HISTOMARS23!AG18+HISTOAVRIL23!AG18+HISTOMAI23!AG18+HISTOJUIN23!AG18+HISTOJUIL23!AG18+HISTOAOUT23!AG18+HISTOSEPT23!AG18+HISTOOCT23!AG18+HISTONOV23!AG18+HISTODEC23!AG18</f>
        <v>0</v>
      </c>
      <c r="AH18" s="5">
        <f>HISTOJANV23!AH18+HISTOFEV23!AH18+HISTOMARS23!AH18+HISTOAVRIL23!AH18+HISTOMAI23!AH18+HISTOJUIN23!AH18+HISTOJUIL23!AH18+HISTOAOUT23!AH18+HISTOSEPT23!AH18+HISTOOCT23!AH18+HISTONOV23!AH18+HISTODEC23!AH18</f>
        <v>0</v>
      </c>
      <c r="AI18" s="5">
        <f>HISTOJANV23!AI18+HISTOFEV23!AI18+HISTOMARS23!AI18+HISTOAVRIL23!AI18+HISTOMAI23!AI18+HISTOJUIN23!AI18+HISTOJUIL23!AI18+HISTOAOUT23!AI18+HISTOSEPT23!AI18+HISTOOCT23!AI18+HISTONOV23!AI18+HISTODEC23!AI18</f>
        <v>30000</v>
      </c>
      <c r="AJ18" s="5">
        <f>HISTOJANV23!AJ18+HISTOFEV23!AJ18+HISTOMARS23!AJ18+HISTOAVRIL23!AJ18+HISTOMAI23!AJ18+HISTOJUIN23!AJ18+HISTOJUIL23!AJ18+HISTOAOUT23!AJ18+HISTOSEPT23!AJ18+HISTOOCT23!AJ18+HISTONOV23!AJ18+HISTODEC23!AJ18</f>
        <v>550000</v>
      </c>
      <c r="AK18" s="5">
        <f>HISTOJANV23!AK18+HISTOFEV23!AK18+HISTOMARS23!AK18+HISTOAVRIL23!AK18+HISTOMAI23!AK18+HISTOJUIN23!AK18+HISTOJUIL23!AK18+HISTOAOUT23!AK18+HISTOSEPT23!AK18+HISTOOCT23!AK18+HISTONOV23!AK18+HISTODEC23!AK18</f>
        <v>300000</v>
      </c>
      <c r="AL18" s="5">
        <f>HISTOJANV23!AL18+HISTOFEV23!AL18+HISTOMARS23!AL18+HISTOAVRIL23!AL18+HISTOMAI23!AL18+HISTOJUIN23!AL18+HISTOJUIL23!AL18+HISTOAOUT23!AL18+HISTOSEPT23!AL18+HISTOOCT23!AL18+HISTONOV23!AL18+HISTODEC23!AL18</f>
        <v>500</v>
      </c>
      <c r="AM18" s="5">
        <f>HISTOJANV23!AM18+HISTOFEV23!AM18+HISTOMARS23!AM18+HISTOAVRIL23!AM18+HISTOMAI23!AM18+HISTOJUIN23!AM18+HISTOJUIL23!AM18+HISTOAOUT23!AM18+HISTOSEPT23!AM18+HISTOOCT23!AM18+HISTONOV23!AM18+HISTODEC23!AM18</f>
        <v>7000</v>
      </c>
      <c r="AN18" s="5">
        <f>HISTOJANV23!AN18+HISTOFEV23!AN18+HISTOMARS23!AN18+HISTOAVRIL23!AN18+HISTOMAI23!AN18+HISTOJUIN23!AN18+HISTOJUIL23!AN18+HISTOAOUT23!AN18+HISTOSEPT23!AN18+HISTOOCT23!AN18+HISTONOV23!AN18+HISTODEC23!AN18</f>
        <v>3000</v>
      </c>
      <c r="AO18" s="5">
        <f>HISTOJANV23!AO18+HISTOFEV23!AO18+HISTOMARS23!AO18+HISTOAVRIL23!AO18+HISTOMAI23!AO18+HISTOJUIN23!AO18+HISTOJUIL23!AO18+HISTOAOUT23!AO18+HISTOSEPT23!AO18+HISTOOCT23!AO18+HISTONOV23!AO18+HISTODEC23!AO18</f>
        <v>0</v>
      </c>
      <c r="AP18" s="5" t="e">
        <f>HISTOJANV23!AP18+HISTOFEV23!AP18+HISTOMARS23!AP18+HISTOAVRIL23!AP18+HISTOMAI23!AP18+HISTOJUIN23!AP18+HISTOJUIL23!AP18+HISTOAOUT23!AP18+HISTOSEPT23!AP18+HISTOOCT23!AP18+HISTONOV23!AP18+HISTODEC23!AP18</f>
        <v>#VALUE!</v>
      </c>
      <c r="AQ18" s="5">
        <f>HISTOJANV23!AQ18+HISTOFEV23!AQ18+HISTOMARS23!AQ18+HISTOAVRIL23!AQ18+HISTOMAI23!AQ18+HISTOJUIN23!AQ18+HISTOJUIL23!AQ18+HISTOAOUT23!AQ18+HISTOSEPT23!AQ18+HISTOOCT23!AQ18+HISTONOV23!AQ18+HISTODEC23!AQ18</f>
        <v>0</v>
      </c>
      <c r="AR18" s="5">
        <f>HISTOJANV23!AR18+HISTOFEV23!AR18+HISTOMARS23!AR18+HISTOAVRIL23!AR18+HISTOMAI23!AR18+HISTOJUIN23!AR18+HISTOJUIL23!AR18+HISTOAOUT23!AR18+HISTOSEPT23!AR18+HISTOOCT23!AR18+HISTONOV23!AR18+HISTODEC23!AR18</f>
        <v>0</v>
      </c>
      <c r="AS18" s="5">
        <f>HISTOJANV23!AS18+HISTOFEV23!AS18+HISTOMARS23!AS18+HISTOAVRIL23!AS18+HISTOMAI23!AS18+HISTOJUIN23!AS18+HISTOJUIL23!AS18+HISTOAOUT23!AS18+HISTOSEPT23!AS18+HISTOOCT23!AS18+HISTONOV23!AS18+HISTODEC23!AS18</f>
        <v>180000</v>
      </c>
      <c r="AT18" s="5">
        <f>HISTOJANV23!AT18+HISTOFEV23!AT18+HISTOMARS23!AT18+HISTOAVRIL23!AT18+HISTOMAI23!AT18+HISTOJUIN23!AT18+HISTOJUIL23!AT18+HISTOAOUT23!AT18+HISTOSEPT23!AT18+HISTOOCT23!AT18+HISTONOV23!AT18+HISTODEC23!AT18</f>
        <v>0</v>
      </c>
      <c r="AU18" s="5">
        <f>HISTOJANV23!AU18+HISTOFEV23!AU18+HISTOMARS23!AU18+HISTOAVRIL23!AU18+HISTOMAI23!AU18+HISTOJUIN23!AU18+HISTOJUIL23!AU18+HISTOAOUT23!AU18+HISTOSEPT23!AU18+HISTOOCT23!AU18+HISTONOV23!AU18+HISTODEC23!AU18</f>
        <v>0</v>
      </c>
      <c r="AV18" s="5">
        <f>HISTOJANV23!AV18+HISTOFEV23!AV18+HISTOMARS23!AV18+HISTOAVRIL23!AV18+HISTOMAI23!AV18+HISTOJUIN23!AV18+HISTOJUIL23!AV18+HISTOAOUT23!AV18+HISTOSEPT23!AV18+HISTOOCT23!AV18+HISTONOV23!AV18+HISTODEC23!AV18</f>
        <v>0</v>
      </c>
      <c r="AW18" s="5">
        <f>HISTOJANV23!AW18+HISTOFEV23!AW18+HISTOMARS23!AW18+HISTOAVRIL23!AW18+HISTOMAI23!AW18+HISTOJUIN23!AW18+HISTOJUIL23!AW18+HISTOAOUT23!AW18+HISTOSEPT23!AW18+HISTOOCT23!AW18+HISTONOV23!AW18+HISTODEC23!AW18</f>
        <v>290000</v>
      </c>
      <c r="AX18" s="5">
        <f>HISTOJANV23!AX18+HISTOFEV23!AX18+HISTOMARS23!AX18+HISTOAVRIL23!AX18+HISTOMAI23!AX18+HISTOJUIN23!AX18+HISTOJUIL23!AX18+HISTOAOUT23!AX18+HISTOSEPT23!AX18+HISTOOCT23!AX18+HISTONOV23!AX18+HISTODEC23!AX18</f>
        <v>1437000</v>
      </c>
      <c r="AY18" s="5">
        <f>HISTOJANV23!AY18+HISTOFEV23!AY18+HISTOMARS23!AY18+HISTOAVRIL23!AY18+HISTOMAI23!AY18+HISTOJUIN23!AY18+HISTOJUIL23!AY18+HISTOAOUT23!AY18+HISTOSEPT23!AY18+HISTOOCT23!AY18+HISTONOV23!AY18+HISTODEC23!AY18</f>
        <v>1375000</v>
      </c>
      <c r="AZ18" s="5">
        <f>HISTOJANV23!AZ18+HISTOFEV23!AZ18+HISTOMARS23!AZ18+HISTOAVRIL23!AZ18+HISTOMAI23!AZ18+HISTOJUIN23!AZ18+HISTOJUIL23!AZ18+HISTOAOUT23!AZ18+HISTOSEPT23!AZ18+HISTOOCT23!AZ18+HISTONOV23!AZ18+HISTODEC23!AZ18</f>
        <v>4315000</v>
      </c>
      <c r="BA18" s="5">
        <f>HISTOJANV23!BA18+HISTOFEV23!BA18+HISTOMARS23!BA18+HISTOAVRIL23!BA18+HISTOMAI23!BA18+HISTOJUIN23!BA18+HISTOJUIL23!BA18+HISTOAOUT23!BA18+HISTOSEPT23!BA18+HISTOOCT23!BA18+HISTONOV23!BA18+HISTODEC23!BA18</f>
        <v>147500</v>
      </c>
      <c r="BB18" s="5">
        <f>HISTOJANV23!BB18+HISTOFEV23!BB18+HISTOMARS23!BB18+HISTOAVRIL23!BB18+HISTOMAI23!BB18+HISTOJUIN23!BB18+HISTOJUIL23!BB18+HISTOAOUT23!BB18+HISTOSEPT23!BB18+HISTOOCT23!BB18+HISTONOV23!BB18+HISTODEC23!BB18</f>
        <v>70000</v>
      </c>
      <c r="BC18" s="5">
        <f>HISTOJANV23!BC18+HISTOFEV23!BC18+HISTOMARS23!BC18+HISTOAVRIL23!BC18+HISTOMAI23!BC18+HISTOJUIN23!BC18+HISTOJUIL23!BC18+HISTOAOUT23!BC18+HISTOSEPT23!BC18+HISTOOCT23!BC18+HISTONOV23!BC18+HISTODEC23!BC18</f>
        <v>0</v>
      </c>
      <c r="BD18" s="5">
        <f>HISTOJANV23!BD18+HISTOFEV23!BD18+HISTOMARS23!BD18+HISTOAVRIL23!BD18+HISTOMAI23!BD18+HISTOJUIN23!BD18+HISTOJUIL23!BD18+HISTOAOUT23!BD18+HISTOSEPT23!BD18+HISTOOCT23!BD18+HISTONOV23!BD18+HISTODEC23!BD18</f>
        <v>4267500</v>
      </c>
      <c r="BE18" s="82" t="e">
        <f>HISTOJANV23!BE18+HISTOFEV23!BE18+HISTOMARS23!BE18+HISTOAVRIL23!BE18+HISTOMAI23!BE18+HISTOJUIN23!BE18+HISTOJUIL23!BE18+HISTOAOUT23!BE18+HISTOSEPT23!BE18+HISTOOCT23!BE18+HISTONOV23!BE18+HISTODEC23!BE18</f>
        <v>#VALUE!</v>
      </c>
      <c r="BF18" s="5">
        <f>HISTOJANV23!BF18+HISTOFEV23!BF18+HISTOMARS23!BF18+HISTOAVRIL23!BF18+HISTOMAI23!BF18+HISTOJUIN23!BF18+HISTOJUIL23!BF18+HISTOAOUT23!BF18+HISTOSEPT23!BF18+HISTOOCT23!BF18+HISTONOV23!BF18+HISTODEC23!BF18</f>
        <v>80000</v>
      </c>
      <c r="BG18" s="5">
        <f>HISTOJANV23!BG18+HISTOFEV23!BG18+HISTOMARS23!BG18+HISTOAVRIL23!BG18+HISTOMAI23!BG18+HISTOJUIN23!BG18+HISTOJUIL23!BG18+HISTOAOUT23!BG18+HISTOSEPT23!BG18+HISTOOCT23!BG18+HISTONOV23!BG18+HISTODEC23!BG18</f>
        <v>69</v>
      </c>
      <c r="BH18" s="5">
        <f>HISTOJANV23!BH18+HISTOFEV23!BH18+HISTOMARS23!BH18+HISTOAVRIL23!BH18+HISTOMAI23!BH18+HISTOJUIN23!BH18+HISTOJUIL23!BH18+HISTOAOUT23!BH18+HISTOSEPT23!BH18+HISTOOCT23!BH18+HISTONOV23!BH18+HISTODEC23!BH18</f>
        <v>0</v>
      </c>
      <c r="BI18" s="5">
        <f>HISTOJANV23!BI18+HISTOFEV23!BI18+HISTOMARS23!BI18+HISTOAVRIL23!BI18+HISTOMAI23!BI18+HISTOJUIN23!BI18+HISTOJUIL23!BI18+HISTOAOUT23!BI18+HISTOSEPT23!BI18+HISTOOCT23!BI18+HISTONOV23!BI18+HISTODEC23!BI18</f>
        <v>0</v>
      </c>
      <c r="BJ18" s="5">
        <f>HISTOJANV23!BJ18+HISTOFEV23!BJ18+HISTOMARS23!BJ18+HISTOAVRIL23!BJ18+HISTOMAI23!BJ18+HISTOJUIN23!BJ18+HISTOJUIL23!BJ18+HISTOAOUT23!BJ18+HISTOSEPT23!BJ18+HISTOOCT23!BJ18+HISTONOV23!BJ18+HISTODEC23!BJ18</f>
        <v>0</v>
      </c>
      <c r="BK18" s="5">
        <f>HISTOJANV23!BK18+HISTOFEV23!BK18+HISTOMARS23!BK18+HISTOAVRIL23!BK18+HISTOMAI23!BK18+HISTOJUIN23!BK18+HISTOJUIL23!BK18+HISTOAOUT23!BK18+HISTOSEPT23!BK18+HISTOOCT23!BK18+HISTONOV23!BK18+HISTODEC23!BK18</f>
        <v>0</v>
      </c>
      <c r="BL18" s="5">
        <f>HISTOJANV23!BL18+HISTOFEV23!BL18+HISTOMARS23!BL18+HISTOAVRIL23!BL18+HISTOMAI23!BL18+HISTOJUIN23!BL18+HISTOJUIL23!BL18+HISTOAOUT23!BL18+HISTOSEPT23!BL18+HISTOOCT23!BL18+HISTONOV23!BL18+HISTODEC23!BL18</f>
        <v>0</v>
      </c>
      <c r="BM18" s="5">
        <f>HISTOJANV23!BM18+HISTOFEV23!BM18+HISTOMARS23!BM18+HISTOAVRIL23!BM18+HISTOMAI23!BM18+HISTOJUIN23!BM18+HISTOJUIL23!BM18+HISTOAOUT23!BM18+HISTOSEPT23!BM18+HISTOOCT23!BM18+HISTONOV23!BM18+HISTODEC23!BM18</f>
        <v>0</v>
      </c>
      <c r="BN18" t="s">
        <v>148</v>
      </c>
      <c r="BO18" t="s">
        <v>45</v>
      </c>
      <c r="BP18" s="5">
        <f>HISTOJANV23!BP18+HISTOFEV23!BP18+HISTOMARS23!BP18+HISTOAVRIL23!BP18+HISTOMAI23!BP18+HISTOJUIN23!BP18+HISTOJUIL23!BP18+HISTOAOUT23!BP18+HISTOSEPT23!BP18+HISTOOCT23!BP18+HISTONOV23!BP18+HISTODEC23!BP18</f>
        <v>200000</v>
      </c>
    </row>
    <row r="19" spans="1:68" ht="18.75" x14ac:dyDescent="0.3">
      <c r="A19" s="1" t="s">
        <v>24</v>
      </c>
      <c r="B19" s="1" t="str">
        <f>VLOOKUP(A19,[17]LISTADHERENT!A$5:H$39,3,0)</f>
        <v>LOWE JEAN</v>
      </c>
      <c r="C19" s="5">
        <f>HISTOJANV23!C19+HISTOFEV23!C19+HISTOMARS23!C19+HISTOAVRIL23!C19+HISTOMAI23!C19+HISTOJUIN23!C19+HISTOJUIL23!C19+HISTOAOUT23!C19+HISTOSEPT23!C19+HISTOOCT23!C19+HISTONOV23!C19+HISTODEC23!C19</f>
        <v>-1000000</v>
      </c>
      <c r="D19" s="5">
        <f>HISTOJANV23!D19+HISTOFEV23!D19+HISTOMARS23!D19+HISTOAVRIL23!D19+HISTOMAI23!D19+HISTOJUIN23!D19+HISTOJUIL23!D19+HISTOAOUT23!D19+HISTOSEPT23!D19+HISTOOCT23!D19+HISTONOV23!D19+HISTODEC23!D19</f>
        <v>740000</v>
      </c>
      <c r="E19" s="5">
        <f>HISTOJANV23!E19+HISTOFEV23!E19+HISTOMARS23!E19+HISTOAVRIL23!E19+HISTOMAI23!E19+HISTOJUIN23!E19+HISTOJUIL23!E19+HISTOAOUT23!E19+HISTOSEPT23!E19+HISTOOCT23!E19+HISTONOV23!E19+HISTODEC23!E19</f>
        <v>40000</v>
      </c>
      <c r="F19" s="5">
        <f>HISTOJANV23!F19+HISTOFEV23!F19+HISTOMARS23!F19+HISTOAVRIL23!F19+HISTOMAI23!F19+HISTOJUIN23!F19+HISTOJUIL23!F19+HISTOAOUT23!F19+HISTOSEPT23!F19+HISTOOCT23!F19+HISTONOV23!F19+HISTODEC23!F19</f>
        <v>70000</v>
      </c>
      <c r="G19" s="5">
        <f>HISTOJANV23!G19+HISTOFEV23!G19+HISTOMARS23!G19+HISTOAVRIL23!G19+HISTOMAI23!G19+HISTOJUIN23!G19+HISTOJUIL23!G19+HISTOAOUT23!G19+HISTOSEPT23!G19+HISTOOCT23!G19+HISTONOV23!G19+HISTODEC23!G19</f>
        <v>0</v>
      </c>
      <c r="H19" s="10" t="str">
        <f t="shared" si="0"/>
        <v>BANQUE</v>
      </c>
      <c r="I19" s="5">
        <f>HISTOJANV23!I19+HISTOFEV23!I19+HISTOMARS23!I19+HISTOAVRIL23!I19+HISTOMAI23!I19+HISTOJUIN23!I19+HISTOJUIL23!I19+HISTOAOUT23!I19+HISTOSEPT23!I19+HISTOOCT23!I19+HISTONOV23!I19+HISTODEC23!I19</f>
        <v>0</v>
      </c>
      <c r="J19" s="5">
        <f>HISTOJANV23!J19+HISTOFEV23!J19+HISTOMARS23!J19+HISTOAVRIL23!J19+HISTOMAI23!J19+HISTOJUIN23!J19+HISTOJUIL23!J19+HISTOAOUT23!J19+HISTOSEPT23!J19+HISTOOCT23!J19+HISTONOV23!J19+HISTODEC23!J19</f>
        <v>12</v>
      </c>
      <c r="K19" s="5">
        <f>HISTOJANV23!K19+HISTOFEV23!K19+HISTOMARS23!K19+HISTOAVRIL23!K19+HISTOMAI23!K19+HISTOJUIN23!K19+HISTOJUIL23!K19+HISTOAOUT23!K19+HISTOSEPT23!K19+HISTOOCT23!K19+HISTONOV23!K19+HISTODEC23!K19</f>
        <v>480000</v>
      </c>
      <c r="L19" s="5">
        <f>HISTOJANV23!L19+HISTOFEV23!L19+HISTOMARS23!L19+HISTOAVRIL23!L19+HISTOMAI23!L19+HISTOJUIN23!L19+HISTOJUIL23!L19+HISTOAOUT23!L19+HISTOSEPT23!L19+HISTOOCT23!L19+HISTONOV23!L19+HISTODEC23!L19</f>
        <v>0</v>
      </c>
      <c r="M19" s="5">
        <f>HISTOJANV23!M19+HISTOFEV23!M19+HISTOMARS23!M19+HISTOAVRIL23!M19+HISTOMAI23!M19+HISTOJUIN23!M19+HISTOJUIL23!M19+HISTOAOUT23!M19+HISTOSEPT23!M19+HISTOOCT23!M19+HISTONOV23!M19+HISTODEC23!M19</f>
        <v>0</v>
      </c>
      <c r="N19" s="5">
        <f>HISTOJANV23!N19+HISTOFEV23!N19+HISTOMARS23!N19+HISTOAVRIL23!N19+HISTOMAI23!N19+HISTOJUIN23!N19+HISTOJUIL23!N19+HISTOAOUT23!N19+HISTOSEPT23!N19+HISTOOCT23!N19+HISTONOV23!N19+HISTODEC23!N19</f>
        <v>0</v>
      </c>
      <c r="O19" s="5">
        <f>HISTOJANV23!O19+HISTOFEV23!O19+HISTOMARS23!O19+HISTOAVRIL23!O19+HISTOMAI23!O19+HISTOJUIN23!O19+HISTOJUIL23!O19+HISTOAOUT23!O19+HISTOSEPT23!O19+HISTOOCT23!O19+HISTONOV23!O19+HISTODEC23!O19</f>
        <v>0</v>
      </c>
      <c r="P19" s="5">
        <f>HISTOJANV23!P19+HISTOFEV23!P19+HISTOMARS23!P19+HISTOAVRIL23!P19+HISTOMAI23!P19+HISTOJUIN23!P19+HISTOJUIL23!P19+HISTOAOUT23!P19+HISTOSEPT23!P19+HISTOOCT23!P19+HISTONOV23!P19+HISTODEC23!P19</f>
        <v>0</v>
      </c>
      <c r="Q19" s="5">
        <f>HISTOJANV23!Q19+HISTOFEV23!Q19+HISTOMARS23!Q19+HISTOAVRIL23!Q19+HISTOMAI23!Q19+HISTOJUIN23!Q19+HISTOJUIL23!Q19+HISTOAOUT23!Q19+HISTOSEPT23!Q19+HISTOOCT23!Q19+HISTONOV23!Q19+HISTODEC23!Q19</f>
        <v>0</v>
      </c>
      <c r="R19" s="5">
        <f>HISTOJANV23!R19+HISTOFEV23!R19+HISTOMARS23!R19+HISTOAVRIL23!R19+HISTOMAI23!R19+HISTOJUIN23!R19+HISTOJUIL23!R19+HISTOAOUT23!R19+HISTOSEPT23!R19+HISTOOCT23!R19+HISTONOV23!R19+HISTODEC23!R19</f>
        <v>0</v>
      </c>
      <c r="S19" s="5">
        <f>HISTOJANV23!S19+HISTOFEV23!S19+HISTOMARS23!S19+HISTOAVRIL23!S19+HISTOMAI23!S19+HISTOJUIN23!S19+HISTOJUIL23!S19+HISTOAOUT23!S19+HISTOSEPT23!S19+HISTOOCT23!S19+HISTONOV23!S19+HISTODEC23!S19</f>
        <v>1300000</v>
      </c>
      <c r="T19" s="5" t="e">
        <f>HISTOJANV23!T19+HISTOFEV23!T19+HISTOMARS23!T19+HISTOAVRIL23!T19+HISTOMAI23!T19+HISTOJUIN23!T19+HISTOJUIL23!T19+HISTOAOUT23!T19+HISTOSEPT23!T19+HISTOOCT23!T19+HISTONOV23!T19+HISTODEC23!T19</f>
        <v>#VALUE!</v>
      </c>
      <c r="U19" s="17">
        <f t="shared" si="1"/>
        <v>1800000</v>
      </c>
      <c r="V19" s="5">
        <f>HISTOJANV23!V19+HISTOFEV23!V19+HISTOMARS23!V19+HISTOAVRIL23!V19+HISTOMAI23!V19+HISTOJUIN23!V19+HISTOJUIL23!V19+HISTOAOUT23!V19+HISTOSEPT23!V19+HISTOOCT23!V19+HISTONOV23!V19+HISTODEC23!V19</f>
        <v>20000</v>
      </c>
      <c r="W19" s="5">
        <f>HISTOJANV23!W19+HISTOFEV23!W19+HISTOMARS23!W19+HISTOAVRIL23!W19+HISTOMAI23!W19+HISTOJUIN23!W19+HISTOJUIL23!W19+HISTOAOUT23!W19+HISTOSEPT23!W19+HISTOOCT23!W19+HISTONOV23!W19+HISTODEC23!W19</f>
        <v>0</v>
      </c>
      <c r="X19" s="5">
        <f>HISTOJANV23!X19+HISTOFEV23!X19+HISTOMARS23!X19+HISTOAVRIL23!X19+HISTOMAI23!X19+HISTOJUIN23!X19+HISTOJUIL23!X19+HISTOAOUT23!X19+HISTOSEPT23!X19+HISTOOCT23!X19+HISTONOV23!X19+HISTODEC23!X19</f>
        <v>0</v>
      </c>
      <c r="Y19" s="5">
        <f>HISTOJANV23!Y19+HISTOFEV23!Y19+HISTOMARS23!Y19+HISTOAVRIL23!Y19+HISTOMAI23!Y19+HISTOJUIN23!Y19+HISTOJUIL23!Y19+HISTOAOUT23!Y19+HISTOSEPT23!Y19+HISTOOCT23!Y19+HISTONOV23!Y19+HISTODEC23!Y19</f>
        <v>0</v>
      </c>
      <c r="Z19" s="5">
        <f>HISTOJANV23!Z19+HISTOFEV23!Z19+HISTOMARS23!Z19+HISTOAVRIL23!Z19+HISTOMAI23!Z19+HISTOJUIN23!Z19+HISTOJUIL23!Z19+HISTOAOUT23!Z19+HISTOSEPT23!Z19+HISTOOCT23!Z19+HISTONOV23!Z19+HISTODEC23!Z19</f>
        <v>300000</v>
      </c>
      <c r="AA19" s="5" t="e">
        <f>HISTOJANV23!AA19+HISTOFEV23!AA19+HISTOMARS23!AA19+HISTOAVRIL23!AA19+HISTOMAI23!AA19+HISTOJUIN23!AA19+HISTOJUIL23!AA19+HISTOAOUT23!AA19+HISTOSEPT23!AA19+HISTOOCT23!AA19+HISTONOV23!AA19+HISTODEC23!AA19</f>
        <v>#VALUE!</v>
      </c>
      <c r="AB19" s="5">
        <f>HISTOJANV23!AB19+HISTOFEV23!AB19+HISTOMARS23!AB19+HISTOAVRIL23!AB19+HISTOMAI23!AB19+HISTOJUIN23!AB19+HISTOJUIL23!AB19+HISTOAOUT23!AB19+HISTOSEPT23!AB19+HISTOOCT23!AB19+HISTONOV23!AB19+HISTODEC23!AB19</f>
        <v>0</v>
      </c>
      <c r="AC19" s="5">
        <f>HISTOJANV23!AC19+HISTOFEV23!AC19+HISTOMARS23!AC19+HISTOAVRIL23!AC19+HISTOMAI23!AC19+HISTOJUIN23!AC19+HISTOJUIL23!AC19+HISTOAOUT23!AC19+HISTOSEPT23!AC19+HISTOOCT23!AC19+HISTONOV23!AC19+HISTODEC23!AC19</f>
        <v>3000</v>
      </c>
      <c r="AD19" s="5">
        <f>HISTOJANV23!AD19+HISTOFEV23!AD19+HISTOMARS23!AD19+HISTOAVRIL23!AD19+HISTOMAI23!AD19+HISTOJUIN23!AD19+HISTOJUIL23!AD19+HISTOAOUT23!AD19+HISTOSEPT23!AD19+HISTOOCT23!AD19+HISTONOV23!AD19+HISTODEC23!AD19</f>
        <v>0</v>
      </c>
      <c r="AE19" s="5">
        <f>HISTOJANV23!AE19+HISTOFEV23!AE19+HISTOMARS23!AE19+HISTOAVRIL23!AE19+HISTOMAI23!AE19+HISTOJUIN23!AE19+HISTOJUIL23!AE19+HISTOAOUT23!AE19+HISTOSEPT23!AE19+HISTOOCT23!AE19+HISTONOV23!AE19+HISTODEC23!AE19</f>
        <v>0</v>
      </c>
      <c r="AF19" s="5" t="e">
        <f>HISTOJANV23!AF19+HISTOFEV23!AF19+HISTOMARS23!AF19+HISTOAVRIL23!AF19+HISTOMAI23!AF19+HISTOJUIN23!AF19+HISTOJUIL23!AF19+HISTOAOUT23!AF19+HISTOSEPT23!AF19+HISTOOCT23!AF19+HISTONOV23!AF19+HISTODEC23!AF19</f>
        <v>#VALUE!</v>
      </c>
      <c r="AG19" s="5">
        <f>HISTOJANV23!AG19+HISTOFEV23!AG19+HISTOMARS23!AG19+HISTOAVRIL23!AG19+HISTOMAI23!AG19+HISTOJUIN23!AG19+HISTOJUIL23!AG19+HISTOAOUT23!AG19+HISTOSEPT23!AG19+HISTOOCT23!AG19+HISTONOV23!AG19+HISTODEC23!AG19</f>
        <v>0</v>
      </c>
      <c r="AH19" s="5">
        <f>HISTOJANV23!AH19+HISTOFEV23!AH19+HISTOMARS23!AH19+HISTOAVRIL23!AH19+HISTOMAI23!AH19+HISTOJUIN23!AH19+HISTOJUIL23!AH19+HISTOAOUT23!AH19+HISTOSEPT23!AH19+HISTOOCT23!AH19+HISTONOV23!AH19+HISTODEC23!AH19</f>
        <v>0</v>
      </c>
      <c r="AI19" s="5">
        <f>HISTOJANV23!AI19+HISTOFEV23!AI19+HISTOMARS23!AI19+HISTOAVRIL23!AI19+HISTOMAI23!AI19+HISTOJUIN23!AI19+HISTOJUIL23!AI19+HISTOAOUT23!AI19+HISTOSEPT23!AI19+HISTOOCT23!AI19+HISTONOV23!AI19+HISTODEC23!AI19</f>
        <v>0</v>
      </c>
      <c r="AJ19" s="5">
        <f>HISTOJANV23!AJ19+HISTOFEV23!AJ19+HISTOMARS23!AJ19+HISTOAVRIL23!AJ19+HISTOMAI23!AJ19+HISTOJUIN23!AJ19+HISTOJUIL23!AJ19+HISTOAOUT23!AJ19+HISTOSEPT23!AJ19+HISTOOCT23!AJ19+HISTONOV23!AJ19+HISTODEC23!AJ19</f>
        <v>0</v>
      </c>
      <c r="AK19" s="5">
        <f>HISTOJANV23!AK19+HISTOFEV23!AK19+HISTOMARS23!AK19+HISTOAVRIL23!AK19+HISTOMAI23!AK19+HISTOJUIN23!AK19+HISTOJUIL23!AK19+HISTOAOUT23!AK19+HISTOSEPT23!AK19+HISTOOCT23!AK19+HISTONOV23!AK19+HISTODEC23!AK19</f>
        <v>0</v>
      </c>
      <c r="AL19" s="5">
        <f>HISTOJANV23!AL19+HISTOFEV23!AL19+HISTOMARS23!AL19+HISTOAVRIL23!AL19+HISTOMAI23!AL19+HISTOJUIN23!AL19+HISTOJUIL23!AL19+HISTOAOUT23!AL19+HISTOSEPT23!AL19+HISTOOCT23!AL19+HISTONOV23!AL19+HISTODEC23!AL19</f>
        <v>0</v>
      </c>
      <c r="AM19" s="5">
        <f>HISTOJANV23!AM19+HISTOFEV23!AM19+HISTOMARS23!AM19+HISTOAVRIL23!AM19+HISTOMAI23!AM19+HISTOJUIN23!AM19+HISTOJUIL23!AM19+HISTOAOUT23!AM19+HISTOSEPT23!AM19+HISTOOCT23!AM19+HISTONOV23!AM19+HISTODEC23!AM19</f>
        <v>0</v>
      </c>
      <c r="AN19" s="5">
        <f>HISTOJANV23!AN19+HISTOFEV23!AN19+HISTOMARS23!AN19+HISTOAVRIL23!AN19+HISTOMAI23!AN19+HISTOJUIN23!AN19+HISTOJUIL23!AN19+HISTOAOUT23!AN19+HISTOSEPT23!AN19+HISTOOCT23!AN19+HISTONOV23!AN19+HISTODEC23!AN19</f>
        <v>0</v>
      </c>
      <c r="AO19" s="5">
        <f>HISTOJANV23!AO19+HISTOFEV23!AO19+HISTOMARS23!AO19+HISTOAVRIL23!AO19+HISTOMAI23!AO19+HISTOJUIN23!AO19+HISTOJUIL23!AO19+HISTOAOUT23!AO19+HISTOSEPT23!AO19+HISTOOCT23!AO19+HISTONOV23!AO19+HISTODEC23!AO19</f>
        <v>0</v>
      </c>
      <c r="AP19" s="5">
        <f>HISTOJANV23!AP19+HISTOFEV23!AP19+HISTOMARS23!AP19+HISTOAVRIL23!AP19+HISTOMAI23!AP19+HISTOJUIN23!AP19+HISTOJUIL23!AP19+HISTOAOUT23!AP19+HISTOSEPT23!AP19+HISTOOCT23!AP19+HISTONOV23!AP19+HISTODEC23!AP19</f>
        <v>0</v>
      </c>
      <c r="AQ19" s="5">
        <f>HISTOJANV23!AQ19+HISTOFEV23!AQ19+HISTOMARS23!AQ19+HISTOAVRIL23!AQ19+HISTOMAI23!AQ19+HISTOJUIN23!AQ19+HISTOJUIL23!AQ19+HISTOAOUT23!AQ19+HISTOSEPT23!AQ19+HISTOOCT23!AQ19+HISTONOV23!AQ19+HISTODEC23!AQ19</f>
        <v>0</v>
      </c>
      <c r="AR19" s="5">
        <f>HISTOJANV23!AR19+HISTOFEV23!AR19+HISTOMARS23!AR19+HISTOAVRIL23!AR19+HISTOMAI23!AR19+HISTOJUIN23!AR19+HISTOJUIL23!AR19+HISTOAOUT23!AR19+HISTOSEPT23!AR19+HISTOOCT23!AR19+HISTONOV23!AR19+HISTODEC23!AR19</f>
        <v>0</v>
      </c>
      <c r="AS19" s="5">
        <f>HISTOJANV23!AS19+HISTOFEV23!AS19+HISTOMARS23!AS19+HISTOAVRIL23!AS19+HISTOMAI23!AS19+HISTOJUIN23!AS19+HISTOJUIL23!AS19+HISTOAOUT23!AS19+HISTOSEPT23!AS19+HISTOOCT23!AS19+HISTONOV23!AS19+HISTODEC23!AS19</f>
        <v>180000</v>
      </c>
      <c r="AT19" s="5">
        <f>HISTOJANV23!AT19+HISTOFEV23!AT19+HISTOMARS23!AT19+HISTOAVRIL23!AT19+HISTOMAI23!AT19+HISTOJUIN23!AT19+HISTOJUIL23!AT19+HISTOAOUT23!AT19+HISTOSEPT23!AT19+HISTOOCT23!AT19+HISTONOV23!AT19+HISTODEC23!AT19</f>
        <v>0</v>
      </c>
      <c r="AU19" s="5">
        <f>HISTOJANV23!AU19+HISTOFEV23!AU19+HISTOMARS23!AU19+HISTOAVRIL23!AU19+HISTOMAI23!AU19+HISTOJUIN23!AU19+HISTOJUIL23!AU19+HISTOAOUT23!AU19+HISTOSEPT23!AU19+HISTOOCT23!AU19+HISTONOV23!AU19+HISTODEC23!AU19</f>
        <v>0</v>
      </c>
      <c r="AV19" s="5">
        <f>HISTOJANV23!AV19+HISTOFEV23!AV19+HISTOMARS23!AV19+HISTOAVRIL23!AV19+HISTOMAI23!AV19+HISTOJUIN23!AV19+HISTOJUIL23!AV19+HISTOAOUT23!AV19+HISTOSEPT23!AV19+HISTOOCT23!AV19+HISTONOV23!AV19+HISTODEC23!AV19</f>
        <v>0</v>
      </c>
      <c r="AW19" s="5">
        <f>HISTOJANV23!AW19+HISTOFEV23!AW19+HISTOMARS23!AW19+HISTOAVRIL23!AW19+HISTOMAI23!AW19+HISTOJUIN23!AW19+HISTOJUIL23!AW19+HISTOAOUT23!AW19+HISTOSEPT23!AW19+HISTOOCT23!AW19+HISTONOV23!AW19+HISTODEC23!AW19</f>
        <v>297000</v>
      </c>
      <c r="AX19" s="5">
        <f>HISTOJANV23!AX19+HISTOFEV23!AX19+HISTOMARS23!AX19+HISTOAVRIL23!AX19+HISTOMAI23!AX19+HISTOJUIN23!AX19+HISTOJUIL23!AX19+HISTOAOUT23!AX19+HISTOSEPT23!AX19+HISTOOCT23!AX19+HISTONOV23!AX19+HISTODEC23!AX19</f>
        <v>0</v>
      </c>
      <c r="AY19" s="5">
        <f>HISTOJANV23!AY19+HISTOFEV23!AY19+HISTOMARS23!AY19+HISTOAVRIL23!AY19+HISTOMAI23!AY19+HISTOJUIN23!AY19+HISTOJUIL23!AY19+HISTOAOUT23!AY19+HISTOSEPT23!AY19+HISTOOCT23!AY19+HISTONOV23!AY19+HISTODEC23!AY19</f>
        <v>0</v>
      </c>
      <c r="AZ19" s="5">
        <f>HISTOJANV23!AZ19+HISTOFEV23!AZ19+HISTOMARS23!AZ19+HISTOAVRIL23!AZ19+HISTOMAI23!AZ19+HISTOJUIN23!AZ19+HISTOJUIL23!AZ19+HISTOAOUT23!AZ19+HISTOSEPT23!AZ19+HISTOOCT23!AZ19+HISTONOV23!AZ19+HISTODEC23!AZ19</f>
        <v>402000</v>
      </c>
      <c r="BA19" s="5">
        <f>HISTOJANV23!BA19+HISTOFEV23!BA19+HISTOMARS23!BA19+HISTOAVRIL23!BA19+HISTOMAI23!BA19+HISTOJUIN23!BA19+HISTOJUIL23!BA19+HISTOAOUT23!BA19+HISTOSEPT23!BA19+HISTOOCT23!BA19+HISTONOV23!BA19+HISTODEC23!BA19</f>
        <v>0</v>
      </c>
      <c r="BB19" s="5">
        <f>HISTOJANV23!BB19+HISTOFEV23!BB19+HISTOMARS23!BB19+HISTOAVRIL23!BB19+HISTOMAI23!BB19+HISTOJUIN23!BB19+HISTOJUIL23!BB19+HISTOAOUT23!BB19+HISTOSEPT23!BB19+HISTOOCT23!BB19+HISTONOV23!BB19+HISTODEC23!BB19</f>
        <v>70000</v>
      </c>
      <c r="BC19" s="5">
        <f>HISTOJANV23!BC19+HISTOFEV23!BC19+HISTOMARS23!BC19+HISTOAVRIL23!BC19+HISTOMAI23!BC19+HISTOJUIN23!BC19+HISTOJUIL23!BC19+HISTOAOUT23!BC19+HISTOSEPT23!BC19+HISTOOCT23!BC19+HISTONOV23!BC19+HISTODEC23!BC19</f>
        <v>0</v>
      </c>
      <c r="BD19" s="5">
        <f>HISTOJANV23!BD19+HISTOFEV23!BD19+HISTOMARS23!BD19+HISTOAVRIL23!BD19+HISTOMAI23!BD19+HISTOJUIN23!BD19+HISTOJUIL23!BD19+HISTOAOUT23!BD19+HISTOSEPT23!BD19+HISTOOCT23!BD19+HISTONOV23!BD19+HISTODEC23!BD19</f>
        <v>402000</v>
      </c>
      <c r="BE19" s="82">
        <f>HISTOJANV23!BE19+HISTOFEV23!BE19+HISTOMARS23!BE19+HISTOAVRIL23!BE19+HISTOMAI23!BE19+HISTOJUIN23!BE19+HISTOJUIL23!BE19+HISTOAOUT23!BE19+HISTOSEPT23!BE19+HISTOOCT23!BE19+HISTONOV23!BE19+HISTODEC23!BE19</f>
        <v>402000</v>
      </c>
      <c r="BF19" s="5">
        <f>HISTOJANV23!BF19+HISTOFEV23!BF19+HISTOMARS23!BF19+HISTOAVRIL23!BF19+HISTOMAI23!BF19+HISTOJUIN23!BF19+HISTOJUIL23!BF19+HISTOAOUT23!BF19+HISTOSEPT23!BF19+HISTOOCT23!BF19+HISTONOV23!BF19+HISTODEC23!BF19</f>
        <v>12000</v>
      </c>
      <c r="BG19" s="5">
        <f>HISTOJANV23!BG19+HISTOFEV23!BG19+HISTOMARS23!BG19+HISTOAVRIL23!BG19+HISTOMAI23!BG19+HISTOJUIN23!BG19+HISTOJUIL23!BG19+HISTOAOUT23!BG19+HISTOSEPT23!BG19+HISTOOCT23!BG19+HISTONOV23!BG19+HISTODEC23!BG19</f>
        <v>74</v>
      </c>
      <c r="BH19" s="5">
        <f>HISTOJANV23!BH19+HISTOFEV23!BH19+HISTOMARS23!BH19+HISTOAVRIL23!BH19+HISTOMAI23!BH19+HISTOJUIN23!BH19+HISTOJUIL23!BH19+HISTOAOUT23!BH19+HISTOSEPT23!BH19+HISTOOCT23!BH19+HISTONOV23!BH19+HISTODEC23!BH19</f>
        <v>0</v>
      </c>
      <c r="BI19" s="5">
        <f>HISTOJANV23!BI19+HISTOFEV23!BI19+HISTOMARS23!BI19+HISTOAVRIL23!BI19+HISTOMAI23!BI19+HISTOJUIN23!BI19+HISTOJUIL23!BI19+HISTOAOUT23!BI19+HISTOSEPT23!BI19+HISTOOCT23!BI19+HISTONOV23!BI19+HISTODEC23!BI19</f>
        <v>0</v>
      </c>
      <c r="BJ19" s="5">
        <f>HISTOJANV23!BJ19+HISTOFEV23!BJ19+HISTOMARS23!BJ19+HISTOAVRIL23!BJ19+HISTOMAI23!BJ19+HISTOJUIN23!BJ19+HISTOJUIL23!BJ19+HISTOAOUT23!BJ19+HISTOSEPT23!BJ19+HISTOOCT23!BJ19+HISTONOV23!BJ19+HISTODEC23!BJ19</f>
        <v>0</v>
      </c>
      <c r="BK19" s="5">
        <f>HISTOJANV23!BK19+HISTOFEV23!BK19+HISTOMARS23!BK19+HISTOAVRIL23!BK19+HISTOMAI23!BK19+HISTOJUIN23!BK19+HISTOJUIL23!BK19+HISTOAOUT23!BK19+HISTOSEPT23!BK19+HISTOOCT23!BK19+HISTONOV23!BK19+HISTODEC23!BK19</f>
        <v>0</v>
      </c>
      <c r="BL19" s="5">
        <f>HISTOJANV23!BL19+HISTOFEV23!BL19+HISTOMARS23!BL19+HISTOAVRIL23!BL19+HISTOMAI23!BL19+HISTOJUIN23!BL19+HISTOJUIL23!BL19+HISTOAOUT23!BL19+HISTOSEPT23!BL19+HISTOOCT23!BL19+HISTONOV23!BL19+HISTODEC23!BL19</f>
        <v>0</v>
      </c>
      <c r="BM19" s="5">
        <f>HISTOJANV23!BM19+HISTOFEV23!BM19+HISTOMARS23!BM19+HISTOAVRIL23!BM19+HISTOMAI23!BM19+HISTOJUIN23!BM19+HISTOJUIL23!BM19+HISTOAOUT23!BM19+HISTOSEPT23!BM19+HISTOOCT23!BM19+HISTONOV23!BM19+HISTODEC23!BM19</f>
        <v>0</v>
      </c>
      <c r="BN19" t="s">
        <v>149</v>
      </c>
      <c r="BO19" t="s">
        <v>45</v>
      </c>
      <c r="BP19" s="5">
        <f>HISTOJANV23!BP19+HISTOFEV23!BP19+HISTOMARS23!BP19+HISTOAVRIL23!BP19+HISTOMAI23!BP19+HISTOJUIN23!BP19+HISTOJUIL23!BP19+HISTOAOUT23!BP19+HISTOSEPT23!BP19+HISTOOCT23!BP19+HISTONOV23!BP19+HISTODEC23!BP19</f>
        <v>0</v>
      </c>
    </row>
    <row r="20" spans="1:68" ht="18.75" x14ac:dyDescent="0.3">
      <c r="A20" s="1" t="s">
        <v>25</v>
      </c>
      <c r="B20" s="1" t="str">
        <f>VLOOKUP(A20,[17]LISTADHERENT!A$5:H$39,3,0)</f>
        <v>MBOGNING TUGMA GUY</v>
      </c>
      <c r="C20" s="5">
        <f>HISTOJANV23!C20+HISTOFEV23!C20+HISTOMARS23!C20+HISTOAVRIL23!C20+HISTOMAI23!C20+HISTOJUIN23!C20+HISTOJUIL23!C20+HISTOAOUT23!C20+HISTOSEPT23!C20+HISTOOCT23!C20+HISTONOV23!C20+HISTODEC23!C20</f>
        <v>93000</v>
      </c>
      <c r="D20" s="5">
        <f>HISTOJANV23!D20+HISTOFEV23!D20+HISTOMARS23!D20+HISTOAVRIL23!D20+HISTOMAI23!D20+HISTOJUIN23!D20+HISTOJUIL23!D20+HISTOAOUT23!D20+HISTOSEPT23!D20+HISTOOCT23!D20+HISTONOV23!D20+HISTODEC23!D20</f>
        <v>5010500</v>
      </c>
      <c r="E20" s="5">
        <f>HISTOJANV23!E20+HISTOFEV23!E20+HISTOMARS23!E20+HISTOAVRIL23!E20+HISTOMAI23!E20+HISTOJUIN23!E20+HISTOJUIL23!E20+HISTOAOUT23!E20+HISTOSEPT23!E20+HISTOOCT23!E20+HISTONOV23!E20+HISTODEC23!E20</f>
        <v>2044000</v>
      </c>
      <c r="F20" s="5">
        <f>HISTOJANV23!F20+HISTOFEV23!F20+HISTOMARS23!F20+HISTOAVRIL23!F20+HISTOMAI23!F20+HISTOJUIN23!F20+HISTOJUIL23!F20+HISTOAOUT23!F20+HISTOSEPT23!F20+HISTOOCT23!F20+HISTONOV23!F20+HISTODEC23!F20</f>
        <v>0</v>
      </c>
      <c r="G20" s="5">
        <f>HISTOJANV23!G20+HISTOFEV23!G20+HISTOMARS23!G20+HISTOAVRIL23!G20+HISTOMAI23!G20+HISTOJUIN23!G20+HISTOJUIL23!G20+HISTOAOUT23!G20+HISTOSEPT23!G20+HISTOOCT23!G20+HISTONOV23!G20+HISTODEC23!G20</f>
        <v>0</v>
      </c>
      <c r="H20" s="10" t="str">
        <f t="shared" si="0"/>
        <v>BANQUE</v>
      </c>
      <c r="I20" s="5">
        <f>HISTOJANV23!I20+HISTOFEV23!I20+HISTOMARS23!I20+HISTOAVRIL23!I20+HISTOMAI23!I20+HISTOJUIN23!I20+HISTOJUIL23!I20+HISTOAOUT23!I20+HISTOSEPT23!I20+HISTOOCT23!I20+HISTONOV23!I20+HISTODEC23!I20</f>
        <v>500</v>
      </c>
      <c r="J20" s="5">
        <f>HISTOJANV23!J20+HISTOFEV23!J20+HISTOMARS23!J20+HISTOAVRIL23!J20+HISTOMAI23!J20+HISTOJUIN23!J20+HISTOJUIL23!J20+HISTOAOUT23!J20+HISTOSEPT23!J20+HISTOOCT23!J20+HISTONOV23!J20+HISTODEC23!J20</f>
        <v>12</v>
      </c>
      <c r="K20" s="5">
        <f>HISTOJANV23!K20+HISTOFEV23!K20+HISTOMARS23!K20+HISTOAVRIL23!K20+HISTOMAI23!K20+HISTOJUIN23!K20+HISTOJUIL23!K20+HISTOAOUT23!K20+HISTOSEPT23!K20+HISTOOCT23!K20+HISTONOV23!K20+HISTODEC23!K20</f>
        <v>480000</v>
      </c>
      <c r="L20" s="5">
        <f>HISTOJANV23!L20+HISTOFEV23!L20+HISTOMARS23!L20+HISTOAVRIL23!L20+HISTOMAI23!L20+HISTOJUIN23!L20+HISTOJUIL23!L20+HISTOAOUT23!L20+HISTOSEPT23!L20+HISTOOCT23!L20+HISTONOV23!L20+HISTODEC23!L20</f>
        <v>12</v>
      </c>
      <c r="M20" s="5">
        <f>HISTOJANV23!M20+HISTOFEV23!M20+HISTOMARS23!M20+HISTOAVRIL23!M20+HISTOMAI23!M20+HISTOJUIN23!M20+HISTOJUIL23!M20+HISTOAOUT23!M20+HISTOSEPT23!M20+HISTOOCT23!M20+HISTONOV23!M20+HISTODEC23!M20</f>
        <v>900000</v>
      </c>
      <c r="N20" s="5">
        <f>HISTOJANV23!N20+HISTOFEV23!N20+HISTOMARS23!N20+HISTOAVRIL23!N20+HISTOMAI23!N20+HISTOJUIN23!N20+HISTOJUIL23!N20+HISTOAOUT23!N20+HISTOSEPT23!N20+HISTOOCT23!N20+HISTONOV23!N20+HISTODEC23!N20</f>
        <v>12</v>
      </c>
      <c r="O20" s="5">
        <f>HISTOJANV23!O20+HISTOFEV23!O20+HISTOMARS23!O20+HISTOAVRIL23!O20+HISTOMAI23!O20+HISTOJUIN23!O20+HISTOJUIL23!O20+HISTOAOUT23!O20+HISTOSEPT23!O20+HISTOOCT23!O20+HISTONOV23!O20+HISTODEC23!O20</f>
        <v>1200000</v>
      </c>
      <c r="P20" s="5">
        <f>HISTOJANV23!P20+HISTOFEV23!P20+HISTOMARS23!P20+HISTOAVRIL23!P20+HISTOMAI23!P20+HISTOJUIN23!P20+HISTOJUIL23!P20+HISTOAOUT23!P20+HISTOSEPT23!P20+HISTOOCT23!P20+HISTONOV23!P20+HISTODEC23!P20</f>
        <v>124000</v>
      </c>
      <c r="Q20" s="5">
        <f>HISTOJANV23!Q20+HISTOFEV23!Q20+HISTOMARS23!Q20+HISTOAVRIL23!Q20+HISTOMAI23!Q20+HISTOJUIN23!Q20+HISTOJUIL23!Q20+HISTOAOUT23!Q20+HISTOSEPT23!Q20+HISTOOCT23!Q20+HISTONOV23!Q20+HISTODEC23!Q20</f>
        <v>896000</v>
      </c>
      <c r="R20" s="5">
        <f>HISTOJANV23!R20+HISTOFEV23!R20+HISTOMARS23!R20+HISTOAVRIL23!R20+HISTOMAI23!R20+HISTOJUIN23!R20+HISTOJUIL23!R20+HISTOAOUT23!R20+HISTOSEPT23!R20+HISTOOCT23!R20+HISTONOV23!R20+HISTODEC23!R20</f>
        <v>1507500</v>
      </c>
      <c r="S20" s="5">
        <f>HISTOJANV23!S20+HISTOFEV23!S20+HISTOMARS23!S20+HISTOAVRIL23!S20+HISTOMAI23!S20+HISTOJUIN23!S20+HISTOJUIL23!S20+HISTOAOUT23!S20+HISTOSEPT23!S20+HISTOOCT23!S20+HISTONOV23!S20+HISTODEC23!S20</f>
        <v>1000000</v>
      </c>
      <c r="T20" s="5" t="e">
        <f>HISTOJANV23!T20+HISTOFEV23!T20+HISTOMARS23!T20+HISTOAVRIL23!T20+HISTOMAI23!T20+HISTOJUIN23!T20+HISTOJUIL23!T20+HISTOAOUT23!T20+HISTOSEPT23!T20+HISTOOCT23!T20+HISTONOV23!T20+HISTODEC23!T20</f>
        <v>#VALUE!</v>
      </c>
      <c r="U20" s="17">
        <f t="shared" si="1"/>
        <v>6108000</v>
      </c>
      <c r="V20" s="5">
        <f>HISTOJANV23!V20+HISTOFEV23!V20+HISTOMARS23!V20+HISTOAVRIL23!V20+HISTOMAI23!V20+HISTOJUIN23!V20+HISTOJUIL23!V20+HISTOAOUT23!V20+HISTOSEPT23!V20+HISTOOCT23!V20+HISTONOV23!V20+HISTODEC23!V20</f>
        <v>0</v>
      </c>
      <c r="W20" s="5">
        <f>HISTOJANV23!W20+HISTOFEV23!W20+HISTOMARS23!W20+HISTOAVRIL23!W20+HISTOMAI23!W20+HISTOJUIN23!W20+HISTOJUIL23!W20+HISTOAOUT23!W20+HISTOSEPT23!W20+HISTOOCT23!W20+HISTONOV23!W20+HISTODEC23!W20</f>
        <v>0</v>
      </c>
      <c r="X20" s="5">
        <f>HISTOJANV23!X20+HISTOFEV23!X20+HISTOMARS23!X20+HISTOAVRIL23!X20+HISTOMAI23!X20+HISTOJUIN23!X20+HISTOJUIL23!X20+HISTOAOUT23!X20+HISTOSEPT23!X20+HISTOOCT23!X20+HISTONOV23!X20+HISTODEC23!X20</f>
        <v>0</v>
      </c>
      <c r="Y20" s="5">
        <f>HISTOJANV23!Y20+HISTOFEV23!Y20+HISTOMARS23!Y20+HISTOAVRIL23!Y20+HISTOMAI23!Y20+HISTOJUIN23!Y20+HISTOJUIL23!Y20+HISTOAOUT23!Y20+HISTOSEPT23!Y20+HISTOOCT23!Y20+HISTONOV23!Y20+HISTODEC23!Y20</f>
        <v>0</v>
      </c>
      <c r="Z20" s="5">
        <f>HISTOJANV23!Z20+HISTOFEV23!Z20+HISTOMARS23!Z20+HISTOAVRIL23!Z20+HISTOMAI23!Z20+HISTOJUIN23!Z20+HISTOJUIL23!Z20+HISTOAOUT23!Z20+HISTOSEPT23!Z20+HISTOOCT23!Z20+HISTONOV23!Z20+HISTODEC23!Z20</f>
        <v>1000000</v>
      </c>
      <c r="AA20" s="5" t="e">
        <f>HISTOJANV23!AA20+HISTOFEV23!AA20+HISTOMARS23!AA20+HISTOAVRIL23!AA20+HISTOMAI23!AA20+HISTOJUIN23!AA20+HISTOJUIL23!AA20+HISTOAOUT23!AA20+HISTOSEPT23!AA20+HISTOOCT23!AA20+HISTONOV23!AA20+HISTODEC23!AA20</f>
        <v>#VALUE!</v>
      </c>
      <c r="AB20" s="5">
        <f>HISTOJANV23!AB20+HISTOFEV23!AB20+HISTOMARS23!AB20+HISTOAVRIL23!AB20+HISTOMAI23!AB20+HISTOJUIN23!AB20+HISTOJUIL23!AB20+HISTOAOUT23!AB20+HISTOSEPT23!AB20+HISTOOCT23!AB20+HISTONOV23!AB20+HISTODEC23!AB20</f>
        <v>0</v>
      </c>
      <c r="AC20" s="5">
        <f>HISTOJANV23!AC20+HISTOFEV23!AC20+HISTOMARS23!AC20+HISTOAVRIL23!AC20+HISTOMAI23!AC20+HISTOJUIN23!AC20+HISTOJUIL23!AC20+HISTOAOUT23!AC20+HISTOSEPT23!AC20+HISTOOCT23!AC20+HISTONOV23!AC20+HISTODEC23!AC20</f>
        <v>11000</v>
      </c>
      <c r="AD20" s="5">
        <f>HISTOJANV23!AD20+HISTOFEV23!AD20+HISTOMARS23!AD20+HISTOAVRIL23!AD20+HISTOMAI23!AD20+HISTOJUIN23!AD20+HISTOJUIL23!AD20+HISTOAOUT23!AD20+HISTOSEPT23!AD20+HISTOOCT23!AD20+HISTONOV23!AD20+HISTODEC23!AD20</f>
        <v>22000</v>
      </c>
      <c r="AE20" s="5">
        <f>HISTOJANV23!AE20+HISTOFEV23!AE20+HISTOMARS23!AE20+HISTOAVRIL23!AE20+HISTOMAI23!AE20+HISTOJUIN23!AE20+HISTOJUIL23!AE20+HISTOAOUT23!AE20+HISTOSEPT23!AE20+HISTOOCT23!AE20+HISTONOV23!AE20+HISTODEC23!AE20</f>
        <v>125000</v>
      </c>
      <c r="AF20" s="5" t="e">
        <f>HISTOJANV23!AF20+HISTOFEV23!AF20+HISTOMARS23!AF20+HISTOAVRIL23!AF20+HISTOMAI23!AF20+HISTOJUIN23!AF20+HISTOJUIL23!AF20+HISTOAOUT23!AF20+HISTOSEPT23!AF20+HISTOOCT23!AF20+HISTONOV23!AF20+HISTODEC23!AF20</f>
        <v>#VALUE!</v>
      </c>
      <c r="AG20" s="5">
        <f>HISTOJANV23!AG20+HISTOFEV23!AG20+HISTOMARS23!AG20+HISTOAVRIL23!AG20+HISTOMAI23!AG20+HISTOJUIN23!AG20+HISTOJUIL23!AG20+HISTOAOUT23!AG20+HISTOSEPT23!AG20+HISTOOCT23!AG20+HISTONOV23!AG20+HISTODEC23!AG20</f>
        <v>0</v>
      </c>
      <c r="AH20" s="5">
        <f>HISTOJANV23!AH20+HISTOFEV23!AH20+HISTOMARS23!AH20+HISTOAVRIL23!AH20+HISTOMAI23!AH20+HISTOJUIN23!AH20+HISTOJUIL23!AH20+HISTOAOUT23!AH20+HISTOSEPT23!AH20+HISTOOCT23!AH20+HISTONOV23!AH20+HISTODEC23!AH20</f>
        <v>0</v>
      </c>
      <c r="AI20" s="5">
        <f>HISTOJANV23!AI20+HISTOFEV23!AI20+HISTOMARS23!AI20+HISTOAVRIL23!AI20+HISTOMAI23!AI20+HISTOJUIN23!AI20+HISTOJUIL23!AI20+HISTOAOUT23!AI20+HISTOSEPT23!AI20+HISTOOCT23!AI20+HISTONOV23!AI20+HISTODEC23!AI20</f>
        <v>121500</v>
      </c>
      <c r="AJ20" s="5">
        <f>HISTOJANV23!AJ20+HISTOFEV23!AJ20+HISTOMARS23!AJ20+HISTOAVRIL23!AJ20+HISTOMAI23!AJ20+HISTOJUIN23!AJ20+HISTOJUIL23!AJ20+HISTOAOUT23!AJ20+HISTOSEPT23!AJ20+HISTOOCT23!AJ20+HISTONOV23!AJ20+HISTODEC23!AJ20</f>
        <v>883000</v>
      </c>
      <c r="AK20" s="5">
        <f>HISTOJANV23!AK20+HISTOFEV23!AK20+HISTOMARS23!AK20+HISTOAVRIL23!AK20+HISTOMAI23!AK20+HISTOJUIN23!AK20+HISTOJUIL23!AK20+HISTOAOUT23!AK20+HISTOSEPT23!AK20+HISTOOCT23!AK20+HISTONOV23!AK20+HISTODEC23!AK20</f>
        <v>1491500</v>
      </c>
      <c r="AL20" s="5">
        <f>HISTOJANV23!AL20+HISTOFEV23!AL20+HISTOMARS23!AL20+HISTOAVRIL23!AL20+HISTOMAI23!AL20+HISTOJUIN23!AL20+HISTOJUIL23!AL20+HISTOAOUT23!AL20+HISTOSEPT23!AL20+HISTOOCT23!AL20+HISTONOV23!AL20+HISTODEC23!AL20</f>
        <v>2500</v>
      </c>
      <c r="AM20" s="5">
        <f>HISTOJANV23!AM20+HISTOFEV23!AM20+HISTOMARS23!AM20+HISTOAVRIL23!AM20+HISTOMAI23!AM20+HISTOJUIN23!AM20+HISTOJUIL23!AM20+HISTOAOUT23!AM20+HISTOSEPT23!AM20+HISTOOCT23!AM20+HISTONOV23!AM20+HISTODEC23!AM20</f>
        <v>13000</v>
      </c>
      <c r="AN20" s="5">
        <f>HISTOJANV23!AN20+HISTOFEV23!AN20+HISTOMARS23!AN20+HISTOAVRIL23!AN20+HISTOMAI23!AN20+HISTOJUIN23!AN20+HISTOJUIL23!AN20+HISTOAOUT23!AN20+HISTOSEPT23!AN20+HISTOOCT23!AN20+HISTONOV23!AN20+HISTODEC23!AN20</f>
        <v>16000</v>
      </c>
      <c r="AO20" s="5">
        <f>HISTOJANV23!AO20+HISTOFEV23!AO20+HISTOMARS23!AO20+HISTOAVRIL23!AO20+HISTOMAI23!AO20+HISTOJUIN23!AO20+HISTOJUIL23!AO20+HISTOAOUT23!AO20+HISTOSEPT23!AO20+HISTOOCT23!AO20+HISTONOV23!AO20+HISTODEC23!AO20</f>
        <v>0</v>
      </c>
      <c r="AP20" s="5" t="e">
        <f>HISTOJANV23!AP20+HISTOFEV23!AP20+HISTOMARS23!AP20+HISTOAVRIL23!AP20+HISTOMAI23!AP20+HISTOJUIN23!AP20+HISTOJUIL23!AP20+HISTOAOUT23!AP20+HISTOSEPT23!AP20+HISTOOCT23!AP20+HISTONOV23!AP20+HISTODEC23!AP20</f>
        <v>#VALUE!</v>
      </c>
      <c r="AQ20" s="5">
        <f>HISTOJANV23!AQ20+HISTOFEV23!AQ20+HISTOMARS23!AQ20+HISTOAVRIL23!AQ20+HISTOMAI23!AQ20+HISTOJUIN23!AQ20+HISTOJUIL23!AQ20+HISTOAOUT23!AQ20+HISTOSEPT23!AQ20+HISTOOCT23!AQ20+HISTONOV23!AQ20+HISTODEC23!AQ20</f>
        <v>0</v>
      </c>
      <c r="AR20" s="5">
        <f>HISTOJANV23!AR20+HISTOFEV23!AR20+HISTOMARS23!AR20+HISTOAVRIL23!AR20+HISTOMAI23!AR20+HISTOJUIN23!AR20+HISTOJUIL23!AR20+HISTOAOUT23!AR20+HISTOSEPT23!AR20+HISTOOCT23!AR20+HISTONOV23!AR20+HISTODEC23!AR20</f>
        <v>0</v>
      </c>
      <c r="AS20" s="5">
        <f>HISTOJANV23!AS20+HISTOFEV23!AS20+HISTOMARS23!AS20+HISTOAVRIL23!AS20+HISTOMAI23!AS20+HISTOJUIN23!AS20+HISTOJUIL23!AS20+HISTOAOUT23!AS20+HISTOSEPT23!AS20+HISTOOCT23!AS20+HISTONOV23!AS20+HISTODEC23!AS20</f>
        <v>180500</v>
      </c>
      <c r="AT20" s="5">
        <f>HISTOJANV23!AT20+HISTOFEV23!AT20+HISTOMARS23!AT20+HISTOAVRIL23!AT20+HISTOMAI23!AT20+HISTOJUIN23!AT20+HISTOJUIL23!AT20+HISTOAOUT23!AT20+HISTOSEPT23!AT20+HISTOOCT23!AT20+HISTONOV23!AT20+HISTODEC23!AT20</f>
        <v>0</v>
      </c>
      <c r="AU20" s="5">
        <f>HISTOJANV23!AU20+HISTOFEV23!AU20+HISTOMARS23!AU20+HISTOAVRIL23!AU20+HISTOMAI23!AU20+HISTOJUIN23!AU20+HISTOJUIL23!AU20+HISTOAOUT23!AU20+HISTOSEPT23!AU20+HISTOOCT23!AU20+HISTONOV23!AU20+HISTODEC23!AU20</f>
        <v>0</v>
      </c>
      <c r="AV20" s="5">
        <f>HISTOJANV23!AV20+HISTOFEV23!AV20+HISTOMARS23!AV20+HISTOAVRIL23!AV20+HISTOMAI23!AV20+HISTOJUIN23!AV20+HISTOJUIL23!AV20+HISTOAOUT23!AV20+HISTOSEPT23!AV20+HISTOOCT23!AV20+HISTONOV23!AV20+HISTODEC23!AV20</f>
        <v>0</v>
      </c>
      <c r="AW20" s="5">
        <f>HISTOJANV23!AW20+HISTOFEV23!AW20+HISTOMARS23!AW20+HISTOAVRIL23!AW20+HISTOMAI23!AW20+HISTOJUIN23!AW20+HISTOJUIL23!AW20+HISTOAOUT23!AW20+HISTOSEPT23!AW20+HISTOOCT23!AW20+HISTONOV23!AW20+HISTODEC23!AW20</f>
        <v>410500</v>
      </c>
      <c r="AX20" s="5">
        <f>HISTOJANV23!AX20+HISTOFEV23!AX20+HISTOMARS23!AX20+HISTOAVRIL23!AX20+HISTOMAI23!AX20+HISTOJUIN23!AX20+HISTOJUIL23!AX20+HISTOAOUT23!AX20+HISTOSEPT23!AX20+HISTOOCT23!AX20+HISTONOV23!AX20+HISTODEC23!AX20</f>
        <v>1761000</v>
      </c>
      <c r="AY20" s="5">
        <f>HISTOJANV23!AY20+HISTOFEV23!AY20+HISTOMARS23!AY20+HISTOAVRIL23!AY20+HISTOMAI23!AY20+HISTOJUIN23!AY20+HISTOJUIL23!AY20+HISTOAOUT23!AY20+HISTOSEPT23!AY20+HISTOOCT23!AY20+HISTONOV23!AY20+HISTODEC23!AY20</f>
        <v>2566500</v>
      </c>
      <c r="AZ20" s="5">
        <f>HISTOJANV23!AZ20+HISTOFEV23!AZ20+HISTOMARS23!AZ20+HISTOAVRIL23!AZ20+HISTOMAI23!AZ20+HISTOJUIN23!AZ20+HISTOJUIL23!AZ20+HISTOAOUT23!AZ20+HISTOSEPT23!AZ20+HISTOOCT23!AZ20+HISTONOV23!AZ20+HISTODEC23!AZ20</f>
        <v>4673000</v>
      </c>
      <c r="BA20" s="5">
        <f>HISTOJANV23!BA20+HISTOFEV23!BA20+HISTOMARS23!BA20+HISTOAVRIL23!BA20+HISTOMAI23!BA20+HISTOJUIN23!BA20+HISTOJUIL23!BA20+HISTOAOUT23!BA20+HISTOSEPT23!BA20+HISTOOCT23!BA20+HISTONOV23!BA20+HISTODEC23!BA20</f>
        <v>748000</v>
      </c>
      <c r="BB20" s="5">
        <f>HISTOJANV23!BB20+HISTOFEV23!BB20+HISTOMARS23!BB20+HISTOAVRIL23!BB20+HISTOMAI23!BB20+HISTOJUIN23!BB20+HISTOJUIL23!BB20+HISTOAOUT23!BB20+HISTOSEPT23!BB20+HISTOOCT23!BB20+HISTONOV23!BB20+HISTODEC23!BB20</f>
        <v>70000</v>
      </c>
      <c r="BC20" s="5">
        <f>HISTOJANV23!BC20+HISTOFEV23!BC20+HISTOMARS23!BC20+HISTOAVRIL23!BC20+HISTOMAI23!BC20+HISTOJUIN23!BC20+HISTOJUIL23!BC20+HISTOAOUT23!BC20+HISTOSEPT23!BC20+HISTOOCT23!BC20+HISTONOV23!BC20+HISTODEC23!BC20</f>
        <v>0</v>
      </c>
      <c r="BD20" s="5">
        <f>HISTOJANV23!BD20+HISTOFEV23!BD20+HISTOMARS23!BD20+HISTOAVRIL23!BD20+HISTOMAI23!BD20+HISTOJUIN23!BD20+HISTOJUIL23!BD20+HISTOAOUT23!BD20+HISTOSEPT23!BD20+HISTOOCT23!BD20+HISTONOV23!BD20+HISTODEC23!BD20</f>
        <v>3855000</v>
      </c>
      <c r="BE20" s="82">
        <f>HISTOJANV23!BE20+HISTOFEV23!BE20+HISTOMARS23!BE20+HISTOAVRIL23!BE20+HISTOMAI23!BE20+HISTOJUIN23!BE20+HISTOJUIL23!BE20+HISTOAOUT23!BE20+HISTOSEPT23!BE20+HISTOOCT23!BE20+HISTONOV23!BE20+HISTODEC23!BE20</f>
        <v>2676000</v>
      </c>
      <c r="BF20" s="5">
        <f>HISTOJANV23!BF20+HISTOFEV23!BF20+HISTOMARS23!BF20+HISTOAVRIL23!BF20+HISTOMAI23!BF20+HISTOJUIN23!BF20+HISTOJUIL23!BF20+HISTOAOUT23!BF20+HISTOSEPT23!BF20+HISTOOCT23!BF20+HISTONOV23!BF20+HISTODEC23!BF20</f>
        <v>60000</v>
      </c>
      <c r="BG20" s="5">
        <f>HISTOJANV23!BG20+HISTOFEV23!BG20+HISTOMARS23!BG20+HISTOAVRIL23!BG20+HISTOMAI23!BG20+HISTOJUIN23!BG20+HISTOJUIL23!BG20+HISTOAOUT23!BG20+HISTOSEPT23!BG20+HISTOOCT23!BG20+HISTONOV23!BG20+HISTODEC23!BG20</f>
        <v>72</v>
      </c>
      <c r="BH20" s="5">
        <f>HISTOJANV23!BH20+HISTOFEV23!BH20+HISTOMARS23!BH20+HISTOAVRIL23!BH20+HISTOMAI23!BH20+HISTOJUIN23!BH20+HISTOJUIL23!BH20+HISTOAOUT23!BH20+HISTOSEPT23!BH20+HISTOOCT23!BH20+HISTONOV23!BH20+HISTODEC23!BH20</f>
        <v>0</v>
      </c>
      <c r="BI20" s="5">
        <f>HISTOJANV23!BI20+HISTOFEV23!BI20+HISTOMARS23!BI20+HISTOAVRIL23!BI20+HISTOMAI23!BI20+HISTOJUIN23!BI20+HISTOJUIL23!BI20+HISTOAOUT23!BI20+HISTOSEPT23!BI20+HISTOOCT23!BI20+HISTONOV23!BI20+HISTODEC23!BI20</f>
        <v>0</v>
      </c>
      <c r="BJ20" s="5">
        <f>HISTOJANV23!BJ20+HISTOFEV23!BJ20+HISTOMARS23!BJ20+HISTOAVRIL23!BJ20+HISTOMAI23!BJ20+HISTOJUIN23!BJ20+HISTOJUIL23!BJ20+HISTOAOUT23!BJ20+HISTOSEPT23!BJ20+HISTOOCT23!BJ20+HISTONOV23!BJ20+HISTODEC23!BJ20</f>
        <v>0</v>
      </c>
      <c r="BK20" s="5">
        <f>HISTOJANV23!BK20+HISTOFEV23!BK20+HISTOMARS23!BK20+HISTOAVRIL23!BK20+HISTOMAI23!BK20+HISTOJUIN23!BK20+HISTOJUIL23!BK20+HISTOAOUT23!BK20+HISTOSEPT23!BK20+HISTOOCT23!BK20+HISTONOV23!BK20+HISTODEC23!BK20</f>
        <v>0</v>
      </c>
      <c r="BL20" s="5">
        <f>HISTOJANV23!BL20+HISTOFEV23!BL20+HISTOMARS23!BL20+HISTOAVRIL23!BL20+HISTOMAI23!BL20+HISTOJUIN23!BL20+HISTOJUIL23!BL20+HISTOAOUT23!BL20+HISTOSEPT23!BL20+HISTOOCT23!BL20+HISTONOV23!BL20+HISTODEC23!BL20</f>
        <v>0</v>
      </c>
      <c r="BM20" s="5">
        <f>HISTOJANV23!BM20+HISTOFEV23!BM20+HISTOMARS23!BM20+HISTOAVRIL23!BM20+HISTOMAI23!BM20+HISTOJUIN23!BM20+HISTOJUIL23!BM20+HISTOAOUT23!BM20+HISTOSEPT23!BM20+HISTOOCT23!BM20+HISTONOV23!BM20+HISTODEC23!BM20</f>
        <v>0</v>
      </c>
      <c r="BP20" s="6"/>
    </row>
    <row r="21" spans="1:68" ht="18.75" x14ac:dyDescent="0.3">
      <c r="A21" s="1" t="s">
        <v>26</v>
      </c>
      <c r="B21" s="1" t="str">
        <f>VLOOKUP(A21,[17]LISTADHERENT!A$5:H$39,3,0)</f>
        <v>NANGUEN MARTIN</v>
      </c>
      <c r="C21" s="5">
        <f>HISTOJANV23!C21+HISTOFEV23!C21+HISTOMARS23!C21+HISTOAVRIL23!C21+HISTOMAI23!C21+HISTOJUIN23!C21+HISTOJUIL23!C21+HISTOAOUT23!C21+HISTOSEPT23!C21+HISTOOCT23!C21+HISTONOV23!C21+HISTODEC23!C21</f>
        <v>0</v>
      </c>
      <c r="D21" s="5">
        <f>HISTOJANV23!D21+HISTOFEV23!D21+HISTOMARS23!D21+HISTOAVRIL23!D21+HISTOMAI23!D21+HISTOJUIN23!D21+HISTOJUIL23!D21+HISTOAOUT23!D21+HISTOSEPT23!D21+HISTOOCT23!D21+HISTONOV23!D21+HISTODEC23!D21</f>
        <v>980000</v>
      </c>
      <c r="E21" s="5">
        <f>HISTOJANV23!E21+HISTOFEV23!E21+HISTOMARS23!E21+HISTOAVRIL23!E21+HISTOMAI23!E21+HISTOJUIN23!E21+HISTOJUIL23!E21+HISTOAOUT23!E21+HISTOSEPT23!E21+HISTOOCT23!E21+HISTONOV23!E21+HISTODEC23!E21</f>
        <v>0</v>
      </c>
      <c r="F21" s="5">
        <f>HISTOJANV23!F21+HISTOFEV23!F21+HISTOMARS23!F21+HISTOAVRIL23!F21+HISTOMAI23!F21+HISTOJUIN23!F21+HISTOJUIL23!F21+HISTOAOUT23!F21+HISTOSEPT23!F21+HISTOOCT23!F21+HISTONOV23!F21+HISTODEC23!F21</f>
        <v>70000</v>
      </c>
      <c r="G21" s="5">
        <f>HISTOJANV23!G21+HISTOFEV23!G21+HISTOMARS23!G21+HISTOAVRIL23!G21+HISTOMAI23!G21+HISTOJUIN23!G21+HISTOJUIL23!G21+HISTOAOUT23!G21+HISTOSEPT23!G21+HISTOOCT23!G21+HISTONOV23!G21+HISTODEC23!G21</f>
        <v>0</v>
      </c>
      <c r="H21" s="10" t="str">
        <f t="shared" si="0"/>
        <v>BANQUE</v>
      </c>
      <c r="I21" s="5">
        <f>HISTOJANV23!I21+HISTOFEV23!I21+HISTOMARS23!I21+HISTOAVRIL23!I21+HISTOMAI23!I21+HISTOJUIN23!I21+HISTOJUIL23!I21+HISTOAOUT23!I21+HISTOSEPT23!I21+HISTOOCT23!I21+HISTONOV23!I21+HISTODEC23!I21</f>
        <v>0</v>
      </c>
      <c r="J21" s="5">
        <f>HISTOJANV23!J21+HISTOFEV23!J21+HISTOMARS23!J21+HISTOAVRIL23!J21+HISTOMAI23!J21+HISTOJUIN23!J21+HISTOJUIL23!J21+HISTOAOUT23!J21+HISTOSEPT23!J21+HISTOOCT23!J21+HISTONOV23!J21+HISTODEC23!J21</f>
        <v>12</v>
      </c>
      <c r="K21" s="5">
        <f>HISTOJANV23!K21+HISTOFEV23!K21+HISTOMARS23!K21+HISTOAVRIL23!K21+HISTOMAI23!K21+HISTOJUIN23!K21+HISTOJUIL23!K21+HISTOAOUT23!K21+HISTOSEPT23!K21+HISTOOCT23!K21+HISTONOV23!K21+HISTODEC23!K21</f>
        <v>480000</v>
      </c>
      <c r="L21" s="5">
        <f>HISTOJANV23!L21+HISTOFEV23!L21+HISTOMARS23!L21+HISTOAVRIL23!L21+HISTOMAI23!L21+HISTOJUIN23!L21+HISTOJUIL23!L21+HISTOAOUT23!L21+HISTOSEPT23!L21+HISTOOCT23!L21+HISTONOV23!L21+HISTODEC23!L21</f>
        <v>0</v>
      </c>
      <c r="M21" s="5">
        <f>HISTOJANV23!M21+HISTOFEV23!M21+HISTOMARS23!M21+HISTOAVRIL23!M21+HISTOMAI23!M21+HISTOJUIN23!M21+HISTOJUIL23!M21+HISTOAOUT23!M21+HISTOSEPT23!M21+HISTOOCT23!M21+HISTONOV23!M21+HISTODEC23!M21</f>
        <v>0</v>
      </c>
      <c r="N21" s="5">
        <f>HISTOJANV23!N21+HISTOFEV23!N21+HISTOMARS23!N21+HISTOAVRIL23!N21+HISTOMAI23!N21+HISTOJUIN23!N21+HISTOJUIL23!N21+HISTOAOUT23!N21+HISTOSEPT23!N21+HISTOOCT23!N21+HISTONOV23!N21+HISTODEC23!N21</f>
        <v>0</v>
      </c>
      <c r="O21" s="5">
        <f>HISTOJANV23!O21+HISTOFEV23!O21+HISTOMARS23!O21+HISTOAVRIL23!O21+HISTOMAI23!O21+HISTOJUIN23!O21+HISTOJUIL23!O21+HISTOAOUT23!O21+HISTOSEPT23!O21+HISTOOCT23!O21+HISTONOV23!O21+HISTODEC23!O21</f>
        <v>0</v>
      </c>
      <c r="P21" s="5">
        <f>HISTOJANV23!P21+HISTOFEV23!P21+HISTOMARS23!P21+HISTOAVRIL23!P21+HISTOMAI23!P21+HISTOJUIN23!P21+HISTOJUIL23!P21+HISTOAOUT23!P21+HISTOSEPT23!P21+HISTOOCT23!P21+HISTONOV23!P21+HISTODEC23!P21</f>
        <v>0</v>
      </c>
      <c r="Q21" s="5">
        <f>HISTOJANV23!Q21+HISTOFEV23!Q21+HISTOMARS23!Q21+HISTOAVRIL23!Q21+HISTOMAI23!Q21+HISTOJUIN23!Q21+HISTOJUIL23!Q21+HISTOAOUT23!Q21+HISTOSEPT23!Q21+HISTOOCT23!Q21+HISTONOV23!Q21+HISTODEC23!Q21</f>
        <v>0</v>
      </c>
      <c r="R21" s="5">
        <f>HISTOJANV23!R21+HISTOFEV23!R21+HISTOMARS23!R21+HISTOAVRIL23!R21+HISTOMAI23!R21+HISTOJUIN23!R21+HISTOJUIL23!R21+HISTOAOUT23!R21+HISTOSEPT23!R21+HISTOOCT23!R21+HISTONOV23!R21+HISTODEC23!R21</f>
        <v>0</v>
      </c>
      <c r="S21" s="5">
        <f>HISTOJANV23!S21+HISTOFEV23!S21+HISTOMARS23!S21+HISTOAVRIL23!S21+HISTOMAI23!S21+HISTOJUIN23!S21+HISTOJUIL23!S21+HISTOAOUT23!S21+HISTOSEPT23!S21+HISTOOCT23!S21+HISTONOV23!S21+HISTODEC23!S21</f>
        <v>500000</v>
      </c>
      <c r="T21" s="5" t="e">
        <f>HISTOJANV23!T21+HISTOFEV23!T21+HISTOMARS23!T21+HISTOAVRIL23!T21+HISTOMAI23!T21+HISTOJUIN23!T21+HISTOJUIL23!T21+HISTOAOUT23!T21+HISTOSEPT23!T21+HISTOOCT23!T21+HISTONOV23!T21+HISTODEC23!T21</f>
        <v>#VALUE!</v>
      </c>
      <c r="U21" s="17">
        <f t="shared" si="1"/>
        <v>980000</v>
      </c>
      <c r="V21" s="5">
        <f>HISTOJANV23!V21+HISTOFEV23!V21+HISTOMARS23!V21+HISTOAVRIL23!V21+HISTOMAI23!V21+HISTOJUIN23!V21+HISTOJUIL23!V21+HISTOAOUT23!V21+HISTOSEPT23!V21+HISTOOCT23!V21+HISTONOV23!V21+HISTODEC23!V21</f>
        <v>0</v>
      </c>
      <c r="W21" s="5">
        <f>HISTOJANV23!W21+HISTOFEV23!W21+HISTOMARS23!W21+HISTOAVRIL23!W21+HISTOMAI23!W21+HISTOJUIN23!W21+HISTOJUIL23!W21+HISTOAOUT23!W21+HISTOSEPT23!W21+HISTOOCT23!W21+HISTONOV23!W21+HISTODEC23!W21</f>
        <v>0</v>
      </c>
      <c r="X21" s="5">
        <f>HISTOJANV23!X21+HISTOFEV23!X21+HISTOMARS23!X21+HISTOAVRIL23!X21+HISTOMAI23!X21+HISTOJUIN23!X21+HISTOJUIL23!X21+HISTOAOUT23!X21+HISTOSEPT23!X21+HISTOOCT23!X21+HISTONOV23!X21+HISTODEC23!X21</f>
        <v>0</v>
      </c>
      <c r="Y21" s="5">
        <f>HISTOJANV23!Y21+HISTOFEV23!Y21+HISTOMARS23!Y21+HISTOAVRIL23!Y21+HISTOMAI23!Y21+HISTOJUIN23!Y21+HISTOJUIL23!Y21+HISTOAOUT23!Y21+HISTOSEPT23!Y21+HISTOOCT23!Y21+HISTONOV23!Y21+HISTODEC23!Y21</f>
        <v>0</v>
      </c>
      <c r="Z21" s="5">
        <f>HISTOJANV23!Z21+HISTOFEV23!Z21+HISTOMARS23!Z21+HISTOAVRIL23!Z21+HISTOMAI23!Z21+HISTOJUIN23!Z21+HISTOJUIL23!Z21+HISTOAOUT23!Z21+HISTOSEPT23!Z21+HISTOOCT23!Z21+HISTONOV23!Z21+HISTODEC23!Z21</f>
        <v>300000</v>
      </c>
      <c r="AA21" s="5" t="e">
        <f>HISTOJANV23!AA21+HISTOFEV23!AA21+HISTOMARS23!AA21+HISTOAVRIL23!AA21+HISTOMAI23!AA21+HISTOJUIN23!AA21+HISTOJUIL23!AA21+HISTOAOUT23!AA21+HISTOSEPT23!AA21+HISTOOCT23!AA21+HISTONOV23!AA21+HISTODEC23!AA21</f>
        <v>#VALUE!</v>
      </c>
      <c r="AB21" s="5">
        <f>HISTOJANV23!AB21+HISTOFEV23!AB21+HISTOMARS23!AB21+HISTOAVRIL23!AB21+HISTOMAI23!AB21+HISTOJUIN23!AB21+HISTOJUIL23!AB21+HISTOAOUT23!AB21+HISTOSEPT23!AB21+HISTOOCT23!AB21+HISTONOV23!AB21+HISTODEC23!AB21</f>
        <v>0</v>
      </c>
      <c r="AC21" s="5">
        <f>HISTOJANV23!AC21+HISTOFEV23!AC21+HISTOMARS23!AC21+HISTOAVRIL23!AC21+HISTOMAI23!AC21+HISTOJUIN23!AC21+HISTOJUIL23!AC21+HISTOAOUT23!AC21+HISTOSEPT23!AC21+HISTOOCT23!AC21+HISTONOV23!AC21+HISTODEC23!AC21</f>
        <v>2500</v>
      </c>
      <c r="AD21" s="5">
        <f>HISTOJANV23!AD21+HISTOFEV23!AD21+HISTOMARS23!AD21+HISTOAVRIL23!AD21+HISTOMAI23!AD21+HISTOJUIN23!AD21+HISTOJUIL23!AD21+HISTOAOUT23!AD21+HISTOSEPT23!AD21+HISTOOCT23!AD21+HISTONOV23!AD21+HISTODEC23!AD21</f>
        <v>0</v>
      </c>
      <c r="AE21" s="5">
        <f>HISTOJANV23!AE21+HISTOFEV23!AE21+HISTOMARS23!AE21+HISTOAVRIL23!AE21+HISTOMAI23!AE21+HISTOJUIN23!AE21+HISTOJUIL23!AE21+HISTOAOUT23!AE21+HISTOSEPT23!AE21+HISTOOCT23!AE21+HISTONOV23!AE21+HISTODEC23!AE21</f>
        <v>0</v>
      </c>
      <c r="AF21" s="5" t="e">
        <f>HISTOJANV23!AF21+HISTOFEV23!AF21+HISTOMARS23!AF21+HISTOAVRIL23!AF21+HISTOMAI23!AF21+HISTOJUIN23!AF21+HISTOJUIL23!AF21+HISTOAOUT23!AF21+HISTOSEPT23!AF21+HISTOOCT23!AF21+HISTONOV23!AF21+HISTODEC23!AF21</f>
        <v>#VALUE!</v>
      </c>
      <c r="AG21" s="5">
        <f>HISTOJANV23!AG21+HISTOFEV23!AG21+HISTOMARS23!AG21+HISTOAVRIL23!AG21+HISTOMAI23!AG21+HISTOJUIN23!AG21+HISTOJUIL23!AG21+HISTOAOUT23!AG21+HISTOSEPT23!AG21+HISTOOCT23!AG21+HISTONOV23!AG21+HISTODEC23!AG21</f>
        <v>0</v>
      </c>
      <c r="AH21" s="5">
        <f>HISTOJANV23!AH21+HISTOFEV23!AH21+HISTOMARS23!AH21+HISTOAVRIL23!AH21+HISTOMAI23!AH21+HISTOJUIN23!AH21+HISTOJUIL23!AH21+HISTOAOUT23!AH21+HISTOSEPT23!AH21+HISTOOCT23!AH21+HISTONOV23!AH21+HISTODEC23!AH21</f>
        <v>0</v>
      </c>
      <c r="AI21" s="5">
        <f>HISTOJANV23!AI21+HISTOFEV23!AI21+HISTOMARS23!AI21+HISTOAVRIL23!AI21+HISTOMAI23!AI21+HISTOJUIN23!AI21+HISTOJUIL23!AI21+HISTOAOUT23!AI21+HISTOSEPT23!AI21+HISTOOCT23!AI21+HISTONOV23!AI21+HISTODEC23!AI21</f>
        <v>0</v>
      </c>
      <c r="AJ21" s="5">
        <f>HISTOJANV23!AJ21+HISTOFEV23!AJ21+HISTOMARS23!AJ21+HISTOAVRIL23!AJ21+HISTOMAI23!AJ21+HISTOJUIN23!AJ21+HISTOJUIL23!AJ21+HISTOAOUT23!AJ21+HISTOSEPT23!AJ21+HISTOOCT23!AJ21+HISTONOV23!AJ21+HISTODEC23!AJ21</f>
        <v>0</v>
      </c>
      <c r="AK21" s="5">
        <f>HISTOJANV23!AK21+HISTOFEV23!AK21+HISTOMARS23!AK21+HISTOAVRIL23!AK21+HISTOMAI23!AK21+HISTOJUIN23!AK21+HISTOJUIL23!AK21+HISTOAOUT23!AK21+HISTOSEPT23!AK21+HISTOOCT23!AK21+HISTONOV23!AK21+HISTODEC23!AK21</f>
        <v>0</v>
      </c>
      <c r="AL21" s="5">
        <f>HISTOJANV23!AL21+HISTOFEV23!AL21+HISTOMARS23!AL21+HISTOAVRIL23!AL21+HISTOMAI23!AL21+HISTOJUIN23!AL21+HISTOJUIL23!AL21+HISTOAOUT23!AL21+HISTOSEPT23!AL21+HISTOOCT23!AL21+HISTONOV23!AL21+HISTODEC23!AL21</f>
        <v>0</v>
      </c>
      <c r="AM21" s="5">
        <f>HISTOJANV23!AM21+HISTOFEV23!AM21+HISTOMARS23!AM21+HISTOAVRIL23!AM21+HISTOMAI23!AM21+HISTOJUIN23!AM21+HISTOJUIL23!AM21+HISTOAOUT23!AM21+HISTOSEPT23!AM21+HISTOOCT23!AM21+HISTONOV23!AM21+HISTODEC23!AM21</f>
        <v>0</v>
      </c>
      <c r="AN21" s="5">
        <f>HISTOJANV23!AN21+HISTOFEV23!AN21+HISTOMARS23!AN21+HISTOAVRIL23!AN21+HISTOMAI23!AN21+HISTOJUIN23!AN21+HISTOJUIL23!AN21+HISTOAOUT23!AN21+HISTOSEPT23!AN21+HISTOOCT23!AN21+HISTONOV23!AN21+HISTODEC23!AN21</f>
        <v>0</v>
      </c>
      <c r="AO21" s="5">
        <f>HISTOJANV23!AO21+HISTOFEV23!AO21+HISTOMARS23!AO21+HISTOAVRIL23!AO21+HISTOMAI23!AO21+HISTOJUIN23!AO21+HISTOJUIL23!AO21+HISTOAOUT23!AO21+HISTOSEPT23!AO21+HISTOOCT23!AO21+HISTONOV23!AO21+HISTODEC23!AO21</f>
        <v>0</v>
      </c>
      <c r="AP21" s="5">
        <f>HISTOJANV23!AP21+HISTOFEV23!AP21+HISTOMARS23!AP21+HISTOAVRIL23!AP21+HISTOMAI23!AP21+HISTOJUIN23!AP21+HISTOJUIL23!AP21+HISTOAOUT23!AP21+HISTOSEPT23!AP21+HISTOOCT23!AP21+HISTONOV23!AP21+HISTODEC23!AP21</f>
        <v>0</v>
      </c>
      <c r="AQ21" s="5">
        <f>HISTOJANV23!AQ21+HISTOFEV23!AQ21+HISTOMARS23!AQ21+HISTOAVRIL23!AQ21+HISTOMAI23!AQ21+HISTOJUIN23!AQ21+HISTOJUIL23!AQ21+HISTOAOUT23!AQ21+HISTOSEPT23!AQ21+HISTOOCT23!AQ21+HISTONOV23!AQ21+HISTODEC23!AQ21</f>
        <v>0</v>
      </c>
      <c r="AR21" s="5">
        <f>HISTOJANV23!AR21+HISTOFEV23!AR21+HISTOMARS23!AR21+HISTOAVRIL23!AR21+HISTOMAI23!AR21+HISTOJUIN23!AR21+HISTOJUIL23!AR21+HISTOAOUT23!AR21+HISTOSEPT23!AR21+HISTOOCT23!AR21+HISTONOV23!AR21+HISTODEC23!AR21</f>
        <v>0</v>
      </c>
      <c r="AS21" s="5">
        <f>HISTOJANV23!AS21+HISTOFEV23!AS21+HISTOMARS23!AS21+HISTOAVRIL23!AS21+HISTOMAI23!AS21+HISTOJUIN23!AS21+HISTOJUIL23!AS21+HISTOAOUT23!AS21+HISTOSEPT23!AS21+HISTOOCT23!AS21+HISTONOV23!AS21+HISTODEC23!AS21</f>
        <v>180000</v>
      </c>
      <c r="AT21" s="5">
        <f>HISTOJANV23!AT21+HISTOFEV23!AT21+HISTOMARS23!AT21+HISTOAVRIL23!AT21+HISTOMAI23!AT21+HISTOJUIN23!AT21+HISTOJUIL23!AT21+HISTOAOUT23!AT21+HISTOSEPT23!AT21+HISTOOCT23!AT21+HISTONOV23!AT21+HISTODEC23!AT21</f>
        <v>0</v>
      </c>
      <c r="AU21" s="5">
        <f>HISTOJANV23!AU21+HISTOFEV23!AU21+HISTOMARS23!AU21+HISTOAVRIL23!AU21+HISTOMAI23!AU21+HISTOJUIN23!AU21+HISTOJUIL23!AU21+HISTOAOUT23!AU21+HISTOSEPT23!AU21+HISTOOCT23!AU21+HISTONOV23!AU21+HISTODEC23!AU21</f>
        <v>0</v>
      </c>
      <c r="AV21" s="5">
        <f>HISTOJANV23!AV21+HISTOFEV23!AV21+HISTOMARS23!AV21+HISTOAVRIL23!AV21+HISTOMAI23!AV21+HISTOJUIN23!AV21+HISTOJUIL23!AV21+HISTOAOUT23!AV21+HISTOSEPT23!AV21+HISTOOCT23!AV21+HISTONOV23!AV21+HISTODEC23!AV21</f>
        <v>0</v>
      </c>
      <c r="AW21" s="5">
        <f>HISTOJANV23!AW21+HISTOFEV23!AW21+HISTOMARS23!AW21+HISTOAVRIL23!AW21+HISTOMAI23!AW21+HISTOJUIN23!AW21+HISTOJUIL23!AW21+HISTOAOUT23!AW21+HISTOSEPT23!AW21+HISTOOCT23!AW21+HISTONOV23!AW21+HISTODEC23!AW21</f>
        <v>297500</v>
      </c>
      <c r="AX21" s="5">
        <f>HISTOJANV23!AX21+HISTOFEV23!AX21+HISTOMARS23!AX21+HISTOAVRIL23!AX21+HISTOMAI23!AX21+HISTOJUIN23!AX21+HISTOJUIL23!AX21+HISTOAOUT23!AX21+HISTOSEPT23!AX21+HISTOOCT23!AX21+HISTONOV23!AX21+HISTODEC23!AX21</f>
        <v>0</v>
      </c>
      <c r="AY21" s="5">
        <f>HISTOJANV23!AY21+HISTOFEV23!AY21+HISTOMARS23!AY21+HISTOAVRIL23!AY21+HISTOMAI23!AY21+HISTOJUIN23!AY21+HISTOJUIL23!AY21+HISTOAOUT23!AY21+HISTOSEPT23!AY21+HISTOOCT23!AY21+HISTONOV23!AY21+HISTODEC23!AY21</f>
        <v>0</v>
      </c>
      <c r="AZ21" s="5">
        <f>HISTOJANV23!AZ21+HISTOFEV23!AZ21+HISTOMARS23!AZ21+HISTOAVRIL23!AZ21+HISTOMAI23!AZ21+HISTOJUIN23!AZ21+HISTOJUIL23!AZ21+HISTOAOUT23!AZ21+HISTOSEPT23!AZ21+HISTOOCT23!AZ21+HISTONOV23!AZ21+HISTODEC23!AZ21</f>
        <v>509500</v>
      </c>
      <c r="BA21" s="5">
        <f>HISTOJANV23!BA21+HISTOFEV23!BA21+HISTOMARS23!BA21+HISTOAVRIL23!BA21+HISTOMAI23!BA21+HISTOJUIN23!BA21+HISTOJUIL23!BA21+HISTOAOUT23!BA21+HISTOSEPT23!BA21+HISTOOCT23!BA21+HISTONOV23!BA21+HISTODEC23!BA21</f>
        <v>0</v>
      </c>
      <c r="BB21" s="5">
        <f>HISTOJANV23!BB21+HISTOFEV23!BB21+HISTOMARS23!BB21+HISTOAVRIL23!BB21+HISTOMAI23!BB21+HISTOJUIN23!BB21+HISTOJUIL23!BB21+HISTOAOUT23!BB21+HISTOSEPT23!BB21+HISTOOCT23!BB21+HISTONOV23!BB21+HISTODEC23!BB21</f>
        <v>70000</v>
      </c>
      <c r="BC21" s="5">
        <f>HISTOJANV23!BC21+HISTOFEV23!BC21+HISTOMARS23!BC21+HISTOAVRIL23!BC21+HISTOMAI23!BC21+HISTOJUIN23!BC21+HISTOJUIL23!BC21+HISTOAOUT23!BC21+HISTOSEPT23!BC21+HISTOOCT23!BC21+HISTONOV23!BC21+HISTODEC23!BC21</f>
        <v>0</v>
      </c>
      <c r="BD21" s="5">
        <f>HISTOJANV23!BD21+HISTOFEV23!BD21+HISTOMARS23!BD21+HISTOAVRIL23!BD21+HISTOMAI23!BD21+HISTOJUIN23!BD21+HISTOJUIL23!BD21+HISTOAOUT23!BD21+HISTOSEPT23!BD21+HISTOOCT23!BD21+HISTONOV23!BD21+HISTODEC23!BD21</f>
        <v>509500</v>
      </c>
      <c r="BE21" s="82">
        <f>HISTOJANV23!BE21+HISTOFEV23!BE21+HISTOMARS23!BE21+HISTOAVRIL23!BE21+HISTOMAI23!BE21+HISTOJUIN23!BE21+HISTOJUIL23!BE21+HISTOAOUT23!BE21+HISTOSEPT23!BE21+HISTOOCT23!BE21+HISTONOV23!BE21+HISTODEC23!BE21</f>
        <v>366500</v>
      </c>
      <c r="BF21" s="5">
        <f>HISTOJANV23!BF21+HISTOFEV23!BF21+HISTOMARS23!BF21+HISTOAVRIL23!BF21+HISTOMAI23!BF21+HISTOJUIN23!BF21+HISTOJUIL23!BF21+HISTOAOUT23!BF21+HISTOSEPT23!BF21+HISTOOCT23!BF21+HISTONOV23!BF21+HISTODEC23!BF21</f>
        <v>18000</v>
      </c>
      <c r="BG21" s="5">
        <f>HISTOJANV23!BG21+HISTOFEV23!BG21+HISTOMARS23!BG21+HISTOAVRIL23!BG21+HISTOMAI23!BG21+HISTOJUIN23!BG21+HISTOJUIL23!BG21+HISTOAOUT23!BG21+HISTOSEPT23!BG21+HISTOOCT23!BG21+HISTONOV23!BG21+HISTODEC23!BG21</f>
        <v>72</v>
      </c>
      <c r="BH21" s="5">
        <f>HISTOJANV23!BH21+HISTOFEV23!BH21+HISTOMARS23!BH21+HISTOAVRIL23!BH21+HISTOMAI23!BH21+HISTOJUIN23!BH21+HISTOJUIL23!BH21+HISTOAOUT23!BH21+HISTOSEPT23!BH21+HISTOOCT23!BH21+HISTONOV23!BH21+HISTODEC23!BH21</f>
        <v>0</v>
      </c>
      <c r="BI21" s="5">
        <f>HISTOJANV23!BI21+HISTOFEV23!BI21+HISTOMARS23!BI21+HISTOAVRIL23!BI21+HISTOMAI23!BI21+HISTOJUIN23!BI21+HISTOJUIL23!BI21+HISTOAOUT23!BI21+HISTOSEPT23!BI21+HISTOOCT23!BI21+HISTONOV23!BI21+HISTODEC23!BI21</f>
        <v>0</v>
      </c>
      <c r="BJ21" s="5">
        <f>HISTOJANV23!BJ21+HISTOFEV23!BJ21+HISTOMARS23!BJ21+HISTOAVRIL23!BJ21+HISTOMAI23!BJ21+HISTOJUIN23!BJ21+HISTOJUIL23!BJ21+HISTOAOUT23!BJ21+HISTOSEPT23!BJ21+HISTOOCT23!BJ21+HISTONOV23!BJ21+HISTODEC23!BJ21</f>
        <v>0</v>
      </c>
      <c r="BK21" s="5">
        <f>HISTOJANV23!BK21+HISTOFEV23!BK21+HISTOMARS23!BK21+HISTOAVRIL23!BK21+HISTOMAI23!BK21+HISTOJUIN23!BK21+HISTOJUIL23!BK21+HISTOAOUT23!BK21+HISTOSEPT23!BK21+HISTOOCT23!BK21+HISTONOV23!BK21+HISTODEC23!BK21</f>
        <v>0</v>
      </c>
      <c r="BL21" s="5">
        <f>HISTOJANV23!BL21+HISTOFEV23!BL21+HISTOMARS23!BL21+HISTOAVRIL23!BL21+HISTOMAI23!BL21+HISTOJUIN23!BL21+HISTOJUIL23!BL21+HISTOAOUT23!BL21+HISTOSEPT23!BL21+HISTOOCT23!BL21+HISTONOV23!BL21+HISTODEC23!BL21</f>
        <v>0</v>
      </c>
      <c r="BM21" s="5">
        <f>HISTOJANV23!BM21+HISTOFEV23!BM21+HISTOMARS23!BM21+HISTOAVRIL23!BM21+HISTOMAI23!BM21+HISTOJUIN23!BM21+HISTOJUIL23!BM21+HISTOAOUT23!BM21+HISTOSEPT23!BM21+HISTOOCT23!BM21+HISTONOV23!BM21+HISTODEC23!BM21</f>
        <v>0</v>
      </c>
      <c r="BP21" s="6"/>
    </row>
    <row r="22" spans="1:68" ht="18.75" x14ac:dyDescent="0.3">
      <c r="A22" s="1" t="s">
        <v>27</v>
      </c>
      <c r="B22" s="1" t="str">
        <f>VLOOKUP(A22,[17]LISTADHERENT!A$5:H$39,3,0)</f>
        <v>NANKAM APPOLINAIRE</v>
      </c>
      <c r="C22" s="5">
        <f>HISTOJANV23!C22+HISTOFEV23!C22+HISTOMARS23!C22+HISTOAVRIL23!C22+HISTOMAI23!C22+HISTOJUIN23!C22+HISTOJUIL23!C22+HISTOAOUT23!C22+HISTOSEPT23!C22+HISTOOCT23!C22+HISTONOV23!C22+HISTODEC23!C22</f>
        <v>0</v>
      </c>
      <c r="D22" s="5">
        <f>HISTOJANV23!D22+HISTOFEV23!D22+HISTOMARS23!D22+HISTOAVRIL23!D22+HISTOMAI23!D22+HISTOJUIN23!D22+HISTOJUIL23!D22+HISTOAOUT23!D22+HISTOSEPT23!D22+HISTOOCT23!D22+HISTONOV23!D22+HISTODEC23!D22</f>
        <v>1487500</v>
      </c>
      <c r="E22" s="5">
        <f>HISTOJANV23!E22+HISTOFEV23!E22+HISTOMARS23!E22+HISTOAVRIL23!E22+HISTOMAI23!E22+HISTOJUIN23!E22+HISTOJUIL23!E22+HISTOAOUT23!E22+HISTOSEPT23!E22+HISTOOCT23!E22+HISTONOV23!E22+HISTODEC23!E22</f>
        <v>0</v>
      </c>
      <c r="F22" s="5">
        <f>HISTOJANV23!F22+HISTOFEV23!F22+HISTOMARS23!F22+HISTOAVRIL23!F22+HISTOMAI23!F22+HISTOJUIN23!F22+HISTOJUIL23!F22+HISTOAOUT23!F22+HISTOSEPT23!F22+HISTOOCT23!F22+HISTONOV23!F22+HISTODEC23!F22</f>
        <v>962500</v>
      </c>
      <c r="G22" s="5">
        <f>HISTOJANV23!G22+HISTOFEV23!G22+HISTOMARS23!G22+HISTOAVRIL23!G22+HISTOMAI23!G22+HISTOJUIN23!G22+HISTOJUIL23!G22+HISTOAOUT23!G22+HISTOSEPT23!G22+HISTOOCT23!G22+HISTONOV23!G22+HISTODEC23!G22</f>
        <v>0</v>
      </c>
      <c r="H22" s="10" t="str">
        <f t="shared" si="0"/>
        <v>BANQUE</v>
      </c>
      <c r="I22" s="5">
        <f>HISTOJANV23!I22+HISTOFEV23!I22+HISTOMARS23!I22+HISTOAVRIL23!I22+HISTOMAI23!I22+HISTOJUIN23!I22+HISTOJUIL23!I22+HISTOAOUT23!I22+HISTOSEPT23!I22+HISTOOCT23!I22+HISTONOV23!I22+HISTODEC23!I22</f>
        <v>0</v>
      </c>
      <c r="J22" s="5">
        <f>HISTOJANV23!J22+HISTOFEV23!J22+HISTOMARS23!J22+HISTOAVRIL23!J22+HISTOMAI23!J22+HISTOJUIN23!J22+HISTOJUIL23!J22+HISTOAOUT23!J22+HISTOSEPT23!J22+HISTOOCT23!J22+HISTONOV23!J22+HISTODEC23!J22</f>
        <v>12</v>
      </c>
      <c r="K22" s="5">
        <f>HISTOJANV23!K22+HISTOFEV23!K22+HISTOMARS23!K22+HISTOAVRIL23!K22+HISTOMAI23!K22+HISTOJUIN23!K22+HISTOJUIL23!K22+HISTOAOUT23!K22+HISTOSEPT23!K22+HISTOOCT23!K22+HISTONOV23!K22+HISTODEC23!K22</f>
        <v>480000</v>
      </c>
      <c r="L22" s="5">
        <f>HISTOJANV23!L22+HISTOFEV23!L22+HISTOMARS23!L22+HISTOAVRIL23!L22+HISTOMAI23!L22+HISTOJUIN23!L22+HISTOJUIL23!L22+HISTOAOUT23!L22+HISTOSEPT23!L22+HISTOOCT23!L22+HISTONOV23!L22+HISTODEC23!L22</f>
        <v>12</v>
      </c>
      <c r="M22" s="5">
        <f>HISTOJANV23!M22+HISTOFEV23!M22+HISTOMARS23!M22+HISTOAVRIL23!M22+HISTOMAI23!M22+HISTOJUIN23!M22+HISTOJUIL23!M22+HISTOAOUT23!M22+HISTOSEPT23!M22+HISTOOCT23!M22+HISTONOV23!M22+HISTODEC23!M22</f>
        <v>900000</v>
      </c>
      <c r="N22" s="5">
        <f>HISTOJANV23!N22+HISTOFEV23!N22+HISTOMARS23!N22+HISTOAVRIL23!N22+HISTOMAI23!N22+HISTOJUIN23!N22+HISTOJUIL23!N22+HISTOAOUT23!N22+HISTOSEPT23!N22+HISTOOCT23!N22+HISTONOV23!N22+HISTODEC23!N22</f>
        <v>0</v>
      </c>
      <c r="O22" s="5">
        <f>HISTOJANV23!O22+HISTOFEV23!O22+HISTOMARS23!O22+HISTOAVRIL23!O22+HISTOMAI23!O22+HISTOJUIN23!O22+HISTOJUIL23!O22+HISTOAOUT23!O22+HISTOSEPT23!O22+HISTOOCT23!O22+HISTONOV23!O22+HISTODEC23!O22</f>
        <v>0</v>
      </c>
      <c r="P22" s="5">
        <f>HISTOJANV23!P22+HISTOFEV23!P22+HISTOMARS23!P22+HISTOAVRIL23!P22+HISTOMAI23!P22+HISTOJUIN23!P22+HISTOJUIL23!P22+HISTOAOUT23!P22+HISTOSEPT23!P22+HISTOOCT23!P22+HISTONOV23!P22+HISTODEC23!P22</f>
        <v>0</v>
      </c>
      <c r="Q22" s="5">
        <f>HISTOJANV23!Q22+HISTOFEV23!Q22+HISTOMARS23!Q22+HISTOAVRIL23!Q22+HISTOMAI23!Q22+HISTOJUIN23!Q22+HISTOJUIL23!Q22+HISTOAOUT23!Q22+HISTOSEPT23!Q22+HISTOOCT23!Q22+HISTONOV23!Q22+HISTODEC23!Q22</f>
        <v>0</v>
      </c>
      <c r="R22" s="5">
        <f>HISTOJANV23!R22+HISTOFEV23!R22+HISTOMARS23!R22+HISTOAVRIL23!R22+HISTOMAI23!R22+HISTOJUIN23!R22+HISTOJUIL23!R22+HISTOAOUT23!R22+HISTOSEPT23!R22+HISTOOCT23!R22+HISTONOV23!R22+HISTODEC23!R22</f>
        <v>0</v>
      </c>
      <c r="S22" s="5">
        <f>HISTOJANV23!S22+HISTOFEV23!S22+HISTOMARS23!S22+HISTOAVRIL23!S22+HISTOMAI23!S22+HISTOJUIN23!S22+HISTOJUIL23!S22+HISTOAOUT23!S22+HISTOSEPT23!S22+HISTOOCT23!S22+HISTONOV23!S22+HISTODEC23!S22</f>
        <v>1000000</v>
      </c>
      <c r="T22" s="5" t="e">
        <f>HISTOJANV23!T22+HISTOFEV23!T22+HISTOMARS23!T22+HISTOAVRIL23!T22+HISTOMAI23!T22+HISTOJUIN23!T22+HISTOJUIL23!T22+HISTOAOUT23!T22+HISTOSEPT23!T22+HISTOOCT23!T22+HISTONOV23!T22+HISTODEC23!T22</f>
        <v>#VALUE!</v>
      </c>
      <c r="U22" s="17">
        <f t="shared" si="1"/>
        <v>2400000</v>
      </c>
      <c r="V22" s="5">
        <f>HISTOJANV23!V22+HISTOFEV23!V22+HISTOMARS23!V22+HISTOAVRIL23!V22+HISTOMAI23!V22+HISTOJUIN23!V22+HISTOJUIL23!V22+HISTOAOUT23!V22+HISTOSEPT23!V22+HISTOOCT23!V22+HISTONOV23!V22+HISTODEC23!V22</f>
        <v>20000</v>
      </c>
      <c r="W22" s="5">
        <f>HISTOJANV23!W22+HISTOFEV23!W22+HISTOMARS23!W22+HISTOAVRIL23!W22+HISTOMAI23!W22+HISTOJUIN23!W22+HISTOJUIL23!W22+HISTOAOUT23!W22+HISTOSEPT23!W22+HISTOOCT23!W22+HISTONOV23!W22+HISTODEC23!W22</f>
        <v>0</v>
      </c>
      <c r="X22" s="5">
        <f>HISTOJANV23!X22+HISTOFEV23!X22+HISTOMARS23!X22+HISTOAVRIL23!X22+HISTOMAI23!X22+HISTOJUIN23!X22+HISTOJUIL23!X22+HISTOAOUT23!X22+HISTOSEPT23!X22+HISTOOCT23!X22+HISTONOV23!X22+HISTODEC23!X22</f>
        <v>0</v>
      </c>
      <c r="Y22" s="5">
        <f>HISTOJANV23!Y22+HISTOFEV23!Y22+HISTOMARS23!Y22+HISTOAVRIL23!Y22+HISTOMAI23!Y22+HISTOJUIN23!Y22+HISTOJUIL23!Y22+HISTOAOUT23!Y22+HISTOSEPT23!Y22+HISTOOCT23!Y22+HISTONOV23!Y22+HISTODEC23!Y22</f>
        <v>0</v>
      </c>
      <c r="Z22" s="5">
        <f>HISTOJANV23!Z22+HISTOFEV23!Z22+HISTOMARS23!Z22+HISTOAVRIL23!Z22+HISTOMAI23!Z22+HISTOJUIN23!Z22+HISTOJUIL23!Z22+HISTOAOUT23!Z22+HISTOSEPT23!Z22+HISTOOCT23!Z22+HISTONOV23!Z22+HISTODEC23!Z22</f>
        <v>1000000</v>
      </c>
      <c r="AA22" s="5" t="e">
        <f>HISTOJANV23!AA22+HISTOFEV23!AA22+HISTOMARS23!AA22+HISTOAVRIL23!AA22+HISTOMAI23!AA22+HISTOJUIN23!AA22+HISTOJUIL23!AA22+HISTOAOUT23!AA22+HISTOSEPT23!AA22+HISTOOCT23!AA22+HISTONOV23!AA22+HISTODEC23!AA22</f>
        <v>#VALUE!</v>
      </c>
      <c r="AB22" s="5">
        <f>HISTOJANV23!AB22+HISTOFEV23!AB22+HISTOMARS23!AB22+HISTOAVRIL23!AB22+HISTOMAI23!AB22+HISTOJUIN23!AB22+HISTOJUIL23!AB22+HISTOAOUT23!AB22+HISTOSEPT23!AB22+HISTOOCT23!AB22+HISTONOV23!AB22+HISTODEC23!AB22</f>
        <v>0</v>
      </c>
      <c r="AC22" s="5">
        <f>HISTOJANV23!AC22+HISTOFEV23!AC22+HISTOMARS23!AC22+HISTOAVRIL23!AC22+HISTOMAI23!AC22+HISTOJUIN23!AC22+HISTOJUIL23!AC22+HISTOAOUT23!AC22+HISTOSEPT23!AC22+HISTOOCT23!AC22+HISTONOV23!AC22+HISTODEC23!AC22</f>
        <v>4500</v>
      </c>
      <c r="AD22" s="5">
        <f>HISTOJANV23!AD22+HISTOFEV23!AD22+HISTOMARS23!AD22+HISTOAVRIL23!AD22+HISTOMAI23!AD22+HISTOJUIN23!AD22+HISTOJUIL23!AD22+HISTOAOUT23!AD22+HISTOSEPT23!AD22+HISTOOCT23!AD22+HISTONOV23!AD22+HISTODEC23!AD22</f>
        <v>7500</v>
      </c>
      <c r="AE22" s="5">
        <f>HISTOJANV23!AE22+HISTOFEV23!AE22+HISTOMARS23!AE22+HISTOAVRIL23!AE22+HISTOMAI23!AE22+HISTOJUIN23!AE22+HISTOJUIL23!AE22+HISTOAOUT23!AE22+HISTOSEPT23!AE22+HISTOOCT23!AE22+HISTONOV23!AE22+HISTODEC23!AE22</f>
        <v>0</v>
      </c>
      <c r="AF22" s="5" t="e">
        <f>HISTOJANV23!AF22+HISTOFEV23!AF22+HISTOMARS23!AF22+HISTOAVRIL23!AF22+HISTOMAI23!AF22+HISTOJUIN23!AF22+HISTOJUIL23!AF22+HISTOAOUT23!AF22+HISTOSEPT23!AF22+HISTOOCT23!AF22+HISTONOV23!AF22+HISTODEC23!AF22</f>
        <v>#VALUE!</v>
      </c>
      <c r="AG22" s="5">
        <f>HISTOJANV23!AG22+HISTOFEV23!AG22+HISTOMARS23!AG22+HISTOAVRIL23!AG22+HISTOMAI23!AG22+HISTOJUIN23!AG22+HISTOJUIL23!AG22+HISTOAOUT23!AG22+HISTOSEPT23!AG22+HISTOOCT23!AG22+HISTONOV23!AG22+HISTODEC23!AG22</f>
        <v>0</v>
      </c>
      <c r="AH22" s="5">
        <f>HISTOJANV23!AH22+HISTOFEV23!AH22+HISTOMARS23!AH22+HISTOAVRIL23!AH22+HISTOMAI23!AH22+HISTOJUIN23!AH22+HISTOJUIL23!AH22+HISTOAOUT23!AH22+HISTOSEPT23!AH22+HISTOOCT23!AH22+HISTONOV23!AH22+HISTODEC23!AH22</f>
        <v>0</v>
      </c>
      <c r="AI22" s="5">
        <f>HISTOJANV23!AI22+HISTOFEV23!AI22+HISTOMARS23!AI22+HISTOAVRIL23!AI22+HISTOMAI23!AI22+HISTOJUIN23!AI22+HISTOJUIL23!AI22+HISTOAOUT23!AI22+HISTOSEPT23!AI22+HISTOOCT23!AI22+HISTONOV23!AI22+HISTODEC23!AI22</f>
        <v>0</v>
      </c>
      <c r="AJ22" s="5">
        <f>HISTOJANV23!AJ22+HISTOFEV23!AJ22+HISTOMARS23!AJ22+HISTOAVRIL23!AJ22+HISTOMAI23!AJ22+HISTOJUIN23!AJ22+HISTOJUIL23!AJ22+HISTOAOUT23!AJ22+HISTOSEPT23!AJ22+HISTOOCT23!AJ22+HISTONOV23!AJ22+HISTODEC23!AJ22</f>
        <v>0</v>
      </c>
      <c r="AK22" s="5">
        <f>HISTOJANV23!AK22+HISTOFEV23!AK22+HISTOMARS23!AK22+HISTOAVRIL23!AK22+HISTOMAI23!AK22+HISTOJUIN23!AK22+HISTOJUIL23!AK22+HISTOAOUT23!AK22+HISTOSEPT23!AK22+HISTOOCT23!AK22+HISTONOV23!AK22+HISTODEC23!AK22</f>
        <v>0</v>
      </c>
      <c r="AL22" s="5">
        <f>HISTOJANV23!AL22+HISTOFEV23!AL22+HISTOMARS23!AL22+HISTOAVRIL23!AL22+HISTOMAI23!AL22+HISTOJUIN23!AL22+HISTOJUIL23!AL22+HISTOAOUT23!AL22+HISTOSEPT23!AL22+HISTOOCT23!AL22+HISTONOV23!AL22+HISTODEC23!AL22</f>
        <v>0</v>
      </c>
      <c r="AM22" s="5">
        <f>HISTOJANV23!AM22+HISTOFEV23!AM22+HISTOMARS23!AM22+HISTOAVRIL23!AM22+HISTOMAI23!AM22+HISTOJUIN23!AM22+HISTOJUIL23!AM22+HISTOAOUT23!AM22+HISTOSEPT23!AM22+HISTOOCT23!AM22+HISTONOV23!AM22+HISTODEC23!AM22</f>
        <v>0</v>
      </c>
      <c r="AN22" s="5">
        <f>HISTOJANV23!AN22+HISTOFEV23!AN22+HISTOMARS23!AN22+HISTOAVRIL23!AN22+HISTOMAI23!AN22+HISTOJUIN23!AN22+HISTOJUIL23!AN22+HISTOAOUT23!AN22+HISTOSEPT23!AN22+HISTOOCT23!AN22+HISTONOV23!AN22+HISTODEC23!AN22</f>
        <v>0</v>
      </c>
      <c r="AO22" s="5">
        <f>HISTOJANV23!AO22+HISTOFEV23!AO22+HISTOMARS23!AO22+HISTOAVRIL23!AO22+HISTOMAI23!AO22+HISTOJUIN23!AO22+HISTOJUIL23!AO22+HISTOAOUT23!AO22+HISTOSEPT23!AO22+HISTOOCT23!AO22+HISTONOV23!AO22+HISTODEC23!AO22</f>
        <v>0</v>
      </c>
      <c r="AP22" s="5">
        <f>HISTOJANV23!AP22+HISTOFEV23!AP22+HISTOMARS23!AP22+HISTOAVRIL23!AP22+HISTOMAI23!AP22+HISTOJUIN23!AP22+HISTOJUIL23!AP22+HISTOAOUT23!AP22+HISTOSEPT23!AP22+HISTOOCT23!AP22+HISTONOV23!AP22+HISTODEC23!AP22</f>
        <v>0</v>
      </c>
      <c r="AQ22" s="5">
        <f>HISTOJANV23!AQ22+HISTOFEV23!AQ22+HISTOMARS23!AQ22+HISTOAVRIL23!AQ22+HISTOMAI23!AQ22+HISTOJUIN23!AQ22+HISTOJUIL23!AQ22+HISTOAOUT23!AQ22+HISTOSEPT23!AQ22+HISTOOCT23!AQ22+HISTONOV23!AQ22+HISTODEC23!AQ22</f>
        <v>0</v>
      </c>
      <c r="AR22" s="5">
        <f>HISTOJANV23!AR22+HISTOFEV23!AR22+HISTOMARS23!AR22+HISTOAVRIL23!AR22+HISTOMAI23!AR22+HISTOJUIN23!AR22+HISTOJUIL23!AR22+HISTOAOUT23!AR22+HISTOSEPT23!AR22+HISTOOCT23!AR22+HISTONOV23!AR22+HISTODEC23!AR22</f>
        <v>0</v>
      </c>
      <c r="AS22" s="5">
        <f>HISTOJANV23!AS22+HISTOFEV23!AS22+HISTOMARS23!AS22+HISTOAVRIL23!AS22+HISTOMAI23!AS22+HISTOJUIN23!AS22+HISTOJUIL23!AS22+HISTOAOUT23!AS22+HISTOSEPT23!AS22+HISTOOCT23!AS22+HISTONOV23!AS22+HISTODEC23!AS22</f>
        <v>180000</v>
      </c>
      <c r="AT22" s="5">
        <f>HISTOJANV23!AT22+HISTOFEV23!AT22+HISTOMARS23!AT22+HISTOAVRIL23!AT22+HISTOMAI23!AT22+HISTOJUIN23!AT22+HISTOJUIL23!AT22+HISTOAOUT23!AT22+HISTOSEPT23!AT22+HISTOOCT23!AT22+HISTONOV23!AT22+HISTODEC23!AT22</f>
        <v>0</v>
      </c>
      <c r="AU22" s="5">
        <f>HISTOJANV23!AU22+HISTOFEV23!AU22+HISTOMARS23!AU22+HISTOAVRIL23!AU22+HISTOMAI23!AU22+HISTOJUIN23!AU22+HISTOJUIL23!AU22+HISTOAOUT23!AU22+HISTOSEPT23!AU22+HISTOOCT23!AU22+HISTONOV23!AU22+HISTODEC23!AU22</f>
        <v>0</v>
      </c>
      <c r="AV22" s="5">
        <f>HISTOJANV23!AV22+HISTOFEV23!AV22+HISTOMARS23!AV22+HISTOAVRIL23!AV22+HISTOMAI23!AV22+HISTOJUIN23!AV22+HISTOJUIL23!AV22+HISTOAOUT23!AV22+HISTOSEPT23!AV22+HISTOOCT23!AV22+HISTONOV23!AV22+HISTODEC23!AV22</f>
        <v>0</v>
      </c>
      <c r="AW22" s="5">
        <f>HISTOJANV23!AW22+HISTOFEV23!AW22+HISTOMARS23!AW22+HISTOAVRIL23!AW22+HISTOMAI23!AW22+HISTOJUIN23!AW22+HISTOJUIL23!AW22+HISTOAOUT23!AW22+HISTOSEPT23!AW22+HISTOOCT23!AW22+HISTONOV23!AW22+HISTODEC23!AW22</f>
        <v>295500</v>
      </c>
      <c r="AX22" s="5">
        <f>HISTOJANV23!AX22+HISTOFEV23!AX22+HISTOMARS23!AX22+HISTOAVRIL23!AX22+HISTOMAI23!AX22+HISTOJUIN23!AX22+HISTOJUIL23!AX22+HISTOAOUT23!AX22+HISTOSEPT23!AX22+HISTOOCT23!AX22+HISTONOV23!AX22+HISTODEC23!AX22</f>
        <v>892500</v>
      </c>
      <c r="AY22" s="5">
        <f>HISTOJANV23!AY22+HISTOFEV23!AY22+HISTOMARS23!AY22+HISTOAVRIL23!AY22+HISTOMAI23!AY22+HISTOJUIN23!AY22+HISTOJUIL23!AY22+HISTOAOUT23!AY22+HISTOSEPT23!AY22+HISTOOCT23!AY22+HISTONOV23!AY22+HISTODEC23!AY22</f>
        <v>0</v>
      </c>
      <c r="AZ22" s="5">
        <f>HISTOJANV23!AZ22+HISTOFEV23!AZ22+HISTOMARS23!AZ22+HISTOAVRIL23!AZ22+HISTOMAI23!AZ22+HISTOJUIN23!AZ22+HISTOJUIL23!AZ22+HISTOAOUT23!AZ22+HISTOSEPT23!AZ22+HISTOOCT23!AZ22+HISTONOV23!AZ22+HISTODEC23!AZ22</f>
        <v>1105500</v>
      </c>
      <c r="BA22" s="5">
        <f>HISTOJANV23!BA22+HISTOFEV23!BA22+HISTOMARS23!BA22+HISTOAVRIL23!BA22+HISTOMAI23!BA22+HISTOJUIN23!BA22+HISTOJUIL23!BA22+HISTOAOUT23!BA22+HISTOSEPT23!BA22+HISTOOCT23!BA22+HISTONOV23!BA22+HISTODEC23!BA22</f>
        <v>0</v>
      </c>
      <c r="BB22" s="5">
        <f>HISTOJANV23!BB22+HISTOFEV23!BB22+HISTOMARS23!BB22+HISTOAVRIL23!BB22+HISTOMAI23!BB22+HISTOJUIN23!BB22+HISTOJUIL23!BB22+HISTOAOUT23!BB22+HISTOSEPT23!BB22+HISTOOCT23!BB22+HISTONOV23!BB22+HISTODEC23!BB22</f>
        <v>70000</v>
      </c>
      <c r="BC22" s="5">
        <f>HISTOJANV23!BC22+HISTOFEV23!BC22+HISTOMARS23!BC22+HISTOAVRIL23!BC22+HISTOMAI23!BC22+HISTOJUIN23!BC22+HISTOJUIL23!BC22+HISTOAOUT23!BC22+HISTOSEPT23!BC22+HISTOOCT23!BC22+HISTONOV23!BC22+HISTODEC23!BC22</f>
        <v>0</v>
      </c>
      <c r="BD22" s="5">
        <f>HISTOJANV23!BD22+HISTOFEV23!BD22+HISTOMARS23!BD22+HISTOAVRIL23!BD22+HISTOMAI23!BD22+HISTOJUIN23!BD22+HISTOJUIL23!BD22+HISTOAOUT23!BD22+HISTOSEPT23!BD22+HISTOOCT23!BD22+HISTONOV23!BD22+HISTODEC23!BD22</f>
        <v>1158500</v>
      </c>
      <c r="BE22" s="82">
        <f>HISTOJANV23!BE22+HISTOFEV23!BE22+HISTOMARS23!BE22+HISTOAVRIL23!BE22+HISTOMAI23!BE22+HISTOJUIN23!BE22+HISTOJUIL23!BE22+HISTOAOUT23!BE22+HISTOSEPT23!BE22+HISTOOCT23!BE22+HISTONOV23!BE22+HISTODEC23!BE22</f>
        <v>225500</v>
      </c>
      <c r="BF22" s="5">
        <f>HISTOJANV23!BF22+HISTOFEV23!BF22+HISTOMARS23!BF22+HISTOAVRIL23!BF22+HISTOMAI23!BF22+HISTOJUIN23!BF22+HISTOJUIL23!BF22+HISTOAOUT23!BF22+HISTOSEPT23!BF22+HISTOOCT23!BF22+HISTONOV23!BF22+HISTODEC23!BF22</f>
        <v>120000</v>
      </c>
      <c r="BG22" s="5">
        <f>HISTOJANV23!BG22+HISTOFEV23!BG22+HISTOMARS23!BG22+HISTOAVRIL23!BG22+HISTOMAI23!BG22+HISTOJUIN23!BG22+HISTOJUIL23!BG22+HISTOAOUT23!BG22+HISTOSEPT23!BG22+HISTOOCT23!BG22+HISTONOV23!BG22+HISTODEC23!BG22</f>
        <v>78</v>
      </c>
      <c r="BH22" s="5">
        <f>HISTOJANV23!BH22+HISTOFEV23!BH22+HISTOMARS23!BH22+HISTOAVRIL23!BH22+HISTOMAI23!BH22+HISTOJUIN23!BH22+HISTOJUIL23!BH22+HISTOAOUT23!BH22+HISTOSEPT23!BH22+HISTOOCT23!BH22+HISTONOV23!BH22+HISTODEC23!BH22</f>
        <v>0</v>
      </c>
      <c r="BI22" s="5">
        <f>HISTOJANV23!BI22+HISTOFEV23!BI22+HISTOMARS23!BI22+HISTOAVRIL23!BI22+HISTOMAI23!BI22+HISTOJUIN23!BI22+HISTOJUIL23!BI22+HISTOAOUT23!BI22+HISTOSEPT23!BI22+HISTOOCT23!BI22+HISTONOV23!BI22+HISTODEC23!BI22</f>
        <v>0</v>
      </c>
      <c r="BJ22" s="5">
        <f>HISTOJANV23!BJ22+HISTOFEV23!BJ22+HISTOMARS23!BJ22+HISTOAVRIL23!BJ22+HISTOMAI23!BJ22+HISTOJUIN23!BJ22+HISTOJUIL23!BJ22+HISTOAOUT23!BJ22+HISTOSEPT23!BJ22+HISTOOCT23!BJ22+HISTONOV23!BJ22+HISTODEC23!BJ22</f>
        <v>0</v>
      </c>
      <c r="BK22" s="5">
        <f>HISTOJANV23!BK22+HISTOFEV23!BK22+HISTOMARS23!BK22+HISTOAVRIL23!BK22+HISTOMAI23!BK22+HISTOJUIN23!BK22+HISTOJUIL23!BK22+HISTOAOUT23!BK22+HISTOSEPT23!BK22+HISTOOCT23!BK22+HISTONOV23!BK22+HISTODEC23!BK22</f>
        <v>0</v>
      </c>
      <c r="BL22" s="5">
        <f>HISTOJANV23!BL22+HISTOFEV23!BL22+HISTOMARS23!BL22+HISTOAVRIL23!BL22+HISTOMAI23!BL22+HISTOJUIN23!BL22+HISTOJUIL23!BL22+HISTOAOUT23!BL22+HISTOSEPT23!BL22+HISTOOCT23!BL22+HISTONOV23!BL22+HISTODEC23!BL22</f>
        <v>0</v>
      </c>
      <c r="BM22" s="5">
        <f>HISTOJANV23!BM22+HISTOFEV23!BM22+HISTOMARS23!BM22+HISTOAVRIL23!BM22+HISTOMAI23!BM22+HISTOJUIN23!BM22+HISTOJUIL23!BM22+HISTOAOUT23!BM22+HISTOSEPT23!BM22+HISTOOCT23!BM22+HISTONOV23!BM22+HISTODEC23!BM22</f>
        <v>0</v>
      </c>
      <c r="BN22" s="62" t="s">
        <v>142</v>
      </c>
      <c r="BP22" s="62">
        <f>SUM(BP18:BP21)</f>
        <v>200000</v>
      </c>
    </row>
    <row r="23" spans="1:68" ht="18.75" x14ac:dyDescent="0.3">
      <c r="A23" s="1" t="s">
        <v>28</v>
      </c>
      <c r="B23" s="1" t="str">
        <f>VLOOKUP(A23,[17]LISTADHERENT!A$5:H$39,3,0)</f>
        <v>NDJOMO ETIENNE</v>
      </c>
      <c r="C23" s="5">
        <f>HISTOJANV23!C23+HISTOFEV23!C23+HISTOMARS23!C23+HISTOAVRIL23!C23+HISTOMAI23!C23+HISTOJUIN23!C23+HISTOJUIL23!C23+HISTOAOUT23!C23+HISTOSEPT23!C23+HISTOOCT23!C23+HISTONOV23!C23+HISTODEC23!C23</f>
        <v>-576000</v>
      </c>
      <c r="D23" s="5">
        <f>HISTOJANV23!D23+HISTOFEV23!D23+HISTOMARS23!D23+HISTOAVRIL23!D23+HISTOMAI23!D23+HISTOJUIN23!D23+HISTOJUIL23!D23+HISTOAOUT23!D23+HISTOSEPT23!D23+HISTOOCT23!D23+HISTONOV23!D23+HISTODEC23!D23</f>
        <v>4327000</v>
      </c>
      <c r="E23" s="5">
        <f>HISTOJANV23!E23+HISTOFEV23!E23+HISTOMARS23!E23+HISTOAVRIL23!E23+HISTOMAI23!E23+HISTOJUIN23!E23+HISTOJUIL23!E23+HISTOAOUT23!E23+HISTOSEPT23!E23+HISTOOCT23!E23+HISTONOV23!E23+HISTODEC23!E23</f>
        <v>0</v>
      </c>
      <c r="F23" s="5">
        <f>HISTOJANV23!F23+HISTOFEV23!F23+HISTOMARS23!F23+HISTOAVRIL23!F23+HISTOMAI23!F23+HISTOJUIN23!F23+HISTOJUIL23!F23+HISTOAOUT23!F23+HISTOSEPT23!F23+HISTOOCT23!F23+HISTONOV23!F23+HISTODEC23!F23</f>
        <v>70000</v>
      </c>
      <c r="G23" s="5">
        <f>HISTOJANV23!G23+HISTOFEV23!G23+HISTOMARS23!G23+HISTOAVRIL23!G23+HISTOMAI23!G23+HISTOJUIN23!G23+HISTOJUIL23!G23+HISTOAOUT23!G23+HISTOSEPT23!G23+HISTOOCT23!G23+HISTONOV23!G23+HISTODEC23!G23</f>
        <v>0</v>
      </c>
      <c r="H23" s="10" t="str">
        <f t="shared" si="0"/>
        <v>BANQUE</v>
      </c>
      <c r="I23" s="5">
        <f>HISTOJANV23!I23+HISTOFEV23!I23+HISTOMARS23!I23+HISTOAVRIL23!I23+HISTOMAI23!I23+HISTOJUIN23!I23+HISTOJUIL23!I23+HISTOAOUT23!I23+HISTOSEPT23!I23+HISTOOCT23!I23+HISTONOV23!I23+HISTODEC23!I23</f>
        <v>116000</v>
      </c>
      <c r="J23" s="5">
        <f>HISTOJANV23!J23+HISTOFEV23!J23+HISTOMARS23!J23+HISTOAVRIL23!J23+HISTOMAI23!J23+HISTOJUIN23!J23+HISTOJUIL23!J23+HISTOAOUT23!J23+HISTOSEPT23!J23+HISTOOCT23!J23+HISTONOV23!J23+HISTODEC23!J23</f>
        <v>12</v>
      </c>
      <c r="K23" s="5">
        <f>HISTOJANV23!K23+HISTOFEV23!K23+HISTOMARS23!K23+HISTOAVRIL23!K23+HISTOMAI23!K23+HISTOJUIN23!K23+HISTOJUIL23!K23+HISTOAOUT23!K23+HISTOSEPT23!K23+HISTOOCT23!K23+HISTONOV23!K23+HISTODEC23!K23</f>
        <v>480000</v>
      </c>
      <c r="L23" s="5">
        <f>HISTOJANV23!L23+HISTOFEV23!L23+HISTOMARS23!L23+HISTOAVRIL23!L23+HISTOMAI23!L23+HISTOJUIN23!L23+HISTOJUIL23!L23+HISTOAOUT23!L23+HISTOSEPT23!L23+HISTOOCT23!L23+HISTONOV23!L23+HISTODEC23!L23</f>
        <v>0</v>
      </c>
      <c r="M23" s="5">
        <f>HISTOJANV23!M23+HISTOFEV23!M23+HISTOMARS23!M23+HISTOAVRIL23!M23+HISTOMAI23!M23+HISTOJUIN23!M23+HISTOJUIL23!M23+HISTOAOUT23!M23+HISTOSEPT23!M23+HISTOOCT23!M23+HISTONOV23!M23+HISTODEC23!M23</f>
        <v>0</v>
      </c>
      <c r="N23" s="5">
        <f>HISTOJANV23!N23+HISTOFEV23!N23+HISTOMARS23!N23+HISTOAVRIL23!N23+HISTOMAI23!N23+HISTOJUIN23!N23+HISTOJUIL23!N23+HISTOAOUT23!N23+HISTOSEPT23!N23+HISTOOCT23!N23+HISTONOV23!N23+HISTODEC23!N23</f>
        <v>24</v>
      </c>
      <c r="O23" s="5">
        <f>HISTOJANV23!O23+HISTOFEV23!O23+HISTOMARS23!O23+HISTOAVRIL23!O23+HISTOMAI23!O23+HISTOJUIN23!O23+HISTOJUIL23!O23+HISTOAOUT23!O23+HISTOSEPT23!O23+HISTOOCT23!O23+HISTONOV23!O23+HISTODEC23!O23</f>
        <v>2400000</v>
      </c>
      <c r="P23" s="5">
        <f>HISTOJANV23!P23+HISTOFEV23!P23+HISTOMARS23!P23+HISTOAVRIL23!P23+HISTOMAI23!P23+HISTOJUIN23!P23+HISTOJUIL23!P23+HISTOAOUT23!P23+HISTOSEPT23!P23+HISTOOCT23!P23+HISTONOV23!P23+HISTODEC23!P23</f>
        <v>0</v>
      </c>
      <c r="Q23" s="5">
        <f>HISTOJANV23!Q23+HISTOFEV23!Q23+HISTOMARS23!Q23+HISTOAVRIL23!Q23+HISTOMAI23!Q23+HISTOJUIN23!Q23+HISTOJUIL23!Q23+HISTOAOUT23!Q23+HISTOSEPT23!Q23+HISTOOCT23!Q23+HISTONOV23!Q23+HISTODEC23!Q23</f>
        <v>0</v>
      </c>
      <c r="R23" s="5">
        <f>HISTOJANV23!R23+HISTOFEV23!R23+HISTOMARS23!R23+HISTOAVRIL23!R23+HISTOMAI23!R23+HISTOJUIN23!R23+HISTOJUIL23!R23+HISTOAOUT23!R23+HISTOSEPT23!R23+HISTOOCT23!R23+HISTONOV23!R23+HISTODEC23!R23</f>
        <v>707000</v>
      </c>
      <c r="S23" s="5">
        <f>HISTOJANV23!S23+HISTOFEV23!S23+HISTOMARS23!S23+HISTOAVRIL23!S23+HISTOMAI23!S23+HISTOJUIN23!S23+HISTOJUIL23!S23+HISTOAOUT23!S23+HISTOSEPT23!S23+HISTOOCT23!S23+HISTONOV23!S23+HISTODEC23!S23</f>
        <v>1200000</v>
      </c>
      <c r="T23" s="5" t="e">
        <f>HISTOJANV23!T23+HISTOFEV23!T23+HISTOMARS23!T23+HISTOAVRIL23!T23+HISTOMAI23!T23+HISTOJUIN23!T23+HISTOJUIL23!T23+HISTOAOUT23!T23+HISTOSEPT23!T23+HISTOOCT23!T23+HISTONOV23!T23+HISTODEC23!T23</f>
        <v>#VALUE!</v>
      </c>
      <c r="U23" s="17">
        <f t="shared" si="1"/>
        <v>4903000</v>
      </c>
      <c r="V23" s="5">
        <f>HISTOJANV23!V23+HISTOFEV23!V23+HISTOMARS23!V23+HISTOAVRIL23!V23+HISTOMAI23!V23+HISTOJUIN23!V23+HISTOJUIL23!V23+HISTOAOUT23!V23+HISTOSEPT23!V23+HISTOOCT23!V23+HISTONOV23!V23+HISTODEC23!V23</f>
        <v>0</v>
      </c>
      <c r="W23" s="5">
        <f>HISTOJANV23!W23+HISTOFEV23!W23+HISTOMARS23!W23+HISTOAVRIL23!W23+HISTOMAI23!W23+HISTOJUIN23!W23+HISTOJUIL23!W23+HISTOAOUT23!W23+HISTOSEPT23!W23+HISTOOCT23!W23+HISTONOV23!W23+HISTODEC23!W23</f>
        <v>0</v>
      </c>
      <c r="X23" s="5">
        <f>HISTOJANV23!X23+HISTOFEV23!X23+HISTOMARS23!X23+HISTOAVRIL23!X23+HISTOMAI23!X23+HISTOJUIN23!X23+HISTOJUIL23!X23+HISTOAOUT23!X23+HISTOSEPT23!X23+HISTOOCT23!X23+HISTONOV23!X23+HISTODEC23!X23</f>
        <v>0</v>
      </c>
      <c r="Y23" s="5">
        <f>HISTOJANV23!Y23+HISTOFEV23!Y23+HISTOMARS23!Y23+HISTOAVRIL23!Y23+HISTOMAI23!Y23+HISTOJUIN23!Y23+HISTOJUIL23!Y23+HISTOAOUT23!Y23+HISTOSEPT23!Y23+HISTOOCT23!Y23+HISTONOV23!Y23+HISTODEC23!Y23</f>
        <v>0</v>
      </c>
      <c r="Z23" s="5">
        <f>HISTOJANV23!Z23+HISTOFEV23!Z23+HISTOMARS23!Z23+HISTOAVRIL23!Z23+HISTOMAI23!Z23+HISTOJUIN23!Z23+HISTOJUIL23!Z23+HISTOAOUT23!Z23+HISTOSEPT23!Z23+HISTOOCT23!Z23+HISTONOV23!Z23+HISTODEC23!Z23</f>
        <v>1100000</v>
      </c>
      <c r="AA23" s="5" t="e">
        <f>HISTOJANV23!AA23+HISTOFEV23!AA23+HISTOMARS23!AA23+HISTOAVRIL23!AA23+HISTOMAI23!AA23+HISTOJUIN23!AA23+HISTOJUIL23!AA23+HISTOAOUT23!AA23+HISTOSEPT23!AA23+HISTOOCT23!AA23+HISTONOV23!AA23+HISTODEC23!AA23</f>
        <v>#VALUE!</v>
      </c>
      <c r="AB23" s="5">
        <f>HISTOJANV23!AB23+HISTOFEV23!AB23+HISTOMARS23!AB23+HISTOAVRIL23!AB23+HISTOMAI23!AB23+HISTOJUIN23!AB23+HISTOJUIL23!AB23+HISTOAOUT23!AB23+HISTOSEPT23!AB23+HISTOOCT23!AB23+HISTONOV23!AB23+HISTODEC23!AB23</f>
        <v>0</v>
      </c>
      <c r="AC23" s="5">
        <f>HISTOJANV23!AC23+HISTOFEV23!AC23+HISTOMARS23!AC23+HISTOAVRIL23!AC23+HISTOMAI23!AC23+HISTOJUIN23!AC23+HISTOJUIL23!AC23+HISTOAOUT23!AC23+HISTOSEPT23!AC23+HISTOOCT23!AC23+HISTONOV23!AC23+HISTODEC23!AC23</f>
        <v>2500</v>
      </c>
      <c r="AD23" s="5">
        <f>HISTOJANV23!AD23+HISTOFEV23!AD23+HISTOMARS23!AD23+HISTOAVRIL23!AD23+HISTOMAI23!AD23+HISTOJUIN23!AD23+HISTOJUIL23!AD23+HISTOAOUT23!AD23+HISTOSEPT23!AD23+HISTOOCT23!AD23+HISTONOV23!AD23+HISTODEC23!AD23</f>
        <v>0</v>
      </c>
      <c r="AE23" s="5">
        <f>HISTOJANV23!AE23+HISTOFEV23!AE23+HISTOMARS23!AE23+HISTOAVRIL23!AE23+HISTOMAI23!AE23+HISTOJUIN23!AE23+HISTOJUIL23!AE23+HISTOAOUT23!AE23+HISTOSEPT23!AE23+HISTOOCT23!AE23+HISTONOV23!AE23+HISTODEC23!AE23</f>
        <v>20000</v>
      </c>
      <c r="AF23" s="5" t="e">
        <f>HISTOJANV23!AF23+HISTOFEV23!AF23+HISTOMARS23!AF23+HISTOAVRIL23!AF23+HISTOMAI23!AF23+HISTOJUIN23!AF23+HISTOJUIL23!AF23+HISTOAOUT23!AF23+HISTOSEPT23!AF23+HISTOOCT23!AF23+HISTONOV23!AF23+HISTODEC23!AF23</f>
        <v>#VALUE!</v>
      </c>
      <c r="AG23" s="5">
        <f>HISTOJANV23!AG23+HISTOFEV23!AG23+HISTOMARS23!AG23+HISTOAVRIL23!AG23+HISTOMAI23!AG23+HISTOJUIN23!AG23+HISTOJUIL23!AG23+HISTOAOUT23!AG23+HISTOSEPT23!AG23+HISTOOCT23!AG23+HISTONOV23!AG23+HISTODEC23!AG23</f>
        <v>0</v>
      </c>
      <c r="AH23" s="5">
        <f>HISTOJANV23!AH23+HISTOFEV23!AH23+HISTOMARS23!AH23+HISTOAVRIL23!AH23+HISTOMAI23!AH23+HISTOJUIN23!AH23+HISTOJUIL23!AH23+HISTOAOUT23!AH23+HISTOSEPT23!AH23+HISTOOCT23!AH23+HISTONOV23!AH23+HISTODEC23!AH23</f>
        <v>0</v>
      </c>
      <c r="AI23" s="5">
        <f>HISTOJANV23!AI23+HISTOFEV23!AI23+HISTOMARS23!AI23+HISTOAVRIL23!AI23+HISTOMAI23!AI23+HISTOJUIN23!AI23+HISTOJUIL23!AI23+HISTOAOUT23!AI23+HISTOSEPT23!AI23+HISTOOCT23!AI23+HISTONOV23!AI23+HISTODEC23!AI23</f>
        <v>0</v>
      </c>
      <c r="AJ23" s="5">
        <f>HISTOJANV23!AJ23+HISTOFEV23!AJ23+HISTOMARS23!AJ23+HISTOAVRIL23!AJ23+HISTOMAI23!AJ23+HISTOJUIN23!AJ23+HISTOJUIL23!AJ23+HISTOAOUT23!AJ23+HISTOSEPT23!AJ23+HISTOOCT23!AJ23+HISTONOV23!AJ23+HISTODEC23!AJ23</f>
        <v>0</v>
      </c>
      <c r="AK23" s="5">
        <f>HISTOJANV23!AK23+HISTOFEV23!AK23+HISTOMARS23!AK23+HISTOAVRIL23!AK23+HISTOMAI23!AK23+HISTOJUIN23!AK23+HISTOJUIL23!AK23+HISTOAOUT23!AK23+HISTOSEPT23!AK23+HISTOOCT23!AK23+HISTONOV23!AK23+HISTODEC23!AK23</f>
        <v>700000</v>
      </c>
      <c r="AL23" s="5">
        <f>HISTOJANV23!AL23+HISTOFEV23!AL23+HISTOMARS23!AL23+HISTOAVRIL23!AL23+HISTOMAI23!AL23+HISTOJUIN23!AL23+HISTOJUIL23!AL23+HISTOAOUT23!AL23+HISTOSEPT23!AL23+HISTOOCT23!AL23+HISTONOV23!AL23+HISTODEC23!AL23</f>
        <v>0</v>
      </c>
      <c r="AM23" s="5">
        <f>HISTOJANV23!AM23+HISTOFEV23!AM23+HISTOMARS23!AM23+HISTOAVRIL23!AM23+HISTOMAI23!AM23+HISTOJUIN23!AM23+HISTOJUIL23!AM23+HISTOAOUT23!AM23+HISTOSEPT23!AM23+HISTOOCT23!AM23+HISTONOV23!AM23+HISTODEC23!AM23</f>
        <v>0</v>
      </c>
      <c r="AN23" s="5">
        <f>HISTOJANV23!AN23+HISTOFEV23!AN23+HISTOMARS23!AN23+HISTOAVRIL23!AN23+HISTOMAI23!AN23+HISTOJUIN23!AN23+HISTOJUIL23!AN23+HISTOAOUT23!AN23+HISTOSEPT23!AN23+HISTOOCT23!AN23+HISTONOV23!AN23+HISTODEC23!AN23</f>
        <v>7000</v>
      </c>
      <c r="AO23" s="5">
        <f>HISTOJANV23!AO23+HISTOFEV23!AO23+HISTOMARS23!AO23+HISTOAVRIL23!AO23+HISTOMAI23!AO23+HISTOJUIN23!AO23+HISTOJUIL23!AO23+HISTOAOUT23!AO23+HISTOSEPT23!AO23+HISTOOCT23!AO23+HISTONOV23!AO23+HISTODEC23!AO23</f>
        <v>0</v>
      </c>
      <c r="AP23" s="5" t="e">
        <f>HISTOJANV23!AP23+HISTOFEV23!AP23+HISTOMARS23!AP23+HISTOAVRIL23!AP23+HISTOMAI23!AP23+HISTOJUIN23!AP23+HISTOJUIL23!AP23+HISTOAOUT23!AP23+HISTOSEPT23!AP23+HISTOOCT23!AP23+HISTONOV23!AP23+HISTODEC23!AP23</f>
        <v>#VALUE!</v>
      </c>
      <c r="AQ23" s="5">
        <f>HISTOJANV23!AQ23+HISTOFEV23!AQ23+HISTOMARS23!AQ23+HISTOAVRIL23!AQ23+HISTOMAI23!AQ23+HISTOJUIN23!AQ23+HISTOJUIL23!AQ23+HISTOAOUT23!AQ23+HISTOSEPT23!AQ23+HISTOOCT23!AQ23+HISTONOV23!AQ23+HISTODEC23!AQ23</f>
        <v>0</v>
      </c>
      <c r="AR23" s="5">
        <f>HISTOJANV23!AR23+HISTOFEV23!AR23+HISTOMARS23!AR23+HISTOAVRIL23!AR23+HISTOMAI23!AR23+HISTOJUIN23!AR23+HISTOJUIL23!AR23+HISTOAOUT23!AR23+HISTOSEPT23!AR23+HISTOOCT23!AR23+HISTONOV23!AR23+HISTODEC23!AR23</f>
        <v>0</v>
      </c>
      <c r="AS23" s="5">
        <f>HISTOJANV23!AS23+HISTOFEV23!AS23+HISTOMARS23!AS23+HISTOAVRIL23!AS23+HISTOMAI23!AS23+HISTOJUIN23!AS23+HISTOJUIL23!AS23+HISTOAOUT23!AS23+HISTOSEPT23!AS23+HISTOOCT23!AS23+HISTONOV23!AS23+HISTODEC23!AS23</f>
        <v>296000</v>
      </c>
      <c r="AT23" s="5">
        <f>HISTOJANV23!AT23+HISTOFEV23!AT23+HISTOMARS23!AT23+HISTOAVRIL23!AT23+HISTOMAI23!AT23+HISTOJUIN23!AT23+HISTOJUIL23!AT23+HISTOAOUT23!AT23+HISTOSEPT23!AT23+HISTOOCT23!AT23+HISTONOV23!AT23+HISTODEC23!AT23</f>
        <v>0</v>
      </c>
      <c r="AU23" s="5">
        <f>HISTOJANV23!AU23+HISTOFEV23!AU23+HISTOMARS23!AU23+HISTOAVRIL23!AU23+HISTOMAI23!AU23+HISTOJUIN23!AU23+HISTOJUIL23!AU23+HISTOAOUT23!AU23+HISTOSEPT23!AU23+HISTOOCT23!AU23+HISTONOV23!AU23+HISTODEC23!AU23</f>
        <v>0</v>
      </c>
      <c r="AV23" s="5">
        <f>HISTOJANV23!AV23+HISTOFEV23!AV23+HISTOMARS23!AV23+HISTOAVRIL23!AV23+HISTOMAI23!AV23+HISTOJUIN23!AV23+HISTOJUIL23!AV23+HISTOAOUT23!AV23+HISTOSEPT23!AV23+HISTOOCT23!AV23+HISTONOV23!AV23+HISTODEC23!AV23</f>
        <v>0</v>
      </c>
      <c r="AW23" s="5">
        <f>HISTOJANV23!AW23+HISTOFEV23!AW23+HISTOMARS23!AW23+HISTOAVRIL23!AW23+HISTOMAI23!AW23+HISTOJUIN23!AW23+HISTOJUIL23!AW23+HISTOAOUT23!AW23+HISTOSEPT23!AW23+HISTOOCT23!AW23+HISTONOV23!AW23+HISTODEC23!AW23</f>
        <v>297500</v>
      </c>
      <c r="AX23" s="5">
        <f>HISTOJANV23!AX23+HISTOFEV23!AX23+HISTOMARS23!AX23+HISTOAVRIL23!AX23+HISTOMAI23!AX23+HISTOJUIN23!AX23+HISTOJUIL23!AX23+HISTOAOUT23!AX23+HISTOSEPT23!AX23+HISTOOCT23!AX23+HISTONOV23!AX23+HISTODEC23!AX23</f>
        <v>0</v>
      </c>
      <c r="AY23" s="5">
        <f>HISTOJANV23!AY23+HISTOFEV23!AY23+HISTOMARS23!AY23+HISTOAVRIL23!AY23+HISTOMAI23!AY23+HISTOJUIN23!AY23+HISTOJUIL23!AY23+HISTOAOUT23!AY23+HISTOSEPT23!AY23+HISTOOCT23!AY23+HISTONOV23!AY23+HISTODEC23!AY23</f>
        <v>3080000</v>
      </c>
      <c r="AZ23" s="5">
        <f>HISTOJANV23!AZ23+HISTOFEV23!AZ23+HISTOMARS23!AZ23+HISTOAVRIL23!AZ23+HISTOMAI23!AZ23+HISTOJUIN23!AZ23+HISTOJUIL23!AZ23+HISTOAOUT23!AZ23+HISTOSEPT23!AZ23+HISTOOCT23!AZ23+HISTONOV23!AZ23+HISTODEC23!AZ23</f>
        <v>3777500</v>
      </c>
      <c r="BA23" s="5">
        <f>HISTOJANV23!BA23+HISTOFEV23!BA23+HISTOMARS23!BA23+HISTOAVRIL23!BA23+HISTOMAI23!BA23+HISTOJUIN23!BA23+HISTOJUIL23!BA23+HISTOAOUT23!BA23+HISTOSEPT23!BA23+HISTOOCT23!BA23+HISTONOV23!BA23+HISTODEC23!BA23</f>
        <v>400000</v>
      </c>
      <c r="BB23" s="5">
        <f>HISTOJANV23!BB23+HISTOFEV23!BB23+HISTOMARS23!BB23+HISTOAVRIL23!BB23+HISTOMAI23!BB23+HISTOJUIN23!BB23+HISTOJUIL23!BB23+HISTOAOUT23!BB23+HISTOSEPT23!BB23+HISTOOCT23!BB23+HISTONOV23!BB23+HISTODEC23!BB23</f>
        <v>70000</v>
      </c>
      <c r="BC23" s="5">
        <f>HISTOJANV23!BC23+HISTOFEV23!BC23+HISTOMARS23!BC23+HISTOAVRIL23!BC23+HISTOMAI23!BC23+HISTOJUIN23!BC23+HISTOJUIL23!BC23+HISTOAOUT23!BC23+HISTOSEPT23!BC23+HISTOOCT23!BC23+HISTONOV23!BC23+HISTODEC23!BC23</f>
        <v>0</v>
      </c>
      <c r="BD23" s="5">
        <f>HISTOJANV23!BD23+HISTOFEV23!BD23+HISTOMARS23!BD23+HISTOAVRIL23!BD23+HISTOMAI23!BD23+HISTOJUIN23!BD23+HISTOJUIL23!BD23+HISTOAOUT23!BD23+HISTOSEPT23!BD23+HISTOOCT23!BD23+HISTONOV23!BD23+HISTODEC23!BD23</f>
        <v>3597500</v>
      </c>
      <c r="BE23" s="82">
        <f>HISTOJANV23!BE23+HISTOFEV23!BE23+HISTOMARS23!BE23+HISTOAVRIL23!BE23+HISTOMAI23!BE23+HISTOJUIN23!BE23+HISTOJUIL23!BE23+HISTOAOUT23!BE23+HISTOSEPT23!BE23+HISTOOCT23!BE23+HISTONOV23!BE23+HISTODEC23!BE23</f>
        <v>3007500</v>
      </c>
      <c r="BF23" s="5">
        <f>HISTOJANV23!BF23+HISTOFEV23!BF23+HISTOMARS23!BF23+HISTOAVRIL23!BF23+HISTOMAI23!BF23+HISTOJUIN23!BF23+HISTOJUIL23!BF23+HISTOAOUT23!BF23+HISTOSEPT23!BF23+HISTOOCT23!BF23+HISTONOV23!BF23+HISTODEC23!BF23</f>
        <v>54000</v>
      </c>
      <c r="BG23" s="5">
        <f>HISTOJANV23!BG23+HISTOFEV23!BG23+HISTOMARS23!BG23+HISTOAVRIL23!BG23+HISTOMAI23!BG23+HISTOJUIN23!BG23+HISTOJUIL23!BG23+HISTOAOUT23!BG23+HISTOSEPT23!BG23+HISTOOCT23!BG23+HISTONOV23!BG23+HISTODEC23!BG23</f>
        <v>72</v>
      </c>
      <c r="BH23" s="5">
        <f>HISTOJANV23!BH23+HISTOFEV23!BH23+HISTOMARS23!BH23+HISTOAVRIL23!BH23+HISTOMAI23!BH23+HISTOJUIN23!BH23+HISTOJUIL23!BH23+HISTOAOUT23!BH23+HISTOSEPT23!BH23+HISTOOCT23!BH23+HISTONOV23!BH23+HISTODEC23!BH23</f>
        <v>0</v>
      </c>
      <c r="BI23" s="5">
        <f>HISTOJANV23!BI23+HISTOFEV23!BI23+HISTOMARS23!BI23+HISTOAVRIL23!BI23+HISTOMAI23!BI23+HISTOJUIN23!BI23+HISTOJUIL23!BI23+HISTOAOUT23!BI23+HISTOSEPT23!BI23+HISTOOCT23!BI23+HISTONOV23!BI23+HISTODEC23!BI23</f>
        <v>0</v>
      </c>
      <c r="BJ23" s="5">
        <f>HISTOJANV23!BJ23+HISTOFEV23!BJ23+HISTOMARS23!BJ23+HISTOAVRIL23!BJ23+HISTOMAI23!BJ23+HISTOJUIN23!BJ23+HISTOJUIL23!BJ23+HISTOAOUT23!BJ23+HISTOSEPT23!BJ23+HISTOOCT23!BJ23+HISTONOV23!BJ23+HISTODEC23!BJ23</f>
        <v>0</v>
      </c>
      <c r="BK23" s="5">
        <f>HISTOJANV23!BK23+HISTOFEV23!BK23+HISTOMARS23!BK23+HISTOAVRIL23!BK23+HISTOMAI23!BK23+HISTOJUIN23!BK23+HISTOJUIL23!BK23+HISTOAOUT23!BK23+HISTOSEPT23!BK23+HISTOOCT23!BK23+HISTONOV23!BK23+HISTODEC23!BK23</f>
        <v>0</v>
      </c>
      <c r="BL23" s="5">
        <f>HISTOJANV23!BL23+HISTOFEV23!BL23+HISTOMARS23!BL23+HISTOAVRIL23!BL23+HISTOMAI23!BL23+HISTOJUIN23!BL23+HISTOJUIL23!BL23+HISTOAOUT23!BL23+HISTOSEPT23!BL23+HISTOOCT23!BL23+HISTONOV23!BL23+HISTODEC23!BL23</f>
        <v>0</v>
      </c>
      <c r="BM23" s="5">
        <f>HISTOJANV23!BM23+HISTOFEV23!BM23+HISTOMARS23!BM23+HISTOAVRIL23!BM23+HISTOMAI23!BM23+HISTOJUIN23!BM23+HISTOJUIL23!BM23+HISTOAOUT23!BM23+HISTOSEPT23!BM23+HISTOOCT23!BM23+HISTONOV23!BM23+HISTODEC23!BM23</f>
        <v>0</v>
      </c>
    </row>
    <row r="24" spans="1:68" ht="18.75" x14ac:dyDescent="0.3">
      <c r="A24" s="1" t="s">
        <v>29</v>
      </c>
      <c r="B24" s="1" t="str">
        <f>VLOOKUP(A24,[17]LISTADHERENT!A$5:H$39,3,0)</f>
        <v>NGONDIEP CLAUDE</v>
      </c>
      <c r="C24" s="5">
        <f>HISTOJANV23!C24+HISTOFEV23!C24+HISTOMARS23!C24+HISTOAVRIL23!C24+HISTOMAI23!C24+HISTOJUIN23!C24+HISTOJUIL23!C24+HISTOAOUT23!C24+HISTOSEPT23!C24+HISTOOCT23!C24+HISTONOV23!C24+HISTODEC23!C24</f>
        <v>-526000</v>
      </c>
      <c r="D24" s="5">
        <f>HISTOJANV23!D24+HISTOFEV23!D24+HISTOMARS23!D24+HISTOAVRIL23!D24+HISTOMAI23!D24+HISTOJUIN23!D24+HISTOJUIL23!D24+HISTOAOUT23!D24+HISTOSEPT23!D24+HISTOOCT23!D24+HISTONOV23!D24+HISTODEC23!D24</f>
        <v>4135000</v>
      </c>
      <c r="E24" s="5">
        <f>HISTOJANV23!E24+HISTOFEV23!E24+HISTOMARS23!E24+HISTOAVRIL23!E24+HISTOMAI23!E24+HISTOJUIN23!E24+HISTOJUIL23!E24+HISTOAOUT23!E24+HISTOSEPT23!E24+HISTOOCT23!E24+HISTONOV23!E24+HISTODEC23!E24</f>
        <v>439000</v>
      </c>
      <c r="F24" s="5">
        <f>HISTOJANV23!F24+HISTOFEV23!F24+HISTOMARS23!F24+HISTOAVRIL23!F24+HISTOMAI23!F24+HISTOJUIN23!F24+HISTOJUIL23!F24+HISTOAOUT23!F24+HISTOSEPT23!F24+HISTOOCT23!F24+HISTONOV23!F24+HISTODEC23!F24</f>
        <v>70000</v>
      </c>
      <c r="G24" s="5">
        <f>HISTOJANV23!G24+HISTOFEV23!G24+HISTOMARS23!G24+HISTOAVRIL23!G24+HISTOMAI23!G24+HISTOJUIN23!G24+HISTOJUIL23!G24+HISTOAOUT23!G24+HISTOSEPT23!G24+HISTOOCT23!G24+HISTONOV23!G24+HISTODEC23!G24</f>
        <v>3000</v>
      </c>
      <c r="H24" s="10" t="str">
        <f t="shared" si="0"/>
        <v>BANQUE</v>
      </c>
      <c r="I24" s="5">
        <f>HISTOJANV23!I24+HISTOFEV23!I24+HISTOMARS23!I24+HISTOAVRIL23!I24+HISTOMAI23!I24+HISTOJUIN23!I24+HISTOJUIL23!I24+HISTOAOUT23!I24+HISTOSEPT23!I24+HISTOOCT23!I24+HISTONOV23!I24+HISTODEC23!I24</f>
        <v>12000</v>
      </c>
      <c r="J24" s="5">
        <f>HISTOJANV23!J24+HISTOFEV23!J24+HISTOMARS23!J24+HISTOAVRIL23!J24+HISTOMAI23!J24+HISTOJUIN23!J24+HISTOJUIL23!J24+HISTOAOUT23!J24+HISTOSEPT23!J24+HISTOOCT23!J24+HISTONOV23!J24+HISTODEC23!J24</f>
        <v>12</v>
      </c>
      <c r="K24" s="5">
        <f>HISTOJANV23!K24+HISTOFEV23!K24+HISTOMARS23!K24+HISTOAVRIL23!K24+HISTOMAI23!K24+HISTOJUIN23!K24+HISTOJUIL23!K24+HISTOAOUT23!K24+HISTOSEPT23!K24+HISTOOCT23!K24+HISTONOV23!K24+HISTODEC23!K24</f>
        <v>480000</v>
      </c>
      <c r="L24" s="5">
        <f>HISTOJANV23!L24+HISTOFEV23!L24+HISTOMARS23!L24+HISTOAVRIL23!L24+HISTOMAI23!L24+HISTOJUIN23!L24+HISTOJUIL23!L24+HISTOAOUT23!L24+HISTOSEPT23!L24+HISTOOCT23!L24+HISTONOV23!L24+HISTODEC23!L24</f>
        <v>12</v>
      </c>
      <c r="M24" s="5">
        <f>HISTOJANV23!M24+HISTOFEV23!M24+HISTOMARS23!M24+HISTOAVRIL23!M24+HISTOMAI23!M24+HISTOJUIN23!M24+HISTOJUIL23!M24+HISTOAOUT23!M24+HISTOSEPT23!M24+HISTOOCT23!M24+HISTONOV23!M24+HISTODEC23!M24</f>
        <v>900000</v>
      </c>
      <c r="N24" s="5">
        <f>HISTOJANV23!N24+HISTOFEV23!N24+HISTOMARS23!N24+HISTOAVRIL23!N24+HISTOMAI23!N24+HISTOJUIN23!N24+HISTOJUIL23!N24+HISTOAOUT23!N24+HISTOSEPT23!N24+HISTOOCT23!N24+HISTONOV23!N24+HISTODEC23!N24</f>
        <v>12</v>
      </c>
      <c r="O24" s="5">
        <f>HISTOJANV23!O24+HISTOFEV23!O24+HISTOMARS23!O24+HISTOAVRIL23!O24+HISTOMAI23!O24+HISTOJUIN23!O24+HISTOJUIL23!O24+HISTOAOUT23!O24+HISTOSEPT23!O24+HISTOOCT23!O24+HISTONOV23!O24+HISTODEC23!O24</f>
        <v>1200000</v>
      </c>
      <c r="P24" s="5">
        <f>HISTOJANV23!P24+HISTOFEV23!P24+HISTOMARS23!P24+HISTOAVRIL23!P24+HISTOMAI23!P24+HISTOJUIN23!P24+HISTOJUIL23!P24+HISTOAOUT23!P24+HISTOSEPT23!P24+HISTOOCT23!P24+HISTONOV23!P24+HISTODEC23!P24</f>
        <v>148000</v>
      </c>
      <c r="Q24" s="5">
        <f>HISTOJANV23!Q24+HISTOFEV23!Q24+HISTOMARS23!Q24+HISTOAVRIL23!Q24+HISTOMAI23!Q24+HISTOJUIN23!Q24+HISTOJUIL23!Q24+HISTOAOUT23!Q24+HISTOSEPT23!Q24+HISTOOCT23!Q24+HISTONOV23!Q24+HISTODEC23!Q24</f>
        <v>442000</v>
      </c>
      <c r="R24" s="5">
        <f>HISTOJANV23!R24+HISTOFEV23!R24+HISTOMARS23!R24+HISTOAVRIL23!R24+HISTOMAI23!R24+HISTOJUIN23!R24+HISTOJUIL23!R24+HISTOAOUT23!R24+HISTOSEPT23!R24+HISTOOCT23!R24+HISTONOV23!R24+HISTODEC23!R24</f>
        <v>915000</v>
      </c>
      <c r="S24" s="5">
        <f>HISTOJANV23!S24+HISTOFEV23!S24+HISTOMARS23!S24+HISTOAVRIL23!S24+HISTOMAI23!S24+HISTOJUIN23!S24+HISTOJUIL23!S24+HISTOAOUT23!S24+HISTOSEPT23!S24+HISTOOCT23!S24+HISTONOV23!S24+HISTODEC23!S24</f>
        <v>1000000</v>
      </c>
      <c r="T24" s="5" t="e">
        <f>HISTOJANV23!T24+HISTOFEV23!T24+HISTOMARS23!T24+HISTOAVRIL23!T24+HISTOMAI23!T24+HISTOJUIN23!T24+HISTOJUIL23!T24+HISTOAOUT23!T24+HISTOSEPT23!T24+HISTOOCT23!T24+HISTONOV23!T24+HISTODEC23!T24</f>
        <v>#VALUE!</v>
      </c>
      <c r="U24" s="17">
        <f t="shared" si="1"/>
        <v>5115000</v>
      </c>
      <c r="V24" s="5">
        <f>HISTOJANV23!V24+HISTOFEV23!V24+HISTOMARS23!V24+HISTOAVRIL23!V24+HISTOMAI23!V24+HISTOJUIN23!V24+HISTOJUIL23!V24+HISTOAOUT23!V24+HISTOSEPT23!V24+HISTOOCT23!V24+HISTONOV23!V24+HISTODEC23!V24</f>
        <v>15000</v>
      </c>
      <c r="W24" s="5">
        <f>HISTOJANV23!W24+HISTOFEV23!W24+HISTOMARS23!W24+HISTOAVRIL23!W24+HISTOMAI23!W24+HISTOJUIN23!W24+HISTOJUIL23!W24+HISTOAOUT23!W24+HISTOSEPT23!W24+HISTOOCT23!W24+HISTONOV23!W24+HISTODEC23!W24</f>
        <v>0</v>
      </c>
      <c r="X24" s="5">
        <f>HISTOJANV23!X24+HISTOFEV23!X24+HISTOMARS23!X24+HISTOAVRIL23!X24+HISTOMAI23!X24+HISTOJUIN23!X24+HISTOJUIL23!X24+HISTOAOUT23!X24+HISTOSEPT23!X24+HISTOOCT23!X24+HISTONOV23!X24+HISTODEC23!X24</f>
        <v>0</v>
      </c>
      <c r="Y24" s="5">
        <f>HISTOJANV23!Y24+HISTOFEV23!Y24+HISTOMARS23!Y24+HISTOAVRIL23!Y24+HISTOMAI23!Y24+HISTOJUIN23!Y24+HISTOJUIL23!Y24+HISTOAOUT23!Y24+HISTOSEPT23!Y24+HISTOOCT23!Y24+HISTONOV23!Y24+HISTODEC23!Y24</f>
        <v>0</v>
      </c>
      <c r="Z24" s="5">
        <f>HISTOJANV23!Z24+HISTOFEV23!Z24+HISTOMARS23!Z24+HISTOAVRIL23!Z24+HISTOMAI23!Z24+HISTOJUIN23!Z24+HISTOJUIL23!Z24+HISTOAOUT23!Z24+HISTOSEPT23!Z24+HISTOOCT23!Z24+HISTONOV23!Z24+HISTODEC23!Z24</f>
        <v>1000000</v>
      </c>
      <c r="AA24" s="5" t="e">
        <f>HISTOJANV23!AA24+HISTOFEV23!AA24+HISTOMARS23!AA24+HISTOAVRIL23!AA24+HISTOMAI23!AA24+HISTOJUIN23!AA24+HISTOJUIL23!AA24+HISTOAOUT23!AA24+HISTOSEPT23!AA24+HISTOOCT23!AA24+HISTONOV23!AA24+HISTODEC23!AA24</f>
        <v>#VALUE!</v>
      </c>
      <c r="AB24" s="5">
        <f>HISTOJANV23!AB24+HISTOFEV23!AB24+HISTOMARS23!AB24+HISTOAVRIL23!AB24+HISTOMAI23!AB24+HISTOJUIN23!AB24+HISTOJUIL23!AB24+HISTOAOUT23!AB24+HISTOSEPT23!AB24+HISTOOCT23!AB24+HISTONOV23!AB24+HISTODEC23!AB24</f>
        <v>0</v>
      </c>
      <c r="AC24" s="5">
        <f>HISTOJANV23!AC24+HISTOFEV23!AC24+HISTOMARS23!AC24+HISTOAVRIL23!AC24+HISTOMAI23!AC24+HISTOJUIN23!AC24+HISTOJUIL23!AC24+HISTOAOUT23!AC24+HISTOSEPT23!AC24+HISTOOCT23!AC24+HISTONOV23!AC24+HISTODEC23!AC24</f>
        <v>3000</v>
      </c>
      <c r="AD24" s="5">
        <f>HISTOJANV23!AD24+HISTOFEV23!AD24+HISTOMARS23!AD24+HISTOAVRIL23!AD24+HISTOMAI23!AD24+HISTOJUIN23!AD24+HISTOJUIL23!AD24+HISTOAOUT23!AD24+HISTOSEPT23!AD24+HISTOOCT23!AD24+HISTONOV23!AD24+HISTODEC23!AD24</f>
        <v>105000</v>
      </c>
      <c r="AE24" s="5">
        <f>HISTOJANV23!AE24+HISTOFEV23!AE24+HISTOMARS23!AE24+HISTOAVRIL23!AE24+HISTOMAI23!AE24+HISTOJUIN23!AE24+HISTOJUIL23!AE24+HISTOAOUT23!AE24+HISTOSEPT23!AE24+HISTOOCT23!AE24+HISTONOV23!AE24+HISTODEC23!AE24</f>
        <v>125000</v>
      </c>
      <c r="AF24" s="5" t="e">
        <f>HISTOJANV23!AF24+HISTOFEV23!AF24+HISTOMARS23!AF24+HISTOAVRIL23!AF24+HISTOMAI23!AF24+HISTOJUIN23!AF24+HISTOJUIL23!AF24+HISTOAOUT23!AF24+HISTOSEPT23!AF24+HISTOOCT23!AF24+HISTONOV23!AF24+HISTODEC23!AF24</f>
        <v>#VALUE!</v>
      </c>
      <c r="AG24" s="5">
        <f>HISTOJANV23!AG24+HISTOFEV23!AG24+HISTOMARS23!AG24+HISTOAVRIL23!AG24+HISTOMAI23!AG24+HISTOJUIN23!AG24+HISTOJUIL23!AG24+HISTOAOUT23!AG24+HISTOSEPT23!AG24+HISTOOCT23!AG24+HISTONOV23!AG24+HISTODEC23!AG24</f>
        <v>0</v>
      </c>
      <c r="AH24" s="5">
        <f>HISTOJANV23!AH24+HISTOFEV23!AH24+HISTOMARS23!AH24+HISTOAVRIL23!AH24+HISTOMAI23!AH24+HISTOJUIN23!AH24+HISTOJUIL23!AH24+HISTOAOUT23!AH24+HISTOSEPT23!AH24+HISTOOCT23!AH24+HISTONOV23!AH24+HISTODEC23!AH24</f>
        <v>0</v>
      </c>
      <c r="AI24" s="5">
        <f>HISTOJANV23!AI24+HISTOFEV23!AI24+HISTOMARS23!AI24+HISTOAVRIL23!AI24+HISTOMAI23!AI24+HISTOJUIN23!AI24+HISTOJUIL23!AI24+HISTOAOUT23!AI24+HISTOSEPT23!AI24+HISTOOCT23!AI24+HISTONOV23!AI24+HISTODEC23!AI24</f>
        <v>146000</v>
      </c>
      <c r="AJ24" s="5">
        <f>HISTOJANV23!AJ24+HISTOFEV23!AJ24+HISTOMARS23!AJ24+HISTOAVRIL23!AJ24+HISTOMAI23!AJ24+HISTOJUIN23!AJ24+HISTOJUIL23!AJ24+HISTOAOUT23!AJ24+HISTOSEPT23!AJ24+HISTOOCT23!AJ24+HISTONOV23!AJ24+HISTODEC23!AJ24</f>
        <v>434000</v>
      </c>
      <c r="AK24" s="5">
        <f>HISTOJANV23!AK24+HISTOFEV23!AK24+HISTOMARS23!AK24+HISTOAVRIL23!AK24+HISTOMAI23!AK24+HISTOJUIN23!AK24+HISTOJUIL23!AK24+HISTOAOUT23!AK24+HISTOSEPT23!AK24+HISTOOCT23!AK24+HISTONOV23!AK24+HISTODEC23!AK24</f>
        <v>900000</v>
      </c>
      <c r="AL24" s="5">
        <f>HISTOJANV23!AL24+HISTOFEV23!AL24+HISTOMARS23!AL24+HISTOAVRIL23!AL24+HISTOMAI23!AL24+HISTOJUIN23!AL24+HISTOJUIL23!AL24+HISTOAOUT23!AL24+HISTOSEPT23!AL24+HISTOOCT23!AL24+HISTONOV23!AL24+HISTODEC23!AL24</f>
        <v>4000</v>
      </c>
      <c r="AM24" s="5">
        <f>HISTOJANV23!AM24+HISTOFEV23!AM24+HISTOMARS23!AM24+HISTOAVRIL23!AM24+HISTOMAI23!AM24+HISTOJUIN23!AM24+HISTOJUIL23!AM24+HISTOAOUT23!AM24+HISTOSEPT23!AM24+HISTOOCT23!AM24+HISTONOV23!AM24+HISTODEC23!AM24</f>
        <v>8000</v>
      </c>
      <c r="AN24" s="5">
        <f>HISTOJANV23!AN24+HISTOFEV23!AN24+HISTOMARS23!AN24+HISTOAVRIL23!AN24+HISTOMAI23!AN24+HISTOJUIN23!AN24+HISTOJUIL23!AN24+HISTOAOUT23!AN24+HISTOSEPT23!AN24+HISTOOCT23!AN24+HISTONOV23!AN24+HISTODEC23!AN24</f>
        <v>15000</v>
      </c>
      <c r="AO24" s="5">
        <f>HISTOJANV23!AO24+HISTOFEV23!AO24+HISTOMARS23!AO24+HISTOAVRIL23!AO24+HISTOMAI23!AO24+HISTOJUIN23!AO24+HISTOJUIL23!AO24+HISTOAOUT23!AO24+HISTOSEPT23!AO24+HISTOOCT23!AO24+HISTONOV23!AO24+HISTODEC23!AO24</f>
        <v>0</v>
      </c>
      <c r="AP24" s="5" t="e">
        <f>HISTOJANV23!AP24+HISTOFEV23!AP24+HISTOMARS23!AP24+HISTOAVRIL23!AP24+HISTOMAI23!AP24+HISTOJUIN23!AP24+HISTOJUIL23!AP24+HISTOAOUT23!AP24+HISTOSEPT23!AP24+HISTOOCT23!AP24+HISTONOV23!AP24+HISTODEC23!AP24</f>
        <v>#VALUE!</v>
      </c>
      <c r="AQ24" s="5">
        <f>HISTOJANV23!AQ24+HISTOFEV23!AQ24+HISTOMARS23!AQ24+HISTOAVRIL23!AQ24+HISTOMAI23!AQ24+HISTOJUIN23!AQ24+HISTOJUIL23!AQ24+HISTOAOUT23!AQ24+HISTOSEPT23!AQ24+HISTOOCT23!AQ24+HISTONOV23!AQ24+HISTODEC23!AQ24</f>
        <v>0</v>
      </c>
      <c r="AR24" s="5">
        <f>HISTOJANV23!AR24+HISTOFEV23!AR24+HISTOMARS23!AR24+HISTOAVRIL23!AR24+HISTOMAI23!AR24+HISTOJUIN23!AR24+HISTOJUIL23!AR24+HISTOAOUT23!AR24+HISTOSEPT23!AR24+HISTOOCT23!AR24+HISTONOV23!AR24+HISTODEC23!AR24</f>
        <v>0</v>
      </c>
      <c r="AS24" s="5">
        <f>HISTOJANV23!AS24+HISTOFEV23!AS24+HISTOMARS23!AS24+HISTOAVRIL23!AS24+HISTOMAI23!AS24+HISTOJUIN23!AS24+HISTOJUIL23!AS24+HISTOAOUT23!AS24+HISTOSEPT23!AS24+HISTOOCT23!AS24+HISTONOV23!AS24+HISTODEC23!AS24</f>
        <v>192000</v>
      </c>
      <c r="AT24" s="5">
        <f>HISTOJANV23!AT24+HISTOFEV23!AT24+HISTOMARS23!AT24+HISTOAVRIL23!AT24+HISTOMAI23!AT24+HISTOJUIN23!AT24+HISTOJUIL23!AT24+HISTOAOUT23!AT24+HISTOSEPT23!AT24+HISTOOCT23!AT24+HISTONOV23!AT24+HISTODEC23!AT24</f>
        <v>0</v>
      </c>
      <c r="AU24" s="5">
        <f>HISTOJANV23!AU24+HISTOFEV23!AU24+HISTOMARS23!AU24+HISTOAVRIL23!AU24+HISTOMAI23!AU24+HISTOJUIN23!AU24+HISTOJUIL23!AU24+HISTOAOUT23!AU24+HISTOSEPT23!AU24+HISTOOCT23!AU24+HISTONOV23!AU24+HISTODEC23!AU24</f>
        <v>0</v>
      </c>
      <c r="AV24" s="5">
        <f>HISTOJANV23!AV24+HISTOFEV23!AV24+HISTOMARS23!AV24+HISTOAVRIL23!AV24+HISTOMAI23!AV24+HISTOJUIN23!AV24+HISTOJUIL23!AV24+HISTOAOUT23!AV24+HISTOSEPT23!AV24+HISTOOCT23!AV24+HISTONOV23!AV24+HISTODEC23!AV24</f>
        <v>0</v>
      </c>
      <c r="AW24" s="5">
        <f>HISTOJANV23!AW24+HISTOFEV23!AW24+HISTOMARS23!AW24+HISTOAVRIL23!AW24+HISTOMAI23!AW24+HISTOJUIN23!AW24+HISTOJUIL23!AW24+HISTOAOUT23!AW24+HISTOSEPT23!AW24+HISTOOCT23!AW24+HISTONOV23!AW24+HISTODEC23!AW24</f>
        <v>443000</v>
      </c>
      <c r="AX24" s="5">
        <f>HISTOJANV23!AX24+HISTOFEV23!AX24+HISTOMARS23!AX24+HISTOAVRIL23!AX24+HISTOMAI23!AX24+HISTOJUIN23!AX24+HISTOJUIL23!AX24+HISTOAOUT23!AX24+HISTOSEPT23!AX24+HISTOOCT23!AX24+HISTONOV23!AX24+HISTODEC23!AX24</f>
        <v>1229000</v>
      </c>
      <c r="AY24" s="5">
        <f>HISTOJANV23!AY24+HISTOFEV23!AY24+HISTOMARS23!AY24+HISTOAVRIL23!AY24+HISTOMAI23!AY24+HISTOJUIN23!AY24+HISTOJUIL23!AY24+HISTOAOUT23!AY24+HISTOSEPT23!AY24+HISTOOCT23!AY24+HISTONOV23!AY24+HISTODEC23!AY24</f>
        <v>1975000</v>
      </c>
      <c r="AZ24" s="5">
        <f>HISTOJANV23!AZ24+HISTOFEV23!AZ24+HISTOMARS23!AZ24+HISTOAVRIL23!AZ24+HISTOMAI23!AZ24+HISTOJUIN23!AZ24+HISTOJUIL23!AZ24+HISTOAOUT23!AZ24+HISTOSEPT23!AZ24+HISTOOCT23!AZ24+HISTONOV23!AZ24+HISTODEC23!AZ24</f>
        <v>4396000</v>
      </c>
      <c r="BA24" s="5">
        <f>HISTOJANV23!BA24+HISTOFEV23!BA24+HISTOMARS23!BA24+HISTOAVRIL23!BA24+HISTOMAI23!BA24+HISTOJUIN23!BA24+HISTOJUIL23!BA24+HISTOAOUT23!BA24+HISTOSEPT23!BA24+HISTOOCT23!BA24+HISTONOV23!BA24+HISTODEC23!BA24</f>
        <v>70000</v>
      </c>
      <c r="BB24" s="5">
        <f>HISTOJANV23!BB24+HISTOFEV23!BB24+HISTOMARS23!BB24+HISTOAVRIL23!BB24+HISTOMAI23!BB24+HISTOJUIN23!BB24+HISTOJUIL23!BB24+HISTOAOUT23!BB24+HISTOSEPT23!BB24+HISTOOCT23!BB24+HISTONOV23!BB24+HISTODEC23!BB24</f>
        <v>70000</v>
      </c>
      <c r="BC24" s="5">
        <f>HISTOJANV23!BC24+HISTOFEV23!BC24+HISTOMARS23!BC24+HISTOAVRIL23!BC24+HISTOMAI23!BC24+HISTOJUIN23!BC24+HISTOJUIL23!BC24+HISTOAOUT23!BC24+HISTOSEPT23!BC24+HISTOOCT23!BC24+HISTONOV23!BC24+HISTODEC23!BC24</f>
        <v>0</v>
      </c>
      <c r="BD24" s="5">
        <f>HISTOJANV23!BD24+HISTOFEV23!BD24+HISTOMARS23!BD24+HISTOAVRIL23!BD24+HISTOMAI23!BD24+HISTOJUIN23!BD24+HISTOJUIL23!BD24+HISTOAOUT23!BD24+HISTOSEPT23!BD24+HISTOOCT23!BD24+HISTONOV23!BD24+HISTODEC23!BD24</f>
        <v>3736000</v>
      </c>
      <c r="BE24" s="82" t="e">
        <f>HISTOJANV23!BE24+HISTOFEV23!BE24+HISTOMARS23!BE24+HISTOAVRIL23!BE24+HISTOMAI23!BE24+HISTOJUIN23!BE24+HISTOJUIL23!BE24+HISTOAOUT23!BE24+HISTOSEPT23!BE24+HISTOOCT23!BE24+HISTONOV23!BE24+HISTODEC23!BE24</f>
        <v>#VALUE!</v>
      </c>
      <c r="BF24" s="5">
        <f>HISTOJANV23!BF24+HISTOFEV23!BF24+HISTOMARS23!BF24+HISTOAVRIL23!BF24+HISTOMAI23!BF24+HISTOJUIN23!BF24+HISTOJUIL23!BF24+HISTOAOUT23!BF24+HISTOSEPT23!BF24+HISTOOCT23!BF24+HISTONOV23!BF24+HISTODEC23!BF24</f>
        <v>120000</v>
      </c>
      <c r="BG24" s="5">
        <f>HISTOJANV23!BG24+HISTOFEV23!BG24+HISTOMARS23!BG24+HISTOAVRIL23!BG24+HISTOMAI23!BG24+HISTOJUIN23!BG24+HISTOJUIL23!BG24+HISTOAOUT23!BG24+HISTOSEPT23!BG24+HISTOOCT23!BG24+HISTONOV23!BG24+HISTODEC23!BG24</f>
        <v>78</v>
      </c>
      <c r="BH24" s="5">
        <f>HISTOJANV23!BH24+HISTOFEV23!BH24+HISTOMARS23!BH24+HISTOAVRIL23!BH24+HISTOMAI23!BH24+HISTOJUIN23!BH24+HISTOJUIL23!BH24+HISTOAOUT23!BH24+HISTOSEPT23!BH24+HISTOOCT23!BH24+HISTONOV23!BH24+HISTODEC23!BH24</f>
        <v>0</v>
      </c>
      <c r="BI24" s="5">
        <f>HISTOJANV23!BI24+HISTOFEV23!BI24+HISTOMARS23!BI24+HISTOAVRIL23!BI24+HISTOMAI23!BI24+HISTOJUIN23!BI24+HISTOJUIL23!BI24+HISTOAOUT23!BI24+HISTOSEPT23!BI24+HISTOOCT23!BI24+HISTONOV23!BI24+HISTODEC23!BI24</f>
        <v>0</v>
      </c>
      <c r="BJ24" s="5">
        <f>HISTOJANV23!BJ24+HISTOFEV23!BJ24+HISTOMARS23!BJ24+HISTOAVRIL23!BJ24+HISTOMAI23!BJ24+HISTOJUIN23!BJ24+HISTOJUIL23!BJ24+HISTOAOUT23!BJ24+HISTOSEPT23!BJ24+HISTOOCT23!BJ24+HISTONOV23!BJ24+HISTODEC23!BJ24</f>
        <v>0</v>
      </c>
      <c r="BK24" s="5">
        <f>HISTOJANV23!BK24+HISTOFEV23!BK24+HISTOMARS23!BK24+HISTOAVRIL23!BK24+HISTOMAI23!BK24+HISTOJUIN23!BK24+HISTOJUIL23!BK24+HISTOAOUT23!BK24+HISTOSEPT23!BK24+HISTOOCT23!BK24+HISTONOV23!BK24+HISTODEC23!BK24</f>
        <v>0</v>
      </c>
      <c r="BL24" s="5">
        <f>HISTOJANV23!BL24+HISTOFEV23!BL24+HISTOMARS23!BL24+HISTOAVRIL23!BL24+HISTOMAI23!BL24+HISTOJUIN23!BL24+HISTOJUIL23!BL24+HISTOAOUT23!BL24+HISTOSEPT23!BL24+HISTOOCT23!BL24+HISTONOV23!BL24+HISTODEC23!BL24</f>
        <v>0</v>
      </c>
      <c r="BM24" s="5">
        <f>HISTOJANV23!BM24+HISTOFEV23!BM24+HISTOMARS23!BM24+HISTOAVRIL23!BM24+HISTOMAI23!BM24+HISTOJUIN23!BM24+HISTOJUIL23!BM24+HISTOAOUT23!BM24+HISTOSEPT23!BM24+HISTOOCT23!BM24+HISTONOV23!BM24+HISTODEC23!BM24</f>
        <v>0</v>
      </c>
      <c r="BN24" t="s">
        <v>148</v>
      </c>
      <c r="BO24" t="s">
        <v>143</v>
      </c>
      <c r="BP24" s="5">
        <f>HISTOJANV23!BP24+HISTOFEV23!BP24+HISTOMARS23!BP24+HISTOAVRIL23!BP24+HISTOMAI23!BP24+HISTOJUIN23!BP24+HISTOJUIL23!BP24+HISTOAOUT23!BP24+HISTOSEPT23!BP24+HISTOOCT23!BP24+HISTONOV23!BP24+HISTODEC23!BP24</f>
        <v>0</v>
      </c>
    </row>
    <row r="25" spans="1:68" ht="18.75" x14ac:dyDescent="0.3">
      <c r="A25" s="1" t="s">
        <v>30</v>
      </c>
      <c r="B25" s="1" t="str">
        <f>VLOOKUP(A25,[17]LISTADHERENT!A$5:H$39,3,0)</f>
        <v>NGUIEMEGNI MATHIEU BLAISE</v>
      </c>
      <c r="C25" s="5">
        <f>HISTOJANV23!C25+HISTOFEV23!C25+HISTOMARS23!C25+HISTOAVRIL23!C25+HISTOMAI23!C25+HISTOJUIN23!C25+HISTOJUIL23!C25+HISTOAOUT23!C25+HISTOSEPT23!C25+HISTOOCT23!C25+HISTONOV23!C25+HISTODEC23!C25</f>
        <v>-10000</v>
      </c>
      <c r="D25" s="5">
        <f>HISTOJANV23!D25+HISTOFEV23!D25+HISTOMARS23!D25+HISTOAVRIL23!D25+HISTOMAI23!D25+HISTOJUIN23!D25+HISTOJUIL23!D25+HISTOAOUT23!D25+HISTOSEPT23!D25+HISTOOCT23!D25+HISTONOV23!D25+HISTODEC23!D25</f>
        <v>4888000</v>
      </c>
      <c r="E25" s="5">
        <f>HISTOJANV23!E25+HISTOFEV23!E25+HISTOMARS23!E25+HISTOAVRIL23!E25+HISTOMAI23!E25+HISTOJUIN23!E25+HISTOJUIL23!E25+HISTOAOUT23!E25+HISTOSEPT23!E25+HISTOOCT23!E25+HISTONOV23!E25+HISTODEC23!E25</f>
        <v>1060000</v>
      </c>
      <c r="F25" s="5">
        <f>HISTOJANV23!F25+HISTOFEV23!F25+HISTOMARS23!F25+HISTOAVRIL23!F25+HISTOMAI23!F25+HISTOJUIN23!F25+HISTOJUIL23!F25+HISTOAOUT23!F25+HISTOSEPT23!F25+HISTOOCT23!F25+HISTONOV23!F25+HISTODEC23!F25</f>
        <v>70000</v>
      </c>
      <c r="G25" s="5">
        <f>HISTOJANV23!G25+HISTOFEV23!G25+HISTOMARS23!G25+HISTOAVRIL23!G25+HISTOMAI23!G25+HISTOJUIN23!G25+HISTOJUIL23!G25+HISTOAOUT23!G25+HISTOSEPT23!G25+HISTOOCT23!G25+HISTONOV23!G25+HISTODEC23!G25</f>
        <v>0</v>
      </c>
      <c r="H25" s="10" t="str">
        <f t="shared" si="0"/>
        <v>BANQUE</v>
      </c>
      <c r="I25" s="5">
        <f>HISTOJANV23!I25+HISTOFEV23!I25+HISTOMARS23!I25+HISTOAVRIL23!I25+HISTOMAI23!I25+HISTOJUIN23!I25+HISTOJUIL23!I25+HISTOAOUT23!I25+HISTOSEPT23!I25+HISTOOCT23!I25+HISTONOV23!I25+HISTODEC23!I25</f>
        <v>308000</v>
      </c>
      <c r="J25" s="5">
        <f>HISTOJANV23!J25+HISTOFEV23!J25+HISTOMARS23!J25+HISTOAVRIL23!J25+HISTOMAI23!J25+HISTOJUIN23!J25+HISTOJUIL23!J25+HISTOAOUT23!J25+HISTOSEPT23!J25+HISTOOCT23!J25+HISTONOV23!J25+HISTODEC23!J25</f>
        <v>12</v>
      </c>
      <c r="K25" s="5">
        <f>HISTOJANV23!K25+HISTOFEV23!K25+HISTOMARS23!K25+HISTOAVRIL23!K25+HISTOMAI23!K25+HISTOJUIN23!K25+HISTOJUIL23!K25+HISTOAOUT23!K25+HISTOSEPT23!K25+HISTOOCT23!K25+HISTONOV23!K25+HISTODEC23!K25</f>
        <v>480000</v>
      </c>
      <c r="L25" s="5">
        <f>HISTOJANV23!L25+HISTOFEV23!L25+HISTOMARS23!L25+HISTOAVRIL23!L25+HISTOMAI23!L25+HISTOJUIN23!L25+HISTOJUIL23!L25+HISTOAOUT23!L25+HISTOSEPT23!L25+HISTOOCT23!L25+HISTONOV23!L25+HISTODEC23!L25</f>
        <v>24</v>
      </c>
      <c r="M25" s="5">
        <f>HISTOJANV23!M25+HISTOFEV23!M25+HISTOMARS23!M25+HISTOAVRIL23!M25+HISTOMAI23!M25+HISTOJUIN23!M25+HISTOJUIL23!M25+HISTOAOUT23!M25+HISTOSEPT23!M25+HISTOOCT23!M25+HISTONOV23!M25+HISTODEC23!M25</f>
        <v>1800000</v>
      </c>
      <c r="N25" s="5">
        <f>HISTOJANV23!N25+HISTOFEV23!N25+HISTOMARS23!N25+HISTOAVRIL23!N25+HISTOMAI23!N25+HISTOJUIN23!N25+HISTOJUIL23!N25+HISTOAOUT23!N25+HISTOSEPT23!N25+HISTOOCT23!N25+HISTONOV23!N25+HISTODEC23!N25</f>
        <v>12</v>
      </c>
      <c r="O25" s="5">
        <f>HISTOJANV23!O25+HISTOFEV23!O25+HISTOMARS23!O25+HISTOAVRIL23!O25+HISTOMAI23!O25+HISTOJUIN23!O25+HISTOJUIL23!O25+HISTOAOUT23!O25+HISTOSEPT23!O25+HISTOOCT23!O25+HISTONOV23!O25+HISTODEC23!O25</f>
        <v>1200000</v>
      </c>
      <c r="P25" s="5">
        <f>HISTOJANV23!P25+HISTOFEV23!P25+HISTOMARS23!P25+HISTOAVRIL23!P25+HISTOMAI23!P25+HISTOJUIN23!P25+HISTOJUIL23!P25+HISTOAOUT23!P25+HISTOSEPT23!P25+HISTOOCT23!P25+HISTONOV23!P25+HISTODEC23!P25</f>
        <v>31000</v>
      </c>
      <c r="Q25" s="5">
        <f>HISTOJANV23!Q25+HISTOFEV23!Q25+HISTOMARS23!Q25+HISTOAVRIL23!Q25+HISTOMAI23!Q25+HISTOJUIN23!Q25+HISTOJUIL23!Q25+HISTOAOUT23!Q25+HISTOSEPT23!Q25+HISTOOCT23!Q25+HISTONOV23!Q25+HISTODEC23!Q25</f>
        <v>255000</v>
      </c>
      <c r="R25" s="5">
        <f>HISTOJANV23!R25+HISTOFEV23!R25+HISTOMARS23!R25+HISTOAVRIL23!R25+HISTOMAI23!R25+HISTOJUIN23!R25+HISTOJUIL23!R25+HISTOAOUT23!R25+HISTOSEPT23!R25+HISTOOCT23!R25+HISTONOV23!R25+HISTODEC23!R25</f>
        <v>884000</v>
      </c>
      <c r="S25" s="5">
        <f>HISTOJANV23!S25+HISTOFEV23!S25+HISTOMARS23!S25+HISTOAVRIL23!S25+HISTOMAI23!S25+HISTOJUIN23!S25+HISTOJUIL23!S25+HISTOAOUT23!S25+HISTOSEPT23!S25+HISTOOCT23!S25+HISTONOV23!S25+HISTODEC23!S25</f>
        <v>1000000</v>
      </c>
      <c r="T25" s="5" t="e">
        <f>HISTOJANV23!T25+HISTOFEV23!T25+HISTOMARS23!T25+HISTOAVRIL23!T25+HISTOMAI23!T25+HISTOJUIN23!T25+HISTOJUIL23!T25+HISTOAOUT23!T25+HISTOSEPT23!T25+HISTOOCT23!T25+HISTONOV23!T25+HISTODEC23!T25</f>
        <v>#VALUE!</v>
      </c>
      <c r="U25" s="17">
        <f t="shared" si="1"/>
        <v>5973000</v>
      </c>
      <c r="V25" s="5">
        <f>HISTOJANV23!V25+HISTOFEV23!V25+HISTOMARS23!V25+HISTOAVRIL23!V25+HISTOMAI23!V25+HISTOJUIN23!V25+HISTOJUIL23!V25+HISTOAOUT23!V25+HISTOSEPT23!V25+HISTOOCT23!V25+HISTONOV23!V25+HISTODEC23!V25</f>
        <v>15000</v>
      </c>
      <c r="W25" s="5">
        <f>HISTOJANV23!W25+HISTOFEV23!W25+HISTOMARS23!W25+HISTOAVRIL23!W25+HISTOMAI23!W25+HISTOJUIN23!W25+HISTOJUIL23!W25+HISTOAOUT23!W25+HISTOSEPT23!W25+HISTOOCT23!W25+HISTONOV23!W25+HISTODEC23!W25</f>
        <v>0</v>
      </c>
      <c r="X25" s="5">
        <f>HISTOJANV23!X25+HISTOFEV23!X25+HISTOMARS23!X25+HISTOAVRIL23!X25+HISTOMAI23!X25+HISTOJUIN23!X25+HISTOJUIL23!X25+HISTOAOUT23!X25+HISTOSEPT23!X25+HISTOOCT23!X25+HISTONOV23!X25+HISTODEC23!X25</f>
        <v>0</v>
      </c>
      <c r="Y25" s="5">
        <f>HISTOJANV23!Y25+HISTOFEV23!Y25+HISTOMARS23!Y25+HISTOAVRIL23!Y25+HISTOMAI23!Y25+HISTOJUIN23!Y25+HISTOJUIL23!Y25+HISTOAOUT23!Y25+HISTOSEPT23!Y25+HISTOOCT23!Y25+HISTONOV23!Y25+HISTODEC23!Y25</f>
        <v>0</v>
      </c>
      <c r="Z25" s="5">
        <f>HISTOJANV23!Z25+HISTOFEV23!Z25+HISTOMARS23!Z25+HISTOAVRIL23!Z25+HISTOMAI23!Z25+HISTOJUIN23!Z25+HISTOJUIL23!Z25+HISTOAOUT23!Z25+HISTOSEPT23!Z25+HISTOOCT23!Z25+HISTONOV23!Z25+HISTODEC23!Z25</f>
        <v>1000000</v>
      </c>
      <c r="AA25" s="5" t="e">
        <f>HISTOJANV23!AA25+HISTOFEV23!AA25+HISTOMARS23!AA25+HISTOAVRIL23!AA25+HISTOMAI23!AA25+HISTOJUIN23!AA25+HISTOJUIL23!AA25+HISTOAOUT23!AA25+HISTOSEPT23!AA25+HISTOOCT23!AA25+HISTONOV23!AA25+HISTODEC23!AA25</f>
        <v>#VALUE!</v>
      </c>
      <c r="AB25" s="5">
        <f>HISTOJANV23!AB25+HISTOFEV23!AB25+HISTOMARS23!AB25+HISTOAVRIL23!AB25+HISTOMAI23!AB25+HISTOJUIN23!AB25+HISTOJUIL23!AB25+HISTOAOUT23!AB25+HISTOSEPT23!AB25+HISTOOCT23!AB25+HISTONOV23!AB25+HISTODEC23!AB25</f>
        <v>0</v>
      </c>
      <c r="AC25" s="5">
        <f>HISTOJANV23!AC25+HISTOFEV23!AC25+HISTOMARS23!AC25+HISTOAVRIL23!AC25+HISTOMAI23!AC25+HISTOJUIN23!AC25+HISTOJUIL23!AC25+HISTOAOUT23!AC25+HISTOSEPT23!AC25+HISTOOCT23!AC25+HISTONOV23!AC25+HISTODEC23!AC25</f>
        <v>7500</v>
      </c>
      <c r="AD25" s="5">
        <f>HISTOJANV23!AD25+HISTOFEV23!AD25+HISTOMARS23!AD25+HISTOAVRIL23!AD25+HISTOMAI23!AD25+HISTOJUIN23!AD25+HISTOJUIL23!AD25+HISTOAOUT23!AD25+HISTOSEPT23!AD25+HISTOOCT23!AD25+HISTONOV23!AD25+HISTODEC23!AD25</f>
        <v>22500</v>
      </c>
      <c r="AE25" s="5">
        <f>HISTOJANV23!AE25+HISTOFEV23!AE25+HISTOMARS23!AE25+HISTOAVRIL23!AE25+HISTOMAI23!AE25+HISTOJUIN23!AE25+HISTOJUIL23!AE25+HISTOAOUT23!AE25+HISTOSEPT23!AE25+HISTOOCT23!AE25+HISTONOV23!AE25+HISTODEC23!AE25</f>
        <v>20000</v>
      </c>
      <c r="AF25" s="5" t="e">
        <f>HISTOJANV23!AF25+HISTOFEV23!AF25+HISTOMARS23!AF25+HISTOAVRIL23!AF25+HISTOMAI23!AF25+HISTOJUIN23!AF25+HISTOJUIL23!AF25+HISTOAOUT23!AF25+HISTOSEPT23!AF25+HISTOOCT23!AF25+HISTONOV23!AF25+HISTODEC23!AF25</f>
        <v>#VALUE!</v>
      </c>
      <c r="AG25" s="5">
        <f>HISTOJANV23!AG25+HISTOFEV23!AG25+HISTOMARS23!AG25+HISTOAVRIL23!AG25+HISTOMAI23!AG25+HISTOJUIN23!AG25+HISTOJUIL23!AG25+HISTOAOUT23!AG25+HISTOSEPT23!AG25+HISTOOCT23!AG25+HISTONOV23!AG25+HISTODEC23!AG25</f>
        <v>0</v>
      </c>
      <c r="AH25" s="5">
        <f>HISTOJANV23!AH25+HISTOFEV23!AH25+HISTOMARS23!AH25+HISTOAVRIL23!AH25+HISTOMAI23!AH25+HISTOJUIN23!AH25+HISTOJUIL23!AH25+HISTOAOUT23!AH25+HISTOSEPT23!AH25+HISTOOCT23!AH25+HISTONOV23!AH25+HISTODEC23!AH25</f>
        <v>0</v>
      </c>
      <c r="AI25" s="5">
        <f>HISTOJANV23!AI25+HISTOFEV23!AI25+HISTOMARS23!AI25+HISTOAVRIL23!AI25+HISTOMAI23!AI25+HISTOJUIN23!AI25+HISTOJUIL23!AI25+HISTOAOUT23!AI25+HISTOSEPT23!AI25+HISTOOCT23!AI25+HISTONOV23!AI25+HISTODEC23!AI25</f>
        <v>30000</v>
      </c>
      <c r="AJ25" s="5">
        <f>HISTOJANV23!AJ25+HISTOFEV23!AJ25+HISTOMARS23!AJ25+HISTOAVRIL23!AJ25+HISTOMAI23!AJ25+HISTOJUIN23!AJ25+HISTOJUIL23!AJ25+HISTOAOUT23!AJ25+HISTOSEPT23!AJ25+HISTOOCT23!AJ25+HISTONOV23!AJ25+HISTODEC23!AJ25</f>
        <v>250000</v>
      </c>
      <c r="AK25" s="5">
        <f>HISTOJANV23!AK25+HISTOFEV23!AK25+HISTOMARS23!AK25+HISTOAVRIL23!AK25+HISTOMAI23!AK25+HISTOJUIN23!AK25+HISTOJUIL23!AK25+HISTOAOUT23!AK25+HISTOSEPT23!AK25+HISTOOCT23!AK25+HISTONOV23!AK25+HISTODEC23!AK25</f>
        <v>868000</v>
      </c>
      <c r="AL25" s="5">
        <f>HISTOJANV23!AL25+HISTOFEV23!AL25+HISTOMARS23!AL25+HISTOAVRIL23!AL25+HISTOMAI23!AL25+HISTOJUIN23!AL25+HISTOJUIL23!AL25+HISTOAOUT23!AL25+HISTOSEPT23!AL25+HISTOOCT23!AL25+HISTONOV23!AL25+HISTODEC23!AL25</f>
        <v>1000</v>
      </c>
      <c r="AM25" s="5">
        <f>HISTOJANV23!AM25+HISTOFEV23!AM25+HISTOMARS23!AM25+HISTOAVRIL23!AM25+HISTOMAI23!AM25+HISTOJUIN23!AM25+HISTOJUIL23!AM25+HISTOAOUT23!AM25+HISTOSEPT23!AM25+HISTOOCT23!AM25+HISTONOV23!AM25+HISTODEC23!AM25</f>
        <v>5000</v>
      </c>
      <c r="AN25" s="5">
        <f>HISTOJANV23!AN25+HISTOFEV23!AN25+HISTOMARS23!AN25+HISTOAVRIL23!AN25+HISTOMAI23!AN25+HISTOJUIN23!AN25+HISTOJUIL23!AN25+HISTOAOUT23!AN25+HISTOSEPT23!AN25+HISTOOCT23!AN25+HISTONOV23!AN25+HISTODEC23!AN25</f>
        <v>16000</v>
      </c>
      <c r="AO25" s="5">
        <f>HISTOJANV23!AO25+HISTOFEV23!AO25+HISTOMARS23!AO25+HISTOAVRIL23!AO25+HISTOMAI23!AO25+HISTOJUIN23!AO25+HISTOJUIL23!AO25+HISTOAOUT23!AO25+HISTOSEPT23!AO25+HISTOOCT23!AO25+HISTONOV23!AO25+HISTODEC23!AO25</f>
        <v>0</v>
      </c>
      <c r="AP25" s="5" t="e">
        <f>HISTOJANV23!AP25+HISTOFEV23!AP25+HISTOMARS23!AP25+HISTOAVRIL23!AP25+HISTOMAI23!AP25+HISTOJUIN23!AP25+HISTOJUIL23!AP25+HISTOAOUT23!AP25+HISTOSEPT23!AP25+HISTOOCT23!AP25+HISTONOV23!AP25+HISTODEC23!AP25</f>
        <v>#VALUE!</v>
      </c>
      <c r="AQ25" s="5">
        <f>HISTOJANV23!AQ25+HISTOFEV23!AQ25+HISTOMARS23!AQ25+HISTOAVRIL23!AQ25+HISTOMAI23!AQ25+HISTOJUIN23!AQ25+HISTOJUIL23!AQ25+HISTOAOUT23!AQ25+HISTOSEPT23!AQ25+HISTOOCT23!AQ25+HISTONOV23!AQ25+HISTODEC23!AQ25</f>
        <v>0</v>
      </c>
      <c r="AR25" s="5">
        <f>HISTOJANV23!AR25+HISTOFEV23!AR25+HISTOMARS23!AR25+HISTOAVRIL23!AR25+HISTOMAI23!AR25+HISTOJUIN23!AR25+HISTOJUIL23!AR25+HISTOAOUT23!AR25+HISTOSEPT23!AR25+HISTOOCT23!AR25+HISTONOV23!AR25+HISTODEC23!AR25</f>
        <v>0</v>
      </c>
      <c r="AS25" s="5">
        <f>HISTOJANV23!AS25+HISTOFEV23!AS25+HISTOMARS23!AS25+HISTOAVRIL23!AS25+HISTOMAI23!AS25+HISTOJUIN23!AS25+HISTOJUIL23!AS25+HISTOAOUT23!AS25+HISTOSEPT23!AS25+HISTOOCT23!AS25+HISTONOV23!AS25+HISTODEC23!AS25</f>
        <v>478000</v>
      </c>
      <c r="AT25" s="5">
        <f>HISTOJANV23!AT25+HISTOFEV23!AT25+HISTOMARS23!AT25+HISTOAVRIL23!AT25+HISTOMAI23!AT25+HISTOJUIN23!AT25+HISTOJUIL23!AT25+HISTOAOUT23!AT25+HISTOSEPT23!AT25+HISTOOCT23!AT25+HISTONOV23!AT25+HISTODEC23!AT25</f>
        <v>0</v>
      </c>
      <c r="AU25" s="5">
        <f>HISTOJANV23!AU25+HISTOFEV23!AU25+HISTOMARS23!AU25+HISTOAVRIL23!AU25+HISTOMAI23!AU25+HISTOJUIN23!AU25+HISTOJUIL23!AU25+HISTOAOUT23!AU25+HISTOSEPT23!AU25+HISTOOCT23!AU25+HISTONOV23!AU25+HISTODEC23!AU25</f>
        <v>0</v>
      </c>
      <c r="AV25" s="5">
        <f>HISTOJANV23!AV25+HISTOFEV23!AV25+HISTOMARS23!AV25+HISTOAVRIL23!AV25+HISTOMAI23!AV25+HISTOJUIN23!AV25+HISTOJUIL23!AV25+HISTOAOUT23!AV25+HISTOSEPT23!AV25+HISTOOCT23!AV25+HISTONOV23!AV25+HISTODEC23!AV25</f>
        <v>0</v>
      </c>
      <c r="AW25" s="5">
        <f>HISTOJANV23!AW25+HISTOFEV23!AW25+HISTOMARS23!AW25+HISTOAVRIL23!AW25+HISTOMAI23!AW25+HISTOJUIN23!AW25+HISTOJUIL23!AW25+HISTOAOUT23!AW25+HISTOSEPT23!AW25+HISTOOCT23!AW25+HISTONOV23!AW25+HISTODEC23!AW25</f>
        <v>322500</v>
      </c>
      <c r="AX25" s="5">
        <f>HISTOJANV23!AX25+HISTOFEV23!AX25+HISTOMARS23!AX25+HISTOAVRIL23!AX25+HISTOMAI23!AX25+HISTOJUIN23!AX25+HISTOJUIL23!AX25+HISTOAOUT23!AX25+HISTOSEPT23!AX25+HISTOOCT23!AX25+HISTONOV23!AX25+HISTODEC23!AX25</f>
        <v>2027500</v>
      </c>
      <c r="AY25" s="5">
        <f>HISTOJANV23!AY25+HISTOFEV23!AY25+HISTOMARS23!AY25+HISTOAVRIL23!AY25+HISTOMAI23!AY25+HISTOJUIN23!AY25+HISTOJUIL23!AY25+HISTOAOUT23!AY25+HISTOSEPT23!AY25+HISTOOCT23!AY25+HISTONOV23!AY25+HISTODEC23!AY25</f>
        <v>2048000</v>
      </c>
      <c r="AZ25" s="5">
        <f>HISTOJANV23!AZ25+HISTOFEV23!AZ25+HISTOMARS23!AZ25+HISTOAVRIL23!AZ25+HISTOMAI23!AZ25+HISTOJUIN23!AZ25+HISTOJUIL23!AZ25+HISTOAOUT23!AZ25+HISTOSEPT23!AZ25+HISTOOCT23!AZ25+HISTONOV23!AZ25+HISTODEC23!AZ25</f>
        <v>5208000</v>
      </c>
      <c r="BA25" s="5">
        <f>HISTOJANV23!BA25+HISTOFEV23!BA25+HISTOMARS23!BA25+HISTOAVRIL23!BA25+HISTOMAI23!BA25+HISTOJUIN23!BA25+HISTOJUIL23!BA25+HISTOAOUT23!BA25+HISTOSEPT23!BA25+HISTOOCT23!BA25+HISTONOV23!BA25+HISTODEC23!BA25</f>
        <v>255000</v>
      </c>
      <c r="BB25" s="5">
        <f>HISTOJANV23!BB25+HISTOFEV23!BB25+HISTOMARS23!BB25+HISTOAVRIL23!BB25+HISTOMAI23!BB25+HISTOJUIN23!BB25+HISTOJUIL23!BB25+HISTOAOUT23!BB25+HISTOSEPT23!BB25+HISTOOCT23!BB25+HISTONOV23!BB25+HISTODEC23!BB25</f>
        <v>70000</v>
      </c>
      <c r="BC25" s="5">
        <f>HISTOJANV23!BC25+HISTOFEV23!BC25+HISTOMARS23!BC25+HISTOAVRIL23!BC25+HISTOMAI23!BC25+HISTOJUIN23!BC25+HISTOJUIL23!BC25+HISTOAOUT23!BC25+HISTOSEPT23!BC25+HISTOOCT23!BC25+HISTONOV23!BC25+HISTODEC23!BC25</f>
        <v>0</v>
      </c>
      <c r="BD25" s="5">
        <f>HISTOJANV23!BD25+HISTOFEV23!BD25+HISTOMARS23!BD25+HISTOAVRIL23!BD25+HISTOMAI23!BD25+HISTOJUIN23!BD25+HISTOJUIL23!BD25+HISTOAOUT23!BD25+HISTOSEPT23!BD25+HISTOOCT23!BD25+HISTONOV23!BD25+HISTODEC23!BD25</f>
        <v>5204000</v>
      </c>
      <c r="BE25" s="82" t="e">
        <f>HISTOJANV23!BE25+HISTOFEV23!BE25+HISTOMARS23!BE25+HISTOAVRIL23!BE25+HISTOMAI23!BE25+HISTOJUIN23!BE25+HISTOJUIL23!BE25+HISTOAOUT23!BE25+HISTOSEPT23!BE25+HISTOOCT23!BE25+HISTONOV23!BE25+HISTODEC23!BE25</f>
        <v>#VALUE!</v>
      </c>
      <c r="BF25" s="5">
        <f>HISTOJANV23!BF25+HISTOFEV23!BF25+HISTOMARS23!BF25+HISTOAVRIL23!BF25+HISTOMAI23!BF25+HISTOJUIN23!BF25+HISTOJUIL23!BF25+HISTOAOUT23!BF25+HISTOSEPT23!BF25+HISTOOCT23!BF25+HISTONOV23!BF25+HISTODEC23!BF25</f>
        <v>120000</v>
      </c>
      <c r="BG25" s="5">
        <f>HISTOJANV23!BG25+HISTOFEV23!BG25+HISTOMARS23!BG25+HISTOAVRIL23!BG25+HISTOMAI23!BG25+HISTOJUIN23!BG25+HISTOJUIL23!BG25+HISTOAOUT23!BG25+HISTOSEPT23!BG25+HISTOOCT23!BG25+HISTONOV23!BG25+HISTODEC23!BG25</f>
        <v>78</v>
      </c>
      <c r="BH25" s="5">
        <f>HISTOJANV23!BH25+HISTOFEV23!BH25+HISTOMARS23!BH25+HISTOAVRIL23!BH25+HISTOMAI23!BH25+HISTOJUIN23!BH25+HISTOJUIL23!BH25+HISTOAOUT23!BH25+HISTOSEPT23!BH25+HISTOOCT23!BH25+HISTONOV23!BH25+HISTODEC23!BH25</f>
        <v>0</v>
      </c>
      <c r="BI25" s="5">
        <f>HISTOJANV23!BI25+HISTOFEV23!BI25+HISTOMARS23!BI25+HISTOAVRIL23!BI25+HISTOMAI23!BI25+HISTOJUIN23!BI25+HISTOJUIL23!BI25+HISTOAOUT23!BI25+HISTOSEPT23!BI25+HISTOOCT23!BI25+HISTONOV23!BI25+HISTODEC23!BI25</f>
        <v>0</v>
      </c>
      <c r="BJ25" s="5">
        <f>HISTOJANV23!BJ25+HISTOFEV23!BJ25+HISTOMARS23!BJ25+HISTOAVRIL23!BJ25+HISTOMAI23!BJ25+HISTOJUIN23!BJ25+HISTOJUIL23!BJ25+HISTOAOUT23!BJ25+HISTOSEPT23!BJ25+HISTOOCT23!BJ25+HISTONOV23!BJ25+HISTODEC23!BJ25</f>
        <v>0</v>
      </c>
      <c r="BK25" s="5">
        <f>HISTOJANV23!BK25+HISTOFEV23!BK25+HISTOMARS23!BK25+HISTOAVRIL23!BK25+HISTOMAI23!BK25+HISTOJUIN23!BK25+HISTOJUIL23!BK25+HISTOAOUT23!BK25+HISTOSEPT23!BK25+HISTOOCT23!BK25+HISTONOV23!BK25+HISTODEC23!BK25</f>
        <v>0</v>
      </c>
      <c r="BL25" s="5">
        <f>HISTOJANV23!BL25+HISTOFEV23!BL25+HISTOMARS23!BL25+HISTOAVRIL23!BL25+HISTOMAI23!BL25+HISTOJUIN23!BL25+HISTOJUIL23!BL25+HISTOAOUT23!BL25+HISTOSEPT23!BL25+HISTOOCT23!BL25+HISTONOV23!BL25+HISTODEC23!BL25</f>
        <v>0</v>
      </c>
      <c r="BM25" s="5">
        <f>HISTOJANV23!BM25+HISTOFEV23!BM25+HISTOMARS23!BM25+HISTOAVRIL23!BM25+HISTOMAI23!BM25+HISTOJUIN23!BM25+HISTOJUIL23!BM25+HISTOAOUT23!BM25+HISTOSEPT23!BM25+HISTOOCT23!BM25+HISTONOV23!BM25+HISTODEC23!BM25</f>
        <v>0</v>
      </c>
      <c r="BN25" t="s">
        <v>125</v>
      </c>
      <c r="BO25" t="s">
        <v>143</v>
      </c>
      <c r="BP25" s="5">
        <f>HISTOJANV23!BP25+HISTOFEV23!BP25+HISTOMARS23!BP25+HISTOAVRIL23!BP25+HISTOMAI23!BP25+HISTOJUIN23!BP25+HISTOJUIL23!BP25+HISTOAOUT23!BP25+HISTOSEPT23!BP25+HISTOOCT23!BP25+HISTONOV23!BP25+HISTODEC23!BP25</f>
        <v>600000</v>
      </c>
    </row>
    <row r="26" spans="1:68" ht="18.75" x14ac:dyDescent="0.3">
      <c r="A26" s="1" t="s">
        <v>31</v>
      </c>
      <c r="B26" s="1" t="str">
        <f>VLOOKUP(A26,[17]LISTADHERENT!A$5:H$39,3,0)</f>
        <v>NKAMGANG JUSTIN DEJOLIE</v>
      </c>
      <c r="C26" s="5">
        <f>HISTOJANV23!C26+HISTOFEV23!C26+HISTOMARS23!C26+HISTOAVRIL23!C26+HISTOMAI23!C26+HISTOJUIN23!C26+HISTOJUIL23!C26+HISTOAOUT23!C26+HISTOSEPT23!C26+HISTOOCT23!C26+HISTONOV23!C26+HISTODEC23!C26</f>
        <v>-859000</v>
      </c>
      <c r="D26" s="5">
        <f>HISTOJANV23!D26+HISTOFEV23!D26+HISTOMARS23!D26+HISTOAVRIL23!D26+HISTOMAI23!D26+HISTOJUIN23!D26+HISTOJUIL23!D26+HISTOAOUT23!D26+HISTOSEPT23!D26+HISTOOCT23!D26+HISTONOV23!D26+HISTODEC23!D26</f>
        <v>130000</v>
      </c>
      <c r="E26" s="5">
        <f>HISTOJANV23!E26+HISTOFEV23!E26+HISTOMARS23!E26+HISTOAVRIL23!E26+HISTOMAI23!E26+HISTOJUIN23!E26+HISTOJUIL23!E26+HISTOAOUT23!E26+HISTOSEPT23!E26+HISTOOCT23!E26+HISTONOV23!E26+HISTODEC23!E26</f>
        <v>1810500</v>
      </c>
      <c r="F26" s="5">
        <f>HISTOJANV23!F26+HISTOFEV23!F26+HISTOMARS23!F26+HISTOAVRIL23!F26+HISTOMAI23!F26+HISTOJUIN23!F26+HISTOJUIL23!F26+HISTOAOUT23!F26+HISTOSEPT23!F26+HISTOOCT23!F26+HISTONOV23!F26+HISTODEC23!F26</f>
        <v>1070000</v>
      </c>
      <c r="G26" s="5">
        <f>HISTOJANV23!G26+HISTOFEV23!G26+HISTOMARS23!G26+HISTOAVRIL23!G26+HISTOMAI23!G26+HISTOJUIN23!G26+HISTOJUIL23!G26+HISTOAOUT23!G26+HISTOSEPT23!G26+HISTOOCT23!G26+HISTONOV23!G26+HISTODEC23!G26</f>
        <v>18000</v>
      </c>
      <c r="H26" s="10" t="str">
        <f t="shared" si="0"/>
        <v>BANQUE</v>
      </c>
      <c r="I26" s="5">
        <f>HISTOJANV23!I26+HISTOFEV23!I26+HISTOMARS23!I26+HISTOAVRIL23!I26+HISTOMAI23!I26+HISTOJUIN23!I26+HISTOJUIL23!I26+HISTOAOUT23!I26+HISTOSEPT23!I26+HISTOOCT23!I26+HISTONOV23!I26+HISTODEC23!I26</f>
        <v>-2000</v>
      </c>
      <c r="J26" s="5">
        <f>HISTOJANV23!J26+HISTOFEV23!J26+HISTOMARS23!J26+HISTOAVRIL23!J26+HISTOMAI23!J26+HISTOJUIN23!J26+HISTOJUIL23!J26+HISTOAOUT23!J26+HISTOSEPT23!J26+HISTOOCT23!J26+HISTONOV23!J26+HISTODEC23!J26</f>
        <v>12</v>
      </c>
      <c r="K26" s="5">
        <f>HISTOJANV23!K26+HISTOFEV23!K26+HISTOMARS23!K26+HISTOAVRIL23!K26+HISTOMAI23!K26+HISTOJUIN23!K26+HISTOJUIL23!K26+HISTOAOUT23!K26+HISTOSEPT23!K26+HISTOOCT23!K26+HISTONOV23!K26+HISTODEC23!K26</f>
        <v>480000</v>
      </c>
      <c r="L26" s="5">
        <f>HISTOJANV23!L26+HISTOFEV23!L26+HISTOMARS23!L26+HISTOAVRIL23!L26+HISTOMAI23!L26+HISTOJUIN23!L26+HISTOJUIL23!L26+HISTOAOUT23!L26+HISTOSEPT23!L26+HISTOOCT23!L26+HISTONOV23!L26+HISTODEC23!L26</f>
        <v>0</v>
      </c>
      <c r="M26" s="5">
        <f>HISTOJANV23!M26+HISTOFEV23!M26+HISTOMARS23!M26+HISTOAVRIL23!M26+HISTOMAI23!M26+HISTOJUIN23!M26+HISTOJUIL23!M26+HISTOAOUT23!M26+HISTOSEPT23!M26+HISTOOCT23!M26+HISTONOV23!M26+HISTODEC23!M26</f>
        <v>0</v>
      </c>
      <c r="N26" s="5">
        <f>HISTOJANV23!N26+HISTOFEV23!N26+HISTOMARS23!N26+HISTOAVRIL23!N26+HISTOMAI23!N26+HISTOJUIN23!N26+HISTOJUIL23!N26+HISTOAOUT23!N26+HISTOSEPT23!N26+HISTOOCT23!N26+HISTONOV23!N26+HISTODEC23!N26</f>
        <v>0</v>
      </c>
      <c r="O26" s="5">
        <f>HISTOJANV23!O26+HISTOFEV23!O26+HISTOMARS23!O26+HISTOAVRIL23!O26+HISTOMAI23!O26+HISTOJUIN23!O26+HISTOJUIL23!O26+HISTOAOUT23!O26+HISTOSEPT23!O26+HISTOOCT23!O26+HISTONOV23!O26+HISTODEC23!O26</f>
        <v>0</v>
      </c>
      <c r="P26" s="5">
        <f>HISTOJANV23!P26+HISTOFEV23!P26+HISTOMARS23!P26+HISTOAVRIL23!P26+HISTOMAI23!P26+HISTOJUIN23!P26+HISTOJUIL23!P26+HISTOAOUT23!P26+HISTOSEPT23!P26+HISTOOCT23!P26+HISTONOV23!P26+HISTODEC23!P26</f>
        <v>303500</v>
      </c>
      <c r="Q26" s="5">
        <f>HISTOJANV23!Q26+HISTOFEV23!Q26+HISTOMARS23!Q26+HISTOAVRIL23!Q26+HISTOMAI23!Q26+HISTOJUIN23!Q26+HISTOJUIL23!Q26+HISTOAOUT23!Q26+HISTOSEPT23!Q26+HISTOOCT23!Q26+HISTONOV23!Q26+HISTODEC23!Q26</f>
        <v>0</v>
      </c>
      <c r="R26" s="5">
        <f>HISTOJANV23!R26+HISTOFEV23!R26+HISTOMARS23!R26+HISTOAVRIL23!R26+HISTOMAI23!R26+HISTOJUIN23!R26+HISTOJUIL23!R26+HISTOAOUT23!R26+HISTOSEPT23!R26+HISTOOCT23!R26+HISTONOV23!R26+HISTODEC23!R26</f>
        <v>0</v>
      </c>
      <c r="S26" s="5">
        <f>HISTOJANV23!S26+HISTOFEV23!S26+HISTOMARS23!S26+HISTOAVRIL23!S26+HISTOMAI23!S26+HISTOJUIN23!S26+HISTOJUIL23!S26+HISTOAOUT23!S26+HISTOSEPT23!S26+HISTOOCT23!S26+HISTONOV23!S26+HISTODEC23!S26</f>
        <v>3000000</v>
      </c>
      <c r="T26" s="5" t="e">
        <f>HISTOJANV23!T26+HISTOFEV23!T26+HISTOMARS23!T26+HISTOAVRIL23!T26+HISTOMAI23!T26+HISTOJUIN23!T26+HISTOJUIL23!T26+HISTOAOUT23!T26+HISTOSEPT23!T26+HISTOOCT23!T26+HISTONOV23!T26+HISTODEC23!T26</f>
        <v>#VALUE!</v>
      </c>
      <c r="U26" s="17">
        <f t="shared" si="1"/>
        <v>3799500</v>
      </c>
      <c r="V26" s="5">
        <f>HISTOJANV23!V26+HISTOFEV23!V26+HISTOMARS23!V26+HISTOAVRIL23!V26+HISTOMAI23!V26+HISTOJUIN23!V26+HISTOJUIL23!V26+HISTOAOUT23!V26+HISTOSEPT23!V26+HISTOOCT23!V26+HISTONOV23!V26+HISTODEC23!V26</f>
        <v>0</v>
      </c>
      <c r="W26" s="5">
        <f>HISTOJANV23!W26+HISTOFEV23!W26+HISTOMARS23!W26+HISTOAVRIL23!W26+HISTOMAI23!W26+HISTOJUIN23!W26+HISTOJUIL23!W26+HISTOAOUT23!W26+HISTOSEPT23!W26+HISTOOCT23!W26+HISTONOV23!W26+HISTODEC23!W26</f>
        <v>0</v>
      </c>
      <c r="X26" s="5">
        <f>HISTOJANV23!X26+HISTOFEV23!X26+HISTOMARS23!X26+HISTOAVRIL23!X26+HISTOMAI23!X26+HISTOJUIN23!X26+HISTOJUIL23!X26+HISTOAOUT23!X26+HISTOSEPT23!X26+HISTOOCT23!X26+HISTONOV23!X26+HISTODEC23!X26</f>
        <v>0</v>
      </c>
      <c r="Y26" s="5">
        <f>HISTOJANV23!Y26+HISTOFEV23!Y26+HISTOMARS23!Y26+HISTOAVRIL23!Y26+HISTOMAI23!Y26+HISTOJUIN23!Y26+HISTOJUIL23!Y26+HISTOAOUT23!Y26+HISTOSEPT23!Y26+HISTOOCT23!Y26+HISTONOV23!Y26+HISTODEC23!Y26</f>
        <v>0</v>
      </c>
      <c r="Z26" s="5">
        <f>HISTOJANV23!Z26+HISTOFEV23!Z26+HISTOMARS23!Z26+HISTOAVRIL23!Z26+HISTOMAI23!Z26+HISTOJUIN23!Z26+HISTOJUIL23!Z26+HISTOAOUT23!Z26+HISTOSEPT23!Z26+HISTOOCT23!Z26+HISTONOV23!Z26+HISTODEC23!Z26</f>
        <v>3000000</v>
      </c>
      <c r="AA26" s="5" t="e">
        <f>HISTOJANV23!AA26+HISTOFEV23!AA26+HISTOMARS23!AA26+HISTOAVRIL23!AA26+HISTOMAI23!AA26+HISTOJUIN23!AA26+HISTOJUIL23!AA26+HISTOAOUT23!AA26+HISTOSEPT23!AA26+HISTOOCT23!AA26+HISTONOV23!AA26+HISTODEC23!AA26</f>
        <v>#VALUE!</v>
      </c>
      <c r="AB26" s="5">
        <f>HISTOJANV23!AB26+HISTOFEV23!AB26+HISTOMARS23!AB26+HISTOAVRIL23!AB26+HISTOMAI23!AB26+HISTOJUIN23!AB26+HISTOJUIL23!AB26+HISTOAOUT23!AB26+HISTOSEPT23!AB26+HISTOOCT23!AB26+HISTONOV23!AB26+HISTODEC23!AB26</f>
        <v>0</v>
      </c>
      <c r="AC26" s="5">
        <f>HISTOJANV23!AC26+HISTOFEV23!AC26+HISTOMARS23!AC26+HISTOAVRIL23!AC26+HISTOMAI23!AC26+HISTOJUIN23!AC26+HISTOJUIL23!AC26+HISTOAOUT23!AC26+HISTOSEPT23!AC26+HISTOOCT23!AC26+HISTONOV23!AC26+HISTODEC23!AC26</f>
        <v>3500</v>
      </c>
      <c r="AD26" s="5">
        <f>HISTOJANV23!AD26+HISTOFEV23!AD26+HISTOMARS23!AD26+HISTOAVRIL23!AD26+HISTOMAI23!AD26+HISTOJUIN23!AD26+HISTOJUIL23!AD26+HISTOAOUT23!AD26+HISTOSEPT23!AD26+HISTOOCT23!AD26+HISTONOV23!AD26+HISTODEC23!AD26</f>
        <v>0</v>
      </c>
      <c r="AE26" s="5">
        <f>HISTOJANV23!AE26+HISTOFEV23!AE26+HISTOMARS23!AE26+HISTOAVRIL23!AE26+HISTOMAI23!AE26+HISTOJUIN23!AE26+HISTOJUIL23!AE26+HISTOAOUT23!AE26+HISTOSEPT23!AE26+HISTOOCT23!AE26+HISTONOV23!AE26+HISTODEC23!AE26</f>
        <v>0</v>
      </c>
      <c r="AF26" s="5" t="e">
        <f>HISTOJANV23!AF26+HISTOFEV23!AF26+HISTOMARS23!AF26+HISTOAVRIL23!AF26+HISTOMAI23!AF26+HISTOJUIN23!AF26+HISTOJUIL23!AF26+HISTOAOUT23!AF26+HISTOSEPT23!AF26+HISTOOCT23!AF26+HISTONOV23!AF26+HISTODEC23!AF26</f>
        <v>#VALUE!</v>
      </c>
      <c r="AG26" s="5">
        <f>HISTOJANV23!AG26+HISTOFEV23!AG26+HISTOMARS23!AG26+HISTOAVRIL23!AG26+HISTOMAI23!AG26+HISTOJUIN23!AG26+HISTOJUIL23!AG26+HISTOAOUT23!AG26+HISTOSEPT23!AG26+HISTOOCT23!AG26+HISTONOV23!AG26+HISTODEC23!AG26</f>
        <v>0</v>
      </c>
      <c r="AH26" s="5">
        <f>HISTOJANV23!AH26+HISTOFEV23!AH26+HISTOMARS23!AH26+HISTOAVRIL23!AH26+HISTOMAI23!AH26+HISTOJUIN23!AH26+HISTOJUIL23!AH26+HISTOAOUT23!AH26+HISTOSEPT23!AH26+HISTOOCT23!AH26+HISTONOV23!AH26+HISTODEC23!AH26</f>
        <v>0</v>
      </c>
      <c r="AI26" s="5">
        <f>HISTOJANV23!AI26+HISTOFEV23!AI26+HISTOMARS23!AI26+HISTOAVRIL23!AI26+HISTOMAI23!AI26+HISTOJUIN23!AI26+HISTOJUIL23!AI26+HISTOAOUT23!AI26+HISTOSEPT23!AI26+HISTOOCT23!AI26+HISTONOV23!AI26+HISTODEC23!AI26</f>
        <v>297000</v>
      </c>
      <c r="AJ26" s="5">
        <f>HISTOJANV23!AJ26+HISTOFEV23!AJ26+HISTOMARS23!AJ26+HISTOAVRIL23!AJ26+HISTOMAI23!AJ26+HISTOJUIN23!AJ26+HISTOJUIL23!AJ26+HISTOAOUT23!AJ26+HISTOSEPT23!AJ26+HISTOOCT23!AJ26+HISTONOV23!AJ26+HISTODEC23!AJ26</f>
        <v>0</v>
      </c>
      <c r="AK26" s="5">
        <f>HISTOJANV23!AK26+HISTOFEV23!AK26+HISTOMARS23!AK26+HISTOAVRIL23!AK26+HISTOMAI23!AK26+HISTOJUIN23!AK26+HISTOJUIL23!AK26+HISTOAOUT23!AK26+HISTOSEPT23!AK26+HISTOOCT23!AK26+HISTONOV23!AK26+HISTODEC23!AK26</f>
        <v>0</v>
      </c>
      <c r="AL26" s="5">
        <f>HISTOJANV23!AL26+HISTOFEV23!AL26+HISTOMARS23!AL26+HISTOAVRIL23!AL26+HISTOMAI23!AL26+HISTOJUIN23!AL26+HISTOJUIL23!AL26+HISTOAOUT23!AL26+HISTOSEPT23!AL26+HISTOOCT23!AL26+HISTONOV23!AL26+HISTODEC23!AL26</f>
        <v>6500</v>
      </c>
      <c r="AM26" s="5">
        <f>HISTOJANV23!AM26+HISTOFEV23!AM26+HISTOMARS23!AM26+HISTOAVRIL23!AM26+HISTOMAI23!AM26+HISTOJUIN23!AM26+HISTOJUIL23!AM26+HISTOAOUT23!AM26+HISTOSEPT23!AM26+HISTOOCT23!AM26+HISTONOV23!AM26+HISTODEC23!AM26</f>
        <v>0</v>
      </c>
      <c r="AN26" s="5">
        <f>HISTOJANV23!AN26+HISTOFEV23!AN26+HISTOMARS23!AN26+HISTOAVRIL23!AN26+HISTOMAI23!AN26+HISTOJUIN23!AN26+HISTOJUIL23!AN26+HISTOAOUT23!AN26+HISTOSEPT23!AN26+HISTOOCT23!AN26+HISTONOV23!AN26+HISTODEC23!AN26</f>
        <v>0</v>
      </c>
      <c r="AO26" s="5">
        <f>HISTOJANV23!AO26+HISTOFEV23!AO26+HISTOMARS23!AO26+HISTOAVRIL23!AO26+HISTOMAI23!AO26+HISTOJUIN23!AO26+HISTOJUIL23!AO26+HISTOAOUT23!AO26+HISTOSEPT23!AO26+HISTOOCT23!AO26+HISTONOV23!AO26+HISTODEC23!AO26</f>
        <v>0</v>
      </c>
      <c r="AP26" s="5" t="e">
        <f>HISTOJANV23!AP26+HISTOFEV23!AP26+HISTOMARS23!AP26+HISTOAVRIL23!AP26+HISTOMAI23!AP26+HISTOJUIN23!AP26+HISTOJUIL23!AP26+HISTOAOUT23!AP26+HISTOSEPT23!AP26+HISTOOCT23!AP26+HISTONOV23!AP26+HISTODEC23!AP26</f>
        <v>#VALUE!</v>
      </c>
      <c r="AQ26" s="5">
        <f>HISTOJANV23!AQ26+HISTOFEV23!AQ26+HISTOMARS23!AQ26+HISTOAVRIL23!AQ26+HISTOMAI23!AQ26+HISTOJUIN23!AQ26+HISTOJUIL23!AQ26+HISTOAOUT23!AQ26+HISTOSEPT23!AQ26+HISTOOCT23!AQ26+HISTONOV23!AQ26+HISTODEC23!AQ26</f>
        <v>0</v>
      </c>
      <c r="AR26" s="5">
        <f>HISTOJANV23!AR26+HISTOFEV23!AR26+HISTOMARS23!AR26+HISTOAVRIL23!AR26+HISTOMAI23!AR26+HISTOJUIN23!AR26+HISTOJUIL23!AR26+HISTOAOUT23!AR26+HISTOSEPT23!AR26+HISTOOCT23!AR26+HISTONOV23!AR26+HISTODEC23!AR26</f>
        <v>0</v>
      </c>
      <c r="AS26" s="5">
        <f>HISTOJANV23!AS26+HISTOFEV23!AS26+HISTOMARS23!AS26+HISTOAVRIL23!AS26+HISTOMAI23!AS26+HISTOJUIN23!AS26+HISTOJUIL23!AS26+HISTOAOUT23!AS26+HISTOSEPT23!AS26+HISTOOCT23!AS26+HISTONOV23!AS26+HISTODEC23!AS26</f>
        <v>178000</v>
      </c>
      <c r="AT26" s="5">
        <f>HISTOJANV23!AT26+HISTOFEV23!AT26+HISTOMARS23!AT26+HISTOAVRIL23!AT26+HISTOMAI23!AT26+HISTOJUIN23!AT26+HISTOJUIL23!AT26+HISTOAOUT23!AT26+HISTOSEPT23!AT26+HISTOOCT23!AT26+HISTONOV23!AT26+HISTODEC23!AT26</f>
        <v>0</v>
      </c>
      <c r="AU26" s="5">
        <f>HISTOJANV23!AU26+HISTOFEV23!AU26+HISTOMARS23!AU26+HISTOAVRIL23!AU26+HISTOMAI23!AU26+HISTOJUIN23!AU26+HISTOJUIL23!AU26+HISTOAOUT23!AU26+HISTOSEPT23!AU26+HISTOOCT23!AU26+HISTONOV23!AU26+HISTODEC23!AU26</f>
        <v>0</v>
      </c>
      <c r="AV26" s="5">
        <f>HISTOJANV23!AV26+HISTOFEV23!AV26+HISTOMARS23!AV26+HISTOAVRIL23!AV26+HISTOMAI23!AV26+HISTOJUIN23!AV26+HISTOJUIL23!AV26+HISTOAOUT23!AV26+HISTOSEPT23!AV26+HISTOOCT23!AV26+HISTONOV23!AV26+HISTODEC23!AV26</f>
        <v>0</v>
      </c>
      <c r="AW26" s="5">
        <f>HISTOJANV23!AW26+HISTOFEV23!AW26+HISTOMARS23!AW26+HISTOAVRIL23!AW26+HISTOMAI23!AW26+HISTOJUIN23!AW26+HISTOJUIL23!AW26+HISTOAOUT23!AW26+HISTOSEPT23!AW26+HISTOOCT23!AW26+HISTONOV23!AW26+HISTODEC23!AW26</f>
        <v>593500</v>
      </c>
      <c r="AX26" s="5">
        <f>HISTOJANV23!AX26+HISTOFEV23!AX26+HISTOMARS23!AX26+HISTOAVRIL23!AX26+HISTOMAI23!AX26+HISTOJUIN23!AX26+HISTOJUIL23!AX26+HISTOAOUT23!AX26+HISTOSEPT23!AX26+HISTOOCT23!AX26+HISTONOV23!AX26+HISTODEC23!AX26</f>
        <v>0</v>
      </c>
      <c r="AY26" s="5">
        <f>HISTOJANV23!AY26+HISTOFEV23!AY26+HISTOMARS23!AY26+HISTOAVRIL23!AY26+HISTOMAI23!AY26+HISTOJUIN23!AY26+HISTOJUIL23!AY26+HISTOAOUT23!AY26+HISTOSEPT23!AY26+HISTOOCT23!AY26+HISTONOV23!AY26+HISTODEC23!AY26</f>
        <v>0</v>
      </c>
      <c r="AZ26" s="5">
        <f>HISTOJANV23!AZ26+HISTOFEV23!AZ26+HISTOMARS23!AZ26+HISTOAVRIL23!AZ26+HISTOMAI23!AZ26+HISTOJUIN23!AZ26+HISTOJUIL23!AZ26+HISTOAOUT23!AZ26+HISTOSEPT23!AZ26+HISTOOCT23!AZ26+HISTONOV23!AZ26+HISTODEC23!AZ26</f>
        <v>1433500</v>
      </c>
      <c r="BA26" s="5">
        <f>HISTOJANV23!BA26+HISTOFEV23!BA26+HISTOMARS23!BA26+HISTOAVRIL23!BA26+HISTOMAI23!BA26+HISTOJUIN23!BA26+HISTOJUIL23!BA26+HISTOAOUT23!BA26+HISTOSEPT23!BA26+HISTOOCT23!BA26+HISTONOV23!BA26+HISTODEC23!BA26</f>
        <v>481500</v>
      </c>
      <c r="BB26" s="5">
        <f>HISTOJANV23!BB26+HISTOFEV23!BB26+HISTOMARS23!BB26+HISTOAVRIL23!BB26+HISTOMAI23!BB26+HISTOJUIN23!BB26+HISTOJUIL23!BB26+HISTOAOUT23!BB26+HISTOSEPT23!BB26+HISTOOCT23!BB26+HISTONOV23!BB26+HISTODEC23!BB26</f>
        <v>70000</v>
      </c>
      <c r="BC26" s="5">
        <f>HISTOJANV23!BC26+HISTOFEV23!BC26+HISTOMARS23!BC26+HISTOAVRIL23!BC26+HISTOMAI23!BC26+HISTOJUIN23!BC26+HISTOJUIL23!BC26+HISTOAOUT23!BC26+HISTOSEPT23!BC26+HISTOOCT23!BC26+HISTONOV23!BC26+HISTODEC23!BC26</f>
        <v>0</v>
      </c>
      <c r="BD26" s="5">
        <f>HISTOJANV23!BD26+HISTOFEV23!BD26+HISTOMARS23!BD26+HISTOAVRIL23!BD26+HISTOMAI23!BD26+HISTOJUIN23!BD26+HISTOJUIL23!BD26+HISTOAOUT23!BD26+HISTOSEPT23!BD26+HISTOOCT23!BD26+HISTONOV23!BD26+HISTODEC23!BD26</f>
        <v>982000</v>
      </c>
      <c r="BE26" s="82">
        <f>HISTOJANV23!BE26+HISTOFEV23!BE26+HISTOMARS23!BE26+HISTOAVRIL23!BE26+HISTOMAI23!BE26+HISTOJUIN23!BE26+HISTOJUIL23!BE26+HISTOAOUT23!BE26+HISTOSEPT23!BE26+HISTOOCT23!BE26+HISTONOV23!BE26+HISTODEC23!BE26</f>
        <v>12000</v>
      </c>
      <c r="BF26" s="5">
        <f>HISTOJANV23!BF26+HISTOFEV23!BF26+HISTOMARS23!BF26+HISTOAVRIL23!BF26+HISTOMAI23!BF26+HISTOJUIN23!BF26+HISTOJUIL23!BF26+HISTOAOUT23!BF26+HISTOSEPT23!BF26+HISTOOCT23!BF26+HISTONOV23!BF26+HISTODEC23!BF26</f>
        <v>130000</v>
      </c>
      <c r="BG26" s="5">
        <f>HISTOJANV23!BG26+HISTOFEV23!BG26+HISTOMARS23!BG26+HISTOAVRIL23!BG26+HISTOMAI23!BG26+HISTOJUIN23!BG26+HISTOJUIL23!BG26+HISTOAOUT23!BG26+HISTOSEPT23!BG26+HISTOOCT23!BG26+HISTONOV23!BG26+HISTODEC23!BG26</f>
        <v>62</v>
      </c>
      <c r="BH26" s="5">
        <f>HISTOJANV23!BH26+HISTOFEV23!BH26+HISTOMARS23!BH26+HISTOAVRIL23!BH26+HISTOMAI23!BH26+HISTOJUIN23!BH26+HISTOJUIL23!BH26+HISTOAOUT23!BH26+HISTOSEPT23!BH26+HISTOOCT23!BH26+HISTONOV23!BH26+HISTODEC23!BH26</f>
        <v>0</v>
      </c>
      <c r="BI26" s="5">
        <f>HISTOJANV23!BI26+HISTOFEV23!BI26+HISTOMARS23!BI26+HISTOAVRIL23!BI26+HISTOMAI23!BI26+HISTOJUIN23!BI26+HISTOJUIL23!BI26+HISTOAOUT23!BI26+HISTOSEPT23!BI26+HISTOOCT23!BI26+HISTONOV23!BI26+HISTODEC23!BI26</f>
        <v>0</v>
      </c>
      <c r="BJ26" s="5">
        <f>HISTOJANV23!BJ26+HISTOFEV23!BJ26+HISTOMARS23!BJ26+HISTOAVRIL23!BJ26+HISTOMAI23!BJ26+HISTOJUIN23!BJ26+HISTOJUIL23!BJ26+HISTOAOUT23!BJ26+HISTOSEPT23!BJ26+HISTOOCT23!BJ26+HISTONOV23!BJ26+HISTODEC23!BJ26</f>
        <v>0</v>
      </c>
      <c r="BK26" s="5">
        <f>HISTOJANV23!BK26+HISTOFEV23!BK26+HISTOMARS23!BK26+HISTOAVRIL23!BK26+HISTOMAI23!BK26+HISTOJUIN23!BK26+HISTOJUIL23!BK26+HISTOAOUT23!BK26+HISTOSEPT23!BK26+HISTOOCT23!BK26+HISTONOV23!BK26+HISTODEC23!BK26</f>
        <v>0</v>
      </c>
      <c r="BL26" s="5">
        <f>HISTOJANV23!BL26+HISTOFEV23!BL26+HISTOMARS23!BL26+HISTOAVRIL23!BL26+HISTOMAI23!BL26+HISTOJUIN23!BL26+HISTOJUIL23!BL26+HISTOAOUT23!BL26+HISTOSEPT23!BL26+HISTOOCT23!BL26+HISTONOV23!BL26+HISTODEC23!BL26</f>
        <v>0</v>
      </c>
      <c r="BM26" s="5">
        <f>HISTOJANV23!BM26+HISTOFEV23!BM26+HISTOMARS23!BM26+HISTOAVRIL23!BM26+HISTOMAI23!BM26+HISTOJUIN23!BM26+HISTOJUIL23!BM26+HISTOAOUT23!BM26+HISTOSEPT23!BM26+HISTOOCT23!BM26+HISTONOV23!BM26+HISTODEC23!BM26</f>
        <v>0</v>
      </c>
      <c r="BN26" t="s">
        <v>144</v>
      </c>
      <c r="BO26" t="s">
        <v>143</v>
      </c>
      <c r="BP26" s="5">
        <f>HISTOJANV23!BP26+HISTOFEV23!BP26+HISTOMARS23!BP26+HISTOAVRIL23!BP26+HISTOMAI23!BP26+HISTOJUIN23!BP26+HISTOJUIL23!BP26+HISTOAOUT23!BP26+HISTOSEPT23!BP26+HISTOOCT23!BP26+HISTONOV23!BP26+HISTODEC23!BP26</f>
        <v>225000</v>
      </c>
    </row>
    <row r="27" spans="1:68" ht="18.75" x14ac:dyDescent="0.3">
      <c r="A27" s="1" t="s">
        <v>158</v>
      </c>
      <c r="B27" s="1" t="str">
        <f>VLOOKUP(A27,[17]LISTADHERENT!A$5:H$39,3,0)</f>
        <v>NOUBE ETIENNE</v>
      </c>
      <c r="C27" s="5">
        <f>HISTOJANV23!C27+HISTOFEV23!C27+HISTOMARS23!C27+HISTOAVRIL23!C27+HISTOMAI23!C27+HISTOJUIN23!C27+HISTOJUIL23!C27+HISTOAOUT23!C27+HISTOSEPT23!C27+HISTOOCT23!C27+HISTONOV23!C27+HISTODEC23!C27</f>
        <v>-7500</v>
      </c>
      <c r="D27" s="5">
        <f>HISTOJANV23!D27+HISTOFEV23!D27+HISTOMARS23!D27+HISTOAVRIL23!D27+HISTOMAI23!D27+HISTOJUIN23!D27+HISTOJUIL23!D27+HISTOAOUT23!D27+HISTOSEPT23!D27+HISTOOCT23!D27+HISTONOV23!D27+HISTODEC23!D27</f>
        <v>1045000</v>
      </c>
      <c r="E27" s="5">
        <f>HISTOJANV23!E27+HISTOFEV23!E27+HISTOMARS23!E27+HISTOAVRIL23!E27+HISTOMAI23!E27+HISTOJUIN23!E27+HISTOJUIL23!E27+HISTOAOUT23!E27+HISTOSEPT23!E27+HISTOOCT23!E27+HISTONOV23!E27+HISTODEC23!E27</f>
        <v>65000</v>
      </c>
      <c r="F27" s="5">
        <f>HISTOJANV23!F27+HISTOFEV23!F27+HISTOMARS23!F27+HISTOAVRIL23!F27+HISTOMAI23!F27+HISTOJUIN23!F27+HISTOJUIL23!F27+HISTOAOUT23!F27+HISTOSEPT23!F27+HISTOOCT23!F27+HISTONOV23!F27+HISTODEC23!F27</f>
        <v>70000</v>
      </c>
      <c r="G27" s="5">
        <f>HISTOJANV23!G27+HISTOFEV23!G27+HISTOMARS23!G27+HISTOAVRIL23!G27+HISTOMAI23!G27+HISTOJUIN23!G27+HISTOJUIL23!G27+HISTOAOUT23!G27+HISTOSEPT23!G27+HISTOOCT23!G27+HISTONOV23!G27+HISTODEC23!G27</f>
        <v>0</v>
      </c>
      <c r="H27" s="10" t="str">
        <f t="shared" si="0"/>
        <v>BANQUE</v>
      </c>
      <c r="I27" s="5">
        <f>HISTOJANV23!I27+HISTOFEV23!I27+HISTOMARS23!I27+HISTOAVRIL23!I27+HISTOMAI23!I27+HISTOJUIN23!I27+HISTOJUIL23!I27+HISTOAOUT23!I27+HISTOSEPT23!I27+HISTOOCT23!I27+HISTONOV23!I27+HISTODEC23!I27</f>
        <v>612500</v>
      </c>
      <c r="J27" s="5">
        <f>HISTOJANV23!J27+HISTOFEV23!J27+HISTOMARS23!J27+HISTOAVRIL23!J27+HISTOMAI23!J27+HISTOJUIN23!J27+HISTOJUIL23!J27+HISTOAOUT23!J27+HISTOSEPT23!J27+HISTOOCT23!J27+HISTONOV23!J27+HISTODEC23!J27</f>
        <v>12</v>
      </c>
      <c r="K27" s="5">
        <f>HISTOJANV23!K27+HISTOFEV23!K27+HISTOMARS23!K27+HISTOAVRIL23!K27+HISTOMAI23!K27+HISTOJUIN23!K27+HISTOJUIL23!K27+HISTOAOUT23!K27+HISTOSEPT23!K27+HISTOOCT23!K27+HISTONOV23!K27+HISTODEC23!K27</f>
        <v>480000</v>
      </c>
      <c r="L27" s="5">
        <f>HISTOJANV23!L27+HISTOFEV23!L27+HISTOMARS23!L27+HISTOAVRIL23!L27+HISTOMAI23!L27+HISTOJUIN23!L27+HISTOJUIL23!L27+HISTOAOUT23!L27+HISTOSEPT23!L27+HISTOOCT23!L27+HISTONOV23!L27+HISTODEC23!L27</f>
        <v>0</v>
      </c>
      <c r="M27" s="5">
        <f>HISTOJANV23!M27+HISTOFEV23!M27+HISTOMARS23!M27+HISTOAVRIL23!M27+HISTOMAI23!M27+HISTOJUIN23!M27+HISTOJUIL23!M27+HISTOAOUT23!M27+HISTOSEPT23!M27+HISTOOCT23!M27+HISTONOV23!M27+HISTODEC23!M27</f>
        <v>0</v>
      </c>
      <c r="N27" s="5">
        <f>HISTOJANV23!N27+HISTOFEV23!N27+HISTOMARS23!N27+HISTOAVRIL23!N27+HISTOMAI23!N27+HISTOJUIN23!N27+HISTOJUIL23!N27+HISTOAOUT23!N27+HISTOSEPT23!N27+HISTOOCT23!N27+HISTONOV23!N27+HISTODEC23!N27</f>
        <v>0</v>
      </c>
      <c r="O27" s="5">
        <f>HISTOJANV23!O27+HISTOFEV23!O27+HISTOMARS23!O27+HISTOAVRIL23!O27+HISTOMAI23!O27+HISTOJUIN23!O27+HISTOJUIL23!O27+HISTOAOUT23!O27+HISTOSEPT23!O27+HISTOOCT23!O27+HISTONOV23!O27+HISTODEC23!O27</f>
        <v>0</v>
      </c>
      <c r="P27" s="5">
        <f>HISTOJANV23!P27+HISTOFEV23!P27+HISTOMARS23!P27+HISTOAVRIL23!P27+HISTOMAI23!P27+HISTOJUIN23!P27+HISTOJUIL23!P27+HISTOAOUT23!P27+HISTOSEPT23!P27+HISTOOCT23!P27+HISTONOV23!P27+HISTODEC23!P27</f>
        <v>0</v>
      </c>
      <c r="Q27" s="5">
        <f>HISTOJANV23!Q27+HISTOFEV23!Q27+HISTOMARS23!Q27+HISTOAVRIL23!Q27+HISTOMAI23!Q27+HISTOJUIN23!Q27+HISTOJUIL23!Q27+HISTOAOUT23!Q27+HISTOSEPT23!Q27+HISTOOCT23!Q27+HISTONOV23!Q27+HISTODEC23!Q27</f>
        <v>0</v>
      </c>
      <c r="R27" s="5">
        <f>HISTOJANV23!R27+HISTOFEV23!R27+HISTOMARS23!R27+HISTOAVRIL23!R27+HISTOMAI23!R27+HISTOJUIN23!R27+HISTOJUIL23!R27+HISTOAOUT23!R27+HISTOSEPT23!R27+HISTOOCT23!R27+HISTONOV23!R27+HISTODEC23!R27</f>
        <v>0</v>
      </c>
      <c r="S27" s="5">
        <f>HISTOJANV23!S27+HISTOFEV23!S27+HISTOMARS23!S27+HISTOAVRIL23!S27+HISTOMAI23!S27+HISTOJUIN23!S27+HISTOJUIL23!S27+HISTOAOUT23!S27+HISTOSEPT23!S27+HISTOOCT23!S27+HISTONOV23!S27+HISTODEC23!S27</f>
        <v>0</v>
      </c>
      <c r="T27" s="5">
        <f>HISTOJANV23!T27+HISTOFEV23!T27+HISTOMARS23!T27+HISTOAVRIL23!T27+HISTOMAI23!T27+HISTOJUIN23!T27+HISTOJUIL23!T27+HISTOAOUT23!T27+HISTOSEPT23!T27+HISTOOCT23!T27+HISTONOV23!T27+HISTODEC23!T27</f>
        <v>0</v>
      </c>
      <c r="U27" s="17">
        <f t="shared" si="1"/>
        <v>1117500</v>
      </c>
      <c r="V27" s="5">
        <f>HISTOJANV23!V27+HISTOFEV23!V27+HISTOMARS23!V27+HISTOAVRIL23!V27+HISTOMAI23!V27+HISTOJUIN23!V27+HISTOJUIL23!V27+HISTOAOUT23!V27+HISTOSEPT23!V27+HISTOOCT23!V27+HISTONOV23!V27+HISTODEC23!V27</f>
        <v>0</v>
      </c>
      <c r="W27" s="5">
        <f>HISTOJANV23!W27+HISTOFEV23!W27+HISTOMARS23!W27+HISTOAVRIL23!W27+HISTOMAI23!W27+HISTOJUIN23!W27+HISTOJUIL23!W27+HISTOAOUT23!W27+HISTOSEPT23!W27+HISTOOCT23!W27+HISTONOV23!W27+HISTODEC23!W27</f>
        <v>25000</v>
      </c>
      <c r="X27" s="5">
        <f>HISTOJANV23!X27+HISTOFEV23!X27+HISTOMARS23!X27+HISTOAVRIL23!X27+HISTOMAI23!X27+HISTOJUIN23!X27+HISTOJUIL23!X27+HISTOAOUT23!X27+HISTOSEPT23!X27+HISTOOCT23!X27+HISTONOV23!X27+HISTODEC23!X27</f>
        <v>0</v>
      </c>
      <c r="Y27" s="5">
        <f>HISTOJANV23!Y27+HISTOFEV23!Y27+HISTOMARS23!Y27+HISTOAVRIL23!Y27+HISTOMAI23!Y27+HISTOJUIN23!Y27+HISTOJUIL23!Y27+HISTOAOUT23!Y27+HISTOSEPT23!Y27+HISTOOCT23!Y27+HISTONOV23!Y27+HISTODEC23!Y27</f>
        <v>0</v>
      </c>
      <c r="Z27" s="5">
        <f>HISTOJANV23!Z27+HISTOFEV23!Z27+HISTOMARS23!Z27+HISTOAVRIL23!Z27+HISTOMAI23!Z27+HISTOJUIN23!Z27+HISTOJUIL23!Z27+HISTOAOUT23!Z27+HISTOSEPT23!Z27+HISTOOCT23!Z27+HISTONOV23!Z27+HISTODEC23!Z27</f>
        <v>0</v>
      </c>
      <c r="AA27" s="5">
        <f>HISTOJANV23!AA27+HISTOFEV23!AA27+HISTOMARS23!AA27+HISTOAVRIL23!AA27+HISTOMAI23!AA27+HISTOJUIN23!AA27+HISTOJUIL23!AA27+HISTOAOUT23!AA27+HISTOSEPT23!AA27+HISTOOCT23!AA27+HISTONOV23!AA27+HISTODEC23!AA27</f>
        <v>0</v>
      </c>
      <c r="AB27" s="5">
        <f>HISTOJANV23!AB27+HISTOFEV23!AB27+HISTOMARS23!AB27+HISTOAVRIL23!AB27+HISTOMAI23!AB27+HISTOJUIN23!AB27+HISTOJUIL23!AB27+HISTOAOUT23!AB27+HISTOSEPT23!AB27+HISTOOCT23!AB27+HISTONOV23!AB27+HISTODEC23!AB27</f>
        <v>0</v>
      </c>
      <c r="AC27" s="5">
        <f>HISTOJANV23!AC27+HISTOFEV23!AC27+HISTOMARS23!AC27+HISTOAVRIL23!AC27+HISTOMAI23!AC27+HISTOJUIN23!AC27+HISTOJUIL23!AC27+HISTOAOUT23!AC27+HISTOSEPT23!AC27+HISTOOCT23!AC27+HISTONOV23!AC27+HISTODEC23!AC27</f>
        <v>2500</v>
      </c>
      <c r="AD27" s="5">
        <f>HISTOJANV23!AD27+HISTOFEV23!AD27+HISTOMARS23!AD27+HISTOAVRIL23!AD27+HISTOMAI23!AD27+HISTOJUIN23!AD27+HISTOJUIL23!AD27+HISTOAOUT23!AD27+HISTOSEPT23!AD27+HISTOOCT23!AD27+HISTONOV23!AD27+HISTODEC23!AD27</f>
        <v>0</v>
      </c>
      <c r="AE27" s="5">
        <f>HISTOJANV23!AE27+HISTOFEV23!AE27+HISTOMARS23!AE27+HISTOAVRIL23!AE27+HISTOMAI23!AE27+HISTOJUIN23!AE27+HISTOJUIL23!AE27+HISTOAOUT23!AE27+HISTOSEPT23!AE27+HISTOOCT23!AE27+HISTONOV23!AE27+HISTODEC23!AE27</f>
        <v>0</v>
      </c>
      <c r="AF27" s="5" t="e">
        <f>HISTOJANV23!AF27+HISTOFEV23!AF27+HISTOMARS23!AF27+HISTOAVRIL23!AF27+HISTOMAI23!AF27+HISTOJUIN23!AF27+HISTOJUIL23!AF27+HISTOAOUT23!AF27+HISTOSEPT23!AF27+HISTOOCT23!AF27+HISTONOV23!AF27+HISTODEC23!AF27</f>
        <v>#VALUE!</v>
      </c>
      <c r="AG27" s="5">
        <f>HISTOJANV23!AG27+HISTOFEV23!AG27+HISTOMARS23!AG27+HISTOAVRIL23!AG27+HISTOMAI23!AG27+HISTOJUIN23!AG27+HISTOJUIL23!AG27+HISTOAOUT23!AG27+HISTOSEPT23!AG27+HISTOOCT23!AG27+HISTONOV23!AG27+HISTODEC23!AG27</f>
        <v>0</v>
      </c>
      <c r="AH27" s="5">
        <f>HISTOJANV23!AH27+HISTOFEV23!AH27+HISTOMARS23!AH27+HISTOAVRIL23!AH27+HISTOMAI23!AH27+HISTOJUIN23!AH27+HISTOJUIL23!AH27+HISTOAOUT23!AH27+HISTOSEPT23!AH27+HISTOOCT23!AH27+HISTONOV23!AH27+HISTODEC23!AH27</f>
        <v>0</v>
      </c>
      <c r="AI27" s="5">
        <f>HISTOJANV23!AI27+HISTOFEV23!AI27+HISTOMARS23!AI27+HISTOAVRIL23!AI27+HISTOMAI23!AI27+HISTOJUIN23!AI27+HISTOJUIL23!AI27+HISTOAOUT23!AI27+HISTOSEPT23!AI27+HISTOOCT23!AI27+HISTONOV23!AI27+HISTODEC23!AI27</f>
        <v>0</v>
      </c>
      <c r="AJ27" s="5">
        <f>HISTOJANV23!AJ27+HISTOFEV23!AJ27+HISTOMARS23!AJ27+HISTOAVRIL23!AJ27+HISTOMAI23!AJ27+HISTOJUIN23!AJ27+HISTOJUIL23!AJ27+HISTOAOUT23!AJ27+HISTOSEPT23!AJ27+HISTOOCT23!AJ27+HISTONOV23!AJ27+HISTODEC23!AJ27</f>
        <v>0</v>
      </c>
      <c r="AK27" s="5">
        <f>HISTOJANV23!AK27+HISTOFEV23!AK27+HISTOMARS23!AK27+HISTOAVRIL23!AK27+HISTOMAI23!AK27+HISTOJUIN23!AK27+HISTOJUIL23!AK27+HISTOAOUT23!AK27+HISTOSEPT23!AK27+HISTOOCT23!AK27+HISTONOV23!AK27+HISTODEC23!AK27</f>
        <v>0</v>
      </c>
      <c r="AL27" s="5">
        <f>HISTOJANV23!AL27+HISTOFEV23!AL27+HISTOMARS23!AL27+HISTOAVRIL23!AL27+HISTOMAI23!AL27+HISTOJUIN23!AL27+HISTOJUIL23!AL27+HISTOAOUT23!AL27+HISTOSEPT23!AL27+HISTOOCT23!AL27+HISTONOV23!AL27+HISTODEC23!AL27</f>
        <v>0</v>
      </c>
      <c r="AM27" s="5">
        <f>HISTOJANV23!AM27+HISTOFEV23!AM27+HISTOMARS23!AM27+HISTOAVRIL23!AM27+HISTOMAI23!AM27+HISTOJUIN23!AM27+HISTOJUIL23!AM27+HISTOAOUT23!AM27+HISTOSEPT23!AM27+HISTOOCT23!AM27+HISTONOV23!AM27+HISTODEC23!AM27</f>
        <v>0</v>
      </c>
      <c r="AN27" s="5">
        <f>HISTOJANV23!AN27+HISTOFEV23!AN27+HISTOMARS23!AN27+HISTOAVRIL23!AN27+HISTOMAI23!AN27+HISTOJUIN23!AN27+HISTOJUIL23!AN27+HISTOAOUT23!AN27+HISTOSEPT23!AN27+HISTOOCT23!AN27+HISTONOV23!AN27+HISTODEC23!AN27</f>
        <v>0</v>
      </c>
      <c r="AO27" s="5">
        <f>HISTOJANV23!AO27+HISTOFEV23!AO27+HISTOMARS23!AO27+HISTOAVRIL23!AO27+HISTOMAI23!AO27+HISTOJUIN23!AO27+HISTOJUIL23!AO27+HISTOAOUT23!AO27+HISTOSEPT23!AO27+HISTOOCT23!AO27+HISTONOV23!AO27+HISTODEC23!AO27</f>
        <v>0</v>
      </c>
      <c r="AP27" s="5">
        <f>HISTOJANV23!AP27+HISTOFEV23!AP27+HISTOMARS23!AP27+HISTOAVRIL23!AP27+HISTOMAI23!AP27+HISTOJUIN23!AP27+HISTOJUIL23!AP27+HISTOAOUT23!AP27+HISTOSEPT23!AP27+HISTOOCT23!AP27+HISTONOV23!AP27+HISTODEC23!AP27</f>
        <v>0</v>
      </c>
      <c r="AQ27" s="5">
        <f>HISTOJANV23!AQ27+HISTOFEV23!AQ27+HISTOMARS23!AQ27+HISTOAVRIL23!AQ27+HISTOMAI23!AQ27+HISTOJUIN23!AQ27+HISTOJUIL23!AQ27+HISTOAOUT23!AQ27+HISTOSEPT23!AQ27+HISTOOCT23!AQ27+HISTONOV23!AQ27+HISTODEC23!AQ27</f>
        <v>0</v>
      </c>
      <c r="AR27" s="5">
        <f>HISTOJANV23!AR27+HISTOFEV23!AR27+HISTOMARS23!AR27+HISTOAVRIL23!AR27+HISTOMAI23!AR27+HISTOJUIN23!AR27+HISTOJUIL23!AR27+HISTOAOUT23!AR27+HISTOSEPT23!AR27+HISTOOCT23!AR27+HISTONOV23!AR27+HISTODEC23!AR27</f>
        <v>0</v>
      </c>
      <c r="AS27" s="5">
        <f>HISTOJANV23!AS27+HISTOFEV23!AS27+HISTOMARS23!AS27+HISTOAVRIL23!AS27+HISTOMAI23!AS27+HISTOJUIN23!AS27+HISTOJUIL23!AS27+HISTOAOUT23!AS27+HISTOSEPT23!AS27+HISTOOCT23!AS27+HISTONOV23!AS27+HISTODEC23!AS27</f>
        <v>792500</v>
      </c>
      <c r="AT27" s="5">
        <f>HISTOJANV23!AT27+HISTOFEV23!AT27+HISTOMARS23!AT27+HISTOAVRIL23!AT27+HISTOMAI23!AT27+HISTOJUIN23!AT27+HISTOJUIL23!AT27+HISTOAOUT23!AT27+HISTOSEPT23!AT27+HISTOOCT23!AT27+HISTONOV23!AT27+HISTODEC23!AT27</f>
        <v>120000</v>
      </c>
      <c r="AU27" s="5">
        <f>HISTOJANV23!AU27+HISTOFEV23!AU27+HISTOMARS23!AU27+HISTOAVRIL23!AU27+HISTOMAI23!AU27+HISTOJUIN23!AU27+HISTOJUIL23!AU27+HISTOAOUT23!AU27+HISTOSEPT23!AU27+HISTOOCT23!AU27+HISTONOV23!AU27+HISTODEC23!AU27</f>
        <v>0</v>
      </c>
      <c r="AV27" s="5">
        <f>HISTOJANV23!AV27+HISTOFEV23!AV27+HISTOMARS23!AV27+HISTOAVRIL23!AV27+HISTOMAI23!AV27+HISTOJUIN23!AV27+HISTOJUIL23!AV27+HISTOAOUT23!AV27+HISTOSEPT23!AV27+HISTOOCT23!AV27+HISTONOV23!AV27+HISTODEC23!AV27</f>
        <v>0</v>
      </c>
      <c r="AW27" s="5">
        <f>HISTOJANV23!AW27+HISTOFEV23!AW27+HISTOMARS23!AW27+HISTOAVRIL23!AW27+HISTOMAI23!AW27+HISTOJUIN23!AW27+HISTOJUIL23!AW27+HISTOAOUT23!AW27+HISTOSEPT23!AW27+HISTOOCT23!AW27+HISTONOV23!AW27+HISTODEC23!AW27</f>
        <v>297500</v>
      </c>
      <c r="AX27" s="5">
        <f>HISTOJANV23!AX27+HISTOFEV23!AX27+HISTOMARS23!AX27+HISTOAVRIL23!AX27+HISTOMAI23!AX27+HISTOJUIN23!AX27+HISTOJUIL23!AX27+HISTOAOUT23!AX27+HISTOSEPT23!AX27+HISTOOCT23!AX27+HISTONOV23!AX27+HISTODEC23!AX27</f>
        <v>0</v>
      </c>
      <c r="AY27" s="5">
        <f>HISTOJANV23!AY27+HISTOFEV23!AY27+HISTOMARS23!AY27+HISTOAVRIL23!AY27+HISTOMAI23!AY27+HISTOJUIN23!AY27+HISTOJUIL23!AY27+HISTOAOUT23!AY27+HISTOSEPT23!AY27+HISTOOCT23!AY27+HISTONOV23!AY27+HISTODEC23!AY27</f>
        <v>0</v>
      </c>
      <c r="AZ27" s="5">
        <f>HISTOJANV23!AZ27+HISTOFEV23!AZ27+HISTOMARS23!AZ27+HISTOAVRIL23!AZ27+HISTOMAI23!AZ27+HISTOJUIN23!AZ27+HISTOJUIL23!AZ27+HISTOAOUT23!AZ27+HISTOSEPT23!AZ27+HISTOOCT23!AZ27+HISTONOV23!AZ27+HISTODEC23!AZ27</f>
        <v>227500</v>
      </c>
      <c r="BA27" s="5">
        <f>HISTOJANV23!BA27+HISTOFEV23!BA27+HISTOMARS23!BA27+HISTOAVRIL23!BA27+HISTOMAI23!BA27+HISTOJUIN23!BA27+HISTOJUIL23!BA27+HISTOAOUT23!BA27+HISTOSEPT23!BA27+HISTOOCT23!BA27+HISTONOV23!BA27+HISTODEC23!BA27</f>
        <v>0</v>
      </c>
      <c r="BB27" s="5">
        <f>HISTOJANV23!BB27+HISTOFEV23!BB27+HISTOMARS23!BB27+HISTOAVRIL23!BB27+HISTOMAI23!BB27+HISTOJUIN23!BB27+HISTOJUIL23!BB27+HISTOAOUT23!BB27+HISTOSEPT23!BB27+HISTOOCT23!BB27+HISTONOV23!BB27+HISTODEC23!BB27</f>
        <v>70000</v>
      </c>
      <c r="BC27" s="5">
        <f>HISTOJANV23!BC27+HISTOFEV23!BC27+HISTOMARS23!BC27+HISTOAVRIL23!BC27+HISTOMAI23!BC27+HISTOJUIN23!BC27+HISTOJUIL23!BC27+HISTOAOUT23!BC27+HISTOSEPT23!BC27+HISTOOCT23!BC27+HISTONOV23!BC27+HISTODEC23!BC27</f>
        <v>0</v>
      </c>
      <c r="BD27" s="5">
        <f>HISTOJANV23!BD27+HISTOFEV23!BD27+HISTOMARS23!BD27+HISTOAVRIL23!BD27+HISTOMAI23!BD27+HISTOJUIN23!BD27+HISTOJUIL23!BD27+HISTOAOUT23!BD27+HISTOSEPT23!BD27+HISTOOCT23!BD27+HISTONOV23!BD27+HISTODEC23!BD27</f>
        <v>100000</v>
      </c>
      <c r="BE27" s="82">
        <f>HISTOJANV23!BE27+HISTOFEV23!BE27+HISTOMARS23!BE27+HISTOAVRIL23!BE27+HISTOMAI23!BE27+HISTOJUIN23!BE27+HISTOJUIL23!BE27+HISTOAOUT23!BE27+HISTOSEPT23!BE27+HISTOOCT23!BE27+HISTONOV23!BE27+HISTODEC23!BE27</f>
        <v>100000</v>
      </c>
      <c r="BF27" s="5">
        <f>HISTOJANV23!BF27+HISTOFEV23!BF27+HISTOMARS23!BF27+HISTOAVRIL23!BF27+HISTOMAI23!BF27+HISTOJUIN23!BF27+HISTOJUIL23!BF27+HISTOAOUT23!BF27+HISTOSEPT23!BF27+HISTOOCT23!BF27+HISTONOV23!BF27+HISTODEC23!BF27</f>
        <v>0</v>
      </c>
      <c r="BG27" s="5">
        <f>HISTOJANV23!BG27+HISTOFEV23!BG27+HISTOMARS23!BG27+HISTOAVRIL23!BG27+HISTOMAI23!BG27+HISTOJUIN23!BG27+HISTOJUIL23!BG27+HISTOAOUT23!BG27+HISTOSEPT23!BG27+HISTOOCT23!BG27+HISTONOV23!BG27+HISTODEC23!BG27</f>
        <v>78</v>
      </c>
      <c r="BH27" s="5">
        <f>HISTOJANV23!BH27+HISTOFEV23!BH27+HISTOMARS23!BH27+HISTOAVRIL23!BH27+HISTOMAI23!BH27+HISTOJUIN23!BH27+HISTOJUIL23!BH27+HISTOAOUT23!BH27+HISTOSEPT23!BH27+HISTOOCT23!BH27+HISTONOV23!BH27+HISTODEC23!BH27</f>
        <v>0</v>
      </c>
      <c r="BI27" s="5">
        <f>HISTOJANV23!BI27+HISTOFEV23!BI27+HISTOMARS23!BI27+HISTOAVRIL23!BI27+HISTOMAI23!BI27+HISTOJUIN23!BI27+HISTOJUIL23!BI27+HISTOAOUT23!BI27+HISTOSEPT23!BI27+HISTOOCT23!BI27+HISTONOV23!BI27+HISTODEC23!BI27</f>
        <v>0</v>
      </c>
      <c r="BJ27" s="5">
        <f>HISTOJANV23!BJ27+HISTOFEV23!BJ27+HISTOMARS23!BJ27+HISTOAVRIL23!BJ27+HISTOMAI23!BJ27+HISTOJUIN23!BJ27+HISTOJUIL23!BJ27+HISTOAOUT23!BJ27+HISTOSEPT23!BJ27+HISTOOCT23!BJ27+HISTONOV23!BJ27+HISTODEC23!BJ27</f>
        <v>0</v>
      </c>
      <c r="BK27" s="5">
        <f>HISTOJANV23!BK27+HISTOFEV23!BK27+HISTOMARS23!BK27+HISTOAVRIL23!BK27+HISTOMAI23!BK27+HISTOJUIN23!BK27+HISTOJUIL23!BK27+HISTOAOUT23!BK27+HISTOSEPT23!BK27+HISTOOCT23!BK27+HISTONOV23!BK27+HISTODEC23!BK27</f>
        <v>0</v>
      </c>
      <c r="BL27" s="5">
        <f>HISTOJANV23!BL27+HISTOFEV23!BL27+HISTOMARS23!BL27+HISTOAVRIL23!BL27+HISTOMAI23!BL27+HISTOJUIN23!BL27+HISTOJUIL23!BL27+HISTOAOUT23!BL27+HISTOSEPT23!BL27+HISTOOCT23!BL27+HISTONOV23!BL27+HISTODEC23!BL27</f>
        <v>0</v>
      </c>
      <c r="BM27" s="5">
        <f>HISTOJANV23!BM27+HISTOFEV23!BM27+HISTOMARS23!BM27+HISTOAVRIL23!BM27+HISTOMAI23!BM27+HISTOJUIN23!BM27+HISTOJUIL23!BM27+HISTOAOUT23!BM27+HISTOSEPT23!BM27+HISTOOCT23!BM27+HISTONOV23!BM27+HISTODEC23!BM27</f>
        <v>0</v>
      </c>
      <c r="BP27" s="6"/>
    </row>
    <row r="28" spans="1:68" ht="18.75" x14ac:dyDescent="0.3">
      <c r="A28" s="1" t="s">
        <v>34</v>
      </c>
      <c r="B28" s="1" t="str">
        <f>VLOOKUP(A28,[17]LISTADHERENT!A$5:H$39,3,0)</f>
        <v>PATEGO NJOSSU GUSTAVE</v>
      </c>
      <c r="C28" s="5">
        <f>HISTOJANV23!C28+HISTOFEV23!C28+HISTOMARS23!C28+HISTOAVRIL23!C28+HISTOMAI23!C28+HISTOJUIN23!C28+HISTOJUIL23!C28+HISTOAOUT23!C28+HISTOSEPT23!C28+HISTOOCT23!C28+HISTONOV23!C28+HISTODEC23!C28</f>
        <v>-70000</v>
      </c>
      <c r="D28" s="5">
        <f>HISTOJANV23!D28+HISTOFEV23!D28+HISTOMARS23!D28+HISTOAVRIL23!D28+HISTOMAI23!D28+HISTOJUIN23!D28+HISTOJUIL23!D28+HISTOAOUT23!D28+HISTOSEPT23!D28+HISTOOCT23!D28+HISTONOV23!D28+HISTODEC23!D28</f>
        <v>1380000</v>
      </c>
      <c r="E28" s="5">
        <f>HISTOJANV23!E28+HISTOFEV23!E28+HISTOMARS23!E28+HISTOAVRIL23!E28+HISTOMAI23!E28+HISTOJUIN23!E28+HISTOJUIL23!E28+HISTOAOUT23!E28+HISTOSEPT23!E28+HISTOOCT23!E28+HISTONOV23!E28+HISTODEC23!E28</f>
        <v>0</v>
      </c>
      <c r="F28" s="5">
        <f>HISTOJANV23!F28+HISTOFEV23!F28+HISTOMARS23!F28+HISTOAVRIL23!F28+HISTOMAI23!F28+HISTOJUIN23!F28+HISTOJUIL23!F28+HISTOAOUT23!F28+HISTOSEPT23!F28+HISTOOCT23!F28+HISTONOV23!F28+HISTODEC23!F28</f>
        <v>0</v>
      </c>
      <c r="G28" s="5">
        <f>HISTOJANV23!G28+HISTOFEV23!G28+HISTOMARS23!G28+HISTOAVRIL23!G28+HISTOMAI23!G28+HISTOJUIN23!G28+HISTOJUIL23!G28+HISTOAOUT23!G28+HISTOSEPT23!G28+HISTOOCT23!G28+HISTONOV23!G28+HISTODEC23!G28</f>
        <v>0</v>
      </c>
      <c r="H28" s="10" t="str">
        <f t="shared" si="0"/>
        <v>BANQUE</v>
      </c>
      <c r="I28" s="5">
        <f>HISTOJANV23!I28+HISTOFEV23!I28+HISTOMARS23!I28+HISTOAVRIL23!I28+HISTOMAI23!I28+HISTOJUIN23!I28+HISTOJUIL23!I28+HISTOAOUT23!I28+HISTOSEPT23!I28+HISTOOCT23!I28+HISTONOV23!I28+HISTODEC23!I28</f>
        <v>0</v>
      </c>
      <c r="J28" s="5">
        <f>HISTOJANV23!J28+HISTOFEV23!J28+HISTOMARS23!J28+HISTOAVRIL23!J28+HISTOMAI23!J28+HISTOJUIN23!J28+HISTOJUIL23!J28+HISTOAOUT23!J28+HISTOSEPT23!J28+HISTOOCT23!J28+HISTONOV23!J28+HISTODEC23!J28</f>
        <v>12</v>
      </c>
      <c r="K28" s="5">
        <f>HISTOJANV23!K28+HISTOFEV23!K28+HISTOMARS23!K28+HISTOAVRIL23!K28+HISTOMAI23!K28+HISTOJUIN23!K28+HISTOJUIL23!K28+HISTOAOUT23!K28+HISTOSEPT23!K28+HISTOOCT23!K28+HISTONOV23!K28+HISTODEC23!K28</f>
        <v>480000</v>
      </c>
      <c r="L28" s="5">
        <f>HISTOJANV23!L28+HISTOFEV23!L28+HISTOMARS23!L28+HISTOAVRIL23!L28+HISTOMAI23!L28+HISTOJUIN23!L28+HISTOJUIL23!L28+HISTOAOUT23!L28+HISTOSEPT23!L28+HISTOOCT23!L28+HISTONOV23!L28+HISTODEC23!L28</f>
        <v>12</v>
      </c>
      <c r="M28" s="5">
        <f>HISTOJANV23!M28+HISTOFEV23!M28+HISTOMARS23!M28+HISTOAVRIL23!M28+HISTOMAI23!M28+HISTOJUIN23!M28+HISTOJUIL23!M28+HISTOAOUT23!M28+HISTOSEPT23!M28+HISTOOCT23!M28+HISTONOV23!M28+HISTODEC23!M28</f>
        <v>900000</v>
      </c>
      <c r="N28" s="5">
        <f>HISTOJANV23!N28+HISTOFEV23!N28+HISTOMARS23!N28+HISTOAVRIL23!N28+HISTOMAI23!N28+HISTOJUIN23!N28+HISTOJUIL23!N28+HISTOAOUT23!N28+HISTOSEPT23!N28+HISTOOCT23!N28+HISTONOV23!N28+HISTODEC23!N28</f>
        <v>0</v>
      </c>
      <c r="O28" s="5">
        <f>HISTOJANV23!O28+HISTOFEV23!O28+HISTOMARS23!O28+HISTOAVRIL23!O28+HISTOMAI23!O28+HISTOJUIN23!O28+HISTOJUIL23!O28+HISTOAOUT23!O28+HISTOSEPT23!O28+HISTOOCT23!O28+HISTONOV23!O28+HISTODEC23!O28</f>
        <v>0</v>
      </c>
      <c r="P28" s="5">
        <f>HISTOJANV23!P28+HISTOFEV23!P28+HISTOMARS23!P28+HISTOAVRIL23!P28+HISTOMAI23!P28+HISTOJUIN23!P28+HISTOJUIL23!P28+HISTOAOUT23!P28+HISTOSEPT23!P28+HISTOOCT23!P28+HISTONOV23!P28+HISTODEC23!P28</f>
        <v>0</v>
      </c>
      <c r="Q28" s="5">
        <f>HISTOJANV23!Q28+HISTOFEV23!Q28+HISTOMARS23!Q28+HISTOAVRIL23!Q28+HISTOMAI23!Q28+HISTOJUIN23!Q28+HISTOJUIL23!Q28+HISTOAOUT23!Q28+HISTOSEPT23!Q28+HISTOOCT23!Q28+HISTONOV23!Q28+HISTODEC23!Q28</f>
        <v>0</v>
      </c>
      <c r="R28" s="5">
        <f>HISTOJANV23!R28+HISTOFEV23!R28+HISTOMARS23!R28+HISTOAVRIL23!R28+HISTOMAI23!R28+HISTOJUIN23!R28+HISTOJUIL23!R28+HISTOAOUT23!R28+HISTOSEPT23!R28+HISTOOCT23!R28+HISTONOV23!R28+HISTODEC23!R28</f>
        <v>0</v>
      </c>
      <c r="S28" s="5">
        <f>HISTOJANV23!S28+HISTOFEV23!S28+HISTOMARS23!S28+HISTOAVRIL23!S28+HISTOMAI23!S28+HISTOJUIN23!S28+HISTOJUIL23!S28+HISTOAOUT23!S28+HISTOSEPT23!S28+HISTOOCT23!S28+HISTONOV23!S28+HISTODEC23!S28</f>
        <v>0</v>
      </c>
      <c r="T28" s="5">
        <f>HISTOJANV23!T28+HISTOFEV23!T28+HISTOMARS23!T28+HISTOAVRIL23!T28+HISTOMAI23!T28+HISTOJUIN23!T28+HISTOJUIL23!T28+HISTOAOUT23!T28+HISTOSEPT23!T28+HISTOOCT23!T28+HISTONOV23!T28+HISTODEC23!T28</f>
        <v>0</v>
      </c>
      <c r="U28" s="17">
        <f t="shared" si="1"/>
        <v>1380000</v>
      </c>
      <c r="V28" s="5">
        <f>HISTOJANV23!V28+HISTOFEV23!V28+HISTOMARS23!V28+HISTOAVRIL23!V28+HISTOMAI23!V28+HISTOJUIN23!V28+HISTOJUIL23!V28+HISTOAOUT23!V28+HISTOSEPT23!V28+HISTOOCT23!V28+HISTONOV23!V28+HISTODEC23!V28</f>
        <v>0</v>
      </c>
      <c r="W28" s="5">
        <f>HISTOJANV23!W28+HISTOFEV23!W28+HISTOMARS23!W28+HISTOAVRIL23!W28+HISTOMAI23!W28+HISTOJUIN23!W28+HISTOJUIL23!W28+HISTOAOUT23!W28+HISTOSEPT23!W28+HISTOOCT23!W28+HISTONOV23!W28+HISTODEC23!W28</f>
        <v>0</v>
      </c>
      <c r="X28" s="5">
        <f>HISTOJANV23!X28+HISTOFEV23!X28+HISTOMARS23!X28+HISTOAVRIL23!X28+HISTOMAI23!X28+HISTOJUIN23!X28+HISTOJUIL23!X28+HISTOAOUT23!X28+HISTOSEPT23!X28+HISTOOCT23!X28+HISTONOV23!X28+HISTODEC23!X28</f>
        <v>0</v>
      </c>
      <c r="Y28" s="5">
        <f>HISTOJANV23!Y28+HISTOFEV23!Y28+HISTOMARS23!Y28+HISTOAVRIL23!Y28+HISTOMAI23!Y28+HISTOJUIN23!Y28+HISTOJUIL23!Y28+HISTOAOUT23!Y28+HISTOSEPT23!Y28+HISTOOCT23!Y28+HISTONOV23!Y28+HISTODEC23!Y28</f>
        <v>0</v>
      </c>
      <c r="Z28" s="5">
        <f>HISTOJANV23!Z28+HISTOFEV23!Z28+HISTOMARS23!Z28+HISTOAVRIL23!Z28+HISTOMAI23!Z28+HISTOJUIN23!Z28+HISTOJUIL23!Z28+HISTOAOUT23!Z28+HISTOSEPT23!Z28+HISTOOCT23!Z28+HISTONOV23!Z28+HISTODEC23!Z28</f>
        <v>0</v>
      </c>
      <c r="AA28" s="5">
        <f>HISTOJANV23!AA28+HISTOFEV23!AA28+HISTOMARS23!AA28+HISTOAVRIL23!AA28+HISTOMAI23!AA28+HISTOJUIN23!AA28+HISTOJUIL23!AA28+HISTOAOUT23!AA28+HISTOSEPT23!AA28+HISTOOCT23!AA28+HISTONOV23!AA28+HISTODEC23!AA28</f>
        <v>0</v>
      </c>
      <c r="AB28" s="5">
        <f>HISTOJANV23!AB28+HISTOFEV23!AB28+HISTOMARS23!AB28+HISTOAVRIL23!AB28+HISTOMAI23!AB28+HISTOJUIN23!AB28+HISTOJUIL23!AB28+HISTOAOUT23!AB28+HISTOSEPT23!AB28+HISTOOCT23!AB28+HISTONOV23!AB28+HISTODEC23!AB28</f>
        <v>0</v>
      </c>
      <c r="AC28" s="5">
        <f>HISTOJANV23!AC28+HISTOFEV23!AC28+HISTOMARS23!AC28+HISTOAVRIL23!AC28+HISTOMAI23!AC28+HISTOJUIN23!AC28+HISTOJUIL23!AC28+HISTOAOUT23!AC28+HISTOSEPT23!AC28+HISTOOCT23!AC28+HISTONOV23!AC28+HISTODEC23!AC28</f>
        <v>2500</v>
      </c>
      <c r="AD28" s="5">
        <f>HISTOJANV23!AD28+HISTOFEV23!AD28+HISTOMARS23!AD28+HISTOAVRIL23!AD28+HISTOMAI23!AD28+HISTOJUIN23!AD28+HISTOJUIL23!AD28+HISTOAOUT23!AD28+HISTOSEPT23!AD28+HISTOOCT23!AD28+HISTONOV23!AD28+HISTODEC23!AD28</f>
        <v>7500</v>
      </c>
      <c r="AE28" s="5">
        <f>HISTOJANV23!AE28+HISTOFEV23!AE28+HISTOMARS23!AE28+HISTOAVRIL23!AE28+HISTOMAI23!AE28+HISTOJUIN23!AE28+HISTOJUIL23!AE28+HISTOAOUT23!AE28+HISTOSEPT23!AE28+HISTOOCT23!AE28+HISTONOV23!AE28+HISTODEC23!AE28</f>
        <v>0</v>
      </c>
      <c r="AF28" s="5">
        <f>HISTOJANV23!AF28+HISTOFEV23!AF28+HISTOMARS23!AF28+HISTOAVRIL23!AF28+HISTOMAI23!AF28+HISTOJUIN23!AF28+HISTOJUIL23!AF28+HISTOAOUT23!AF28+HISTOSEPT23!AF28+HISTOOCT23!AF28+HISTONOV23!AF28+HISTODEC23!AF28</f>
        <v>0</v>
      </c>
      <c r="AG28" s="5">
        <f>HISTOJANV23!AG28+HISTOFEV23!AG28+HISTOMARS23!AG28+HISTOAVRIL23!AG28+HISTOMAI23!AG28+HISTOJUIN23!AG28+HISTOJUIL23!AG28+HISTOAOUT23!AG28+HISTOSEPT23!AG28+HISTOOCT23!AG28+HISTONOV23!AG28+HISTODEC23!AG28</f>
        <v>0</v>
      </c>
      <c r="AH28" s="5">
        <f>HISTOJANV23!AH28+HISTOFEV23!AH28+HISTOMARS23!AH28+HISTOAVRIL23!AH28+HISTOMAI23!AH28+HISTOJUIN23!AH28+HISTOJUIL23!AH28+HISTOAOUT23!AH28+HISTOSEPT23!AH28+HISTOOCT23!AH28+HISTONOV23!AH28+HISTODEC23!AH28</f>
        <v>0</v>
      </c>
      <c r="AI28" s="5">
        <f>HISTOJANV23!AI28+HISTOFEV23!AI28+HISTOMARS23!AI28+HISTOAVRIL23!AI28+HISTOMAI23!AI28+HISTOJUIN23!AI28+HISTOJUIL23!AI28+HISTOAOUT23!AI28+HISTOSEPT23!AI28+HISTOOCT23!AI28+HISTONOV23!AI28+HISTODEC23!AI28</f>
        <v>0</v>
      </c>
      <c r="AJ28" s="5">
        <f>HISTOJANV23!AJ28+HISTOFEV23!AJ28+HISTOMARS23!AJ28+HISTOAVRIL23!AJ28+HISTOMAI23!AJ28+HISTOJUIN23!AJ28+HISTOJUIL23!AJ28+HISTOAOUT23!AJ28+HISTOSEPT23!AJ28+HISTOOCT23!AJ28+HISTONOV23!AJ28+HISTODEC23!AJ28</f>
        <v>0</v>
      </c>
      <c r="AK28" s="5">
        <f>HISTOJANV23!AK28+HISTOFEV23!AK28+HISTOMARS23!AK28+HISTOAVRIL23!AK28+HISTOMAI23!AK28+HISTOJUIN23!AK28+HISTOJUIL23!AK28+HISTOAOUT23!AK28+HISTOSEPT23!AK28+HISTOOCT23!AK28+HISTONOV23!AK28+HISTODEC23!AK28</f>
        <v>0</v>
      </c>
      <c r="AL28" s="5">
        <f>HISTOJANV23!AL28+HISTOFEV23!AL28+HISTOMARS23!AL28+HISTOAVRIL23!AL28+HISTOMAI23!AL28+HISTOJUIN23!AL28+HISTOJUIL23!AL28+HISTOAOUT23!AL28+HISTOSEPT23!AL28+HISTOOCT23!AL28+HISTONOV23!AL28+HISTODEC23!AL28</f>
        <v>0</v>
      </c>
      <c r="AM28" s="5">
        <f>HISTOJANV23!AM28+HISTOFEV23!AM28+HISTOMARS23!AM28+HISTOAVRIL23!AM28+HISTOMAI23!AM28+HISTOJUIN23!AM28+HISTOJUIL23!AM28+HISTOAOUT23!AM28+HISTOSEPT23!AM28+HISTOOCT23!AM28+HISTONOV23!AM28+HISTODEC23!AM28</f>
        <v>0</v>
      </c>
      <c r="AN28" s="5">
        <f>HISTOJANV23!AN28+HISTOFEV23!AN28+HISTOMARS23!AN28+HISTOAVRIL23!AN28+HISTOMAI23!AN28+HISTOJUIN23!AN28+HISTOJUIL23!AN28+HISTOAOUT23!AN28+HISTOSEPT23!AN28+HISTOOCT23!AN28+HISTONOV23!AN28+HISTODEC23!AN28</f>
        <v>0</v>
      </c>
      <c r="AO28" s="5">
        <f>HISTOJANV23!AO28+HISTOFEV23!AO28+HISTOMARS23!AO28+HISTOAVRIL23!AO28+HISTOMAI23!AO28+HISTOJUIN23!AO28+HISTOJUIL23!AO28+HISTOAOUT23!AO28+HISTOSEPT23!AO28+HISTOOCT23!AO28+HISTONOV23!AO28+HISTODEC23!AO28</f>
        <v>0</v>
      </c>
      <c r="AP28" s="5">
        <f>HISTOJANV23!AP28+HISTOFEV23!AP28+HISTOMARS23!AP28+HISTOAVRIL23!AP28+HISTOMAI23!AP28+HISTOJUIN23!AP28+HISTOJUIL23!AP28+HISTOAOUT23!AP28+HISTOSEPT23!AP28+HISTOOCT23!AP28+HISTONOV23!AP28+HISTODEC23!AP28</f>
        <v>0</v>
      </c>
      <c r="AQ28" s="5">
        <f>HISTOJANV23!AQ28+HISTOFEV23!AQ28+HISTOMARS23!AQ28+HISTOAVRIL23!AQ28+HISTOMAI23!AQ28+HISTOJUIN23!AQ28+HISTOJUIL23!AQ28+HISTOAOUT23!AQ28+HISTOSEPT23!AQ28+HISTOOCT23!AQ28+HISTONOV23!AQ28+HISTODEC23!AQ28</f>
        <v>0</v>
      </c>
      <c r="AR28" s="5">
        <f>HISTOJANV23!AR28+HISTOFEV23!AR28+HISTOMARS23!AR28+HISTOAVRIL23!AR28+HISTOMAI23!AR28+HISTOJUIN23!AR28+HISTOJUIL23!AR28+HISTOAOUT23!AR28+HISTOSEPT23!AR28+HISTOOCT23!AR28+HISTONOV23!AR28+HISTODEC23!AR28</f>
        <v>0</v>
      </c>
      <c r="AS28" s="5">
        <f>HISTOJANV23!AS28+HISTOFEV23!AS28+HISTOMARS23!AS28+HISTOAVRIL23!AS28+HISTOMAI23!AS28+HISTOJUIN23!AS28+HISTOJUIL23!AS28+HISTOAOUT23!AS28+HISTOSEPT23!AS28+HISTOOCT23!AS28+HISTONOV23!AS28+HISTODEC23!AS28</f>
        <v>180000</v>
      </c>
      <c r="AT28" s="5">
        <f>HISTOJANV23!AT28+HISTOFEV23!AT28+HISTOMARS23!AT28+HISTOAVRIL23!AT28+HISTOMAI23!AT28+HISTOJUIN23!AT28+HISTOJUIL23!AT28+HISTOAOUT23!AT28+HISTOSEPT23!AT28+HISTOOCT23!AT28+HISTONOV23!AT28+HISTODEC23!AT28</f>
        <v>0</v>
      </c>
      <c r="AU28" s="5">
        <f>HISTOJANV23!AU28+HISTOFEV23!AU28+HISTOMARS23!AU28+HISTOAVRIL23!AU28+HISTOMAI23!AU28+HISTOJUIN23!AU28+HISTOJUIL23!AU28+HISTOAOUT23!AU28+HISTOSEPT23!AU28+HISTOOCT23!AU28+HISTONOV23!AU28+HISTODEC23!AU28</f>
        <v>0</v>
      </c>
      <c r="AV28" s="5">
        <f>HISTOJANV23!AV28+HISTOFEV23!AV28+HISTOMARS23!AV28+HISTOAVRIL23!AV28+HISTOMAI23!AV28+HISTOJUIN23!AV28+HISTOJUIL23!AV28+HISTOAOUT23!AV28+HISTOSEPT23!AV28+HISTOOCT23!AV28+HISTONOV23!AV28+HISTODEC23!AV28</f>
        <v>0</v>
      </c>
      <c r="AW28" s="5">
        <f>HISTOJANV23!AW28+HISTOFEV23!AW28+HISTOMARS23!AW28+HISTOAVRIL23!AW28+HISTOMAI23!AW28+HISTOJUIN23!AW28+HISTOJUIL23!AW28+HISTOAOUT23!AW28+HISTOSEPT23!AW28+HISTOOCT23!AW28+HISTONOV23!AW28+HISTODEC23!AW28</f>
        <v>297500</v>
      </c>
      <c r="AX28" s="5">
        <f>HISTOJANV23!AX28+HISTOFEV23!AX28+HISTOMARS23!AX28+HISTOAVRIL23!AX28+HISTOMAI23!AX28+HISTOJUIN23!AX28+HISTOJUIL23!AX28+HISTOAOUT23!AX28+HISTOSEPT23!AX28+HISTOOCT23!AX28+HISTONOV23!AX28+HISTODEC23!AX28</f>
        <v>892500</v>
      </c>
      <c r="AY28" s="5">
        <f>HISTOJANV23!AY28+HISTOFEV23!AY28+HISTOMARS23!AY28+HISTOAVRIL23!AY28+HISTOMAI23!AY28+HISTOJUIN23!AY28+HISTOJUIL23!AY28+HISTOAOUT23!AY28+HISTOSEPT23!AY28+HISTOOCT23!AY28+HISTONOV23!AY28+HISTODEC23!AY28</f>
        <v>0</v>
      </c>
      <c r="AZ28" s="5">
        <f>HISTOJANV23!AZ28+HISTOFEV23!AZ28+HISTOMARS23!AZ28+HISTOAVRIL23!AZ28+HISTOMAI23!AZ28+HISTOJUIN23!AZ28+HISTOJUIL23!AZ28+HISTOAOUT23!AZ28+HISTOSEPT23!AZ28+HISTOOCT23!AZ28+HISTONOV23!AZ28+HISTODEC23!AZ28</f>
        <v>545000</v>
      </c>
      <c r="BA28" s="5">
        <f>HISTOJANV23!BA28+HISTOFEV23!BA28+HISTOMARS23!BA28+HISTOAVRIL23!BA28+HISTOMAI23!BA28+HISTOJUIN23!BA28+HISTOJUIL23!BA28+HISTOAOUT23!BA28+HISTOSEPT23!BA28+HISTOOCT23!BA28+HISTONOV23!BA28+HISTODEC23!BA28</f>
        <v>0</v>
      </c>
      <c r="BB28" s="5">
        <f>HISTOJANV23!BB28+HISTOFEV23!BB28+HISTOMARS23!BB28+HISTOAVRIL23!BB28+HISTOMAI23!BB28+HISTOJUIN23!BB28+HISTOJUIL23!BB28+HISTOAOUT23!BB28+HISTOSEPT23!BB28+HISTOOCT23!BB28+HISTONOV23!BB28+HISTODEC23!BB28</f>
        <v>70000</v>
      </c>
      <c r="BC28" s="5">
        <f>HISTOJANV23!BC28+HISTOFEV23!BC28+HISTOMARS23!BC28+HISTOAVRIL23!BC28+HISTOMAI23!BC28+HISTOJUIN23!BC28+HISTOJUIL23!BC28+HISTOAOUT23!BC28+HISTOSEPT23!BC28+HISTOOCT23!BC28+HISTONOV23!BC28+HISTODEC23!BC28</f>
        <v>0</v>
      </c>
      <c r="BD28" s="5">
        <f>HISTOJANV23!BD28+HISTOFEV23!BD28+HISTOMARS23!BD28+HISTOAVRIL23!BD28+HISTOMAI23!BD28+HISTOJUIN23!BD28+HISTOJUIL23!BD28+HISTOAOUT23!BD28+HISTOSEPT23!BD28+HISTOOCT23!BD28+HISTONOV23!BD28+HISTODEC23!BD28</f>
        <v>475000</v>
      </c>
      <c r="BE28" s="82" t="e">
        <f>HISTOJANV23!BE28+HISTOFEV23!BE28+HISTOMARS23!BE28+HISTOAVRIL23!BE28+HISTOMAI23!BE28+HISTOJUIN23!BE28+HISTOJUIL23!BE28+HISTOAOUT23!BE28+HISTOSEPT23!BE28+HISTOOCT23!BE28+HISTONOV23!BE28+HISTODEC23!BE28</f>
        <v>#VALUE!</v>
      </c>
      <c r="BF28" s="5">
        <f>HISTOJANV23!BF28+HISTOFEV23!BF28+HISTOMARS23!BF28+HISTOAVRIL23!BF28+HISTOMAI23!BF28+HISTOJUIN23!BF28+HISTOJUIL23!BF28+HISTOAOUT23!BF28+HISTOSEPT23!BF28+HISTOOCT23!BF28+HISTONOV23!BF28+HISTODEC23!BF28</f>
        <v>0</v>
      </c>
      <c r="BG28" s="5">
        <f>HISTOJANV23!BG28+HISTOFEV23!BG28+HISTOMARS23!BG28+HISTOAVRIL23!BG28+HISTOMAI23!BG28+HISTOJUIN23!BG28+HISTOJUIL23!BG28+HISTOAOUT23!BG28+HISTOSEPT23!BG28+HISTOOCT23!BG28+HISTONOV23!BG28+HISTODEC23!BG28</f>
        <v>78</v>
      </c>
      <c r="BH28" s="5">
        <f>HISTOJANV23!BH28+HISTOFEV23!BH28+HISTOMARS23!BH28+HISTOAVRIL23!BH28+HISTOMAI23!BH28+HISTOJUIN23!BH28+HISTOJUIL23!BH28+HISTOAOUT23!BH28+HISTOSEPT23!BH28+HISTOOCT23!BH28+HISTONOV23!BH28+HISTODEC23!BH28</f>
        <v>0</v>
      </c>
      <c r="BI28" s="5">
        <f>HISTOJANV23!BI28+HISTOFEV23!BI28+HISTOMARS23!BI28+HISTOAVRIL23!BI28+HISTOMAI23!BI28+HISTOJUIN23!BI28+HISTOJUIL23!BI28+HISTOAOUT23!BI28+HISTOSEPT23!BI28+HISTOOCT23!BI28+HISTONOV23!BI28+HISTODEC23!BI28</f>
        <v>0</v>
      </c>
      <c r="BJ28" s="5">
        <f>HISTOJANV23!BJ28+HISTOFEV23!BJ28+HISTOMARS23!BJ28+HISTOAVRIL23!BJ28+HISTOMAI23!BJ28+HISTOJUIN23!BJ28+HISTOJUIL23!BJ28+HISTOAOUT23!BJ28+HISTOSEPT23!BJ28+HISTOOCT23!BJ28+HISTONOV23!BJ28+HISTODEC23!BJ28</f>
        <v>0</v>
      </c>
      <c r="BK28" s="5">
        <f>HISTOJANV23!BK28+HISTOFEV23!BK28+HISTOMARS23!BK28+HISTOAVRIL23!BK28+HISTOMAI23!BK28+HISTOJUIN23!BK28+HISTOJUIL23!BK28+HISTOAOUT23!BK28+HISTOSEPT23!BK28+HISTOOCT23!BK28+HISTONOV23!BK28+HISTODEC23!BK28</f>
        <v>0</v>
      </c>
      <c r="BL28" s="5">
        <f>HISTOJANV23!BL28+HISTOFEV23!BL28+HISTOMARS23!BL28+HISTOAVRIL23!BL28+HISTOMAI23!BL28+HISTOJUIN23!BL28+HISTOJUIL23!BL28+HISTOAOUT23!BL28+HISTOSEPT23!BL28+HISTOOCT23!BL28+HISTONOV23!BL28+HISTODEC23!BL28</f>
        <v>0</v>
      </c>
      <c r="BM28" s="5">
        <f>HISTOJANV23!BM28+HISTOFEV23!BM28+HISTOMARS23!BM28+HISTOAVRIL23!BM28+HISTOMAI23!BM28+HISTOJUIN23!BM28+HISTOJUIL23!BM28+HISTOAOUT23!BM28+HISTOSEPT23!BM28+HISTOOCT23!BM28+HISTONOV23!BM28+HISTODEC23!BM28</f>
        <v>0</v>
      </c>
      <c r="BN28" s="62" t="s">
        <v>142</v>
      </c>
      <c r="BP28" s="62">
        <f>SUM(BP24:BP26)</f>
        <v>825000</v>
      </c>
    </row>
    <row r="29" spans="1:68" ht="18.75" x14ac:dyDescent="0.3">
      <c r="A29" s="1" t="s">
        <v>159</v>
      </c>
      <c r="B29" s="1" t="str">
        <f>VLOOKUP(A29,[17]LISTADHERENT!A$5:H$39,3,0)</f>
        <v>SEUMO POLYCARPE</v>
      </c>
      <c r="C29" s="5">
        <f>HISTOJANV23!C29+HISTOFEV23!C29+HISTOMARS23!C29+HISTOAVRIL23!C29+HISTOMAI23!C29+HISTOJUIN23!C29+HISTOJUIL23!C29+HISTOAOUT23!C29+HISTOSEPT23!C29+HISTOOCT23!C29+HISTONOV23!C29+HISTODEC23!C29</f>
        <v>-57500</v>
      </c>
      <c r="D29" s="5">
        <f>HISTOJANV23!D29+HISTOFEV23!D29+HISTOMARS23!D29+HISTOAVRIL23!D29+HISTOMAI23!D29+HISTOJUIN23!D29+HISTOJUIL23!D29+HISTOAOUT23!D29+HISTOSEPT23!D29+HISTOOCT23!D29+HISTONOV23!D29+HISTODEC23!D29</f>
        <v>560000</v>
      </c>
      <c r="E29" s="5">
        <f>HISTOJANV23!E29+HISTOFEV23!E29+HISTOMARS23!E29+HISTOAVRIL23!E29+HISTOMAI23!E29+HISTOJUIN23!E29+HISTOJUIL23!E29+HISTOAOUT23!E29+HISTOSEPT23!E29+HISTOOCT23!E29+HISTONOV23!E29+HISTODEC23!E29</f>
        <v>65000</v>
      </c>
      <c r="F29" s="5">
        <f>HISTOJANV23!F29+HISTOFEV23!F29+HISTOMARS23!F29+HISTOAVRIL23!F29+HISTOMAI23!F29+HISTOJUIN23!F29+HISTOJUIL23!F29+HISTOAOUT23!F29+HISTOSEPT23!F29+HISTOOCT23!F29+HISTONOV23!F29+HISTODEC23!F29</f>
        <v>70000</v>
      </c>
      <c r="G29" s="5">
        <f>HISTOJANV23!G29+HISTOFEV23!G29+HISTOMARS23!G29+HISTOAVRIL23!G29+HISTOMAI23!G29+HISTOJUIN23!G29+HISTOJUIL23!G29+HISTOAOUT23!G29+HISTOSEPT23!G29+HISTOOCT23!G29+HISTONOV23!G29+HISTODEC23!G29</f>
        <v>0</v>
      </c>
      <c r="H29" s="10" t="str">
        <f t="shared" si="0"/>
        <v>BANQUE</v>
      </c>
      <c r="I29" s="5">
        <f>HISTOJANV23!I29+HISTOFEV23!I29+HISTOMARS23!I29+HISTOAVRIL23!I29+HISTOMAI23!I29+HISTOJUIN23!I29+HISTOJUIL23!I29+HISTOAOUT23!I29+HISTOSEPT23!I29+HISTOOCT23!I29+HISTONOV23!I29+HISTODEC23!I29</f>
        <v>177500</v>
      </c>
      <c r="J29" s="5">
        <f>HISTOJANV23!J29+HISTOFEV23!J29+HISTOMARS23!J29+HISTOAVRIL23!J29+HISTOMAI23!J29+HISTOJUIN23!J29+HISTOJUIL23!J29+HISTOAOUT23!J29+HISTOSEPT23!J29+HISTOOCT23!J29+HISTONOV23!J29+HISTODEC23!J29</f>
        <v>12</v>
      </c>
      <c r="K29" s="5">
        <f>HISTOJANV23!K29+HISTOFEV23!K29+HISTOMARS23!K29+HISTOAVRIL23!K29+HISTOMAI23!K29+HISTOJUIN23!K29+HISTOJUIL23!K29+HISTOAOUT23!K29+HISTOSEPT23!K29+HISTOOCT23!K29+HISTONOV23!K29+HISTODEC23!K29</f>
        <v>480000</v>
      </c>
      <c r="L29" s="5">
        <f>HISTOJANV23!L29+HISTOFEV23!L29+HISTOMARS23!L29+HISTOAVRIL23!L29+HISTOMAI23!L29+HISTOJUIN23!L29+HISTOJUIL23!L29+HISTOAOUT23!L29+HISTOSEPT23!L29+HISTOOCT23!L29+HISTONOV23!L29+HISTODEC23!L29</f>
        <v>0</v>
      </c>
      <c r="M29" s="5">
        <f>HISTOJANV23!M29+HISTOFEV23!M29+HISTOMARS23!M29+HISTOAVRIL23!M29+HISTOMAI23!M29+HISTOJUIN23!M29+HISTOJUIL23!M29+HISTOAOUT23!M29+HISTOSEPT23!M29+HISTOOCT23!M29+HISTONOV23!M29+HISTODEC23!M29</f>
        <v>0</v>
      </c>
      <c r="N29" s="5">
        <f>HISTOJANV23!N29+HISTOFEV23!N29+HISTOMARS23!N29+HISTOAVRIL23!N29+HISTOMAI23!N29+HISTOJUIN23!N29+HISTOJUIL23!N29+HISTOAOUT23!N29+HISTOSEPT23!N29+HISTOOCT23!N29+HISTONOV23!N29+HISTODEC23!N29</f>
        <v>0</v>
      </c>
      <c r="O29" s="5">
        <f>HISTOJANV23!O29+HISTOFEV23!O29+HISTOMARS23!O29+HISTOAVRIL23!O29+HISTOMAI23!O29+HISTOJUIN23!O29+HISTOJUIL23!O29+HISTOAOUT23!O29+HISTOSEPT23!O29+HISTOOCT23!O29+HISTONOV23!O29+HISTODEC23!O29</f>
        <v>0</v>
      </c>
      <c r="P29" s="5">
        <f>HISTOJANV23!P29+HISTOFEV23!P29+HISTOMARS23!P29+HISTOAVRIL23!P29+HISTOMAI23!P29+HISTOJUIN23!P29+HISTOJUIL23!P29+HISTOAOUT23!P29+HISTOSEPT23!P29+HISTOOCT23!P29+HISTONOV23!P29+HISTODEC23!P29</f>
        <v>0</v>
      </c>
      <c r="Q29" s="5">
        <f>HISTOJANV23!Q29+HISTOFEV23!Q29+HISTOMARS23!Q29+HISTOAVRIL23!Q29+HISTOMAI23!Q29+HISTOJUIN23!Q29+HISTOJUIL23!Q29+HISTOAOUT23!Q29+HISTOSEPT23!Q29+HISTOOCT23!Q29+HISTONOV23!Q29+HISTODEC23!Q29</f>
        <v>0</v>
      </c>
      <c r="R29" s="5">
        <f>HISTOJANV23!R29+HISTOFEV23!R29+HISTOMARS23!R29+HISTOAVRIL23!R29+HISTOMAI23!R29+HISTOJUIN23!R29+HISTOJUIL23!R29+HISTOAOUT23!R29+HISTOSEPT23!R29+HISTOOCT23!R29+HISTONOV23!R29+HISTODEC23!R29</f>
        <v>0</v>
      </c>
      <c r="S29" s="5">
        <f>HISTOJANV23!S29+HISTOFEV23!S29+HISTOMARS23!S29+HISTOAVRIL23!S29+HISTOMAI23!S29+HISTOJUIN23!S29+HISTOJUIL23!S29+HISTOAOUT23!S29+HISTOSEPT23!S29+HISTOOCT23!S29+HISTONOV23!S29+HISTODEC23!S29</f>
        <v>0</v>
      </c>
      <c r="T29" s="5">
        <f>HISTOJANV23!T29+HISTOFEV23!T29+HISTOMARS23!T29+HISTOAVRIL23!T29+HISTOMAI23!T29+HISTOJUIN23!T29+HISTOJUIL23!T29+HISTOAOUT23!T29+HISTOSEPT23!T29+HISTOOCT23!T29+HISTONOV23!T29+HISTODEC23!T29</f>
        <v>0</v>
      </c>
      <c r="U29" s="17">
        <f t="shared" si="1"/>
        <v>682500</v>
      </c>
      <c r="V29" s="5">
        <f>HISTOJANV23!V29+HISTOFEV23!V29+HISTOMARS23!V29+HISTOAVRIL23!V29+HISTOMAI23!V29+HISTOJUIN23!V29+HISTOJUIL23!V29+HISTOAOUT23!V29+HISTOSEPT23!V29+HISTOOCT23!V29+HISTONOV23!V29+HISTODEC23!V29</f>
        <v>0</v>
      </c>
      <c r="W29" s="5">
        <f>HISTOJANV23!W29+HISTOFEV23!W29+HISTOMARS23!W29+HISTOAVRIL23!W29+HISTOMAI23!W29+HISTOJUIN23!W29+HISTOJUIL23!W29+HISTOAOUT23!W29+HISTOSEPT23!W29+HISTOOCT23!W29+HISTONOV23!W29+HISTODEC23!W29</f>
        <v>25000</v>
      </c>
      <c r="X29" s="5">
        <f>HISTOJANV23!X29+HISTOFEV23!X29+HISTOMARS23!X29+HISTOAVRIL23!X29+HISTOMAI23!X29+HISTOJUIN23!X29+HISTOJUIL23!X29+HISTOAOUT23!X29+HISTOSEPT23!X29+HISTOOCT23!X29+HISTONOV23!X29+HISTODEC23!X29</f>
        <v>0</v>
      </c>
      <c r="Y29" s="5">
        <f>HISTOJANV23!Y29+HISTOFEV23!Y29+HISTOMARS23!Y29+HISTOAVRIL23!Y29+HISTOMAI23!Y29+HISTOJUIN23!Y29+HISTOJUIL23!Y29+HISTOAOUT23!Y29+HISTOSEPT23!Y29+HISTOOCT23!Y29+HISTONOV23!Y29+HISTODEC23!Y29</f>
        <v>0</v>
      </c>
      <c r="Z29" s="5">
        <f>HISTOJANV23!Z29+HISTOFEV23!Z29+HISTOMARS23!Z29+HISTOAVRIL23!Z29+HISTOMAI23!Z29+HISTOJUIN23!Z29+HISTOJUIL23!Z29+HISTOAOUT23!Z29+HISTOSEPT23!Z29+HISTOOCT23!Z29+HISTONOV23!Z29+HISTODEC23!Z29</f>
        <v>0</v>
      </c>
      <c r="AA29" s="5">
        <f>HISTOJANV23!AA29+HISTOFEV23!AA29+HISTOMARS23!AA29+HISTOAVRIL23!AA29+HISTOMAI23!AA29+HISTOJUIN23!AA29+HISTOJUIL23!AA29+HISTOAOUT23!AA29+HISTOSEPT23!AA29+HISTOOCT23!AA29+HISTONOV23!AA29+HISTODEC23!AA29</f>
        <v>0</v>
      </c>
      <c r="AB29" s="5">
        <f>HISTOJANV23!AB29+HISTOFEV23!AB29+HISTOMARS23!AB29+HISTOAVRIL23!AB29+HISTOMAI23!AB29+HISTOJUIN23!AB29+HISTOJUIL23!AB29+HISTOAOUT23!AB29+HISTOSEPT23!AB29+HISTOOCT23!AB29+HISTONOV23!AB29+HISTODEC23!AB29</f>
        <v>0</v>
      </c>
      <c r="AC29" s="5">
        <f>HISTOJANV23!AC29+HISTOFEV23!AC29+HISTOMARS23!AC29+HISTOAVRIL23!AC29+HISTOMAI23!AC29+HISTOJUIN23!AC29+HISTOJUIL23!AC29+HISTOAOUT23!AC29+HISTOSEPT23!AC29+HISTOOCT23!AC29+HISTONOV23!AC29+HISTODEC23!AC29</f>
        <v>2500</v>
      </c>
      <c r="AD29" s="5">
        <f>HISTOJANV23!AD29+HISTOFEV23!AD29+HISTOMARS23!AD29+HISTOAVRIL23!AD29+HISTOMAI23!AD29+HISTOJUIN23!AD29+HISTOJUIL23!AD29+HISTOAOUT23!AD29+HISTOSEPT23!AD29+HISTOOCT23!AD29+HISTONOV23!AD29+HISTODEC23!AD29</f>
        <v>0</v>
      </c>
      <c r="AE29" s="5">
        <f>HISTOJANV23!AE29+HISTOFEV23!AE29+HISTOMARS23!AE29+HISTOAVRIL23!AE29+HISTOMAI23!AE29+HISTOJUIN23!AE29+HISTOJUIL23!AE29+HISTOAOUT23!AE29+HISTOSEPT23!AE29+HISTOOCT23!AE29+HISTONOV23!AE29+HISTODEC23!AE29</f>
        <v>0</v>
      </c>
      <c r="AF29" s="5" t="e">
        <f>HISTOJANV23!AF29+HISTOFEV23!AF29+HISTOMARS23!AF29+HISTOAVRIL23!AF29+HISTOMAI23!AF29+HISTOJUIN23!AF29+HISTOJUIL23!AF29+HISTOAOUT23!AF29+HISTOSEPT23!AF29+HISTOOCT23!AF29+HISTONOV23!AF29+HISTODEC23!AF29</f>
        <v>#VALUE!</v>
      </c>
      <c r="AG29" s="5">
        <f>HISTOJANV23!AG29+HISTOFEV23!AG29+HISTOMARS23!AG29+HISTOAVRIL23!AG29+HISTOMAI23!AG29+HISTOJUIN23!AG29+HISTOJUIL23!AG29+HISTOAOUT23!AG29+HISTOSEPT23!AG29+HISTOOCT23!AG29+HISTONOV23!AG29+HISTODEC23!AG29</f>
        <v>0</v>
      </c>
      <c r="AH29" s="5">
        <f>HISTOJANV23!AH29+HISTOFEV23!AH29+HISTOMARS23!AH29+HISTOAVRIL23!AH29+HISTOMAI23!AH29+HISTOJUIN23!AH29+HISTOJUIL23!AH29+HISTOAOUT23!AH29+HISTOSEPT23!AH29+HISTOOCT23!AH29+HISTONOV23!AH29+HISTODEC23!AH29</f>
        <v>0</v>
      </c>
      <c r="AI29" s="5">
        <f>HISTOJANV23!AI29+HISTOFEV23!AI29+HISTOMARS23!AI29+HISTOAVRIL23!AI29+HISTOMAI23!AI29+HISTOJUIN23!AI29+HISTOJUIL23!AI29+HISTOAOUT23!AI29+HISTOSEPT23!AI29+HISTOOCT23!AI29+HISTONOV23!AI29+HISTODEC23!AI29</f>
        <v>0</v>
      </c>
      <c r="AJ29" s="5">
        <f>HISTOJANV23!AJ29+HISTOFEV23!AJ29+HISTOMARS23!AJ29+HISTOAVRIL23!AJ29+HISTOMAI23!AJ29+HISTOJUIN23!AJ29+HISTOJUIL23!AJ29+HISTOAOUT23!AJ29+HISTOSEPT23!AJ29+HISTOOCT23!AJ29+HISTONOV23!AJ29+HISTODEC23!AJ29</f>
        <v>0</v>
      </c>
      <c r="AK29" s="5">
        <f>HISTOJANV23!AK29+HISTOFEV23!AK29+HISTOMARS23!AK29+HISTOAVRIL23!AK29+HISTOMAI23!AK29+HISTOJUIN23!AK29+HISTOJUIL23!AK29+HISTOAOUT23!AK29+HISTOSEPT23!AK29+HISTOOCT23!AK29+HISTONOV23!AK29+HISTODEC23!AK29</f>
        <v>0</v>
      </c>
      <c r="AL29" s="5">
        <f>HISTOJANV23!AL29+HISTOFEV23!AL29+HISTOMARS23!AL29+HISTOAVRIL23!AL29+HISTOMAI23!AL29+HISTOJUIN23!AL29+HISTOJUIL23!AL29+HISTOAOUT23!AL29+HISTOSEPT23!AL29+HISTOOCT23!AL29+HISTONOV23!AL29+HISTODEC23!AL29</f>
        <v>0</v>
      </c>
      <c r="AM29" s="5">
        <f>HISTOJANV23!AM29+HISTOFEV23!AM29+HISTOMARS23!AM29+HISTOAVRIL23!AM29+HISTOMAI23!AM29+HISTOJUIN23!AM29+HISTOJUIL23!AM29+HISTOAOUT23!AM29+HISTOSEPT23!AM29+HISTOOCT23!AM29+HISTONOV23!AM29+HISTODEC23!AM29</f>
        <v>0</v>
      </c>
      <c r="AN29" s="5">
        <f>HISTOJANV23!AN29+HISTOFEV23!AN29+HISTOMARS23!AN29+HISTOAVRIL23!AN29+HISTOMAI23!AN29+HISTOJUIN23!AN29+HISTOJUIL23!AN29+HISTOAOUT23!AN29+HISTOSEPT23!AN29+HISTOOCT23!AN29+HISTONOV23!AN29+HISTODEC23!AN29</f>
        <v>0</v>
      </c>
      <c r="AO29" s="5">
        <f>HISTOJANV23!AO29+HISTOFEV23!AO29+HISTOMARS23!AO29+HISTOAVRIL23!AO29+HISTOMAI23!AO29+HISTOJUIN23!AO29+HISTOJUIL23!AO29+HISTOAOUT23!AO29+HISTOSEPT23!AO29+HISTOOCT23!AO29+HISTONOV23!AO29+HISTODEC23!AO29</f>
        <v>0</v>
      </c>
      <c r="AP29" s="5">
        <f>HISTOJANV23!AP29+HISTOFEV23!AP29+HISTOMARS23!AP29+HISTOAVRIL23!AP29+HISTOMAI23!AP29+HISTOJUIN23!AP29+HISTOJUIL23!AP29+HISTOAOUT23!AP29+HISTOSEPT23!AP29+HISTOOCT23!AP29+HISTONOV23!AP29+HISTODEC23!AP29</f>
        <v>0</v>
      </c>
      <c r="AQ29" s="5">
        <f>HISTOJANV23!AQ29+HISTOFEV23!AQ29+HISTOMARS23!AQ29+HISTOAVRIL23!AQ29+HISTOMAI23!AQ29+HISTOJUIN23!AQ29+HISTOJUIL23!AQ29+HISTOAOUT23!AQ29+HISTOSEPT23!AQ29+HISTOOCT23!AQ29+HISTONOV23!AQ29+HISTODEC23!AQ29</f>
        <v>0</v>
      </c>
      <c r="AR29" s="5">
        <f>HISTOJANV23!AR29+HISTOFEV23!AR29+HISTOMARS23!AR29+HISTOAVRIL23!AR29+HISTOMAI23!AR29+HISTOJUIN23!AR29+HISTOJUIL23!AR29+HISTOAOUT23!AR29+HISTOSEPT23!AR29+HISTOOCT23!AR29+HISTONOV23!AR29+HISTODEC23!AR29</f>
        <v>0</v>
      </c>
      <c r="AS29" s="5">
        <f>HISTOJANV23!AS29+HISTOFEV23!AS29+HISTOMARS23!AS29+HISTOAVRIL23!AS29+HISTOMAI23!AS29+HISTOJUIN23!AS29+HISTOJUIL23!AS29+HISTOAOUT23!AS29+HISTOSEPT23!AS29+HISTOOCT23!AS29+HISTONOV23!AS29+HISTODEC23!AS29</f>
        <v>357500</v>
      </c>
      <c r="AT29" s="5">
        <f>HISTOJANV23!AT29+HISTOFEV23!AT29+HISTOMARS23!AT29+HISTOAVRIL23!AT29+HISTOMAI23!AT29+HISTOJUIN23!AT29+HISTOJUIL23!AT29+HISTOAOUT23!AT29+HISTOSEPT23!AT29+HISTOOCT23!AT29+HISTONOV23!AT29+HISTODEC23!AT29</f>
        <v>120000</v>
      </c>
      <c r="AU29" s="5">
        <f>HISTOJANV23!AU29+HISTOFEV23!AU29+HISTOMARS23!AU29+HISTOAVRIL23!AU29+HISTOMAI23!AU29+HISTOJUIN23!AU29+HISTOJUIL23!AU29+HISTOAOUT23!AU29+HISTOSEPT23!AU29+HISTOOCT23!AU29+HISTONOV23!AU29+HISTODEC23!AU29</f>
        <v>0</v>
      </c>
      <c r="AV29" s="5">
        <f>HISTOJANV23!AV29+HISTOFEV23!AV29+HISTOMARS23!AV29+HISTOAVRIL23!AV29+HISTOMAI23!AV29+HISTOJUIN23!AV29+HISTOJUIL23!AV29+HISTOAOUT23!AV29+HISTOSEPT23!AV29+HISTOOCT23!AV29+HISTONOV23!AV29+HISTODEC23!AV29</f>
        <v>0</v>
      </c>
      <c r="AW29" s="5">
        <f>HISTOJANV23!AW29+HISTOFEV23!AW29+HISTOMARS23!AW29+HISTOAVRIL23!AW29+HISTOMAI23!AW29+HISTOJUIN23!AW29+HISTOJUIL23!AW29+HISTOAOUT23!AW29+HISTOSEPT23!AW29+HISTOOCT23!AW29+HISTONOV23!AW29+HISTODEC23!AW29</f>
        <v>297500</v>
      </c>
      <c r="AX29" s="5">
        <f>HISTOJANV23!AX29+HISTOFEV23!AX29+HISTOMARS23!AX29+HISTOAVRIL23!AX29+HISTOMAI23!AX29+HISTOJUIN23!AX29+HISTOJUIL23!AX29+HISTOAOUT23!AX29+HISTOSEPT23!AX29+HISTOOCT23!AX29+HISTONOV23!AX29+HISTODEC23!AX29</f>
        <v>0</v>
      </c>
      <c r="AY29" s="5">
        <f>HISTOJANV23!AY29+HISTOFEV23!AY29+HISTOMARS23!AY29+HISTOAVRIL23!AY29+HISTOMAI23!AY29+HISTOJUIN23!AY29+HISTOJUIL23!AY29+HISTOAOUT23!AY29+HISTOSEPT23!AY29+HISTOOCT23!AY29+HISTONOV23!AY29+HISTODEC23!AY29</f>
        <v>0</v>
      </c>
      <c r="AZ29" s="5">
        <f>HISTOJANV23!AZ29+HISTOFEV23!AZ29+HISTOMARS23!AZ29+HISTOAVRIL23!AZ29+HISTOMAI23!AZ29+HISTOJUIN23!AZ29+HISTOJUIL23!AZ29+HISTOAOUT23!AZ29+HISTOSEPT23!AZ29+HISTOOCT23!AZ29+HISTONOV23!AZ29+HISTODEC23!AZ29</f>
        <v>227500</v>
      </c>
      <c r="BA29" s="5">
        <f>HISTOJANV23!BA29+HISTOFEV23!BA29+HISTOMARS23!BA29+HISTOAVRIL23!BA29+HISTOMAI23!BA29+HISTOJUIN23!BA29+HISTOJUIL23!BA29+HISTOAOUT23!BA29+HISTOSEPT23!BA29+HISTOOCT23!BA29+HISTONOV23!BA29+HISTODEC23!BA29</f>
        <v>50000</v>
      </c>
      <c r="BB29" s="5">
        <f>HISTOJANV23!BB29+HISTOFEV23!BB29+HISTOMARS23!BB29+HISTOAVRIL23!BB29+HISTOMAI23!BB29+HISTOJUIN23!BB29+HISTOJUIL23!BB29+HISTOAOUT23!BB29+HISTOSEPT23!BB29+HISTOOCT23!BB29+HISTONOV23!BB29+HISTODEC23!BB29</f>
        <v>70000</v>
      </c>
      <c r="BC29" s="5">
        <f>HISTOJANV23!BC29+HISTOFEV23!BC29+HISTOMARS23!BC29+HISTOAVRIL23!BC29+HISTOMAI23!BC29+HISTOJUIN23!BC29+HISTOJUIL23!BC29+HISTOAOUT23!BC29+HISTOSEPT23!BC29+HISTOOCT23!BC29+HISTONOV23!BC29+HISTODEC23!BC29</f>
        <v>0</v>
      </c>
      <c r="BD29" s="5">
        <f>HISTOJANV23!BD29+HISTOFEV23!BD29+HISTOMARS23!BD29+HISTOAVRIL23!BD29+HISTOMAI23!BD29+HISTOJUIN23!BD29+HISTOJUIL23!BD29+HISTOAOUT23!BD29+HISTOSEPT23!BD29+HISTOOCT23!BD29+HISTONOV23!BD29+HISTODEC23!BD29</f>
        <v>0</v>
      </c>
      <c r="BE29" s="82">
        <f>HISTOJANV23!BE29+HISTOFEV23!BE29+HISTOMARS23!BE29+HISTOAVRIL23!BE29+HISTOMAI23!BE29+HISTOJUIN23!BE29+HISTOJUIL23!BE29+HISTOAOUT23!BE29+HISTOSEPT23!BE29+HISTOOCT23!BE29+HISTONOV23!BE29+HISTODEC23!BE29</f>
        <v>0</v>
      </c>
      <c r="BF29" s="5">
        <f>HISTOJANV23!BF29+HISTOFEV23!BF29+HISTOMARS23!BF29+HISTOAVRIL23!BF29+HISTOMAI23!BF29+HISTOJUIN23!BF29+HISTOJUIL23!BF29+HISTOAOUT23!BF29+HISTOSEPT23!BF29+HISTOOCT23!BF29+HISTONOV23!BF29+HISTODEC23!BF29</f>
        <v>0</v>
      </c>
      <c r="BG29" s="5">
        <f>HISTOJANV23!BG29+HISTOFEV23!BG29+HISTOMARS23!BG29+HISTOAVRIL23!BG29+HISTOMAI23!BG29+HISTOJUIN23!BG29+HISTOJUIL23!BG29+HISTOAOUT23!BG29+HISTOSEPT23!BG29+HISTOOCT23!BG29+HISTONOV23!BG29+HISTODEC23!BG29</f>
        <v>78</v>
      </c>
      <c r="BH29" s="5">
        <f>HISTOJANV23!BH29+HISTOFEV23!BH29+HISTOMARS23!BH29+HISTOAVRIL23!BH29+HISTOMAI23!BH29+HISTOJUIN23!BH29+HISTOJUIL23!BH29+HISTOAOUT23!BH29+HISTOSEPT23!BH29+HISTOOCT23!BH29+HISTONOV23!BH29+HISTODEC23!BH29</f>
        <v>0</v>
      </c>
      <c r="BI29" s="5">
        <f>HISTOJANV23!BI29+HISTOFEV23!BI29+HISTOMARS23!BI29+HISTOAVRIL23!BI29+HISTOMAI23!BI29+HISTOJUIN23!BI29+HISTOJUIL23!BI29+HISTOAOUT23!BI29+HISTOSEPT23!BI29+HISTOOCT23!BI29+HISTONOV23!BI29+HISTODEC23!BI29</f>
        <v>0</v>
      </c>
      <c r="BJ29" s="5">
        <f>HISTOJANV23!BJ29+HISTOFEV23!BJ29+HISTOMARS23!BJ29+HISTOAVRIL23!BJ29+HISTOMAI23!BJ29+HISTOJUIN23!BJ29+HISTOJUIL23!BJ29+HISTOAOUT23!BJ29+HISTOSEPT23!BJ29+HISTOOCT23!BJ29+HISTONOV23!BJ29+HISTODEC23!BJ29</f>
        <v>0</v>
      </c>
      <c r="BK29" s="5">
        <f>HISTOJANV23!BK29+HISTOFEV23!BK29+HISTOMARS23!BK29+HISTOAVRIL23!BK29+HISTOMAI23!BK29+HISTOJUIN23!BK29+HISTOJUIL23!BK29+HISTOAOUT23!BK29+HISTOSEPT23!BK29+HISTOOCT23!BK29+HISTONOV23!BK29+HISTODEC23!BK29</f>
        <v>0</v>
      </c>
      <c r="BL29" s="5">
        <f>HISTOJANV23!BL29+HISTOFEV23!BL29+HISTOMARS23!BL29+HISTOAVRIL23!BL29+HISTOMAI23!BL29+HISTOJUIN23!BL29+HISTOJUIL23!BL29+HISTOAOUT23!BL29+HISTOSEPT23!BL29+HISTOOCT23!BL29+HISTONOV23!BL29+HISTODEC23!BL29</f>
        <v>0</v>
      </c>
      <c r="BM29" s="5">
        <f>HISTOJANV23!BM29+HISTOFEV23!BM29+HISTOMARS23!BM29+HISTOAVRIL23!BM29+HISTOMAI23!BM29+HISTOJUIN23!BM29+HISTOJUIL23!BM29+HISTOAOUT23!BM29+HISTOSEPT23!BM29+HISTOOCT23!BM29+HISTONOV23!BM29+HISTODEC23!BM29</f>
        <v>0</v>
      </c>
      <c r="BN29" s="62"/>
      <c r="BP29" s="6"/>
    </row>
    <row r="30" spans="1:68" ht="18.75" x14ac:dyDescent="0.3">
      <c r="A30" s="1" t="s">
        <v>35</v>
      </c>
      <c r="B30" s="1" t="str">
        <f>VLOOKUP(A30,[17]LISTADHERENT!A$5:H$39,3,0)</f>
        <v>SIME BRICE</v>
      </c>
      <c r="C30" s="5">
        <f>HISTOJANV23!C30+HISTOFEV23!C30+HISTOMARS23!C30+HISTOAVRIL23!C30+HISTOMAI23!C30+HISTOJUIN23!C30+HISTOJUIL23!C30+HISTOAOUT23!C30+HISTOSEPT23!C30+HISTOOCT23!C30+HISTONOV23!C30+HISTODEC23!C30</f>
        <v>0</v>
      </c>
      <c r="D30" s="5">
        <f>HISTOJANV23!D30+HISTOFEV23!D30+HISTOMARS23!D30+HISTOAVRIL23!D30+HISTOMAI23!D30+HISTOJUIN23!D30+HISTOJUIL23!D30+HISTOAOUT23!D30+HISTOSEPT23!D30+HISTOOCT23!D30+HISTONOV23!D30+HISTODEC23!D30</f>
        <v>1265000</v>
      </c>
      <c r="E30" s="5">
        <f>HISTOJANV23!E30+HISTOFEV23!E30+HISTOMARS23!E30+HISTOAVRIL23!E30+HISTOMAI23!E30+HISTOJUIN23!E30+HISTOJUIL23!E30+HISTOAOUT23!E30+HISTOSEPT23!E30+HISTOOCT23!E30+HISTONOV23!E30+HISTODEC23!E30</f>
        <v>115000</v>
      </c>
      <c r="F30" s="5">
        <f>HISTOJANV23!F30+HISTOFEV23!F30+HISTOMARS23!F30+HISTOAVRIL23!F30+HISTOMAI23!F30+HISTOJUIN23!F30+HISTOJUIL23!F30+HISTOAOUT23!F30+HISTOSEPT23!F30+HISTOOCT23!F30+HISTONOV23!F30+HISTODEC23!F30</f>
        <v>70000</v>
      </c>
      <c r="G30" s="5">
        <f>HISTOJANV23!G30+HISTOFEV23!G30+HISTOMARS23!G30+HISTOAVRIL23!G30+HISTOMAI23!G30+HISTOJUIN23!G30+HISTOJUIL23!G30+HISTOAOUT23!G30+HISTOSEPT23!G30+HISTOOCT23!G30+HISTONOV23!G30+HISTODEC23!G30</f>
        <v>0</v>
      </c>
      <c r="H30" s="10" t="str">
        <f t="shared" si="0"/>
        <v>BANQUE</v>
      </c>
      <c r="I30" s="5">
        <f>HISTOJANV23!I30+HISTOFEV23!I30+HISTOMARS23!I30+HISTOAVRIL23!I30+HISTOMAI23!I30+HISTOJUIN23!I30+HISTOJUIL23!I30+HISTOAOUT23!I30+HISTOSEPT23!I30+HISTOOCT23!I30+HISTONOV23!I30+HISTODEC23!I30</f>
        <v>0</v>
      </c>
      <c r="J30" s="5">
        <f>HISTOJANV23!J30+HISTOFEV23!J30+HISTOMARS23!J30+HISTOAVRIL23!J30+HISTOMAI23!J30+HISTOJUIN23!J30+HISTOJUIL23!J30+HISTOAOUT23!J30+HISTOSEPT23!J30+HISTOOCT23!J30+HISTONOV23!J30+HISTODEC23!J30</f>
        <v>12</v>
      </c>
      <c r="K30" s="5">
        <f>HISTOJANV23!K30+HISTOFEV23!K30+HISTOMARS23!K30+HISTOAVRIL23!K30+HISTOMAI23!K30+HISTOJUIN23!K30+HISTOJUIL23!K30+HISTOAOUT23!K30+HISTOSEPT23!K30+HISTOOCT23!K30+HISTONOV23!K30+HISTODEC23!K30</f>
        <v>480000</v>
      </c>
      <c r="L30" s="5">
        <f>HISTOJANV23!L30+HISTOFEV23!L30+HISTOMARS23!L30+HISTOAVRIL23!L30+HISTOMAI23!L30+HISTOJUIN23!L30+HISTOJUIL23!L30+HISTOAOUT23!L30+HISTOSEPT23!L30+HISTOOCT23!L30+HISTONOV23!L30+HISTODEC23!L30</f>
        <v>12</v>
      </c>
      <c r="M30" s="5">
        <f>HISTOJANV23!M30+HISTOFEV23!M30+HISTOMARS23!M30+HISTOAVRIL23!M30+HISTOMAI23!M30+HISTOJUIN23!M30+HISTOJUIL23!M30+HISTOAOUT23!M30+HISTOSEPT23!M30+HISTOOCT23!M30+HISTONOV23!M30+HISTODEC23!M30</f>
        <v>900000</v>
      </c>
      <c r="N30" s="5">
        <f>HISTOJANV23!N30+HISTOFEV23!N30+HISTOMARS23!N30+HISTOAVRIL23!N30+HISTOMAI23!N30+HISTOJUIN23!N30+HISTOJUIL23!N30+HISTOAOUT23!N30+HISTOSEPT23!N30+HISTOOCT23!N30+HISTONOV23!N30+HISTODEC23!N30</f>
        <v>0</v>
      </c>
      <c r="O30" s="5">
        <f>HISTOJANV23!O30+HISTOFEV23!O30+HISTOMARS23!O30+HISTOAVRIL23!O30+HISTOMAI23!O30+HISTOJUIN23!O30+HISTOJUIL23!O30+HISTOAOUT23!O30+HISTOSEPT23!O30+HISTOOCT23!O30+HISTONOV23!O30+HISTODEC23!O30</f>
        <v>0</v>
      </c>
      <c r="P30" s="5">
        <f>HISTOJANV23!P30+HISTOFEV23!P30+HISTOMARS23!P30+HISTOAVRIL23!P30+HISTOMAI23!P30+HISTOJUIN23!P30+HISTOJUIL23!P30+HISTOAOUT23!P30+HISTOSEPT23!P30+HISTOOCT23!P30+HISTONOV23!P30+HISTODEC23!P30</f>
        <v>0</v>
      </c>
      <c r="Q30" s="5">
        <f>HISTOJANV23!Q30+HISTOFEV23!Q30+HISTOMARS23!Q30+HISTOAVRIL23!Q30+HISTOMAI23!Q30+HISTOJUIN23!Q30+HISTOJUIL23!Q30+HISTOAOUT23!Q30+HISTOSEPT23!Q30+HISTOOCT23!Q30+HISTONOV23!Q30+HISTODEC23!Q30</f>
        <v>0</v>
      </c>
      <c r="R30" s="5">
        <f>HISTOJANV23!R30+HISTOFEV23!R30+HISTOMARS23!R30+HISTOAVRIL23!R30+HISTOMAI23!R30+HISTOJUIN23!R30+HISTOJUIL23!R30+HISTOAOUT23!R30+HISTOSEPT23!R30+HISTOOCT23!R30+HISTONOV23!R30+HISTODEC23!R30</f>
        <v>0</v>
      </c>
      <c r="S30" s="5">
        <f>HISTOJANV23!S30+HISTOFEV23!S30+HISTOMARS23!S30+HISTOAVRIL23!S30+HISTOMAI23!S30+HISTOJUIN23!S30+HISTOJUIL23!S30+HISTOAOUT23!S30+HISTOSEPT23!S30+HISTOOCT23!S30+HISTONOV23!S30+HISTODEC23!S30</f>
        <v>0</v>
      </c>
      <c r="T30" s="5">
        <f>HISTOJANV23!T30+HISTOFEV23!T30+HISTOMARS23!T30+HISTOAVRIL23!T30+HISTOMAI23!T30+HISTOJUIN23!T30+HISTOJUIL23!T30+HISTOAOUT23!T30+HISTOSEPT23!T30+HISTOOCT23!T30+HISTONOV23!T30+HISTODEC23!T30</f>
        <v>0</v>
      </c>
      <c r="U30" s="17">
        <f t="shared" si="1"/>
        <v>1414000</v>
      </c>
      <c r="V30" s="5">
        <f>HISTOJANV23!V30+HISTOFEV23!V30+HISTOMARS23!V30+HISTOAVRIL23!V30+HISTOMAI23!V30+HISTOJUIN23!V30+HISTOJUIL23!V30+HISTOAOUT23!V30+HISTOSEPT23!V30+HISTOOCT23!V30+HISTONOV23!V30+HISTODEC23!V30</f>
        <v>34000</v>
      </c>
      <c r="W30" s="5">
        <f>HISTOJANV23!W30+HISTOFEV23!W30+HISTOMARS23!W30+HISTOAVRIL23!W30+HISTOMAI23!W30+HISTOJUIN23!W30+HISTOJUIL23!W30+HISTOAOUT23!W30+HISTOSEPT23!W30+HISTOOCT23!W30+HISTONOV23!W30+HISTODEC23!W30</f>
        <v>0</v>
      </c>
      <c r="X30" s="5">
        <f>HISTOJANV23!X30+HISTOFEV23!X30+HISTOMARS23!X30+HISTOAVRIL23!X30+HISTOMAI23!X30+HISTOJUIN23!X30+HISTOJUIL23!X30+HISTOAOUT23!X30+HISTOSEPT23!X30+HISTOOCT23!X30+HISTONOV23!X30+HISTODEC23!X30</f>
        <v>0</v>
      </c>
      <c r="Y30" s="5">
        <f>HISTOJANV23!Y30+HISTOFEV23!Y30+HISTOMARS23!Y30+HISTOAVRIL23!Y30+HISTOMAI23!Y30+HISTOJUIN23!Y30+HISTOJUIL23!Y30+HISTOAOUT23!Y30+HISTOSEPT23!Y30+HISTOOCT23!Y30+HISTONOV23!Y30+HISTODEC23!Y30</f>
        <v>0</v>
      </c>
      <c r="Z30" s="5">
        <f>HISTOJANV23!Z30+HISTOFEV23!Z30+HISTOMARS23!Z30+HISTOAVRIL23!Z30+HISTOMAI23!Z30+HISTOJUIN23!Z30+HISTOJUIL23!Z30+HISTOAOUT23!Z30+HISTOSEPT23!Z30+HISTOOCT23!Z30+HISTONOV23!Z30+HISTODEC23!Z30</f>
        <v>1000000</v>
      </c>
      <c r="AA30" s="5" t="e">
        <f>HISTOJANV23!AA30+HISTOFEV23!AA30+HISTOMARS23!AA30+HISTOAVRIL23!AA30+HISTOMAI23!AA30+HISTOJUIN23!AA30+HISTOJUIL23!AA30+HISTOAOUT23!AA30+HISTOSEPT23!AA30+HISTOOCT23!AA30+HISTONOV23!AA30+HISTODEC23!AA30</f>
        <v>#VALUE!</v>
      </c>
      <c r="AB30" s="5">
        <f>HISTOJANV23!AB30+HISTOFEV23!AB30+HISTOMARS23!AB30+HISTOAVRIL23!AB30+HISTOMAI23!AB30+HISTOJUIN23!AB30+HISTOJUIL23!AB30+HISTOAOUT23!AB30+HISTOSEPT23!AB30+HISTOOCT23!AB30+HISTONOV23!AB30+HISTODEC23!AB30</f>
        <v>0</v>
      </c>
      <c r="AC30" s="5">
        <f>HISTOJANV23!AC30+HISTOFEV23!AC30+HISTOMARS23!AC30+HISTOAVRIL23!AC30+HISTOMAI23!AC30+HISTOJUIN23!AC30+HISTOJUIL23!AC30+HISTOAOUT23!AC30+HISTOSEPT23!AC30+HISTOOCT23!AC30+HISTONOV23!AC30+HISTODEC23!AC30</f>
        <v>3000</v>
      </c>
      <c r="AD30" s="5">
        <f>HISTOJANV23!AD30+HISTOFEV23!AD30+HISTOMARS23!AD30+HISTOAVRIL23!AD30+HISTOMAI23!AD30+HISTOJUIN23!AD30+HISTOJUIL23!AD30+HISTOAOUT23!AD30+HISTOSEPT23!AD30+HISTOOCT23!AD30+HISTONOV23!AD30+HISTODEC23!AD30</f>
        <v>7500</v>
      </c>
      <c r="AE30" s="5">
        <f>HISTOJANV23!AE30+HISTOFEV23!AE30+HISTOMARS23!AE30+HISTOAVRIL23!AE30+HISTOMAI23!AE30+HISTOJUIN23!AE30+HISTOJUIL23!AE30+HISTOAOUT23!AE30+HISTOSEPT23!AE30+HISTOOCT23!AE30+HISTONOV23!AE30+HISTODEC23!AE30</f>
        <v>0</v>
      </c>
      <c r="AF30" s="5" t="e">
        <f>HISTOJANV23!AF30+HISTOFEV23!AF30+HISTOMARS23!AF30+HISTOAVRIL23!AF30+HISTOMAI23!AF30+HISTOJUIN23!AF30+HISTOJUIL23!AF30+HISTOAOUT23!AF30+HISTOSEPT23!AF30+HISTOOCT23!AF30+HISTONOV23!AF30+HISTODEC23!AF30</f>
        <v>#VALUE!</v>
      </c>
      <c r="AG30" s="5">
        <f>HISTOJANV23!AG30+HISTOFEV23!AG30+HISTOMARS23!AG30+HISTOAVRIL23!AG30+HISTOMAI23!AG30+HISTOJUIN23!AG30+HISTOJUIL23!AG30+HISTOAOUT23!AG30+HISTOSEPT23!AG30+HISTOOCT23!AG30+HISTONOV23!AG30+HISTODEC23!AG30</f>
        <v>0</v>
      </c>
      <c r="AH30" s="5">
        <f>HISTOJANV23!AH30+HISTOFEV23!AH30+HISTOMARS23!AH30+HISTOAVRIL23!AH30+HISTOMAI23!AH30+HISTOJUIN23!AH30+HISTOJUIL23!AH30+HISTOAOUT23!AH30+HISTOSEPT23!AH30+HISTOOCT23!AH30+HISTONOV23!AH30+HISTODEC23!AH30</f>
        <v>0</v>
      </c>
      <c r="AI30" s="5">
        <f>HISTOJANV23!AI30+HISTOFEV23!AI30+HISTOMARS23!AI30+HISTOAVRIL23!AI30+HISTOMAI23!AI30+HISTOJUIN23!AI30+HISTOJUIL23!AI30+HISTOAOUT23!AI30+HISTOSEPT23!AI30+HISTOOCT23!AI30+HISTONOV23!AI30+HISTODEC23!AI30</f>
        <v>0</v>
      </c>
      <c r="AJ30" s="5">
        <f>HISTOJANV23!AJ30+HISTOFEV23!AJ30+HISTOMARS23!AJ30+HISTOAVRIL23!AJ30+HISTOMAI23!AJ30+HISTOJUIN23!AJ30+HISTOJUIL23!AJ30+HISTOAOUT23!AJ30+HISTOSEPT23!AJ30+HISTOOCT23!AJ30+HISTONOV23!AJ30+HISTODEC23!AJ30</f>
        <v>0</v>
      </c>
      <c r="AK30" s="5">
        <f>HISTOJANV23!AK30+HISTOFEV23!AK30+HISTOMARS23!AK30+HISTOAVRIL23!AK30+HISTOMAI23!AK30+HISTOJUIN23!AK30+HISTOJUIL23!AK30+HISTOAOUT23!AK30+HISTOSEPT23!AK30+HISTOOCT23!AK30+HISTONOV23!AK30+HISTODEC23!AK30</f>
        <v>0</v>
      </c>
      <c r="AL30" s="5">
        <f>HISTOJANV23!AL30+HISTOFEV23!AL30+HISTOMARS23!AL30+HISTOAVRIL23!AL30+HISTOMAI23!AL30+HISTOJUIN23!AL30+HISTOJUIL23!AL30+HISTOAOUT23!AL30+HISTOSEPT23!AL30+HISTOOCT23!AL30+HISTONOV23!AL30+HISTODEC23!AL30</f>
        <v>0</v>
      </c>
      <c r="AM30" s="5">
        <f>HISTOJANV23!AM30+HISTOFEV23!AM30+HISTOMARS23!AM30+HISTOAVRIL23!AM30+HISTOMAI23!AM30+HISTOJUIN23!AM30+HISTOJUIL23!AM30+HISTOAOUT23!AM30+HISTOSEPT23!AM30+HISTOOCT23!AM30+HISTONOV23!AM30+HISTODEC23!AM30</f>
        <v>0</v>
      </c>
      <c r="AN30" s="5">
        <f>HISTOJANV23!AN30+HISTOFEV23!AN30+HISTOMARS23!AN30+HISTOAVRIL23!AN30+HISTOMAI23!AN30+HISTOJUIN23!AN30+HISTOJUIL23!AN30+HISTOAOUT23!AN30+HISTOSEPT23!AN30+HISTOOCT23!AN30+HISTONOV23!AN30+HISTODEC23!AN30</f>
        <v>0</v>
      </c>
      <c r="AO30" s="5">
        <f>HISTOJANV23!AO30+HISTOFEV23!AO30+HISTOMARS23!AO30+HISTOAVRIL23!AO30+HISTOMAI23!AO30+HISTOJUIN23!AO30+HISTOJUIL23!AO30+HISTOAOUT23!AO30+HISTOSEPT23!AO30+HISTOOCT23!AO30+HISTONOV23!AO30+HISTODEC23!AO30</f>
        <v>0</v>
      </c>
      <c r="AP30" s="5">
        <f>HISTOJANV23!AP30+HISTOFEV23!AP30+HISTOMARS23!AP30+HISTOAVRIL23!AP30+HISTOMAI23!AP30+HISTOJUIN23!AP30+HISTOJUIL23!AP30+HISTOAOUT23!AP30+HISTOSEPT23!AP30+HISTOOCT23!AP30+HISTONOV23!AP30+HISTODEC23!AP30</f>
        <v>0</v>
      </c>
      <c r="AQ30" s="5">
        <f>HISTOJANV23!AQ30+HISTOFEV23!AQ30+HISTOMARS23!AQ30+HISTOAVRIL23!AQ30+HISTOMAI23!AQ30+HISTOJUIN23!AQ30+HISTOJUIL23!AQ30+HISTOAOUT23!AQ30+HISTOSEPT23!AQ30+HISTOOCT23!AQ30+HISTONOV23!AQ30+HISTODEC23!AQ30</f>
        <v>0</v>
      </c>
      <c r="AR30" s="5">
        <f>HISTOJANV23!AR30+HISTOFEV23!AR30+HISTOMARS23!AR30+HISTOAVRIL23!AR30+HISTOMAI23!AR30+HISTOJUIN23!AR30+HISTOJUIL23!AR30+HISTOAOUT23!AR30+HISTOSEPT23!AR30+HISTOOCT23!AR30+HISTONOV23!AR30+HISTODEC23!AR30</f>
        <v>0</v>
      </c>
      <c r="AS30" s="5">
        <f>HISTOJANV23!AS30+HISTOFEV23!AS30+HISTOMARS23!AS30+HISTOAVRIL23!AS30+HISTOMAI23!AS30+HISTOJUIN23!AS30+HISTOJUIL23!AS30+HISTOAOUT23!AS30+HISTOSEPT23!AS30+HISTOOCT23!AS30+HISTONOV23!AS30+HISTODEC23!AS30</f>
        <v>180000</v>
      </c>
      <c r="AT30" s="5">
        <f>HISTOJANV23!AT30+HISTOFEV23!AT30+HISTOMARS23!AT30+HISTOAVRIL23!AT30+HISTOMAI23!AT30+HISTOJUIN23!AT30+HISTOJUIL23!AT30+HISTOAOUT23!AT30+HISTOSEPT23!AT30+HISTOOCT23!AT30+HISTONOV23!AT30+HISTODEC23!AT30</f>
        <v>0</v>
      </c>
      <c r="AU30" s="5">
        <f>HISTOJANV23!AU30+HISTOFEV23!AU30+HISTOMARS23!AU30+HISTOAVRIL23!AU30+HISTOMAI23!AU30+HISTOJUIN23!AU30+HISTOJUIL23!AU30+HISTOAOUT23!AU30+HISTOSEPT23!AU30+HISTOOCT23!AU30+HISTONOV23!AU30+HISTODEC23!AU30</f>
        <v>0</v>
      </c>
      <c r="AV30" s="5">
        <f>HISTOJANV23!AV30+HISTOFEV23!AV30+HISTOMARS23!AV30+HISTOAVRIL23!AV30+HISTOMAI23!AV30+HISTOJUIN23!AV30+HISTOJUIL23!AV30+HISTOAOUT23!AV30+HISTOSEPT23!AV30+HISTOOCT23!AV30+HISTONOV23!AV30+HISTODEC23!AV30</f>
        <v>0</v>
      </c>
      <c r="AW30" s="5">
        <f>HISTOJANV23!AW30+HISTOFEV23!AW30+HISTOMARS23!AW30+HISTOAVRIL23!AW30+HISTOMAI23!AW30+HISTOJUIN23!AW30+HISTOJUIL23!AW30+HISTOAOUT23!AW30+HISTOSEPT23!AW30+HISTOOCT23!AW30+HISTONOV23!AW30+HISTODEC23!AW30</f>
        <v>297000</v>
      </c>
      <c r="AX30" s="5">
        <f>HISTOJANV23!AX30+HISTOFEV23!AX30+HISTOMARS23!AX30+HISTOAVRIL23!AX30+HISTOMAI23!AX30+HISTOJUIN23!AX30+HISTOJUIL23!AX30+HISTOAOUT23!AX30+HISTOSEPT23!AX30+HISTOOCT23!AX30+HISTONOV23!AX30+HISTODEC23!AX30</f>
        <v>892500</v>
      </c>
      <c r="AY30" s="5">
        <f>HISTOJANV23!AY30+HISTOFEV23!AY30+HISTOMARS23!AY30+HISTOAVRIL23!AY30+HISTOMAI23!AY30+HISTOJUIN23!AY30+HISTOJUIL23!AY30+HISTOAOUT23!AY30+HISTOSEPT23!AY30+HISTOOCT23!AY30+HISTONOV23!AY30+HISTODEC23!AY30</f>
        <v>0</v>
      </c>
      <c r="AZ30" s="5">
        <f>HISTOJANV23!AZ30+HISTOFEV23!AZ30+HISTOMARS23!AZ30+HISTOAVRIL23!AZ30+HISTOMAI23!AZ30+HISTOJUIN23!AZ30+HISTOJUIL23!AZ30+HISTOAOUT23!AZ30+HISTOSEPT23!AZ30+HISTOOCT23!AZ30+HISTONOV23!AZ30+HISTODEC23!AZ30</f>
        <v>2059500</v>
      </c>
      <c r="BA30" s="5">
        <f>HISTOJANV23!BA30+HISTOFEV23!BA30+HISTOMARS23!BA30+HISTOAVRIL23!BA30+HISTOMAI23!BA30+HISTOJUIN23!BA30+HISTOJUIL23!BA30+HISTOAOUT23!BA30+HISTOSEPT23!BA30+HISTOOCT23!BA30+HISTONOV23!BA30+HISTODEC23!BA30</f>
        <v>0</v>
      </c>
      <c r="BB30" s="5">
        <f>HISTOJANV23!BB30+HISTOFEV23!BB30+HISTOMARS23!BB30+HISTOAVRIL23!BB30+HISTOMAI23!BB30+HISTOJUIN23!BB30+HISTOJUIL23!BB30+HISTOAOUT23!BB30+HISTOSEPT23!BB30+HISTOOCT23!BB30+HISTONOV23!BB30+HISTODEC23!BB30</f>
        <v>70000</v>
      </c>
      <c r="BC30" s="5">
        <f>HISTOJANV23!BC30+HISTOFEV23!BC30+HISTOMARS23!BC30+HISTOAVRIL23!BC30+HISTOMAI23!BC30+HISTOJUIN23!BC30+HISTOJUIL23!BC30+HISTOAOUT23!BC30+HISTOSEPT23!BC30+HISTOOCT23!BC30+HISTONOV23!BC30+HISTODEC23!BC30</f>
        <v>0</v>
      </c>
      <c r="BD30" s="5">
        <f>HISTOJANV23!BD30+HISTOFEV23!BD30+HISTOMARS23!BD30+HISTOAVRIL23!BD30+HISTOMAI23!BD30+HISTOJUIN23!BD30+HISTOJUIL23!BD30+HISTOAOUT23!BD30+HISTOSEPT23!BD30+HISTOOCT23!BD30+HISTONOV23!BD30+HISTODEC23!BD30</f>
        <v>1287500</v>
      </c>
      <c r="BE30" s="82">
        <f>HISTOJANV23!BE30+HISTOFEV23!BE30+HISTOMARS23!BE30+HISTOAVRIL23!BE30+HISTOMAI23!BE30+HISTOJUIN23!BE30+HISTOJUIL23!BE30+HISTOAOUT23!BE30+HISTOSEPT23!BE30+HISTOOCT23!BE30+HISTONOV23!BE30+HISTODEC23!BE30</f>
        <v>1119500</v>
      </c>
      <c r="BF30" s="5">
        <f>HISTOJANV23!BF30+HISTOFEV23!BF30+HISTOMARS23!BF30+HISTOAVRIL23!BF30+HISTOMAI23!BF30+HISTOJUIN23!BF30+HISTOJUIL23!BF30+HISTOAOUT23!BF30+HISTOSEPT23!BF30+HISTOOCT23!BF30+HISTONOV23!BF30+HISTODEC23!BF30</f>
        <v>60000</v>
      </c>
      <c r="BG30" s="5">
        <f>HISTOJANV23!BG30+HISTOFEV23!BG30+HISTOMARS23!BG30+HISTOAVRIL23!BG30+HISTOMAI23!BG30+HISTOJUIN23!BG30+HISTOJUIL23!BG30+HISTOAOUT23!BG30+HISTOSEPT23!BG30+HISTOOCT23!BG30+HISTONOV23!BG30+HISTODEC23!BG30</f>
        <v>72</v>
      </c>
      <c r="BH30" s="5">
        <f>HISTOJANV23!BH30+HISTOFEV23!BH30+HISTOMARS23!BH30+HISTOAVRIL23!BH30+HISTOMAI23!BH30+HISTOJUIN23!BH30+HISTOJUIL23!BH30+HISTOAOUT23!BH30+HISTOSEPT23!BH30+HISTOOCT23!BH30+HISTONOV23!BH30+HISTODEC23!BH30</f>
        <v>0</v>
      </c>
      <c r="BI30" s="5">
        <f>HISTOJANV23!BI30+HISTOFEV23!BI30+HISTOMARS23!BI30+HISTOAVRIL23!BI30+HISTOMAI23!BI30+HISTOJUIN23!BI30+HISTOJUIL23!BI30+HISTOAOUT23!BI30+HISTOSEPT23!BI30+HISTOOCT23!BI30+HISTONOV23!BI30+HISTODEC23!BI30</f>
        <v>0</v>
      </c>
      <c r="BJ30" s="5">
        <f>HISTOJANV23!BJ30+HISTOFEV23!BJ30+HISTOMARS23!BJ30+HISTOAVRIL23!BJ30+HISTOMAI23!BJ30+HISTOJUIN23!BJ30+HISTOJUIL23!BJ30+HISTOAOUT23!BJ30+HISTOSEPT23!BJ30+HISTOOCT23!BJ30+HISTONOV23!BJ30+HISTODEC23!BJ30</f>
        <v>0</v>
      </c>
      <c r="BK30" s="5">
        <f>HISTOJANV23!BK30+HISTOFEV23!BK30+HISTOMARS23!BK30+HISTOAVRIL23!BK30+HISTOMAI23!BK30+HISTOJUIN23!BK30+HISTOJUIL23!BK30+HISTOAOUT23!BK30+HISTOSEPT23!BK30+HISTOOCT23!BK30+HISTONOV23!BK30+HISTODEC23!BK30</f>
        <v>0</v>
      </c>
      <c r="BL30" s="5">
        <f>HISTOJANV23!BL30+HISTOFEV23!BL30+HISTOMARS23!BL30+HISTOAVRIL23!BL30+HISTOMAI23!BL30+HISTOJUIN23!BL30+HISTOJUIL23!BL30+HISTOAOUT23!BL30+HISTOSEPT23!BL30+HISTOOCT23!BL30+HISTONOV23!BL30+HISTODEC23!BL30</f>
        <v>0</v>
      </c>
      <c r="BM30" s="5">
        <f>HISTOJANV23!BM30+HISTOFEV23!BM30+HISTOMARS23!BM30+HISTOAVRIL23!BM30+HISTOMAI23!BM30+HISTOJUIN23!BM30+HISTOJUIL23!BM30+HISTOAOUT23!BM30+HISTOSEPT23!BM30+HISTOOCT23!BM30+HISTONOV23!BM30+HISTODEC23!BM30</f>
        <v>0</v>
      </c>
      <c r="BN30" t="s">
        <v>128</v>
      </c>
      <c r="BO30" t="s">
        <v>50</v>
      </c>
      <c r="BP30" s="5">
        <f>HISTOJANV23!BP30+HISTOFEV23!BP30+HISTOMARS23!BP30+HISTOAVRIL23!BP30+HISTOMAI23!BP30+HISTOJUIN23!BP30+HISTOJUIL23!BP30+HISTOAOUT23!BP30+HISTOSEPT23!BP30+HISTOOCT23!BP30+HISTONOV23!BP30+HISTODEC23!BP30</f>
        <v>1320000</v>
      </c>
    </row>
    <row r="31" spans="1:68" ht="18.75" x14ac:dyDescent="0.3">
      <c r="A31" s="1" t="s">
        <v>37</v>
      </c>
      <c r="B31" s="1" t="str">
        <f>VLOOKUP(A31,[17]LISTADHERENT!A$5:H$39,3,0)</f>
        <v>SIMO PIERRE</v>
      </c>
      <c r="C31" s="5">
        <f>HISTOJANV23!C31+HISTOFEV23!C31+HISTOMARS23!C31+HISTOAVRIL23!C31+HISTOMAI23!C31+HISTOJUIN23!C31+HISTOJUIL23!C31+HISTOAOUT23!C31+HISTOSEPT23!C31+HISTOOCT23!C31+HISTONOV23!C31+HISTODEC23!C31</f>
        <v>-70000</v>
      </c>
      <c r="D31" s="5">
        <f>HISTOJANV23!D31+HISTOFEV23!D31+HISTOMARS23!D31+HISTOAVRIL23!D31+HISTOMAI23!D31+HISTOJUIN23!D31+HISTOJUIL23!D31+HISTOAOUT23!D31+HISTOSEPT23!D31+HISTOOCT23!D31+HISTONOV23!D31+HISTODEC23!D31</f>
        <v>2743000</v>
      </c>
      <c r="E31" s="5">
        <f>HISTOJANV23!E31+HISTOFEV23!E31+HISTOMARS23!E31+HISTOAVRIL23!E31+HISTOMAI23!E31+HISTOJUIN23!E31+HISTOJUIL23!E31+HISTOAOUT23!E31+HISTOSEPT23!E31+HISTOOCT23!E31+HISTONOV23!E31+HISTODEC23!E31</f>
        <v>140000</v>
      </c>
      <c r="F31" s="5">
        <f>HISTOJANV23!F31+HISTOFEV23!F31+HISTOMARS23!F31+HISTOAVRIL23!F31+HISTOMAI23!F31+HISTOJUIN23!F31+HISTOJUIL23!F31+HISTOAOUT23!F31+HISTOSEPT23!F31+HISTOOCT23!F31+HISTONOV23!F31+HISTODEC23!F31</f>
        <v>0</v>
      </c>
      <c r="G31" s="5">
        <f>HISTOJANV23!G31+HISTOFEV23!G31+HISTOMARS23!G31+HISTOAVRIL23!G31+HISTOMAI23!G31+HISTOJUIN23!G31+HISTOJUIL23!G31+HISTOAOUT23!G31+HISTOSEPT23!G31+HISTOOCT23!G31+HISTONOV23!G31+HISTODEC23!G31</f>
        <v>0</v>
      </c>
      <c r="H31" s="10" t="str">
        <f t="shared" si="0"/>
        <v>BANQUE</v>
      </c>
      <c r="I31" s="5">
        <f>HISTOJANV23!I31+HISTOFEV23!I31+HISTOMARS23!I31+HISTOAVRIL23!I31+HISTOMAI23!I31+HISTOJUIN23!I31+HISTOJUIL23!I31+HISTOAOUT23!I31+HISTOSEPT23!I31+HISTOOCT23!I31+HISTONOV23!I31+HISTODEC23!I31</f>
        <v>110500</v>
      </c>
      <c r="J31" s="5">
        <f>HISTOJANV23!J31+HISTOFEV23!J31+HISTOMARS23!J31+HISTOAVRIL23!J31+HISTOMAI23!J31+HISTOJUIN23!J31+HISTOJUIL23!J31+HISTOAOUT23!J31+HISTOSEPT23!J31+HISTOOCT23!J31+HISTONOV23!J31+HISTODEC23!J31</f>
        <v>12</v>
      </c>
      <c r="K31" s="5">
        <f>HISTOJANV23!K31+HISTOFEV23!K31+HISTOMARS23!K31+HISTOAVRIL23!K31+HISTOMAI23!K31+HISTOJUIN23!K31+HISTOJUIL23!K31+HISTOAOUT23!K31+HISTOSEPT23!K31+HISTOOCT23!K31+HISTONOV23!K31+HISTODEC23!K31</f>
        <v>480000</v>
      </c>
      <c r="L31" s="5">
        <f>HISTOJANV23!L31+HISTOFEV23!L31+HISTOMARS23!L31+HISTOAVRIL23!L31+HISTOMAI23!L31+HISTOJUIN23!L31+HISTOJUIL23!L31+HISTOAOUT23!L31+HISTOSEPT23!L31+HISTOOCT23!L31+HISTONOV23!L31+HISTODEC23!L31</f>
        <v>0</v>
      </c>
      <c r="M31" s="5">
        <f>HISTOJANV23!M31+HISTOFEV23!M31+HISTOMARS23!M31+HISTOAVRIL23!M31+HISTOMAI23!M31+HISTOJUIN23!M31+HISTOJUIL23!M31+HISTOAOUT23!M31+HISTOSEPT23!M31+HISTOOCT23!M31+HISTONOV23!M31+HISTODEC23!M31</f>
        <v>0</v>
      </c>
      <c r="N31" s="5">
        <f>HISTOJANV23!N31+HISTOFEV23!N31+HISTOMARS23!N31+HISTOAVRIL23!N31+HISTOMAI23!N31+HISTOJUIN23!N31+HISTOJUIL23!N31+HISTOAOUT23!N31+HISTOSEPT23!N31+HISTOOCT23!N31+HISTONOV23!N31+HISTODEC23!N31</f>
        <v>12</v>
      </c>
      <c r="O31" s="5">
        <f>HISTOJANV23!O31+HISTOFEV23!O31+HISTOMARS23!O31+HISTOAVRIL23!O31+HISTOMAI23!O31+HISTOJUIN23!O31+HISTOJUIL23!O31+HISTOAOUT23!O31+HISTOSEPT23!O31+HISTOOCT23!O31+HISTONOV23!O31+HISTODEC23!O31</f>
        <v>1200000</v>
      </c>
      <c r="P31" s="5">
        <f>HISTOJANV23!P31+HISTOFEV23!P31+HISTOMARS23!P31+HISTOAVRIL23!P31+HISTOMAI23!P31+HISTOJUIN23!P31+HISTOJUIL23!P31+HISTOAOUT23!P31+HISTOSEPT23!P31+HISTOOCT23!P31+HISTONOV23!P31+HISTODEC23!P31</f>
        <v>30500</v>
      </c>
      <c r="Q31" s="5">
        <f>HISTOJANV23!Q31+HISTOFEV23!Q31+HISTOMARS23!Q31+HISTOAVRIL23!Q31+HISTOMAI23!Q31+HISTOJUIN23!Q31+HISTOJUIL23!Q31+HISTOAOUT23!Q31+HISTOSEPT23!Q31+HISTOOCT23!Q31+HISTONOV23!Q31+HISTODEC23!Q31</f>
        <v>0</v>
      </c>
      <c r="R31" s="5">
        <f>HISTOJANV23!R31+HISTOFEV23!R31+HISTOMARS23!R31+HISTOAVRIL23!R31+HISTOMAI23!R31+HISTOJUIN23!R31+HISTOJUIL23!R31+HISTOAOUT23!R31+HISTOSEPT23!R31+HISTOOCT23!R31+HISTONOV23!R31+HISTODEC23!R31</f>
        <v>62000</v>
      </c>
      <c r="S31" s="5">
        <f>HISTOJANV23!S31+HISTOFEV23!S31+HISTOMARS23!S31+HISTOAVRIL23!S31+HISTOMAI23!S31+HISTOJUIN23!S31+HISTOJUIL23!S31+HISTOAOUT23!S31+HISTOSEPT23!S31+HISTOOCT23!S31+HISTONOV23!S31+HISTODEC23!S31</f>
        <v>1000000</v>
      </c>
      <c r="T31" s="5" t="e">
        <f>HISTOJANV23!T31+HISTOFEV23!T31+HISTOMARS23!T31+HISTOAVRIL23!T31+HISTOMAI23!T31+HISTOJUIN23!T31+HISTOJUIL23!T31+HISTOAOUT23!T31+HISTOSEPT23!T31+HISTOOCT23!T31+HISTONOV23!T31+HISTODEC23!T31</f>
        <v>#VALUE!</v>
      </c>
      <c r="U31" s="17">
        <f t="shared" si="1"/>
        <v>2883000</v>
      </c>
      <c r="V31" s="5">
        <f>HISTOJANV23!V31+HISTOFEV23!V31+HISTOMARS23!V31+HISTOAVRIL23!V31+HISTOMAI23!V31+HISTOJUIN23!V31+HISTOJUIL23!V31+HISTOAOUT23!V31+HISTOSEPT23!V31+HISTOOCT23!V31+HISTONOV23!V31+HISTODEC23!V31</f>
        <v>0</v>
      </c>
      <c r="W31" s="5">
        <f>HISTOJANV23!W31+HISTOFEV23!W31+HISTOMARS23!W31+HISTOAVRIL23!W31+HISTOMAI23!W31+HISTOJUIN23!W31+HISTOJUIL23!W31+HISTOAOUT23!W31+HISTOSEPT23!W31+HISTOOCT23!W31+HISTONOV23!W31+HISTODEC23!W31</f>
        <v>0</v>
      </c>
      <c r="X31" s="5">
        <f>HISTOJANV23!X31+HISTOFEV23!X31+HISTOMARS23!X31+HISTOAVRIL23!X31+HISTOMAI23!X31+HISTOJUIN23!X31+HISTOJUIL23!X31+HISTOAOUT23!X31+HISTOSEPT23!X31+HISTOOCT23!X31+HISTONOV23!X31+HISTODEC23!X31</f>
        <v>0</v>
      </c>
      <c r="Y31" s="5">
        <f>HISTOJANV23!Y31+HISTOFEV23!Y31+HISTOMARS23!Y31+HISTOAVRIL23!Y31+HISTOMAI23!Y31+HISTOJUIN23!Y31+HISTOJUIL23!Y31+HISTOAOUT23!Y31+HISTOSEPT23!Y31+HISTOOCT23!Y31+HISTONOV23!Y31+HISTODEC23!Y31</f>
        <v>0</v>
      </c>
      <c r="Z31" s="5">
        <f>HISTOJANV23!Z31+HISTOFEV23!Z31+HISTOMARS23!Z31+HISTOAVRIL23!Z31+HISTOMAI23!Z31+HISTOJUIN23!Z31+HISTOJUIL23!Z31+HISTOAOUT23!Z31+HISTOSEPT23!Z31+HISTOOCT23!Z31+HISTONOV23!Z31+HISTODEC23!Z31</f>
        <v>250000</v>
      </c>
      <c r="AA31" s="5" t="e">
        <f>HISTOJANV23!AA31+HISTOFEV23!AA31+HISTOMARS23!AA31+HISTOAVRIL23!AA31+HISTOMAI23!AA31+HISTOJUIN23!AA31+HISTOJUIL23!AA31+HISTOAOUT23!AA31+HISTOSEPT23!AA31+HISTOOCT23!AA31+HISTONOV23!AA31+HISTODEC23!AA31</f>
        <v>#VALUE!</v>
      </c>
      <c r="AB31" s="5">
        <f>HISTOJANV23!AB31+HISTOFEV23!AB31+HISTOMARS23!AB31+HISTOAVRIL23!AB31+HISTOMAI23!AB31+HISTOJUIN23!AB31+HISTOJUIL23!AB31+HISTOAOUT23!AB31+HISTOSEPT23!AB31+HISTOOCT23!AB31+HISTONOV23!AB31+HISTODEC23!AB31</f>
        <v>0</v>
      </c>
      <c r="AC31" s="5">
        <f>HISTOJANV23!AC31+HISTOFEV23!AC31+HISTOMARS23!AC31+HISTOAVRIL23!AC31+HISTOMAI23!AC31+HISTOJUIN23!AC31+HISTOJUIL23!AC31+HISTOAOUT23!AC31+HISTOSEPT23!AC31+HISTOOCT23!AC31+HISTONOV23!AC31+HISTODEC23!AC31</f>
        <v>11000</v>
      </c>
      <c r="AD31" s="5">
        <f>HISTOJANV23!AD31+HISTOFEV23!AD31+HISTOMARS23!AD31+HISTOAVRIL23!AD31+HISTOMAI23!AD31+HISTOJUIN23!AD31+HISTOJUIL23!AD31+HISTOAOUT23!AD31+HISTOSEPT23!AD31+HISTOOCT23!AD31+HISTONOV23!AD31+HISTODEC23!AD31</f>
        <v>0</v>
      </c>
      <c r="AE31" s="5">
        <f>HISTOJANV23!AE31+HISTOFEV23!AE31+HISTOMARS23!AE31+HISTOAVRIL23!AE31+HISTOMAI23!AE31+HISTOJUIN23!AE31+HISTOJUIL23!AE31+HISTOAOUT23!AE31+HISTOSEPT23!AE31+HISTOOCT23!AE31+HISTONOV23!AE31+HISTODEC23!AE31</f>
        <v>10000</v>
      </c>
      <c r="AF31" s="5" t="e">
        <f>HISTOJANV23!AF31+HISTOFEV23!AF31+HISTOMARS23!AF31+HISTOAVRIL23!AF31+HISTOMAI23!AF31+HISTOJUIN23!AF31+HISTOJUIL23!AF31+HISTOAOUT23!AF31+HISTOSEPT23!AF31+HISTOOCT23!AF31+HISTONOV23!AF31+HISTODEC23!AF31</f>
        <v>#VALUE!</v>
      </c>
      <c r="AG31" s="5">
        <f>HISTOJANV23!AG31+HISTOFEV23!AG31+HISTOMARS23!AG31+HISTOAVRIL23!AG31+HISTOMAI23!AG31+HISTOJUIN23!AG31+HISTOJUIL23!AG31+HISTOAOUT23!AG31+HISTOSEPT23!AG31+HISTOOCT23!AG31+HISTONOV23!AG31+HISTODEC23!AG31</f>
        <v>0</v>
      </c>
      <c r="AH31" s="5">
        <f>HISTOJANV23!AH31+HISTOFEV23!AH31+HISTOMARS23!AH31+HISTOAVRIL23!AH31+HISTOMAI23!AH31+HISTOJUIN23!AH31+HISTOJUIL23!AH31+HISTOAOUT23!AH31+HISTOSEPT23!AH31+HISTOOCT23!AH31+HISTONOV23!AH31+HISTODEC23!AH31</f>
        <v>0</v>
      </c>
      <c r="AI31" s="5">
        <f>HISTOJANV23!AI31+HISTOFEV23!AI31+HISTOMARS23!AI31+HISTOAVRIL23!AI31+HISTOMAI23!AI31+HISTOJUIN23!AI31+HISTOJUIL23!AI31+HISTOAOUT23!AI31+HISTOSEPT23!AI31+HISTOOCT23!AI31+HISTONOV23!AI31+HISTODEC23!AI31</f>
        <v>30000</v>
      </c>
      <c r="AJ31" s="5">
        <f>HISTOJANV23!AJ31+HISTOFEV23!AJ31+HISTOMARS23!AJ31+HISTOAVRIL23!AJ31+HISTOMAI23!AJ31+HISTOJUIN23!AJ31+HISTOJUIL23!AJ31+HISTOAOUT23!AJ31+HISTOSEPT23!AJ31+HISTOOCT23!AJ31+HISTONOV23!AJ31+HISTODEC23!AJ31</f>
        <v>0</v>
      </c>
      <c r="AK31" s="5">
        <f>HISTOJANV23!AK31+HISTOFEV23!AK31+HISTOMARS23!AK31+HISTOAVRIL23!AK31+HISTOMAI23!AK31+HISTOJUIN23!AK31+HISTOJUIL23!AK31+HISTOAOUT23!AK31+HISTOSEPT23!AK31+HISTOOCT23!AK31+HISTONOV23!AK31+HISTODEC23!AK31</f>
        <v>60000</v>
      </c>
      <c r="AL31" s="5">
        <f>HISTOJANV23!AL31+HISTOFEV23!AL31+HISTOMARS23!AL31+HISTOAVRIL23!AL31+HISTOMAI23!AL31+HISTOJUIN23!AL31+HISTOJUIL23!AL31+HISTOAOUT23!AL31+HISTOSEPT23!AL31+HISTOOCT23!AL31+HISTONOV23!AL31+HISTODEC23!AL31</f>
        <v>500</v>
      </c>
      <c r="AM31" s="5">
        <f>HISTOJANV23!AM31+HISTOFEV23!AM31+HISTOMARS23!AM31+HISTOAVRIL23!AM31+HISTOMAI23!AM31+HISTOJUIN23!AM31+HISTOJUIL23!AM31+HISTOAOUT23!AM31+HISTOSEPT23!AM31+HISTOOCT23!AM31+HISTONOV23!AM31+HISTODEC23!AM31</f>
        <v>0</v>
      </c>
      <c r="AN31" s="5">
        <f>HISTOJANV23!AN31+HISTOFEV23!AN31+HISTOMARS23!AN31+HISTOAVRIL23!AN31+HISTOMAI23!AN31+HISTOJUIN23!AN31+HISTOJUIL23!AN31+HISTOAOUT23!AN31+HISTOSEPT23!AN31+HISTOOCT23!AN31+HISTONOV23!AN31+HISTODEC23!AN31</f>
        <v>2000</v>
      </c>
      <c r="AO31" s="5">
        <f>HISTOJANV23!AO31+HISTOFEV23!AO31+HISTOMARS23!AO31+HISTOAVRIL23!AO31+HISTOMAI23!AO31+HISTOJUIN23!AO31+HISTOJUIL23!AO31+HISTOAOUT23!AO31+HISTOSEPT23!AO31+HISTOOCT23!AO31+HISTONOV23!AO31+HISTODEC23!AO31</f>
        <v>0</v>
      </c>
      <c r="AP31" s="5" t="e">
        <f>HISTOJANV23!AP31+HISTOFEV23!AP31+HISTOMARS23!AP31+HISTOAVRIL23!AP31+HISTOMAI23!AP31+HISTOJUIN23!AP31+HISTOJUIL23!AP31+HISTOAOUT23!AP31+HISTOSEPT23!AP31+HISTOOCT23!AP31+HISTONOV23!AP31+HISTODEC23!AP31</f>
        <v>#VALUE!</v>
      </c>
      <c r="AQ31" s="5">
        <f>HISTOJANV23!AQ31+HISTOFEV23!AQ31+HISTOMARS23!AQ31+HISTOAVRIL23!AQ31+HISTOMAI23!AQ31+HISTOJUIN23!AQ31+HISTOJUIL23!AQ31+HISTOAOUT23!AQ31+HISTOSEPT23!AQ31+HISTOOCT23!AQ31+HISTONOV23!AQ31+HISTODEC23!AQ31</f>
        <v>0</v>
      </c>
      <c r="AR31" s="5">
        <f>HISTOJANV23!AR31+HISTOFEV23!AR31+HISTOMARS23!AR31+HISTOAVRIL23!AR31+HISTOMAI23!AR31+HISTOJUIN23!AR31+HISTOJUIL23!AR31+HISTOAOUT23!AR31+HISTOSEPT23!AR31+HISTOOCT23!AR31+HISTONOV23!AR31+HISTODEC23!AR31</f>
        <v>0</v>
      </c>
      <c r="AS31" s="5">
        <f>HISTOJANV23!AS31+HISTOFEV23!AS31+HISTOMARS23!AS31+HISTOAVRIL23!AS31+HISTOMAI23!AS31+HISTOJUIN23!AS31+HISTOJUIL23!AS31+HISTOAOUT23!AS31+HISTOSEPT23!AS31+HISTOOCT23!AS31+HISTONOV23!AS31+HISTODEC23!AS31</f>
        <v>290500</v>
      </c>
      <c r="AT31" s="5">
        <f>HISTOJANV23!AT31+HISTOFEV23!AT31+HISTOMARS23!AT31+HISTOAVRIL23!AT31+HISTOMAI23!AT31+HISTOJUIN23!AT31+HISTOJUIL23!AT31+HISTOAOUT23!AT31+HISTOSEPT23!AT31+HISTOOCT23!AT31+HISTONOV23!AT31+HISTODEC23!AT31</f>
        <v>0</v>
      </c>
      <c r="AU31" s="5">
        <f>HISTOJANV23!AU31+HISTOFEV23!AU31+HISTOMARS23!AU31+HISTOAVRIL23!AU31+HISTOMAI23!AU31+HISTOJUIN23!AU31+HISTOJUIL23!AU31+HISTOAOUT23!AU31+HISTOSEPT23!AU31+HISTOOCT23!AU31+HISTONOV23!AU31+HISTODEC23!AU31</f>
        <v>0</v>
      </c>
      <c r="AV31" s="5">
        <f>HISTOJANV23!AV31+HISTOFEV23!AV31+HISTOMARS23!AV31+HISTOAVRIL23!AV31+HISTOMAI23!AV31+HISTOJUIN23!AV31+HISTOJUIL23!AV31+HISTOAOUT23!AV31+HISTOSEPT23!AV31+HISTOOCT23!AV31+HISTONOV23!AV31+HISTODEC23!AV31</f>
        <v>0</v>
      </c>
      <c r="AW31" s="5">
        <f>HISTOJANV23!AW31+HISTOFEV23!AW31+HISTOMARS23!AW31+HISTOAVRIL23!AW31+HISTOMAI23!AW31+HISTOJUIN23!AW31+HISTOJUIL23!AW31+HISTOAOUT23!AW31+HISTOSEPT23!AW31+HISTOOCT23!AW31+HISTONOV23!AW31+HISTODEC23!AW31</f>
        <v>319000</v>
      </c>
      <c r="AX31" s="5">
        <f>HISTOJANV23!AX31+HISTOFEV23!AX31+HISTOMARS23!AX31+HISTOAVRIL23!AX31+HISTOMAI23!AX31+HISTOJUIN23!AX31+HISTOJUIL23!AX31+HISTOAOUT23!AX31+HISTOSEPT23!AX31+HISTOOCT23!AX31+HISTONOV23!AX31+HISTODEC23!AX31</f>
        <v>0</v>
      </c>
      <c r="AY31" s="5">
        <f>HISTOJANV23!AY31+HISTOFEV23!AY31+HISTOMARS23!AY31+HISTOAVRIL23!AY31+HISTOMAI23!AY31+HISTOJUIN23!AY31+HISTOJUIL23!AY31+HISTOAOUT23!AY31+HISTOSEPT23!AY31+HISTOOCT23!AY31+HISTONOV23!AY31+HISTODEC23!AY31</f>
        <v>1250000</v>
      </c>
      <c r="AZ31" s="5">
        <f>HISTOJANV23!AZ31+HISTOFEV23!AZ31+HISTOMARS23!AZ31+HISTOAVRIL23!AZ31+HISTOMAI23!AZ31+HISTOJUIN23!AZ31+HISTOJUIL23!AZ31+HISTOAOUT23!AZ31+HISTOSEPT23!AZ31+HISTOOCT23!AZ31+HISTONOV23!AZ31+HISTODEC23!AZ31</f>
        <v>1804000</v>
      </c>
      <c r="BA31" s="5">
        <f>HISTOJANV23!BA31+HISTOFEV23!BA31+HISTOMARS23!BA31+HISTOAVRIL23!BA31+HISTOMAI23!BA31+HISTOJUIN23!BA31+HISTOJUIL23!BA31+HISTOAOUT23!BA31+HISTOSEPT23!BA31+HISTOOCT23!BA31+HISTONOV23!BA31+HISTODEC23!BA31</f>
        <v>60000</v>
      </c>
      <c r="BB31" s="5">
        <f>HISTOJANV23!BB31+HISTOFEV23!BB31+HISTOMARS23!BB31+HISTOAVRIL23!BB31+HISTOMAI23!BB31+HISTOJUIN23!BB31+HISTOJUIL23!BB31+HISTOAOUT23!BB31+HISTOSEPT23!BB31+HISTOOCT23!BB31+HISTONOV23!BB31+HISTODEC23!BB31</f>
        <v>70000</v>
      </c>
      <c r="BC31" s="5">
        <f>HISTOJANV23!BC31+HISTOFEV23!BC31+HISTOMARS23!BC31+HISTOAVRIL23!BC31+HISTOMAI23!BC31+HISTOJUIN23!BC31+HISTOJUIL23!BC31+HISTOAOUT23!BC31+HISTOSEPT23!BC31+HISTOOCT23!BC31+HISTONOV23!BC31+HISTODEC23!BC31</f>
        <v>0</v>
      </c>
      <c r="BD31" s="5">
        <f>HISTOJANV23!BD31+HISTOFEV23!BD31+HISTOMARS23!BD31+HISTOAVRIL23!BD31+HISTOMAI23!BD31+HISTOJUIN23!BD31+HISTOJUIL23!BD31+HISTOAOUT23!BD31+HISTOSEPT23!BD31+HISTOOCT23!BD31+HISTONOV23!BD31+HISTODEC23!BD31</f>
        <v>1904000</v>
      </c>
      <c r="BE31" s="82" t="e">
        <f>HISTOJANV23!BE31+HISTOFEV23!BE31+HISTOMARS23!BE31+HISTOAVRIL23!BE31+HISTOMAI23!BE31+HISTOJUIN23!BE31+HISTOJUIL23!BE31+HISTOAOUT23!BE31+HISTOSEPT23!BE31+HISTOOCT23!BE31+HISTONOV23!BE31+HISTODEC23!BE31</f>
        <v>#VALUE!</v>
      </c>
      <c r="BF31" s="5">
        <f>HISTOJANV23!BF31+HISTOFEV23!BF31+HISTOMARS23!BF31+HISTOAVRIL23!BF31+HISTOMAI23!BF31+HISTOJUIN23!BF31+HISTOJUIL23!BF31+HISTOAOUT23!BF31+HISTOSEPT23!BF31+HISTOOCT23!BF31+HISTONOV23!BF31+HISTODEC23!BF31</f>
        <v>15000</v>
      </c>
      <c r="BG31" s="5">
        <f>HISTOJANV23!BG31+HISTOFEV23!BG31+HISTOMARS23!BG31+HISTOAVRIL23!BG31+HISTOMAI23!BG31+HISTOJUIN23!BG31+HISTOJUIL23!BG31+HISTOAOUT23!BG31+HISTOSEPT23!BG31+HISTOOCT23!BG31+HISTONOV23!BG31+HISTODEC23!BG31</f>
        <v>72</v>
      </c>
      <c r="BH31" s="5">
        <f>HISTOJANV23!BH31+HISTOFEV23!BH31+HISTOMARS23!BH31+HISTOAVRIL23!BH31+HISTOMAI23!BH31+HISTOJUIN23!BH31+HISTOJUIL23!BH31+HISTOAOUT23!BH31+HISTOSEPT23!BH31+HISTOOCT23!BH31+HISTONOV23!BH31+HISTODEC23!BH31</f>
        <v>0</v>
      </c>
      <c r="BI31" s="5">
        <f>HISTOJANV23!BI31+HISTOFEV23!BI31+HISTOMARS23!BI31+HISTOAVRIL23!BI31+HISTOMAI23!BI31+HISTOJUIN23!BI31+HISTOJUIL23!BI31+HISTOAOUT23!BI31+HISTOSEPT23!BI31+HISTOOCT23!BI31+HISTONOV23!BI31+HISTODEC23!BI31</f>
        <v>0</v>
      </c>
      <c r="BJ31" s="5">
        <f>HISTOJANV23!BJ31+HISTOFEV23!BJ31+HISTOMARS23!BJ31+HISTOAVRIL23!BJ31+HISTOMAI23!BJ31+HISTOJUIN23!BJ31+HISTOJUIL23!BJ31+HISTOAOUT23!BJ31+HISTOSEPT23!BJ31+HISTOOCT23!BJ31+HISTONOV23!BJ31+HISTODEC23!BJ31</f>
        <v>0</v>
      </c>
      <c r="BK31" s="5">
        <f>HISTOJANV23!BK31+HISTOFEV23!BK31+HISTOMARS23!BK31+HISTOAVRIL23!BK31+HISTOMAI23!BK31+HISTOJUIN23!BK31+HISTOJUIL23!BK31+HISTOAOUT23!BK31+HISTOSEPT23!BK31+HISTOOCT23!BK31+HISTONOV23!BK31+HISTODEC23!BK31</f>
        <v>0</v>
      </c>
      <c r="BL31" s="5">
        <f>HISTOJANV23!BL31+HISTOFEV23!BL31+HISTOMARS23!BL31+HISTOAVRIL23!BL31+HISTOMAI23!BL31+HISTOJUIN23!BL31+HISTOJUIL23!BL31+HISTOAOUT23!BL31+HISTOSEPT23!BL31+HISTOOCT23!BL31+HISTONOV23!BL31+HISTODEC23!BL31</f>
        <v>0</v>
      </c>
      <c r="BM31" s="5">
        <f>HISTOJANV23!BM31+HISTOFEV23!BM31+HISTOMARS23!BM31+HISTOAVRIL23!BM31+HISTOMAI23!BM31+HISTOJUIN23!BM31+HISTOJUIL23!BM31+HISTOAOUT23!BM31+HISTOSEPT23!BM31+HISTOOCT23!BM31+HISTONOV23!BM31+HISTODEC23!BM31</f>
        <v>0</v>
      </c>
      <c r="BN31" t="s">
        <v>129</v>
      </c>
      <c r="BO31" t="s">
        <v>50</v>
      </c>
      <c r="BP31" s="5">
        <f>HISTOJANV23!BP31+HISTOFEV23!BP31+HISTOMARS23!BP31+HISTOAVRIL23!BP31+HISTOMAI23!BP31+HISTOJUIN23!BP31+HISTOJUIL23!BP31+HISTOAOUT23!BP31+HISTOSEPT23!BP31+HISTOOCT23!BP31+HISTONOV23!BP31+HISTODEC23!BP31</f>
        <v>0</v>
      </c>
    </row>
    <row r="32" spans="1:68" ht="18.75" x14ac:dyDescent="0.3">
      <c r="A32" s="1" t="s">
        <v>38</v>
      </c>
      <c r="B32" s="1" t="str">
        <f>VLOOKUP(A32,[17]LISTADHERENT!A$5:H$39,3,0)</f>
        <v>TCHOUAMOU MATHIEU</v>
      </c>
      <c r="C32" s="5">
        <f>HISTOJANV23!C32+HISTOFEV23!C32+HISTOMARS23!C32+HISTOAVRIL23!C32+HISTOMAI23!C32+HISTOJUIN23!C32+HISTOJUIL23!C32+HISTOAOUT23!C32+HISTOSEPT23!C32+HISTOOCT23!C32+HISTONOV23!C32+HISTODEC23!C32</f>
        <v>-200000</v>
      </c>
      <c r="D32" s="5">
        <f>HISTOJANV23!D32+HISTOFEV23!D32+HISTOMARS23!D32+HISTOAVRIL23!D32+HISTOMAI23!D32+HISTOJUIN23!D32+HISTOJUIL23!D32+HISTOAOUT23!D32+HISTOSEPT23!D32+HISTOOCT23!D32+HISTONOV23!D32+HISTODEC23!D32</f>
        <v>2575000</v>
      </c>
      <c r="E32" s="5">
        <f>HISTOJANV23!E32+HISTOFEV23!E32+HISTOMARS23!E32+HISTOAVRIL23!E32+HISTOMAI23!E32+HISTOJUIN23!E32+HISTOJUIL23!E32+HISTOAOUT23!E32+HISTOSEPT23!E32+HISTOOCT23!E32+HISTONOV23!E32+HISTODEC23!E32</f>
        <v>102000</v>
      </c>
      <c r="F32" s="5">
        <f>HISTOJANV23!F32+HISTOFEV23!F32+HISTOMARS23!F32+HISTOAVRIL23!F32+HISTOMAI23!F32+HISTOJUIN23!F32+HISTOJUIL23!F32+HISTOAOUT23!F32+HISTOSEPT23!F32+HISTOOCT23!F32+HISTONOV23!F32+HISTODEC23!F32</f>
        <v>70000</v>
      </c>
      <c r="G32" s="5">
        <f>HISTOJANV23!G32+HISTOFEV23!G32+HISTOMARS23!G32+HISTOAVRIL23!G32+HISTOMAI23!G32+HISTOJUIN23!G32+HISTOJUIL23!G32+HISTOAOUT23!G32+HISTOSEPT23!G32+HISTOOCT23!G32+HISTONOV23!G32+HISTODEC23!G32</f>
        <v>0</v>
      </c>
      <c r="H32" s="10" t="str">
        <f t="shared" si="0"/>
        <v>BANQUE</v>
      </c>
      <c r="I32" s="5">
        <f>HISTOJANV23!I32+HISTOFEV23!I32+HISTOMARS23!I32+HISTOAVRIL23!I32+HISTOMAI23!I32+HISTOJUIN23!I32+HISTOJUIL23!I32+HISTOAOUT23!I32+HISTOSEPT23!I32+HISTOOCT23!I32+HISTONOV23!I32+HISTODEC23!I32</f>
        <v>0</v>
      </c>
      <c r="J32" s="5">
        <f>HISTOJANV23!J32+HISTOFEV23!J32+HISTOMARS23!J32+HISTOAVRIL23!J32+HISTOMAI23!J32+HISTOJUIN23!J32+HISTOJUIL23!J32+HISTOAOUT23!J32+HISTOSEPT23!J32+HISTOOCT23!J32+HISTONOV23!J32+HISTODEC23!J32</f>
        <v>12</v>
      </c>
      <c r="K32" s="5">
        <f>HISTOJANV23!K32+HISTOFEV23!K32+HISTOMARS23!K32+HISTOAVRIL23!K32+HISTOMAI23!K32+HISTOJUIN23!K32+HISTOJUIL23!K32+HISTOAOUT23!K32+HISTOSEPT23!K32+HISTOOCT23!K32+HISTONOV23!K32+HISTODEC23!K32</f>
        <v>480000</v>
      </c>
      <c r="L32" s="5">
        <f>HISTOJANV23!L32+HISTOFEV23!L32+HISTOMARS23!L32+HISTOAVRIL23!L32+HISTOMAI23!L32+HISTOJUIN23!L32+HISTOJUIL23!L32+HISTOAOUT23!L32+HISTOSEPT23!L32+HISTOOCT23!L32+HISTONOV23!L32+HISTODEC23!L32</f>
        <v>12</v>
      </c>
      <c r="M32" s="5">
        <f>HISTOJANV23!M32+HISTOFEV23!M32+HISTOMARS23!M32+HISTOAVRIL23!M32+HISTOMAI23!M32+HISTOJUIN23!M32+HISTOJUIL23!M32+HISTOAOUT23!M32+HISTOSEPT23!M32+HISTOOCT23!M32+HISTONOV23!M32+HISTODEC23!M32</f>
        <v>900000</v>
      </c>
      <c r="N32" s="5">
        <f>HISTOJANV23!N32+HISTOFEV23!N32+HISTOMARS23!N32+HISTOAVRIL23!N32+HISTOMAI23!N32+HISTOJUIN23!N32+HISTOJUIL23!N32+HISTOAOUT23!N32+HISTOSEPT23!N32+HISTOOCT23!N32+HISTONOV23!N32+HISTODEC23!N32</f>
        <v>0</v>
      </c>
      <c r="O32" s="5">
        <f>HISTOJANV23!O32+HISTOFEV23!O32+HISTOMARS23!O32+HISTOAVRIL23!O32+HISTOMAI23!O32+HISTOJUIN23!O32+HISTOJUIL23!O32+HISTOAOUT23!O32+HISTOSEPT23!O32+HISTOOCT23!O32+HISTONOV23!O32+HISTODEC23!O32</f>
        <v>0</v>
      </c>
      <c r="P32" s="5">
        <f>HISTOJANV23!P32+HISTOFEV23!P32+HISTOMARS23!P32+HISTOAVRIL23!P32+HISTOMAI23!P32+HISTOJUIN23!P32+HISTOJUIL23!P32+HISTOAOUT23!P32+HISTOSEPT23!P32+HISTOOCT23!P32+HISTONOV23!P32+HISTODEC23!P32</f>
        <v>0</v>
      </c>
      <c r="Q32" s="5">
        <f>HISTOJANV23!Q32+HISTOFEV23!Q32+HISTOMARS23!Q32+HISTOAVRIL23!Q32+HISTOMAI23!Q32+HISTOJUIN23!Q32+HISTOJUIL23!Q32+HISTOAOUT23!Q32+HISTOSEPT23!Q32+HISTOOCT23!Q32+HISTONOV23!Q32+HISTODEC23!Q32</f>
        <v>597000</v>
      </c>
      <c r="R32" s="5">
        <f>HISTOJANV23!R32+HISTOFEV23!R32+HISTOMARS23!R32+HISTOAVRIL23!R32+HISTOMAI23!R32+HISTOJUIN23!R32+HISTOJUIL23!R32+HISTOAOUT23!R32+HISTOSEPT23!R32+HISTOOCT23!R32+HISTONOV23!R32+HISTODEC23!R32</f>
        <v>0</v>
      </c>
      <c r="S32" s="5">
        <f>HISTOJANV23!S32+HISTOFEV23!S32+HISTOMARS23!S32+HISTOAVRIL23!S32+HISTOMAI23!S32+HISTOJUIN23!S32+HISTOJUIL23!S32+HISTOAOUT23!S32+HISTOSEPT23!S32+HISTOOCT23!S32+HISTONOV23!S32+HISTODEC23!S32</f>
        <v>900000</v>
      </c>
      <c r="T32" s="5" t="e">
        <f>HISTOJANV23!T32+HISTOFEV23!T32+HISTOMARS23!T32+HISTOAVRIL23!T32+HISTOMAI23!T32+HISTOJUIN23!T32+HISTOJUIL23!T32+HISTOAOUT23!T32+HISTOSEPT23!T32+HISTOOCT23!T32+HISTONOV23!T32+HISTODEC23!T32</f>
        <v>#VALUE!</v>
      </c>
      <c r="U32" s="17">
        <f t="shared" si="1"/>
        <v>2877000</v>
      </c>
      <c r="V32" s="5">
        <f>HISTOJANV23!V32+HISTOFEV23!V32+HISTOMARS23!V32+HISTOAVRIL23!V32+HISTOMAI23!V32+HISTOJUIN23!V32+HISTOJUIL23!V32+HISTOAOUT23!V32+HISTOSEPT23!V32+HISTOOCT23!V32+HISTONOV23!V32+HISTODEC23!V32</f>
        <v>0</v>
      </c>
      <c r="W32" s="5">
        <f>HISTOJANV23!W32+HISTOFEV23!W32+HISTOMARS23!W32+HISTOAVRIL23!W32+HISTOMAI23!W32+HISTOJUIN23!W32+HISTOJUIL23!W32+HISTOAOUT23!W32+HISTOSEPT23!W32+HISTOOCT23!W32+HISTONOV23!W32+HISTODEC23!W32</f>
        <v>0</v>
      </c>
      <c r="X32" s="5">
        <f>HISTOJANV23!X32+HISTOFEV23!X32+HISTOMARS23!X32+HISTOAVRIL23!X32+HISTOMAI23!X32+HISTOJUIN23!X32+HISTOJUIL23!X32+HISTOAOUT23!X32+HISTOSEPT23!X32+HISTOOCT23!X32+HISTONOV23!X32+HISTODEC23!X32</f>
        <v>0</v>
      </c>
      <c r="Y32" s="5">
        <f>HISTOJANV23!Y32+HISTOFEV23!Y32+HISTOMARS23!Y32+HISTOAVRIL23!Y32+HISTOMAI23!Y32+HISTOJUIN23!Y32+HISTOJUIL23!Y32+HISTOAOUT23!Y32+HISTOSEPT23!Y32+HISTOOCT23!Y32+HISTONOV23!Y32+HISTODEC23!Y32</f>
        <v>0</v>
      </c>
      <c r="Z32" s="5">
        <f>HISTOJANV23!Z32+HISTOFEV23!Z32+HISTOMARS23!Z32+HISTOAVRIL23!Z32+HISTOMAI23!Z32+HISTOJUIN23!Z32+HISTOJUIL23!Z32+HISTOAOUT23!Z32+HISTOSEPT23!Z32+HISTOOCT23!Z32+HISTONOV23!Z32+HISTODEC23!Z32</f>
        <v>900000</v>
      </c>
      <c r="AA32" s="5" t="e">
        <f>HISTOJANV23!AA32+HISTOFEV23!AA32+HISTOMARS23!AA32+HISTOAVRIL23!AA32+HISTOMAI23!AA32+HISTOJUIN23!AA32+HISTOJUIL23!AA32+HISTOAOUT23!AA32+HISTOSEPT23!AA32+HISTOOCT23!AA32+HISTONOV23!AA32+HISTODEC23!AA32</f>
        <v>#VALUE!</v>
      </c>
      <c r="AB32" s="5">
        <f>HISTOJANV23!AB32+HISTOFEV23!AB32+HISTOMARS23!AB32+HISTOAVRIL23!AB32+HISTOMAI23!AB32+HISTOJUIN23!AB32+HISTOJUIL23!AB32+HISTOAOUT23!AB32+HISTOSEPT23!AB32+HISTOOCT23!AB32+HISTONOV23!AB32+HISTODEC23!AB32</f>
        <v>0</v>
      </c>
      <c r="AC32" s="5">
        <f>HISTOJANV23!AC32+HISTOFEV23!AC32+HISTOMARS23!AC32+HISTOAVRIL23!AC32+HISTOMAI23!AC32+HISTOJUIN23!AC32+HISTOJUIL23!AC32+HISTOAOUT23!AC32+HISTOSEPT23!AC32+HISTOOCT23!AC32+HISTONOV23!AC32+HISTODEC23!AC32</f>
        <v>2500</v>
      </c>
      <c r="AD32" s="5">
        <f>HISTOJANV23!AD32+HISTOFEV23!AD32+HISTOMARS23!AD32+HISTOAVRIL23!AD32+HISTOMAI23!AD32+HISTOJUIN23!AD32+HISTOJUIL23!AD32+HISTOAOUT23!AD32+HISTOSEPT23!AD32+HISTOOCT23!AD32+HISTONOV23!AD32+HISTODEC23!AD32</f>
        <v>7500</v>
      </c>
      <c r="AE32" s="5">
        <f>HISTOJANV23!AE32+HISTOFEV23!AE32+HISTOMARS23!AE32+HISTOAVRIL23!AE32+HISTOMAI23!AE32+HISTOJUIN23!AE32+HISTOJUIL23!AE32+HISTOAOUT23!AE32+HISTOSEPT23!AE32+HISTOOCT23!AE32+HISTONOV23!AE32+HISTODEC23!AE32</f>
        <v>0</v>
      </c>
      <c r="AF32" s="5" t="e">
        <f>HISTOJANV23!AF32+HISTOFEV23!AF32+HISTOMARS23!AF32+HISTOAVRIL23!AF32+HISTOMAI23!AF32+HISTOJUIN23!AF32+HISTOJUIL23!AF32+HISTOAOUT23!AF32+HISTOSEPT23!AF32+HISTOOCT23!AF32+HISTONOV23!AF32+HISTODEC23!AF32</f>
        <v>#VALUE!</v>
      </c>
      <c r="AG32" s="5">
        <f>HISTOJANV23!AG32+HISTOFEV23!AG32+HISTOMARS23!AG32+HISTOAVRIL23!AG32+HISTOMAI23!AG32+HISTOJUIN23!AG32+HISTOJUIL23!AG32+HISTOAOUT23!AG32+HISTOSEPT23!AG32+HISTOOCT23!AG32+HISTONOV23!AG32+HISTODEC23!AG32</f>
        <v>0</v>
      </c>
      <c r="AH32" s="5">
        <f>HISTOJANV23!AH32+HISTOFEV23!AH32+HISTOMARS23!AH32+HISTOAVRIL23!AH32+HISTOMAI23!AH32+HISTOJUIN23!AH32+HISTOJUIL23!AH32+HISTOAOUT23!AH32+HISTOSEPT23!AH32+HISTOOCT23!AH32+HISTONOV23!AH32+HISTODEC23!AH32</f>
        <v>0</v>
      </c>
      <c r="AI32" s="5">
        <f>HISTOJANV23!AI32+HISTOFEV23!AI32+HISTOMARS23!AI32+HISTOAVRIL23!AI32+HISTOMAI23!AI32+HISTOJUIN23!AI32+HISTOJUIL23!AI32+HISTOAOUT23!AI32+HISTOSEPT23!AI32+HISTOOCT23!AI32+HISTONOV23!AI32+HISTODEC23!AI32</f>
        <v>0</v>
      </c>
      <c r="AJ32" s="5">
        <f>HISTOJANV23!AJ32+HISTOFEV23!AJ32+HISTOMARS23!AJ32+HISTOAVRIL23!AJ32+HISTOMAI23!AJ32+HISTOJUIN23!AJ32+HISTOJUIL23!AJ32+HISTOAOUT23!AJ32+HISTOSEPT23!AJ32+HISTOOCT23!AJ32+HISTONOV23!AJ32+HISTODEC23!AJ32</f>
        <v>588000</v>
      </c>
      <c r="AK32" s="5">
        <f>HISTOJANV23!AK32+HISTOFEV23!AK32+HISTOMARS23!AK32+HISTOAVRIL23!AK32+HISTOMAI23!AK32+HISTOJUIN23!AK32+HISTOJUIL23!AK32+HISTOAOUT23!AK32+HISTOSEPT23!AK32+HISTOOCT23!AK32+HISTONOV23!AK32+HISTODEC23!AK32</f>
        <v>0</v>
      </c>
      <c r="AL32" s="5">
        <f>HISTOJANV23!AL32+HISTOFEV23!AL32+HISTOMARS23!AL32+HISTOAVRIL23!AL32+HISTOMAI23!AL32+HISTOJUIN23!AL32+HISTOJUIL23!AL32+HISTOAOUT23!AL32+HISTOSEPT23!AL32+HISTOOCT23!AL32+HISTONOV23!AL32+HISTODEC23!AL32</f>
        <v>0</v>
      </c>
      <c r="AM32" s="5">
        <f>HISTOJANV23!AM32+HISTOFEV23!AM32+HISTOMARS23!AM32+HISTOAVRIL23!AM32+HISTOMAI23!AM32+HISTOJUIN23!AM32+HISTOJUIL23!AM32+HISTOAOUT23!AM32+HISTOSEPT23!AM32+HISTOOCT23!AM32+HISTONOV23!AM32+HISTODEC23!AM32</f>
        <v>9000</v>
      </c>
      <c r="AN32" s="5">
        <f>HISTOJANV23!AN32+HISTOFEV23!AN32+HISTOMARS23!AN32+HISTOAVRIL23!AN32+HISTOMAI23!AN32+HISTOJUIN23!AN32+HISTOJUIL23!AN32+HISTOAOUT23!AN32+HISTOSEPT23!AN32+HISTOOCT23!AN32+HISTONOV23!AN32+HISTODEC23!AN32</f>
        <v>0</v>
      </c>
      <c r="AO32" s="5">
        <f>HISTOJANV23!AO32+HISTOFEV23!AO32+HISTOMARS23!AO32+HISTOAVRIL23!AO32+HISTOMAI23!AO32+HISTOJUIN23!AO32+HISTOJUIL23!AO32+HISTOAOUT23!AO32+HISTOSEPT23!AO32+HISTOOCT23!AO32+HISTONOV23!AO32+HISTODEC23!AO32</f>
        <v>0</v>
      </c>
      <c r="AP32" s="5" t="e">
        <f>HISTOJANV23!AP32+HISTOFEV23!AP32+HISTOMARS23!AP32+HISTOAVRIL23!AP32+HISTOMAI23!AP32+HISTOJUIN23!AP32+HISTOJUIL23!AP32+HISTOAOUT23!AP32+HISTOSEPT23!AP32+HISTOOCT23!AP32+HISTONOV23!AP32+HISTODEC23!AP32</f>
        <v>#VALUE!</v>
      </c>
      <c r="AQ32" s="5">
        <f>HISTOJANV23!AQ32+HISTOFEV23!AQ32+HISTOMARS23!AQ32+HISTOAVRIL23!AQ32+HISTOMAI23!AQ32+HISTOJUIN23!AQ32+HISTOJUIL23!AQ32+HISTOAOUT23!AQ32+HISTOSEPT23!AQ32+HISTOOCT23!AQ32+HISTONOV23!AQ32+HISTODEC23!AQ32</f>
        <v>0</v>
      </c>
      <c r="AR32" s="5">
        <f>HISTOJANV23!AR32+HISTOFEV23!AR32+HISTOMARS23!AR32+HISTOAVRIL23!AR32+HISTOMAI23!AR32+HISTOJUIN23!AR32+HISTOJUIL23!AR32+HISTOAOUT23!AR32+HISTOSEPT23!AR32+HISTOOCT23!AR32+HISTONOV23!AR32+HISTODEC23!AR32</f>
        <v>0</v>
      </c>
      <c r="AS32" s="5">
        <f>HISTOJANV23!AS32+HISTOFEV23!AS32+HISTOMARS23!AS32+HISTOAVRIL23!AS32+HISTOMAI23!AS32+HISTOJUIN23!AS32+HISTOJUIL23!AS32+HISTOAOUT23!AS32+HISTOSEPT23!AS32+HISTOOCT23!AS32+HISTONOV23!AS32+HISTODEC23!AS32</f>
        <v>180000</v>
      </c>
      <c r="AT32" s="5">
        <f>HISTOJANV23!AT32+HISTOFEV23!AT32+HISTOMARS23!AT32+HISTOAVRIL23!AT32+HISTOMAI23!AT32+HISTOJUIN23!AT32+HISTOJUIL23!AT32+HISTOAOUT23!AT32+HISTOSEPT23!AT32+HISTOOCT23!AT32+HISTONOV23!AT32+HISTODEC23!AT32</f>
        <v>0</v>
      </c>
      <c r="AU32" s="5">
        <f>HISTOJANV23!AU32+HISTOFEV23!AU32+HISTOMARS23!AU32+HISTOAVRIL23!AU32+HISTOMAI23!AU32+HISTOJUIN23!AU32+HISTOJUIL23!AU32+HISTOAOUT23!AU32+HISTOSEPT23!AU32+HISTOOCT23!AU32+HISTONOV23!AU32+HISTODEC23!AU32</f>
        <v>0</v>
      </c>
      <c r="AV32" s="5">
        <f>HISTOJANV23!AV32+HISTOFEV23!AV32+HISTOMARS23!AV32+HISTOAVRIL23!AV32+HISTOMAI23!AV32+HISTOJUIN23!AV32+HISTOJUIL23!AV32+HISTOAOUT23!AV32+HISTOSEPT23!AV32+HISTOOCT23!AV32+HISTONOV23!AV32+HISTODEC23!AV32</f>
        <v>0</v>
      </c>
      <c r="AW32" s="5">
        <f>HISTOJANV23!AW32+HISTOFEV23!AW32+HISTOMARS23!AW32+HISTOAVRIL23!AW32+HISTOMAI23!AW32+HISTOJUIN23!AW32+HISTOJUIL23!AW32+HISTOAOUT23!AW32+HISTOSEPT23!AW32+HISTOOCT23!AW32+HISTONOV23!AW32+HISTODEC23!AW32</f>
        <v>297500</v>
      </c>
      <c r="AX32" s="5">
        <f>HISTOJANV23!AX32+HISTOFEV23!AX32+HISTOMARS23!AX32+HISTOAVRIL23!AX32+HISTOMAI23!AX32+HISTOJUIN23!AX32+HISTOJUIL23!AX32+HISTOAOUT23!AX32+HISTOSEPT23!AX32+HISTOOCT23!AX32+HISTONOV23!AX32+HISTODEC23!AX32</f>
        <v>588000</v>
      </c>
      <c r="AY32" s="5">
        <f>HISTOJANV23!AY32+HISTOFEV23!AY32+HISTOMARS23!AY32+HISTOAVRIL23!AY32+HISTOMAI23!AY32+HISTOJUIN23!AY32+HISTOJUIL23!AY32+HISTOAOUT23!AY32+HISTOSEPT23!AY32+HISTOOCT23!AY32+HISTONOV23!AY32+HISTODEC23!AY32</f>
        <v>0</v>
      </c>
      <c r="AZ32" s="5">
        <f>HISTOJANV23!AZ32+HISTOFEV23!AZ32+HISTOMARS23!AZ32+HISTOAVRIL23!AZ32+HISTOMAI23!AZ32+HISTOJUIN23!AZ32+HISTOJUIL23!AZ32+HISTOAOUT23!AZ32+HISTOSEPT23!AZ32+HISTOOCT23!AZ32+HISTONOV23!AZ32+HISTODEC23!AZ32</f>
        <v>1567500</v>
      </c>
      <c r="BA32" s="5">
        <f>HISTOJANV23!BA32+HISTOFEV23!BA32+HISTOMARS23!BA32+HISTOAVRIL23!BA32+HISTOMAI23!BA32+HISTOJUIN23!BA32+HISTOJUIL23!BA32+HISTOAOUT23!BA32+HISTOSEPT23!BA32+HISTOOCT23!BA32+HISTONOV23!BA32+HISTODEC23!BA32</f>
        <v>261500</v>
      </c>
      <c r="BB32" s="5">
        <f>HISTOJANV23!BB32+HISTOFEV23!BB32+HISTOMARS23!BB32+HISTOAVRIL23!BB32+HISTOMAI23!BB32+HISTOJUIN23!BB32+HISTOJUIL23!BB32+HISTOAOUT23!BB32+HISTOSEPT23!BB32+HISTOOCT23!BB32+HISTONOV23!BB32+HISTODEC23!BB32</f>
        <v>70000</v>
      </c>
      <c r="BC32" s="5">
        <f>HISTOJANV23!BC32+HISTOFEV23!BC32+HISTOMARS23!BC32+HISTOAVRIL23!BC32+HISTOMAI23!BC32+HISTOJUIN23!BC32+HISTOJUIL23!BC32+HISTOAOUT23!BC32+HISTOSEPT23!BC32+HISTOOCT23!BC32+HISTONOV23!BC32+HISTODEC23!BC32</f>
        <v>0</v>
      </c>
      <c r="BD32" s="5">
        <f>HISTOJANV23!BD32+HISTOFEV23!BD32+HISTOMARS23!BD32+HISTOAVRIL23!BD32+HISTOMAI23!BD32+HISTOJUIN23!BD32+HISTOJUIL23!BD32+HISTOAOUT23!BD32+HISTOSEPT23!BD32+HISTOOCT23!BD32+HISTONOV23!BD32+HISTODEC23!BD32</f>
        <v>1306000</v>
      </c>
      <c r="BE32" s="82" t="e">
        <f>HISTOJANV23!BE32+HISTOFEV23!BE32+HISTOMARS23!BE32+HISTOAVRIL23!BE32+HISTOMAI23!BE32+HISTOJUIN23!BE32+HISTOJUIL23!BE32+HISTOAOUT23!BE32+HISTOSEPT23!BE32+HISTOOCT23!BE32+HISTONOV23!BE32+HISTODEC23!BE32</f>
        <v>#VALUE!</v>
      </c>
      <c r="BF32" s="5">
        <f>HISTOJANV23!BF32+HISTOFEV23!BF32+HISTOMARS23!BF32+HISTOAVRIL23!BF32+HISTOMAI23!BF32+HISTOJUIN23!BF32+HISTOJUIL23!BF32+HISTOAOUT23!BF32+HISTOSEPT23!BF32+HISTOOCT23!BF32+HISTONOV23!BF32+HISTODEC23!BF32</f>
        <v>48000</v>
      </c>
      <c r="BG32" s="5">
        <f>HISTOJANV23!BG32+HISTOFEV23!BG32+HISTOMARS23!BG32+HISTOAVRIL23!BG32+HISTOMAI23!BG32+HISTOJUIN23!BG32+HISTOJUIL23!BG32+HISTOAOUT23!BG32+HISTOSEPT23!BG32+HISTOOCT23!BG32+HISTONOV23!BG32+HISTODEC23!BG32</f>
        <v>70</v>
      </c>
      <c r="BH32" s="5">
        <f>HISTOJANV23!BH32+HISTOFEV23!BH32+HISTOMARS23!BH32+HISTOAVRIL23!BH32+HISTOMAI23!BH32+HISTOJUIN23!BH32+HISTOJUIL23!BH32+HISTOAOUT23!BH32+HISTOSEPT23!BH32+HISTOOCT23!BH32+HISTONOV23!BH32+HISTODEC23!BH32</f>
        <v>0</v>
      </c>
      <c r="BI32" s="5">
        <f>HISTOJANV23!BI32+HISTOFEV23!BI32+HISTOMARS23!BI32+HISTOAVRIL23!BI32+HISTOMAI23!BI32+HISTOJUIN23!BI32+HISTOJUIL23!BI32+HISTOAOUT23!BI32+HISTOSEPT23!BI32+HISTOOCT23!BI32+HISTONOV23!BI32+HISTODEC23!BI32</f>
        <v>0</v>
      </c>
      <c r="BJ32" s="5">
        <f>HISTOJANV23!BJ32+HISTOFEV23!BJ32+HISTOMARS23!BJ32+HISTOAVRIL23!BJ32+HISTOMAI23!BJ32+HISTOJUIN23!BJ32+HISTOJUIL23!BJ32+HISTOAOUT23!BJ32+HISTOSEPT23!BJ32+HISTOOCT23!BJ32+HISTONOV23!BJ32+HISTODEC23!BJ32</f>
        <v>0</v>
      </c>
      <c r="BK32" s="5">
        <f>HISTOJANV23!BK32+HISTOFEV23!BK32+HISTOMARS23!BK32+HISTOAVRIL23!BK32+HISTOMAI23!BK32+HISTOJUIN23!BK32+HISTOJUIL23!BK32+HISTOAOUT23!BK32+HISTOSEPT23!BK32+HISTOOCT23!BK32+HISTONOV23!BK32+HISTODEC23!BK32</f>
        <v>100000</v>
      </c>
      <c r="BL32" s="5">
        <f>HISTOJANV23!BL32+HISTOFEV23!BL32+HISTOMARS23!BL32+HISTOAVRIL23!BL32+HISTOMAI23!BL32+HISTOJUIN23!BL32+HISTOJUIL23!BL32+HISTOAOUT23!BL32+HISTOSEPT23!BL32+HISTOOCT23!BL32+HISTONOV23!BL32+HISTODEC23!BL32</f>
        <v>0</v>
      </c>
      <c r="BM32" s="5">
        <f>HISTOJANV23!BM32+HISTOFEV23!BM32+HISTOMARS23!BM32+HISTOAVRIL23!BM32+HISTOMAI23!BM32+HISTOJUIN23!BM32+HISTOJUIL23!BM32+HISTOAOUT23!BM32+HISTOSEPT23!BM32+HISTOOCT23!BM32+HISTONOV23!BM32+HISTODEC23!BM32</f>
        <v>0</v>
      </c>
    </row>
    <row r="33" spans="1:68" ht="18.75" x14ac:dyDescent="0.3">
      <c r="A33" s="1" t="s">
        <v>157</v>
      </c>
      <c r="B33" s="1" t="str">
        <f>VLOOKUP(A33,[17]LISTADHERENT!A$5:H$39,3,0)</f>
        <v>TCHOUTOU NANA CLAUDE</v>
      </c>
      <c r="C33" s="5">
        <f>HISTOJANV23!C33+HISTOFEV23!C33+HISTOMARS23!C33+HISTOAVRIL23!C33+HISTOMAI23!C33+HISTOJUIN23!C33+HISTOJUIL23!C33+HISTOAOUT23!C33+HISTOSEPT23!C33+HISTOOCT23!C33+HISTONOV23!C33+HISTODEC23!C33</f>
        <v>117000</v>
      </c>
      <c r="D33" s="5">
        <f>HISTOJANV23!D33+HISTOFEV23!D33+HISTOMARS23!D33+HISTOAVRIL23!D33+HISTOMAI23!D33+HISTOJUIN23!D33+HISTOJUIL23!D33+HISTOAOUT23!D33+HISTOSEPT23!D33+HISTOOCT23!D33+HISTONOV23!D33+HISTODEC23!D33</f>
        <v>450000</v>
      </c>
      <c r="E33" s="5">
        <f>HISTOJANV23!E33+HISTOFEV23!E33+HISTOMARS23!E33+HISTOAVRIL23!E33+HISTOMAI23!E33+HISTOJUIN23!E33+HISTOJUIL23!E33+HISTOAOUT23!E33+HISTOSEPT23!E33+HISTOOCT23!E33+HISTONOV23!E33+HISTODEC23!E33</f>
        <v>163000</v>
      </c>
      <c r="F33" s="5">
        <f>HISTOJANV23!F33+HISTOFEV23!F33+HISTOMARS23!F33+HISTOAVRIL23!F33+HISTOMAI23!F33+HISTOJUIN23!F33+HISTOJUIL23!F33+HISTOAOUT23!F33+HISTOSEPT23!F33+HISTOOCT23!F33+HISTONOV23!F33+HISTODEC23!F33</f>
        <v>0</v>
      </c>
      <c r="G33" s="5">
        <f>HISTOJANV23!G33+HISTOFEV23!G33+HISTOMARS23!G33+HISTOAVRIL23!G33+HISTOMAI23!G33+HISTOJUIN23!G33+HISTOJUIL23!G33+HISTOAOUT23!G33+HISTOSEPT23!G33+HISTOOCT23!G33+HISTONOV23!G33+HISTODEC23!G33</f>
        <v>18000</v>
      </c>
      <c r="H33" s="10" t="str">
        <f t="shared" si="0"/>
        <v>BANQUE</v>
      </c>
      <c r="I33" s="5">
        <f>HISTOJANV23!I33+HISTOFEV23!I33+HISTOMARS23!I33+HISTOAVRIL23!I33+HISTOMAI23!I33+HISTOJUIN23!I33+HISTOJUIL23!I33+HISTOAOUT23!I33+HISTOSEPT23!I33+HISTOOCT23!I33+HISTONOV23!I33+HISTODEC23!I33</f>
        <v>-2000</v>
      </c>
      <c r="J33" s="5">
        <f>HISTOJANV23!J33+HISTOFEV23!J33+HISTOMARS23!J33+HISTOAVRIL23!J33+HISTOMAI23!J33+HISTOJUIN23!J33+HISTOJUIL23!J33+HISTOAOUT23!J33+HISTOSEPT23!J33+HISTOOCT23!J33+HISTONOV23!J33+HISTODEC23!J33</f>
        <v>12</v>
      </c>
      <c r="K33" s="5">
        <f>HISTOJANV23!K33+HISTOFEV23!K33+HISTOMARS23!K33+HISTOAVRIL23!K33+HISTOMAI23!K33+HISTOJUIN23!K33+HISTOJUIL23!K33+HISTOAOUT23!K33+HISTOSEPT23!K33+HISTOOCT23!K33+HISTONOV23!K33+HISTODEC23!K33</f>
        <v>480000</v>
      </c>
      <c r="L33" s="5">
        <f>HISTOJANV23!L33+HISTOFEV23!L33+HISTOMARS23!L33+HISTOAVRIL23!L33+HISTOMAI23!L33+HISTOJUIN23!L33+HISTOJUIL23!L33+HISTOAOUT23!L33+HISTOSEPT23!L33+HISTOOCT23!L33+HISTONOV23!L33+HISTODEC23!L33</f>
        <v>0</v>
      </c>
      <c r="M33" s="5">
        <f>HISTOJANV23!M33+HISTOFEV23!M33+HISTOMARS23!M33+HISTOAVRIL23!M33+HISTOMAI23!M33+HISTOJUIN23!M33+HISTOJUIL23!M33+HISTOAOUT23!M33+HISTOSEPT23!M33+HISTOOCT23!M33+HISTONOV23!M33+HISTODEC23!M33</f>
        <v>0</v>
      </c>
      <c r="N33" s="5">
        <f>HISTOJANV23!N33+HISTOFEV23!N33+HISTOMARS23!N33+HISTOAVRIL23!N33+HISTOMAI23!N33+HISTOJUIN23!N33+HISTOJUIL23!N33+HISTOAOUT23!N33+HISTOSEPT23!N33+HISTOOCT23!N33+HISTONOV23!N33+HISTODEC23!N33</f>
        <v>0</v>
      </c>
      <c r="O33" s="5">
        <f>HISTOJANV23!O33+HISTOFEV23!O33+HISTOMARS23!O33+HISTOAVRIL23!O33+HISTOMAI23!O33+HISTOJUIN23!O33+HISTOJUIL23!O33+HISTOAOUT23!O33+HISTOSEPT23!O33+HISTOOCT23!O33+HISTONOV23!O33+HISTODEC23!O33</f>
        <v>0</v>
      </c>
      <c r="P33" s="5">
        <f>HISTOJANV23!P33+HISTOFEV23!P33+HISTOMARS23!P33+HISTOAVRIL23!P33+HISTOMAI23!P33+HISTOJUIN23!P33+HISTOJUIL23!P33+HISTOAOUT23!P33+HISTOSEPT23!P33+HISTOOCT23!P33+HISTONOV23!P33+HISTODEC23!P33</f>
        <v>0</v>
      </c>
      <c r="Q33" s="5">
        <f>HISTOJANV23!Q33+HISTOFEV23!Q33+HISTOMARS23!Q33+HISTOAVRIL23!Q33+HISTOMAI23!Q33+HISTOJUIN23!Q33+HISTOJUIL23!Q33+HISTOAOUT23!Q33+HISTOSEPT23!Q33+HISTOOCT23!Q33+HISTONOV23!Q33+HISTODEC23!Q33</f>
        <v>0</v>
      </c>
      <c r="R33" s="5">
        <f>HISTOJANV23!R33+HISTOFEV23!R33+HISTOMARS23!R33+HISTOAVRIL23!R33+HISTOMAI23!R33+HISTOJUIN23!R33+HISTOJUIL23!R33+HISTOAOUT23!R33+HISTOSEPT23!R33+HISTOOCT23!R33+HISTONOV23!R33+HISTODEC23!R33</f>
        <v>0</v>
      </c>
      <c r="S33" s="5">
        <f>HISTOJANV23!S33+HISTOFEV23!S33+HISTOMARS23!S33+HISTOAVRIL23!S33+HISTOMAI23!S33+HISTOJUIN23!S33+HISTOJUIL23!S33+HISTOAOUT23!S33+HISTOSEPT23!S33+HISTOOCT23!S33+HISTONOV23!S33+HISTODEC23!S33</f>
        <v>0</v>
      </c>
      <c r="T33" s="5">
        <f>HISTOJANV23!T33+HISTOFEV23!T33+HISTOMARS23!T33+HISTOAVRIL23!T33+HISTOMAI23!T33+HISTOJUIN23!T33+HISTOJUIL23!T33+HISTOAOUT23!T33+HISTOSEPT23!T33+HISTOOCT23!T33+HISTONOV23!T33+HISTODEC23!T33</f>
        <v>0</v>
      </c>
      <c r="U33" s="17">
        <f t="shared" si="1"/>
        <v>496000</v>
      </c>
      <c r="V33" s="5">
        <f>HISTOJANV23!V33+HISTOFEV23!V33+HISTOMARS23!V33+HISTOAVRIL23!V33+HISTOMAI23!V33+HISTOJUIN23!V33+HISTOJUIL23!V33+HISTOAOUT23!V33+HISTOSEPT23!V33+HISTOOCT23!V33+HISTONOV23!V33+HISTODEC23!V33</f>
        <v>0</v>
      </c>
      <c r="W33" s="5">
        <f>HISTOJANV23!W33+HISTOFEV23!W33+HISTOMARS23!W33+HISTOAVRIL23!W33+HISTOMAI23!W33+HISTOJUIN23!W33+HISTOJUIL23!W33+HISTOAOUT23!W33+HISTOSEPT23!W33+HISTOOCT23!W33+HISTONOV23!W33+HISTODEC23!W33</f>
        <v>0</v>
      </c>
      <c r="X33" s="5">
        <f>HISTOJANV23!X33+HISTOFEV23!X33+HISTOMARS23!X33+HISTOAVRIL23!X33+HISTOMAI23!X33+HISTOJUIN23!X33+HISTOJUIL23!X33+HISTOAOUT23!X33+HISTOSEPT23!X33+HISTOOCT23!X33+HISTONOV23!X33+HISTODEC23!X33</f>
        <v>0</v>
      </c>
      <c r="Y33" s="5">
        <f>HISTOJANV23!Y33+HISTOFEV23!Y33+HISTOMARS23!Y33+HISTOAVRIL23!Y33+HISTOMAI23!Y33+HISTOJUIN23!Y33+HISTOJUIL23!Y33+HISTOAOUT23!Y33+HISTOSEPT23!Y33+HISTOOCT23!Y33+HISTONOV23!Y33+HISTODEC23!Y33</f>
        <v>0</v>
      </c>
      <c r="Z33" s="5">
        <f>HISTOJANV23!Z33+HISTOFEV23!Z33+HISTOMARS23!Z33+HISTOAVRIL23!Z33+HISTOMAI23!Z33+HISTOJUIN23!Z33+HISTOJUIL23!Z33+HISTOAOUT23!Z33+HISTOSEPT23!Z33+HISTOOCT23!Z33+HISTONOV23!Z33+HISTODEC23!Z33</f>
        <v>0</v>
      </c>
      <c r="AA33" s="5">
        <f>HISTOJANV23!AA33+HISTOFEV23!AA33+HISTOMARS23!AA33+HISTOAVRIL23!AA33+HISTOMAI23!AA33+HISTOJUIN23!AA33+HISTOJUIL23!AA33+HISTOAOUT23!AA33+HISTOSEPT23!AA33+HISTOOCT23!AA33+HISTONOV23!AA33+HISTODEC23!AA33</f>
        <v>0</v>
      </c>
      <c r="AB33" s="5">
        <f>HISTOJANV23!AB33+HISTOFEV23!AB33+HISTOMARS23!AB33+HISTOAVRIL23!AB33+HISTOMAI23!AB33+HISTOJUIN23!AB33+HISTOJUIL23!AB33+HISTOAOUT23!AB33+HISTOSEPT23!AB33+HISTOOCT23!AB33+HISTONOV23!AB33+HISTODEC23!AB33</f>
        <v>0</v>
      </c>
      <c r="AC33" s="5">
        <f>HISTOJANV23!AC33+HISTOFEV23!AC33+HISTOMARS23!AC33+HISTOAVRIL23!AC33+HISTOMAI23!AC33+HISTOJUIN23!AC33+HISTOJUIL23!AC33+HISTOAOUT23!AC33+HISTOSEPT23!AC33+HISTOOCT23!AC33+HISTONOV23!AC33+HISTODEC23!AC33</f>
        <v>2500</v>
      </c>
      <c r="AD33" s="5">
        <f>HISTOJANV23!AD33+HISTOFEV23!AD33+HISTOMARS23!AD33+HISTOAVRIL23!AD33+HISTOMAI23!AD33+HISTOJUIN23!AD33+HISTOJUIL23!AD33+HISTOAOUT23!AD33+HISTOSEPT23!AD33+HISTOOCT23!AD33+HISTONOV23!AD33+HISTODEC23!AD33</f>
        <v>0</v>
      </c>
      <c r="AE33" s="5">
        <f>HISTOJANV23!AE33+HISTOFEV23!AE33+HISTOMARS23!AE33+HISTOAVRIL23!AE33+HISTOMAI23!AE33+HISTOJUIN23!AE33+HISTOJUIL23!AE33+HISTOAOUT23!AE33+HISTOSEPT23!AE33+HISTOOCT23!AE33+HISTONOV23!AE33+HISTODEC23!AE33</f>
        <v>0</v>
      </c>
      <c r="AF33" s="5">
        <f>HISTOJANV23!AF33+HISTOFEV23!AF33+HISTOMARS23!AF33+HISTOAVRIL23!AF33+HISTOMAI23!AF33+HISTOJUIN23!AF33+HISTOJUIL23!AF33+HISTOAOUT23!AF33+HISTOSEPT23!AF33+HISTOOCT23!AF33+HISTONOV23!AF33+HISTODEC23!AF33</f>
        <v>0</v>
      </c>
      <c r="AG33" s="5">
        <f>HISTOJANV23!AG33+HISTOFEV23!AG33+HISTOMARS23!AG33+HISTOAVRIL23!AG33+HISTOMAI23!AG33+HISTOJUIN23!AG33+HISTOJUIL23!AG33+HISTOAOUT23!AG33+HISTOSEPT23!AG33+HISTOOCT23!AG33+HISTONOV23!AG33+HISTODEC23!AG33</f>
        <v>0</v>
      </c>
      <c r="AH33" s="5">
        <f>HISTOJANV23!AH33+HISTOFEV23!AH33+HISTOMARS23!AH33+HISTOAVRIL23!AH33+HISTOMAI23!AH33+HISTOJUIN23!AH33+HISTOJUIL23!AH33+HISTOAOUT23!AH33+HISTOSEPT23!AH33+HISTOOCT23!AH33+HISTONOV23!AH33+HISTODEC23!AH33</f>
        <v>0</v>
      </c>
      <c r="AI33" s="5">
        <f>HISTOJANV23!AI33+HISTOFEV23!AI33+HISTOMARS23!AI33+HISTOAVRIL23!AI33+HISTOMAI23!AI33+HISTOJUIN23!AI33+HISTOJUIL23!AI33+HISTOAOUT23!AI33+HISTOSEPT23!AI33+HISTOOCT23!AI33+HISTONOV23!AI33+HISTODEC23!AI33</f>
        <v>0</v>
      </c>
      <c r="AJ33" s="5">
        <f>HISTOJANV23!AJ33+HISTOFEV23!AJ33+HISTOMARS23!AJ33+HISTOAVRIL23!AJ33+HISTOMAI23!AJ33+HISTOJUIN23!AJ33+HISTOJUIL23!AJ33+HISTOAOUT23!AJ33+HISTOSEPT23!AJ33+HISTOOCT23!AJ33+HISTONOV23!AJ33+HISTODEC23!AJ33</f>
        <v>0</v>
      </c>
      <c r="AK33" s="5">
        <f>HISTOJANV23!AK33+HISTOFEV23!AK33+HISTOMARS23!AK33+HISTOAVRIL23!AK33+HISTOMAI23!AK33+HISTOJUIN23!AK33+HISTOJUIL23!AK33+HISTOAOUT23!AK33+HISTOSEPT23!AK33+HISTOOCT23!AK33+HISTONOV23!AK33+HISTODEC23!AK33</f>
        <v>0</v>
      </c>
      <c r="AL33" s="5">
        <f>HISTOJANV23!AL33+HISTOFEV23!AL33+HISTOMARS23!AL33+HISTOAVRIL23!AL33+HISTOMAI23!AL33+HISTOJUIN23!AL33+HISTOJUIL23!AL33+HISTOAOUT23!AL33+HISTOSEPT23!AL33+HISTOOCT23!AL33+HISTONOV23!AL33+HISTODEC23!AL33</f>
        <v>0</v>
      </c>
      <c r="AM33" s="5">
        <f>HISTOJANV23!AM33+HISTOFEV23!AM33+HISTOMARS23!AM33+HISTOAVRIL23!AM33+HISTOMAI23!AM33+HISTOJUIN23!AM33+HISTOJUIL23!AM33+HISTOAOUT23!AM33+HISTOSEPT23!AM33+HISTOOCT23!AM33+HISTONOV23!AM33+HISTODEC23!AM33</f>
        <v>0</v>
      </c>
      <c r="AN33" s="5">
        <f>HISTOJANV23!AN33+HISTOFEV23!AN33+HISTOMARS23!AN33+HISTOAVRIL23!AN33+HISTOMAI23!AN33+HISTOJUIN23!AN33+HISTOJUIL23!AN33+HISTOAOUT23!AN33+HISTOSEPT23!AN33+HISTOOCT23!AN33+HISTONOV23!AN33+HISTODEC23!AN33</f>
        <v>0</v>
      </c>
      <c r="AO33" s="5">
        <f>HISTOJANV23!AO33+HISTOFEV23!AO33+HISTOMARS23!AO33+HISTOAVRIL23!AO33+HISTOMAI23!AO33+HISTOJUIN23!AO33+HISTOJUIL23!AO33+HISTOAOUT23!AO33+HISTOSEPT23!AO33+HISTOOCT23!AO33+HISTONOV23!AO33+HISTODEC23!AO33</f>
        <v>0</v>
      </c>
      <c r="AP33" s="5">
        <f>HISTOJANV23!AP33+HISTOFEV23!AP33+HISTOMARS23!AP33+HISTOAVRIL23!AP33+HISTOMAI23!AP33+HISTOJUIN23!AP33+HISTOJUIL23!AP33+HISTOAOUT23!AP33+HISTOSEPT23!AP33+HISTOOCT23!AP33+HISTONOV23!AP33+HISTODEC23!AP33</f>
        <v>0</v>
      </c>
      <c r="AQ33" s="5">
        <f>HISTOJANV23!AQ33+HISTOFEV23!AQ33+HISTOMARS23!AQ33+HISTOAVRIL23!AQ33+HISTOMAI23!AQ33+HISTOJUIN23!AQ33+HISTOJUIL23!AQ33+HISTOAOUT23!AQ33+HISTOSEPT23!AQ33+HISTOOCT23!AQ33+HISTONOV23!AQ33+HISTODEC23!AQ33</f>
        <v>0</v>
      </c>
      <c r="AR33" s="5">
        <f>HISTOJANV23!AR33+HISTOFEV23!AR33+HISTOMARS23!AR33+HISTOAVRIL23!AR33+HISTOMAI23!AR33+HISTOJUIN23!AR33+HISTOJUIL23!AR33+HISTOAOUT23!AR33+HISTOSEPT23!AR33+HISTOOCT23!AR33+HISTONOV23!AR33+HISTODEC23!AR33</f>
        <v>0</v>
      </c>
      <c r="AS33" s="5">
        <f>HISTOJANV23!AS33+HISTOFEV23!AS33+HISTOMARS23!AS33+HISTOAVRIL23!AS33+HISTOMAI23!AS33+HISTOJUIN23!AS33+HISTOJUIL23!AS33+HISTOAOUT23!AS33+HISTOSEPT23!AS33+HISTOOCT23!AS33+HISTONOV23!AS33+HISTODEC23!AS33</f>
        <v>175000</v>
      </c>
      <c r="AT33" s="5">
        <f>HISTOJANV23!AT33+HISTOFEV23!AT33+HISTOMARS23!AT33+HISTOAVRIL23!AT33+HISTOMAI23!AT33+HISTOJUIN23!AT33+HISTOJUIL23!AT33+HISTOAOUT23!AT33+HISTOSEPT23!AT33+HISTOOCT23!AT33+HISTONOV23!AT33+HISTODEC23!AT33</f>
        <v>0</v>
      </c>
      <c r="AU33" s="5">
        <f>HISTOJANV23!AU33+HISTOFEV23!AU33+HISTOMARS23!AU33+HISTOAVRIL23!AU33+HISTOMAI23!AU33+HISTOJUIN23!AU33+HISTOJUIL23!AU33+HISTOAOUT23!AU33+HISTOSEPT23!AU33+HISTOOCT23!AU33+HISTONOV23!AU33+HISTODEC23!AU33</f>
        <v>0</v>
      </c>
      <c r="AV33" s="5">
        <f>HISTOJANV23!AV33+HISTOFEV23!AV33+HISTOMARS23!AV33+HISTOAVRIL23!AV33+HISTOMAI23!AV33+HISTOJUIN23!AV33+HISTOJUIL23!AV33+HISTOAOUT23!AV33+HISTOSEPT23!AV33+HISTOOCT23!AV33+HISTONOV23!AV33+HISTODEC23!AV33</f>
        <v>0</v>
      </c>
      <c r="AW33" s="5">
        <f>HISTOJANV23!AW33+HISTOFEV23!AW33+HISTOMARS23!AW33+HISTOAVRIL23!AW33+HISTOMAI23!AW33+HISTOJUIN23!AW33+HISTOJUIL23!AW33+HISTOAOUT23!AW33+HISTOSEPT23!AW33+HISTOOCT23!AW33+HISTONOV23!AW33+HISTODEC23!AW33</f>
        <v>297500</v>
      </c>
      <c r="AX33" s="5">
        <f>HISTOJANV23!AX33+HISTOFEV23!AX33+HISTOMARS23!AX33+HISTOAVRIL23!AX33+HISTOMAI23!AX33+HISTOJUIN23!AX33+HISTOJUIL23!AX33+HISTOAOUT23!AX33+HISTOSEPT23!AX33+HISTOOCT23!AX33+HISTONOV23!AX33+HISTODEC23!AX33</f>
        <v>0</v>
      </c>
      <c r="AY33" s="5">
        <f>HISTOJANV23!AY33+HISTOFEV23!AY33+HISTOMARS23!AY33+HISTOAVRIL23!AY33+HISTOMAI23!AY33+HISTOJUIN23!AY33+HISTOJUIL23!AY33+HISTOAOUT23!AY33+HISTOSEPT23!AY33+HISTOOCT23!AY33+HISTONOV23!AY33+HISTODEC23!AY33</f>
        <v>0</v>
      </c>
      <c r="AZ33" s="5">
        <f>HISTOJANV23!AZ33+HISTOFEV23!AZ33+HISTOMARS23!AZ33+HISTOAVRIL23!AZ33+HISTOMAI23!AZ33+HISTOJUIN23!AZ33+HISTOJUIL23!AZ33+HISTOAOUT23!AZ33+HISTOSEPT23!AZ33+HISTOOCT23!AZ33+HISTONOV23!AZ33+HISTODEC23!AZ33</f>
        <v>297500</v>
      </c>
      <c r="BA33" s="5">
        <f>HISTOJANV23!BA33+HISTOFEV23!BA33+HISTOMARS23!BA33+HISTOAVRIL23!BA33+HISTOMAI23!BA33+HISTOJUIN23!BA33+HISTOJUIL23!BA33+HISTOAOUT23!BA33+HISTOSEPT23!BA33+HISTOOCT23!BA33+HISTONOV23!BA33+HISTODEC23!BA33</f>
        <v>0</v>
      </c>
      <c r="BB33" s="5">
        <f>HISTOJANV23!BB33+HISTOFEV23!BB33+HISTOMARS23!BB33+HISTOAVRIL23!BB33+HISTOMAI23!BB33+HISTOJUIN23!BB33+HISTOJUIL23!BB33+HISTOAOUT23!BB33+HISTOSEPT23!BB33+HISTOOCT23!BB33+HISTONOV23!BB33+HISTODEC23!BB33</f>
        <v>70000</v>
      </c>
      <c r="BC33" s="5">
        <f>HISTOJANV23!BC33+HISTOFEV23!BC33+HISTOMARS23!BC33+HISTOAVRIL23!BC33+HISTOMAI23!BC33+HISTOJUIN23!BC33+HISTOJUIL23!BC33+HISTOAOUT23!BC33+HISTOSEPT23!BC33+HISTOOCT23!BC33+HISTONOV23!BC33+HISTODEC23!BC33</f>
        <v>0</v>
      </c>
      <c r="BD33" s="5">
        <f>HISTOJANV23!BD33+HISTOFEV23!BD33+HISTOMARS23!BD33+HISTOAVRIL23!BD33+HISTOMAI23!BD33+HISTOJUIN23!BD33+HISTOJUIL23!BD33+HISTOAOUT23!BD33+HISTOSEPT23!BD33+HISTOOCT23!BD33+HISTONOV23!BD33+HISTODEC23!BD33</f>
        <v>176000</v>
      </c>
      <c r="BE33" s="82">
        <f>HISTOJANV23!BE33+HISTOFEV23!BE33+HISTOMARS23!BE33+HISTOAVRIL23!BE33+HISTOMAI23!BE33+HISTOJUIN23!BE33+HISTOJUIL23!BE33+HISTOAOUT23!BE33+HISTOSEPT23!BE33+HISTOOCT23!BE33+HISTONOV23!BE33+HISTODEC23!BE33</f>
        <v>0</v>
      </c>
      <c r="BF33" s="5">
        <f>HISTOJANV23!BF33+HISTOFEV23!BF33+HISTOMARS23!BF33+HISTOAVRIL23!BF33+HISTOMAI23!BF33+HISTOJUIN23!BF33+HISTOJUIL23!BF33+HISTOAOUT23!BF33+HISTOSEPT23!BF33+HISTOOCT23!BF33+HISTONOV23!BF33+HISTODEC23!BF33</f>
        <v>0</v>
      </c>
      <c r="BG33" s="5">
        <f>HISTOJANV23!BG33+HISTOFEV23!BG33+HISTOMARS23!BG33+HISTOAVRIL23!BG33+HISTOMAI23!BG33+HISTOJUIN23!BG33+HISTOJUIL23!BG33+HISTOAOUT23!BG33+HISTOSEPT23!BG33+HISTOOCT23!BG33+HISTONOV23!BG33+HISTODEC23!BG33</f>
        <v>78</v>
      </c>
      <c r="BH33" s="5">
        <f>HISTOJANV23!BH33+HISTOFEV23!BH33+HISTOMARS23!BH33+HISTOAVRIL23!BH33+HISTOMAI23!BH33+HISTOJUIN23!BH33+HISTOJUIL23!BH33+HISTOAOUT23!BH33+HISTOSEPT23!BH33+HISTOOCT23!BH33+HISTONOV23!BH33+HISTODEC23!BH33</f>
        <v>0</v>
      </c>
      <c r="BI33" s="5">
        <f>HISTOJANV23!BI33+HISTOFEV23!BI33+HISTOMARS23!BI33+HISTOAVRIL23!BI33+HISTOMAI23!BI33+HISTOJUIN23!BI33+HISTOJUIL23!BI33+HISTOAOUT23!BI33+HISTOSEPT23!BI33+HISTOOCT23!BI33+HISTONOV23!BI33+HISTODEC23!BI33</f>
        <v>0</v>
      </c>
      <c r="BJ33" s="5">
        <f>HISTOJANV23!BJ33+HISTOFEV23!BJ33+HISTOMARS23!BJ33+HISTOAVRIL23!BJ33+HISTOMAI23!BJ33+HISTOJUIN23!BJ33+HISTOJUIL23!BJ33+HISTOAOUT23!BJ33+HISTOSEPT23!BJ33+HISTOOCT23!BJ33+HISTONOV23!BJ33+HISTODEC23!BJ33</f>
        <v>0</v>
      </c>
      <c r="BK33" s="5">
        <f>HISTOJANV23!BK33+HISTOFEV23!BK33+HISTOMARS23!BK33+HISTOAVRIL23!BK33+HISTOMAI23!BK33+HISTOJUIN23!BK33+HISTOJUIL23!BK33+HISTOAOUT23!BK33+HISTOSEPT23!BK33+HISTOOCT23!BK33+HISTONOV23!BK33+HISTODEC23!BK33</f>
        <v>0</v>
      </c>
      <c r="BL33" s="5">
        <f>HISTOJANV23!BL33+HISTOFEV23!BL33+HISTOMARS23!BL33+HISTOAVRIL23!BL33+HISTOMAI23!BL33+HISTOJUIN23!BL33+HISTOJUIL23!BL33+HISTOAOUT23!BL33+HISTOSEPT23!BL33+HISTOOCT23!BL33+HISTONOV23!BL33+HISTODEC23!BL33</f>
        <v>0</v>
      </c>
      <c r="BM33" s="5">
        <f>HISTOJANV23!BM33+HISTOFEV23!BM33+HISTOMARS23!BM33+HISTOAVRIL23!BM33+HISTOMAI23!BM33+HISTOJUIN23!BM33+HISTOJUIL23!BM33+HISTOAOUT23!BM33+HISTOSEPT23!BM33+HISTOOCT23!BM33+HISTONOV23!BM33+HISTODEC23!BM33</f>
        <v>0</v>
      </c>
      <c r="BN33" s="62" t="s">
        <v>142</v>
      </c>
      <c r="BP33" s="62">
        <f>SUM(BP30:BP32)</f>
        <v>1320000</v>
      </c>
    </row>
    <row r="34" spans="1:68" ht="18.75" x14ac:dyDescent="0.3">
      <c r="A34" s="21" t="s">
        <v>160</v>
      </c>
      <c r="B34" s="1" t="str">
        <f>VLOOKUP(A34,[17]LISTADHERENT!A$5:H$39,3,0)</f>
        <v>YANTCHOU GERVAIS</v>
      </c>
      <c r="C34" s="5">
        <f>HISTOJANV23!C34+HISTOFEV23!C34+HISTOMARS23!C34+HISTOAVRIL23!C34+HISTOMAI23!C34+HISTOJUIN23!C34+HISTOJUIL23!C34+HISTOAOUT23!C34+HISTOSEPT23!C34+HISTOOCT23!C34+HISTONOV23!C34+HISTODEC23!C34</f>
        <v>-107500</v>
      </c>
      <c r="D34" s="5">
        <f>HISTOJANV23!D34+HISTOFEV23!D34+HISTOMARS23!D34+HISTOAVRIL23!D34+HISTOMAI23!D34+HISTOJUIN23!D34+HISTOJUIL23!D34+HISTOAOUT23!D34+HISTOSEPT23!D34+HISTOOCT23!D34+HISTONOV23!D34+HISTODEC23!D34</f>
        <v>830000</v>
      </c>
      <c r="E34" s="5">
        <f>HISTOJANV23!E34+HISTOFEV23!E34+HISTOMARS23!E34+HISTOAVRIL23!E34+HISTOMAI23!E34+HISTOJUIN23!E34+HISTOJUIL23!E34+HISTOAOUT23!E34+HISTOSEPT23!E34+HISTOOCT23!E34+HISTONOV23!E34+HISTODEC23!E34</f>
        <v>200000</v>
      </c>
      <c r="F34" s="5">
        <f>HISTOJANV23!F34+HISTOFEV23!F34+HISTOMARS23!F34+HISTOAVRIL23!F34+HISTOMAI23!F34+HISTOJUIN23!F34+HISTOJUIL23!F34+HISTOAOUT23!F34+HISTOSEPT23!F34+HISTOOCT23!F34+HISTONOV23!F34+HISTODEC23!F34</f>
        <v>70000</v>
      </c>
      <c r="G34" s="5">
        <f>HISTOJANV23!G34+HISTOFEV23!G34+HISTOMARS23!G34+HISTOAVRIL23!G34+HISTOMAI23!G34+HISTOJUIN23!G34+HISTOJUIL23!G34+HISTOAOUT23!G34+HISTOSEPT23!G34+HISTOOCT23!G34+HISTONOV23!G34+HISTODEC23!G34</f>
        <v>3000</v>
      </c>
      <c r="H34" s="10" t="str">
        <f t="shared" si="0"/>
        <v>BANQUE</v>
      </c>
      <c r="I34" s="5">
        <f>HISTOJANV23!I34+HISTOFEV23!I34+HISTOMARS23!I34+HISTOAVRIL23!I34+HISTOMAI23!I34+HISTOJUIN23!I34+HISTOJUIL23!I34+HISTOAOUT23!I34+HISTOSEPT23!I34+HISTOOCT23!I34+HISTONOV23!I34+HISTODEC23!I34</f>
        <v>629500</v>
      </c>
      <c r="J34" s="5">
        <f>HISTOJANV23!J34+HISTOFEV23!J34+HISTOMARS23!J34+HISTOAVRIL23!J34+HISTOMAI23!J34+HISTOJUIN23!J34+HISTOJUIL23!J34+HISTOAOUT23!J34+HISTOSEPT23!J34+HISTOOCT23!J34+HISTONOV23!J34+HISTODEC23!J34</f>
        <v>12</v>
      </c>
      <c r="K34" s="5">
        <f>HISTOJANV23!K34+HISTOFEV23!K34+HISTOMARS23!K34+HISTOAVRIL23!K34+HISTOMAI23!K34+HISTOJUIN23!K34+HISTOJUIL23!K34+HISTOAOUT23!K34+HISTOSEPT23!K34+HISTOOCT23!K34+HISTONOV23!K34+HISTODEC23!K34</f>
        <v>480000</v>
      </c>
      <c r="L34" s="5">
        <f>HISTOJANV23!L34+HISTOFEV23!L34+HISTOMARS23!L34+HISTOAVRIL23!L34+HISTOMAI23!L34+HISTOJUIN23!L34+HISTOJUIL23!L34+HISTOAOUT23!L34+HISTOSEPT23!L34+HISTOOCT23!L34+HISTONOV23!L34+HISTODEC23!L34</f>
        <v>0</v>
      </c>
      <c r="M34" s="5">
        <f>HISTOJANV23!M34+HISTOFEV23!M34+HISTOMARS23!M34+HISTOAVRIL23!M34+HISTOMAI23!M34+HISTOJUIN23!M34+HISTOJUIL23!M34+HISTOAOUT23!M34+HISTOSEPT23!M34+HISTOOCT23!M34+HISTONOV23!M34+HISTODEC23!M34</f>
        <v>0</v>
      </c>
      <c r="N34" s="5">
        <f>HISTOJANV23!N34+HISTOFEV23!N34+HISTOMARS23!N34+HISTOAVRIL23!N34+HISTOMAI23!N34+HISTOJUIN23!N34+HISTOJUIL23!N34+HISTOAOUT23!N34+HISTOSEPT23!N34+HISTOOCT23!N34+HISTONOV23!N34+HISTODEC23!N34</f>
        <v>0</v>
      </c>
      <c r="O34" s="5">
        <f>HISTOJANV23!O34+HISTOFEV23!O34+HISTOMARS23!O34+HISTOAVRIL23!O34+HISTOMAI23!O34+HISTOJUIN23!O34+HISTOJUIL23!O34+HISTOAOUT23!O34+HISTOSEPT23!O34+HISTOOCT23!O34+HISTONOV23!O34+HISTODEC23!O34</f>
        <v>0</v>
      </c>
      <c r="P34" s="5">
        <f>HISTOJANV23!P34+HISTOFEV23!P34+HISTOMARS23!P34+HISTOAVRIL23!P34+HISTOMAI23!P34+HISTOJUIN23!P34+HISTOJUIL23!P34+HISTOAOUT23!P34+HISTOSEPT23!P34+HISTOOCT23!P34+HISTONOV23!P34+HISTODEC23!P34</f>
        <v>0</v>
      </c>
      <c r="Q34" s="5">
        <f>HISTOJANV23!Q34+HISTOFEV23!Q34+HISTOMARS23!Q34+HISTOAVRIL23!Q34+HISTOMAI23!Q34+HISTOJUIN23!Q34+HISTOJUIL23!Q34+HISTOAOUT23!Q34+HISTOSEPT23!Q34+HISTOOCT23!Q34+HISTONOV23!Q34+HISTODEC23!Q34</f>
        <v>0</v>
      </c>
      <c r="R34" s="5">
        <f>HISTOJANV23!R34+HISTOFEV23!R34+HISTOMARS23!R34+HISTOAVRIL23!R34+HISTOMAI23!R34+HISTOJUIN23!R34+HISTOJUIL23!R34+HISTOAOUT23!R34+HISTOSEPT23!R34+HISTOOCT23!R34+HISTONOV23!R34+HISTODEC23!R34</f>
        <v>0</v>
      </c>
      <c r="S34" s="5">
        <f>HISTOJANV23!S34+HISTOFEV23!S34+HISTOMARS23!S34+HISTOAVRIL23!S34+HISTOMAI23!S34+HISTOJUIN23!S34+HISTOJUIL23!S34+HISTOAOUT23!S34+HISTOSEPT23!S34+HISTOOCT23!S34+HISTONOV23!S34+HISTODEC23!S34</f>
        <v>0</v>
      </c>
      <c r="T34" s="5">
        <f>HISTOJANV23!T34+HISTOFEV23!T34+HISTOMARS23!T34+HISTOAVRIL23!T34+HISTOMAI23!T34+HISTOJUIN23!T34+HISTOJUIL23!T34+HISTOAOUT23!T34+HISTOSEPT23!T34+HISTOOCT23!T34+HISTONOV23!T34+HISTODEC23!T34</f>
        <v>0</v>
      </c>
      <c r="U34" s="17">
        <f t="shared" si="1"/>
        <v>1137500</v>
      </c>
      <c r="V34" s="5">
        <f>HISTOJANV23!V34+HISTOFEV23!V34+HISTOMARS23!V34+HISTOAVRIL23!V34+HISTOMAI23!V34+HISTOJUIN23!V34+HISTOJUIL23!V34+HISTOAOUT23!V34+HISTOSEPT23!V34+HISTOOCT23!V34+HISTONOV23!V34+HISTODEC23!V34</f>
        <v>0</v>
      </c>
      <c r="W34" s="5">
        <f>HISTOJANV23!W34+HISTOFEV23!W34+HISTOMARS23!W34+HISTOAVRIL23!W34+HISTOMAI23!W34+HISTOJUIN23!W34+HISTOJUIL23!W34+HISTOAOUT23!W34+HISTOSEPT23!W34+HISTOOCT23!W34+HISTONOV23!W34+HISTODEC23!W34</f>
        <v>25000</v>
      </c>
      <c r="X34" s="5">
        <f>HISTOJANV23!X34+HISTOFEV23!X34+HISTOMARS23!X34+HISTOAVRIL23!X34+HISTOMAI23!X34+HISTOJUIN23!X34+HISTOJUIL23!X34+HISTOAOUT23!X34+HISTOSEPT23!X34+HISTOOCT23!X34+HISTONOV23!X34+HISTODEC23!X34</f>
        <v>0</v>
      </c>
      <c r="Y34" s="5">
        <f>HISTOJANV23!Y34+HISTOFEV23!Y34+HISTOMARS23!Y34+HISTOAVRIL23!Y34+HISTOMAI23!Y34+HISTOJUIN23!Y34+HISTOJUIL23!Y34+HISTOAOUT23!Y34+HISTOSEPT23!Y34+HISTOOCT23!Y34+HISTONOV23!Y34+HISTODEC23!Y34</f>
        <v>0</v>
      </c>
      <c r="Z34" s="5">
        <f>HISTOJANV23!Z34+HISTOFEV23!Z34+HISTOMARS23!Z34+HISTOAVRIL23!Z34+HISTOMAI23!Z34+HISTOJUIN23!Z34+HISTOJUIL23!Z34+HISTOAOUT23!Z34+HISTOSEPT23!Z34+HISTOOCT23!Z34+HISTONOV23!Z34+HISTODEC23!Z34</f>
        <v>700000</v>
      </c>
      <c r="AA34" s="5" t="e">
        <f>HISTOJANV23!AA34+HISTOFEV23!AA34+HISTOMARS23!AA34+HISTOAVRIL23!AA34+HISTOMAI23!AA34+HISTOJUIN23!AA34+HISTOJUIL23!AA34+HISTOAOUT23!AA34+HISTOSEPT23!AA34+HISTOOCT23!AA34+HISTONOV23!AA34+HISTODEC23!AA34</f>
        <v>#VALUE!</v>
      </c>
      <c r="AB34" s="5">
        <f>HISTOJANV23!AB34+HISTOFEV23!AB34+HISTOMARS23!AB34+HISTOAVRIL23!AB34+HISTOMAI23!AB34+HISTOJUIN23!AB34+HISTOJUIL23!AB34+HISTOAOUT23!AB34+HISTOSEPT23!AB34+HISTOOCT23!AB34+HISTONOV23!AB34+HISTODEC23!AB34</f>
        <v>0</v>
      </c>
      <c r="AC34" s="5">
        <f>HISTOJANV23!AC34+HISTOFEV23!AC34+HISTOMARS23!AC34+HISTOAVRIL23!AC34+HISTOMAI23!AC34+HISTOJUIN23!AC34+HISTOJUIL23!AC34+HISTOAOUT23!AC34+HISTOSEPT23!AC34+HISTOOCT23!AC34+HISTONOV23!AC34+HISTODEC23!AC34</f>
        <v>2500</v>
      </c>
      <c r="AD34" s="5">
        <f>HISTOJANV23!AD34+HISTOFEV23!AD34+HISTOMARS23!AD34+HISTOAVRIL23!AD34+HISTOMAI23!AD34+HISTOJUIN23!AD34+HISTOJUIL23!AD34+HISTOAOUT23!AD34+HISTOSEPT23!AD34+HISTOOCT23!AD34+HISTONOV23!AD34+HISTODEC23!AD34</f>
        <v>0</v>
      </c>
      <c r="AE34" s="5">
        <f>HISTOJANV23!AE34+HISTOFEV23!AE34+HISTOMARS23!AE34+HISTOAVRIL23!AE34+HISTOMAI23!AE34+HISTOJUIN23!AE34+HISTOJUIL23!AE34+HISTOAOUT23!AE34+HISTOSEPT23!AE34+HISTOOCT23!AE34+HISTONOV23!AE34+HISTODEC23!AE34</f>
        <v>0</v>
      </c>
      <c r="AF34" s="5" t="e">
        <f>HISTOJANV23!AF34+HISTOFEV23!AF34+HISTOMARS23!AF34+HISTOAVRIL23!AF34+HISTOMAI23!AF34+HISTOJUIN23!AF34+HISTOJUIL23!AF34+HISTOAOUT23!AF34+HISTOSEPT23!AF34+HISTOOCT23!AF34+HISTONOV23!AF34+HISTODEC23!AF34</f>
        <v>#VALUE!</v>
      </c>
      <c r="AG34" s="5">
        <f>HISTOJANV23!AG34+HISTOFEV23!AG34+HISTOMARS23!AG34+HISTOAVRIL23!AG34+HISTOMAI23!AG34+HISTOJUIN23!AG34+HISTOJUIL23!AG34+HISTOAOUT23!AG34+HISTOSEPT23!AG34+HISTOOCT23!AG34+HISTONOV23!AG34+HISTODEC23!AG34</f>
        <v>0</v>
      </c>
      <c r="AH34" s="5">
        <f>HISTOJANV23!AH34+HISTOFEV23!AH34+HISTOMARS23!AH34+HISTOAVRIL23!AH34+HISTOMAI23!AH34+HISTOJUIN23!AH34+HISTOJUIL23!AH34+HISTOAOUT23!AH34+HISTOSEPT23!AH34+HISTOOCT23!AH34+HISTONOV23!AH34+HISTODEC23!AH34</f>
        <v>0</v>
      </c>
      <c r="AI34" s="5">
        <f>HISTOJANV23!AI34+HISTOFEV23!AI34+HISTOMARS23!AI34+HISTOAVRIL23!AI34+HISTOMAI23!AI34+HISTOJUIN23!AI34+HISTOJUIL23!AI34+HISTOAOUT23!AI34+HISTOSEPT23!AI34+HISTOOCT23!AI34+HISTONOV23!AI34+HISTODEC23!AI34</f>
        <v>0</v>
      </c>
      <c r="AJ34" s="5">
        <f>HISTOJANV23!AJ34+HISTOFEV23!AJ34+HISTOMARS23!AJ34+HISTOAVRIL23!AJ34+HISTOMAI23!AJ34+HISTOJUIN23!AJ34+HISTOJUIL23!AJ34+HISTOAOUT23!AJ34+HISTOSEPT23!AJ34+HISTOOCT23!AJ34+HISTONOV23!AJ34+HISTODEC23!AJ34</f>
        <v>0</v>
      </c>
      <c r="AK34" s="5">
        <f>HISTOJANV23!AK34+HISTOFEV23!AK34+HISTOMARS23!AK34+HISTOAVRIL23!AK34+HISTOMAI23!AK34+HISTOJUIN23!AK34+HISTOJUIL23!AK34+HISTOAOUT23!AK34+HISTOSEPT23!AK34+HISTOOCT23!AK34+HISTONOV23!AK34+HISTODEC23!AK34</f>
        <v>0</v>
      </c>
      <c r="AL34" s="5">
        <f>HISTOJANV23!AL34+HISTOFEV23!AL34+HISTOMARS23!AL34+HISTOAVRIL23!AL34+HISTOMAI23!AL34+HISTOJUIN23!AL34+HISTOJUIL23!AL34+HISTOAOUT23!AL34+HISTOSEPT23!AL34+HISTOOCT23!AL34+HISTONOV23!AL34+HISTODEC23!AL34</f>
        <v>0</v>
      </c>
      <c r="AM34" s="5">
        <f>HISTOJANV23!AM34+HISTOFEV23!AM34+HISTOMARS23!AM34+HISTOAVRIL23!AM34+HISTOMAI23!AM34+HISTOJUIN23!AM34+HISTOJUIL23!AM34+HISTOAOUT23!AM34+HISTOSEPT23!AM34+HISTOOCT23!AM34+HISTONOV23!AM34+HISTODEC23!AM34</f>
        <v>0</v>
      </c>
      <c r="AN34" s="5">
        <f>HISTOJANV23!AN34+HISTOFEV23!AN34+HISTOMARS23!AN34+HISTOAVRIL23!AN34+HISTOMAI23!AN34+HISTOJUIN23!AN34+HISTOJUIL23!AN34+HISTOAOUT23!AN34+HISTOSEPT23!AN34+HISTOOCT23!AN34+HISTONOV23!AN34+HISTODEC23!AN34</f>
        <v>0</v>
      </c>
      <c r="AO34" s="5">
        <f>HISTOJANV23!AO34+HISTOFEV23!AO34+HISTOMARS23!AO34+HISTOAVRIL23!AO34+HISTOMAI23!AO34+HISTOJUIN23!AO34+HISTOJUIL23!AO34+HISTOAOUT23!AO34+HISTOSEPT23!AO34+HISTOOCT23!AO34+HISTONOV23!AO34+HISTODEC23!AO34</f>
        <v>0</v>
      </c>
      <c r="AP34" s="5">
        <f>HISTOJANV23!AP34+HISTOFEV23!AP34+HISTOMARS23!AP34+HISTOAVRIL23!AP34+HISTOMAI23!AP34+HISTOJUIN23!AP34+HISTOJUIL23!AP34+HISTOAOUT23!AP34+HISTOSEPT23!AP34+HISTOOCT23!AP34+HISTONOV23!AP34+HISTODEC23!AP34</f>
        <v>0</v>
      </c>
      <c r="AQ34" s="5">
        <f>HISTOJANV23!AQ34+HISTOFEV23!AQ34+HISTOMARS23!AQ34+HISTOAVRIL23!AQ34+HISTOMAI23!AQ34+HISTOJUIN23!AQ34+HISTOJUIL23!AQ34+HISTOAOUT23!AQ34+HISTOSEPT23!AQ34+HISTOOCT23!AQ34+HISTONOV23!AQ34+HISTODEC23!AQ34</f>
        <v>0</v>
      </c>
      <c r="AR34" s="5">
        <f>HISTOJANV23!AR34+HISTOFEV23!AR34+HISTOMARS23!AR34+HISTOAVRIL23!AR34+HISTOMAI23!AR34+HISTOJUIN23!AR34+HISTOJUIL23!AR34+HISTOAOUT23!AR34+HISTOSEPT23!AR34+HISTOOCT23!AR34+HISTONOV23!AR34+HISTODEC23!AR34</f>
        <v>0</v>
      </c>
      <c r="AS34" s="5">
        <f>HISTOJANV23!AS34+HISTOFEV23!AS34+HISTOMARS23!AS34+HISTOAVRIL23!AS34+HISTOMAI23!AS34+HISTOJUIN23!AS34+HISTOJUIL23!AS34+HISTOAOUT23!AS34+HISTOSEPT23!AS34+HISTOOCT23!AS34+HISTONOV23!AS34+HISTODEC23!AS34</f>
        <v>809500</v>
      </c>
      <c r="AT34" s="5">
        <f>HISTOJANV23!AT34+HISTOFEV23!AT34+HISTOMARS23!AT34+HISTOAVRIL23!AT34+HISTOMAI23!AT34+HISTOJUIN23!AT34+HISTOJUIL23!AT34+HISTOAOUT23!AT34+HISTOSEPT23!AT34+HISTOOCT23!AT34+HISTONOV23!AT34+HISTODEC23!AT34</f>
        <v>120000</v>
      </c>
      <c r="AU34" s="5">
        <f>HISTOJANV23!AU34+HISTOFEV23!AU34+HISTOMARS23!AU34+HISTOAVRIL23!AU34+HISTOMAI23!AU34+HISTOJUIN23!AU34+HISTOJUIL23!AU34+HISTOAOUT23!AU34+HISTOSEPT23!AU34+HISTOOCT23!AU34+HISTONOV23!AU34+HISTODEC23!AU34</f>
        <v>0</v>
      </c>
      <c r="AV34" s="5">
        <f>HISTOJANV23!AV34+HISTOFEV23!AV34+HISTOMARS23!AV34+HISTOAVRIL23!AV34+HISTOMAI23!AV34+HISTOJUIN23!AV34+HISTOJUIL23!AV34+HISTOAOUT23!AV34+HISTOSEPT23!AV34+HISTOOCT23!AV34+HISTONOV23!AV34+HISTODEC23!AV34</f>
        <v>0</v>
      </c>
      <c r="AW34" s="5">
        <f>HISTOJANV23!AW34+HISTOFEV23!AW34+HISTOMARS23!AW34+HISTOAVRIL23!AW34+HISTOMAI23!AW34+HISTOJUIN23!AW34+HISTOJUIL23!AW34+HISTOAOUT23!AW34+HISTOSEPT23!AW34+HISTOOCT23!AW34+HISTONOV23!AW34+HISTODEC23!AW34</f>
        <v>297500</v>
      </c>
      <c r="AX34" s="5">
        <f>HISTOJANV23!AX34+HISTOFEV23!AX34+HISTOMARS23!AX34+HISTOAVRIL23!AX34+HISTOMAI23!AX34+HISTOJUIN23!AX34+HISTOJUIL23!AX34+HISTOAOUT23!AX34+HISTOSEPT23!AX34+HISTOOCT23!AX34+HISTONOV23!AX34+HISTODEC23!AX34</f>
        <v>0</v>
      </c>
      <c r="AY34" s="5">
        <f>HISTOJANV23!AY34+HISTOFEV23!AY34+HISTOMARS23!AY34+HISTOAVRIL23!AY34+HISTOMAI23!AY34+HISTOJUIN23!AY34+HISTOJUIL23!AY34+HISTOAOUT23!AY34+HISTOSEPT23!AY34+HISTOOCT23!AY34+HISTONOV23!AY34+HISTODEC23!AY34</f>
        <v>0</v>
      </c>
      <c r="AZ34" s="5">
        <f>HISTOJANV23!AZ34+HISTOFEV23!AZ34+HISTOMARS23!AZ34+HISTOAVRIL23!AZ34+HISTOMAI23!AZ34+HISTOJUIN23!AZ34+HISTOJUIL23!AZ34+HISTOAOUT23!AZ34+HISTOSEPT23!AZ34+HISTOOCT23!AZ34+HISTONOV23!AZ34+HISTODEC23!AZ34</f>
        <v>843500</v>
      </c>
      <c r="BA34" s="5">
        <f>HISTOJANV23!BA34+HISTOFEV23!BA34+HISTOMARS23!BA34+HISTOAVRIL23!BA34+HISTOMAI23!BA34+HISTOJUIN23!BA34+HISTOJUIL23!BA34+HISTOAOUT23!BA34+HISTOSEPT23!BA34+HISTOOCT23!BA34+HISTONOV23!BA34+HISTODEC23!BA34</f>
        <v>0</v>
      </c>
      <c r="BB34" s="5">
        <f>HISTOJANV23!BB34+HISTOFEV23!BB34+HISTOMARS23!BB34+HISTOAVRIL23!BB34+HISTOMAI23!BB34+HISTOJUIN23!BB34+HISTOJUIL23!BB34+HISTOAOUT23!BB34+HISTOSEPT23!BB34+HISTOOCT23!BB34+HISTONOV23!BB34+HISTODEC23!BB34</f>
        <v>70000</v>
      </c>
      <c r="BC34" s="5">
        <f>HISTOJANV23!BC34+HISTOFEV23!BC34+HISTOMARS23!BC34+HISTOAVRIL23!BC34+HISTOMAI23!BC34+HISTOJUIN23!BC34+HISTOJUIL23!BC34+HISTOAOUT23!BC34+HISTOSEPT23!BC34+HISTOOCT23!BC34+HISTONOV23!BC34+HISTODEC23!BC34</f>
        <v>0</v>
      </c>
      <c r="BD34" s="5">
        <f>HISTOJANV23!BD34+HISTOFEV23!BD34+HISTOMARS23!BD34+HISTOAVRIL23!BD34+HISTOMAI23!BD34+HISTOJUIN23!BD34+HISTOJUIL23!BD34+HISTOAOUT23!BD34+HISTOSEPT23!BD34+HISTOOCT23!BD34+HISTONOV23!BD34+HISTODEC23!BD34</f>
        <v>616000</v>
      </c>
      <c r="BE34" s="82">
        <f>HISTOJANV23!BE34+HISTOFEV23!BE34+HISTOMARS23!BE34+HISTOAVRIL23!BE34+HISTOMAI23!BE34+HISTOJUIN23!BE34+HISTOJUIL23!BE34+HISTOAOUT23!BE34+HISTOSEPT23!BE34+HISTOOCT23!BE34+HISTONOV23!BE34+HISTODEC23!BE34</f>
        <v>0</v>
      </c>
      <c r="BF34" s="5">
        <f>HISTOJANV23!BF34+HISTOFEV23!BF34+HISTOMARS23!BF34+HISTOAVRIL23!BF34+HISTOMAI23!BF34+HISTOJUIN23!BF34+HISTOJUIL23!BF34+HISTOAOUT23!BF34+HISTOSEPT23!BF34+HISTOOCT23!BF34+HISTONOV23!BF34+HISTODEC23!BF34</f>
        <v>84000</v>
      </c>
      <c r="BG34" s="5">
        <f>HISTOJANV23!BG34+HISTOFEV23!BG34+HISTOMARS23!BG34+HISTOAVRIL23!BG34+HISTOMAI23!BG34+HISTOJUIN23!BG34+HISTOJUIL23!BG34+HISTOAOUT23!BG34+HISTOSEPT23!BG34+HISTOOCT23!BG34+HISTONOV23!BG34+HISTODEC23!BG34</f>
        <v>78</v>
      </c>
      <c r="BH34" s="5">
        <f>HISTOJANV23!BH34+HISTOFEV23!BH34+HISTOMARS23!BH34+HISTOAVRIL23!BH34+HISTOMAI23!BH34+HISTOJUIN23!BH34+HISTOJUIL23!BH34+HISTOAOUT23!BH34+HISTOSEPT23!BH34+HISTOOCT23!BH34+HISTONOV23!BH34+HISTODEC23!BH34</f>
        <v>0</v>
      </c>
      <c r="BI34" s="5">
        <f>HISTOJANV23!BI34+HISTOFEV23!BI34+HISTOMARS23!BI34+HISTOAVRIL23!BI34+HISTOMAI23!BI34+HISTOJUIN23!BI34+HISTOJUIL23!BI34+HISTOAOUT23!BI34+HISTOSEPT23!BI34+HISTOOCT23!BI34+HISTONOV23!BI34+HISTODEC23!BI34</f>
        <v>0</v>
      </c>
      <c r="BJ34" s="5">
        <f>HISTOJANV23!BJ34+HISTOFEV23!BJ34+HISTOMARS23!BJ34+HISTOAVRIL23!BJ34+HISTOMAI23!BJ34+HISTOJUIN23!BJ34+HISTOJUIL23!BJ34+HISTOAOUT23!BJ34+HISTOSEPT23!BJ34+HISTOOCT23!BJ34+HISTONOV23!BJ34+HISTODEC23!BJ34</f>
        <v>0</v>
      </c>
      <c r="BK34" s="5">
        <f>HISTOJANV23!BK34+HISTOFEV23!BK34+HISTOMARS23!BK34+HISTOAVRIL23!BK34+HISTOMAI23!BK34+HISTOJUIN23!BK34+HISTOJUIL23!BK34+HISTOAOUT23!BK34+HISTOSEPT23!BK34+HISTOOCT23!BK34+HISTONOV23!BK34+HISTODEC23!BK34</f>
        <v>0</v>
      </c>
      <c r="BL34" s="5">
        <f>HISTOJANV23!BL34+HISTOFEV23!BL34+HISTOMARS23!BL34+HISTOAVRIL23!BL34+HISTOMAI23!BL34+HISTOJUIN23!BL34+HISTOJUIL23!BL34+HISTOAOUT23!BL34+HISTOSEPT23!BL34+HISTOOCT23!BL34+HISTONOV23!BL34+HISTODEC23!BL34</f>
        <v>0</v>
      </c>
      <c r="BM34" s="5">
        <f>HISTOJANV23!BM34+HISTOFEV23!BM34+HISTOMARS23!BM34+HISTOAVRIL23!BM34+HISTOMAI23!BM34+HISTOJUIN23!BM34+HISTOJUIL23!BM34+HISTOAOUT23!BM34+HISTOSEPT23!BM34+HISTOOCT23!BM34+HISTONOV23!BM34+HISTODEC23!BM34</f>
        <v>0</v>
      </c>
    </row>
    <row r="35" spans="1:68" ht="18.75" x14ac:dyDescent="0.3">
      <c r="A35" s="1" t="s">
        <v>40</v>
      </c>
      <c r="B35" s="1" t="str">
        <f>VLOOKUP(A35,[17]LISTADHERENT!A$5:H$39,3,0)</f>
        <v>YEPMOU JEAN JACQUES</v>
      </c>
      <c r="C35" s="5">
        <f>HISTOJANV23!C35+HISTOFEV23!C35+HISTOMARS23!C35+HISTOAVRIL23!C35+HISTOMAI23!C35+HISTOJUIN23!C35+HISTOJUIL23!C35+HISTOAOUT23!C35+HISTOSEPT23!C35+HISTOOCT23!C35+HISTONOV23!C35+HISTODEC23!C35</f>
        <v>37000</v>
      </c>
      <c r="D35" s="5">
        <f>HISTOJANV23!D35+HISTOFEV23!D35+HISTOMARS23!D35+HISTOAVRIL23!D35+HISTOMAI23!D35+HISTOJUIN23!D35+HISTOJUIL23!D35+HISTOAOUT23!D35+HISTOSEPT23!D35+HISTOOCT23!D35+HISTONOV23!D35+HISTODEC23!D35</f>
        <v>501500</v>
      </c>
      <c r="E35" s="5">
        <f>HISTOJANV23!E35+HISTOFEV23!E35+HISTOMARS23!E35+HISTOAVRIL23!E35+HISTOMAI23!E35+HISTOJUIN23!E35+HISTOJUIL23!E35+HISTOAOUT23!E35+HISTOSEPT23!E35+HISTOOCT23!E35+HISTONOV23!E35+HISTODEC23!E35</f>
        <v>246000</v>
      </c>
      <c r="F35" s="5">
        <f>HISTOJANV23!F35+HISTOFEV23!F35+HISTOMARS23!F35+HISTOAVRIL23!F35+HISTOMAI23!F35+HISTOJUIN23!F35+HISTOJUIL23!F35+HISTOAOUT23!F35+HISTOSEPT23!F35+HISTOOCT23!F35+HISTONOV23!F35+HISTODEC23!F35</f>
        <v>0</v>
      </c>
      <c r="G35" s="5">
        <f>HISTOJANV23!G35+HISTOFEV23!G35+HISTOMARS23!G35+HISTOAVRIL23!G35+HISTOMAI23!G35+HISTOJUIN23!G35+HISTOJUIL23!G35+HISTOAOUT23!G35+HISTOSEPT23!G35+HISTOOCT23!G35+HISTONOV23!G35+HISTODEC23!G35</f>
        <v>6000</v>
      </c>
      <c r="H35" s="10" t="str">
        <f t="shared" si="0"/>
        <v>BANQUE</v>
      </c>
      <c r="I35" s="5">
        <f>HISTOJANV23!I35+HISTOFEV23!I35+HISTOMARS23!I35+HISTOAVRIL23!I35+HISTOMAI23!I35+HISTOJUIN23!I35+HISTOJUIL23!I35+HISTOAOUT23!I35+HISTOSEPT23!I35+HISTOOCT23!I35+HISTONOV23!I35+HISTODEC23!I35</f>
        <v>-3000</v>
      </c>
      <c r="J35" s="5">
        <f>HISTOJANV23!J35+HISTOFEV23!J35+HISTOMARS23!J35+HISTOAVRIL23!J35+HISTOMAI23!J35+HISTOJUIN23!J35+HISTOJUIL23!J35+HISTOAOUT23!J35+HISTOSEPT23!J35+HISTOOCT23!J35+HISTONOV23!J35+HISTODEC23!J35</f>
        <v>12</v>
      </c>
      <c r="K35" s="5">
        <f>HISTOJANV23!K35+HISTOFEV23!K35+HISTOMARS23!K35+HISTOAVRIL23!K35+HISTOMAI23!K35+HISTOJUIN23!K35+HISTOJUIL23!K35+HISTOAOUT23!K35+HISTOSEPT23!K35+HISTOOCT23!K35+HISTONOV23!K35+HISTODEC23!K35</f>
        <v>480000</v>
      </c>
      <c r="L35" s="5">
        <f>HISTOJANV23!L35+HISTOFEV23!L35+HISTOMARS23!L35+HISTOAVRIL23!L35+HISTOMAI23!L35+HISTOJUIN23!L35+HISTOJUIL23!L35+HISTOAOUT23!L35+HISTOSEPT23!L35+HISTOOCT23!L35+HISTONOV23!L35+HISTODEC23!L35</f>
        <v>0</v>
      </c>
      <c r="M35" s="5">
        <f>HISTOJANV23!M35+HISTOFEV23!M35+HISTOMARS23!M35+HISTOAVRIL23!M35+HISTOMAI23!M35+HISTOJUIN23!M35+HISTOJUIL23!M35+HISTOAOUT23!M35+HISTOSEPT23!M35+HISTOOCT23!M35+HISTONOV23!M35+HISTODEC23!M35</f>
        <v>0</v>
      </c>
      <c r="N35" s="5">
        <f>HISTOJANV23!N35+HISTOFEV23!N35+HISTOMARS23!N35+HISTOAVRIL23!N35+HISTOMAI23!N35+HISTOJUIN23!N35+HISTOJUIL23!N35+HISTOAOUT23!N35+HISTOSEPT23!N35+HISTOOCT23!N35+HISTONOV23!N35+HISTODEC23!N35</f>
        <v>0</v>
      </c>
      <c r="O35" s="5">
        <f>HISTOJANV23!O35+HISTOFEV23!O35+HISTOMARS23!O35+HISTOAVRIL23!O35+HISTOMAI23!O35+HISTOJUIN23!O35+HISTOJUIL23!O35+HISTOAOUT23!O35+HISTOSEPT23!O35+HISTOOCT23!O35+HISTONOV23!O35+HISTODEC23!O35</f>
        <v>0</v>
      </c>
      <c r="P35" s="5">
        <f>HISTOJANV23!P35+HISTOFEV23!P35+HISTOMARS23!P35+HISTOAVRIL23!P35+HISTOMAI23!P35+HISTOJUIN23!P35+HISTOJUIL23!P35+HISTOAOUT23!P35+HISTOSEPT23!P35+HISTOOCT23!P35+HISTONOV23!P35+HISTODEC23!P35</f>
        <v>0</v>
      </c>
      <c r="Q35" s="5">
        <f>HISTOJANV23!Q35+HISTOFEV23!Q35+HISTOMARS23!Q35+HISTOAVRIL23!Q35+HISTOMAI23!Q35+HISTOJUIN23!Q35+HISTOJUIL23!Q35+HISTOAOUT23!Q35+HISTOSEPT23!Q35+HISTOOCT23!Q35+HISTONOV23!Q35+HISTODEC23!Q35</f>
        <v>0</v>
      </c>
      <c r="R35" s="5">
        <f>HISTOJANV23!R35+HISTOFEV23!R35+HISTOMARS23!R35+HISTOAVRIL23!R35+HISTOMAI23!R35+HISTOJUIN23!R35+HISTOJUIL23!R35+HISTOAOUT23!R35+HISTOSEPT23!R35+HISTOOCT23!R35+HISTONOV23!R35+HISTODEC23!R35</f>
        <v>0</v>
      </c>
      <c r="S35" s="5">
        <f>HISTOJANV23!S35+HISTOFEV23!S35+HISTOMARS23!S35+HISTOAVRIL23!S35+HISTOMAI23!S35+HISTOJUIN23!S35+HISTOJUIL23!S35+HISTOAOUT23!S35+HISTOSEPT23!S35+HISTOOCT23!S35+HISTONOV23!S35+HISTODEC23!S35</f>
        <v>227500</v>
      </c>
      <c r="T35" s="5" t="e">
        <f>HISTOJANV23!T35+HISTOFEV23!T35+HISTOMARS23!T35+HISTOAVRIL23!T35+HISTOMAI23!T35+HISTOJUIN23!T35+HISTOJUIL23!T35+HISTOAOUT23!T35+HISTOSEPT23!T35+HISTOOCT23!T35+HISTONOV23!T35+HISTODEC23!T35</f>
        <v>#VALUE!</v>
      </c>
      <c r="U35" s="17">
        <f t="shared" si="1"/>
        <v>710500</v>
      </c>
      <c r="V35" s="5">
        <f>HISTOJANV23!V35+HISTOFEV23!V35+HISTOMARS23!V35+HISTOAVRIL23!V35+HISTOMAI23!V35+HISTOJUIN23!V35+HISTOJUIL23!V35+HISTOAOUT23!V35+HISTOSEPT23!V35+HISTOOCT23!V35+HISTONOV23!V35+HISTODEC23!V35</f>
        <v>0</v>
      </c>
      <c r="W35" s="5">
        <f>HISTOJANV23!W35+HISTOFEV23!W35+HISTOMARS23!W35+HISTOAVRIL23!W35+HISTOMAI23!W35+HISTOJUIN23!W35+HISTOJUIL23!W35+HISTOAOUT23!W35+HISTOSEPT23!W35+HISTOOCT23!W35+HISTONOV23!W35+HISTODEC23!W35</f>
        <v>0</v>
      </c>
      <c r="X35" s="5">
        <f>HISTOJANV23!X35+HISTOFEV23!X35+HISTOMARS23!X35+HISTOAVRIL23!X35+HISTOMAI23!X35+HISTOJUIN23!X35+HISTOJUIL23!X35+HISTOAOUT23!X35+HISTOSEPT23!X35+HISTOOCT23!X35+HISTONOV23!X35+HISTODEC23!X35</f>
        <v>0</v>
      </c>
      <c r="Y35" s="5">
        <f>HISTOJANV23!Y35+HISTOFEV23!Y35+HISTOMARS23!Y35+HISTOAVRIL23!Y35+HISTOMAI23!Y35+HISTOJUIN23!Y35+HISTOJUIL23!Y35+HISTOAOUT23!Y35+HISTOSEPT23!Y35+HISTOOCT23!Y35+HISTONOV23!Y35+HISTODEC23!Y35</f>
        <v>0</v>
      </c>
      <c r="Z35" s="5">
        <f>HISTOJANV23!Z35+HISTOFEV23!Z35+HISTOMARS23!Z35+HISTOAVRIL23!Z35+HISTOMAI23!Z35+HISTOJUIN23!Z35+HISTOJUIL23!Z35+HISTOAOUT23!Z35+HISTOSEPT23!Z35+HISTOOCT23!Z35+HISTONOV23!Z35+HISTODEC23!Z35</f>
        <v>0</v>
      </c>
      <c r="AA35" s="5">
        <f>HISTOJANV23!AA35+HISTOFEV23!AA35+HISTOMARS23!AA35+HISTOAVRIL23!AA35+HISTOMAI23!AA35+HISTOJUIN23!AA35+HISTOJUIL23!AA35+HISTOAOUT23!AA35+HISTOSEPT23!AA35+HISTOOCT23!AA35+HISTONOV23!AA35+HISTODEC23!AA35</f>
        <v>0</v>
      </c>
      <c r="AB35" s="5">
        <f>HISTOJANV23!AB35+HISTOFEV23!AB35+HISTOMARS23!AB35+HISTOAVRIL23!AB35+HISTOMAI23!AB35+HISTOJUIN23!AB35+HISTOJUIL23!AB35+HISTOAOUT23!AB35+HISTOSEPT23!AB35+HISTOOCT23!AB35+HISTONOV23!AB35+HISTODEC23!AB35</f>
        <v>0</v>
      </c>
      <c r="AC35" s="5">
        <f>HISTOJANV23!AC35+HISTOFEV23!AC35+HISTOMARS23!AC35+HISTOAVRIL23!AC35+HISTOMAI23!AC35+HISTOJUIN23!AC35+HISTOJUIL23!AC35+HISTOAOUT23!AC35+HISTOSEPT23!AC35+HISTOOCT23!AC35+HISTONOV23!AC35+HISTODEC23!AC35</f>
        <v>2500</v>
      </c>
      <c r="AD35" s="5">
        <f>HISTOJANV23!AD35+HISTOFEV23!AD35+HISTOMARS23!AD35+HISTOAVRIL23!AD35+HISTOMAI23!AD35+HISTOJUIN23!AD35+HISTOJUIL23!AD35+HISTOAOUT23!AD35+HISTOSEPT23!AD35+HISTOOCT23!AD35+HISTONOV23!AD35+HISTODEC23!AD35</f>
        <v>0</v>
      </c>
      <c r="AE35" s="5">
        <f>HISTOJANV23!AE35+HISTOFEV23!AE35+HISTOMARS23!AE35+HISTOAVRIL23!AE35+HISTOMAI23!AE35+HISTOJUIN23!AE35+HISTOJUIL23!AE35+HISTOAOUT23!AE35+HISTOSEPT23!AE35+HISTOOCT23!AE35+HISTONOV23!AE35+HISTODEC23!AE35</f>
        <v>0</v>
      </c>
      <c r="AF35" s="5">
        <f>HISTOJANV23!AF35+HISTOFEV23!AF35+HISTOMARS23!AF35+HISTOAVRIL23!AF35+HISTOMAI23!AF35+HISTOJUIN23!AF35+HISTOJUIL23!AF35+HISTOAOUT23!AF35+HISTOSEPT23!AF35+HISTOOCT23!AF35+HISTONOV23!AF35+HISTODEC23!AF35</f>
        <v>0</v>
      </c>
      <c r="AG35" s="5">
        <f>HISTOJANV23!AG35+HISTOFEV23!AG35+HISTOMARS23!AG35+HISTOAVRIL23!AG35+HISTOMAI23!AG35+HISTOJUIN23!AG35+HISTOJUIL23!AG35+HISTOAOUT23!AG35+HISTOSEPT23!AG35+HISTOOCT23!AG35+HISTONOV23!AG35+HISTODEC23!AG35</f>
        <v>0</v>
      </c>
      <c r="AH35" s="5">
        <f>HISTOJANV23!AH35+HISTOFEV23!AH35+HISTOMARS23!AH35+HISTOAVRIL23!AH35+HISTOMAI23!AH35+HISTOJUIN23!AH35+HISTOJUIL23!AH35+HISTOAOUT23!AH35+HISTOSEPT23!AH35+HISTOOCT23!AH35+HISTONOV23!AH35+HISTODEC23!AH35</f>
        <v>0</v>
      </c>
      <c r="AI35" s="5">
        <f>HISTOJANV23!AI35+HISTOFEV23!AI35+HISTOMARS23!AI35+HISTOAVRIL23!AI35+HISTOMAI23!AI35+HISTOJUIN23!AI35+HISTOJUIL23!AI35+HISTOAOUT23!AI35+HISTOSEPT23!AI35+HISTOOCT23!AI35+HISTONOV23!AI35+HISTODEC23!AI35</f>
        <v>0</v>
      </c>
      <c r="AJ35" s="5">
        <f>HISTOJANV23!AJ35+HISTOFEV23!AJ35+HISTOMARS23!AJ35+HISTOAVRIL23!AJ35+HISTOMAI23!AJ35+HISTOJUIN23!AJ35+HISTOJUIL23!AJ35+HISTOAOUT23!AJ35+HISTOSEPT23!AJ35+HISTOOCT23!AJ35+HISTONOV23!AJ35+HISTODEC23!AJ35</f>
        <v>0</v>
      </c>
      <c r="AK35" s="5">
        <f>HISTOJANV23!AK35+HISTOFEV23!AK35+HISTOMARS23!AK35+HISTOAVRIL23!AK35+HISTOMAI23!AK35+HISTOJUIN23!AK35+HISTOJUIL23!AK35+HISTOAOUT23!AK35+HISTOSEPT23!AK35+HISTOOCT23!AK35+HISTONOV23!AK35+HISTODEC23!AK35</f>
        <v>0</v>
      </c>
      <c r="AL35" s="5">
        <f>HISTOJANV23!AL35+HISTOFEV23!AL35+HISTOMARS23!AL35+HISTOAVRIL23!AL35+HISTOMAI23!AL35+HISTOJUIN23!AL35+HISTOJUIL23!AL35+HISTOAOUT23!AL35+HISTOSEPT23!AL35+HISTOOCT23!AL35+HISTONOV23!AL35+HISTODEC23!AL35</f>
        <v>0</v>
      </c>
      <c r="AM35" s="5">
        <f>HISTOJANV23!AM35+HISTOFEV23!AM35+HISTOMARS23!AM35+HISTOAVRIL23!AM35+HISTOMAI23!AM35+HISTOJUIN23!AM35+HISTOJUIL23!AM35+HISTOAOUT23!AM35+HISTOSEPT23!AM35+HISTOOCT23!AM35+HISTONOV23!AM35+HISTODEC23!AM35</f>
        <v>0</v>
      </c>
      <c r="AN35" s="5">
        <f>HISTOJANV23!AN35+HISTOFEV23!AN35+HISTOMARS23!AN35+HISTOAVRIL23!AN35+HISTOMAI23!AN35+HISTOJUIN23!AN35+HISTOJUIL23!AN35+HISTOAOUT23!AN35+HISTOSEPT23!AN35+HISTOOCT23!AN35+HISTONOV23!AN35+HISTODEC23!AN35</f>
        <v>0</v>
      </c>
      <c r="AO35" s="5">
        <f>HISTOJANV23!AO35+HISTOFEV23!AO35+HISTOMARS23!AO35+HISTOAVRIL23!AO35+HISTOMAI23!AO35+HISTOJUIN23!AO35+HISTOJUIL23!AO35+HISTOAOUT23!AO35+HISTOSEPT23!AO35+HISTOOCT23!AO35+HISTONOV23!AO35+HISTODEC23!AO35</f>
        <v>0</v>
      </c>
      <c r="AP35" s="5">
        <f>HISTOJANV23!AP35+HISTOFEV23!AP35+HISTOMARS23!AP35+HISTOAVRIL23!AP35+HISTOMAI23!AP35+HISTOJUIN23!AP35+HISTOJUIL23!AP35+HISTOAOUT23!AP35+HISTOSEPT23!AP35+HISTOOCT23!AP35+HISTONOV23!AP35+HISTODEC23!AP35</f>
        <v>0</v>
      </c>
      <c r="AQ35" s="5">
        <f>HISTOJANV23!AQ35+HISTOFEV23!AQ35+HISTOMARS23!AQ35+HISTOAVRIL23!AQ35+HISTOMAI23!AQ35+HISTOJUIN23!AQ35+HISTOJUIL23!AQ35+HISTOAOUT23!AQ35+HISTOSEPT23!AQ35+HISTOOCT23!AQ35+HISTONOV23!AQ35+HISTODEC23!AQ35</f>
        <v>0</v>
      </c>
      <c r="AR35" s="5">
        <f>HISTOJANV23!AR35+HISTOFEV23!AR35+HISTOMARS23!AR35+HISTOAVRIL23!AR35+HISTOMAI23!AR35+HISTOJUIN23!AR35+HISTOJUIL23!AR35+HISTOAOUT23!AR35+HISTOSEPT23!AR35+HISTOOCT23!AR35+HISTONOV23!AR35+HISTODEC23!AR35</f>
        <v>4000</v>
      </c>
      <c r="AS35" s="5">
        <f>HISTOJANV23!AS35+HISTOFEV23!AS35+HISTOMARS23!AS35+HISTOAVRIL23!AS35+HISTOMAI23!AS35+HISTOJUIN23!AS35+HISTOJUIL23!AS35+HISTOAOUT23!AS35+HISTOSEPT23!AS35+HISTOOCT23!AS35+HISTONOV23!AS35+HISTODEC23!AS35</f>
        <v>178000</v>
      </c>
      <c r="AT35" s="5">
        <f>HISTOJANV23!AT35+HISTOFEV23!AT35+HISTOMARS23!AT35+HISTOAVRIL23!AT35+HISTOMAI23!AT35+HISTOJUIN23!AT35+HISTOJUIL23!AT35+HISTOAOUT23!AT35+HISTOSEPT23!AT35+HISTOOCT23!AT35+HISTONOV23!AT35+HISTODEC23!AT35</f>
        <v>0</v>
      </c>
      <c r="AU35" s="5">
        <f>HISTOJANV23!AU35+HISTOFEV23!AU35+HISTOMARS23!AU35+HISTOAVRIL23!AU35+HISTOMAI23!AU35+HISTOJUIN23!AU35+HISTOJUIL23!AU35+HISTOAOUT23!AU35+HISTOSEPT23!AU35+HISTOOCT23!AU35+HISTONOV23!AU35+HISTODEC23!AU35</f>
        <v>0</v>
      </c>
      <c r="AV35" s="5">
        <f>HISTOJANV23!AV35+HISTOFEV23!AV35+HISTOMARS23!AV35+HISTOAVRIL23!AV35+HISTOMAI23!AV35+HISTOJUIN23!AV35+HISTOJUIL23!AV35+HISTOAOUT23!AV35+HISTOSEPT23!AV35+HISTOOCT23!AV35+HISTONOV23!AV35+HISTODEC23!AV35</f>
        <v>0</v>
      </c>
      <c r="AW35" s="5">
        <f>HISTOJANV23!AW35+HISTOFEV23!AW35+HISTOMARS23!AW35+HISTOAVRIL23!AW35+HISTOMAI23!AW35+HISTOJUIN23!AW35+HISTOJUIL23!AW35+HISTOAOUT23!AW35+HISTOSEPT23!AW35+HISTOOCT23!AW35+HISTONOV23!AW35+HISTODEC23!AW35</f>
        <v>297500</v>
      </c>
      <c r="AX35" s="5">
        <f>HISTOJANV23!AX35+HISTOFEV23!AX35+HISTOMARS23!AX35+HISTOAVRIL23!AX35+HISTOMAI23!AX35+HISTOJUIN23!AX35+HISTOJUIL23!AX35+HISTOAOUT23!AX35+HISTOSEPT23!AX35+HISTOOCT23!AX35+HISTONOV23!AX35+HISTODEC23!AX35</f>
        <v>0</v>
      </c>
      <c r="AY35" s="5">
        <f>HISTOJANV23!AY35+HISTOFEV23!AY35+HISTOMARS23!AY35+HISTOAVRIL23!AY35+HISTOMAI23!AY35+HISTOJUIN23!AY35+HISTOJUIL23!AY35+HISTOAOUT23!AY35+HISTOSEPT23!AY35+HISTOOCT23!AY35+HISTONOV23!AY35+HISTODEC23!AY35</f>
        <v>0</v>
      </c>
      <c r="AZ35" s="5">
        <f>HISTOJANV23!AZ35+HISTOFEV23!AZ35+HISTOMARS23!AZ35+HISTOAVRIL23!AZ35+HISTOMAI23!AZ35+HISTOJUIN23!AZ35+HISTOJUIL23!AZ35+HISTOAOUT23!AZ35+HISTOSEPT23!AZ35+HISTOOCT23!AZ35+HISTONOV23!AZ35+HISTODEC23!AZ35</f>
        <v>297500</v>
      </c>
      <c r="BA35" s="5">
        <f>HISTOJANV23!BA35+HISTOFEV23!BA35+HISTOMARS23!BA35+HISTOAVRIL23!BA35+HISTOMAI23!BA35+HISTOJUIN23!BA35+HISTOJUIL23!BA35+HISTOAOUT23!BA35+HISTOSEPT23!BA35+HISTOOCT23!BA35+HISTONOV23!BA35+HISTODEC23!BA35</f>
        <v>0</v>
      </c>
      <c r="BB35" s="5">
        <f>HISTOJANV23!BB35+HISTOFEV23!BB35+HISTOMARS23!BB35+HISTOAVRIL23!BB35+HISTOMAI23!BB35+HISTOJUIN23!BB35+HISTOJUIL23!BB35+HISTOAOUT23!BB35+HISTOSEPT23!BB35+HISTOOCT23!BB35+HISTONOV23!BB35+HISTODEC23!BB35</f>
        <v>70000</v>
      </c>
      <c r="BC35" s="5">
        <f>HISTOJANV23!BC35+HISTOFEV23!BC35+HISTOMARS23!BC35+HISTOAVRIL23!BC35+HISTOMAI23!BC35+HISTOJUIN23!BC35+HISTOJUIL23!BC35+HISTOAOUT23!BC35+HISTOSEPT23!BC35+HISTOOCT23!BC35+HISTONOV23!BC35+HISTODEC23!BC35</f>
        <v>0</v>
      </c>
      <c r="BD35" s="5">
        <f>HISTOJANV23!BD35+HISTOFEV23!BD35+HISTOMARS23!BD35+HISTOAVRIL23!BD35+HISTOMAI23!BD35+HISTOJUIN23!BD35+HISTOJUIL23!BD35+HISTOAOUT23!BD35+HISTOSEPT23!BD35+HISTOOCT23!BD35+HISTONOV23!BD35+HISTODEC23!BD35</f>
        <v>227500</v>
      </c>
      <c r="BE35" s="82">
        <f>HISTOJANV23!BE35+HISTOFEV23!BE35+HISTOMARS23!BE35+HISTOAVRIL23!BE35+HISTOMAI23!BE35+HISTOJUIN23!BE35+HISTOJUIL23!BE35+HISTOAOUT23!BE35+HISTOSEPT23!BE35+HISTOOCT23!BE35+HISTONOV23!BE35+HISTODEC23!BE35</f>
        <v>0</v>
      </c>
      <c r="BF35" s="5">
        <f>HISTOJANV23!BF35+HISTOFEV23!BF35+HISTOMARS23!BF35+HISTOAVRIL23!BF35+HISTOMAI23!BF35+HISTOJUIN23!BF35+HISTOJUIL23!BF35+HISTOAOUT23!BF35+HISTOSEPT23!BF35+HISTOOCT23!BF35+HISTONOV23!BF35+HISTODEC23!BF35</f>
        <v>0</v>
      </c>
      <c r="BG35" s="5">
        <f>HISTOJANV23!BG35+HISTOFEV23!BG35+HISTOMARS23!BG35+HISTOAVRIL23!BG35+HISTOMAI23!BG35+HISTOJUIN23!BG35+HISTOJUIL23!BG35+HISTOAOUT23!BG35+HISTOSEPT23!BG35+HISTOOCT23!BG35+HISTONOV23!BG35+HISTODEC23!BG35</f>
        <v>78</v>
      </c>
      <c r="BH35" s="5">
        <f>HISTOJANV23!BH35+HISTOFEV23!BH35+HISTOMARS23!BH35+HISTOAVRIL23!BH35+HISTOMAI23!BH35+HISTOJUIN23!BH35+HISTOJUIL23!BH35+HISTOAOUT23!BH35+HISTOSEPT23!BH35+HISTOOCT23!BH35+HISTONOV23!BH35+HISTODEC23!BH35</f>
        <v>0</v>
      </c>
      <c r="BI35" s="5">
        <f>HISTOJANV23!BI35+HISTOFEV23!BI35+HISTOMARS23!BI35+HISTOAVRIL23!BI35+HISTOMAI23!BI35+HISTOJUIN23!BI35+HISTOJUIL23!BI35+HISTOAOUT23!BI35+HISTOSEPT23!BI35+HISTOOCT23!BI35+HISTONOV23!BI35+HISTODEC23!BI35</f>
        <v>0</v>
      </c>
      <c r="BJ35" s="5">
        <f>HISTOJANV23!BJ35+HISTOFEV23!BJ35+HISTOMARS23!BJ35+HISTOAVRIL23!BJ35+HISTOMAI23!BJ35+HISTOJUIN23!BJ35+HISTOJUIL23!BJ35+HISTOAOUT23!BJ35+HISTOSEPT23!BJ35+HISTOOCT23!BJ35+HISTONOV23!BJ35+HISTODEC23!BJ35</f>
        <v>0</v>
      </c>
      <c r="BK35" s="5">
        <f>HISTOJANV23!BK35+HISTOFEV23!BK35+HISTOMARS23!BK35+HISTOAVRIL23!BK35+HISTOMAI23!BK35+HISTOJUIN23!BK35+HISTOJUIL23!BK35+HISTOAOUT23!BK35+HISTOSEPT23!BK35+HISTOOCT23!BK35+HISTONOV23!BK35+HISTODEC23!BK35</f>
        <v>0</v>
      </c>
      <c r="BL35" s="5">
        <f>HISTOJANV23!BL35+HISTOFEV23!BL35+HISTOMARS23!BL35+HISTOAVRIL23!BL35+HISTOMAI23!BL35+HISTOJUIN23!BL35+HISTOJUIL23!BL35+HISTOAOUT23!BL35+HISTOSEPT23!BL35+HISTOOCT23!BL35+HISTONOV23!BL35+HISTODEC23!BL35</f>
        <v>0</v>
      </c>
      <c r="BM35" s="5">
        <f>HISTOJANV23!BM35+HISTOFEV23!BM35+HISTOMARS23!BM35+HISTOAVRIL23!BM35+HISTOMAI23!BM35+HISTOJUIN23!BM35+HISTOJUIL23!BM35+HISTOAOUT23!BM35+HISTOSEPT23!BM35+HISTOOCT23!BM35+HISTONOV23!BM35+HISTODEC23!BM35</f>
        <v>0</v>
      </c>
      <c r="BN35" t="s">
        <v>126</v>
      </c>
      <c r="BO35" t="s">
        <v>126</v>
      </c>
      <c r="BP35" s="5">
        <f>HISTOJANV23!BP35+HISTOFEV23!BP35+HISTOMARS23!BP35+HISTOAVRIL23!BP35+HISTOMAI23!BP35+HISTOJUIN23!BP35+HISTOJUIL23!BP35+HISTOAOUT23!BP35+HISTOSEPT23!BP35+HISTOOCT23!BP35+HISTONOV23!BP35+HISTODEC23!BP35</f>
        <v>1010000</v>
      </c>
    </row>
    <row r="36" spans="1:68" ht="18.75" x14ac:dyDescent="0.3">
      <c r="A36" s="1" t="s">
        <v>41</v>
      </c>
      <c r="B36" s="1" t="str">
        <f>VLOOKUP(A36,[17]LISTADHERENT!A$5:H$39,3,0)</f>
        <v>YOUMBI EMMANUEL</v>
      </c>
      <c r="C36" s="5">
        <f>HISTOJANV23!C36+HISTOFEV23!C36+HISTOMARS23!C36+HISTOAVRIL23!C36+HISTOMAI23!C36+HISTOJUIN23!C36+HISTOJUIL23!C36+HISTOAOUT23!C36+HISTOSEPT23!C36+HISTOOCT23!C36+HISTONOV23!C36+HISTODEC23!C36</f>
        <v>-70000</v>
      </c>
      <c r="D36" s="5">
        <f>HISTOJANV23!D36+HISTOFEV23!D36+HISTOMARS23!D36+HISTOAVRIL23!D36+HISTOMAI23!D36+HISTOJUIN23!D36+HISTOJUIL23!D36+HISTOAOUT23!D36+HISTOSEPT23!D36+HISTOOCT23!D36+HISTONOV23!D36+HISTODEC23!D36</f>
        <v>4483000</v>
      </c>
      <c r="E36" s="5">
        <f>HISTOJANV23!E36+HISTOFEV23!E36+HISTOMARS23!E36+HISTOAVRIL23!E36+HISTOMAI23!E36+HISTOJUIN23!E36+HISTOJUIL23!E36+HISTOAOUT23!E36+HISTOSEPT23!E36+HISTOOCT23!E36+HISTONOV23!E36+HISTODEC23!E36</f>
        <v>0</v>
      </c>
      <c r="F36" s="5">
        <f>HISTOJANV23!F36+HISTOFEV23!F36+HISTOMARS23!F36+HISTOAVRIL23!F36+HISTOMAI23!F36+HISTOJUIN23!F36+HISTOJUIL23!F36+HISTOAOUT23!F36+HISTOSEPT23!F36+HISTOOCT23!F36+HISTONOV23!F36+HISTODEC23!F36</f>
        <v>0</v>
      </c>
      <c r="G36" s="5">
        <f>HISTOJANV23!G36+HISTOFEV23!G36+HISTOMARS23!G36+HISTOAVRIL23!G36+HISTOMAI23!G36+HISTOJUIN23!G36+HISTOJUIL23!G36+HISTOAOUT23!G36+HISTOSEPT23!G36+HISTOOCT23!G36+HISTONOV23!G36+HISTODEC23!G36</f>
        <v>0</v>
      </c>
      <c r="H36" s="10" t="str">
        <f t="shared" si="0"/>
        <v>BANQUE</v>
      </c>
      <c r="I36" s="5">
        <f>HISTOJANV23!I36+HISTOFEV23!I36+HISTOMARS23!I36+HISTOAVRIL23!I36+HISTOMAI23!I36+HISTOJUIN23!I36+HISTOJUIL23!I36+HISTOAOUT23!I36+HISTOSEPT23!I36+HISTOOCT23!I36+HISTONOV23!I36+HISTODEC23!I36</f>
        <v>0</v>
      </c>
      <c r="J36" s="5">
        <f>HISTOJANV23!J36+HISTOFEV23!J36+HISTOMARS23!J36+HISTOAVRIL23!J36+HISTOMAI23!J36+HISTOJUIN23!J36+HISTOJUIL23!J36+HISTOAOUT23!J36+HISTOSEPT23!J36+HISTOOCT23!J36+HISTONOV23!J36+HISTODEC23!J36</f>
        <v>12</v>
      </c>
      <c r="K36" s="5">
        <f>HISTOJANV23!K36+HISTOFEV23!K36+HISTOMARS23!K36+HISTOAVRIL23!K36+HISTOMAI23!K36+HISTOJUIN23!K36+HISTOJUIL23!K36+HISTOAOUT23!K36+HISTOSEPT23!K36+HISTOOCT23!K36+HISTONOV23!K36+HISTODEC23!K36</f>
        <v>480000</v>
      </c>
      <c r="L36" s="5">
        <f>HISTOJANV23!L36+HISTOFEV23!L36+HISTOMARS23!L36+HISTOAVRIL23!L36+HISTOMAI23!L36+HISTOJUIN23!L36+HISTOJUIL23!L36+HISTOAOUT23!L36+HISTOSEPT23!L36+HISTOOCT23!L36+HISTONOV23!L36+HISTODEC23!L36</f>
        <v>24</v>
      </c>
      <c r="M36" s="5">
        <f>HISTOJANV23!M36+HISTOFEV23!M36+HISTOMARS23!M36+HISTOAVRIL23!M36+HISTOMAI23!M36+HISTOJUIN23!M36+HISTOJUIL23!M36+HISTOAOUT23!M36+HISTOSEPT23!M36+HISTOOCT23!M36+HISTONOV23!M36+HISTODEC23!M36</f>
        <v>1800000</v>
      </c>
      <c r="N36" s="5">
        <f>HISTOJANV23!N36+HISTOFEV23!N36+HISTOMARS23!N36+HISTOAVRIL23!N36+HISTOMAI23!N36+HISTOJUIN23!N36+HISTOJUIL23!N36+HISTOAOUT23!N36+HISTOSEPT23!N36+HISTOOCT23!N36+HISTONOV23!N36+HISTODEC23!N36</f>
        <v>12</v>
      </c>
      <c r="O36" s="5">
        <f>HISTOJANV23!O36+HISTOFEV23!O36+HISTOMARS23!O36+HISTOAVRIL23!O36+HISTOMAI23!O36+HISTOJUIN23!O36+HISTOJUIL23!O36+HISTOAOUT23!O36+HISTOSEPT23!O36+HISTOOCT23!O36+HISTONOV23!O36+HISTODEC23!O36</f>
        <v>1200000</v>
      </c>
      <c r="P36" s="5">
        <f>HISTOJANV23!P36+HISTOFEV23!P36+HISTOMARS23!P36+HISTOAVRIL23!P36+HISTOMAI23!P36+HISTOJUIN23!P36+HISTOJUIL23!P36+HISTOAOUT23!P36+HISTOSEPT23!P36+HISTOOCT23!P36+HISTONOV23!P36+HISTODEC23!P36</f>
        <v>0</v>
      </c>
      <c r="Q36" s="5">
        <f>HISTOJANV23!Q36+HISTOFEV23!Q36+HISTOMARS23!Q36+HISTOAVRIL23!Q36+HISTOMAI23!Q36+HISTOJUIN23!Q36+HISTOJUIL23!Q36+HISTOAOUT23!Q36+HISTOSEPT23!Q36+HISTOOCT23!Q36+HISTONOV23!Q36+HISTODEC23!Q36</f>
        <v>0</v>
      </c>
      <c r="R36" s="5">
        <f>HISTOJANV23!R36+HISTOFEV23!R36+HISTOMARS23!R36+HISTOAVRIL23!R36+HISTOMAI23!R36+HISTOJUIN23!R36+HISTOJUIL23!R36+HISTOAOUT23!R36+HISTOSEPT23!R36+HISTOOCT23!R36+HISTONOV23!R36+HISTODEC23!R36</f>
        <v>0</v>
      </c>
      <c r="S36" s="5">
        <f>HISTOJANV23!S36+HISTOFEV23!S36+HISTOMARS23!S36+HISTOAVRIL23!S36+HISTOMAI23!S36+HISTOJUIN23!S36+HISTOJUIL23!S36+HISTOAOUT23!S36+HISTOSEPT23!S36+HISTOOCT23!S36+HISTONOV23!S36+HISTODEC23!S36</f>
        <v>1003000</v>
      </c>
      <c r="T36" s="5" t="e">
        <f>HISTOJANV23!T36+HISTOFEV23!T36+HISTOMARS23!T36+HISTOAVRIL23!T36+HISTOMAI23!T36+HISTOJUIN23!T36+HISTOJUIL23!T36+HISTOAOUT23!T36+HISTOSEPT23!T36+HISTOOCT23!T36+HISTONOV23!T36+HISTODEC23!T36</f>
        <v>#VALUE!</v>
      </c>
      <c r="U36" s="17">
        <f t="shared" si="1"/>
        <v>4494000</v>
      </c>
      <c r="V36" s="5">
        <f>HISTOJANV23!V36+HISTOFEV23!V36+HISTOMARS23!V36+HISTOAVRIL23!V36+HISTOMAI23!V36+HISTOJUIN23!V36+HISTOJUIL23!V36+HISTOAOUT23!V36+HISTOSEPT23!V36+HISTOOCT23!V36+HISTONOV23!V36+HISTODEC23!V36</f>
        <v>11000</v>
      </c>
      <c r="W36" s="5">
        <f>HISTOJANV23!W36+HISTOFEV23!W36+HISTOMARS23!W36+HISTOAVRIL23!W36+HISTOMAI23!W36+HISTOJUIN23!W36+HISTOJUIL23!W36+HISTOAOUT23!W36+HISTOSEPT23!W36+HISTOOCT23!W36+HISTONOV23!W36+HISTODEC23!W36</f>
        <v>0</v>
      </c>
      <c r="X36" s="5">
        <f>HISTOJANV23!X36+HISTOFEV23!X36+HISTOMARS23!X36+HISTOAVRIL23!X36+HISTOMAI23!X36+HISTOJUIN23!X36+HISTOJUIL23!X36+HISTOAOUT23!X36+HISTOSEPT23!X36+HISTOOCT23!X36+HISTONOV23!X36+HISTODEC23!X36</f>
        <v>0</v>
      </c>
      <c r="Y36" s="5">
        <f>HISTOJANV23!Y36+HISTOFEV23!Y36+HISTOMARS23!Y36+HISTOAVRIL23!Y36+HISTOMAI23!Y36+HISTOJUIN23!Y36+HISTOJUIL23!Y36+HISTOAOUT23!Y36+HISTOSEPT23!Y36+HISTOOCT23!Y36+HISTONOV23!Y36+HISTODEC23!Y36</f>
        <v>0</v>
      </c>
      <c r="Z36" s="5">
        <f>HISTOJANV23!Z36+HISTOFEV23!Z36+HISTOMARS23!Z36+HISTOAVRIL23!Z36+HISTOMAI23!Z36+HISTOJUIN23!Z36+HISTOJUIL23!Z36+HISTOAOUT23!Z36+HISTOSEPT23!Z36+HISTOOCT23!Z36+HISTONOV23!Z36+HISTODEC23!Z36</f>
        <v>1000000</v>
      </c>
      <c r="AA36" s="5" t="e">
        <f>HISTOJANV23!AA36+HISTOFEV23!AA36+HISTOMARS23!AA36+HISTOAVRIL23!AA36+HISTOMAI23!AA36+HISTOJUIN23!AA36+HISTOJUIL23!AA36+HISTOAOUT23!AA36+HISTOSEPT23!AA36+HISTOOCT23!AA36+HISTONOV23!AA36+HISTODEC23!AA36</f>
        <v>#VALUE!</v>
      </c>
      <c r="AB36" s="5">
        <f>HISTOJANV23!AB36+HISTOFEV23!AB36+HISTOMARS23!AB36+HISTOAVRIL23!AB36+HISTOMAI23!AB36+HISTOJUIN23!AB36+HISTOJUIL23!AB36+HISTOAOUT23!AB36+HISTOSEPT23!AB36+HISTOOCT23!AB36+HISTONOV23!AB36+HISTODEC23!AB36</f>
        <v>0</v>
      </c>
      <c r="AC36" s="5">
        <f>HISTOJANV23!AC36+HISTOFEV23!AC36+HISTOMARS23!AC36+HISTOAVRIL23!AC36+HISTOMAI23!AC36+HISTOJUIN23!AC36+HISTOJUIL23!AC36+HISTOAOUT23!AC36+HISTOSEPT23!AC36+HISTOOCT23!AC36+HISTONOV23!AC36+HISTODEC23!AC36</f>
        <v>2500</v>
      </c>
      <c r="AD36" s="5">
        <f>HISTOJANV23!AD36+HISTOFEV23!AD36+HISTOMARS23!AD36+HISTOAVRIL23!AD36+HISTOMAI23!AD36+HISTOJUIN23!AD36+HISTOJUIL23!AD36+HISTOAOUT23!AD36+HISTOSEPT23!AD36+HISTOOCT23!AD36+HISTONOV23!AD36+HISTODEC23!AD36</f>
        <v>15000</v>
      </c>
      <c r="AE36" s="5">
        <f>HISTOJANV23!AE36+HISTOFEV23!AE36+HISTOMARS23!AE36+HISTOAVRIL23!AE36+HISTOMAI23!AE36+HISTOJUIN23!AE36+HISTOJUIL23!AE36+HISTOAOUT23!AE36+HISTOSEPT23!AE36+HISTOOCT23!AE36+HISTONOV23!AE36+HISTODEC23!AE36</f>
        <v>10000</v>
      </c>
      <c r="AF36" s="5" t="e">
        <f>HISTOJANV23!AF36+HISTOFEV23!AF36+HISTOMARS23!AF36+HISTOAVRIL23!AF36+HISTOMAI23!AF36+HISTOJUIN23!AF36+HISTOJUIL23!AF36+HISTOAOUT23!AF36+HISTOSEPT23!AF36+HISTOOCT23!AF36+HISTONOV23!AF36+HISTODEC23!AF36</f>
        <v>#VALUE!</v>
      </c>
      <c r="AG36" s="5">
        <f>HISTOJANV23!AG36+HISTOFEV23!AG36+HISTOMARS23!AG36+HISTOAVRIL23!AG36+HISTOMAI23!AG36+HISTOJUIN23!AG36+HISTOJUIL23!AG36+HISTOAOUT23!AG36+HISTOSEPT23!AG36+HISTOOCT23!AG36+HISTONOV23!AG36+HISTODEC23!AG36</f>
        <v>0</v>
      </c>
      <c r="AH36" s="5">
        <f>HISTOJANV23!AH36+HISTOFEV23!AH36+HISTOMARS23!AH36+HISTOAVRIL23!AH36+HISTOMAI23!AH36+HISTOJUIN23!AH36+HISTOJUIL23!AH36+HISTOAOUT23!AH36+HISTOSEPT23!AH36+HISTOOCT23!AH36+HISTONOV23!AH36+HISTODEC23!AH36</f>
        <v>0</v>
      </c>
      <c r="AI36" s="5">
        <f>HISTOJANV23!AI36+HISTOFEV23!AI36+HISTOMARS23!AI36+HISTOAVRIL23!AI36+HISTOMAI23!AI36+HISTOJUIN23!AI36+HISTOJUIL23!AI36+HISTOAOUT23!AI36+HISTOSEPT23!AI36+HISTOOCT23!AI36+HISTONOV23!AI36+HISTODEC23!AI36</f>
        <v>0</v>
      </c>
      <c r="AJ36" s="5">
        <f>HISTOJANV23!AJ36+HISTOFEV23!AJ36+HISTOMARS23!AJ36+HISTOAVRIL23!AJ36+HISTOMAI23!AJ36+HISTOJUIN23!AJ36+HISTOJUIL23!AJ36+HISTOAOUT23!AJ36+HISTOSEPT23!AJ36+HISTOOCT23!AJ36+HISTONOV23!AJ36+HISTODEC23!AJ36</f>
        <v>0</v>
      </c>
      <c r="AK36" s="5">
        <f>HISTOJANV23!AK36+HISTOFEV23!AK36+HISTOMARS23!AK36+HISTOAVRIL23!AK36+HISTOMAI23!AK36+HISTOJUIN23!AK36+HISTOJUIL23!AK36+HISTOAOUT23!AK36+HISTOSEPT23!AK36+HISTOOCT23!AK36+HISTONOV23!AK36+HISTODEC23!AK36</f>
        <v>0</v>
      </c>
      <c r="AL36" s="5">
        <f>HISTOJANV23!AL36+HISTOFEV23!AL36+HISTOMARS23!AL36+HISTOAVRIL23!AL36+HISTOMAI23!AL36+HISTOJUIN23!AL36+HISTOJUIL23!AL36+HISTOAOUT23!AL36+HISTOSEPT23!AL36+HISTOOCT23!AL36+HISTONOV23!AL36+HISTODEC23!AL36</f>
        <v>0</v>
      </c>
      <c r="AM36" s="5">
        <f>HISTOJANV23!AM36+HISTOFEV23!AM36+HISTOMARS23!AM36+HISTOAVRIL23!AM36+HISTOMAI23!AM36+HISTOJUIN23!AM36+HISTOJUIL23!AM36+HISTOAOUT23!AM36+HISTOSEPT23!AM36+HISTOOCT23!AM36+HISTONOV23!AM36+HISTODEC23!AM36</f>
        <v>0</v>
      </c>
      <c r="AN36" s="5">
        <f>HISTOJANV23!AN36+HISTOFEV23!AN36+HISTOMARS23!AN36+HISTOAVRIL23!AN36+HISTOMAI23!AN36+HISTOJUIN23!AN36+HISTOJUIL23!AN36+HISTOAOUT23!AN36+HISTOSEPT23!AN36+HISTOOCT23!AN36+HISTONOV23!AN36+HISTODEC23!AN36</f>
        <v>0</v>
      </c>
      <c r="AO36" s="5">
        <f>HISTOJANV23!AO36+HISTOFEV23!AO36+HISTOMARS23!AO36+HISTOAVRIL23!AO36+HISTOMAI23!AO36+HISTOJUIN23!AO36+HISTOJUIL23!AO36+HISTOAOUT23!AO36+HISTOSEPT23!AO36+HISTOOCT23!AO36+HISTONOV23!AO36+HISTODEC23!AO36</f>
        <v>0</v>
      </c>
      <c r="AP36" s="5">
        <f>HISTOJANV23!AP36+HISTOFEV23!AP36+HISTOMARS23!AP36+HISTOAVRIL23!AP36+HISTOMAI23!AP36+HISTOJUIN23!AP36+HISTOJUIL23!AP36+HISTOAOUT23!AP36+HISTOSEPT23!AP36+HISTOOCT23!AP36+HISTONOV23!AP36+HISTODEC23!AP36</f>
        <v>0</v>
      </c>
      <c r="AQ36" s="5">
        <f>HISTOJANV23!AQ36+HISTOFEV23!AQ36+HISTOMARS23!AQ36+HISTOAVRIL23!AQ36+HISTOMAI23!AQ36+HISTOJUIN23!AQ36+HISTOJUIL23!AQ36+HISTOAOUT23!AQ36+HISTOSEPT23!AQ36+HISTOOCT23!AQ36+HISTONOV23!AQ36+HISTODEC23!AQ36</f>
        <v>0</v>
      </c>
      <c r="AR36" s="5">
        <f>HISTOJANV23!AR36+HISTOFEV23!AR36+HISTOMARS23!AR36+HISTOAVRIL23!AR36+HISTOMAI23!AR36+HISTOJUIN23!AR36+HISTOJUIL23!AR36+HISTOAOUT23!AR36+HISTOSEPT23!AR36+HISTOOCT23!AR36+HISTONOV23!AR36+HISTODEC23!AR36</f>
        <v>0</v>
      </c>
      <c r="AS36" s="5">
        <f>HISTOJANV23!AS36+HISTOFEV23!AS36+HISTOMARS23!AS36+HISTOAVRIL23!AS36+HISTOMAI23!AS36+HISTOJUIN23!AS36+HISTOJUIL23!AS36+HISTOAOUT23!AS36+HISTOSEPT23!AS36+HISTOOCT23!AS36+HISTONOV23!AS36+HISTODEC23!AS36</f>
        <v>180000</v>
      </c>
      <c r="AT36" s="5">
        <f>HISTOJANV23!AT36+HISTOFEV23!AT36+HISTOMARS23!AT36+HISTOAVRIL23!AT36+HISTOMAI23!AT36+HISTOJUIN23!AT36+HISTOJUIL23!AT36+HISTOAOUT23!AT36+HISTOSEPT23!AT36+HISTOOCT23!AT36+HISTONOV23!AT36+HISTODEC23!AT36</f>
        <v>0</v>
      </c>
      <c r="AU36" s="5">
        <f>HISTOJANV23!AU36+HISTOFEV23!AU36+HISTOMARS23!AU36+HISTOAVRIL23!AU36+HISTOMAI23!AU36+HISTOJUIN23!AU36+HISTOJUIL23!AU36+HISTOAOUT23!AU36+HISTOSEPT23!AU36+HISTOOCT23!AU36+HISTONOV23!AU36+HISTODEC23!AU36</f>
        <v>0</v>
      </c>
      <c r="AV36" s="5">
        <f>HISTOJANV23!AV36+HISTOFEV23!AV36+HISTOMARS23!AV36+HISTOAVRIL23!AV36+HISTOMAI23!AV36+HISTOJUIN23!AV36+HISTOJUIL23!AV36+HISTOAOUT23!AV36+HISTOSEPT23!AV36+HISTOOCT23!AV36+HISTONOV23!AV36+HISTODEC23!AV36</f>
        <v>0</v>
      </c>
      <c r="AW36" s="5">
        <f>HISTOJANV23!AW36+HISTOFEV23!AW36+HISTOMARS23!AW36+HISTOAVRIL23!AW36+HISTOMAI23!AW36+HISTOJUIN23!AW36+HISTOJUIL23!AW36+HISTOAOUT23!AW36+HISTOSEPT23!AW36+HISTOOCT23!AW36+HISTONOV23!AW36+HISTODEC23!AW36</f>
        <v>297500</v>
      </c>
      <c r="AX36" s="5">
        <f>HISTOJANV23!AX36+HISTOFEV23!AX36+HISTOMARS23!AX36+HISTOAVRIL23!AX36+HISTOMAI23!AX36+HISTOJUIN23!AX36+HISTOJUIL23!AX36+HISTOAOUT23!AX36+HISTOSEPT23!AX36+HISTOOCT23!AX36+HISTONOV23!AX36+HISTODEC23!AX36</f>
        <v>1785000</v>
      </c>
      <c r="AY36" s="5">
        <f>HISTOJANV23!AY36+HISTOFEV23!AY36+HISTOMARS23!AY36+HISTOAVRIL23!AY36+HISTOMAI23!AY36+HISTOJUIN23!AY36+HISTOJUIL23!AY36+HISTOAOUT23!AY36+HISTOSEPT23!AY36+HISTOOCT23!AY36+HISTONOV23!AY36+HISTODEC23!AY36</f>
        <v>1190000</v>
      </c>
      <c r="AZ36" s="5">
        <f>HISTOJANV23!AZ36+HISTOFEV23!AZ36+HISTOMARS23!AZ36+HISTOAVRIL23!AZ36+HISTOMAI23!AZ36+HISTOJUIN23!AZ36+HISTOJUIL23!AZ36+HISTOAOUT23!AZ36+HISTOSEPT23!AZ36+HISTOOCT23!AZ36+HISTONOV23!AZ36+HISTODEC23!AZ36</f>
        <v>4212500</v>
      </c>
      <c r="BA36" s="5">
        <f>HISTOJANV23!BA36+HISTOFEV23!BA36+HISTOMARS23!BA36+HISTOAVRIL23!BA36+HISTOMAI23!BA36+HISTOJUIN23!BA36+HISTOJUIL23!BA36+HISTOAOUT23!BA36+HISTOSEPT23!BA36+HISTOOCT23!BA36+HISTONOV23!BA36+HISTODEC23!BA36</f>
        <v>0</v>
      </c>
      <c r="BB36" s="5">
        <f>HISTOJANV23!BB36+HISTOFEV23!BB36+HISTOMARS23!BB36+HISTOAVRIL23!BB36+HISTOMAI23!BB36+HISTOJUIN23!BB36+HISTOJUIL23!BB36+HISTOAOUT23!BB36+HISTOSEPT23!BB36+HISTOOCT23!BB36+HISTONOV23!BB36+HISTODEC23!BB36</f>
        <v>70000</v>
      </c>
      <c r="BC36" s="5">
        <f>HISTOJANV23!BC36+HISTOFEV23!BC36+HISTOMARS23!BC36+HISTOAVRIL23!BC36+HISTOMAI23!BC36+HISTOJUIN23!BC36+HISTOJUIL23!BC36+HISTOAOUT23!BC36+HISTOSEPT23!BC36+HISTOOCT23!BC36+HISTONOV23!BC36+HISTODEC23!BC36</f>
        <v>0</v>
      </c>
      <c r="BD36" s="5">
        <f>HISTOJANV23!BD36+HISTOFEV23!BD36+HISTOMARS23!BD36+HISTOAVRIL23!BD36+HISTOMAI23!BD36+HISTOJUIN23!BD36+HISTOJUIL23!BD36+HISTOAOUT23!BD36+HISTOSEPT23!BD36+HISTOOCT23!BD36+HISTONOV23!BD36+HISTODEC23!BD36</f>
        <v>4142500</v>
      </c>
      <c r="BE36" s="82" t="e">
        <f>HISTOJANV23!BE36+HISTOFEV23!BE36+HISTOMARS23!BE36+HISTOAVRIL23!BE36+HISTOMAI23!BE36+HISTOJUIN23!BE36+HISTOJUIL23!BE36+HISTOAOUT23!BE36+HISTOSEPT23!BE36+HISTOOCT23!BE36+HISTONOV23!BE36+HISTODEC23!BE36</f>
        <v>#VALUE!</v>
      </c>
      <c r="BF36" s="5">
        <f>HISTOJANV23!BF36+HISTOFEV23!BF36+HISTOMARS23!BF36+HISTOAVRIL23!BF36+HISTOMAI23!BF36+HISTOJUIN23!BF36+HISTOJUIL23!BF36+HISTOAOUT23!BF36+HISTOSEPT23!BF36+HISTOOCT23!BF36+HISTONOV23!BF36+HISTODEC23!BF36</f>
        <v>60000</v>
      </c>
      <c r="BG36" s="5">
        <f>HISTOJANV23!BG36+HISTOFEV23!BG36+HISTOMARS23!BG36+HISTOAVRIL23!BG36+HISTOMAI23!BG36+HISTOJUIN23!BG36+HISTOJUIL23!BG36+HISTOAOUT23!BG36+HISTOSEPT23!BG36+HISTOOCT23!BG36+HISTONOV23!BG36+HISTODEC23!BG36</f>
        <v>76</v>
      </c>
      <c r="BH36" s="5">
        <f>HISTOJANV23!BH36+HISTOFEV23!BH36+HISTOMARS23!BH36+HISTOAVRIL23!BH36+HISTOMAI23!BH36+HISTOJUIN23!BH36+HISTOJUIL23!BH36+HISTOAOUT23!BH36+HISTOSEPT23!BH36+HISTOOCT23!BH36+HISTONOV23!BH36+HISTODEC23!BH36</f>
        <v>0</v>
      </c>
      <c r="BI36" s="5">
        <f>HISTOJANV23!BI36+HISTOFEV23!BI36+HISTOMARS23!BI36+HISTOAVRIL23!BI36+HISTOMAI23!BI36+HISTOJUIN23!BI36+HISTOJUIL23!BI36+HISTOAOUT23!BI36+HISTOSEPT23!BI36+HISTOOCT23!BI36+HISTONOV23!BI36+HISTODEC23!BI36</f>
        <v>0</v>
      </c>
      <c r="BJ36" s="5">
        <f>HISTOJANV23!BJ36+HISTOFEV23!BJ36+HISTOMARS23!BJ36+HISTOAVRIL23!BJ36+HISTOMAI23!BJ36+HISTOJUIN23!BJ36+HISTOJUIL23!BJ36+HISTOAOUT23!BJ36+HISTOSEPT23!BJ36+HISTOOCT23!BJ36+HISTONOV23!BJ36+HISTODEC23!BJ36</f>
        <v>0</v>
      </c>
      <c r="BK36" s="5">
        <f>HISTOJANV23!BK36+HISTOFEV23!BK36+HISTOMARS23!BK36+HISTOAVRIL23!BK36+HISTOMAI23!BK36+HISTOJUIN23!BK36+HISTOJUIL23!BK36+HISTOAOUT23!BK36+HISTOSEPT23!BK36+HISTOOCT23!BK36+HISTONOV23!BK36+HISTODEC23!BK36</f>
        <v>0</v>
      </c>
      <c r="BL36" s="5">
        <f>HISTOJANV23!BL36+HISTOFEV23!BL36+HISTOMARS23!BL36+HISTOAVRIL23!BL36+HISTOMAI23!BL36+HISTOJUIN23!BL36+HISTOJUIL23!BL36+HISTOAOUT23!BL36+HISTOSEPT23!BL36+HISTOOCT23!BL36+HISTONOV23!BL36+HISTODEC23!BL36</f>
        <v>0</v>
      </c>
      <c r="BM36" s="5">
        <f>HISTOJANV23!BM36+HISTOFEV23!BM36+HISTOMARS23!BM36+HISTOAVRIL23!BM36+HISTOMAI23!BM36+HISTOJUIN23!BM36+HISTOJUIL23!BM36+HISTOAOUT23!BM36+HISTOSEPT23!BM36+HISTOOCT23!BM36+HISTONOV23!BM36+HISTODEC23!BM36</f>
        <v>0</v>
      </c>
      <c r="BN36" t="s">
        <v>127</v>
      </c>
      <c r="BO36" t="s">
        <v>126</v>
      </c>
      <c r="BP36" s="5">
        <f>HISTOJANV23!BP36+HISTOFEV23!BP36+HISTOMARS23!BP36+HISTOAVRIL23!BP36+HISTOMAI23!BP36+HISTOJUIN23!BP36+HISTOJUIL23!BP36+HISTOAOUT23!BP36+HISTOSEPT23!BP36+HISTOOCT23!BP36+HISTONOV23!BP36+HISTODEC23!BP36</f>
        <v>0</v>
      </c>
    </row>
    <row r="37" spans="1:68" ht="18.75" x14ac:dyDescent="0.3">
      <c r="P37" s="6"/>
      <c r="Q37" s="6"/>
      <c r="R37" s="6"/>
      <c r="S37" s="6"/>
      <c r="AW37" s="15"/>
      <c r="AX37" s="15"/>
      <c r="AY37" s="15"/>
      <c r="AZ37" s="16"/>
      <c r="BF37" s="29"/>
    </row>
    <row r="38" spans="1:68" ht="18.75" x14ac:dyDescent="0.3">
      <c r="B38" s="1" t="s">
        <v>44</v>
      </c>
      <c r="C38" s="5">
        <f t="shared" ref="C38:S38" si="2">SUM(C6:C37)</f>
        <v>-3552500</v>
      </c>
      <c r="D38" s="5">
        <f t="shared" si="2"/>
        <v>68252000</v>
      </c>
      <c r="E38" s="5">
        <f t="shared" si="2"/>
        <v>12371500</v>
      </c>
      <c r="F38" s="5">
        <f t="shared" si="2"/>
        <v>6192500</v>
      </c>
      <c r="G38" s="5">
        <f t="shared" si="2"/>
        <v>75000</v>
      </c>
      <c r="H38" s="5">
        <f t="shared" si="2"/>
        <v>0</v>
      </c>
      <c r="I38" s="5">
        <f t="shared" si="2"/>
        <v>2694800</v>
      </c>
      <c r="J38" s="5">
        <f t="shared" si="2"/>
        <v>360</v>
      </c>
      <c r="K38" s="5">
        <f t="shared" si="2"/>
        <v>14400000</v>
      </c>
      <c r="L38" s="5">
        <f t="shared" si="2"/>
        <v>204</v>
      </c>
      <c r="M38" s="5">
        <f t="shared" si="2"/>
        <v>15300000</v>
      </c>
      <c r="N38" s="5">
        <f t="shared" si="2"/>
        <v>168</v>
      </c>
      <c r="O38" s="5">
        <f t="shared" si="2"/>
        <v>16800000</v>
      </c>
      <c r="P38" s="5">
        <f t="shared" si="2"/>
        <v>1160500</v>
      </c>
      <c r="Q38" s="5">
        <f t="shared" si="2"/>
        <v>3574000</v>
      </c>
      <c r="R38" s="5">
        <f t="shared" si="2"/>
        <v>7466000</v>
      </c>
      <c r="S38" s="5">
        <f t="shared" si="2"/>
        <v>25939700</v>
      </c>
      <c r="T38" s="5"/>
      <c r="U38" s="5">
        <f t="shared" ref="U38:AA38" si="3">SUM(U6:U37)</f>
        <v>87692000</v>
      </c>
      <c r="V38" s="5">
        <f t="shared" si="3"/>
        <v>207000</v>
      </c>
      <c r="W38" s="5">
        <f t="shared" si="3"/>
        <v>75000</v>
      </c>
      <c r="X38" s="5">
        <f t="shared" si="3"/>
        <v>0</v>
      </c>
      <c r="Y38" s="5">
        <f t="shared" si="3"/>
        <v>0</v>
      </c>
      <c r="Z38" s="5">
        <f t="shared" si="3"/>
        <v>24605000</v>
      </c>
      <c r="AA38" s="5" t="e">
        <f t="shared" si="3"/>
        <v>#VALUE!</v>
      </c>
      <c r="AB38" s="5"/>
      <c r="AC38" s="5">
        <f>SUM(AC6:AC37)</f>
        <v>212000</v>
      </c>
      <c r="AD38" s="5">
        <f>SUM(AD6:AD37)</f>
        <v>267500</v>
      </c>
      <c r="AE38" s="5">
        <f>SUM(AE6:AE37)</f>
        <v>531000</v>
      </c>
      <c r="AF38" s="5" t="e">
        <f>SUM(AF6:AF37)</f>
        <v>#VALUE!</v>
      </c>
      <c r="AG38" s="5">
        <f>SUM(AG6:AG37)</f>
        <v>0</v>
      </c>
      <c r="AH38" s="5"/>
      <c r="AI38" s="5">
        <f t="shared" ref="AI38:BD38" si="4">SUM(AI6:AI37)</f>
        <v>1133500</v>
      </c>
      <c r="AJ38" s="5">
        <f t="shared" si="4"/>
        <v>3619000</v>
      </c>
      <c r="AK38" s="5">
        <f t="shared" si="4"/>
        <v>7371500</v>
      </c>
      <c r="AL38" s="5">
        <f t="shared" si="4"/>
        <v>29000</v>
      </c>
      <c r="AM38" s="5">
        <f t="shared" si="4"/>
        <v>56000</v>
      </c>
      <c r="AN38" s="5">
        <f t="shared" si="4"/>
        <v>95500</v>
      </c>
      <c r="AO38" s="5">
        <f t="shared" si="4"/>
        <v>0</v>
      </c>
      <c r="AP38" s="5" t="e">
        <f t="shared" si="4"/>
        <v>#VALUE!</v>
      </c>
      <c r="AQ38" s="5">
        <f t="shared" si="4"/>
        <v>0</v>
      </c>
      <c r="AR38" s="5">
        <f t="shared" si="4"/>
        <v>4000</v>
      </c>
      <c r="AS38" s="5">
        <f t="shared" si="4"/>
        <v>8078600</v>
      </c>
      <c r="AT38" s="5">
        <f t="shared" si="4"/>
        <v>360000</v>
      </c>
      <c r="AU38" s="5">
        <f t="shared" si="4"/>
        <v>0</v>
      </c>
      <c r="AV38" s="5">
        <f t="shared" si="4"/>
        <v>0</v>
      </c>
      <c r="AW38" s="5">
        <f t="shared" si="4"/>
        <v>9764000</v>
      </c>
      <c r="AX38" s="5">
        <f t="shared" si="4"/>
        <v>17759000</v>
      </c>
      <c r="AY38" s="5">
        <f t="shared" si="4"/>
        <v>23640500</v>
      </c>
      <c r="AZ38" s="5">
        <f t="shared" si="4"/>
        <v>65341800</v>
      </c>
      <c r="BA38" s="5">
        <f t="shared" si="4"/>
        <v>4182500</v>
      </c>
      <c r="BB38" s="5">
        <f t="shared" si="4"/>
        <v>2240000</v>
      </c>
      <c r="BC38" s="5">
        <f t="shared" si="4"/>
        <v>0</v>
      </c>
      <c r="BD38" s="5">
        <f t="shared" si="4"/>
        <v>59031500</v>
      </c>
      <c r="BE38" s="5"/>
      <c r="BF38" s="5">
        <f>SUM(BF6:BF37)</f>
        <v>1640200</v>
      </c>
      <c r="BH38" s="5">
        <f t="shared" ref="BH38:BL38" si="5">SUM(BH6:BH37)</f>
        <v>199000</v>
      </c>
      <c r="BI38" s="5">
        <f t="shared" si="5"/>
        <v>825000</v>
      </c>
      <c r="BJ38" s="5">
        <f t="shared" si="5"/>
        <v>1320000</v>
      </c>
      <c r="BK38" s="5">
        <f t="shared" si="5"/>
        <v>1010000</v>
      </c>
      <c r="BL38" s="5">
        <f t="shared" si="5"/>
        <v>0</v>
      </c>
      <c r="BM38" s="5">
        <f>SUM(BM6:BM37)</f>
        <v>200000</v>
      </c>
      <c r="BN38" s="62" t="s">
        <v>142</v>
      </c>
      <c r="BP38" s="62">
        <f>SUM(BP35:BP36)</f>
        <v>1010000</v>
      </c>
    </row>
    <row r="39" spans="1:68" ht="18.75" x14ac:dyDescent="0.3">
      <c r="AW39" s="15"/>
      <c r="AX39" s="15"/>
      <c r="AY39" s="15"/>
      <c r="AZ39" s="16"/>
    </row>
    <row r="40" spans="1:68" ht="18.75" x14ac:dyDescent="0.3">
      <c r="C40" s="3" t="s">
        <v>8</v>
      </c>
      <c r="D40" s="67"/>
      <c r="E40" s="67"/>
      <c r="F40" s="3" t="s">
        <v>9</v>
      </c>
      <c r="G40" s="67"/>
      <c r="H40" s="67"/>
      <c r="I40" s="67"/>
      <c r="Z40" s="12"/>
      <c r="AI40" s="5"/>
      <c r="AV40" s="3"/>
      <c r="AW40" s="67"/>
      <c r="AX40" s="15"/>
      <c r="AY40" s="15"/>
      <c r="AZ40" s="16"/>
    </row>
    <row r="41" spans="1:68" ht="18.75" x14ac:dyDescent="0.3">
      <c r="B41" s="1" t="s">
        <v>74</v>
      </c>
      <c r="C41" s="1" t="s">
        <v>76</v>
      </c>
      <c r="D41" s="1" t="s">
        <v>75</v>
      </c>
      <c r="E41" s="1" t="s">
        <v>77</v>
      </c>
      <c r="F41" s="1" t="s">
        <v>75</v>
      </c>
      <c r="G41" s="1" t="s">
        <v>76</v>
      </c>
      <c r="H41" s="1" t="s">
        <v>77</v>
      </c>
      <c r="I41" s="1"/>
      <c r="J41" s="1"/>
      <c r="K41" s="1"/>
      <c r="Z41" s="12"/>
      <c r="AI41" s="5"/>
      <c r="AW41" s="15"/>
      <c r="AX41" s="15"/>
      <c r="AY41" s="15"/>
      <c r="AZ41" s="16"/>
      <c r="BN41" s="62" t="s">
        <v>142</v>
      </c>
      <c r="BP41" s="62">
        <f>BP16+BP22+BP28+BP33+BP38</f>
        <v>3554000</v>
      </c>
    </row>
    <row r="42" spans="1:68" ht="18.75" x14ac:dyDescent="0.3">
      <c r="B42" s="1" t="s">
        <v>78</v>
      </c>
      <c r="AW42" s="15"/>
      <c r="AX42" s="15"/>
      <c r="AY42" s="15"/>
      <c r="AZ42" s="16"/>
    </row>
    <row r="43" spans="1:68" ht="18.75" x14ac:dyDescent="0.3">
      <c r="B43" s="1" t="s">
        <v>79</v>
      </c>
      <c r="C43" s="14">
        <f>AZ38</f>
        <v>65341800</v>
      </c>
      <c r="D43" s="9">
        <f>SUMIFS(D8:D38,H8:H38,"BANQUE")</f>
        <v>65764000</v>
      </c>
      <c r="F43" s="9">
        <f>E38</f>
        <v>12371500</v>
      </c>
      <c r="G43" s="14"/>
      <c r="J43" s="5"/>
      <c r="AW43" s="15"/>
      <c r="AX43" s="15"/>
      <c r="AY43" s="15"/>
      <c r="AZ43" s="16"/>
    </row>
    <row r="44" spans="1:68" ht="18.75" x14ac:dyDescent="0.3">
      <c r="AW44" s="15"/>
      <c r="AX44" s="15"/>
      <c r="AY44" s="15"/>
      <c r="AZ44" s="16"/>
    </row>
    <row r="45" spans="1:68" ht="18.75" x14ac:dyDescent="0.3">
      <c r="AW45" s="15"/>
      <c r="AX45" s="15"/>
      <c r="AY45" s="15"/>
      <c r="AZ45" s="16"/>
    </row>
    <row r="46" spans="1:68" ht="18.75" x14ac:dyDescent="0.3">
      <c r="AW46" s="15"/>
      <c r="AX46" s="15"/>
      <c r="AY46" s="15"/>
      <c r="AZ46" s="16"/>
    </row>
    <row r="47" spans="1:68" ht="18.75" x14ac:dyDescent="0.3">
      <c r="AW47" s="15"/>
      <c r="AX47" s="15"/>
      <c r="AY47" s="15"/>
      <c r="AZ47" s="16"/>
    </row>
    <row r="48" spans="1:68" ht="18.75" x14ac:dyDescent="0.3">
      <c r="AW48" s="15"/>
      <c r="AX48" s="15"/>
      <c r="AY48" s="15"/>
      <c r="AZ48" s="16"/>
    </row>
    <row r="49" spans="49:52" ht="18.75" x14ac:dyDescent="0.3">
      <c r="AW49" s="15"/>
      <c r="AX49" s="15"/>
      <c r="AY49" s="15"/>
      <c r="AZ49" s="16"/>
    </row>
    <row r="50" spans="49:52" ht="18.75" x14ac:dyDescent="0.3">
      <c r="AW50" s="15"/>
      <c r="AX50" s="15"/>
      <c r="AY50" s="15"/>
      <c r="AZ50" s="16"/>
    </row>
    <row r="51" spans="49:52" ht="18.75" x14ac:dyDescent="0.3">
      <c r="AW51" s="15"/>
      <c r="AX51" s="15"/>
      <c r="AY51" s="15"/>
      <c r="AZ51" s="16"/>
    </row>
    <row r="52" spans="49:52" ht="18.75" x14ac:dyDescent="0.3">
      <c r="AW52" s="15"/>
      <c r="AX52" s="15"/>
      <c r="AY52" s="15"/>
      <c r="AZ52" s="16"/>
    </row>
    <row r="53" spans="49:52" ht="18.75" x14ac:dyDescent="0.3">
      <c r="AW53" s="15"/>
      <c r="AX53" s="15"/>
      <c r="AY53" s="15"/>
      <c r="AZ53" s="16"/>
    </row>
    <row r="54" spans="49:52" ht="18.75" x14ac:dyDescent="0.3">
      <c r="AW54" s="15"/>
      <c r="AX54" s="15"/>
      <c r="AY54" s="15"/>
      <c r="AZ54" s="16"/>
    </row>
    <row r="55" spans="49:52" ht="18.75" x14ac:dyDescent="0.3">
      <c r="AW55" s="15"/>
      <c r="AX55" s="15"/>
      <c r="AY55" s="15"/>
      <c r="AZ55" s="16"/>
    </row>
    <row r="56" spans="49:52" ht="18.75" x14ac:dyDescent="0.3">
      <c r="AW56" s="15"/>
      <c r="AX56" s="15"/>
      <c r="AY56" s="15"/>
      <c r="AZ56" s="16"/>
    </row>
    <row r="57" spans="49:52" ht="18.75" x14ac:dyDescent="0.3">
      <c r="AW57" s="15"/>
      <c r="AX57" s="15"/>
      <c r="AY57" s="15"/>
      <c r="AZ57" s="16"/>
    </row>
    <row r="58" spans="49:52" ht="18.75" x14ac:dyDescent="0.3">
      <c r="AW58" s="15"/>
      <c r="AX58" s="15"/>
      <c r="AY58" s="15"/>
      <c r="AZ58" s="16"/>
    </row>
    <row r="59" spans="49:52" ht="18.75" x14ac:dyDescent="0.3">
      <c r="AW59" s="15"/>
      <c r="AX59" s="15"/>
      <c r="AY59" s="15"/>
      <c r="AZ59" s="16"/>
    </row>
    <row r="60" spans="49:52" ht="18.75" x14ac:dyDescent="0.3">
      <c r="AW60" s="15"/>
      <c r="AX60" s="15"/>
      <c r="AY60" s="15"/>
      <c r="AZ60" s="16"/>
    </row>
    <row r="61" spans="49:52" ht="18.75" x14ac:dyDescent="0.3">
      <c r="AW61" s="15"/>
      <c r="AX61" s="15"/>
      <c r="AY61" s="15"/>
      <c r="AZ61" s="16"/>
    </row>
    <row r="62" spans="49:52" ht="18.75" x14ac:dyDescent="0.3">
      <c r="AW62" s="15"/>
      <c r="AX62" s="15"/>
      <c r="AY62" s="15"/>
      <c r="AZ62" s="16"/>
    </row>
    <row r="63" spans="49:52" ht="18.75" x14ac:dyDescent="0.3">
      <c r="AW63" s="15"/>
      <c r="AX63" s="15"/>
      <c r="AY63" s="15"/>
      <c r="AZ63" s="16"/>
    </row>
    <row r="64" spans="49:52" ht="18.75" x14ac:dyDescent="0.3">
      <c r="AW64" s="15"/>
      <c r="AX64" s="15"/>
      <c r="AY64" s="15"/>
      <c r="AZ64" s="16"/>
    </row>
    <row r="65" spans="49:52" ht="18.75" x14ac:dyDescent="0.3">
      <c r="AW65" s="15"/>
      <c r="AX65" s="15"/>
      <c r="AY65" s="15"/>
      <c r="AZ65" s="16"/>
    </row>
    <row r="66" spans="49:52" ht="18.75" x14ac:dyDescent="0.3">
      <c r="AW66" s="15"/>
      <c r="AX66" s="15"/>
      <c r="AY66" s="15"/>
      <c r="AZ66" s="16"/>
    </row>
    <row r="67" spans="49:52" ht="18.75" x14ac:dyDescent="0.3">
      <c r="AW67" s="15"/>
      <c r="AX67" s="15"/>
      <c r="AY67" s="15"/>
      <c r="AZ67" s="16"/>
    </row>
    <row r="68" spans="49:52" ht="18.75" x14ac:dyDescent="0.3">
      <c r="AW68" s="15"/>
      <c r="AX68" s="15"/>
      <c r="AY68" s="15"/>
      <c r="AZ68" s="16"/>
    </row>
    <row r="69" spans="49:52" ht="18.75" x14ac:dyDescent="0.3">
      <c r="AW69" s="15"/>
      <c r="AX69" s="15"/>
      <c r="AY69" s="15"/>
      <c r="AZ69" s="16"/>
    </row>
    <row r="70" spans="49:52" ht="18.75" x14ac:dyDescent="0.3">
      <c r="AW70" s="15"/>
      <c r="AX70" s="15"/>
      <c r="AY70" s="15"/>
      <c r="AZ70" s="16"/>
    </row>
    <row r="71" spans="49:52" ht="18.75" x14ac:dyDescent="0.3">
      <c r="AW71" s="15"/>
      <c r="AX71" s="15"/>
      <c r="AY71" s="15"/>
      <c r="AZ71" s="16"/>
    </row>
    <row r="72" spans="49:52" ht="18.75" x14ac:dyDescent="0.3">
      <c r="AW72" s="15"/>
      <c r="AX72" s="15"/>
      <c r="AY72" s="15"/>
      <c r="AZ72" s="16"/>
    </row>
    <row r="73" spans="49:52" ht="18.75" x14ac:dyDescent="0.3">
      <c r="AW73" s="15"/>
      <c r="AX73" s="15"/>
      <c r="AY73" s="15"/>
      <c r="AZ73" s="16"/>
    </row>
    <row r="74" spans="49:52" ht="18.75" x14ac:dyDescent="0.3">
      <c r="AW74" s="15"/>
      <c r="AX74" s="15"/>
      <c r="AY74" s="15"/>
      <c r="AZ74" s="16"/>
    </row>
    <row r="75" spans="49:52" ht="18.75" x14ac:dyDescent="0.3">
      <c r="AW75" s="15"/>
      <c r="AX75" s="15"/>
      <c r="AY75" s="15"/>
      <c r="AZ75" s="16"/>
    </row>
    <row r="76" spans="49:52" ht="18.75" x14ac:dyDescent="0.3">
      <c r="AW76" s="15"/>
      <c r="AX76" s="15"/>
      <c r="AY76" s="15"/>
      <c r="AZ76" s="16"/>
    </row>
    <row r="77" spans="49:52" ht="18.75" x14ac:dyDescent="0.3">
      <c r="AW77" s="15"/>
      <c r="AX77" s="15"/>
      <c r="AY77" s="15"/>
      <c r="AZ77" s="16"/>
    </row>
    <row r="78" spans="49:52" ht="18.75" x14ac:dyDescent="0.3">
      <c r="AW78" s="15"/>
      <c r="AX78" s="15"/>
      <c r="AY78" s="15"/>
      <c r="AZ78" s="16"/>
    </row>
    <row r="79" spans="49:52" ht="18.75" x14ac:dyDescent="0.3">
      <c r="AW79" s="15"/>
      <c r="AX79" s="15"/>
      <c r="AY79" s="15"/>
      <c r="AZ79" s="16"/>
    </row>
    <row r="81" spans="49:52" ht="18" x14ac:dyDescent="0.25">
      <c r="AW81" s="5"/>
      <c r="AX81" s="5"/>
      <c r="AY81" s="5"/>
      <c r="AZ81" s="5">
        <f>SUM(AZ8:AZ80)</f>
        <v>125561600</v>
      </c>
    </row>
  </sheetData>
  <autoFilter ref="A5:AF36"/>
  <mergeCells count="1">
    <mergeCell ref="B4:M4"/>
  </mergeCells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I16" sqref="I1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/>
  <dcterms:created xsi:type="dcterms:W3CDTF">2020-03-01T01:00:00Z</dcterms:created>
</cp:coreProperties>
</file>