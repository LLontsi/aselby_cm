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20490" windowHeight="7095" activeTab="2"/>
  </bookViews>
  <sheets>
    <sheet name="MODEVERSEMENT" sheetId="2" r:id="rId1"/>
    <sheet name="COMPTE BANQUE" sheetId="13" r:id="rId2"/>
    <sheet name="HISTOBQUEJANV23" sheetId="26" r:id="rId3"/>
    <sheet name="HISTOBQUEJANV22" sheetId="6" r:id="rId4"/>
    <sheet name="HISTOBQUEFEV22" sheetId="14" r:id="rId5"/>
    <sheet name="HISTOBQUEMARS22" sheetId="15" r:id="rId6"/>
    <sheet name="HISTOBQUEAVRIL22" sheetId="16" r:id="rId7"/>
    <sheet name="HISTOBQUEMAI22" sheetId="17" r:id="rId8"/>
    <sheet name="HISTOBQUEJUIN22" sheetId="18" r:id="rId9"/>
    <sheet name="HISTOBQUEJUIL22" sheetId="19" r:id="rId10"/>
    <sheet name="HISTOBQUEAOUT22" sheetId="20" r:id="rId11"/>
    <sheet name="HISTOBQUESEPT22" sheetId="21" r:id="rId12"/>
    <sheet name="HISTOBQUEOCT22" sheetId="22" r:id="rId13"/>
    <sheet name="HISTOBQUENOV22" sheetId="23" r:id="rId14"/>
    <sheet name="HISTOBQUEDEC22" sheetId="24" r:id="rId15"/>
    <sheet name="HISTOBQUERESUME22" sheetId="25" r:id="rId16"/>
  </sheets>
  <externalReferences>
    <externalReference r:id="rId17"/>
    <externalReference r:id="rId18"/>
    <externalReference r:id="rId19"/>
    <externalReference r:id="rId20"/>
    <externalReference r:id="rId21"/>
  </externalReferences>
  <definedNames>
    <definedName name="_xlnm._FilterDatabase" localSheetId="10" hidden="1">HISTOBQUEAOUT22!$A$5:$F$36</definedName>
    <definedName name="_xlnm._FilterDatabase" localSheetId="6" hidden="1">HISTOBQUEAVRIL22!$A$5:$F$36</definedName>
    <definedName name="_xlnm._FilterDatabase" localSheetId="14" hidden="1">HISTOBQUEDEC22!$A$5:$F$36</definedName>
    <definedName name="_xlnm._FilterDatabase" localSheetId="4" hidden="1">HISTOBQUEFEV22!$A$5:$F$36</definedName>
    <definedName name="_xlnm._FilterDatabase" localSheetId="3" hidden="1">HISTOBQUEJANV22!$A$5:$F$36</definedName>
    <definedName name="_xlnm._FilterDatabase" localSheetId="2" hidden="1">HISTOBQUEJANV23!$A$5:$F$36</definedName>
    <definedName name="_xlnm._FilterDatabase" localSheetId="9" hidden="1">HISTOBQUEJUIL22!$A$5:$F$36</definedName>
    <definedName name="_xlnm._FilterDatabase" localSheetId="8" hidden="1">HISTOBQUEJUIN22!$A$5:$F$36</definedName>
    <definedName name="_xlnm._FilterDatabase" localSheetId="7" hidden="1">HISTOBQUEMAI22!$A$5:$F$36</definedName>
    <definedName name="_xlnm._FilterDatabase" localSheetId="5" hidden="1">HISTOBQUEMARS22!$A$5:$F$36</definedName>
    <definedName name="_xlnm._FilterDatabase" localSheetId="13" hidden="1">HISTOBQUENOV22!$A$5:$F$36</definedName>
    <definedName name="_xlnm._FilterDatabase" localSheetId="12" hidden="1">HISTOBQUEOCT22!$A$5:$F$36</definedName>
    <definedName name="_xlnm._FilterDatabase" localSheetId="15" hidden="1">HISTOBQUERESUME22!$A$5:$F$36</definedName>
    <definedName name="_xlnm._FilterDatabase" localSheetId="11" hidden="1">HISTOBQUESEPT22!$A$5:$F$36</definedName>
    <definedName name="BANQUE" localSheetId="1">#REF!</definedName>
    <definedName name="BANQUE" localSheetId="10">#REF!</definedName>
    <definedName name="BANQUE" localSheetId="6">#REF!</definedName>
    <definedName name="BANQUE" localSheetId="14">#REF!</definedName>
    <definedName name="BANQUE" localSheetId="4">#REF!</definedName>
    <definedName name="BANQUE" localSheetId="3">#REF!</definedName>
    <definedName name="BANQUE" localSheetId="2">#REF!</definedName>
    <definedName name="BANQUE" localSheetId="9">#REF!</definedName>
    <definedName name="BANQUE" localSheetId="8">#REF!</definedName>
    <definedName name="BANQUE" localSheetId="7">#REF!</definedName>
    <definedName name="BANQUE" localSheetId="5">#REF!</definedName>
    <definedName name="BANQUE" localSheetId="13">#REF!</definedName>
    <definedName name="BANQUE" localSheetId="12">#REF!</definedName>
    <definedName name="BANQUE" localSheetId="15">#REF!</definedName>
    <definedName name="BANQUE" localSheetId="11">#REF!</definedName>
    <definedName name="BANQUE" localSheetId="0">#REF!</definedName>
    <definedName name="BANQUE">#REF!</definedName>
    <definedName name="MODEPAID">[1]Feuil2!$A$1:$A$3</definedName>
    <definedName name="MODET25000">[2]MODEVERSEMENT!$A$1:$A$3</definedName>
    <definedName name="MODEVERSEMENT" localSheetId="1">#REF!</definedName>
    <definedName name="MODEVERSEMENT" localSheetId="10">#REF!</definedName>
    <definedName name="MODEVERSEMENT" localSheetId="6">#REF!</definedName>
    <definedName name="MODEVERSEMENT" localSheetId="14">#REF!</definedName>
    <definedName name="MODEVERSEMENT" localSheetId="4">#REF!</definedName>
    <definedName name="MODEVERSEMENT" localSheetId="3">#REF!</definedName>
    <definedName name="MODEVERSEMENT" localSheetId="2">#REF!</definedName>
    <definedName name="MODEVERSEMENT" localSheetId="9">#REF!</definedName>
    <definedName name="MODEVERSEMENT" localSheetId="8">#REF!</definedName>
    <definedName name="MODEVERSEMENT" localSheetId="7">#REF!</definedName>
    <definedName name="MODEVERSEMENT" localSheetId="5">#REF!</definedName>
    <definedName name="MODEVERSEMENT" localSheetId="13">#REF!</definedName>
    <definedName name="MODEVERSEMENT" localSheetId="12">#REF!</definedName>
    <definedName name="MODEVERSEMENT" localSheetId="15">#REF!</definedName>
    <definedName name="MODEVERSEMENT" localSheetId="11">#REF!</definedName>
    <definedName name="MODEVERSEMENT" localSheetId="0">#REF!</definedName>
    <definedName name="MODEVERSEMENT">#REF!</definedName>
    <definedName name="MODEVERSEMENTS" localSheetId="1">[3]MODEVERSEMENT!$A$1:$A$3</definedName>
    <definedName name="MODEVERSEMENTS" localSheetId="10">[3]MODEVERSEMENT!$A$1:$A$3</definedName>
    <definedName name="MODEVERSEMENTS" localSheetId="6">[3]MODEVERSEMENT!$A$1:$A$3</definedName>
    <definedName name="MODEVERSEMENTS" localSheetId="14">[3]MODEVERSEMENT!$A$1:$A$3</definedName>
    <definedName name="MODEVERSEMENTS" localSheetId="4">[3]MODEVERSEMENT!$A$1:$A$3</definedName>
    <definedName name="MODEVERSEMENTS" localSheetId="3">[3]MODEVERSEMENT!$A$1:$A$3</definedName>
    <definedName name="MODEVERSEMENTS" localSheetId="2">[3]MODEVERSEMENT!$A$1:$A$3</definedName>
    <definedName name="MODEVERSEMENTS" localSheetId="9">[3]MODEVERSEMENT!$A$1:$A$3</definedName>
    <definedName name="MODEVERSEMENTS" localSheetId="8">[3]MODEVERSEMENT!$A$1:$A$3</definedName>
    <definedName name="MODEVERSEMENTS" localSheetId="7">[3]MODEVERSEMENT!$A$1:$A$3</definedName>
    <definedName name="MODEVERSEMENTS" localSheetId="5">[3]MODEVERSEMENT!$A$1:$A$3</definedName>
    <definedName name="MODEVERSEMENTS" localSheetId="13">[3]MODEVERSEMENT!$A$1:$A$3</definedName>
    <definedName name="MODEVERSEMENTS" localSheetId="12">[3]MODEVERSEMENT!$A$1:$A$3</definedName>
    <definedName name="MODEVERSEMENTS" localSheetId="15">[3]MODEVERSEMENT!$A$1:$A$3</definedName>
    <definedName name="MODEVERSEMENTS" localSheetId="11">[3]MODEVERSEMENT!$A$1:$A$3</definedName>
    <definedName name="MODEVERSEMENTS">MODEVERSEMENT!$A$1:$A$3</definedName>
    <definedName name="VALMODEPAID">[4]MODEPAID!$A$1:$A$3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26" l="1"/>
  <c r="G38" i="26"/>
  <c r="D38" i="26"/>
  <c r="F36" i="26"/>
  <c r="B36" i="26"/>
  <c r="F35" i="26"/>
  <c r="B35" i="26"/>
  <c r="F34" i="26"/>
  <c r="B34" i="26"/>
  <c r="F33" i="26"/>
  <c r="B33" i="26"/>
  <c r="F32" i="26"/>
  <c r="B32" i="26"/>
  <c r="F31" i="26"/>
  <c r="B31" i="26"/>
  <c r="F30" i="26"/>
  <c r="B30" i="26"/>
  <c r="F29" i="26"/>
  <c r="B29" i="26"/>
  <c r="F28" i="26"/>
  <c r="B28" i="26"/>
  <c r="F27" i="26"/>
  <c r="B27" i="26"/>
  <c r="F26" i="26"/>
  <c r="B26" i="26"/>
  <c r="F25" i="26"/>
  <c r="B25" i="26"/>
  <c r="F24" i="26"/>
  <c r="B24" i="26"/>
  <c r="F23" i="26"/>
  <c r="B23" i="26"/>
  <c r="F22" i="26"/>
  <c r="B22" i="26"/>
  <c r="F21" i="26"/>
  <c r="B21" i="26"/>
  <c r="F20" i="26"/>
  <c r="B20" i="26"/>
  <c r="F19" i="26"/>
  <c r="B19" i="26"/>
  <c r="F18" i="26"/>
  <c r="B18" i="26"/>
  <c r="F17" i="26"/>
  <c r="B17" i="26"/>
  <c r="F16" i="26"/>
  <c r="B16" i="26"/>
  <c r="F15" i="26"/>
  <c r="B15" i="26"/>
  <c r="F14" i="26"/>
  <c r="B14" i="26"/>
  <c r="F13" i="26"/>
  <c r="B13" i="26"/>
  <c r="F12" i="26"/>
  <c r="B12" i="26"/>
  <c r="F11" i="26"/>
  <c r="E38" i="26"/>
  <c r="B11" i="26"/>
  <c r="F10" i="26"/>
  <c r="B10" i="26"/>
  <c r="F9" i="26"/>
  <c r="B9" i="26"/>
  <c r="F8" i="26"/>
  <c r="B8" i="26"/>
  <c r="F7" i="26"/>
  <c r="B7" i="26"/>
  <c r="F6" i="26"/>
  <c r="B6" i="26"/>
  <c r="F38" i="26" l="1"/>
  <c r="C38" i="26"/>
  <c r="C35" i="24"/>
  <c r="C33" i="24"/>
  <c r="C32" i="24"/>
  <c r="C28" i="24"/>
  <c r="C26" i="24"/>
  <c r="C20" i="24"/>
  <c r="C10" i="24"/>
  <c r="C8" i="24"/>
  <c r="D18" i="14" l="1"/>
  <c r="D30" i="15" l="1"/>
  <c r="D13" i="15"/>
  <c r="D9" i="15"/>
  <c r="D8" i="15"/>
  <c r="E20" i="14"/>
  <c r="E11" i="6" l="1"/>
  <c r="C26" i="23" l="1"/>
  <c r="C8" i="23"/>
  <c r="C25" i="23"/>
  <c r="C18" i="23"/>
  <c r="C20" i="23"/>
  <c r="J22" i="23" l="1"/>
  <c r="I20" i="23"/>
  <c r="C10" i="23"/>
  <c r="C24" i="22" l="1"/>
  <c r="C18" i="22"/>
  <c r="C20" i="22"/>
  <c r="D26" i="21" l="1"/>
  <c r="E35" i="20" l="1"/>
  <c r="D18" i="20"/>
  <c r="C18" i="20"/>
  <c r="E7" i="19" l="1"/>
  <c r="C19" i="15" l="1"/>
  <c r="G40" i="18" l="1"/>
  <c r="G38" i="18"/>
  <c r="C25" i="17" l="1"/>
  <c r="G23" i="17"/>
  <c r="C20" i="17"/>
  <c r="G38" i="16"/>
  <c r="C7" i="25" l="1"/>
  <c r="D7" i="25"/>
  <c r="E7" i="25"/>
  <c r="C8" i="25"/>
  <c r="D8" i="25"/>
  <c r="E8" i="25"/>
  <c r="C9" i="25"/>
  <c r="D9" i="25"/>
  <c r="E9" i="25"/>
  <c r="C10" i="25"/>
  <c r="D10" i="25"/>
  <c r="E10" i="25"/>
  <c r="C11" i="25"/>
  <c r="D11" i="25"/>
  <c r="E11" i="25"/>
  <c r="C12" i="25"/>
  <c r="D12" i="25"/>
  <c r="E12" i="25"/>
  <c r="C13" i="25"/>
  <c r="D13" i="25"/>
  <c r="E13" i="25"/>
  <c r="C14" i="25"/>
  <c r="D14" i="25"/>
  <c r="E14" i="25"/>
  <c r="C15" i="25"/>
  <c r="D15" i="25"/>
  <c r="E15" i="25"/>
  <c r="C16" i="25"/>
  <c r="D16" i="25"/>
  <c r="E16" i="25"/>
  <c r="C17" i="25"/>
  <c r="D17" i="25"/>
  <c r="E17" i="25"/>
  <c r="C18" i="25"/>
  <c r="D18" i="25"/>
  <c r="E18" i="25"/>
  <c r="C19" i="25"/>
  <c r="D19" i="25"/>
  <c r="E19" i="25"/>
  <c r="C20" i="25"/>
  <c r="D20" i="25"/>
  <c r="E20" i="25"/>
  <c r="C21" i="25"/>
  <c r="D21" i="25"/>
  <c r="E21" i="25"/>
  <c r="C22" i="25"/>
  <c r="D22" i="25"/>
  <c r="E22" i="25"/>
  <c r="C23" i="25"/>
  <c r="D23" i="25"/>
  <c r="E23" i="25"/>
  <c r="C24" i="25"/>
  <c r="D24" i="25"/>
  <c r="E24" i="25"/>
  <c r="C25" i="25"/>
  <c r="D25" i="25"/>
  <c r="E25" i="25"/>
  <c r="C26" i="25"/>
  <c r="D26" i="25"/>
  <c r="E26" i="25"/>
  <c r="C27" i="25"/>
  <c r="D27" i="25"/>
  <c r="E27" i="25"/>
  <c r="C28" i="25"/>
  <c r="D28" i="25"/>
  <c r="E28" i="25"/>
  <c r="C29" i="25"/>
  <c r="D29" i="25"/>
  <c r="E29" i="25"/>
  <c r="C30" i="25"/>
  <c r="D30" i="25"/>
  <c r="E30" i="25"/>
  <c r="C31" i="25"/>
  <c r="D31" i="25"/>
  <c r="E31" i="25"/>
  <c r="C32" i="25"/>
  <c r="D32" i="25"/>
  <c r="E32" i="25"/>
  <c r="C33" i="25"/>
  <c r="D33" i="25"/>
  <c r="E33" i="25"/>
  <c r="C34" i="25"/>
  <c r="D34" i="25"/>
  <c r="E34" i="25"/>
  <c r="C35" i="25"/>
  <c r="D35" i="25"/>
  <c r="E35" i="25"/>
  <c r="C36" i="25"/>
  <c r="D36" i="25"/>
  <c r="E36" i="25"/>
  <c r="D6" i="25"/>
  <c r="E6" i="25"/>
  <c r="C6" i="25"/>
  <c r="H38" i="25"/>
  <c r="G38" i="25"/>
  <c r="B36" i="25"/>
  <c r="B35" i="25"/>
  <c r="B34" i="25"/>
  <c r="B33" i="25"/>
  <c r="B32" i="25"/>
  <c r="B31" i="25"/>
  <c r="B30" i="25"/>
  <c r="B29" i="25"/>
  <c r="B28" i="25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B7" i="25"/>
  <c r="B6" i="25"/>
  <c r="H38" i="24"/>
  <c r="G38" i="24"/>
  <c r="E38" i="24"/>
  <c r="D38" i="24"/>
  <c r="C38" i="24"/>
  <c r="F36" i="24"/>
  <c r="B36" i="24"/>
  <c r="F35" i="24"/>
  <c r="B35" i="24"/>
  <c r="F34" i="24"/>
  <c r="B34" i="24"/>
  <c r="F33" i="24"/>
  <c r="B33" i="24"/>
  <c r="F32" i="24"/>
  <c r="B32" i="24"/>
  <c r="F31" i="24"/>
  <c r="B31" i="24"/>
  <c r="F30" i="24"/>
  <c r="B30" i="24"/>
  <c r="F29" i="24"/>
  <c r="B29" i="24"/>
  <c r="F28" i="24"/>
  <c r="B28" i="24"/>
  <c r="F27" i="24"/>
  <c r="B27" i="24"/>
  <c r="F26" i="24"/>
  <c r="B26" i="24"/>
  <c r="F25" i="24"/>
  <c r="B25" i="24"/>
  <c r="F24" i="24"/>
  <c r="B24" i="24"/>
  <c r="F23" i="24"/>
  <c r="B23" i="24"/>
  <c r="F22" i="24"/>
  <c r="B22" i="24"/>
  <c r="F21" i="24"/>
  <c r="B21" i="24"/>
  <c r="F20" i="24"/>
  <c r="B20" i="24"/>
  <c r="F19" i="24"/>
  <c r="B19" i="24"/>
  <c r="F18" i="24"/>
  <c r="B18" i="24"/>
  <c r="F17" i="24"/>
  <c r="B17" i="24"/>
  <c r="F16" i="24"/>
  <c r="B16" i="24"/>
  <c r="F15" i="24"/>
  <c r="B15" i="24"/>
  <c r="F14" i="24"/>
  <c r="B14" i="24"/>
  <c r="F13" i="24"/>
  <c r="B13" i="24"/>
  <c r="F12" i="24"/>
  <c r="B12" i="24"/>
  <c r="F11" i="24"/>
  <c r="B11" i="24"/>
  <c r="F10" i="24"/>
  <c r="B10" i="24"/>
  <c r="F9" i="24"/>
  <c r="B9" i="24"/>
  <c r="F8" i="24"/>
  <c r="B8" i="24"/>
  <c r="F7" i="24"/>
  <c r="B7" i="24"/>
  <c r="F6" i="24"/>
  <c r="B6" i="24"/>
  <c r="H38" i="23"/>
  <c r="G38" i="23"/>
  <c r="E38" i="23"/>
  <c r="D38" i="23"/>
  <c r="C38" i="23"/>
  <c r="G40" i="23" s="1"/>
  <c r="F36" i="23"/>
  <c r="B36" i="23"/>
  <c r="F35" i="23"/>
  <c r="B35" i="23"/>
  <c r="F34" i="23"/>
  <c r="B34" i="23"/>
  <c r="F33" i="23"/>
  <c r="B33" i="23"/>
  <c r="F32" i="23"/>
  <c r="B32" i="23"/>
  <c r="F31" i="23"/>
  <c r="B31" i="23"/>
  <c r="F30" i="23"/>
  <c r="B30" i="23"/>
  <c r="F29" i="23"/>
  <c r="B29" i="23"/>
  <c r="F28" i="23"/>
  <c r="B28" i="23"/>
  <c r="F27" i="23"/>
  <c r="B27" i="23"/>
  <c r="F26" i="23"/>
  <c r="B26" i="23"/>
  <c r="F25" i="23"/>
  <c r="B25" i="23"/>
  <c r="F24" i="23"/>
  <c r="B24" i="23"/>
  <c r="F23" i="23"/>
  <c r="B23" i="23"/>
  <c r="F22" i="23"/>
  <c r="B22" i="23"/>
  <c r="F21" i="23"/>
  <c r="B21" i="23"/>
  <c r="F20" i="23"/>
  <c r="B20" i="23"/>
  <c r="F19" i="23"/>
  <c r="B19" i="23"/>
  <c r="F18" i="23"/>
  <c r="B18" i="23"/>
  <c r="F17" i="23"/>
  <c r="B17" i="23"/>
  <c r="F16" i="23"/>
  <c r="B16" i="23"/>
  <c r="F15" i="23"/>
  <c r="B15" i="23"/>
  <c r="F14" i="23"/>
  <c r="B14" i="23"/>
  <c r="F13" i="23"/>
  <c r="B13" i="23"/>
  <c r="F12" i="23"/>
  <c r="B12" i="23"/>
  <c r="F11" i="23"/>
  <c r="B11" i="23"/>
  <c r="F10" i="23"/>
  <c r="B10" i="23"/>
  <c r="F9" i="23"/>
  <c r="B9" i="23"/>
  <c r="F8" i="23"/>
  <c r="B8" i="23"/>
  <c r="F7" i="23"/>
  <c r="B7" i="23"/>
  <c r="F6" i="23"/>
  <c r="B6" i="23"/>
  <c r="H38" i="22"/>
  <c r="G38" i="22"/>
  <c r="E38" i="22"/>
  <c r="D38" i="22"/>
  <c r="C38" i="22"/>
  <c r="F36" i="22"/>
  <c r="B36" i="22"/>
  <c r="F35" i="22"/>
  <c r="B35" i="22"/>
  <c r="F34" i="22"/>
  <c r="B34" i="22"/>
  <c r="F33" i="22"/>
  <c r="B33" i="22"/>
  <c r="F32" i="22"/>
  <c r="B32" i="22"/>
  <c r="F31" i="22"/>
  <c r="B31" i="22"/>
  <c r="F30" i="22"/>
  <c r="B30" i="22"/>
  <c r="F29" i="22"/>
  <c r="B29" i="22"/>
  <c r="F28" i="22"/>
  <c r="B28" i="22"/>
  <c r="F27" i="22"/>
  <c r="B27" i="22"/>
  <c r="F26" i="22"/>
  <c r="B26" i="22"/>
  <c r="F25" i="22"/>
  <c r="B25" i="22"/>
  <c r="F24" i="22"/>
  <c r="B24" i="22"/>
  <c r="F23" i="22"/>
  <c r="B23" i="22"/>
  <c r="F22" i="22"/>
  <c r="B22" i="22"/>
  <c r="F21" i="22"/>
  <c r="B21" i="22"/>
  <c r="F20" i="22"/>
  <c r="B20" i="22"/>
  <c r="F19" i="22"/>
  <c r="B19" i="22"/>
  <c r="F18" i="22"/>
  <c r="B18" i="22"/>
  <c r="F17" i="22"/>
  <c r="B17" i="22"/>
  <c r="F16" i="22"/>
  <c r="B16" i="22"/>
  <c r="F15" i="22"/>
  <c r="B15" i="22"/>
  <c r="F14" i="22"/>
  <c r="B14" i="22"/>
  <c r="F13" i="22"/>
  <c r="B13" i="22"/>
  <c r="F12" i="22"/>
  <c r="B12" i="22"/>
  <c r="F11" i="22"/>
  <c r="B11" i="22"/>
  <c r="F10" i="22"/>
  <c r="B10" i="22"/>
  <c r="F9" i="22"/>
  <c r="B9" i="22"/>
  <c r="F8" i="22"/>
  <c r="B8" i="22"/>
  <c r="F7" i="22"/>
  <c r="B7" i="22"/>
  <c r="F6" i="22"/>
  <c r="B6" i="22"/>
  <c r="H38" i="21"/>
  <c r="G38" i="21"/>
  <c r="E38" i="21"/>
  <c r="D38" i="21"/>
  <c r="C38" i="21"/>
  <c r="F36" i="21"/>
  <c r="B36" i="21"/>
  <c r="F35" i="21"/>
  <c r="B35" i="21"/>
  <c r="F34" i="21"/>
  <c r="B34" i="21"/>
  <c r="F33" i="21"/>
  <c r="B33" i="21"/>
  <c r="F32" i="21"/>
  <c r="B32" i="21"/>
  <c r="F31" i="21"/>
  <c r="B31" i="21"/>
  <c r="F30" i="21"/>
  <c r="B30" i="21"/>
  <c r="F29" i="21"/>
  <c r="B29" i="21"/>
  <c r="F28" i="21"/>
  <c r="B28" i="21"/>
  <c r="F27" i="21"/>
  <c r="B27" i="21"/>
  <c r="F26" i="21"/>
  <c r="B26" i="21"/>
  <c r="F25" i="21"/>
  <c r="B25" i="21"/>
  <c r="F24" i="21"/>
  <c r="B24" i="21"/>
  <c r="F23" i="21"/>
  <c r="B23" i="21"/>
  <c r="F22" i="21"/>
  <c r="B22" i="21"/>
  <c r="F21" i="21"/>
  <c r="B21" i="21"/>
  <c r="F20" i="21"/>
  <c r="B20" i="21"/>
  <c r="F19" i="21"/>
  <c r="B19" i="21"/>
  <c r="F18" i="21"/>
  <c r="B18" i="21"/>
  <c r="F17" i="21"/>
  <c r="B17" i="21"/>
  <c r="F16" i="21"/>
  <c r="B16" i="21"/>
  <c r="F15" i="21"/>
  <c r="B15" i="21"/>
  <c r="F14" i="21"/>
  <c r="B14" i="21"/>
  <c r="F13" i="21"/>
  <c r="B13" i="21"/>
  <c r="F12" i="21"/>
  <c r="B12" i="21"/>
  <c r="F11" i="21"/>
  <c r="B11" i="21"/>
  <c r="F10" i="21"/>
  <c r="B10" i="21"/>
  <c r="F9" i="21"/>
  <c r="B9" i="21"/>
  <c r="F8" i="21"/>
  <c r="B8" i="21"/>
  <c r="F7" i="21"/>
  <c r="B7" i="21"/>
  <c r="F6" i="21"/>
  <c r="B6" i="21"/>
  <c r="H38" i="20"/>
  <c r="G38" i="20"/>
  <c r="E38" i="20"/>
  <c r="D38" i="20"/>
  <c r="C38" i="20"/>
  <c r="F36" i="20"/>
  <c r="B36" i="20"/>
  <c r="F35" i="20"/>
  <c r="B35" i="20"/>
  <c r="F34" i="20"/>
  <c r="B34" i="20"/>
  <c r="F33" i="20"/>
  <c r="B33" i="20"/>
  <c r="F32" i="20"/>
  <c r="B32" i="20"/>
  <c r="F31" i="20"/>
  <c r="B31" i="20"/>
  <c r="F30" i="20"/>
  <c r="B30" i="20"/>
  <c r="F29" i="20"/>
  <c r="B29" i="20"/>
  <c r="F28" i="20"/>
  <c r="B28" i="20"/>
  <c r="F27" i="20"/>
  <c r="B27" i="20"/>
  <c r="F26" i="20"/>
  <c r="B26" i="20"/>
  <c r="F25" i="20"/>
  <c r="B25" i="20"/>
  <c r="F24" i="20"/>
  <c r="B24" i="20"/>
  <c r="F23" i="20"/>
  <c r="B23" i="20"/>
  <c r="F22" i="20"/>
  <c r="B22" i="20"/>
  <c r="F21" i="20"/>
  <c r="B21" i="20"/>
  <c r="F20" i="20"/>
  <c r="B20" i="20"/>
  <c r="F19" i="20"/>
  <c r="B19" i="20"/>
  <c r="F18" i="20"/>
  <c r="B18" i="20"/>
  <c r="F17" i="20"/>
  <c r="B17" i="20"/>
  <c r="F16" i="20"/>
  <c r="B16" i="20"/>
  <c r="F15" i="20"/>
  <c r="B15" i="20"/>
  <c r="F14" i="20"/>
  <c r="B14" i="20"/>
  <c r="F13" i="20"/>
  <c r="B13" i="20"/>
  <c r="F12" i="20"/>
  <c r="B12" i="20"/>
  <c r="F11" i="20"/>
  <c r="B11" i="20"/>
  <c r="F10" i="20"/>
  <c r="B10" i="20"/>
  <c r="F9" i="20"/>
  <c r="B9" i="20"/>
  <c r="F8" i="20"/>
  <c r="B8" i="20"/>
  <c r="F7" i="20"/>
  <c r="B7" i="20"/>
  <c r="F6" i="20"/>
  <c r="B6" i="20"/>
  <c r="H38" i="19"/>
  <c r="G38" i="19"/>
  <c r="E38" i="19"/>
  <c r="D38" i="19"/>
  <c r="C38" i="19"/>
  <c r="F36" i="19"/>
  <c r="B36" i="19"/>
  <c r="F35" i="19"/>
  <c r="B35" i="19"/>
  <c r="F34" i="19"/>
  <c r="B34" i="19"/>
  <c r="F33" i="19"/>
  <c r="B33" i="19"/>
  <c r="F32" i="19"/>
  <c r="B32" i="19"/>
  <c r="F31" i="19"/>
  <c r="B31" i="19"/>
  <c r="F30" i="19"/>
  <c r="B30" i="19"/>
  <c r="F29" i="19"/>
  <c r="B29" i="19"/>
  <c r="F28" i="19"/>
  <c r="B28" i="19"/>
  <c r="F27" i="19"/>
  <c r="B27" i="19"/>
  <c r="F26" i="19"/>
  <c r="B26" i="19"/>
  <c r="F25" i="19"/>
  <c r="B25" i="19"/>
  <c r="F24" i="19"/>
  <c r="B24" i="19"/>
  <c r="F23" i="19"/>
  <c r="B23" i="19"/>
  <c r="F22" i="19"/>
  <c r="B22" i="19"/>
  <c r="F21" i="19"/>
  <c r="B21" i="19"/>
  <c r="F20" i="19"/>
  <c r="B20" i="19"/>
  <c r="F19" i="19"/>
  <c r="B19" i="19"/>
  <c r="F18" i="19"/>
  <c r="B18" i="19"/>
  <c r="F17" i="19"/>
  <c r="B17" i="19"/>
  <c r="F16" i="19"/>
  <c r="B16" i="19"/>
  <c r="F15" i="19"/>
  <c r="B15" i="19"/>
  <c r="F14" i="19"/>
  <c r="B14" i="19"/>
  <c r="F13" i="19"/>
  <c r="B13" i="19"/>
  <c r="F12" i="19"/>
  <c r="B12" i="19"/>
  <c r="F11" i="19"/>
  <c r="B11" i="19"/>
  <c r="F10" i="19"/>
  <c r="B10" i="19"/>
  <c r="F9" i="19"/>
  <c r="B9" i="19"/>
  <c r="F8" i="19"/>
  <c r="B8" i="19"/>
  <c r="F7" i="19"/>
  <c r="B7" i="19"/>
  <c r="F6" i="19"/>
  <c r="B6" i="19"/>
  <c r="H38" i="18"/>
  <c r="E38" i="18"/>
  <c r="D38" i="18"/>
  <c r="C38" i="18"/>
  <c r="F36" i="18"/>
  <c r="B36" i="18"/>
  <c r="F35" i="18"/>
  <c r="B35" i="18"/>
  <c r="F34" i="18"/>
  <c r="B34" i="18"/>
  <c r="F33" i="18"/>
  <c r="B33" i="18"/>
  <c r="F32" i="18"/>
  <c r="B32" i="18"/>
  <c r="F31" i="18"/>
  <c r="B31" i="18"/>
  <c r="F30" i="18"/>
  <c r="B30" i="18"/>
  <c r="F29" i="18"/>
  <c r="B29" i="18"/>
  <c r="F28" i="18"/>
  <c r="B28" i="18"/>
  <c r="F27" i="18"/>
  <c r="B27" i="18"/>
  <c r="F26" i="18"/>
  <c r="B26" i="18"/>
  <c r="F25" i="18"/>
  <c r="B25" i="18"/>
  <c r="F24" i="18"/>
  <c r="B24" i="18"/>
  <c r="F23" i="18"/>
  <c r="B23" i="18"/>
  <c r="F22" i="18"/>
  <c r="B22" i="18"/>
  <c r="F21" i="18"/>
  <c r="B21" i="18"/>
  <c r="F20" i="18"/>
  <c r="B20" i="18"/>
  <c r="F19" i="18"/>
  <c r="B19" i="18"/>
  <c r="F18" i="18"/>
  <c r="B18" i="18"/>
  <c r="F17" i="18"/>
  <c r="B17" i="18"/>
  <c r="F16" i="18"/>
  <c r="B16" i="18"/>
  <c r="F15" i="18"/>
  <c r="B15" i="18"/>
  <c r="F14" i="18"/>
  <c r="B14" i="18"/>
  <c r="F13" i="18"/>
  <c r="B13" i="18"/>
  <c r="F12" i="18"/>
  <c r="B12" i="18"/>
  <c r="F11" i="18"/>
  <c r="B11" i="18"/>
  <c r="F10" i="18"/>
  <c r="B10" i="18"/>
  <c r="F9" i="18"/>
  <c r="B9" i="18"/>
  <c r="F8" i="18"/>
  <c r="B8" i="18"/>
  <c r="F7" i="18"/>
  <c r="B7" i="18"/>
  <c r="F6" i="18"/>
  <c r="B6" i="18"/>
  <c r="H38" i="17"/>
  <c r="G38" i="17"/>
  <c r="E41" i="17" s="1"/>
  <c r="E38" i="17"/>
  <c r="D38" i="17"/>
  <c r="C38" i="17"/>
  <c r="F36" i="17"/>
  <c r="B36" i="17"/>
  <c r="F35" i="17"/>
  <c r="B35" i="17"/>
  <c r="F34" i="17"/>
  <c r="B34" i="17"/>
  <c r="F33" i="17"/>
  <c r="B33" i="17"/>
  <c r="F32" i="17"/>
  <c r="B32" i="17"/>
  <c r="F31" i="17"/>
  <c r="B31" i="17"/>
  <c r="F30" i="17"/>
  <c r="B30" i="17"/>
  <c r="F29" i="17"/>
  <c r="B29" i="17"/>
  <c r="F28" i="17"/>
  <c r="B28" i="17"/>
  <c r="F27" i="17"/>
  <c r="B27" i="17"/>
  <c r="F26" i="17"/>
  <c r="B26" i="17"/>
  <c r="F25" i="17"/>
  <c r="B25" i="17"/>
  <c r="F24" i="17"/>
  <c r="B24" i="17"/>
  <c r="F23" i="17"/>
  <c r="B23" i="17"/>
  <c r="F22" i="17"/>
  <c r="B22" i="17"/>
  <c r="F21" i="17"/>
  <c r="B21" i="17"/>
  <c r="F20" i="17"/>
  <c r="B20" i="17"/>
  <c r="F19" i="17"/>
  <c r="B19" i="17"/>
  <c r="F18" i="17"/>
  <c r="B18" i="17"/>
  <c r="F17" i="17"/>
  <c r="B17" i="17"/>
  <c r="F16" i="17"/>
  <c r="B16" i="17"/>
  <c r="F15" i="17"/>
  <c r="B15" i="17"/>
  <c r="F14" i="17"/>
  <c r="B14" i="17"/>
  <c r="F13" i="17"/>
  <c r="B13" i="17"/>
  <c r="F12" i="17"/>
  <c r="B12" i="17"/>
  <c r="F11" i="17"/>
  <c r="B11" i="17"/>
  <c r="F10" i="17"/>
  <c r="B10" i="17"/>
  <c r="F9" i="17"/>
  <c r="B9" i="17"/>
  <c r="F8" i="17"/>
  <c r="B8" i="17"/>
  <c r="F7" i="17"/>
  <c r="B7" i="17"/>
  <c r="F6" i="17"/>
  <c r="B6" i="17"/>
  <c r="H38" i="16"/>
  <c r="E38" i="16"/>
  <c r="D38" i="16"/>
  <c r="C38" i="16"/>
  <c r="D40" i="16" s="1"/>
  <c r="F36" i="16"/>
  <c r="B36" i="16"/>
  <c r="F35" i="16"/>
  <c r="B35" i="16"/>
  <c r="F34" i="16"/>
  <c r="B34" i="16"/>
  <c r="F33" i="16"/>
  <c r="B33" i="16"/>
  <c r="F32" i="16"/>
  <c r="B32" i="16"/>
  <c r="F31" i="16"/>
  <c r="B31" i="16"/>
  <c r="F30" i="16"/>
  <c r="B30" i="16"/>
  <c r="F29" i="16"/>
  <c r="B29" i="16"/>
  <c r="F28" i="16"/>
  <c r="B28" i="16"/>
  <c r="F27" i="16"/>
  <c r="B27" i="16"/>
  <c r="F26" i="16"/>
  <c r="B26" i="16"/>
  <c r="F25" i="16"/>
  <c r="B25" i="16"/>
  <c r="F24" i="16"/>
  <c r="B24" i="16"/>
  <c r="F23" i="16"/>
  <c r="B23" i="16"/>
  <c r="F22" i="16"/>
  <c r="B22" i="16"/>
  <c r="F21" i="16"/>
  <c r="B21" i="16"/>
  <c r="F20" i="16"/>
  <c r="B20" i="16"/>
  <c r="F19" i="16"/>
  <c r="B19" i="16"/>
  <c r="F18" i="16"/>
  <c r="B18" i="16"/>
  <c r="F17" i="16"/>
  <c r="B17" i="16"/>
  <c r="F16" i="16"/>
  <c r="B16" i="16"/>
  <c r="F15" i="16"/>
  <c r="B15" i="16"/>
  <c r="F14" i="16"/>
  <c r="B14" i="16"/>
  <c r="F13" i="16"/>
  <c r="B13" i="16"/>
  <c r="F12" i="16"/>
  <c r="B12" i="16"/>
  <c r="F11" i="16"/>
  <c r="B11" i="16"/>
  <c r="F10" i="16"/>
  <c r="B10" i="16"/>
  <c r="F9" i="16"/>
  <c r="B9" i="16"/>
  <c r="F8" i="16"/>
  <c r="B8" i="16"/>
  <c r="F7" i="16"/>
  <c r="B7" i="16"/>
  <c r="F6" i="16"/>
  <c r="B6" i="16"/>
  <c r="F29" i="25" l="1"/>
  <c r="F25" i="25"/>
  <c r="F38" i="24"/>
  <c r="F38" i="23"/>
  <c r="F38" i="22"/>
  <c r="F38" i="21"/>
  <c r="F32" i="25"/>
  <c r="F38" i="20"/>
  <c r="F36" i="25"/>
  <c r="F38" i="19"/>
  <c r="F28" i="25"/>
  <c r="F20" i="25"/>
  <c r="F16" i="25"/>
  <c r="F12" i="25"/>
  <c r="F38" i="18"/>
  <c r="F24" i="25"/>
  <c r="F38" i="17"/>
  <c r="F21" i="25"/>
  <c r="F13" i="25"/>
  <c r="F9" i="25"/>
  <c r="F33" i="25"/>
  <c r="F17" i="25"/>
  <c r="F35" i="25"/>
  <c r="F34" i="25"/>
  <c r="F31" i="25"/>
  <c r="F27" i="25"/>
  <c r="F26" i="25"/>
  <c r="F22" i="25"/>
  <c r="F18" i="25"/>
  <c r="F14" i="25"/>
  <c r="F10" i="25"/>
  <c r="E38" i="25"/>
  <c r="F19" i="25"/>
  <c r="F11" i="25"/>
  <c r="F23" i="25"/>
  <c r="F15" i="25"/>
  <c r="F38" i="16"/>
  <c r="F8" i="25"/>
  <c r="F30" i="25"/>
  <c r="D38" i="25"/>
  <c r="C38" i="25"/>
  <c r="F6" i="25"/>
  <c r="F7" i="25"/>
  <c r="H38" i="15"/>
  <c r="G38" i="15"/>
  <c r="E38" i="15"/>
  <c r="D38" i="15"/>
  <c r="F36" i="15"/>
  <c r="B36" i="15"/>
  <c r="F35" i="15"/>
  <c r="B35" i="15"/>
  <c r="F34" i="15"/>
  <c r="B34" i="15"/>
  <c r="F33" i="15"/>
  <c r="B33" i="15"/>
  <c r="F32" i="15"/>
  <c r="B32" i="15"/>
  <c r="F31" i="15"/>
  <c r="B31" i="15"/>
  <c r="F30" i="15"/>
  <c r="B30" i="15"/>
  <c r="F29" i="15"/>
  <c r="B29" i="15"/>
  <c r="F28" i="15"/>
  <c r="B28" i="15"/>
  <c r="F27" i="15"/>
  <c r="B27" i="15"/>
  <c r="F26" i="15"/>
  <c r="B26" i="15"/>
  <c r="F25" i="15"/>
  <c r="B25" i="15"/>
  <c r="F24" i="15"/>
  <c r="B24" i="15"/>
  <c r="F23" i="15"/>
  <c r="B23" i="15"/>
  <c r="F22" i="15"/>
  <c r="B22" i="15"/>
  <c r="F21" i="15"/>
  <c r="B21" i="15"/>
  <c r="F20" i="15"/>
  <c r="B20" i="15"/>
  <c r="F19" i="15"/>
  <c r="B19" i="15"/>
  <c r="F18" i="15"/>
  <c r="B18" i="15"/>
  <c r="F17" i="15"/>
  <c r="B17" i="15"/>
  <c r="F16" i="15"/>
  <c r="B16" i="15"/>
  <c r="F15" i="15"/>
  <c r="B15" i="15"/>
  <c r="F14" i="15"/>
  <c r="B14" i="15"/>
  <c r="F13" i="15"/>
  <c r="B13" i="15"/>
  <c r="F12" i="15"/>
  <c r="B12" i="15"/>
  <c r="F11" i="15"/>
  <c r="B11" i="15"/>
  <c r="F10" i="15"/>
  <c r="B10" i="15"/>
  <c r="F9" i="15"/>
  <c r="B9" i="15"/>
  <c r="C38" i="15"/>
  <c r="B8" i="15"/>
  <c r="F7" i="15"/>
  <c r="B7" i="15"/>
  <c r="F6" i="15"/>
  <c r="B6" i="15"/>
  <c r="F38" i="25" l="1"/>
  <c r="F8" i="15"/>
  <c r="F38" i="15" s="1"/>
  <c r="C8" i="14" l="1"/>
  <c r="F8" i="14" s="1"/>
  <c r="H38" i="14"/>
  <c r="H38" i="6"/>
  <c r="G38" i="14"/>
  <c r="E38" i="14"/>
  <c r="D38" i="14"/>
  <c r="F36" i="14"/>
  <c r="B36" i="14"/>
  <c r="F35" i="14"/>
  <c r="B35" i="14"/>
  <c r="F34" i="14"/>
  <c r="B34" i="14"/>
  <c r="F33" i="14"/>
  <c r="B33" i="14"/>
  <c r="F32" i="14"/>
  <c r="B32" i="14"/>
  <c r="F31" i="14"/>
  <c r="B31" i="14"/>
  <c r="F30" i="14"/>
  <c r="B30" i="14"/>
  <c r="F29" i="14"/>
  <c r="B29" i="14"/>
  <c r="F28" i="14"/>
  <c r="B28" i="14"/>
  <c r="F27" i="14"/>
  <c r="B27" i="14"/>
  <c r="F26" i="14"/>
  <c r="B26" i="14"/>
  <c r="C38" i="14"/>
  <c r="B25" i="14"/>
  <c r="F24" i="14"/>
  <c r="B24" i="14"/>
  <c r="F23" i="14"/>
  <c r="B23" i="14"/>
  <c r="F22" i="14"/>
  <c r="B22" i="14"/>
  <c r="F21" i="14"/>
  <c r="B21" i="14"/>
  <c r="F20" i="14"/>
  <c r="B20" i="14"/>
  <c r="F19" i="14"/>
  <c r="B19" i="14"/>
  <c r="F18" i="14"/>
  <c r="B18" i="14"/>
  <c r="F17" i="14"/>
  <c r="B17" i="14"/>
  <c r="F16" i="14"/>
  <c r="B16" i="14"/>
  <c r="F15" i="14"/>
  <c r="B15" i="14"/>
  <c r="F14" i="14"/>
  <c r="B14" i="14"/>
  <c r="F13" i="14"/>
  <c r="B13" i="14"/>
  <c r="F12" i="14"/>
  <c r="B12" i="14"/>
  <c r="F11" i="14"/>
  <c r="B11" i="14"/>
  <c r="F10" i="14"/>
  <c r="B10" i="14"/>
  <c r="F9" i="14"/>
  <c r="B9" i="14"/>
  <c r="B8" i="14"/>
  <c r="F7" i="14"/>
  <c r="B7" i="14"/>
  <c r="F6" i="14"/>
  <c r="B6" i="14"/>
  <c r="F25" i="14" l="1"/>
  <c r="F38" i="14" s="1"/>
  <c r="C25" i="6" l="1"/>
  <c r="F6" i="6" l="1"/>
  <c r="B6" i="6"/>
  <c r="G38" i="6" l="1"/>
  <c r="F8" i="6" l="1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7" i="6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E38" i="6" l="1"/>
  <c r="D38" i="6" l="1"/>
  <c r="B36" i="6" l="1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C38" i="6" l="1"/>
  <c r="D6" i="13" l="1"/>
  <c r="C6" i="13"/>
  <c r="E6" i="13" l="1"/>
  <c r="E7" i="13" s="1"/>
  <c r="E8" i="13" s="1"/>
  <c r="E9" i="13" s="1"/>
  <c r="F38" i="6" l="1"/>
</calcChain>
</file>

<file path=xl/comments1.xml><?xml version="1.0" encoding="utf-8"?>
<comments xmlns="http://schemas.openxmlformats.org/spreadsheetml/2006/main">
  <authors>
    <author>DJUOMBESSY</author>
  </authors>
  <commentList>
    <comment ref="C1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500 000 VERSE PAR KOUATCHO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C20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REMIS A KOUATCHO 70 000 COLLATION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DE 66 500 GUY</t>
        </r>
      </text>
    </comment>
  </commentList>
</comments>
</file>

<file path=xl/sharedStrings.xml><?xml version="1.0" encoding="utf-8"?>
<sst xmlns="http://schemas.openxmlformats.org/spreadsheetml/2006/main" count="645" uniqueCount="70">
  <si>
    <t>MATRICULE</t>
  </si>
  <si>
    <t>NOM ET PRENOM</t>
  </si>
  <si>
    <t>ASSOCIATION</t>
  </si>
  <si>
    <t>ASELBY</t>
  </si>
  <si>
    <t>ANNEE</t>
  </si>
  <si>
    <t>BANQUE</t>
  </si>
  <si>
    <t>ESPECES</t>
  </si>
  <si>
    <t>ECHEC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</si>
  <si>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</si>
  <si>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</si>
  <si>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</si>
  <si>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</si>
  <si>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</si>
  <si>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</si>
  <si>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</si>
  <si>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</si>
  <si>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</si>
  <si>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</si>
  <si>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</si>
  <si>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</si>
  <si>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</si>
  <si>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</si>
  <si>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</si>
  <si>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</si>
  <si>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</si>
  <si>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</si>
  <si>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</si>
  <si>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</si>
  <si>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</si>
  <si>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</si>
  <si>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</si>
  <si>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</si>
  <si>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</si>
  <si>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</si>
  <si>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</si>
  <si>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</si>
  <si>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</si>
  <si>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</si>
  <si>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TOTAUX</t>
  </si>
  <si>
    <t>MONTANT ENGAGEMENT</t>
  </si>
  <si>
    <t>HITORIQUE ESPECES</t>
  </si>
  <si>
    <t>HISTORIQUE BANQUE</t>
  </si>
  <si>
    <t>HITORIQUE TONTINE</t>
  </si>
  <si>
    <t>ENTREE</t>
  </si>
  <si>
    <t>SORTIE</t>
  </si>
  <si>
    <t>SOLDE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</si>
  <si>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</si>
  <si>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</si>
  <si>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</si>
  <si>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</si>
  <si>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</si>
  <si>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</si>
  <si>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</si>
  <si>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</si>
  <si>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</si>
  <si>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</si>
  <si>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</si>
  <si>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</si>
  <si>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</si>
  <si>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</si>
  <si>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</si>
  <si>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</si>
  <si>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</si>
  <si>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</si>
  <si>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</si>
  <si>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</si>
  <si>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HISTORIQUE BANCAIRE</t>
  </si>
  <si>
    <t>VERIFICATION</t>
  </si>
  <si>
    <t>AS201648</t>
  </si>
  <si>
    <t>AGIO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</si>
</sst>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rgb="FF00B050"/>
      <name val="Britannic Bold"/>
      <family val="2"/>
    </font>
    <font>
      <sz val="14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sz val="14"/>
      <color rgb="FF0070C0"/>
      <name val="Britannic Bold"/>
      <family val="2"/>
    </font>
    <font>
      <sz val="14"/>
      <color rgb="FFC00000"/>
      <name val="Britannic Bold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FFC000"/>
      <name val="Britannic Bold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0" borderId="0" xfId="0" applyFont="1" applyAlignment="1">
      <alignment horizontal="center"/>
    </xf>
    <xf numFmtId="3" fontId="5" fillId="0" borderId="0" xfId="0" applyNumberFormat="1" applyFont="1"/>
    <xf numFmtId="3" fontId="6" fillId="0" borderId="0" xfId="0" applyNumberFormat="1" applyFont="1"/>
    <xf numFmtId="0" fontId="8" fillId="0" borderId="0" xfId="0" applyFont="1"/>
    <xf numFmtId="165" fontId="9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 wrapText="1"/>
    </xf>
    <xf numFmtId="0" fontId="1" fillId="0" borderId="4" xfId="0" applyFont="1" applyBorder="1"/>
    <xf numFmtId="0" fontId="1" fillId="0" borderId="5" xfId="0" applyFont="1" applyBorder="1"/>
    <xf numFmtId="3" fontId="5" fillId="0" borderId="5" xfId="0" applyNumberFormat="1" applyFont="1" applyBorder="1"/>
    <xf numFmtId="3" fontId="11" fillId="0" borderId="5" xfId="0" applyNumberFormat="1" applyFont="1" applyBorder="1"/>
    <xf numFmtId="3" fontId="10" fillId="0" borderId="5" xfId="0" applyNumberFormat="1" applyFont="1" applyBorder="1"/>
    <xf numFmtId="164" fontId="4" fillId="0" borderId="5" xfId="0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1" fillId="0" borderId="3" xfId="0" applyFont="1" applyFill="1" applyBorder="1" applyAlignment="1">
      <alignment horizontal="center" wrapText="1"/>
    </xf>
    <xf numFmtId="3" fontId="0" fillId="0" borderId="0" xfId="0" applyNumberFormat="1"/>
    <xf numFmtId="3" fontId="6" fillId="0" borderId="5" xfId="0" applyNumberFormat="1" applyFont="1" applyBorder="1"/>
    <xf numFmtId="3" fontId="14" fillId="0" borderId="5" xfId="0" applyNumberFormat="1" applyFont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F7">
            <v>677881912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F8">
            <v>677986676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F9">
            <v>675250451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F10">
            <v>675250451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F11">
            <v>697103557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F13">
            <v>699908065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F14">
            <v>677910278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F15">
            <v>694468080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F16">
            <v>675291170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F17">
            <v>699956355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F18">
            <v>677053815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F19">
            <v>699528700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F20">
            <v>699335584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F21">
            <v>675836725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F22">
            <v>696564847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F23">
            <v>677735778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F25">
            <v>693055118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F26">
            <v>677553702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F27">
            <v>699358350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F28">
            <v>675249207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F29">
            <v>677766503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F30">
            <v>677068360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F31">
            <v>670909070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F32">
            <v>676659191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F33">
            <v>677575366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F34">
            <v>699843118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F35">
            <v>677377251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F36">
            <v>677867173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F37">
            <v>699995086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F38">
            <v>677054646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F39">
            <v>699549665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F40">
            <v>699350133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F41">
            <v>677477649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F42">
            <v>677546060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F43">
            <v>677648306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F44">
            <v>677780149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F45">
            <v>699778906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F46">
            <v>678639806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F47">
            <v>677775940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F48">
            <v>677508603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F49">
            <v>677726329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F50">
            <v>699663416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F51">
            <v>677547311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F53">
            <v>694452000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I5" sqref="I5"/>
    </sheetView>
  </sheetViews>
  <sheetFormatPr baseColWidth="10" defaultColWidth="11" defaultRowHeight="15" x14ac:dyDescent="0.25"/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E7" sqref="E7"/>
    </sheetView>
  </sheetViews>
  <sheetFormatPr baseColWidth="10" defaultRowHeight="15" x14ac:dyDescent="0.25"/>
  <cols>
    <col min="1" max="1" width="19.140625" bestFit="1" customWidth="1"/>
    <col min="2" max="2" width="19.140625" customWidth="1"/>
    <col min="3" max="3" width="16.5703125" bestFit="1" customWidth="1"/>
    <col min="4" max="4" width="15" bestFit="1" customWidth="1"/>
    <col min="5" max="5" width="16.85546875" bestFit="1" customWidth="1"/>
    <col min="7" max="7" width="15" bestFit="1" customWidth="1"/>
    <col min="9" max="9" width="17.5703125" customWidth="1"/>
  </cols>
  <sheetData>
    <row r="1" spans="1:10" ht="26.25" x14ac:dyDescent="0.4">
      <c r="C1" s="28" t="s">
        <v>46</v>
      </c>
      <c r="D1" s="29"/>
      <c r="E1" s="29"/>
      <c r="H1" s="28" t="s">
        <v>65</v>
      </c>
      <c r="I1" s="29"/>
      <c r="J1" s="29"/>
    </row>
    <row r="2" spans="1:10" ht="15.75" x14ac:dyDescent="0.25">
      <c r="A2" s="6" t="s">
        <v>4</v>
      </c>
      <c r="B2" s="6"/>
      <c r="C2" s="30">
        <v>2021</v>
      </c>
      <c r="D2" s="29"/>
      <c r="E2" s="29"/>
      <c r="H2" s="30">
        <v>2021</v>
      </c>
      <c r="I2" s="29"/>
      <c r="J2" s="29"/>
    </row>
    <row r="3" spans="1:10" ht="15.75" x14ac:dyDescent="0.25">
      <c r="A3" s="6"/>
      <c r="B3" s="6"/>
      <c r="C3" s="6"/>
      <c r="D3" s="6"/>
      <c r="E3" s="6"/>
    </row>
    <row r="4" spans="1:10" ht="15.75" x14ac:dyDescent="0.25">
      <c r="A4" s="6" t="s">
        <v>47</v>
      </c>
      <c r="B4" s="6" t="s">
        <v>48</v>
      </c>
      <c r="C4" s="6" t="s">
        <v>49</v>
      </c>
      <c r="D4" s="6" t="s">
        <v>43</v>
      </c>
      <c r="E4" s="6" t="s">
        <v>45</v>
      </c>
      <c r="G4" s="6" t="s">
        <v>64</v>
      </c>
      <c r="H4" s="6" t="s">
        <v>43</v>
      </c>
      <c r="I4" s="6" t="s">
        <v>44</v>
      </c>
      <c r="J4" s="6" t="s">
        <v>45</v>
      </c>
    </row>
    <row r="5" spans="1:10" ht="18" x14ac:dyDescent="0.25">
      <c r="A5" s="6" t="s">
        <v>50</v>
      </c>
      <c r="E5" s="7">
        <f>14283661-6017000</f>
        <v>8266661</v>
      </c>
    </row>
    <row r="6" spans="1:10" ht="18" x14ac:dyDescent="0.25">
      <c r="A6" s="6" t="s">
        <v>51</v>
      </c>
      <c r="C6" s="5" t="e">
        <f>HISTOBQUEJANV22!#REF!</f>
        <v>#REF!</v>
      </c>
      <c r="D6" s="4" t="e">
        <f>HISTOBQUEJANV22!#REF!</f>
        <v>#REF!</v>
      </c>
      <c r="E6" s="7" t="e">
        <f>IF(D6=0,0,E5+D6-C6)</f>
        <v>#REF!</v>
      </c>
    </row>
    <row r="7" spans="1:10" ht="18" x14ac:dyDescent="0.25">
      <c r="A7" s="6" t="s">
        <v>52</v>
      </c>
      <c r="C7" s="5" t="e">
        <f>#REF!</f>
        <v>#REF!</v>
      </c>
      <c r="D7" s="4" t="e">
        <f>#REF!</f>
        <v>#REF!</v>
      </c>
      <c r="E7" s="7" t="e">
        <f>IF(D7=0,0,E6+D7-C7)</f>
        <v>#REF!</v>
      </c>
      <c r="G7" s="7"/>
    </row>
    <row r="8" spans="1:10" ht="18" x14ac:dyDescent="0.25">
      <c r="A8" s="6" t="s">
        <v>53</v>
      </c>
      <c r="C8" s="5" t="e">
        <f>#REF!</f>
        <v>#REF!</v>
      </c>
      <c r="D8" s="4" t="e">
        <f>#REF!</f>
        <v>#REF!</v>
      </c>
      <c r="E8" s="7" t="e">
        <f t="shared" ref="E8:E17" si="0">IF(D8=0,0,E7+D8-C8)</f>
        <v>#REF!</v>
      </c>
    </row>
    <row r="9" spans="1:10" ht="18" x14ac:dyDescent="0.25">
      <c r="A9" s="6" t="s">
        <v>54</v>
      </c>
      <c r="C9" s="5" t="e">
        <f>#REF!</f>
        <v>#REF!</v>
      </c>
      <c r="D9" s="4" t="e">
        <f>#REF!</f>
        <v>#REF!</v>
      </c>
      <c r="E9" s="7" t="e">
        <f t="shared" si="0"/>
        <v>#REF!</v>
      </c>
    </row>
    <row r="10" spans="1:10" ht="18" x14ac:dyDescent="0.25">
      <c r="A10" s="6" t="s">
        <v>55</v>
      </c>
      <c r="C10" s="5" t="e">
        <f>#REF!</f>
        <v>#REF!</v>
      </c>
      <c r="D10" s="4" t="e">
        <f>#REF!</f>
        <v>#REF!</v>
      </c>
      <c r="E10" s="7" t="e">
        <f t="shared" si="0"/>
        <v>#REF!</v>
      </c>
    </row>
    <row r="11" spans="1:10" ht="18" x14ac:dyDescent="0.25">
      <c r="A11" s="6" t="s">
        <v>56</v>
      </c>
      <c r="C11" s="5" t="e">
        <f>#REF!</f>
        <v>#REF!</v>
      </c>
      <c r="D11" s="4" t="e">
        <f>#REF!</f>
        <v>#REF!</v>
      </c>
      <c r="E11" s="7" t="e">
        <f t="shared" si="0"/>
        <v>#REF!</v>
      </c>
    </row>
    <row r="12" spans="1:10" ht="18" x14ac:dyDescent="0.25">
      <c r="A12" s="6" t="s">
        <v>57</v>
      </c>
      <c r="C12" s="5" t="e">
        <f>#REF!</f>
        <v>#REF!</v>
      </c>
      <c r="D12" s="4" t="e">
        <f>#REF!</f>
        <v>#REF!</v>
      </c>
      <c r="E12" s="7" t="e">
        <f t="shared" si="0"/>
        <v>#REF!</v>
      </c>
    </row>
    <row r="13" spans="1:10" ht="18" x14ac:dyDescent="0.25">
      <c r="A13" s="6" t="s">
        <v>58</v>
      </c>
      <c r="C13" s="5" t="e">
        <f>#REF!</f>
        <v>#REF!</v>
      </c>
      <c r="D13" s="4" t="e">
        <f>#REF!</f>
        <v>#REF!</v>
      </c>
      <c r="E13" s="7" t="e">
        <f t="shared" si="0"/>
        <v>#REF!</v>
      </c>
    </row>
    <row r="14" spans="1:10" ht="18" x14ac:dyDescent="0.25">
      <c r="A14" s="6" t="s">
        <v>59</v>
      </c>
      <c r="C14" s="5" t="e">
        <f>#REF!</f>
        <v>#REF!</v>
      </c>
      <c r="D14" s="4" t="e">
        <f>#REF!</f>
        <v>#REF!</v>
      </c>
      <c r="E14" s="7" t="e">
        <f t="shared" si="0"/>
        <v>#REF!</v>
      </c>
    </row>
    <row r="15" spans="1:10" ht="18" x14ac:dyDescent="0.25">
      <c r="A15" s="6" t="s">
        <v>60</v>
      </c>
      <c r="C15" s="5" t="e">
        <f>#REF!</f>
        <v>#REF!</v>
      </c>
      <c r="D15" s="4" t="e">
        <f>#REF!</f>
        <v>#REF!</v>
      </c>
      <c r="E15" s="7" t="e">
        <f t="shared" si="0"/>
        <v>#REF!</v>
      </c>
    </row>
    <row r="16" spans="1:10" ht="18" x14ac:dyDescent="0.25">
      <c r="A16" s="6" t="s">
        <v>61</v>
      </c>
      <c r="C16" s="5" t="e">
        <f>#REF!</f>
        <v>#REF!</v>
      </c>
      <c r="D16" s="4" t="e">
        <f>#REF!</f>
        <v>#REF!</v>
      </c>
      <c r="E16" s="7" t="e">
        <f t="shared" si="0"/>
        <v>#REF!</v>
      </c>
    </row>
    <row r="17" spans="1:5" ht="18" x14ac:dyDescent="0.25">
      <c r="A17" s="6" t="s">
        <v>62</v>
      </c>
      <c r="C17" s="5" t="e">
        <f>#REF!</f>
        <v>#REF!</v>
      </c>
      <c r="D17" s="4" t="e">
        <f>#REF!</f>
        <v>#REF!</v>
      </c>
      <c r="E17" s="7" t="e">
        <f t="shared" si="0"/>
        <v>#REF!</v>
      </c>
    </row>
    <row r="19" spans="1:5" x14ac:dyDescent="0.25">
      <c r="A19" t="s">
        <v>63</v>
      </c>
    </row>
  </sheetData>
  <mergeCells count="4">
    <mergeCell ref="C1:E1"/>
    <mergeCell ref="C2:E2"/>
    <mergeCell ref="H1:J1"/>
    <mergeCell ref="H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zoomScale="106" zoomScaleNormal="106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K9" sqref="K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x14ac:dyDescent="0.25">
      <c r="A1" s="1" t="s">
        <v>2</v>
      </c>
      <c r="B1" s="1" t="s">
        <v>3</v>
      </c>
    </row>
    <row r="2" spans="1:8" x14ac:dyDescent="0.25">
      <c r="A2" s="1" t="s">
        <v>4</v>
      </c>
      <c r="B2" s="1">
        <v>2023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1" t="s">
        <v>66</v>
      </c>
      <c r="C4" s="29"/>
      <c r="D4" s="29"/>
      <c r="E4" s="29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8" ht="18" x14ac:dyDescent="0.25">
      <c r="A6" s="11" t="s">
        <v>68</v>
      </c>
      <c r="B6" s="12" t="str">
        <f>VLOOKUP(A6,[5]LISTADHERENT!A$5:H$60,3,0)</f>
        <v>ASELBY</v>
      </c>
      <c r="C6" s="13"/>
      <c r="D6" s="14"/>
      <c r="E6" s="15"/>
      <c r="F6" s="16">
        <f>SUM(C6:E6)</f>
        <v>0</v>
      </c>
      <c r="G6" s="16"/>
      <c r="H6" s="19"/>
    </row>
    <row r="7" spans="1:8" ht="18" x14ac:dyDescent="0.25">
      <c r="A7" s="11" t="s">
        <v>8</v>
      </c>
      <c r="B7" s="12" t="str">
        <f>VLOOKUP(A7,[5]LISTADHERENT!A$5:H$60,3,0)</f>
        <v>BOUTCHOUANG WILLIAM</v>
      </c>
      <c r="C7" s="13">
        <v>105000</v>
      </c>
      <c r="D7" s="14"/>
      <c r="E7" s="15"/>
      <c r="F7" s="16">
        <f>SUM(C7:E7)</f>
        <v>105000</v>
      </c>
      <c r="G7" s="16">
        <v>40000</v>
      </c>
      <c r="H7" s="19"/>
    </row>
    <row r="8" spans="1:8" ht="18" x14ac:dyDescent="0.25">
      <c r="A8" s="11" t="s">
        <v>9</v>
      </c>
      <c r="B8" s="12" t="str">
        <f>VLOOKUP(A8,[5]LISTADHERENT!A$5:H$60,3,0)</f>
        <v xml:space="preserve">DJOMO JEAN PAUL </v>
      </c>
      <c r="C8" s="13">
        <v>160000</v>
      </c>
      <c r="D8" s="14"/>
      <c r="E8" s="15"/>
      <c r="F8" s="16">
        <f t="shared" ref="F8:F36" si="0">SUM(C8:E8)</f>
        <v>160000</v>
      </c>
      <c r="G8" s="16">
        <v>115000</v>
      </c>
      <c r="H8" s="19"/>
    </row>
    <row r="9" spans="1:8" ht="18" x14ac:dyDescent="0.25">
      <c r="A9" s="11" t="s">
        <v>10</v>
      </c>
      <c r="B9" s="12" t="str">
        <f>VLOOKUP(A9,[5]LISTADHERENT!A$5:H$60,3,0)</f>
        <v>DJOMOU TCHANDA</v>
      </c>
      <c r="C9" s="13">
        <v>40000</v>
      </c>
      <c r="D9" s="14"/>
      <c r="E9" s="15"/>
      <c r="F9" s="16">
        <f t="shared" si="0"/>
        <v>40000</v>
      </c>
      <c r="G9" s="16">
        <v>250000</v>
      </c>
      <c r="H9" s="19"/>
    </row>
    <row r="10" spans="1:8" ht="18" x14ac:dyDescent="0.25">
      <c r="A10" s="11" t="s">
        <v>11</v>
      </c>
      <c r="B10" s="12" t="str">
        <f>VLOOKUP(A10,[5]LISTADHERENT!A$5:H$60,3,0)</f>
        <v>DJOUKWE NANGUEN GUY BLAISE</v>
      </c>
      <c r="C10" s="13">
        <v>115000</v>
      </c>
      <c r="D10" s="14"/>
      <c r="E10" s="15"/>
      <c r="F10" s="16">
        <f t="shared" si="0"/>
        <v>115000</v>
      </c>
      <c r="G10" s="16">
        <v>115000</v>
      </c>
      <c r="H10" s="19"/>
    </row>
    <row r="11" spans="1:8" ht="18" x14ac:dyDescent="0.25">
      <c r="A11" s="11" t="s">
        <v>12</v>
      </c>
      <c r="B11" s="12" t="str">
        <f>VLOOKUP(A11,[5]LISTADHERENT!A$5:H$60,3,0)</f>
        <v>DJUOMBESSY ANTOINE</v>
      </c>
      <c r="C11" s="13">
        <v>320000</v>
      </c>
      <c r="D11" s="14"/>
      <c r="E11" s="15"/>
      <c r="F11" s="16">
        <f t="shared" si="0"/>
        <v>320000</v>
      </c>
      <c r="G11" s="16">
        <v>280000</v>
      </c>
      <c r="H11" s="19"/>
    </row>
    <row r="12" spans="1:8" ht="18" x14ac:dyDescent="0.25">
      <c r="A12" s="11" t="s">
        <v>13</v>
      </c>
      <c r="B12" s="12" t="str">
        <f>VLOOKUP(A12,[5]LISTADHERENT!A$5:H$60,3,0)</f>
        <v>DOMOU FABIEN</v>
      </c>
      <c r="C12" s="13">
        <v>40000</v>
      </c>
      <c r="D12" s="14"/>
      <c r="E12" s="15"/>
      <c r="F12" s="16">
        <f t="shared" si="0"/>
        <v>40000</v>
      </c>
      <c r="G12" s="16">
        <v>115000</v>
      </c>
      <c r="H12" s="19"/>
    </row>
    <row r="13" spans="1:8" ht="18" x14ac:dyDescent="0.25">
      <c r="A13" s="11" t="s">
        <v>14</v>
      </c>
      <c r="B13" s="12" t="str">
        <f>VLOOKUP(A13,[5]LISTADHERENT!A$5:H$60,3,0)</f>
        <v>DONHOU DAVID</v>
      </c>
      <c r="C13" s="13"/>
      <c r="D13" s="14"/>
      <c r="E13" s="15"/>
      <c r="F13" s="16">
        <f t="shared" si="0"/>
        <v>0</v>
      </c>
      <c r="G13" s="16">
        <v>140000</v>
      </c>
      <c r="H13" s="19"/>
    </row>
    <row r="14" spans="1:8" ht="18" x14ac:dyDescent="0.25">
      <c r="A14" s="11" t="s">
        <v>15</v>
      </c>
      <c r="B14" s="12" t="str">
        <f>VLOOKUP(A14,[5]LISTADHERENT!A$5:H$60,3,0)</f>
        <v>FOTSO THOMAS</v>
      </c>
      <c r="C14" s="13"/>
      <c r="D14" s="14"/>
      <c r="E14" s="15"/>
      <c r="F14" s="16">
        <f t="shared" si="0"/>
        <v>0</v>
      </c>
      <c r="G14" s="16">
        <v>250000</v>
      </c>
      <c r="H14" s="19"/>
    </row>
    <row r="15" spans="1:8" ht="18" x14ac:dyDescent="0.25">
      <c r="A15" s="11" t="s">
        <v>16</v>
      </c>
      <c r="B15" s="12" t="str">
        <f>VLOOKUP(A15,[5]LISTADHERENT!A$5:H$60,3,0)</f>
        <v>HENGUE PAUL OMER</v>
      </c>
      <c r="C15" s="13">
        <v>115000</v>
      </c>
      <c r="D15" s="14"/>
      <c r="E15" s="15"/>
      <c r="F15" s="16">
        <f t="shared" si="0"/>
        <v>115000</v>
      </c>
      <c r="G15" s="16">
        <v>105000</v>
      </c>
      <c r="H15" s="19"/>
    </row>
    <row r="16" spans="1:8" ht="18" x14ac:dyDescent="0.25">
      <c r="A16" s="11" t="s">
        <v>17</v>
      </c>
      <c r="B16" s="12" t="str">
        <f>VLOOKUP(A16,[5]LISTADHERENT!A$5:H$60,3,0)</f>
        <v>HOTCHO BENJAMIN</v>
      </c>
      <c r="C16" s="13">
        <v>250000</v>
      </c>
      <c r="D16" s="14"/>
      <c r="E16" s="15"/>
      <c r="F16" s="16">
        <f t="shared" si="0"/>
        <v>250000</v>
      </c>
      <c r="G16" s="16">
        <v>320000</v>
      </c>
      <c r="H16" s="19"/>
    </row>
    <row r="17" spans="1:8" ht="18" x14ac:dyDescent="0.25">
      <c r="A17" s="11" t="s">
        <v>18</v>
      </c>
      <c r="B17" s="12" t="str">
        <f>VLOOKUP(A17,[5]LISTADHERENT!A$5:H$60,3,0)</f>
        <v>KOUAMOU MOISE</v>
      </c>
      <c r="C17" s="13">
        <v>140000</v>
      </c>
      <c r="D17" s="14"/>
      <c r="E17" s="15"/>
      <c r="F17" s="16">
        <f t="shared" si="0"/>
        <v>140000</v>
      </c>
      <c r="G17" s="16">
        <v>290000</v>
      </c>
      <c r="H17" s="19"/>
    </row>
    <row r="18" spans="1:8" ht="18" x14ac:dyDescent="0.25">
      <c r="A18" s="11" t="s">
        <v>19</v>
      </c>
      <c r="B18" s="12" t="str">
        <f>VLOOKUP(A18,[5]LISTADHERENT!A$5:H$60,3,0)</f>
        <v>KOUATCHO MESSACK</v>
      </c>
      <c r="C18" s="13"/>
      <c r="D18" s="14"/>
      <c r="E18" s="15"/>
      <c r="F18" s="16">
        <f t="shared" si="0"/>
        <v>0</v>
      </c>
      <c r="G18" s="16">
        <v>250000</v>
      </c>
      <c r="H18" s="19"/>
    </row>
    <row r="19" spans="1:8" ht="18" x14ac:dyDescent="0.25">
      <c r="A19" s="11" t="s">
        <v>20</v>
      </c>
      <c r="B19" s="12" t="str">
        <f>VLOOKUP(A19,[5]LISTADHERENT!A$5:H$60,3,0)</f>
        <v>LOWE JEAN</v>
      </c>
      <c r="C19" s="13"/>
      <c r="D19" s="14"/>
      <c r="E19" s="15"/>
      <c r="F19" s="16">
        <f t="shared" si="0"/>
        <v>0</v>
      </c>
      <c r="G19" s="16">
        <v>40000</v>
      </c>
      <c r="H19" s="19"/>
    </row>
    <row r="20" spans="1:8" ht="18" x14ac:dyDescent="0.25">
      <c r="A20" s="11" t="s">
        <v>21</v>
      </c>
      <c r="B20" s="12" t="str">
        <f>VLOOKUP(A20,[5]LISTADHERENT!A$5:H$60,3,0)</f>
        <v>MBOGNING TUGMA GUY</v>
      </c>
      <c r="C20" s="13">
        <v>215000</v>
      </c>
      <c r="D20" s="14"/>
      <c r="E20" s="15"/>
      <c r="F20" s="16">
        <f t="shared" si="0"/>
        <v>215000</v>
      </c>
      <c r="G20" s="16">
        <v>215000</v>
      </c>
      <c r="H20" s="19"/>
    </row>
    <row r="21" spans="1:8" ht="18" x14ac:dyDescent="0.25">
      <c r="A21" s="11" t="s">
        <v>22</v>
      </c>
      <c r="B21" s="12" t="str">
        <f>VLOOKUP(A21,[5]LISTADHERENT!A$5:H$60,3,0)</f>
        <v>NANGUEN MARTIN</v>
      </c>
      <c r="C21" s="13">
        <v>40000</v>
      </c>
      <c r="D21" s="14"/>
      <c r="E21" s="15"/>
      <c r="F21" s="16">
        <f t="shared" si="0"/>
        <v>40000</v>
      </c>
      <c r="G21" s="16">
        <v>160000</v>
      </c>
      <c r="H21" s="19"/>
    </row>
    <row r="22" spans="1:8" ht="18" x14ac:dyDescent="0.25">
      <c r="A22" s="11" t="s">
        <v>23</v>
      </c>
      <c r="B22" s="12" t="str">
        <f>VLOOKUP(A22,[5]LISTADHERENT!A$5:H$60,3,0)</f>
        <v>NANKAM APPOLINAIRE</v>
      </c>
      <c r="C22" s="13">
        <v>115000</v>
      </c>
      <c r="D22" s="14"/>
      <c r="E22" s="15"/>
      <c r="F22" s="16">
        <f t="shared" si="0"/>
        <v>115000</v>
      </c>
      <c r="G22" s="16">
        <v>115000</v>
      </c>
      <c r="H22" s="19"/>
    </row>
    <row r="23" spans="1:8" ht="18" x14ac:dyDescent="0.25">
      <c r="A23" s="11" t="s">
        <v>24</v>
      </c>
      <c r="B23" s="12" t="str">
        <f>VLOOKUP(A23,[5]LISTADHERENT!A$5:H$60,3,0)</f>
        <v>NDJOMO ETIENNE</v>
      </c>
      <c r="C23" s="13">
        <v>250000</v>
      </c>
      <c r="D23" s="14"/>
      <c r="E23" s="15"/>
      <c r="F23" s="16">
        <f t="shared" si="0"/>
        <v>250000</v>
      </c>
      <c r="G23" s="16">
        <v>40000</v>
      </c>
      <c r="H23" s="19"/>
    </row>
    <row r="24" spans="1:8" ht="18" x14ac:dyDescent="0.25">
      <c r="A24" s="11" t="s">
        <v>25</v>
      </c>
      <c r="B24" s="12" t="str">
        <f>VLOOKUP(A24,[5]LISTADHERENT!A$5:H$60,3,0)</f>
        <v>NGONDIEP CLAUDE</v>
      </c>
      <c r="C24" s="13"/>
      <c r="D24" s="14"/>
      <c r="E24" s="15"/>
      <c r="F24" s="16">
        <f t="shared" si="0"/>
        <v>0</v>
      </c>
      <c r="G24" s="16">
        <v>115000</v>
      </c>
      <c r="H24" s="19"/>
    </row>
    <row r="25" spans="1:8" ht="18" x14ac:dyDescent="0.25">
      <c r="A25" s="11" t="s">
        <v>26</v>
      </c>
      <c r="B25" s="12" t="str">
        <f>VLOOKUP(A25,[5]LISTADHERENT!A$5:H$60,3,0)</f>
        <v>NGUIEMEGNI MATHIEU BLAISE</v>
      </c>
      <c r="C25" s="13">
        <v>280000</v>
      </c>
      <c r="D25" s="14"/>
      <c r="E25" s="15"/>
      <c r="F25" s="16">
        <f t="shared" si="0"/>
        <v>280000</v>
      </c>
      <c r="G25" s="16"/>
      <c r="H25" s="19"/>
    </row>
    <row r="26" spans="1:8" ht="18" x14ac:dyDescent="0.25">
      <c r="A26" s="11" t="s">
        <v>27</v>
      </c>
      <c r="B26" s="12" t="str">
        <f>VLOOKUP(A26,[5]LISTADHERENT!A$5:H$60,3,0)</f>
        <v>NKAMGANG JUSTIN DEJOLIE</v>
      </c>
      <c r="C26" s="13"/>
      <c r="D26" s="14"/>
      <c r="E26" s="15"/>
      <c r="F26" s="16">
        <f t="shared" si="0"/>
        <v>0</v>
      </c>
      <c r="G26" s="16"/>
      <c r="H26" s="19"/>
    </row>
    <row r="27" spans="1:8" ht="18" x14ac:dyDescent="0.25">
      <c r="A27" s="11" t="s">
        <v>28</v>
      </c>
      <c r="B27" s="12" t="str">
        <f>VLOOKUP(A27,[5]LISTADHERENT!A$5:H$60,3,0)</f>
        <v>NKEHE DAVID</v>
      </c>
      <c r="C27" s="13"/>
      <c r="D27" s="14"/>
      <c r="E27" s="15"/>
      <c r="F27" s="16">
        <f t="shared" si="0"/>
        <v>0</v>
      </c>
      <c r="G27" s="16"/>
      <c r="H27" s="19"/>
    </row>
    <row r="28" spans="1:8" ht="18" x14ac:dyDescent="0.25">
      <c r="A28" s="11" t="s">
        <v>29</v>
      </c>
      <c r="B28" s="12" t="str">
        <f>VLOOKUP(A28,[5]LISTADHERENT!A$5:H$60,3,0)</f>
        <v>NKEPSEU DIEUDONNE</v>
      </c>
      <c r="C28" s="13"/>
      <c r="D28" s="14"/>
      <c r="E28" s="15"/>
      <c r="F28" s="16">
        <f t="shared" si="0"/>
        <v>0</v>
      </c>
      <c r="G28" s="16"/>
      <c r="H28" s="19"/>
    </row>
    <row r="29" spans="1:8" ht="18" x14ac:dyDescent="0.25">
      <c r="A29" s="11" t="s">
        <v>30</v>
      </c>
      <c r="B29" s="12" t="str">
        <f>VLOOKUP(A29,[5]LISTADHERENT!A$5:H$60,3,0)</f>
        <v>PATEGO NJOSSU GUSTAVE</v>
      </c>
      <c r="C29" s="13">
        <v>115000</v>
      </c>
      <c r="D29" s="14"/>
      <c r="E29" s="15"/>
      <c r="F29" s="16">
        <f t="shared" si="0"/>
        <v>115000</v>
      </c>
      <c r="G29" s="16"/>
      <c r="H29" s="19"/>
    </row>
    <row r="30" spans="1:8" ht="18" x14ac:dyDescent="0.25">
      <c r="A30" s="11" t="s">
        <v>31</v>
      </c>
      <c r="B30" s="12" t="str">
        <f>VLOOKUP(A30,[5]LISTADHERENT!A$5:H$60,3,0)</f>
        <v>SIME BRICE</v>
      </c>
      <c r="C30" s="13"/>
      <c r="D30" s="14"/>
      <c r="E30" s="15"/>
      <c r="F30" s="16">
        <f t="shared" si="0"/>
        <v>0</v>
      </c>
      <c r="G30" s="16"/>
      <c r="H30" s="19"/>
    </row>
    <row r="31" spans="1:8" ht="18" x14ac:dyDescent="0.25">
      <c r="A31" s="11" t="s">
        <v>32</v>
      </c>
      <c r="B31" s="12" t="str">
        <f>VLOOKUP(A31,[5]LISTADHERENT!A$5:H$60,3,0)</f>
        <v>SIMO FONGANG ERIC</v>
      </c>
      <c r="C31" s="13"/>
      <c r="D31" s="14"/>
      <c r="E31" s="15"/>
      <c r="F31" s="16">
        <f t="shared" si="0"/>
        <v>0</v>
      </c>
      <c r="G31" s="16"/>
      <c r="H31" s="19"/>
    </row>
    <row r="32" spans="1:8" ht="18" x14ac:dyDescent="0.25">
      <c r="A32" s="11" t="s">
        <v>33</v>
      </c>
      <c r="B32" s="12" t="str">
        <f>VLOOKUP(A32,[5]LISTADHERENT!A$5:H$60,3,0)</f>
        <v>SIMO PIERRE</v>
      </c>
      <c r="C32" s="13">
        <v>250000</v>
      </c>
      <c r="D32" s="14"/>
      <c r="E32" s="15"/>
      <c r="F32" s="16">
        <f t="shared" si="0"/>
        <v>250000</v>
      </c>
      <c r="G32" s="16"/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13">
        <v>115000</v>
      </c>
      <c r="D33" s="14"/>
      <c r="E33" s="15"/>
      <c r="F33" s="16">
        <f t="shared" si="0"/>
        <v>115000</v>
      </c>
      <c r="G33" s="16"/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/>
      <c r="D34" s="14"/>
      <c r="E34" s="15"/>
      <c r="F34" s="16">
        <f t="shared" si="0"/>
        <v>0</v>
      </c>
      <c r="G34" s="16"/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/>
      <c r="D35" s="14"/>
      <c r="E35" s="15"/>
      <c r="F35" s="16">
        <f t="shared" si="0"/>
        <v>0</v>
      </c>
      <c r="G35" s="16"/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13">
        <v>290000</v>
      </c>
      <c r="D36" s="14"/>
      <c r="E36" s="15"/>
      <c r="F36" s="16">
        <f t="shared" si="0"/>
        <v>290000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2955000</v>
      </c>
      <c r="D38" s="22">
        <f>SUM(D7:D37)</f>
        <v>0</v>
      </c>
      <c r="E38" s="22">
        <f>SUM(E7:E37)</f>
        <v>0</v>
      </c>
      <c r="F38" s="22">
        <f t="shared" ref="F38:H38" si="1">SUM(F7:F37)</f>
        <v>2955000</v>
      </c>
      <c r="G38" s="22">
        <f t="shared" si="1"/>
        <v>2955000</v>
      </c>
      <c r="H38" s="23">
        <f t="shared" si="1"/>
        <v>0</v>
      </c>
    </row>
    <row r="39" spans="1:8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zoomScale="106" zoomScaleNormal="106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E11" sqref="E11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x14ac:dyDescent="0.25">
      <c r="A1" s="1" t="s">
        <v>2</v>
      </c>
      <c r="B1" s="1" t="s">
        <v>3</v>
      </c>
    </row>
    <row r="2" spans="1:8" x14ac:dyDescent="0.25">
      <c r="A2" s="1" t="s">
        <v>4</v>
      </c>
      <c r="B2" s="1">
        <v>2022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1" t="s">
        <v>66</v>
      </c>
      <c r="C4" s="29"/>
      <c r="D4" s="29"/>
      <c r="E4" s="29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8" ht="18" x14ac:dyDescent="0.25">
      <c r="A6" s="11" t="s">
        <v>68</v>
      </c>
      <c r="B6" s="12" t="str">
        <f>VLOOKUP(A6,[5]LISTADHERENT!A$5:H$60,3,0)</f>
        <v>ASELBY</v>
      </c>
      <c r="C6" s="13">
        <v>100000</v>
      </c>
      <c r="D6" s="14"/>
      <c r="E6" s="15"/>
      <c r="F6" s="16">
        <f>SUM(C6:E6)</f>
        <v>100000</v>
      </c>
      <c r="G6" s="16">
        <v>30000</v>
      </c>
      <c r="H6" s="19"/>
    </row>
    <row r="7" spans="1:8" ht="18" x14ac:dyDescent="0.25">
      <c r="A7" s="11" t="s">
        <v>8</v>
      </c>
      <c r="B7" s="12" t="str">
        <f>VLOOKUP(A7,[5]LISTADHERENT!A$5:H$60,3,0)</f>
        <v>BOUTCHOUANG WILLIAM</v>
      </c>
      <c r="C7" s="13">
        <v>105000</v>
      </c>
      <c r="D7" s="14"/>
      <c r="E7" s="15"/>
      <c r="F7" s="16">
        <f>SUM(C7:E7)</f>
        <v>105000</v>
      </c>
      <c r="G7" s="16">
        <v>30000</v>
      </c>
      <c r="H7" s="19"/>
    </row>
    <row r="8" spans="1:8" ht="18" x14ac:dyDescent="0.25">
      <c r="A8" s="11" t="s">
        <v>9</v>
      </c>
      <c r="B8" s="12" t="str">
        <f>VLOOKUP(A8,[5]LISTADHERENT!A$5:H$60,3,0)</f>
        <v xml:space="preserve">DJOMO JEAN PAUL </v>
      </c>
      <c r="C8" s="13">
        <v>150000</v>
      </c>
      <c r="D8" s="14"/>
      <c r="E8" s="15"/>
      <c r="F8" s="16">
        <f t="shared" ref="F8:F36" si="0">SUM(C8:E8)</f>
        <v>150000</v>
      </c>
      <c r="G8" s="16">
        <v>150000</v>
      </c>
      <c r="H8" s="19"/>
    </row>
    <row r="9" spans="1:8" ht="18" x14ac:dyDescent="0.25">
      <c r="A9" s="11" t="s">
        <v>10</v>
      </c>
      <c r="B9" s="12" t="str">
        <f>VLOOKUP(A9,[5]LISTADHERENT!A$5:H$60,3,0)</f>
        <v>DJOMOU TCHANDA</v>
      </c>
      <c r="C9" s="13">
        <v>30000</v>
      </c>
      <c r="D9" s="14"/>
      <c r="E9" s="15"/>
      <c r="F9" s="16">
        <f t="shared" si="0"/>
        <v>30000</v>
      </c>
      <c r="G9" s="16">
        <v>105000</v>
      </c>
      <c r="H9" s="19"/>
    </row>
    <row r="10" spans="1:8" ht="18" x14ac:dyDescent="0.25">
      <c r="A10" s="11" t="s">
        <v>11</v>
      </c>
      <c r="B10" s="12" t="str">
        <f>VLOOKUP(A10,[5]LISTADHERENT!A$5:H$60,3,0)</f>
        <v>DJOUKWE NANGUEN GUY BLAISE</v>
      </c>
      <c r="C10" s="13">
        <v>35000</v>
      </c>
      <c r="D10" s="14"/>
      <c r="E10" s="15"/>
      <c r="F10" s="16">
        <f t="shared" si="0"/>
        <v>35000</v>
      </c>
      <c r="G10" s="16">
        <v>420000</v>
      </c>
      <c r="H10" s="19"/>
    </row>
    <row r="11" spans="1:8" ht="18" x14ac:dyDescent="0.25">
      <c r="A11" s="11" t="s">
        <v>12</v>
      </c>
      <c r="B11" s="12" t="str">
        <f>VLOOKUP(A11,[5]LISTADHERENT!A$5:H$60,3,0)</f>
        <v>DJUOMBESSY ANTOINE</v>
      </c>
      <c r="C11" s="13">
        <v>205000</v>
      </c>
      <c r="D11" s="14"/>
      <c r="E11" s="15">
        <f>1029000+61000</f>
        <v>1090000</v>
      </c>
      <c r="F11" s="16">
        <f t="shared" si="0"/>
        <v>1295000</v>
      </c>
      <c r="G11" s="16">
        <v>150000</v>
      </c>
      <c r="H11" s="19"/>
    </row>
    <row r="12" spans="1:8" ht="18" x14ac:dyDescent="0.25">
      <c r="A12" s="11" t="s">
        <v>13</v>
      </c>
      <c r="B12" s="12" t="str">
        <f>VLOOKUP(A12,[5]LISTADHERENT!A$5:H$60,3,0)</f>
        <v>DOMOU FABIEN</v>
      </c>
      <c r="C12" s="13">
        <v>35000</v>
      </c>
      <c r="D12" s="14"/>
      <c r="E12" s="15"/>
      <c r="F12" s="16">
        <f t="shared" si="0"/>
        <v>35000</v>
      </c>
      <c r="G12" s="16">
        <v>1029000</v>
      </c>
      <c r="H12" s="19"/>
    </row>
    <row r="13" spans="1:8" ht="18" x14ac:dyDescent="0.25">
      <c r="A13" s="11" t="s">
        <v>14</v>
      </c>
      <c r="B13" s="12" t="str">
        <f>VLOOKUP(A13,[5]LISTADHERENT!A$5:H$60,3,0)</f>
        <v>DONHOU DAVID</v>
      </c>
      <c r="C13" s="13">
        <v>30000</v>
      </c>
      <c r="D13" s="14"/>
      <c r="E13" s="15"/>
      <c r="F13" s="16">
        <f t="shared" si="0"/>
        <v>30000</v>
      </c>
      <c r="G13" s="16">
        <v>120000</v>
      </c>
      <c r="H13" s="19"/>
    </row>
    <row r="14" spans="1:8" ht="18" x14ac:dyDescent="0.25">
      <c r="A14" s="11" t="s">
        <v>15</v>
      </c>
      <c r="B14" s="12" t="str">
        <f>VLOOKUP(A14,[5]LISTADHERENT!A$5:H$60,3,0)</f>
        <v>FOTSO THOMAS</v>
      </c>
      <c r="C14" s="13"/>
      <c r="D14" s="14"/>
      <c r="E14" s="15"/>
      <c r="F14" s="16">
        <f t="shared" si="0"/>
        <v>0</v>
      </c>
      <c r="G14" s="16">
        <v>330000</v>
      </c>
      <c r="H14" s="19"/>
    </row>
    <row r="15" spans="1:8" ht="18" x14ac:dyDescent="0.25">
      <c r="A15" s="11" t="s">
        <v>16</v>
      </c>
      <c r="B15" s="12" t="str">
        <f>VLOOKUP(A15,[5]LISTADHERENT!A$5:H$60,3,0)</f>
        <v>HENGUE PAUL OMER</v>
      </c>
      <c r="C15" s="13">
        <v>105000</v>
      </c>
      <c r="D15" s="14"/>
      <c r="E15" s="15"/>
      <c r="F15" s="16">
        <f t="shared" si="0"/>
        <v>105000</v>
      </c>
      <c r="G15" s="16">
        <v>210000</v>
      </c>
      <c r="H15" s="19"/>
    </row>
    <row r="16" spans="1:8" ht="18" x14ac:dyDescent="0.25">
      <c r="A16" s="11" t="s">
        <v>17</v>
      </c>
      <c r="B16" s="12" t="str">
        <f>VLOOKUP(A16,[5]LISTADHERENT!A$5:H$60,3,0)</f>
        <v>HOTCHO BENJAMIN</v>
      </c>
      <c r="C16" s="13">
        <v>150000</v>
      </c>
      <c r="D16" s="14"/>
      <c r="E16" s="15"/>
      <c r="F16" s="16">
        <f t="shared" si="0"/>
        <v>150000</v>
      </c>
      <c r="G16" s="16">
        <v>105000</v>
      </c>
      <c r="H16" s="19"/>
    </row>
    <row r="17" spans="1:8" ht="18" x14ac:dyDescent="0.25">
      <c r="A17" s="11" t="s">
        <v>18</v>
      </c>
      <c r="B17" s="12" t="str">
        <f>VLOOKUP(A17,[5]LISTADHERENT!A$5:H$60,3,0)</f>
        <v>KOUAMOU MOISE</v>
      </c>
      <c r="C17" s="13">
        <v>330000</v>
      </c>
      <c r="D17" s="14"/>
      <c r="E17" s="15"/>
      <c r="F17" s="16">
        <f t="shared" si="0"/>
        <v>330000</v>
      </c>
      <c r="G17" s="16">
        <v>105000</v>
      </c>
      <c r="H17" s="19"/>
    </row>
    <row r="18" spans="1:8" ht="18" x14ac:dyDescent="0.25">
      <c r="A18" s="11" t="s">
        <v>19</v>
      </c>
      <c r="B18" s="12" t="str">
        <f>VLOOKUP(A18,[5]LISTADHERENT!A$5:H$60,3,0)</f>
        <v>KOUATCHO MESSACK</v>
      </c>
      <c r="C18" s="13">
        <v>411000</v>
      </c>
      <c r="D18" s="14"/>
      <c r="E18" s="15"/>
      <c r="F18" s="16">
        <f t="shared" si="0"/>
        <v>411000</v>
      </c>
      <c r="G18" s="16">
        <v>105000</v>
      </c>
      <c r="H18" s="19"/>
    </row>
    <row r="19" spans="1:8" ht="18" x14ac:dyDescent="0.25">
      <c r="A19" s="11" t="s">
        <v>20</v>
      </c>
      <c r="B19" s="12" t="str">
        <f>VLOOKUP(A19,[5]LISTADHERENT!A$5:H$60,3,0)</f>
        <v>LOWE JEAN</v>
      </c>
      <c r="C19" s="13">
        <v>30000</v>
      </c>
      <c r="D19" s="14"/>
      <c r="E19" s="15"/>
      <c r="F19" s="16">
        <f t="shared" si="0"/>
        <v>30000</v>
      </c>
      <c r="G19" s="16">
        <v>280000</v>
      </c>
      <c r="H19" s="19"/>
    </row>
    <row r="20" spans="1:8" ht="18" x14ac:dyDescent="0.25">
      <c r="A20" s="11" t="s">
        <v>21</v>
      </c>
      <c r="B20" s="12" t="str">
        <f>VLOOKUP(A20,[5]LISTADHERENT!A$5:H$60,3,0)</f>
        <v>MBOGNING TUGMA GUY</v>
      </c>
      <c r="C20" s="13">
        <v>455000</v>
      </c>
      <c r="D20" s="14"/>
      <c r="E20" s="15"/>
      <c r="F20" s="16">
        <f t="shared" si="0"/>
        <v>455000</v>
      </c>
      <c r="G20" s="16">
        <v>35000</v>
      </c>
      <c r="H20" s="19"/>
    </row>
    <row r="21" spans="1:8" ht="18" x14ac:dyDescent="0.25">
      <c r="A21" s="11" t="s">
        <v>22</v>
      </c>
      <c r="B21" s="12" t="str">
        <f>VLOOKUP(A21,[5]LISTADHERENT!A$5:H$60,3,0)</f>
        <v>NANGUEN MARTIN</v>
      </c>
      <c r="C21" s="13">
        <v>30000</v>
      </c>
      <c r="D21" s="14"/>
      <c r="E21" s="15"/>
      <c r="F21" s="16">
        <f t="shared" si="0"/>
        <v>30000</v>
      </c>
      <c r="G21" s="16">
        <v>140000</v>
      </c>
      <c r="H21" s="19"/>
    </row>
    <row r="22" spans="1:8" ht="18" x14ac:dyDescent="0.25">
      <c r="A22" s="11" t="s">
        <v>23</v>
      </c>
      <c r="B22" s="12" t="str">
        <f>VLOOKUP(A22,[5]LISTADHERENT!A$5:H$60,3,0)</f>
        <v>NANKAM APPOLINAIRE</v>
      </c>
      <c r="C22" s="13">
        <v>1029000</v>
      </c>
      <c r="D22" s="14"/>
      <c r="E22" s="15"/>
      <c r="F22" s="16">
        <f t="shared" si="0"/>
        <v>1029000</v>
      </c>
      <c r="G22" s="16">
        <v>105000</v>
      </c>
      <c r="H22" s="19"/>
    </row>
    <row r="23" spans="1:8" ht="18" x14ac:dyDescent="0.25">
      <c r="A23" s="11" t="s">
        <v>24</v>
      </c>
      <c r="B23" s="12" t="str">
        <f>VLOOKUP(A23,[5]LISTADHERENT!A$5:H$60,3,0)</f>
        <v>NDJOMO ETIENNE</v>
      </c>
      <c r="C23" s="13">
        <v>140000</v>
      </c>
      <c r="D23" s="14"/>
      <c r="E23" s="15"/>
      <c r="F23" s="16">
        <f t="shared" si="0"/>
        <v>140000</v>
      </c>
      <c r="G23" s="16">
        <v>455000</v>
      </c>
      <c r="H23" s="19"/>
    </row>
    <row r="24" spans="1:8" ht="18" x14ac:dyDescent="0.25">
      <c r="A24" s="11" t="s">
        <v>25</v>
      </c>
      <c r="B24" s="12" t="str">
        <f>VLOOKUP(A24,[5]LISTADHERENT!A$5:H$60,3,0)</f>
        <v>NGONDIEP CLAUDE</v>
      </c>
      <c r="C24" s="13">
        <v>210000</v>
      </c>
      <c r="D24" s="14"/>
      <c r="E24" s="15"/>
      <c r="F24" s="16">
        <f t="shared" si="0"/>
        <v>210000</v>
      </c>
      <c r="G24" s="16">
        <v>205000</v>
      </c>
      <c r="H24" s="19"/>
    </row>
    <row r="25" spans="1:8" ht="18" x14ac:dyDescent="0.25">
      <c r="A25" s="11" t="s">
        <v>26</v>
      </c>
      <c r="B25" s="12" t="str">
        <f>VLOOKUP(A25,[5]LISTADHERENT!A$5:H$60,3,0)</f>
        <v>NGUIEMEGNI MATHIEU BLAISE</v>
      </c>
      <c r="C25" s="13">
        <f>420000-140000</f>
        <v>280000</v>
      </c>
      <c r="D25" s="14"/>
      <c r="E25" s="15"/>
      <c r="F25" s="16">
        <f t="shared" si="0"/>
        <v>280000</v>
      </c>
      <c r="G25" s="16">
        <v>40000</v>
      </c>
      <c r="H25" s="19"/>
    </row>
    <row r="26" spans="1:8" ht="18" x14ac:dyDescent="0.25">
      <c r="A26" s="11" t="s">
        <v>27</v>
      </c>
      <c r="B26" s="12" t="str">
        <f>VLOOKUP(A26,[5]LISTADHERENT!A$5:H$60,3,0)</f>
        <v>NKAMGANG JUSTIN DEJOLIE</v>
      </c>
      <c r="C26" s="13">
        <v>105000</v>
      </c>
      <c r="D26" s="14">
        <v>29500</v>
      </c>
      <c r="E26" s="15"/>
      <c r="F26" s="16">
        <f t="shared" si="0"/>
        <v>134500</v>
      </c>
      <c r="G26" s="16">
        <v>30000</v>
      </c>
      <c r="H26" s="19"/>
    </row>
    <row r="27" spans="1:8" ht="18" x14ac:dyDescent="0.25">
      <c r="A27" s="11" t="s">
        <v>28</v>
      </c>
      <c r="B27" s="12" t="str">
        <f>VLOOKUP(A27,[5]LISTADHERENT!A$5:H$60,3,0)</f>
        <v>NKEHE DAVID</v>
      </c>
      <c r="C27" s="13">
        <v>30000</v>
      </c>
      <c r="D27" s="14"/>
      <c r="E27" s="15"/>
      <c r="F27" s="16">
        <f t="shared" si="0"/>
        <v>30000</v>
      </c>
      <c r="G27" s="16">
        <v>60000</v>
      </c>
      <c r="H27" s="19"/>
    </row>
    <row r="28" spans="1:8" ht="18" x14ac:dyDescent="0.25">
      <c r="A28" s="11" t="s">
        <v>29</v>
      </c>
      <c r="B28" s="12" t="str">
        <f>VLOOKUP(A28,[5]LISTADHERENT!A$5:H$60,3,0)</f>
        <v>NKEPSEU DIEUDONNE</v>
      </c>
      <c r="C28" s="13">
        <v>140000</v>
      </c>
      <c r="D28" s="14"/>
      <c r="E28" s="15"/>
      <c r="F28" s="16">
        <f t="shared" si="0"/>
        <v>140000</v>
      </c>
      <c r="G28" s="16">
        <v>35000</v>
      </c>
      <c r="H28" s="19"/>
    </row>
    <row r="29" spans="1:8" ht="18" x14ac:dyDescent="0.25">
      <c r="A29" s="11" t="s">
        <v>30</v>
      </c>
      <c r="B29" s="12" t="str">
        <f>VLOOKUP(A29,[5]LISTADHERENT!A$5:H$60,3,0)</f>
        <v>PATEGO NJOSSU GUSTAVE</v>
      </c>
      <c r="C29" s="13">
        <v>105000</v>
      </c>
      <c r="D29" s="14"/>
      <c r="E29" s="15"/>
      <c r="F29" s="16">
        <f t="shared" si="0"/>
        <v>105000</v>
      </c>
      <c r="G29" s="16">
        <v>411000</v>
      </c>
      <c r="H29" s="19"/>
    </row>
    <row r="30" spans="1:8" ht="18" x14ac:dyDescent="0.25">
      <c r="A30" s="11" t="s">
        <v>31</v>
      </c>
      <c r="B30" s="12" t="str">
        <f>VLOOKUP(A30,[5]LISTADHERENT!A$5:H$60,3,0)</f>
        <v>SIME BRICE</v>
      </c>
      <c r="C30" s="13">
        <v>105000</v>
      </c>
      <c r="D30" s="14"/>
      <c r="E30" s="15"/>
      <c r="F30" s="16">
        <f t="shared" si="0"/>
        <v>105000</v>
      </c>
      <c r="G30" s="16">
        <v>105000</v>
      </c>
      <c r="H30" s="19"/>
    </row>
    <row r="31" spans="1:8" ht="18" x14ac:dyDescent="0.25">
      <c r="A31" s="11" t="s">
        <v>32</v>
      </c>
      <c r="B31" s="12" t="str">
        <f>VLOOKUP(A31,[5]LISTADHERENT!A$5:H$60,3,0)</f>
        <v>SIMO FONGANG ERIC</v>
      </c>
      <c r="C31" s="13"/>
      <c r="D31" s="14"/>
      <c r="E31" s="15"/>
      <c r="F31" s="16">
        <f t="shared" si="0"/>
        <v>0</v>
      </c>
      <c r="G31" s="16">
        <v>30000</v>
      </c>
      <c r="H31" s="19"/>
    </row>
    <row r="32" spans="1:8" ht="18" x14ac:dyDescent="0.25">
      <c r="A32" s="11" t="s">
        <v>33</v>
      </c>
      <c r="B32" s="12" t="str">
        <f>VLOOKUP(A32,[5]LISTADHERENT!A$5:H$60,3,0)</f>
        <v>SIMO PIERRE</v>
      </c>
      <c r="C32" s="13">
        <v>120000</v>
      </c>
      <c r="D32" s="14"/>
      <c r="E32" s="15"/>
      <c r="F32" s="16">
        <f t="shared" si="0"/>
        <v>120000</v>
      </c>
      <c r="G32" s="16">
        <v>30000</v>
      </c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13">
        <v>105000</v>
      </c>
      <c r="D33" s="14"/>
      <c r="E33" s="15"/>
      <c r="F33" s="16">
        <f t="shared" si="0"/>
        <v>105000</v>
      </c>
      <c r="G33" s="16"/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>
        <v>30000</v>
      </c>
      <c r="D34" s="14"/>
      <c r="E34" s="15"/>
      <c r="F34" s="16">
        <f t="shared" si="0"/>
        <v>30000</v>
      </c>
      <c r="G34" s="16"/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/>
      <c r="D35" s="14">
        <v>33000</v>
      </c>
      <c r="E35" s="15"/>
      <c r="F35" s="16">
        <f t="shared" si="0"/>
        <v>33000</v>
      </c>
      <c r="G35" s="16"/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13">
        <v>280000</v>
      </c>
      <c r="D36" s="14"/>
      <c r="E36" s="15"/>
      <c r="F36" s="16">
        <f t="shared" si="0"/>
        <v>280000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4780000</v>
      </c>
      <c r="D38" s="22">
        <f>SUM(D7:D37)</f>
        <v>62500</v>
      </c>
      <c r="E38" s="22">
        <f>SUM(E7:E37)</f>
        <v>1090000</v>
      </c>
      <c r="F38" s="22">
        <f t="shared" ref="F38:H38" si="1">SUM(F7:F37)</f>
        <v>5932500</v>
      </c>
      <c r="G38" s="22">
        <f t="shared" si="1"/>
        <v>4820000</v>
      </c>
      <c r="H38" s="23">
        <f t="shared" si="1"/>
        <v>0</v>
      </c>
    </row>
    <row r="39" spans="1:8" ht="15.75" thickTop="1" x14ac:dyDescent="0.25"/>
  </sheetData>
  <autoFilter ref="A5:F36"/>
  <sortState ref="A6:BA35">
    <sortCondition ref="B6:B35"/>
  </sortState>
  <mergeCells count="1">
    <mergeCell ref="B4:E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zoomScale="106" zoomScaleNormal="106" workbookViewId="0">
      <pane xSplit="3" ySplit="5" topLeftCell="D6" activePane="bottomRight" state="frozen"/>
      <selection pane="topRight" activeCell="E1" sqref="E1"/>
      <selection pane="bottomLeft" activeCell="A6" sqref="A6"/>
      <selection pane="bottomRight" activeCell="D11" sqref="D11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x14ac:dyDescent="0.25">
      <c r="A1" s="1" t="s">
        <v>2</v>
      </c>
      <c r="B1" s="1" t="s">
        <v>3</v>
      </c>
    </row>
    <row r="2" spans="1:8" x14ac:dyDescent="0.25">
      <c r="A2" s="1" t="s">
        <v>4</v>
      </c>
      <c r="B2" s="1">
        <v>2022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1" t="s">
        <v>66</v>
      </c>
      <c r="C4" s="29"/>
      <c r="D4" s="29"/>
      <c r="E4" s="29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8" ht="18" x14ac:dyDescent="0.25">
      <c r="A6" s="11" t="s">
        <v>68</v>
      </c>
      <c r="B6" s="12" t="str">
        <f>VLOOKUP(A6,[5]LISTADHERENT!A$5:H$60,3,0)</f>
        <v>ASELBY</v>
      </c>
      <c r="C6" s="13">
        <v>100000</v>
      </c>
      <c r="D6" s="14"/>
      <c r="E6" s="15"/>
      <c r="F6" s="16">
        <f>SUM(C6:E6)</f>
        <v>100000</v>
      </c>
      <c r="G6" s="16">
        <v>30000</v>
      </c>
      <c r="H6" s="19"/>
    </row>
    <row r="7" spans="1:8" ht="18" x14ac:dyDescent="0.25">
      <c r="A7" s="11" t="s">
        <v>8</v>
      </c>
      <c r="B7" s="12" t="str">
        <f>VLOOKUP(A7,[5]LISTADHERENT!A$5:H$60,3,0)</f>
        <v>BOUTCHOUANG WILLIAM</v>
      </c>
      <c r="C7" s="13">
        <v>105000</v>
      </c>
      <c r="D7" s="14"/>
      <c r="E7" s="15"/>
      <c r="F7" s="16">
        <f>SUM(C7:E7)</f>
        <v>105000</v>
      </c>
      <c r="G7" s="16">
        <v>30000</v>
      </c>
      <c r="H7" s="19"/>
    </row>
    <row r="8" spans="1:8" ht="18" x14ac:dyDescent="0.25">
      <c r="A8" s="11" t="s">
        <v>9</v>
      </c>
      <c r="B8" s="12" t="str">
        <f>VLOOKUP(A8,[5]LISTADHERENT!A$5:H$60,3,0)</f>
        <v xml:space="preserve">DJOMO JEAN PAUL </v>
      </c>
      <c r="C8" s="13">
        <f>25000</f>
        <v>25000</v>
      </c>
      <c r="D8" s="14">
        <v>135000</v>
      </c>
      <c r="E8" s="15"/>
      <c r="F8" s="16">
        <f t="shared" ref="F8:F36" si="0">SUM(C8:E8)</f>
        <v>160000</v>
      </c>
      <c r="G8" s="16">
        <v>150000</v>
      </c>
      <c r="H8" s="19"/>
    </row>
    <row r="9" spans="1:8" ht="18" x14ac:dyDescent="0.25">
      <c r="A9" s="11" t="s">
        <v>10</v>
      </c>
      <c r="B9" s="12" t="str">
        <f>VLOOKUP(A9,[5]LISTADHERENT!A$5:H$60,3,0)</f>
        <v>DJOMOU TCHANDA</v>
      </c>
      <c r="C9" s="13">
        <v>30000</v>
      </c>
      <c r="D9" s="14"/>
      <c r="E9" s="15"/>
      <c r="F9" s="16">
        <f t="shared" si="0"/>
        <v>30000</v>
      </c>
      <c r="G9" s="16">
        <v>105000</v>
      </c>
      <c r="H9" s="19"/>
    </row>
    <row r="10" spans="1:8" ht="18" x14ac:dyDescent="0.25">
      <c r="A10" s="11" t="s">
        <v>11</v>
      </c>
      <c r="B10" s="12" t="str">
        <f>VLOOKUP(A10,[5]LISTADHERENT!A$5:H$60,3,0)</f>
        <v>DJOUKWE NANGUEN GUY BLAISE</v>
      </c>
      <c r="C10" s="13">
        <v>60000</v>
      </c>
      <c r="D10" s="14"/>
      <c r="E10" s="15"/>
      <c r="F10" s="16">
        <f t="shared" si="0"/>
        <v>60000</v>
      </c>
      <c r="G10" s="16">
        <v>420000</v>
      </c>
      <c r="H10" s="19"/>
    </row>
    <row r="11" spans="1:8" ht="18" x14ac:dyDescent="0.25">
      <c r="A11" s="11" t="s">
        <v>12</v>
      </c>
      <c r="B11" s="12" t="str">
        <f>VLOOKUP(A11,[5]LISTADHERENT!A$5:H$60,3,0)</f>
        <v>DJUOMBESSY ANTOINE</v>
      </c>
      <c r="C11" s="13">
        <v>205000</v>
      </c>
      <c r="D11" s="14"/>
      <c r="E11" s="15"/>
      <c r="F11" s="16">
        <f t="shared" si="0"/>
        <v>205000</v>
      </c>
      <c r="G11" s="16">
        <v>150000</v>
      </c>
      <c r="H11" s="19"/>
    </row>
    <row r="12" spans="1:8" ht="18" x14ac:dyDescent="0.25">
      <c r="A12" s="11" t="s">
        <v>13</v>
      </c>
      <c r="B12" s="12" t="str">
        <f>VLOOKUP(A12,[5]LISTADHERENT!A$5:H$60,3,0)</f>
        <v>DOMOU FABIEN</v>
      </c>
      <c r="C12" s="13">
        <v>35000</v>
      </c>
      <c r="D12" s="14"/>
      <c r="E12" s="15"/>
      <c r="F12" s="16">
        <f t="shared" si="0"/>
        <v>35000</v>
      </c>
      <c r="G12" s="16">
        <v>1029000</v>
      </c>
      <c r="H12" s="19"/>
    </row>
    <row r="13" spans="1:8" ht="18" x14ac:dyDescent="0.25">
      <c r="A13" s="11" t="s">
        <v>14</v>
      </c>
      <c r="B13" s="12" t="str">
        <f>VLOOKUP(A13,[5]LISTADHERENT!A$5:H$60,3,0)</f>
        <v>DONHOU DAVID</v>
      </c>
      <c r="C13" s="13">
        <v>35000</v>
      </c>
      <c r="D13" s="14"/>
      <c r="E13" s="15"/>
      <c r="F13" s="16">
        <f t="shared" si="0"/>
        <v>35000</v>
      </c>
      <c r="G13" s="16">
        <v>120000</v>
      </c>
      <c r="H13" s="19"/>
    </row>
    <row r="14" spans="1:8" ht="18" x14ac:dyDescent="0.25">
      <c r="A14" s="11" t="s">
        <v>15</v>
      </c>
      <c r="B14" s="12" t="str">
        <f>VLOOKUP(A14,[5]LISTADHERENT!A$5:H$60,3,0)</f>
        <v>FOTSO THOMAS</v>
      </c>
      <c r="C14" s="13"/>
      <c r="D14" s="14"/>
      <c r="E14" s="15"/>
      <c r="F14" s="16">
        <f t="shared" si="0"/>
        <v>0</v>
      </c>
      <c r="G14" s="16">
        <v>330000</v>
      </c>
      <c r="H14" s="19"/>
    </row>
    <row r="15" spans="1:8" ht="18" x14ac:dyDescent="0.25">
      <c r="A15" s="11" t="s">
        <v>16</v>
      </c>
      <c r="B15" s="12" t="str">
        <f>VLOOKUP(A15,[5]LISTADHERENT!A$5:H$60,3,0)</f>
        <v>HENGUE PAUL OMER</v>
      </c>
      <c r="C15" s="13">
        <v>105000</v>
      </c>
      <c r="D15" s="14"/>
      <c r="E15" s="15"/>
      <c r="F15" s="16">
        <f t="shared" si="0"/>
        <v>105000</v>
      </c>
      <c r="G15" s="16">
        <v>210000</v>
      </c>
      <c r="H15" s="19"/>
    </row>
    <row r="16" spans="1:8" ht="18" x14ac:dyDescent="0.25">
      <c r="A16" s="11" t="s">
        <v>17</v>
      </c>
      <c r="B16" s="12" t="str">
        <f>VLOOKUP(A16,[5]LISTADHERENT!A$5:H$60,3,0)</f>
        <v>HOTCHO BENJAMIN</v>
      </c>
      <c r="C16" s="13">
        <v>150000</v>
      </c>
      <c r="D16" s="14"/>
      <c r="E16" s="15"/>
      <c r="F16" s="16">
        <f t="shared" si="0"/>
        <v>150000</v>
      </c>
      <c r="G16" s="16">
        <v>105000</v>
      </c>
      <c r="H16" s="19"/>
    </row>
    <row r="17" spans="1:8" ht="18" x14ac:dyDescent="0.25">
      <c r="A17" s="11" t="s">
        <v>18</v>
      </c>
      <c r="B17" s="12" t="str">
        <f>VLOOKUP(A17,[5]LISTADHERENT!A$5:H$60,3,0)</f>
        <v>KOUAMOU MOISE</v>
      </c>
      <c r="C17" s="13">
        <v>330000</v>
      </c>
      <c r="D17" s="14"/>
      <c r="E17" s="15"/>
      <c r="F17" s="16">
        <f t="shared" si="0"/>
        <v>330000</v>
      </c>
      <c r="G17" s="16">
        <v>105000</v>
      </c>
      <c r="H17" s="19"/>
    </row>
    <row r="18" spans="1:8" ht="18" x14ac:dyDescent="0.25">
      <c r="A18" s="11" t="s">
        <v>19</v>
      </c>
      <c r="B18" s="12" t="str">
        <f>VLOOKUP(A18,[5]LISTADHERENT!A$5:H$60,3,0)</f>
        <v>KOUATCHO MESSACK</v>
      </c>
      <c r="C18" s="13">
        <v>293500</v>
      </c>
      <c r="D18" s="14">
        <f>101000+148000</f>
        <v>249000</v>
      </c>
      <c r="E18" s="15"/>
      <c r="F18" s="16">
        <f t="shared" si="0"/>
        <v>542500</v>
      </c>
      <c r="G18" s="16">
        <v>105000</v>
      </c>
      <c r="H18" s="19"/>
    </row>
    <row r="19" spans="1:8" ht="18" x14ac:dyDescent="0.25">
      <c r="A19" s="11" t="s">
        <v>20</v>
      </c>
      <c r="B19" s="12" t="str">
        <f>VLOOKUP(A19,[5]LISTADHERENT!A$5:H$60,3,0)</f>
        <v>LOWE JEAN</v>
      </c>
      <c r="C19" s="13">
        <v>30000</v>
      </c>
      <c r="D19" s="14"/>
      <c r="E19" s="15"/>
      <c r="F19" s="16">
        <f t="shared" si="0"/>
        <v>30000</v>
      </c>
      <c r="G19" s="16">
        <v>280000</v>
      </c>
      <c r="H19" s="19"/>
    </row>
    <row r="20" spans="1:8" ht="18" x14ac:dyDescent="0.25">
      <c r="A20" s="11" t="s">
        <v>21</v>
      </c>
      <c r="B20" s="12" t="str">
        <f>VLOOKUP(A20,[5]LISTADHERENT!A$5:H$60,3,0)</f>
        <v>MBOGNING TUGMA GUY</v>
      </c>
      <c r="C20" s="13">
        <v>557000</v>
      </c>
      <c r="D20" s="14"/>
      <c r="E20" s="15">
        <f>1155000+595000</f>
        <v>1750000</v>
      </c>
      <c r="F20" s="16">
        <f t="shared" si="0"/>
        <v>2307000</v>
      </c>
      <c r="G20" s="16">
        <v>35000</v>
      </c>
      <c r="H20" s="19"/>
    </row>
    <row r="21" spans="1:8" ht="18" x14ac:dyDescent="0.25">
      <c r="A21" s="11" t="s">
        <v>22</v>
      </c>
      <c r="B21" s="12" t="str">
        <f>VLOOKUP(A21,[5]LISTADHERENT!A$5:H$60,3,0)</f>
        <v>NANGUEN MARTIN</v>
      </c>
      <c r="C21" s="13">
        <v>30000</v>
      </c>
      <c r="D21" s="14"/>
      <c r="E21" s="15"/>
      <c r="F21" s="16">
        <f t="shared" si="0"/>
        <v>30000</v>
      </c>
      <c r="G21" s="16">
        <v>140000</v>
      </c>
      <c r="H21" s="19"/>
    </row>
    <row r="22" spans="1:8" ht="18" x14ac:dyDescent="0.25">
      <c r="A22" s="11" t="s">
        <v>23</v>
      </c>
      <c r="B22" s="12" t="str">
        <f>VLOOKUP(A22,[5]LISTADHERENT!A$5:H$60,3,0)</f>
        <v>NANKAM APPOLINAIRE</v>
      </c>
      <c r="C22" s="13">
        <v>105000</v>
      </c>
      <c r="D22" s="14"/>
      <c r="E22" s="15">
        <v>71000</v>
      </c>
      <c r="F22" s="16">
        <f t="shared" si="0"/>
        <v>176000</v>
      </c>
      <c r="G22" s="16">
        <v>105000</v>
      </c>
      <c r="H22" s="19"/>
    </row>
    <row r="23" spans="1:8" ht="18" x14ac:dyDescent="0.25">
      <c r="A23" s="11" t="s">
        <v>24</v>
      </c>
      <c r="B23" s="12" t="str">
        <f>VLOOKUP(A23,[5]LISTADHERENT!A$5:H$60,3,0)</f>
        <v>NDJOMO ETIENNE</v>
      </c>
      <c r="C23" s="13">
        <v>150000</v>
      </c>
      <c r="D23" s="14"/>
      <c r="E23" s="15"/>
      <c r="F23" s="16">
        <f t="shared" si="0"/>
        <v>150000</v>
      </c>
      <c r="G23" s="16">
        <v>455000</v>
      </c>
      <c r="H23" s="19"/>
    </row>
    <row r="24" spans="1:8" ht="18" x14ac:dyDescent="0.25">
      <c r="A24" s="11" t="s">
        <v>25</v>
      </c>
      <c r="B24" s="12" t="str">
        <f>VLOOKUP(A24,[5]LISTADHERENT!A$5:H$60,3,0)</f>
        <v>NGONDIEP CLAUDE</v>
      </c>
      <c r="C24" s="13">
        <v>220000</v>
      </c>
      <c r="D24" s="14"/>
      <c r="E24" s="15"/>
      <c r="F24" s="16">
        <f t="shared" si="0"/>
        <v>220000</v>
      </c>
      <c r="G24" s="16">
        <v>205000</v>
      </c>
      <c r="H24" s="19"/>
    </row>
    <row r="25" spans="1:8" ht="18" x14ac:dyDescent="0.25">
      <c r="A25" s="11" t="s">
        <v>26</v>
      </c>
      <c r="B25" s="12" t="str">
        <f>VLOOKUP(A25,[5]LISTADHERENT!A$5:H$60,3,0)</f>
        <v>NGUIEMEGNI MATHIEU BLAISE</v>
      </c>
      <c r="C25" s="13">
        <v>180000</v>
      </c>
      <c r="D25" s="14"/>
      <c r="E25" s="15"/>
      <c r="F25" s="16">
        <f t="shared" si="0"/>
        <v>180000</v>
      </c>
      <c r="G25" s="16">
        <v>40000</v>
      </c>
      <c r="H25" s="19"/>
    </row>
    <row r="26" spans="1:8" ht="18" x14ac:dyDescent="0.25">
      <c r="A26" s="11" t="s">
        <v>27</v>
      </c>
      <c r="B26" s="12" t="str">
        <f>VLOOKUP(A26,[5]LISTADHERENT!A$5:H$60,3,0)</f>
        <v>NKAMGANG JUSTIN DEJOLIE</v>
      </c>
      <c r="C26" s="13">
        <v>105000</v>
      </c>
      <c r="D26" s="14"/>
      <c r="E26" s="15"/>
      <c r="F26" s="16">
        <f t="shared" si="0"/>
        <v>105000</v>
      </c>
      <c r="G26" s="16">
        <v>30000</v>
      </c>
      <c r="H26" s="19"/>
    </row>
    <row r="27" spans="1:8" ht="18" x14ac:dyDescent="0.25">
      <c r="A27" s="11" t="s">
        <v>28</v>
      </c>
      <c r="B27" s="12" t="str">
        <f>VLOOKUP(A27,[5]LISTADHERENT!A$5:H$60,3,0)</f>
        <v>NKEHE DAVID</v>
      </c>
      <c r="C27" s="13"/>
      <c r="D27" s="14"/>
      <c r="E27" s="15"/>
      <c r="F27" s="16">
        <f t="shared" si="0"/>
        <v>0</v>
      </c>
      <c r="G27" s="16">
        <v>60000</v>
      </c>
      <c r="H27" s="19"/>
    </row>
    <row r="28" spans="1:8" ht="18" x14ac:dyDescent="0.25">
      <c r="A28" s="11" t="s">
        <v>29</v>
      </c>
      <c r="B28" s="12" t="str">
        <f>VLOOKUP(A28,[5]LISTADHERENT!A$5:H$60,3,0)</f>
        <v>NKEPSEU DIEUDONNE</v>
      </c>
      <c r="C28" s="13">
        <v>130000</v>
      </c>
      <c r="D28" s="14"/>
      <c r="E28" s="15"/>
      <c r="F28" s="16">
        <f t="shared" si="0"/>
        <v>130000</v>
      </c>
      <c r="G28" s="16">
        <v>35000</v>
      </c>
      <c r="H28" s="19"/>
    </row>
    <row r="29" spans="1:8" ht="18" x14ac:dyDescent="0.25">
      <c r="A29" s="11" t="s">
        <v>30</v>
      </c>
      <c r="B29" s="12" t="str">
        <f>VLOOKUP(A29,[5]LISTADHERENT!A$5:H$60,3,0)</f>
        <v>PATEGO NJOSSU GUSTAVE</v>
      </c>
      <c r="C29" s="13">
        <v>105000</v>
      </c>
      <c r="D29" s="14"/>
      <c r="E29" s="15"/>
      <c r="F29" s="16">
        <f t="shared" si="0"/>
        <v>105000</v>
      </c>
      <c r="G29" s="16">
        <v>411000</v>
      </c>
      <c r="H29" s="19"/>
    </row>
    <row r="30" spans="1:8" ht="18" x14ac:dyDescent="0.25">
      <c r="A30" s="11" t="s">
        <v>31</v>
      </c>
      <c r="B30" s="12" t="str">
        <f>VLOOKUP(A30,[5]LISTADHERENT!A$5:H$60,3,0)</f>
        <v>SIME BRICE</v>
      </c>
      <c r="C30" s="13">
        <v>105000</v>
      </c>
      <c r="D30" s="14"/>
      <c r="E30" s="15"/>
      <c r="F30" s="16">
        <f t="shared" si="0"/>
        <v>105000</v>
      </c>
      <c r="G30" s="16">
        <v>105000</v>
      </c>
      <c r="H30" s="19"/>
    </row>
    <row r="31" spans="1:8" ht="18" x14ac:dyDescent="0.25">
      <c r="A31" s="11" t="s">
        <v>32</v>
      </c>
      <c r="B31" s="12" t="str">
        <f>VLOOKUP(A31,[5]LISTADHERENT!A$5:H$60,3,0)</f>
        <v>SIMO FONGANG ERIC</v>
      </c>
      <c r="C31" s="13"/>
      <c r="D31" s="14"/>
      <c r="E31" s="15"/>
      <c r="F31" s="16">
        <f t="shared" si="0"/>
        <v>0</v>
      </c>
      <c r="G31" s="16">
        <v>30000</v>
      </c>
      <c r="H31" s="19"/>
    </row>
    <row r="32" spans="1:8" ht="18" x14ac:dyDescent="0.25">
      <c r="A32" s="11" t="s">
        <v>33</v>
      </c>
      <c r="B32" s="12" t="str">
        <f>VLOOKUP(A32,[5]LISTADHERENT!A$5:H$60,3,0)</f>
        <v>SIMO PIERRE</v>
      </c>
      <c r="C32" s="13">
        <v>130000</v>
      </c>
      <c r="D32" s="14"/>
      <c r="E32" s="15"/>
      <c r="F32" s="16">
        <f t="shared" si="0"/>
        <v>130000</v>
      </c>
      <c r="G32" s="16">
        <v>30000</v>
      </c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13">
        <v>156000</v>
      </c>
      <c r="D33" s="14"/>
      <c r="E33" s="15"/>
      <c r="F33" s="16">
        <f t="shared" si="0"/>
        <v>156000</v>
      </c>
      <c r="G33" s="16"/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/>
      <c r="D34" s="14"/>
      <c r="E34" s="15"/>
      <c r="F34" s="16">
        <f t="shared" si="0"/>
        <v>0</v>
      </c>
      <c r="G34" s="16"/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>
        <v>30000</v>
      </c>
      <c r="D35" s="14"/>
      <c r="E35" s="15"/>
      <c r="F35" s="16">
        <f t="shared" si="0"/>
        <v>30000</v>
      </c>
      <c r="G35" s="16"/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13">
        <v>280000</v>
      </c>
      <c r="D36" s="14"/>
      <c r="E36" s="15"/>
      <c r="F36" s="16">
        <f t="shared" si="0"/>
        <v>280000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3686500</v>
      </c>
      <c r="D38" s="22">
        <f>SUM(D7:D37)</f>
        <v>384000</v>
      </c>
      <c r="E38" s="22">
        <f>SUM(E7:E37)</f>
        <v>1821000</v>
      </c>
      <c r="F38" s="22">
        <f t="shared" ref="F38:H38" si="1">SUM(F7:F37)</f>
        <v>5891500</v>
      </c>
      <c r="G38" s="22">
        <f t="shared" si="1"/>
        <v>4820000</v>
      </c>
      <c r="H38" s="23">
        <f t="shared" si="1"/>
        <v>0</v>
      </c>
    </row>
    <row r="39" spans="1:8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9"/>
  <sheetViews>
    <sheetView zoomScale="106" zoomScaleNormal="106" workbookViewId="0">
      <pane xSplit="3" ySplit="5" topLeftCell="D21" activePane="bottomRight" state="frozen"/>
      <selection pane="topRight" activeCell="E1" sqref="E1"/>
      <selection pane="bottomLeft" activeCell="A6" sqref="A6"/>
      <selection pane="bottomRight" activeCell="A23" sqref="A23:XFD2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x14ac:dyDescent="0.25">
      <c r="A1" s="1" t="s">
        <v>2</v>
      </c>
      <c r="B1" s="1" t="s">
        <v>3</v>
      </c>
    </row>
    <row r="2" spans="1:8" x14ac:dyDescent="0.25">
      <c r="A2" s="1" t="s">
        <v>4</v>
      </c>
      <c r="B2" s="1">
        <v>2022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1" t="s">
        <v>66</v>
      </c>
      <c r="C4" s="29"/>
      <c r="D4" s="29"/>
      <c r="E4" s="29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8" ht="18" x14ac:dyDescent="0.25">
      <c r="A6" s="11" t="s">
        <v>68</v>
      </c>
      <c r="B6" s="12" t="str">
        <f>VLOOKUP(A6,[5]LISTADHERENT!A$5:H$60,3,0)</f>
        <v>ASELBY</v>
      </c>
      <c r="C6" s="13">
        <v>100000</v>
      </c>
      <c r="D6" s="14"/>
      <c r="E6" s="15"/>
      <c r="F6" s="16">
        <f>SUM(C6:E6)</f>
        <v>100000</v>
      </c>
      <c r="G6" s="16"/>
      <c r="H6" s="19"/>
    </row>
    <row r="7" spans="1:8" ht="18" x14ac:dyDescent="0.25">
      <c r="A7" s="11" t="s">
        <v>8</v>
      </c>
      <c r="B7" s="12" t="str">
        <f>VLOOKUP(A7,[5]LISTADHERENT!A$5:H$60,3,0)</f>
        <v>BOUTCHOUANG WILLIAM</v>
      </c>
      <c r="C7" s="13">
        <v>105000</v>
      </c>
      <c r="D7" s="14"/>
      <c r="E7" s="15"/>
      <c r="F7" s="16">
        <f>SUM(C7:E7)</f>
        <v>105000</v>
      </c>
      <c r="G7" s="16"/>
      <c r="H7" s="19"/>
    </row>
    <row r="8" spans="1:8" ht="18" x14ac:dyDescent="0.25">
      <c r="A8" s="11" t="s">
        <v>9</v>
      </c>
      <c r="B8" s="12" t="str">
        <f>VLOOKUP(A8,[5]LISTADHERENT!A$5:H$60,3,0)</f>
        <v xml:space="preserve">DJOMO JEAN PAUL </v>
      </c>
      <c r="C8" s="13"/>
      <c r="D8" s="14">
        <f>105000+3000</f>
        <v>108000</v>
      </c>
      <c r="E8" s="15"/>
      <c r="F8" s="16">
        <f t="shared" ref="F8:F36" si="0">SUM(C8:E8)</f>
        <v>108000</v>
      </c>
      <c r="G8" s="16"/>
      <c r="H8" s="19"/>
    </row>
    <row r="9" spans="1:8" ht="18" x14ac:dyDescent="0.25">
      <c r="A9" s="11" t="s">
        <v>10</v>
      </c>
      <c r="B9" s="12" t="str">
        <f>VLOOKUP(A9,[5]LISTADHERENT!A$5:H$60,3,0)</f>
        <v>DJOMOU TCHANDA</v>
      </c>
      <c r="C9" s="13"/>
      <c r="D9" s="14">
        <f>30000+3000</f>
        <v>33000</v>
      </c>
      <c r="E9" s="15"/>
      <c r="F9" s="16">
        <f t="shared" si="0"/>
        <v>33000</v>
      </c>
      <c r="G9" s="16"/>
      <c r="H9" s="19"/>
    </row>
    <row r="10" spans="1:8" ht="18" x14ac:dyDescent="0.25">
      <c r="A10" s="11" t="s">
        <v>11</v>
      </c>
      <c r="B10" s="12" t="str">
        <f>VLOOKUP(A10,[5]LISTADHERENT!A$5:H$60,3,0)</f>
        <v>DJOUKWE NANGUEN GUY BLAISE</v>
      </c>
      <c r="C10" s="13">
        <v>81000</v>
      </c>
      <c r="D10" s="14"/>
      <c r="E10" s="15"/>
      <c r="F10" s="16">
        <f t="shared" si="0"/>
        <v>81000</v>
      </c>
      <c r="G10" s="16"/>
      <c r="H10" s="19"/>
    </row>
    <row r="11" spans="1:8" ht="18" x14ac:dyDescent="0.25">
      <c r="A11" s="11" t="s">
        <v>12</v>
      </c>
      <c r="B11" s="12" t="str">
        <f>VLOOKUP(A11,[5]LISTADHERENT!A$5:H$60,3,0)</f>
        <v>DJUOMBESSY ANTOINE</v>
      </c>
      <c r="C11" s="13">
        <v>205000</v>
      </c>
      <c r="D11" s="14"/>
      <c r="E11" s="15"/>
      <c r="F11" s="16">
        <f t="shared" si="0"/>
        <v>205000</v>
      </c>
      <c r="G11" s="16"/>
      <c r="H11" s="19"/>
    </row>
    <row r="12" spans="1:8" ht="18" x14ac:dyDescent="0.25">
      <c r="A12" s="11" t="s">
        <v>13</v>
      </c>
      <c r="B12" s="12" t="str">
        <f>VLOOKUP(A12,[5]LISTADHERENT!A$5:H$60,3,0)</f>
        <v>DOMOU FABIEN</v>
      </c>
      <c r="C12" s="13">
        <v>35000</v>
      </c>
      <c r="D12" s="14"/>
      <c r="E12" s="15"/>
      <c r="F12" s="16">
        <f t="shared" si="0"/>
        <v>35000</v>
      </c>
      <c r="G12" s="16"/>
      <c r="H12" s="19"/>
    </row>
    <row r="13" spans="1:8" ht="18" x14ac:dyDescent="0.25">
      <c r="A13" s="11" t="s">
        <v>14</v>
      </c>
      <c r="B13" s="12" t="str">
        <f>VLOOKUP(A13,[5]LISTADHERENT!A$5:H$60,3,0)</f>
        <v>DONHOU DAVID</v>
      </c>
      <c r="C13" s="13"/>
      <c r="D13" s="14">
        <f>30000+3000</f>
        <v>33000</v>
      </c>
      <c r="E13" s="15"/>
      <c r="F13" s="16">
        <f t="shared" si="0"/>
        <v>33000</v>
      </c>
      <c r="G13" s="16"/>
      <c r="H13" s="19"/>
    </row>
    <row r="14" spans="1:8" ht="18" x14ac:dyDescent="0.25">
      <c r="A14" s="11" t="s">
        <v>15</v>
      </c>
      <c r="B14" s="12" t="str">
        <f>VLOOKUP(A14,[5]LISTADHERENT!A$5:H$60,3,0)</f>
        <v>FOTSO THOMAS</v>
      </c>
      <c r="C14" s="13"/>
      <c r="D14" s="14"/>
      <c r="E14" s="15"/>
      <c r="F14" s="16">
        <f t="shared" si="0"/>
        <v>0</v>
      </c>
      <c r="G14" s="16"/>
      <c r="H14" s="19"/>
    </row>
    <row r="15" spans="1:8" ht="18" x14ac:dyDescent="0.25">
      <c r="A15" s="11" t="s">
        <v>16</v>
      </c>
      <c r="B15" s="12" t="str">
        <f>VLOOKUP(A15,[5]LISTADHERENT!A$5:H$60,3,0)</f>
        <v>HENGUE PAUL OMER</v>
      </c>
      <c r="C15" s="13">
        <v>105000</v>
      </c>
      <c r="D15" s="14"/>
      <c r="E15" s="15"/>
      <c r="F15" s="16">
        <f t="shared" si="0"/>
        <v>105000</v>
      </c>
      <c r="G15" s="16"/>
      <c r="H15" s="19"/>
    </row>
    <row r="16" spans="1:8" ht="18" x14ac:dyDescent="0.25">
      <c r="A16" s="11" t="s">
        <v>17</v>
      </c>
      <c r="B16" s="12" t="str">
        <f>VLOOKUP(A16,[5]LISTADHERENT!A$5:H$60,3,0)</f>
        <v>HOTCHO BENJAMIN</v>
      </c>
      <c r="C16" s="13">
        <v>150000</v>
      </c>
      <c r="D16" s="14"/>
      <c r="E16" s="15"/>
      <c r="F16" s="16">
        <f t="shared" si="0"/>
        <v>150000</v>
      </c>
      <c r="G16" s="16"/>
      <c r="H16" s="19"/>
    </row>
    <row r="17" spans="1:8" ht="18" x14ac:dyDescent="0.25">
      <c r="A17" s="11" t="s">
        <v>18</v>
      </c>
      <c r="B17" s="12" t="str">
        <f>VLOOKUP(A17,[5]LISTADHERENT!A$5:H$60,3,0)</f>
        <v>KOUAMOU MOISE</v>
      </c>
      <c r="C17" s="13">
        <v>330000</v>
      </c>
      <c r="D17" s="14"/>
      <c r="E17" s="15"/>
      <c r="F17" s="16">
        <f t="shared" si="0"/>
        <v>330000</v>
      </c>
      <c r="G17" s="16"/>
      <c r="H17" s="19"/>
    </row>
    <row r="18" spans="1:8" ht="18" x14ac:dyDescent="0.25">
      <c r="A18" s="11" t="s">
        <v>19</v>
      </c>
      <c r="B18" s="12" t="str">
        <f>VLOOKUP(A18,[5]LISTADHERENT!A$5:H$60,3,0)</f>
        <v>KOUATCHO MESSACK</v>
      </c>
      <c r="C18" s="13">
        <v>205000</v>
      </c>
      <c r="D18" s="14"/>
      <c r="E18" s="15"/>
      <c r="F18" s="16">
        <f t="shared" si="0"/>
        <v>205000</v>
      </c>
      <c r="G18" s="16">
        <v>150000</v>
      </c>
      <c r="H18" s="19"/>
    </row>
    <row r="19" spans="1:8" ht="18" x14ac:dyDescent="0.25">
      <c r="A19" s="11" t="s">
        <v>20</v>
      </c>
      <c r="B19" s="12" t="str">
        <f>VLOOKUP(A19,[5]LISTADHERENT!A$5:H$60,3,0)</f>
        <v>LOWE JEAN</v>
      </c>
      <c r="C19" s="13">
        <f>30000+500000</f>
        <v>530000</v>
      </c>
      <c r="D19" s="14"/>
      <c r="E19" s="15"/>
      <c r="F19" s="16">
        <f t="shared" si="0"/>
        <v>530000</v>
      </c>
      <c r="G19" s="16">
        <v>30000</v>
      </c>
      <c r="H19" s="19"/>
    </row>
    <row r="20" spans="1:8" ht="18" x14ac:dyDescent="0.25">
      <c r="A20" s="11" t="s">
        <v>21</v>
      </c>
      <c r="B20" s="12" t="str">
        <f>VLOOKUP(A20,[5]LISTADHERENT!A$5:H$60,3,0)</f>
        <v>MBOGNING TUGMA GUY</v>
      </c>
      <c r="C20" s="13">
        <v>455000</v>
      </c>
      <c r="D20" s="14"/>
      <c r="E20" s="15"/>
      <c r="F20" s="16">
        <f t="shared" si="0"/>
        <v>455000</v>
      </c>
      <c r="G20" s="16">
        <v>81000</v>
      </c>
      <c r="H20" s="19"/>
    </row>
    <row r="21" spans="1:8" ht="18" x14ac:dyDescent="0.25">
      <c r="A21" s="11" t="s">
        <v>22</v>
      </c>
      <c r="B21" s="12" t="str">
        <f>VLOOKUP(A21,[5]LISTADHERENT!A$5:H$60,3,0)</f>
        <v>NANGUEN MARTIN</v>
      </c>
      <c r="C21" s="13">
        <v>30000</v>
      </c>
      <c r="D21" s="14"/>
      <c r="E21" s="15"/>
      <c r="F21" s="16">
        <f t="shared" si="0"/>
        <v>30000</v>
      </c>
      <c r="G21" s="16">
        <v>105000</v>
      </c>
      <c r="H21" s="19"/>
    </row>
    <row r="22" spans="1:8" ht="18" x14ac:dyDescent="0.25">
      <c r="A22" s="11" t="s">
        <v>23</v>
      </c>
      <c r="B22" s="12" t="str">
        <f>VLOOKUP(A22,[5]LISTADHERENT!A$5:H$60,3,0)</f>
        <v>NANKAM APPOLINAIRE</v>
      </c>
      <c r="C22" s="13">
        <v>105000</v>
      </c>
      <c r="D22" s="14"/>
      <c r="E22" s="15"/>
      <c r="F22" s="16">
        <f t="shared" si="0"/>
        <v>105000</v>
      </c>
      <c r="G22" s="16">
        <v>340000</v>
      </c>
      <c r="H22" s="19"/>
    </row>
    <row r="23" spans="1:8" ht="18" x14ac:dyDescent="0.25">
      <c r="A23" s="11" t="s">
        <v>24</v>
      </c>
      <c r="B23" s="12" t="str">
        <f>VLOOKUP(A23,[5]LISTADHERENT!A$5:H$60,3,0)</f>
        <v>NDJOMO ETIENNE</v>
      </c>
      <c r="C23" s="13">
        <v>150000</v>
      </c>
      <c r="D23" s="14"/>
      <c r="E23" s="15"/>
      <c r="F23" s="16">
        <f t="shared" si="0"/>
        <v>150000</v>
      </c>
      <c r="G23" s="16">
        <v>330000</v>
      </c>
      <c r="H23" s="19"/>
    </row>
    <row r="24" spans="1:8" ht="18" x14ac:dyDescent="0.25">
      <c r="A24" s="11" t="s">
        <v>25</v>
      </c>
      <c r="B24" s="12" t="str">
        <f>VLOOKUP(A24,[5]LISTADHERENT!A$5:H$60,3,0)</f>
        <v>NGONDIEP CLAUDE</v>
      </c>
      <c r="C24" s="13">
        <v>205000</v>
      </c>
      <c r="D24" s="14"/>
      <c r="E24" s="15"/>
      <c r="F24" s="16">
        <f t="shared" si="0"/>
        <v>205000</v>
      </c>
      <c r="G24" s="16">
        <v>105000</v>
      </c>
      <c r="H24" s="19"/>
    </row>
    <row r="25" spans="1:8" ht="18" x14ac:dyDescent="0.25">
      <c r="A25" s="11" t="s">
        <v>26</v>
      </c>
      <c r="B25" s="12" t="str">
        <f>VLOOKUP(A25,[5]LISTADHERENT!A$5:H$60,3,0)</f>
        <v>NGUIEMEGNI MATHIEU BLAISE</v>
      </c>
      <c r="C25" s="13">
        <v>340000</v>
      </c>
      <c r="D25" s="14"/>
      <c r="E25" s="15"/>
      <c r="F25" s="16">
        <f t="shared" si="0"/>
        <v>340000</v>
      </c>
      <c r="G25" s="16">
        <v>180000</v>
      </c>
      <c r="H25" s="19"/>
    </row>
    <row r="26" spans="1:8" ht="18" x14ac:dyDescent="0.25">
      <c r="A26" s="11" t="s">
        <v>27</v>
      </c>
      <c r="B26" s="12" t="str">
        <f>VLOOKUP(A26,[5]LISTADHERENT!A$5:H$60,3,0)</f>
        <v>NKAMGANG JUSTIN DEJOLIE</v>
      </c>
      <c r="C26" s="13">
        <v>105000</v>
      </c>
      <c r="D26" s="14"/>
      <c r="E26" s="15"/>
      <c r="F26" s="16">
        <f t="shared" si="0"/>
        <v>105000</v>
      </c>
      <c r="G26" s="16">
        <v>105000</v>
      </c>
      <c r="H26" s="19"/>
    </row>
    <row r="27" spans="1:8" ht="18" x14ac:dyDescent="0.25">
      <c r="A27" s="11" t="s">
        <v>28</v>
      </c>
      <c r="B27" s="12" t="str">
        <f>VLOOKUP(A27,[5]LISTADHERENT!A$5:H$60,3,0)</f>
        <v>NKEHE DAVID</v>
      </c>
      <c r="C27" s="13"/>
      <c r="D27" s="14"/>
      <c r="E27" s="15"/>
      <c r="F27" s="16">
        <f t="shared" si="0"/>
        <v>0</v>
      </c>
      <c r="G27" s="16">
        <v>150000</v>
      </c>
      <c r="H27" s="19"/>
    </row>
    <row r="28" spans="1:8" ht="18" x14ac:dyDescent="0.25">
      <c r="A28" s="11" t="s">
        <v>29</v>
      </c>
      <c r="B28" s="12" t="str">
        <f>VLOOKUP(A28,[5]LISTADHERENT!A$5:H$60,3,0)</f>
        <v>NKEPSEU DIEUDONNE</v>
      </c>
      <c r="C28" s="13">
        <v>180000</v>
      </c>
      <c r="D28" s="14"/>
      <c r="E28" s="15"/>
      <c r="F28" s="16">
        <f t="shared" si="0"/>
        <v>180000</v>
      </c>
      <c r="G28" s="16">
        <v>280000</v>
      </c>
      <c r="H28" s="19"/>
    </row>
    <row r="29" spans="1:8" ht="18" x14ac:dyDescent="0.25">
      <c r="A29" s="11" t="s">
        <v>30</v>
      </c>
      <c r="B29" s="12" t="str">
        <f>VLOOKUP(A29,[5]LISTADHERENT!A$5:H$60,3,0)</f>
        <v>PATEGO NJOSSU GUSTAVE</v>
      </c>
      <c r="C29" s="13">
        <v>105000</v>
      </c>
      <c r="D29" s="14"/>
      <c r="E29" s="15"/>
      <c r="F29" s="16">
        <f t="shared" si="0"/>
        <v>105000</v>
      </c>
      <c r="G29" s="16">
        <v>205000</v>
      </c>
      <c r="H29" s="19"/>
    </row>
    <row r="30" spans="1:8" ht="18" x14ac:dyDescent="0.25">
      <c r="A30" s="11" t="s">
        <v>31</v>
      </c>
      <c r="B30" s="12" t="str">
        <f>VLOOKUP(A30,[5]LISTADHERENT!A$5:H$60,3,0)</f>
        <v>SIME BRICE</v>
      </c>
      <c r="C30" s="13"/>
      <c r="D30" s="14">
        <f>105000+3000</f>
        <v>108000</v>
      </c>
      <c r="E30" s="15"/>
      <c r="F30" s="16">
        <f t="shared" si="0"/>
        <v>108000</v>
      </c>
      <c r="G30" s="16">
        <v>105000</v>
      </c>
      <c r="H30" s="19"/>
    </row>
    <row r="31" spans="1:8" ht="18" x14ac:dyDescent="0.25">
      <c r="A31" s="11" t="s">
        <v>32</v>
      </c>
      <c r="B31" s="12" t="str">
        <f>VLOOKUP(A31,[5]LISTADHERENT!A$5:H$60,3,0)</f>
        <v>SIMO FONGANG ERIC</v>
      </c>
      <c r="C31" s="13"/>
      <c r="D31" s="14"/>
      <c r="E31" s="15"/>
      <c r="F31" s="16">
        <f t="shared" si="0"/>
        <v>0</v>
      </c>
      <c r="G31" s="16">
        <v>455000</v>
      </c>
      <c r="H31" s="19"/>
    </row>
    <row r="32" spans="1:8" ht="18" x14ac:dyDescent="0.25">
      <c r="A32" s="11" t="s">
        <v>33</v>
      </c>
      <c r="B32" s="12" t="str">
        <f>VLOOKUP(A32,[5]LISTADHERENT!A$5:H$60,3,0)</f>
        <v>SIMO PIERRE</v>
      </c>
      <c r="C32" s="13">
        <v>150000</v>
      </c>
      <c r="D32" s="14"/>
      <c r="E32" s="15"/>
      <c r="F32" s="16">
        <f t="shared" si="0"/>
        <v>150000</v>
      </c>
      <c r="G32" s="16">
        <v>205000</v>
      </c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13">
        <v>105000</v>
      </c>
      <c r="D33" s="14"/>
      <c r="E33" s="15"/>
      <c r="F33" s="16">
        <f t="shared" si="0"/>
        <v>105000</v>
      </c>
      <c r="G33" s="16">
        <v>150000</v>
      </c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/>
      <c r="D34" s="14"/>
      <c r="E34" s="15"/>
      <c r="F34" s="16">
        <f t="shared" si="0"/>
        <v>0</v>
      </c>
      <c r="G34" s="16">
        <v>105000</v>
      </c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>
        <v>30000</v>
      </c>
      <c r="D35" s="14"/>
      <c r="E35" s="15"/>
      <c r="F35" s="16">
        <f t="shared" si="0"/>
        <v>30000</v>
      </c>
      <c r="G35" s="16">
        <v>105000</v>
      </c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13">
        <v>280000</v>
      </c>
      <c r="D36" s="14"/>
      <c r="E36" s="15"/>
      <c r="F36" s="16">
        <f t="shared" si="0"/>
        <v>280000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3986000</v>
      </c>
      <c r="D38" s="22">
        <f>SUM(D7:D37)</f>
        <v>282000</v>
      </c>
      <c r="E38" s="22">
        <f>SUM(E7:E37)</f>
        <v>0</v>
      </c>
      <c r="F38" s="22">
        <f t="shared" ref="F38:H38" si="1">SUM(F7:F37)</f>
        <v>4268000</v>
      </c>
      <c r="G38" s="22">
        <f t="shared" si="1"/>
        <v>3186000</v>
      </c>
      <c r="H38" s="23">
        <f t="shared" si="1"/>
        <v>0</v>
      </c>
    </row>
    <row r="39" spans="1:8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zoomScale="106" zoomScaleNormal="106" workbookViewId="0">
      <pane xSplit="3" ySplit="5" topLeftCell="D30" activePane="bottomRight" state="frozen"/>
      <selection pane="topRight" activeCell="E1" sqref="E1"/>
      <selection pane="bottomLeft" activeCell="A6" sqref="A6"/>
      <selection pane="bottomRight" activeCell="C32" sqref="C32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x14ac:dyDescent="0.25">
      <c r="A1" s="1" t="s">
        <v>2</v>
      </c>
      <c r="B1" s="1" t="s">
        <v>3</v>
      </c>
    </row>
    <row r="2" spans="1:8" x14ac:dyDescent="0.25">
      <c r="A2" s="1" t="s">
        <v>4</v>
      </c>
      <c r="B2" s="1">
        <v>2022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1" t="s">
        <v>66</v>
      </c>
      <c r="C4" s="29"/>
      <c r="D4" s="29"/>
      <c r="E4" s="29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8" ht="18" x14ac:dyDescent="0.25">
      <c r="A6" s="11" t="s">
        <v>68</v>
      </c>
      <c r="B6" s="12" t="str">
        <f>VLOOKUP(A6,[5]LISTADHERENT!A$5:H$60,3,0)</f>
        <v>ASELBY</v>
      </c>
      <c r="C6" s="13">
        <v>100000</v>
      </c>
      <c r="D6" s="14"/>
      <c r="E6" s="15"/>
      <c r="F6" s="16">
        <f>SUM(C6:E6)</f>
        <v>100000</v>
      </c>
      <c r="H6" s="19"/>
    </row>
    <row r="7" spans="1:8" ht="18" x14ac:dyDescent="0.25">
      <c r="A7" s="11" t="s">
        <v>8</v>
      </c>
      <c r="B7" s="12" t="str">
        <f>VLOOKUP(A7,[5]LISTADHERENT!A$5:H$60,3,0)</f>
        <v>BOUTCHOUANG WILLIAM</v>
      </c>
      <c r="C7" s="13">
        <v>105000</v>
      </c>
      <c r="D7" s="14"/>
      <c r="E7" s="15"/>
      <c r="F7" s="16">
        <f>SUM(C7:E7)</f>
        <v>105000</v>
      </c>
      <c r="G7" s="16">
        <v>430000</v>
      </c>
      <c r="H7" s="19"/>
    </row>
    <row r="8" spans="1:8" ht="18" x14ac:dyDescent="0.25">
      <c r="A8" s="11" t="s">
        <v>9</v>
      </c>
      <c r="B8" s="12" t="str">
        <f>VLOOKUP(A8,[5]LISTADHERENT!A$5:H$60,3,0)</f>
        <v xml:space="preserve">DJOMO JEAN PAUL </v>
      </c>
      <c r="C8" s="13">
        <v>132000</v>
      </c>
      <c r="D8" s="14"/>
      <c r="E8" s="15"/>
      <c r="F8" s="16">
        <f t="shared" ref="F8:F36" si="0">SUM(C8:E8)</f>
        <v>132000</v>
      </c>
      <c r="G8" s="16">
        <v>105000</v>
      </c>
      <c r="H8" s="19"/>
    </row>
    <row r="9" spans="1:8" ht="18" x14ac:dyDescent="0.25">
      <c r="A9" s="11" t="s">
        <v>10</v>
      </c>
      <c r="B9" s="12" t="str">
        <f>VLOOKUP(A9,[5]LISTADHERENT!A$5:H$60,3,0)</f>
        <v>DJOMOU TCHANDA</v>
      </c>
      <c r="C9" s="13">
        <v>35000</v>
      </c>
      <c r="D9" s="14"/>
      <c r="E9" s="15"/>
      <c r="F9" s="16">
        <f t="shared" si="0"/>
        <v>35000</v>
      </c>
      <c r="G9" s="16">
        <v>30000</v>
      </c>
      <c r="H9" s="19"/>
    </row>
    <row r="10" spans="1:8" ht="18" x14ac:dyDescent="0.25">
      <c r="A10" s="11" t="s">
        <v>11</v>
      </c>
      <c r="B10" s="12" t="str">
        <f>VLOOKUP(A10,[5]LISTADHERENT!A$5:H$60,3,0)</f>
        <v>DJOUKWE NANGUEN GUY BLAISE</v>
      </c>
      <c r="C10" s="13">
        <v>81000</v>
      </c>
      <c r="D10" s="14"/>
      <c r="E10" s="15"/>
      <c r="F10" s="16">
        <f t="shared" si="0"/>
        <v>81000</v>
      </c>
      <c r="G10" s="16">
        <v>81000</v>
      </c>
      <c r="H10" s="19"/>
    </row>
    <row r="11" spans="1:8" ht="18" x14ac:dyDescent="0.25">
      <c r="A11" s="11" t="s">
        <v>12</v>
      </c>
      <c r="B11" s="12" t="str">
        <f>VLOOKUP(A11,[5]LISTADHERENT!A$5:H$60,3,0)</f>
        <v>DJUOMBESSY ANTOINE</v>
      </c>
      <c r="C11" s="13">
        <v>105000</v>
      </c>
      <c r="D11" s="14">
        <v>100000</v>
      </c>
      <c r="E11" s="15"/>
      <c r="F11" s="16">
        <f t="shared" si="0"/>
        <v>205000</v>
      </c>
      <c r="G11" s="16">
        <v>241000</v>
      </c>
      <c r="H11" s="19"/>
    </row>
    <row r="12" spans="1:8" ht="18" x14ac:dyDescent="0.25">
      <c r="A12" s="11" t="s">
        <v>13</v>
      </c>
      <c r="B12" s="12" t="str">
        <f>VLOOKUP(A12,[5]LISTADHERENT!A$5:H$60,3,0)</f>
        <v>DOMOU FABIEN</v>
      </c>
      <c r="C12" s="13">
        <v>35000</v>
      </c>
      <c r="D12" s="14"/>
      <c r="E12" s="15"/>
      <c r="F12" s="16">
        <f t="shared" si="0"/>
        <v>35000</v>
      </c>
      <c r="G12" s="16">
        <v>105000</v>
      </c>
      <c r="H12" s="19"/>
    </row>
    <row r="13" spans="1:8" ht="18" x14ac:dyDescent="0.25">
      <c r="A13" s="11" t="s">
        <v>14</v>
      </c>
      <c r="B13" s="12" t="str">
        <f>VLOOKUP(A13,[5]LISTADHERENT!A$5:H$60,3,0)</f>
        <v>DONHOU DAVID</v>
      </c>
      <c r="C13" s="13">
        <v>35000</v>
      </c>
      <c r="D13" s="14"/>
      <c r="E13" s="15"/>
      <c r="F13" s="16">
        <f t="shared" si="0"/>
        <v>35000</v>
      </c>
      <c r="G13" s="16">
        <v>280000</v>
      </c>
      <c r="H13" s="19"/>
    </row>
    <row r="14" spans="1:8" ht="18" x14ac:dyDescent="0.25">
      <c r="A14" s="11" t="s">
        <v>15</v>
      </c>
      <c r="B14" s="12" t="str">
        <f>VLOOKUP(A14,[5]LISTADHERENT!A$5:H$60,3,0)</f>
        <v>FOTSO THOMAS</v>
      </c>
      <c r="C14" s="13"/>
      <c r="D14" s="14"/>
      <c r="E14" s="15"/>
      <c r="F14" s="16">
        <f t="shared" si="0"/>
        <v>0</v>
      </c>
      <c r="G14" s="16">
        <v>105000</v>
      </c>
      <c r="H14" s="19"/>
    </row>
    <row r="15" spans="1:8" ht="18" x14ac:dyDescent="0.25">
      <c r="A15" s="11" t="s">
        <v>16</v>
      </c>
      <c r="B15" s="12" t="str">
        <f>VLOOKUP(A15,[5]LISTADHERENT!A$5:H$60,3,0)</f>
        <v>HENGUE PAUL OMER</v>
      </c>
      <c r="C15" s="13">
        <v>105000</v>
      </c>
      <c r="D15" s="14"/>
      <c r="E15" s="15"/>
      <c r="F15" s="16">
        <f t="shared" si="0"/>
        <v>105000</v>
      </c>
      <c r="G15" s="16"/>
      <c r="H15" s="19"/>
    </row>
    <row r="16" spans="1:8" ht="18" x14ac:dyDescent="0.25">
      <c r="A16" s="11" t="s">
        <v>17</v>
      </c>
      <c r="B16" s="12" t="str">
        <f>VLOOKUP(A16,[5]LISTADHERENT!A$5:H$60,3,0)</f>
        <v>HOTCHO BENJAMIN</v>
      </c>
      <c r="C16" s="13">
        <v>150000</v>
      </c>
      <c r="D16" s="14"/>
      <c r="E16" s="15"/>
      <c r="F16" s="16">
        <f t="shared" si="0"/>
        <v>150000</v>
      </c>
      <c r="G16" s="16">
        <v>455000</v>
      </c>
      <c r="H16" s="19"/>
    </row>
    <row r="17" spans="1:8" ht="18" x14ac:dyDescent="0.25">
      <c r="A17" s="11" t="s">
        <v>18</v>
      </c>
      <c r="B17" s="12" t="str">
        <f>VLOOKUP(A17,[5]LISTADHERENT!A$5:H$60,3,0)</f>
        <v>KOUAMOU MOISE</v>
      </c>
      <c r="C17" s="13">
        <v>430000</v>
      </c>
      <c r="D17" s="14"/>
      <c r="E17" s="15"/>
      <c r="F17" s="16">
        <f t="shared" si="0"/>
        <v>430000</v>
      </c>
      <c r="G17" s="16">
        <v>105000</v>
      </c>
      <c r="H17" s="19"/>
    </row>
    <row r="18" spans="1:8" ht="18" x14ac:dyDescent="0.25">
      <c r="A18" s="11" t="s">
        <v>19</v>
      </c>
      <c r="B18" s="12" t="str">
        <f>VLOOKUP(A18,[5]LISTADHERENT!A$5:H$60,3,0)</f>
        <v>KOUATCHO MESSACK</v>
      </c>
      <c r="C18" s="13">
        <v>410000</v>
      </c>
      <c r="D18" s="14"/>
      <c r="E18" s="15"/>
      <c r="F18" s="16">
        <f t="shared" si="0"/>
        <v>410000</v>
      </c>
      <c r="G18" s="16">
        <v>35000</v>
      </c>
      <c r="H18" s="19"/>
    </row>
    <row r="19" spans="1:8" ht="18" x14ac:dyDescent="0.25">
      <c r="A19" s="11" t="s">
        <v>20</v>
      </c>
      <c r="B19" s="12" t="str">
        <f>VLOOKUP(A19,[5]LISTADHERENT!A$5:H$60,3,0)</f>
        <v>LOWE JEAN</v>
      </c>
      <c r="C19" s="13">
        <v>30000</v>
      </c>
      <c r="D19" s="14"/>
      <c r="E19" s="15"/>
      <c r="F19" s="16">
        <f t="shared" si="0"/>
        <v>30000</v>
      </c>
      <c r="G19" s="16">
        <v>150000</v>
      </c>
      <c r="H19" s="19"/>
    </row>
    <row r="20" spans="1:8" ht="18" x14ac:dyDescent="0.25">
      <c r="A20" s="11" t="s">
        <v>21</v>
      </c>
      <c r="B20" s="12" t="str">
        <f>VLOOKUP(A20,[5]LISTADHERENT!A$5:H$60,3,0)</f>
        <v>MBOGNING TUGMA GUY</v>
      </c>
      <c r="C20" s="13">
        <v>455000</v>
      </c>
      <c r="D20" s="14"/>
      <c r="E20" s="15"/>
      <c r="F20" s="16">
        <f t="shared" si="0"/>
        <v>455000</v>
      </c>
      <c r="G20" s="16">
        <v>105000</v>
      </c>
      <c r="H20" s="19"/>
    </row>
    <row r="21" spans="1:8" ht="18" x14ac:dyDescent="0.25">
      <c r="A21" s="11" t="s">
        <v>22</v>
      </c>
      <c r="B21" s="12" t="str">
        <f>VLOOKUP(A21,[5]LISTADHERENT!A$5:H$60,3,0)</f>
        <v>NANGUEN MARTIN</v>
      </c>
      <c r="C21" s="13">
        <v>30000</v>
      </c>
      <c r="D21" s="14"/>
      <c r="E21" s="15"/>
      <c r="F21" s="16">
        <f t="shared" si="0"/>
        <v>30000</v>
      </c>
      <c r="G21" s="16">
        <v>132000</v>
      </c>
      <c r="H21" s="19"/>
    </row>
    <row r="22" spans="1:8" ht="18" x14ac:dyDescent="0.25">
      <c r="A22" s="11" t="s">
        <v>23</v>
      </c>
      <c r="B22" s="12" t="str">
        <f>VLOOKUP(A22,[5]LISTADHERENT!A$5:H$60,3,0)</f>
        <v>NANKAM APPOLINAIRE</v>
      </c>
      <c r="C22" s="13">
        <v>105000</v>
      </c>
      <c r="D22" s="14"/>
      <c r="E22" s="15"/>
      <c r="F22" s="16">
        <f t="shared" si="0"/>
        <v>105000</v>
      </c>
      <c r="G22" s="16"/>
      <c r="H22" s="19"/>
    </row>
    <row r="23" spans="1:8" ht="18" x14ac:dyDescent="0.25">
      <c r="A23" s="11" t="s">
        <v>24</v>
      </c>
      <c r="B23" s="12" t="str">
        <f>VLOOKUP(A23,[5]LISTADHERENT!A$5:H$60,3,0)</f>
        <v>NDJOMO ETIENNE</v>
      </c>
      <c r="C23" s="13">
        <v>150000</v>
      </c>
      <c r="D23" s="14"/>
      <c r="E23" s="15"/>
      <c r="F23" s="16">
        <f t="shared" si="0"/>
        <v>150000</v>
      </c>
      <c r="G23" s="16">
        <v>161000</v>
      </c>
      <c r="H23" s="19"/>
    </row>
    <row r="24" spans="1:8" ht="18" x14ac:dyDescent="0.25">
      <c r="A24" s="11" t="s">
        <v>25</v>
      </c>
      <c r="B24" s="12" t="str">
        <f>VLOOKUP(A24,[5]LISTADHERENT!A$5:H$60,3,0)</f>
        <v>NGONDIEP CLAUDE</v>
      </c>
      <c r="C24" s="13">
        <v>315000</v>
      </c>
      <c r="D24" s="14"/>
      <c r="E24" s="15"/>
      <c r="F24" s="16">
        <f t="shared" si="0"/>
        <v>315000</v>
      </c>
      <c r="G24" s="16">
        <v>105000</v>
      </c>
      <c r="H24" s="19"/>
    </row>
    <row r="25" spans="1:8" ht="18" x14ac:dyDescent="0.25">
      <c r="A25" s="11" t="s">
        <v>26</v>
      </c>
      <c r="B25" s="12" t="str">
        <f>VLOOKUP(A25,[5]LISTADHERENT!A$5:H$60,3,0)</f>
        <v>NGUIEMEGNI MATHIEU BLAISE</v>
      </c>
      <c r="C25" s="13">
        <v>280000</v>
      </c>
      <c r="D25" s="14"/>
      <c r="E25" s="15"/>
      <c r="F25" s="16">
        <f t="shared" si="0"/>
        <v>280000</v>
      </c>
      <c r="G25" s="16">
        <v>280000</v>
      </c>
      <c r="H25" s="19"/>
    </row>
    <row r="26" spans="1:8" ht="18" x14ac:dyDescent="0.25">
      <c r="A26" s="11" t="s">
        <v>27</v>
      </c>
      <c r="B26" s="12" t="str">
        <f>VLOOKUP(A26,[5]LISTADHERENT!A$5:H$60,3,0)</f>
        <v>NKAMGANG JUSTIN DEJOLIE</v>
      </c>
      <c r="C26" s="13">
        <v>105000</v>
      </c>
      <c r="D26" s="14"/>
      <c r="E26" s="15"/>
      <c r="F26" s="16">
        <f t="shared" si="0"/>
        <v>105000</v>
      </c>
      <c r="G26" s="16">
        <v>105000</v>
      </c>
      <c r="H26" s="19"/>
    </row>
    <row r="27" spans="1:8" ht="18" x14ac:dyDescent="0.25">
      <c r="A27" s="11" t="s">
        <v>28</v>
      </c>
      <c r="B27" s="12" t="str">
        <f>VLOOKUP(A27,[5]LISTADHERENT!A$5:H$60,3,0)</f>
        <v>NKEHE DAVID</v>
      </c>
      <c r="C27" s="13"/>
      <c r="D27" s="14"/>
      <c r="E27" s="15"/>
      <c r="F27" s="16">
        <f t="shared" si="0"/>
        <v>0</v>
      </c>
      <c r="G27" s="16">
        <v>35000</v>
      </c>
      <c r="H27" s="19"/>
    </row>
    <row r="28" spans="1:8" ht="18" x14ac:dyDescent="0.25">
      <c r="A28" s="11" t="s">
        <v>29</v>
      </c>
      <c r="B28" s="12" t="str">
        <f>VLOOKUP(A28,[5]LISTADHERENT!A$5:H$60,3,0)</f>
        <v>NKEPSEU DIEUDONNE</v>
      </c>
      <c r="C28" s="13">
        <v>241000</v>
      </c>
      <c r="D28" s="14"/>
      <c r="E28" s="15"/>
      <c r="F28" s="16">
        <f t="shared" si="0"/>
        <v>241000</v>
      </c>
      <c r="G28" s="16">
        <v>410000</v>
      </c>
      <c r="H28" s="19"/>
    </row>
    <row r="29" spans="1:8" ht="18" x14ac:dyDescent="0.25">
      <c r="A29" s="11" t="s">
        <v>30</v>
      </c>
      <c r="B29" s="12" t="str">
        <f>VLOOKUP(A29,[5]LISTADHERENT!A$5:H$60,3,0)</f>
        <v>PATEGO NJOSSU GUSTAVE</v>
      </c>
      <c r="C29" s="13">
        <v>105000</v>
      </c>
      <c r="D29" s="14"/>
      <c r="E29" s="15"/>
      <c r="F29" s="16">
        <f t="shared" si="0"/>
        <v>105000</v>
      </c>
      <c r="G29" s="16">
        <v>105000</v>
      </c>
      <c r="H29" s="19"/>
    </row>
    <row r="30" spans="1:8" ht="18" x14ac:dyDescent="0.25">
      <c r="A30" s="11" t="s">
        <v>31</v>
      </c>
      <c r="B30" s="12" t="str">
        <f>VLOOKUP(A30,[5]LISTADHERENT!A$5:H$60,3,0)</f>
        <v>SIME BRICE</v>
      </c>
      <c r="C30" s="13">
        <v>105000</v>
      </c>
      <c r="D30" s="14"/>
      <c r="E30" s="15"/>
      <c r="F30" s="16">
        <f t="shared" si="0"/>
        <v>105000</v>
      </c>
      <c r="G30" s="16">
        <v>35000</v>
      </c>
      <c r="H30" s="19"/>
    </row>
    <row r="31" spans="1:8" ht="18" x14ac:dyDescent="0.25">
      <c r="A31" s="11" t="s">
        <v>32</v>
      </c>
      <c r="B31" s="12" t="str">
        <f>VLOOKUP(A31,[5]LISTADHERENT!A$5:H$60,3,0)</f>
        <v>SIMO FONGANG ERIC</v>
      </c>
      <c r="C31" s="13"/>
      <c r="D31" s="14"/>
      <c r="E31" s="15"/>
      <c r="F31" s="16">
        <f t="shared" si="0"/>
        <v>0</v>
      </c>
      <c r="G31" s="16">
        <v>30000</v>
      </c>
      <c r="H31" s="19"/>
    </row>
    <row r="32" spans="1:8" ht="18" x14ac:dyDescent="0.25">
      <c r="A32" s="11" t="s">
        <v>33</v>
      </c>
      <c r="B32" s="12" t="str">
        <f>VLOOKUP(A32,[5]LISTADHERENT!A$5:H$60,3,0)</f>
        <v>SIMO PIERRE</v>
      </c>
      <c r="C32" s="13">
        <v>261000</v>
      </c>
      <c r="D32" s="14"/>
      <c r="E32" s="15"/>
      <c r="F32" s="16">
        <f t="shared" si="0"/>
        <v>261000</v>
      </c>
      <c r="G32" s="16">
        <v>315000</v>
      </c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13">
        <v>105000</v>
      </c>
      <c r="D33" s="14"/>
      <c r="E33" s="15"/>
      <c r="F33" s="16">
        <f t="shared" si="0"/>
        <v>105000</v>
      </c>
      <c r="G33" s="16">
        <v>150000</v>
      </c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/>
      <c r="D34" s="14"/>
      <c r="E34" s="15"/>
      <c r="F34" s="16">
        <f t="shared" si="0"/>
        <v>0</v>
      </c>
      <c r="G34" s="16"/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/>
      <c r="D35" s="14">
        <v>30000</v>
      </c>
      <c r="E35" s="15"/>
      <c r="F35" s="16">
        <f t="shared" si="0"/>
        <v>30000</v>
      </c>
      <c r="G35" s="16"/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13">
        <v>280000</v>
      </c>
      <c r="D36" s="14"/>
      <c r="E36" s="15"/>
      <c r="F36" s="16">
        <f t="shared" si="0"/>
        <v>280000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4190000</v>
      </c>
      <c r="D38" s="22">
        <f>SUM(D7:D37)</f>
        <v>130000</v>
      </c>
      <c r="E38" s="22">
        <f>SUM(E7:E37)</f>
        <v>0</v>
      </c>
      <c r="F38" s="22">
        <f t="shared" ref="F38:H38" si="1">SUM(F7:F37)</f>
        <v>4320000</v>
      </c>
      <c r="G38" s="22">
        <f>SUM(G7:G37)</f>
        <v>4090000</v>
      </c>
      <c r="H38" s="23">
        <f t="shared" si="1"/>
        <v>0</v>
      </c>
    </row>
    <row r="39" spans="1:8" ht="15.75" thickTop="1" x14ac:dyDescent="0.25"/>
    <row r="40" spans="1:8" x14ac:dyDescent="0.25">
      <c r="D40" s="25">
        <f>+C38-G38</f>
        <v>100000</v>
      </c>
    </row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zoomScale="106" zoomScaleNormal="106" workbookViewId="0">
      <pane xSplit="3" ySplit="5" topLeftCell="D18" activePane="bottomRight" state="frozen"/>
      <selection pane="topRight" activeCell="E1" sqref="E1"/>
      <selection pane="bottomLeft" activeCell="A6" sqref="A6"/>
      <selection pane="bottomRight" activeCell="A23" sqref="A23:XFD2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x14ac:dyDescent="0.25">
      <c r="A1" s="1" t="s">
        <v>2</v>
      </c>
      <c r="B1" s="1" t="s">
        <v>3</v>
      </c>
    </row>
    <row r="2" spans="1:8" x14ac:dyDescent="0.25">
      <c r="A2" s="1" t="s">
        <v>4</v>
      </c>
      <c r="B2" s="1">
        <v>2022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1" t="s">
        <v>66</v>
      </c>
      <c r="C4" s="29"/>
      <c r="D4" s="29"/>
      <c r="E4" s="29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8" ht="18" x14ac:dyDescent="0.25">
      <c r="A6" s="11" t="s">
        <v>68</v>
      </c>
      <c r="B6" s="12" t="str">
        <f>VLOOKUP(A6,[5]LISTADHERENT!A$5:H$60,3,0)</f>
        <v>ASELBY</v>
      </c>
      <c r="C6" s="13">
        <v>100000</v>
      </c>
      <c r="D6" s="14"/>
      <c r="E6" s="15"/>
      <c r="F6" s="16">
        <f>SUM(C6:E6)</f>
        <v>100000</v>
      </c>
      <c r="G6" s="16"/>
      <c r="H6" s="19"/>
    </row>
    <row r="7" spans="1:8" ht="18" x14ac:dyDescent="0.25">
      <c r="A7" s="11" t="s">
        <v>8</v>
      </c>
      <c r="B7" s="12" t="str">
        <f>VLOOKUP(A7,[5]LISTADHERENT!A$5:H$60,3,0)</f>
        <v>BOUTCHOUANG WILLIAM</v>
      </c>
      <c r="C7" s="13"/>
      <c r="D7" s="14">
        <v>105000</v>
      </c>
      <c r="E7" s="15"/>
      <c r="F7" s="16">
        <f>SUM(C7:E7)</f>
        <v>105000</v>
      </c>
      <c r="G7" s="16">
        <v>105000</v>
      </c>
      <c r="H7" s="19"/>
    </row>
    <row r="8" spans="1:8" ht="18" x14ac:dyDescent="0.25">
      <c r="A8" s="11" t="s">
        <v>9</v>
      </c>
      <c r="B8" s="12" t="str">
        <f>VLOOKUP(A8,[5]LISTADHERENT!A$5:H$60,3,0)</f>
        <v xml:space="preserve">DJOMO JEAN PAUL </v>
      </c>
      <c r="C8" s="13">
        <v>120000</v>
      </c>
      <c r="D8" s="14"/>
      <c r="E8" s="15"/>
      <c r="F8" s="16">
        <f t="shared" ref="F8:F36" si="0">SUM(C8:E8)</f>
        <v>120000</v>
      </c>
      <c r="G8" s="16">
        <v>150000</v>
      </c>
      <c r="H8" s="19"/>
    </row>
    <row r="9" spans="1:8" ht="18" x14ac:dyDescent="0.25">
      <c r="A9" s="11" t="s">
        <v>10</v>
      </c>
      <c r="B9" s="12" t="str">
        <f>VLOOKUP(A9,[5]LISTADHERENT!A$5:H$60,3,0)</f>
        <v>DJOMOU TCHANDA</v>
      </c>
      <c r="C9" s="13">
        <v>30000</v>
      </c>
      <c r="D9" s="14"/>
      <c r="E9" s="15"/>
      <c r="F9" s="16">
        <f t="shared" si="0"/>
        <v>30000</v>
      </c>
      <c r="G9" s="16">
        <v>150000</v>
      </c>
      <c r="H9" s="19"/>
    </row>
    <row r="10" spans="1:8" ht="18" x14ac:dyDescent="0.25">
      <c r="A10" s="11" t="s">
        <v>11</v>
      </c>
      <c r="B10" s="12" t="str">
        <f>VLOOKUP(A10,[5]LISTADHERENT!A$5:H$60,3,0)</f>
        <v>DJOUKWE NANGUEN GUY BLAISE</v>
      </c>
      <c r="C10" s="13">
        <v>30000</v>
      </c>
      <c r="D10" s="14"/>
      <c r="E10" s="15"/>
      <c r="F10" s="16">
        <f t="shared" si="0"/>
        <v>30000</v>
      </c>
      <c r="G10" s="16">
        <v>210000</v>
      </c>
      <c r="H10" s="19"/>
    </row>
    <row r="11" spans="1:8" ht="18" x14ac:dyDescent="0.25">
      <c r="A11" s="11" t="s">
        <v>12</v>
      </c>
      <c r="B11" s="12" t="str">
        <f>VLOOKUP(A11,[5]LISTADHERENT!A$5:H$60,3,0)</f>
        <v>DJUOMBESSY ANTOINE</v>
      </c>
      <c r="C11" s="13">
        <v>205000</v>
      </c>
      <c r="D11" s="14"/>
      <c r="E11" s="15"/>
      <c r="F11" s="16">
        <f t="shared" si="0"/>
        <v>205000</v>
      </c>
      <c r="G11" s="16">
        <v>341000</v>
      </c>
      <c r="H11" s="19"/>
    </row>
    <row r="12" spans="1:8" ht="18" x14ac:dyDescent="0.25">
      <c r="A12" s="11" t="s">
        <v>13</v>
      </c>
      <c r="B12" s="12" t="str">
        <f>VLOOKUP(A12,[5]LISTADHERENT!A$5:H$60,3,0)</f>
        <v>DOMOU FABIEN</v>
      </c>
      <c r="C12" s="13">
        <v>35000</v>
      </c>
      <c r="D12" s="14"/>
      <c r="E12" s="15"/>
      <c r="F12" s="16">
        <f t="shared" si="0"/>
        <v>35000</v>
      </c>
      <c r="G12" s="16">
        <v>280000</v>
      </c>
      <c r="H12" s="19"/>
    </row>
    <row r="13" spans="1:8" ht="18" x14ac:dyDescent="0.25">
      <c r="A13" s="11" t="s">
        <v>14</v>
      </c>
      <c r="B13" s="12" t="str">
        <f>VLOOKUP(A13,[5]LISTADHERENT!A$5:H$60,3,0)</f>
        <v>DONHOU DAVID</v>
      </c>
      <c r="C13" s="13">
        <v>35000</v>
      </c>
      <c r="D13" s="14"/>
      <c r="E13" s="15"/>
      <c r="F13" s="16">
        <f t="shared" si="0"/>
        <v>35000</v>
      </c>
      <c r="G13" s="16">
        <v>35000</v>
      </c>
      <c r="H13" s="19"/>
    </row>
    <row r="14" spans="1:8" ht="18" x14ac:dyDescent="0.25">
      <c r="A14" s="11" t="s">
        <v>15</v>
      </c>
      <c r="B14" s="12" t="str">
        <f>VLOOKUP(A14,[5]LISTADHERENT!A$5:H$60,3,0)</f>
        <v>FOTSO THOMAS</v>
      </c>
      <c r="C14" s="13"/>
      <c r="D14" s="14"/>
      <c r="E14" s="15"/>
      <c r="F14" s="16">
        <f t="shared" si="0"/>
        <v>0</v>
      </c>
      <c r="G14" s="16">
        <v>30000</v>
      </c>
      <c r="H14" s="19"/>
    </row>
    <row r="15" spans="1:8" ht="18" x14ac:dyDescent="0.25">
      <c r="A15" s="11" t="s">
        <v>16</v>
      </c>
      <c r="B15" s="12" t="str">
        <f>VLOOKUP(A15,[5]LISTADHERENT!A$5:H$60,3,0)</f>
        <v>HENGUE PAUL OMER</v>
      </c>
      <c r="C15" s="13">
        <v>105000</v>
      </c>
      <c r="D15" s="14"/>
      <c r="E15" s="15"/>
      <c r="F15" s="16">
        <f t="shared" si="0"/>
        <v>105000</v>
      </c>
      <c r="G15" s="16">
        <v>105000</v>
      </c>
      <c r="H15" s="19"/>
    </row>
    <row r="16" spans="1:8" ht="18" x14ac:dyDescent="0.25">
      <c r="A16" s="11" t="s">
        <v>17</v>
      </c>
      <c r="B16" s="12" t="str">
        <f>VLOOKUP(A16,[5]LISTADHERENT!A$5:H$60,3,0)</f>
        <v>HOTCHO BENJAMIN</v>
      </c>
      <c r="C16" s="13">
        <v>150000</v>
      </c>
      <c r="D16" s="14"/>
      <c r="E16" s="15"/>
      <c r="F16" s="16">
        <f t="shared" si="0"/>
        <v>150000</v>
      </c>
      <c r="G16" s="16">
        <v>105000</v>
      </c>
      <c r="H16" s="19"/>
    </row>
    <row r="17" spans="1:8" ht="18" x14ac:dyDescent="0.25">
      <c r="A17" s="11" t="s">
        <v>18</v>
      </c>
      <c r="B17" s="12" t="str">
        <f>VLOOKUP(A17,[5]LISTADHERENT!A$5:H$60,3,0)</f>
        <v>KOUAMOU MOISE</v>
      </c>
      <c r="C17" s="13">
        <v>330000</v>
      </c>
      <c r="D17" s="14"/>
      <c r="E17" s="15"/>
      <c r="F17" s="16">
        <f t="shared" si="0"/>
        <v>330000</v>
      </c>
      <c r="G17" s="16">
        <v>205000</v>
      </c>
      <c r="H17" s="19"/>
    </row>
    <row r="18" spans="1:8" ht="18" x14ac:dyDescent="0.25">
      <c r="A18" s="11" t="s">
        <v>19</v>
      </c>
      <c r="B18" s="12" t="str">
        <f>VLOOKUP(A18,[5]LISTADHERENT!A$5:H$60,3,0)</f>
        <v>KOUATCHO MESSACK</v>
      </c>
      <c r="C18" s="13">
        <v>205000</v>
      </c>
      <c r="D18" s="14"/>
      <c r="E18" s="15"/>
      <c r="F18" s="16">
        <f t="shared" si="0"/>
        <v>205000</v>
      </c>
      <c r="G18" s="16">
        <v>205000</v>
      </c>
      <c r="H18" s="19"/>
    </row>
    <row r="19" spans="1:8" ht="18" x14ac:dyDescent="0.25">
      <c r="A19" s="11" t="s">
        <v>20</v>
      </c>
      <c r="B19" s="12" t="str">
        <f>VLOOKUP(A19,[5]LISTADHERENT!A$5:H$60,3,0)</f>
        <v>LOWE JEAN</v>
      </c>
      <c r="C19" s="13">
        <v>30000</v>
      </c>
      <c r="D19" s="14"/>
      <c r="E19" s="15"/>
      <c r="F19" s="16">
        <f t="shared" si="0"/>
        <v>30000</v>
      </c>
      <c r="G19" s="16">
        <v>330000</v>
      </c>
      <c r="H19" s="19"/>
    </row>
    <row r="20" spans="1:8" ht="18" x14ac:dyDescent="0.25">
      <c r="A20" s="11" t="s">
        <v>21</v>
      </c>
      <c r="B20" s="12" t="str">
        <f>VLOOKUP(A20,[5]LISTADHERENT!A$5:H$60,3,0)</f>
        <v>MBOGNING TUGMA GUY</v>
      </c>
      <c r="C20" s="13">
        <f>556000+50500</f>
        <v>606500</v>
      </c>
      <c r="D20" s="14"/>
      <c r="E20" s="15"/>
      <c r="F20" s="16">
        <f t="shared" si="0"/>
        <v>606500</v>
      </c>
      <c r="G20" s="16">
        <v>35000</v>
      </c>
      <c r="H20" s="19"/>
    </row>
    <row r="21" spans="1:8" ht="18" x14ac:dyDescent="0.25">
      <c r="A21" s="11" t="s">
        <v>22</v>
      </c>
      <c r="B21" s="12" t="str">
        <f>VLOOKUP(A21,[5]LISTADHERENT!A$5:H$60,3,0)</f>
        <v>NANGUEN MARTIN</v>
      </c>
      <c r="C21" s="13">
        <v>30000</v>
      </c>
      <c r="D21" s="14"/>
      <c r="E21" s="15"/>
      <c r="F21" s="16">
        <f t="shared" si="0"/>
        <v>30000</v>
      </c>
      <c r="G21" s="16">
        <v>105000</v>
      </c>
      <c r="H21" s="19"/>
    </row>
    <row r="22" spans="1:8" ht="18" x14ac:dyDescent="0.25">
      <c r="A22" s="11" t="s">
        <v>23</v>
      </c>
      <c r="B22" s="12" t="str">
        <f>VLOOKUP(A22,[5]LISTADHERENT!A$5:H$60,3,0)</f>
        <v>NANKAM APPOLINAIRE</v>
      </c>
      <c r="C22" s="13">
        <v>105000</v>
      </c>
      <c r="D22" s="14"/>
      <c r="E22" s="15">
        <v>1000000</v>
      </c>
      <c r="F22" s="16">
        <f t="shared" si="0"/>
        <v>1105000</v>
      </c>
      <c r="G22" s="16">
        <v>30000</v>
      </c>
      <c r="H22" s="19"/>
    </row>
    <row r="23" spans="1:8" ht="18" x14ac:dyDescent="0.25">
      <c r="A23" s="11" t="s">
        <v>24</v>
      </c>
      <c r="B23" s="12" t="str">
        <f>VLOOKUP(A23,[5]LISTADHERENT!A$5:H$60,3,0)</f>
        <v>NDJOMO ETIENNE</v>
      </c>
      <c r="C23" s="13">
        <v>150000</v>
      </c>
      <c r="D23" s="14"/>
      <c r="E23" s="15"/>
      <c r="F23" s="16">
        <f t="shared" si="0"/>
        <v>150000</v>
      </c>
      <c r="G23" s="16">
        <f>556000+50500</f>
        <v>606500</v>
      </c>
      <c r="H23" s="19"/>
    </row>
    <row r="24" spans="1:8" ht="18" x14ac:dyDescent="0.25">
      <c r="A24" s="11" t="s">
        <v>25</v>
      </c>
      <c r="B24" s="12" t="str">
        <f>VLOOKUP(A24,[5]LISTADHERENT!A$5:H$60,3,0)</f>
        <v>NGONDIEP CLAUDE</v>
      </c>
      <c r="C24" s="13"/>
      <c r="D24" s="14">
        <v>205000</v>
      </c>
      <c r="E24" s="15"/>
      <c r="F24" s="16">
        <f t="shared" si="0"/>
        <v>205000</v>
      </c>
      <c r="G24" s="16">
        <v>30000</v>
      </c>
      <c r="H24" s="19"/>
    </row>
    <row r="25" spans="1:8" ht="18" x14ac:dyDescent="0.25">
      <c r="A25" s="11" t="s">
        <v>26</v>
      </c>
      <c r="B25" s="12" t="str">
        <f>VLOOKUP(A25,[5]LISTADHERENT!A$5:H$60,3,0)</f>
        <v>NGUIEMEGNI MATHIEU BLAISE</v>
      </c>
      <c r="C25" s="13">
        <f>400000+80000</f>
        <v>480000</v>
      </c>
      <c r="D25" s="14"/>
      <c r="E25" s="15"/>
      <c r="F25" s="16">
        <f t="shared" si="0"/>
        <v>480000</v>
      </c>
      <c r="G25" s="16">
        <v>120000</v>
      </c>
      <c r="H25" s="19"/>
    </row>
    <row r="26" spans="1:8" ht="18" x14ac:dyDescent="0.25">
      <c r="A26" s="11" t="s">
        <v>27</v>
      </c>
      <c r="B26" s="12" t="str">
        <f>VLOOKUP(A26,[5]LISTADHERENT!A$5:H$60,3,0)</f>
        <v>NKAMGANG JUSTIN DEJOLIE</v>
      </c>
      <c r="C26" s="13">
        <v>105000</v>
      </c>
      <c r="D26" s="14"/>
      <c r="E26" s="15"/>
      <c r="F26" s="16">
        <f t="shared" si="0"/>
        <v>105000</v>
      </c>
      <c r="G26" s="16"/>
      <c r="H26" s="19"/>
    </row>
    <row r="27" spans="1:8" ht="18" x14ac:dyDescent="0.25">
      <c r="A27" s="11" t="s">
        <v>28</v>
      </c>
      <c r="B27" s="12" t="str">
        <f>VLOOKUP(A27,[5]LISTADHERENT!A$5:H$60,3,0)</f>
        <v>NKEHE DAVID</v>
      </c>
      <c r="C27" s="13"/>
      <c r="D27" s="14"/>
      <c r="E27" s="15"/>
      <c r="F27" s="16">
        <f t="shared" si="0"/>
        <v>0</v>
      </c>
      <c r="G27" s="16">
        <v>105000</v>
      </c>
      <c r="H27" s="19"/>
    </row>
    <row r="28" spans="1:8" ht="18" x14ac:dyDescent="0.25">
      <c r="A28" s="11" t="s">
        <v>29</v>
      </c>
      <c r="B28" s="12" t="str">
        <f>VLOOKUP(A28,[5]LISTADHERENT!A$5:H$60,3,0)</f>
        <v>NKEPSEU DIEUDONNE</v>
      </c>
      <c r="C28" s="13">
        <v>341000</v>
      </c>
      <c r="D28" s="14"/>
      <c r="E28" s="15"/>
      <c r="F28" s="16">
        <f t="shared" si="0"/>
        <v>341000</v>
      </c>
      <c r="G28" s="16">
        <v>30000</v>
      </c>
      <c r="H28" s="19"/>
    </row>
    <row r="29" spans="1:8" ht="18" x14ac:dyDescent="0.25">
      <c r="A29" s="11" t="s">
        <v>30</v>
      </c>
      <c r="B29" s="12" t="str">
        <f>VLOOKUP(A29,[5]LISTADHERENT!A$5:H$60,3,0)</f>
        <v>PATEGO NJOSSU GUSTAVE</v>
      </c>
      <c r="C29" s="13">
        <v>105000</v>
      </c>
      <c r="D29" s="14"/>
      <c r="E29" s="15"/>
      <c r="F29" s="16">
        <f t="shared" si="0"/>
        <v>105000</v>
      </c>
      <c r="G29" s="16">
        <v>30000</v>
      </c>
      <c r="H29" s="19"/>
    </row>
    <row r="30" spans="1:8" ht="18" x14ac:dyDescent="0.25">
      <c r="A30" s="11" t="s">
        <v>31</v>
      </c>
      <c r="B30" s="12" t="str">
        <f>VLOOKUP(A30,[5]LISTADHERENT!A$5:H$60,3,0)</f>
        <v>SIME BRICE</v>
      </c>
      <c r="C30" s="13"/>
      <c r="D30" s="14">
        <v>105000</v>
      </c>
      <c r="E30" s="15"/>
      <c r="F30" s="16">
        <f t="shared" si="0"/>
        <v>105000</v>
      </c>
      <c r="G30" s="16"/>
      <c r="H30" s="19"/>
    </row>
    <row r="31" spans="1:8" ht="18" x14ac:dyDescent="0.25">
      <c r="A31" s="11" t="s">
        <v>32</v>
      </c>
      <c r="B31" s="12" t="str">
        <f>VLOOKUP(A31,[5]LISTADHERENT!A$5:H$60,3,0)</f>
        <v>SIMO FONGANG ERIC</v>
      </c>
      <c r="C31" s="13"/>
      <c r="D31" s="14"/>
      <c r="E31" s="15"/>
      <c r="F31" s="16">
        <f t="shared" si="0"/>
        <v>0</v>
      </c>
      <c r="G31" s="16"/>
      <c r="H31" s="19"/>
    </row>
    <row r="32" spans="1:8" ht="18" x14ac:dyDescent="0.25">
      <c r="A32" s="11" t="s">
        <v>33</v>
      </c>
      <c r="B32" s="12" t="str">
        <f>VLOOKUP(A32,[5]LISTADHERENT!A$5:H$60,3,0)</f>
        <v>SIMO PIERRE</v>
      </c>
      <c r="C32" s="13">
        <v>210000</v>
      </c>
      <c r="D32" s="14"/>
      <c r="E32" s="15"/>
      <c r="F32" s="16">
        <f t="shared" si="0"/>
        <v>210000</v>
      </c>
      <c r="G32" s="16"/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13">
        <v>105000</v>
      </c>
      <c r="D33" s="14"/>
      <c r="E33" s="15"/>
      <c r="F33" s="16">
        <f t="shared" si="0"/>
        <v>105000</v>
      </c>
      <c r="G33" s="16">
        <v>480000</v>
      </c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/>
      <c r="D34" s="14"/>
      <c r="E34" s="15"/>
      <c r="F34" s="16">
        <f t="shared" si="0"/>
        <v>0</v>
      </c>
      <c r="G34" s="16"/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>
        <v>30000</v>
      </c>
      <c r="D35" s="14"/>
      <c r="E35" s="15"/>
      <c r="F35" s="16">
        <f t="shared" si="0"/>
        <v>30000</v>
      </c>
      <c r="G35" s="16"/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13">
        <v>280000</v>
      </c>
      <c r="D36" s="14"/>
      <c r="E36" s="15"/>
      <c r="F36" s="16">
        <f t="shared" si="0"/>
        <v>280000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3822500</v>
      </c>
      <c r="D38" s="22">
        <f>SUM(D7:D37)</f>
        <v>415000</v>
      </c>
      <c r="E38" s="22">
        <f>SUM(E7:E37)</f>
        <v>1000000</v>
      </c>
      <c r="F38" s="22">
        <f t="shared" ref="F38:H38" si="1">SUM(F7:F37)</f>
        <v>5237500</v>
      </c>
      <c r="G38" s="22">
        <f t="shared" si="1"/>
        <v>3822500</v>
      </c>
      <c r="H38" s="23">
        <f t="shared" si="1"/>
        <v>0</v>
      </c>
    </row>
    <row r="39" spans="1:8" ht="15.75" thickTop="1" x14ac:dyDescent="0.25"/>
    <row r="41" spans="1:8" x14ac:dyDescent="0.25">
      <c r="E41" s="25">
        <f>C38-G38</f>
        <v>0</v>
      </c>
    </row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zoomScale="106" zoomScaleNormal="106" workbookViewId="0">
      <pane xSplit="3" ySplit="5" topLeftCell="D18" activePane="bottomRight" state="frozen"/>
      <selection pane="topRight" activeCell="E1" sqref="E1"/>
      <selection pane="bottomLeft" activeCell="A6" sqref="A6"/>
      <selection pane="bottomRight" activeCell="A11" sqref="A11:XFD11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x14ac:dyDescent="0.25">
      <c r="A1" s="1" t="s">
        <v>2</v>
      </c>
      <c r="B1" s="1" t="s">
        <v>3</v>
      </c>
    </row>
    <row r="2" spans="1:8" x14ac:dyDescent="0.25">
      <c r="A2" s="1" t="s">
        <v>4</v>
      </c>
      <c r="B2" s="1">
        <v>2022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1" t="s">
        <v>66</v>
      </c>
      <c r="C4" s="29"/>
      <c r="D4" s="29"/>
      <c r="E4" s="29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8" ht="18" x14ac:dyDescent="0.25">
      <c r="A6" s="11" t="s">
        <v>68</v>
      </c>
      <c r="B6" s="12" t="str">
        <f>VLOOKUP(A6,[5]LISTADHERENT!A$5:H$60,3,0)</f>
        <v>ASELBY</v>
      </c>
      <c r="C6" s="13">
        <v>100000</v>
      </c>
      <c r="D6" s="14"/>
      <c r="E6" s="15"/>
      <c r="F6" s="16">
        <f>SUM(C6:E6)</f>
        <v>100000</v>
      </c>
      <c r="G6" s="16"/>
      <c r="H6" s="19"/>
    </row>
    <row r="7" spans="1:8" ht="18" x14ac:dyDescent="0.25">
      <c r="A7" s="11" t="s">
        <v>8</v>
      </c>
      <c r="B7" s="12" t="str">
        <f>VLOOKUP(A7,[5]LISTADHERENT!A$5:H$60,3,0)</f>
        <v>BOUTCHOUANG WILLIAM</v>
      </c>
      <c r="C7" s="13">
        <v>105000</v>
      </c>
      <c r="D7" s="14"/>
      <c r="E7" s="15"/>
      <c r="F7" s="16">
        <f>SUM(C7:E7)</f>
        <v>105000</v>
      </c>
      <c r="G7" s="16">
        <v>385000</v>
      </c>
      <c r="H7" s="19"/>
    </row>
    <row r="8" spans="1:8" ht="18" x14ac:dyDescent="0.25">
      <c r="A8" s="11" t="s">
        <v>9</v>
      </c>
      <c r="B8" s="12" t="str">
        <f>VLOOKUP(A8,[5]LISTADHERENT!A$5:H$60,3,0)</f>
        <v xml:space="preserve">DJOMO JEAN PAUL </v>
      </c>
      <c r="C8" s="13">
        <v>110000</v>
      </c>
      <c r="D8" s="14"/>
      <c r="E8" s="15"/>
      <c r="F8" s="16">
        <f t="shared" ref="F8:F36" si="0">SUM(C8:E8)</f>
        <v>110000</v>
      </c>
      <c r="G8" s="16">
        <v>105000</v>
      </c>
      <c r="H8" s="19"/>
    </row>
    <row r="9" spans="1:8" ht="18" x14ac:dyDescent="0.25">
      <c r="A9" s="11" t="s">
        <v>10</v>
      </c>
      <c r="B9" s="12" t="str">
        <f>VLOOKUP(A9,[5]LISTADHERENT!A$5:H$60,3,0)</f>
        <v>DJOMOU TCHANDA</v>
      </c>
      <c r="C9" s="13">
        <v>30000</v>
      </c>
      <c r="D9" s="14"/>
      <c r="E9" s="15"/>
      <c r="F9" s="16">
        <f t="shared" si="0"/>
        <v>30000</v>
      </c>
      <c r="G9" s="16">
        <v>533000</v>
      </c>
      <c r="H9" s="19"/>
    </row>
    <row r="10" spans="1:8" ht="18" x14ac:dyDescent="0.25">
      <c r="A10" s="11" t="s">
        <v>11</v>
      </c>
      <c r="B10" s="12" t="str">
        <f>VLOOKUP(A10,[5]LISTADHERENT!A$5:H$60,3,0)</f>
        <v>DJOUKWE NANGUEN GUY BLAISE</v>
      </c>
      <c r="C10" s="13">
        <v>30000</v>
      </c>
      <c r="D10" s="14"/>
      <c r="E10" s="15"/>
      <c r="F10" s="16">
        <f t="shared" si="0"/>
        <v>30000</v>
      </c>
      <c r="G10" s="16">
        <v>859000</v>
      </c>
      <c r="H10" s="19"/>
    </row>
    <row r="11" spans="1:8" ht="18" x14ac:dyDescent="0.25">
      <c r="A11" s="11" t="s">
        <v>12</v>
      </c>
      <c r="B11" s="12" t="str">
        <f>VLOOKUP(A11,[5]LISTADHERENT!A$5:H$60,3,0)</f>
        <v>DJUOMBESSY ANTOINE</v>
      </c>
      <c r="C11" s="13">
        <v>205000</v>
      </c>
      <c r="D11" s="14"/>
      <c r="E11" s="15"/>
      <c r="F11" s="16">
        <f t="shared" si="0"/>
        <v>205000</v>
      </c>
      <c r="G11" s="16">
        <v>30000</v>
      </c>
      <c r="H11" s="19"/>
    </row>
    <row r="12" spans="1:8" ht="18" x14ac:dyDescent="0.25">
      <c r="A12" s="11" t="s">
        <v>13</v>
      </c>
      <c r="B12" s="12" t="str">
        <f>VLOOKUP(A12,[5]LISTADHERENT!A$5:H$60,3,0)</f>
        <v>DOMOU FABIEN</v>
      </c>
      <c r="C12" s="13">
        <v>35000</v>
      </c>
      <c r="D12" s="14"/>
      <c r="E12" s="15"/>
      <c r="F12" s="16">
        <f t="shared" si="0"/>
        <v>35000</v>
      </c>
      <c r="G12" s="16">
        <v>105000</v>
      </c>
      <c r="H12" s="19"/>
    </row>
    <row r="13" spans="1:8" ht="18" x14ac:dyDescent="0.25">
      <c r="A13" s="11" t="s">
        <v>14</v>
      </c>
      <c r="B13" s="12" t="str">
        <f>VLOOKUP(A13,[5]LISTADHERENT!A$5:H$60,3,0)</f>
        <v>DONHOU DAVID</v>
      </c>
      <c r="C13" s="13">
        <v>35000</v>
      </c>
      <c r="D13" s="14"/>
      <c r="E13" s="15"/>
      <c r="F13" s="16">
        <f t="shared" si="0"/>
        <v>35000</v>
      </c>
      <c r="G13" s="16">
        <v>430000</v>
      </c>
      <c r="H13" s="19"/>
    </row>
    <row r="14" spans="1:8" ht="18" x14ac:dyDescent="0.25">
      <c r="A14" s="11" t="s">
        <v>15</v>
      </c>
      <c r="B14" s="12" t="str">
        <f>VLOOKUP(A14,[5]LISTADHERENT!A$5:H$60,3,0)</f>
        <v>FOTSO THOMAS</v>
      </c>
      <c r="C14" s="13"/>
      <c r="D14" s="14"/>
      <c r="E14" s="15"/>
      <c r="F14" s="16">
        <f t="shared" si="0"/>
        <v>0</v>
      </c>
      <c r="G14" s="16">
        <v>150000</v>
      </c>
      <c r="H14" s="19"/>
    </row>
    <row r="15" spans="1:8" ht="18" x14ac:dyDescent="0.25">
      <c r="A15" s="11" t="s">
        <v>16</v>
      </c>
      <c r="B15" s="12" t="str">
        <f>VLOOKUP(A15,[5]LISTADHERENT!A$5:H$60,3,0)</f>
        <v>HENGUE PAUL OMER</v>
      </c>
      <c r="C15" s="13">
        <v>105000</v>
      </c>
      <c r="D15" s="14"/>
      <c r="E15" s="15"/>
      <c r="F15" s="16">
        <f t="shared" si="0"/>
        <v>105000</v>
      </c>
      <c r="G15" s="16">
        <v>310000</v>
      </c>
      <c r="H15" s="19"/>
    </row>
    <row r="16" spans="1:8" ht="18" x14ac:dyDescent="0.25">
      <c r="A16" s="11" t="s">
        <v>17</v>
      </c>
      <c r="B16" s="12" t="str">
        <f>VLOOKUP(A16,[5]LISTADHERENT!A$5:H$60,3,0)</f>
        <v>HOTCHO BENJAMIN</v>
      </c>
      <c r="C16" s="13">
        <v>150000</v>
      </c>
      <c r="D16" s="14"/>
      <c r="E16" s="15"/>
      <c r="F16" s="16">
        <f t="shared" si="0"/>
        <v>150000</v>
      </c>
      <c r="G16" s="16">
        <v>150000</v>
      </c>
      <c r="H16" s="19"/>
    </row>
    <row r="17" spans="1:8" ht="18" x14ac:dyDescent="0.25">
      <c r="A17" s="11" t="s">
        <v>18</v>
      </c>
      <c r="B17" s="12" t="str">
        <f>VLOOKUP(A17,[5]LISTADHERENT!A$5:H$60,3,0)</f>
        <v>KOUAMOU MOISE</v>
      </c>
      <c r="C17" s="13">
        <v>533000</v>
      </c>
      <c r="D17" s="14"/>
      <c r="E17" s="15"/>
      <c r="F17" s="16">
        <f t="shared" si="0"/>
        <v>533000</v>
      </c>
      <c r="G17" s="16">
        <v>110000</v>
      </c>
      <c r="H17" s="19"/>
    </row>
    <row r="18" spans="1:8" ht="18" x14ac:dyDescent="0.25">
      <c r="A18" s="11" t="s">
        <v>19</v>
      </c>
      <c r="B18" s="12" t="str">
        <f>VLOOKUP(A18,[5]LISTADHERENT!A$5:H$60,3,0)</f>
        <v>KOUATCHO MESSACK</v>
      </c>
      <c r="C18" s="13">
        <v>380000</v>
      </c>
      <c r="D18" s="14"/>
      <c r="E18" s="15"/>
      <c r="F18" s="16">
        <f t="shared" si="0"/>
        <v>380000</v>
      </c>
      <c r="G18" s="16">
        <v>105000</v>
      </c>
      <c r="H18" s="19"/>
    </row>
    <row r="19" spans="1:8" ht="18" x14ac:dyDescent="0.25">
      <c r="A19" s="11" t="s">
        <v>20</v>
      </c>
      <c r="B19" s="12" t="str">
        <f>VLOOKUP(A19,[5]LISTADHERENT!A$5:H$60,3,0)</f>
        <v>LOWE JEAN</v>
      </c>
      <c r="C19" s="13">
        <v>30000</v>
      </c>
      <c r="D19" s="14"/>
      <c r="E19" s="15"/>
      <c r="F19" s="16">
        <f t="shared" si="0"/>
        <v>30000</v>
      </c>
      <c r="G19" s="16">
        <v>280000</v>
      </c>
      <c r="H19" s="19"/>
    </row>
    <row r="20" spans="1:8" ht="18" x14ac:dyDescent="0.25">
      <c r="A20" s="11" t="s">
        <v>21</v>
      </c>
      <c r="B20" s="12" t="str">
        <f>VLOOKUP(A20,[5]LISTADHERENT!A$5:H$60,3,0)</f>
        <v>MBOGNING TUGMA GUY</v>
      </c>
      <c r="C20" s="13">
        <v>859000</v>
      </c>
      <c r="D20" s="14"/>
      <c r="E20" s="15"/>
      <c r="F20" s="16">
        <f t="shared" si="0"/>
        <v>859000</v>
      </c>
      <c r="G20" s="16">
        <v>30000</v>
      </c>
      <c r="H20" s="19"/>
    </row>
    <row r="21" spans="1:8" ht="18" x14ac:dyDescent="0.25">
      <c r="A21" s="11" t="s">
        <v>22</v>
      </c>
      <c r="B21" s="12" t="str">
        <f>VLOOKUP(A21,[5]LISTADHERENT!A$5:H$60,3,0)</f>
        <v>NANGUEN MARTIN</v>
      </c>
      <c r="C21" s="13">
        <v>30000</v>
      </c>
      <c r="D21" s="14"/>
      <c r="E21" s="15"/>
      <c r="F21" s="16">
        <f t="shared" si="0"/>
        <v>30000</v>
      </c>
      <c r="G21" s="16">
        <v>35000</v>
      </c>
      <c r="H21" s="19"/>
    </row>
    <row r="22" spans="1:8" ht="18" x14ac:dyDescent="0.25">
      <c r="A22" s="11" t="s">
        <v>23</v>
      </c>
      <c r="B22" s="12" t="str">
        <f>VLOOKUP(A22,[5]LISTADHERENT!A$5:H$60,3,0)</f>
        <v>NANKAM APPOLINAIRE</v>
      </c>
      <c r="C22" s="13">
        <v>105000</v>
      </c>
      <c r="D22" s="14"/>
      <c r="E22" s="15"/>
      <c r="F22" s="16">
        <f t="shared" si="0"/>
        <v>105000</v>
      </c>
      <c r="G22" s="16">
        <v>341500</v>
      </c>
      <c r="H22" s="19"/>
    </row>
    <row r="23" spans="1:8" ht="18" x14ac:dyDescent="0.25">
      <c r="A23" s="11" t="s">
        <v>24</v>
      </c>
      <c r="B23" s="12" t="str">
        <f>VLOOKUP(A23,[5]LISTADHERENT!A$5:H$60,3,0)</f>
        <v>NDJOMO ETIENNE</v>
      </c>
      <c r="C23" s="13">
        <v>150000</v>
      </c>
      <c r="D23" s="14"/>
      <c r="E23" s="15"/>
      <c r="F23" s="16">
        <f t="shared" si="0"/>
        <v>150000</v>
      </c>
      <c r="G23" s="16">
        <v>30000</v>
      </c>
      <c r="H23" s="19"/>
    </row>
    <row r="24" spans="1:8" ht="18" x14ac:dyDescent="0.25">
      <c r="A24" s="11" t="s">
        <v>25</v>
      </c>
      <c r="B24" s="12" t="str">
        <f>VLOOKUP(A24,[5]LISTADHERENT!A$5:H$60,3,0)</f>
        <v>NGONDIEP CLAUDE</v>
      </c>
      <c r="C24" s="13">
        <v>740000</v>
      </c>
      <c r="D24" s="14">
        <v>17000</v>
      </c>
      <c r="E24" s="15"/>
      <c r="F24" s="16">
        <f t="shared" si="0"/>
        <v>757000</v>
      </c>
      <c r="G24" s="16">
        <v>380000</v>
      </c>
      <c r="H24" s="19"/>
    </row>
    <row r="25" spans="1:8" ht="18" x14ac:dyDescent="0.25">
      <c r="A25" s="11" t="s">
        <v>26</v>
      </c>
      <c r="B25" s="12" t="str">
        <f>VLOOKUP(A25,[5]LISTADHERENT!A$5:H$60,3,0)</f>
        <v>NGUIEMEGNI MATHIEU BLAISE</v>
      </c>
      <c r="C25" s="13">
        <v>385000</v>
      </c>
      <c r="D25" s="14"/>
      <c r="E25" s="15"/>
      <c r="F25" s="16">
        <f t="shared" si="0"/>
        <v>385000</v>
      </c>
      <c r="G25" s="16">
        <v>30000</v>
      </c>
      <c r="H25" s="19"/>
    </row>
    <row r="26" spans="1:8" ht="18" x14ac:dyDescent="0.25">
      <c r="A26" s="11" t="s">
        <v>27</v>
      </c>
      <c r="B26" s="12" t="str">
        <f>VLOOKUP(A26,[5]LISTADHERENT!A$5:H$60,3,0)</f>
        <v>NKAMGANG JUSTIN DEJOLIE</v>
      </c>
      <c r="C26" s="13">
        <v>341500</v>
      </c>
      <c r="D26" s="14"/>
      <c r="E26" s="15"/>
      <c r="F26" s="16">
        <f t="shared" si="0"/>
        <v>341500</v>
      </c>
      <c r="G26" s="16">
        <v>206000</v>
      </c>
      <c r="H26" s="19"/>
    </row>
    <row r="27" spans="1:8" ht="18" x14ac:dyDescent="0.25">
      <c r="A27" s="11" t="s">
        <v>28</v>
      </c>
      <c r="B27" s="12" t="str">
        <f>VLOOKUP(A27,[5]LISTADHERENT!A$5:H$60,3,0)</f>
        <v>NKEHE DAVID</v>
      </c>
      <c r="C27" s="13">
        <v>20000</v>
      </c>
      <c r="D27" s="14"/>
      <c r="E27" s="15"/>
      <c r="F27" s="16">
        <f t="shared" si="0"/>
        <v>20000</v>
      </c>
      <c r="G27" s="16">
        <v>105000</v>
      </c>
      <c r="H27" s="19"/>
    </row>
    <row r="28" spans="1:8" ht="18" x14ac:dyDescent="0.25">
      <c r="A28" s="11" t="s">
        <v>29</v>
      </c>
      <c r="B28" s="12" t="str">
        <f>VLOOKUP(A28,[5]LISTADHERENT!A$5:H$60,3,0)</f>
        <v>NKEPSEU DIEUDONNE</v>
      </c>
      <c r="C28" s="13">
        <v>430000</v>
      </c>
      <c r="D28" s="14"/>
      <c r="E28" s="15"/>
      <c r="F28" s="16">
        <f t="shared" si="0"/>
        <v>430000</v>
      </c>
      <c r="G28" s="16">
        <v>205000</v>
      </c>
      <c r="H28" s="19"/>
    </row>
    <row r="29" spans="1:8" ht="18" x14ac:dyDescent="0.25">
      <c r="A29" s="11" t="s">
        <v>30</v>
      </c>
      <c r="B29" s="12" t="str">
        <f>VLOOKUP(A29,[5]LISTADHERENT!A$5:H$60,3,0)</f>
        <v>PATEGO NJOSSU GUSTAVE</v>
      </c>
      <c r="C29" s="13">
        <v>105000</v>
      </c>
      <c r="D29" s="14"/>
      <c r="E29" s="15"/>
      <c r="F29" s="16">
        <f t="shared" si="0"/>
        <v>105000</v>
      </c>
      <c r="G29" s="16">
        <v>35000</v>
      </c>
      <c r="H29" s="19"/>
    </row>
    <row r="30" spans="1:8" ht="18" x14ac:dyDescent="0.25">
      <c r="A30" s="11" t="s">
        <v>31</v>
      </c>
      <c r="B30" s="12" t="str">
        <f>VLOOKUP(A30,[5]LISTADHERENT!A$5:H$60,3,0)</f>
        <v>SIME BRICE</v>
      </c>
      <c r="C30" s="13">
        <v>105000</v>
      </c>
      <c r="D30" s="14"/>
      <c r="E30" s="15"/>
      <c r="F30" s="16">
        <f t="shared" si="0"/>
        <v>105000</v>
      </c>
      <c r="G30" s="16">
        <v>20000</v>
      </c>
      <c r="H30" s="19"/>
    </row>
    <row r="31" spans="1:8" ht="18" x14ac:dyDescent="0.25">
      <c r="A31" s="11" t="s">
        <v>32</v>
      </c>
      <c r="B31" s="12" t="str">
        <f>VLOOKUP(A31,[5]LISTADHERENT!A$5:H$60,3,0)</f>
        <v>SIMO FONGANG ERIC</v>
      </c>
      <c r="C31" s="13"/>
      <c r="D31" s="14"/>
      <c r="E31" s="15"/>
      <c r="F31" s="16">
        <f t="shared" si="0"/>
        <v>0</v>
      </c>
      <c r="G31" s="16">
        <v>740000</v>
      </c>
      <c r="H31" s="19"/>
    </row>
    <row r="32" spans="1:8" ht="18" x14ac:dyDescent="0.25">
      <c r="A32" s="11" t="s">
        <v>33</v>
      </c>
      <c r="B32" s="12" t="str">
        <f>VLOOKUP(A32,[5]LISTADHERENT!A$5:H$60,3,0)</f>
        <v>SIMO PIERRE</v>
      </c>
      <c r="C32" s="13">
        <v>310000</v>
      </c>
      <c r="D32" s="14"/>
      <c r="E32" s="15"/>
      <c r="F32" s="16">
        <f t="shared" si="0"/>
        <v>310000</v>
      </c>
      <c r="G32" s="16">
        <v>30000</v>
      </c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13">
        <v>206000</v>
      </c>
      <c r="D33" s="14"/>
      <c r="E33" s="15"/>
      <c r="F33" s="16">
        <f t="shared" si="0"/>
        <v>206000</v>
      </c>
      <c r="G33" s="16">
        <v>105000</v>
      </c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>
        <v>30000</v>
      </c>
      <c r="D34" s="14"/>
      <c r="E34" s="15"/>
      <c r="F34" s="16">
        <f t="shared" si="0"/>
        <v>30000</v>
      </c>
      <c r="G34" s="16"/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/>
      <c r="D35" s="14">
        <v>30000</v>
      </c>
      <c r="E35" s="15"/>
      <c r="F35" s="16">
        <f t="shared" si="0"/>
        <v>30000</v>
      </c>
      <c r="G35" s="16"/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13">
        <v>280000</v>
      </c>
      <c r="D36" s="14"/>
      <c r="E36" s="15"/>
      <c r="F36" s="16">
        <f t="shared" si="0"/>
        <v>280000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5844500</v>
      </c>
      <c r="D38" s="22">
        <f>SUM(D7:D37)</f>
        <v>47000</v>
      </c>
      <c r="E38" s="22">
        <f>SUM(E7:E37)</f>
        <v>0</v>
      </c>
      <c r="F38" s="22">
        <f t="shared" ref="F38:H38" si="1">SUM(F7:F37)</f>
        <v>5891500</v>
      </c>
      <c r="G38" s="22">
        <f>SUM(G7:G37)</f>
        <v>5844500</v>
      </c>
      <c r="H38" s="23">
        <f t="shared" si="1"/>
        <v>0</v>
      </c>
    </row>
    <row r="39" spans="1:8" ht="15.75" thickTop="1" x14ac:dyDescent="0.25"/>
    <row r="40" spans="1:8" ht="18.75" thickBot="1" x14ac:dyDescent="0.3">
      <c r="G40" s="22">
        <f>C38-G38</f>
        <v>0</v>
      </c>
    </row>
    <row r="41" spans="1:8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zoomScale="106" zoomScaleNormal="106" workbookViewId="0">
      <pane xSplit="3" ySplit="5" topLeftCell="D21" activePane="bottomRight" state="frozen"/>
      <selection pane="topRight" activeCell="E1" sqref="E1"/>
      <selection pane="bottomLeft" activeCell="A6" sqref="A6"/>
      <selection pane="bottomRight" activeCell="E31" sqref="E31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x14ac:dyDescent="0.25">
      <c r="A1" s="1" t="s">
        <v>2</v>
      </c>
      <c r="B1" s="1" t="s">
        <v>3</v>
      </c>
    </row>
    <row r="2" spans="1:8" x14ac:dyDescent="0.25">
      <c r="A2" s="1" t="s">
        <v>4</v>
      </c>
      <c r="B2" s="1">
        <v>2022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1" t="s">
        <v>66</v>
      </c>
      <c r="C4" s="29"/>
      <c r="D4" s="29"/>
      <c r="E4" s="29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8" ht="18" x14ac:dyDescent="0.25">
      <c r="A6" s="11" t="s">
        <v>68</v>
      </c>
      <c r="B6" s="12" t="str">
        <f>VLOOKUP(A6,[5]LISTADHERENT!A$5:H$60,3,0)</f>
        <v>ASELBY</v>
      </c>
      <c r="C6" s="13">
        <v>100000</v>
      </c>
      <c r="D6" s="14"/>
      <c r="E6" s="15"/>
      <c r="F6" s="16">
        <f>SUM(C6:E6)</f>
        <v>100000</v>
      </c>
      <c r="G6" s="16"/>
      <c r="H6" s="19"/>
    </row>
    <row r="7" spans="1:8" ht="18" x14ac:dyDescent="0.25">
      <c r="A7" s="11" t="s">
        <v>8</v>
      </c>
      <c r="B7" s="12" t="str">
        <f>VLOOKUP(A7,[5]LISTADHERENT!A$5:H$60,3,0)</f>
        <v>BOUTCHOUANG WILLIAM</v>
      </c>
      <c r="C7" s="13">
        <v>105000</v>
      </c>
      <c r="D7" s="14"/>
      <c r="E7" s="15">
        <f>70000+500000</f>
        <v>570000</v>
      </c>
      <c r="F7" s="16">
        <f>SUM(C7:E7)</f>
        <v>675000</v>
      </c>
      <c r="G7" s="16"/>
      <c r="H7" s="19"/>
    </row>
    <row r="8" spans="1:8" ht="18" x14ac:dyDescent="0.25">
      <c r="A8" s="11" t="s">
        <v>9</v>
      </c>
      <c r="B8" s="12" t="str">
        <f>VLOOKUP(A8,[5]LISTADHERENT!A$5:H$60,3,0)</f>
        <v xml:space="preserve">DJOMO JEAN PAUL </v>
      </c>
      <c r="C8" s="13">
        <v>105000</v>
      </c>
      <c r="D8" s="14"/>
      <c r="E8" s="15"/>
      <c r="F8" s="16">
        <f t="shared" ref="F8:F36" si="0">SUM(C8:E8)</f>
        <v>105000</v>
      </c>
      <c r="G8" s="16"/>
      <c r="H8" s="19"/>
    </row>
    <row r="9" spans="1:8" ht="18" x14ac:dyDescent="0.25">
      <c r="A9" s="11" t="s">
        <v>10</v>
      </c>
      <c r="B9" s="12" t="str">
        <f>VLOOKUP(A9,[5]LISTADHERENT!A$5:H$60,3,0)</f>
        <v>DJOMOU TCHANDA</v>
      </c>
      <c r="C9" s="13"/>
      <c r="D9" s="14">
        <v>34000</v>
      </c>
      <c r="E9" s="15"/>
      <c r="F9" s="16">
        <f t="shared" si="0"/>
        <v>34000</v>
      </c>
      <c r="G9" s="16"/>
      <c r="H9" s="19"/>
    </row>
    <row r="10" spans="1:8" ht="18" x14ac:dyDescent="0.25">
      <c r="A10" s="11" t="s">
        <v>11</v>
      </c>
      <c r="B10" s="12" t="str">
        <f>VLOOKUP(A10,[5]LISTADHERENT!A$5:H$60,3,0)</f>
        <v>DJOUKWE NANGUEN GUY BLAISE</v>
      </c>
      <c r="C10" s="13">
        <v>30000</v>
      </c>
      <c r="D10" s="14"/>
      <c r="E10" s="15"/>
      <c r="F10" s="16">
        <f t="shared" si="0"/>
        <v>30000</v>
      </c>
      <c r="G10" s="16"/>
      <c r="H10" s="19"/>
    </row>
    <row r="11" spans="1:8" ht="18" x14ac:dyDescent="0.25">
      <c r="A11" s="11" t="s">
        <v>12</v>
      </c>
      <c r="B11" s="12" t="str">
        <f>VLOOKUP(A11,[5]LISTADHERENT!A$5:H$60,3,0)</f>
        <v>DJUOMBESSY ANTOINE</v>
      </c>
      <c r="C11" s="13"/>
      <c r="D11" s="14">
        <v>259000</v>
      </c>
      <c r="E11" s="15">
        <v>700000</v>
      </c>
      <c r="F11" s="16">
        <f t="shared" si="0"/>
        <v>959000</v>
      </c>
      <c r="G11" s="16"/>
      <c r="H11" s="19"/>
    </row>
    <row r="12" spans="1:8" ht="18" x14ac:dyDescent="0.25">
      <c r="A12" s="11" t="s">
        <v>13</v>
      </c>
      <c r="B12" s="12" t="str">
        <f>VLOOKUP(A12,[5]LISTADHERENT!A$5:H$60,3,0)</f>
        <v>DOMOU FABIEN</v>
      </c>
      <c r="C12" s="13">
        <v>35000</v>
      </c>
      <c r="D12" s="14"/>
      <c r="E12" s="15"/>
      <c r="F12" s="16">
        <f t="shared" si="0"/>
        <v>35000</v>
      </c>
      <c r="G12" s="16"/>
      <c r="H12" s="19"/>
    </row>
    <row r="13" spans="1:8" ht="18" x14ac:dyDescent="0.25">
      <c r="A13" s="11" t="s">
        <v>14</v>
      </c>
      <c r="B13" s="12" t="str">
        <f>VLOOKUP(A13,[5]LISTADHERENT!A$5:H$60,3,0)</f>
        <v>DONHOU DAVID</v>
      </c>
      <c r="C13" s="13">
        <v>35000</v>
      </c>
      <c r="D13" s="14"/>
      <c r="E13" s="15"/>
      <c r="F13" s="16">
        <f t="shared" si="0"/>
        <v>35000</v>
      </c>
      <c r="G13" s="16"/>
      <c r="H13" s="19"/>
    </row>
    <row r="14" spans="1:8" ht="18" x14ac:dyDescent="0.25">
      <c r="A14" s="11" t="s">
        <v>15</v>
      </c>
      <c r="B14" s="12" t="str">
        <f>VLOOKUP(A14,[5]LISTADHERENT!A$5:H$60,3,0)</f>
        <v>FOTSO THOMAS</v>
      </c>
      <c r="C14" s="13"/>
      <c r="D14" s="14"/>
      <c r="E14" s="15"/>
      <c r="F14" s="16">
        <f t="shared" si="0"/>
        <v>0</v>
      </c>
      <c r="G14" s="16"/>
      <c r="H14" s="19"/>
    </row>
    <row r="15" spans="1:8" ht="18" x14ac:dyDescent="0.25">
      <c r="A15" s="11" t="s">
        <v>16</v>
      </c>
      <c r="B15" s="12" t="str">
        <f>VLOOKUP(A15,[5]LISTADHERENT!A$5:H$60,3,0)</f>
        <v>HENGUE PAUL OMER</v>
      </c>
      <c r="C15" s="13">
        <v>105000</v>
      </c>
      <c r="D15" s="14"/>
      <c r="E15" s="15"/>
      <c r="F15" s="16">
        <f t="shared" si="0"/>
        <v>105000</v>
      </c>
      <c r="G15" s="16"/>
      <c r="H15" s="19"/>
    </row>
    <row r="16" spans="1:8" ht="18" x14ac:dyDescent="0.25">
      <c r="A16" s="11" t="s">
        <v>17</v>
      </c>
      <c r="B16" s="12" t="str">
        <f>VLOOKUP(A16,[5]LISTADHERENT!A$5:H$60,3,0)</f>
        <v>HOTCHO BENJAMIN</v>
      </c>
      <c r="C16" s="13">
        <v>150000</v>
      </c>
      <c r="D16" s="14"/>
      <c r="E16" s="15"/>
      <c r="F16" s="16">
        <f t="shared" si="0"/>
        <v>150000</v>
      </c>
      <c r="G16" s="16"/>
      <c r="H16" s="19"/>
    </row>
    <row r="17" spans="1:8" ht="18" x14ac:dyDescent="0.25">
      <c r="A17" s="11" t="s">
        <v>18</v>
      </c>
      <c r="B17" s="12" t="str">
        <f>VLOOKUP(A17,[5]LISTADHERENT!A$5:H$60,3,0)</f>
        <v>KOUAMOU MOISE</v>
      </c>
      <c r="C17" s="13">
        <v>330000</v>
      </c>
      <c r="D17" s="14"/>
      <c r="E17" s="15"/>
      <c r="F17" s="16">
        <f t="shared" si="0"/>
        <v>330000</v>
      </c>
      <c r="G17" s="16"/>
      <c r="H17" s="19"/>
    </row>
    <row r="18" spans="1:8" ht="18" x14ac:dyDescent="0.25">
      <c r="A18" s="11" t="s">
        <v>19</v>
      </c>
      <c r="B18" s="12" t="str">
        <f>VLOOKUP(A18,[5]LISTADHERENT!A$5:H$60,3,0)</f>
        <v>KOUATCHO MESSACK</v>
      </c>
      <c r="C18" s="13">
        <v>453000</v>
      </c>
      <c r="D18" s="14"/>
      <c r="E18" s="15"/>
      <c r="F18" s="16">
        <f t="shared" si="0"/>
        <v>453000</v>
      </c>
      <c r="G18" s="16"/>
      <c r="H18" s="19"/>
    </row>
    <row r="19" spans="1:8" ht="18" x14ac:dyDescent="0.25">
      <c r="A19" s="11" t="s">
        <v>20</v>
      </c>
      <c r="B19" s="12" t="str">
        <f>VLOOKUP(A19,[5]LISTADHERENT!A$5:H$60,3,0)</f>
        <v>LOWE JEAN</v>
      </c>
      <c r="C19" s="13">
        <v>30000</v>
      </c>
      <c r="D19" s="14"/>
      <c r="E19" s="15"/>
      <c r="F19" s="16">
        <f t="shared" si="0"/>
        <v>30000</v>
      </c>
      <c r="G19" s="16"/>
      <c r="H19" s="19"/>
    </row>
    <row r="20" spans="1:8" ht="18" x14ac:dyDescent="0.25">
      <c r="A20" s="11" t="s">
        <v>21</v>
      </c>
      <c r="B20" s="12" t="str">
        <f>VLOOKUP(A20,[5]LISTADHERENT!A$5:H$60,3,0)</f>
        <v>MBOGNING TUGMA GUY</v>
      </c>
      <c r="C20" s="13">
        <v>657000</v>
      </c>
      <c r="D20" s="14"/>
      <c r="E20" s="15"/>
      <c r="F20" s="16">
        <f t="shared" si="0"/>
        <v>657000</v>
      </c>
      <c r="G20" s="16"/>
      <c r="H20" s="19"/>
    </row>
    <row r="21" spans="1:8" ht="18" x14ac:dyDescent="0.25">
      <c r="A21" s="11" t="s">
        <v>22</v>
      </c>
      <c r="B21" s="12" t="str">
        <f>VLOOKUP(A21,[5]LISTADHERENT!A$5:H$60,3,0)</f>
        <v>NANGUEN MARTIN</v>
      </c>
      <c r="C21" s="13">
        <v>30000</v>
      </c>
      <c r="D21" s="14"/>
      <c r="E21" s="15"/>
      <c r="F21" s="16">
        <f t="shared" si="0"/>
        <v>30000</v>
      </c>
      <c r="G21" s="16"/>
      <c r="H21" s="19"/>
    </row>
    <row r="22" spans="1:8" ht="18" x14ac:dyDescent="0.25">
      <c r="A22" s="11" t="s">
        <v>23</v>
      </c>
      <c r="B22" s="12" t="str">
        <f>VLOOKUP(A22,[5]LISTADHERENT!A$5:H$60,3,0)</f>
        <v>NANKAM APPOLINAIRE</v>
      </c>
      <c r="C22" s="13">
        <v>105000</v>
      </c>
      <c r="D22" s="14"/>
      <c r="E22" s="15"/>
      <c r="F22" s="16">
        <f t="shared" si="0"/>
        <v>105000</v>
      </c>
      <c r="G22" s="16"/>
      <c r="H22" s="19"/>
    </row>
    <row r="23" spans="1:8" ht="18" x14ac:dyDescent="0.25">
      <c r="A23" s="11" t="s">
        <v>24</v>
      </c>
      <c r="B23" s="12" t="str">
        <f>VLOOKUP(A23,[5]LISTADHERENT!A$5:H$60,3,0)</f>
        <v>NDJOMO ETIENNE</v>
      </c>
      <c r="C23" s="13">
        <v>150000</v>
      </c>
      <c r="D23" s="14"/>
      <c r="E23" s="15"/>
      <c r="F23" s="16">
        <f t="shared" si="0"/>
        <v>150000</v>
      </c>
      <c r="G23" s="16"/>
      <c r="H23" s="19"/>
    </row>
    <row r="24" spans="1:8" ht="18" x14ac:dyDescent="0.25">
      <c r="A24" s="11" t="s">
        <v>25</v>
      </c>
      <c r="B24" s="12" t="str">
        <f>VLOOKUP(A24,[5]LISTADHERENT!A$5:H$60,3,0)</f>
        <v>NGONDIEP CLAUDE</v>
      </c>
      <c r="C24" s="13">
        <v>460000</v>
      </c>
      <c r="D24" s="14"/>
      <c r="E24" s="15"/>
      <c r="F24" s="16">
        <f t="shared" si="0"/>
        <v>460000</v>
      </c>
      <c r="G24" s="16"/>
      <c r="H24" s="19"/>
    </row>
    <row r="25" spans="1:8" ht="18" x14ac:dyDescent="0.25">
      <c r="A25" s="11" t="s">
        <v>26</v>
      </c>
      <c r="B25" s="12" t="str">
        <f>VLOOKUP(A25,[5]LISTADHERENT!A$5:H$60,3,0)</f>
        <v>NGUIEMEGNI MATHIEU BLAISE</v>
      </c>
      <c r="C25" s="13">
        <v>387000</v>
      </c>
      <c r="D25" s="14"/>
      <c r="E25" s="15"/>
      <c r="F25" s="16">
        <f t="shared" si="0"/>
        <v>387000</v>
      </c>
      <c r="G25" s="16"/>
      <c r="H25" s="19"/>
    </row>
    <row r="26" spans="1:8" ht="18" x14ac:dyDescent="0.25">
      <c r="A26" s="11" t="s">
        <v>27</v>
      </c>
      <c r="B26" s="12" t="str">
        <f>VLOOKUP(A26,[5]LISTADHERENT!A$5:H$60,3,0)</f>
        <v>NKAMGANG JUSTIN DEJOLIE</v>
      </c>
      <c r="C26" s="13">
        <v>105000</v>
      </c>
      <c r="D26" s="14">
        <v>84500</v>
      </c>
      <c r="E26" s="15"/>
      <c r="F26" s="16">
        <f t="shared" si="0"/>
        <v>189500</v>
      </c>
      <c r="G26" s="16"/>
      <c r="H26" s="19"/>
    </row>
    <row r="27" spans="1:8" ht="18" x14ac:dyDescent="0.25">
      <c r="A27" s="11" t="s">
        <v>28</v>
      </c>
      <c r="B27" s="12" t="str">
        <f>VLOOKUP(A27,[5]LISTADHERENT!A$5:H$60,3,0)</f>
        <v>NKEHE DAVID</v>
      </c>
      <c r="C27" s="13">
        <v>20000</v>
      </c>
      <c r="D27" s="14"/>
      <c r="E27" s="15"/>
      <c r="F27" s="16">
        <f t="shared" si="0"/>
        <v>20000</v>
      </c>
      <c r="G27" s="16"/>
      <c r="H27" s="19"/>
    </row>
    <row r="28" spans="1:8" ht="18" x14ac:dyDescent="0.25">
      <c r="A28" s="11" t="s">
        <v>29</v>
      </c>
      <c r="B28" s="12" t="str">
        <f>VLOOKUP(A28,[5]LISTADHERENT!A$5:H$60,3,0)</f>
        <v>NKEPSEU DIEUDONNE</v>
      </c>
      <c r="C28" s="13">
        <v>200000</v>
      </c>
      <c r="D28" s="14"/>
      <c r="E28" s="15"/>
      <c r="F28" s="16">
        <f t="shared" si="0"/>
        <v>200000</v>
      </c>
      <c r="G28" s="16"/>
      <c r="H28" s="19"/>
    </row>
    <row r="29" spans="1:8" ht="18" x14ac:dyDescent="0.25">
      <c r="A29" s="11" t="s">
        <v>30</v>
      </c>
      <c r="B29" s="12" t="str">
        <f>VLOOKUP(A29,[5]LISTADHERENT!A$5:H$60,3,0)</f>
        <v>PATEGO NJOSSU GUSTAVE</v>
      </c>
      <c r="C29" s="13">
        <v>105000</v>
      </c>
      <c r="D29" s="14"/>
      <c r="E29" s="15"/>
      <c r="F29" s="16">
        <f t="shared" si="0"/>
        <v>105000</v>
      </c>
      <c r="G29" s="16"/>
      <c r="H29" s="19"/>
    </row>
    <row r="30" spans="1:8" ht="18" x14ac:dyDescent="0.25">
      <c r="A30" s="11" t="s">
        <v>31</v>
      </c>
      <c r="B30" s="12" t="str">
        <f>VLOOKUP(A30,[5]LISTADHERENT!A$5:H$60,3,0)</f>
        <v>SIME BRICE</v>
      </c>
      <c r="C30" s="13"/>
      <c r="D30" s="14">
        <v>108000</v>
      </c>
      <c r="E30" s="15"/>
      <c r="F30" s="16">
        <f t="shared" si="0"/>
        <v>108000</v>
      </c>
      <c r="G30" s="16"/>
      <c r="H30" s="19"/>
    </row>
    <row r="31" spans="1:8" ht="18" x14ac:dyDescent="0.25">
      <c r="A31" s="11" t="s">
        <v>32</v>
      </c>
      <c r="B31" s="12" t="str">
        <f>VLOOKUP(A31,[5]LISTADHERENT!A$5:H$60,3,0)</f>
        <v>SIMO FONGANG ERIC</v>
      </c>
      <c r="C31" s="13"/>
      <c r="D31" s="14"/>
      <c r="E31" s="15"/>
      <c r="F31" s="16">
        <f t="shared" si="0"/>
        <v>0</v>
      </c>
      <c r="G31" s="16"/>
      <c r="H31" s="19"/>
    </row>
    <row r="32" spans="1:8" ht="18" x14ac:dyDescent="0.25">
      <c r="A32" s="11" t="s">
        <v>33</v>
      </c>
      <c r="B32" s="12" t="str">
        <f>VLOOKUP(A32,[5]LISTADHERENT!A$5:H$60,3,0)</f>
        <v>SIMO PIERRE</v>
      </c>
      <c r="C32" s="13">
        <v>110000</v>
      </c>
      <c r="D32" s="14"/>
      <c r="E32" s="15"/>
      <c r="F32" s="16">
        <f t="shared" si="0"/>
        <v>110000</v>
      </c>
      <c r="G32" s="16"/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13">
        <v>156000</v>
      </c>
      <c r="D33" s="14"/>
      <c r="E33" s="15">
        <v>560000</v>
      </c>
      <c r="F33" s="16">
        <f t="shared" si="0"/>
        <v>716000</v>
      </c>
      <c r="G33" s="16"/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>
        <v>30000</v>
      </c>
      <c r="D34" s="14"/>
      <c r="E34" s="15"/>
      <c r="F34" s="16">
        <f t="shared" si="0"/>
        <v>30000</v>
      </c>
      <c r="G34" s="16"/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/>
      <c r="D35" s="14">
        <v>33000</v>
      </c>
      <c r="E35" s="15"/>
      <c r="F35" s="16">
        <f t="shared" si="0"/>
        <v>33000</v>
      </c>
      <c r="G35" s="16"/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13"/>
      <c r="D36" s="14">
        <v>283000</v>
      </c>
      <c r="E36" s="15"/>
      <c r="F36" s="16">
        <f t="shared" si="0"/>
        <v>283000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3893000</v>
      </c>
      <c r="D38" s="22">
        <f>SUM(D7:D37)</f>
        <v>801500</v>
      </c>
      <c r="E38" s="22">
        <f>SUM(E7:E37)</f>
        <v>1830000</v>
      </c>
      <c r="F38" s="22">
        <f t="shared" ref="F38:H38" si="1">SUM(F7:F37)</f>
        <v>6524500</v>
      </c>
      <c r="G38" s="22">
        <f t="shared" si="1"/>
        <v>0</v>
      </c>
      <c r="H38" s="23">
        <f t="shared" si="1"/>
        <v>0</v>
      </c>
    </row>
    <row r="39" spans="1:8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zoomScale="106" zoomScaleNormal="106" workbookViewId="0">
      <pane xSplit="3" ySplit="5" topLeftCell="D21" activePane="bottomRight" state="frozen"/>
      <selection pane="topRight" activeCell="E1" sqref="E1"/>
      <selection pane="bottomLeft" activeCell="A6" sqref="A6"/>
      <selection pane="bottomRight" activeCell="C1" sqref="C1:C104857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x14ac:dyDescent="0.25">
      <c r="A1" s="1" t="s">
        <v>2</v>
      </c>
      <c r="B1" s="1" t="s">
        <v>3</v>
      </c>
    </row>
    <row r="2" spans="1:8" x14ac:dyDescent="0.25">
      <c r="A2" s="1" t="s">
        <v>4</v>
      </c>
      <c r="B2" s="1">
        <v>2022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1" t="s">
        <v>66</v>
      </c>
      <c r="C4" s="29"/>
      <c r="D4" s="29"/>
      <c r="E4" s="29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8" ht="18" x14ac:dyDescent="0.25">
      <c r="A6" s="11" t="s">
        <v>68</v>
      </c>
      <c r="B6" s="12" t="str">
        <f>VLOOKUP(A6,[5]LISTADHERENT!A$5:H$60,3,0)</f>
        <v>ASELBY</v>
      </c>
      <c r="C6" s="13">
        <v>100000</v>
      </c>
      <c r="D6" s="14"/>
      <c r="E6" s="15"/>
      <c r="F6" s="16">
        <f>SUM(C6:E6)</f>
        <v>100000</v>
      </c>
      <c r="G6" s="16"/>
      <c r="H6" s="19"/>
    </row>
    <row r="7" spans="1:8" ht="18" x14ac:dyDescent="0.25">
      <c r="A7" s="11" t="s">
        <v>8</v>
      </c>
      <c r="B7" s="12" t="str">
        <f>VLOOKUP(A7,[5]LISTADHERENT!A$5:H$60,3,0)</f>
        <v>BOUTCHOUANG WILLIAM</v>
      </c>
      <c r="C7" s="13">
        <v>105000</v>
      </c>
      <c r="D7" s="14"/>
      <c r="E7" s="15"/>
      <c r="F7" s="16">
        <f>SUM(C7:E7)</f>
        <v>105000</v>
      </c>
      <c r="G7" s="16"/>
      <c r="H7" s="19"/>
    </row>
    <row r="8" spans="1:8" ht="18" x14ac:dyDescent="0.25">
      <c r="A8" s="11" t="s">
        <v>9</v>
      </c>
      <c r="B8" s="12" t="str">
        <f>VLOOKUP(A8,[5]LISTADHERENT!A$5:H$60,3,0)</f>
        <v xml:space="preserve">DJOMO JEAN PAUL </v>
      </c>
      <c r="C8" s="13">
        <v>260000</v>
      </c>
      <c r="D8" s="14"/>
      <c r="E8" s="15"/>
      <c r="F8" s="16">
        <f t="shared" ref="F8:F36" si="0">SUM(C8:E8)</f>
        <v>260000</v>
      </c>
      <c r="G8" s="16"/>
      <c r="H8" s="19"/>
    </row>
    <row r="9" spans="1:8" ht="18" x14ac:dyDescent="0.25">
      <c r="A9" s="11" t="s">
        <v>10</v>
      </c>
      <c r="B9" s="12" t="str">
        <f>VLOOKUP(A9,[5]LISTADHERENT!A$5:H$60,3,0)</f>
        <v>DJOMOU TCHANDA</v>
      </c>
      <c r="C9" s="13">
        <v>30000</v>
      </c>
      <c r="D9" s="14"/>
      <c r="E9" s="15"/>
      <c r="F9" s="16">
        <f t="shared" si="0"/>
        <v>30000</v>
      </c>
      <c r="G9" s="16"/>
      <c r="H9" s="19"/>
    </row>
    <row r="10" spans="1:8" ht="18" x14ac:dyDescent="0.25">
      <c r="A10" s="11" t="s">
        <v>11</v>
      </c>
      <c r="B10" s="12" t="str">
        <f>VLOOKUP(A10,[5]LISTADHERENT!A$5:H$60,3,0)</f>
        <v>DJOUKWE NANGUEN GUY BLAISE</v>
      </c>
      <c r="C10" s="13">
        <v>30000</v>
      </c>
      <c r="D10" s="14"/>
      <c r="E10" s="15"/>
      <c r="F10" s="16">
        <f t="shared" si="0"/>
        <v>30000</v>
      </c>
      <c r="G10" s="16"/>
      <c r="H10" s="19"/>
    </row>
    <row r="11" spans="1:8" ht="18" x14ac:dyDescent="0.25">
      <c r="A11" s="11" t="s">
        <v>12</v>
      </c>
      <c r="B11" s="12" t="str">
        <f>VLOOKUP(A11,[5]LISTADHERENT!A$5:H$60,3,0)</f>
        <v>DJUOMBESSY ANTOINE</v>
      </c>
      <c r="C11" s="13">
        <v>110000</v>
      </c>
      <c r="D11" s="14"/>
      <c r="E11" s="15">
        <v>176000</v>
      </c>
      <c r="F11" s="16">
        <f t="shared" si="0"/>
        <v>286000</v>
      </c>
      <c r="G11" s="16"/>
      <c r="H11" s="19"/>
    </row>
    <row r="12" spans="1:8" ht="18" x14ac:dyDescent="0.25">
      <c r="A12" s="11" t="s">
        <v>13</v>
      </c>
      <c r="B12" s="12" t="str">
        <f>VLOOKUP(A12,[5]LISTADHERENT!A$5:H$60,3,0)</f>
        <v>DOMOU FABIEN</v>
      </c>
      <c r="C12" s="13">
        <v>35000</v>
      </c>
      <c r="D12" s="14"/>
      <c r="E12" s="15"/>
      <c r="F12" s="16">
        <f t="shared" si="0"/>
        <v>35000</v>
      </c>
      <c r="G12" s="16"/>
      <c r="H12" s="19"/>
    </row>
    <row r="13" spans="1:8" ht="18" x14ac:dyDescent="0.25">
      <c r="A13" s="11" t="s">
        <v>14</v>
      </c>
      <c r="B13" s="12" t="str">
        <f>VLOOKUP(A13,[5]LISTADHERENT!A$5:H$60,3,0)</f>
        <v>DONHOU DAVID</v>
      </c>
      <c r="C13" s="13">
        <v>35000</v>
      </c>
      <c r="D13" s="14"/>
      <c r="E13" s="15"/>
      <c r="F13" s="16">
        <f t="shared" si="0"/>
        <v>35000</v>
      </c>
      <c r="G13" s="16"/>
      <c r="H13" s="19"/>
    </row>
    <row r="14" spans="1:8" ht="18" x14ac:dyDescent="0.25">
      <c r="A14" s="11" t="s">
        <v>15</v>
      </c>
      <c r="B14" s="12" t="str">
        <f>VLOOKUP(A14,[5]LISTADHERENT!A$5:H$60,3,0)</f>
        <v>FOTSO THOMAS</v>
      </c>
      <c r="C14" s="13"/>
      <c r="D14" s="14"/>
      <c r="E14" s="15"/>
      <c r="F14" s="16">
        <f t="shared" si="0"/>
        <v>0</v>
      </c>
      <c r="G14" s="16"/>
      <c r="H14" s="19"/>
    </row>
    <row r="15" spans="1:8" ht="18" x14ac:dyDescent="0.25">
      <c r="A15" s="11" t="s">
        <v>16</v>
      </c>
      <c r="B15" s="12" t="str">
        <f>VLOOKUP(A15,[5]LISTADHERENT!A$5:H$60,3,0)</f>
        <v>HENGUE PAUL OMER</v>
      </c>
      <c r="C15" s="13">
        <v>1050000</v>
      </c>
      <c r="D15" s="14"/>
      <c r="E15" s="15">
        <v>70000</v>
      </c>
      <c r="F15" s="16">
        <f t="shared" si="0"/>
        <v>1120000</v>
      </c>
      <c r="G15" s="16"/>
      <c r="H15" s="19"/>
    </row>
    <row r="16" spans="1:8" ht="18" x14ac:dyDescent="0.25">
      <c r="A16" s="11" t="s">
        <v>17</v>
      </c>
      <c r="B16" s="12" t="str">
        <f>VLOOKUP(A16,[5]LISTADHERENT!A$5:H$60,3,0)</f>
        <v>HOTCHO BENJAMIN</v>
      </c>
      <c r="C16" s="13">
        <v>150000</v>
      </c>
      <c r="D16" s="14"/>
      <c r="E16" s="15"/>
      <c r="F16" s="16">
        <f t="shared" si="0"/>
        <v>150000</v>
      </c>
      <c r="G16" s="16"/>
      <c r="H16" s="19"/>
    </row>
    <row r="17" spans="1:8" ht="18" x14ac:dyDescent="0.25">
      <c r="A17" s="11" t="s">
        <v>18</v>
      </c>
      <c r="B17" s="12" t="str">
        <f>VLOOKUP(A17,[5]LISTADHERENT!A$5:H$60,3,0)</f>
        <v>KOUAMOU MOISE</v>
      </c>
      <c r="C17" s="13">
        <v>330000</v>
      </c>
      <c r="D17" s="14"/>
      <c r="E17" s="15"/>
      <c r="F17" s="16">
        <f t="shared" si="0"/>
        <v>330000</v>
      </c>
      <c r="G17" s="16"/>
      <c r="H17" s="19"/>
    </row>
    <row r="18" spans="1:8" ht="18" x14ac:dyDescent="0.25">
      <c r="A18" s="11" t="s">
        <v>19</v>
      </c>
      <c r="B18" s="12" t="str">
        <f>VLOOKUP(A18,[5]LISTADHERENT!A$5:H$60,3,0)</f>
        <v>KOUATCHO MESSACK</v>
      </c>
      <c r="C18" s="13">
        <f>130000-65000</f>
        <v>65000</v>
      </c>
      <c r="D18" s="14">
        <f>342000+3000</f>
        <v>345000</v>
      </c>
      <c r="E18" s="15"/>
      <c r="F18" s="16">
        <f t="shared" si="0"/>
        <v>410000</v>
      </c>
      <c r="G18" s="16"/>
      <c r="H18" s="19"/>
    </row>
    <row r="19" spans="1:8" ht="18" x14ac:dyDescent="0.25">
      <c r="A19" s="11" t="s">
        <v>20</v>
      </c>
      <c r="B19" s="12" t="str">
        <f>VLOOKUP(A19,[5]LISTADHERENT!A$5:H$60,3,0)</f>
        <v>LOWE JEAN</v>
      </c>
      <c r="C19" s="13">
        <v>30000</v>
      </c>
      <c r="D19" s="14"/>
      <c r="E19" s="15"/>
      <c r="F19" s="16">
        <f t="shared" si="0"/>
        <v>30000</v>
      </c>
      <c r="G19" s="16"/>
      <c r="H19" s="19"/>
    </row>
    <row r="20" spans="1:8" ht="18" x14ac:dyDescent="0.25">
      <c r="A20" s="11" t="s">
        <v>21</v>
      </c>
      <c r="B20" s="12" t="str">
        <f>VLOOKUP(A20,[5]LISTADHERENT!A$5:H$60,3,0)</f>
        <v>MBOGNING TUGMA GUY</v>
      </c>
      <c r="C20" s="13">
        <v>618000</v>
      </c>
      <c r="D20" s="14"/>
      <c r="E20" s="15"/>
      <c r="F20" s="16">
        <f t="shared" si="0"/>
        <v>618000</v>
      </c>
      <c r="G20" s="16"/>
      <c r="H20" s="19"/>
    </row>
    <row r="21" spans="1:8" ht="18" x14ac:dyDescent="0.25">
      <c r="A21" s="11" t="s">
        <v>22</v>
      </c>
      <c r="B21" s="12" t="str">
        <f>VLOOKUP(A21,[5]LISTADHERENT!A$5:H$60,3,0)</f>
        <v>NANGUEN MARTIN</v>
      </c>
      <c r="C21" s="13">
        <v>30000</v>
      </c>
      <c r="D21" s="14"/>
      <c r="E21" s="15"/>
      <c r="F21" s="16">
        <f t="shared" si="0"/>
        <v>30000</v>
      </c>
      <c r="G21" s="16"/>
      <c r="H21" s="19"/>
    </row>
    <row r="22" spans="1:8" ht="18" x14ac:dyDescent="0.25">
      <c r="A22" s="11" t="s">
        <v>23</v>
      </c>
      <c r="B22" s="12" t="str">
        <f>VLOOKUP(A22,[5]LISTADHERENT!A$5:H$60,3,0)</f>
        <v>NANKAM APPOLINAIRE</v>
      </c>
      <c r="C22" s="13">
        <v>105000</v>
      </c>
      <c r="D22" s="14"/>
      <c r="E22" s="15"/>
      <c r="F22" s="16">
        <f t="shared" si="0"/>
        <v>105000</v>
      </c>
      <c r="G22" s="16"/>
      <c r="H22" s="19"/>
    </row>
    <row r="23" spans="1:8" ht="18" x14ac:dyDescent="0.25">
      <c r="A23" s="11" t="s">
        <v>24</v>
      </c>
      <c r="B23" s="12" t="str">
        <f>VLOOKUP(A23,[5]LISTADHERENT!A$5:H$60,3,0)</f>
        <v>NDJOMO ETIENNE</v>
      </c>
      <c r="C23" s="13">
        <v>251000</v>
      </c>
      <c r="D23" s="14"/>
      <c r="E23" s="15"/>
      <c r="F23" s="16">
        <f t="shared" si="0"/>
        <v>251000</v>
      </c>
      <c r="G23" s="16"/>
      <c r="H23" s="19"/>
    </row>
    <row r="24" spans="1:8" ht="18" x14ac:dyDescent="0.25">
      <c r="A24" s="11" t="s">
        <v>25</v>
      </c>
      <c r="B24" s="12" t="str">
        <f>VLOOKUP(A24,[5]LISTADHERENT!A$5:H$60,3,0)</f>
        <v>NGONDIEP CLAUDE</v>
      </c>
      <c r="C24" s="13">
        <v>240000</v>
      </c>
      <c r="D24" s="14"/>
      <c r="E24" s="15"/>
      <c r="F24" s="16">
        <f t="shared" si="0"/>
        <v>240000</v>
      </c>
      <c r="G24" s="16"/>
      <c r="H24" s="19"/>
    </row>
    <row r="25" spans="1:8" ht="18" x14ac:dyDescent="0.25">
      <c r="A25" s="11" t="s">
        <v>26</v>
      </c>
      <c r="B25" s="12" t="str">
        <f>VLOOKUP(A25,[5]LISTADHERENT!A$5:H$60,3,0)</f>
        <v>NGUIEMEGNI MATHIEU BLAISE</v>
      </c>
      <c r="C25" s="13">
        <v>280000</v>
      </c>
      <c r="D25" s="14"/>
      <c r="E25" s="15"/>
      <c r="F25" s="16">
        <f t="shared" si="0"/>
        <v>280000</v>
      </c>
      <c r="G25" s="16"/>
      <c r="H25" s="19"/>
    </row>
    <row r="26" spans="1:8" ht="18" x14ac:dyDescent="0.25">
      <c r="A26" s="11" t="s">
        <v>27</v>
      </c>
      <c r="B26" s="12" t="str">
        <f>VLOOKUP(A26,[5]LISTADHERENT!A$5:H$60,3,0)</f>
        <v>NKAMGANG JUSTIN DEJOLIE</v>
      </c>
      <c r="C26" s="13">
        <v>211000</v>
      </c>
      <c r="D26" s="14"/>
      <c r="E26" s="15"/>
      <c r="F26" s="16">
        <f t="shared" si="0"/>
        <v>211000</v>
      </c>
      <c r="G26" s="16"/>
      <c r="H26" s="19"/>
    </row>
    <row r="27" spans="1:8" ht="18" x14ac:dyDescent="0.25">
      <c r="A27" s="11" t="s">
        <v>28</v>
      </c>
      <c r="B27" s="12" t="str">
        <f>VLOOKUP(A27,[5]LISTADHERENT!A$5:H$60,3,0)</f>
        <v>NKEHE DAVID</v>
      </c>
      <c r="C27" s="13">
        <v>20000</v>
      </c>
      <c r="D27" s="14"/>
      <c r="E27" s="15"/>
      <c r="F27" s="16">
        <f t="shared" si="0"/>
        <v>20000</v>
      </c>
      <c r="G27" s="16"/>
      <c r="H27" s="19"/>
    </row>
    <row r="28" spans="1:8" ht="18" x14ac:dyDescent="0.25">
      <c r="A28" s="11" t="s">
        <v>29</v>
      </c>
      <c r="B28" s="12" t="str">
        <f>VLOOKUP(A28,[5]LISTADHERENT!A$5:H$60,3,0)</f>
        <v>NKEPSEU DIEUDONNE</v>
      </c>
      <c r="C28" s="13">
        <v>130000</v>
      </c>
      <c r="D28" s="14"/>
      <c r="E28" s="15"/>
      <c r="F28" s="16">
        <f t="shared" si="0"/>
        <v>130000</v>
      </c>
      <c r="G28" s="16"/>
      <c r="H28" s="19"/>
    </row>
    <row r="29" spans="1:8" ht="18" x14ac:dyDescent="0.25">
      <c r="A29" s="11" t="s">
        <v>30</v>
      </c>
      <c r="B29" s="12" t="str">
        <f>VLOOKUP(A29,[5]LISTADHERENT!A$5:H$60,3,0)</f>
        <v>PATEGO NJOSSU GUSTAVE</v>
      </c>
      <c r="C29" s="13">
        <v>105000</v>
      </c>
      <c r="D29" s="14"/>
      <c r="E29" s="15"/>
      <c r="F29" s="16">
        <f t="shared" si="0"/>
        <v>105000</v>
      </c>
      <c r="G29" s="16"/>
      <c r="H29" s="19"/>
    </row>
    <row r="30" spans="1:8" ht="18" x14ac:dyDescent="0.25">
      <c r="A30" s="11" t="s">
        <v>31</v>
      </c>
      <c r="B30" s="12" t="str">
        <f>VLOOKUP(A30,[5]LISTADHERENT!A$5:H$60,3,0)</f>
        <v>SIME BRICE</v>
      </c>
      <c r="C30" s="13">
        <v>105000</v>
      </c>
      <c r="D30" s="14"/>
      <c r="E30" s="15"/>
      <c r="F30" s="16">
        <f t="shared" si="0"/>
        <v>105000</v>
      </c>
      <c r="G30" s="16"/>
      <c r="H30" s="19"/>
    </row>
    <row r="31" spans="1:8" ht="18" x14ac:dyDescent="0.25">
      <c r="A31" s="11" t="s">
        <v>32</v>
      </c>
      <c r="B31" s="12" t="str">
        <f>VLOOKUP(A31,[5]LISTADHERENT!A$5:H$60,3,0)</f>
        <v>SIMO FONGANG ERIC</v>
      </c>
      <c r="C31" s="13"/>
      <c r="D31" s="14"/>
      <c r="E31" s="15"/>
      <c r="F31" s="16">
        <f t="shared" si="0"/>
        <v>0</v>
      </c>
      <c r="G31" s="16"/>
      <c r="H31" s="19"/>
    </row>
    <row r="32" spans="1:8" ht="18" x14ac:dyDescent="0.25">
      <c r="A32" s="11" t="s">
        <v>33</v>
      </c>
      <c r="B32" s="12" t="str">
        <f>VLOOKUP(A32,[5]LISTADHERENT!A$5:H$60,3,0)</f>
        <v>SIMO PIERRE</v>
      </c>
      <c r="C32" s="13">
        <v>120000</v>
      </c>
      <c r="D32" s="14">
        <v>10000</v>
      </c>
      <c r="E32" s="15"/>
      <c r="F32" s="16">
        <f t="shared" si="0"/>
        <v>130000</v>
      </c>
      <c r="G32" s="16"/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13">
        <v>156000</v>
      </c>
      <c r="D33" s="14"/>
      <c r="E33" s="15"/>
      <c r="F33" s="16">
        <f t="shared" si="0"/>
        <v>156000</v>
      </c>
      <c r="G33" s="16"/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/>
      <c r="D34" s="14"/>
      <c r="E34" s="15"/>
      <c r="F34" s="16">
        <f t="shared" si="0"/>
        <v>0</v>
      </c>
      <c r="G34" s="16"/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/>
      <c r="D35" s="14"/>
      <c r="E35" s="15">
        <f>70000+143750</f>
        <v>213750</v>
      </c>
      <c r="F35" s="16">
        <f t="shared" si="0"/>
        <v>213750</v>
      </c>
      <c r="G35" s="16"/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13">
        <v>280000</v>
      </c>
      <c r="D36" s="14"/>
      <c r="E36" s="15"/>
      <c r="F36" s="16">
        <f t="shared" si="0"/>
        <v>280000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4881000</v>
      </c>
      <c r="D38" s="22">
        <f>SUM(D7:D37)</f>
        <v>355000</v>
      </c>
      <c r="E38" s="22">
        <f>SUM(E7:E37)</f>
        <v>459750</v>
      </c>
      <c r="F38" s="22">
        <f t="shared" ref="F38:H38" si="1">SUM(F7:F37)</f>
        <v>5695750</v>
      </c>
      <c r="G38" s="22">
        <f t="shared" si="1"/>
        <v>0</v>
      </c>
      <c r="H38" s="23">
        <f t="shared" si="1"/>
        <v>0</v>
      </c>
    </row>
    <row r="39" spans="1:8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zoomScale="106" zoomScaleNormal="106" workbookViewId="0">
      <pane xSplit="3" ySplit="5" topLeftCell="D30" activePane="bottomRight" state="frozen"/>
      <selection pane="topRight" activeCell="E1" sqref="E1"/>
      <selection pane="bottomLeft" activeCell="A6" sqref="A6"/>
      <selection pane="bottomRight" activeCell="A23" sqref="A23:XFD2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x14ac:dyDescent="0.25">
      <c r="A1" s="1" t="s">
        <v>2</v>
      </c>
      <c r="B1" s="1" t="s">
        <v>3</v>
      </c>
    </row>
    <row r="2" spans="1:8" x14ac:dyDescent="0.25">
      <c r="A2" s="1" t="s">
        <v>4</v>
      </c>
      <c r="B2" s="1">
        <v>2022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1" t="s">
        <v>66</v>
      </c>
      <c r="C4" s="29"/>
      <c r="D4" s="29"/>
      <c r="E4" s="29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8" ht="18" x14ac:dyDescent="0.25">
      <c r="A6" s="11" t="s">
        <v>68</v>
      </c>
      <c r="B6" s="12" t="str">
        <f>VLOOKUP(A6,[5]LISTADHERENT!A$5:H$60,3,0)</f>
        <v>ASELBY</v>
      </c>
      <c r="C6" s="13">
        <v>100000</v>
      </c>
      <c r="D6" s="14"/>
      <c r="E6" s="15"/>
      <c r="F6" s="16">
        <f>SUM(C6:E6)</f>
        <v>100000</v>
      </c>
      <c r="G6" s="16"/>
      <c r="H6" s="19"/>
    </row>
    <row r="7" spans="1:8" ht="18" x14ac:dyDescent="0.25">
      <c r="A7" s="11" t="s">
        <v>8</v>
      </c>
      <c r="B7" s="12" t="str">
        <f>VLOOKUP(A7,[5]LISTADHERENT!A$5:H$60,3,0)</f>
        <v>BOUTCHOUANG WILLIAM</v>
      </c>
      <c r="C7" s="13">
        <v>105000</v>
      </c>
      <c r="D7" s="14"/>
      <c r="E7" s="15"/>
      <c r="F7" s="16">
        <f>SUM(C7:E7)</f>
        <v>105000</v>
      </c>
      <c r="G7" s="16"/>
      <c r="H7" s="19"/>
    </row>
    <row r="8" spans="1:8" ht="18" x14ac:dyDescent="0.25">
      <c r="A8" s="11" t="s">
        <v>9</v>
      </c>
      <c r="B8" s="12" t="str">
        <f>VLOOKUP(A8,[5]LISTADHERENT!A$5:H$60,3,0)</f>
        <v xml:space="preserve">DJOMO JEAN PAUL </v>
      </c>
      <c r="C8" s="13"/>
      <c r="D8" s="14">
        <v>156000</v>
      </c>
      <c r="E8" s="15"/>
      <c r="F8" s="16">
        <f t="shared" ref="F8:F36" si="0">SUM(C8:E8)</f>
        <v>156000</v>
      </c>
      <c r="G8" s="16"/>
      <c r="H8" s="19"/>
    </row>
    <row r="9" spans="1:8" ht="18" x14ac:dyDescent="0.25">
      <c r="A9" s="11" t="s">
        <v>10</v>
      </c>
      <c r="B9" s="12" t="str">
        <f>VLOOKUP(A9,[5]LISTADHERENT!A$5:H$60,3,0)</f>
        <v>DJOMOU TCHANDA</v>
      </c>
      <c r="C9" s="13">
        <v>30000</v>
      </c>
      <c r="D9" s="14"/>
      <c r="E9" s="15">
        <v>113000</v>
      </c>
      <c r="F9" s="16">
        <f t="shared" si="0"/>
        <v>143000</v>
      </c>
      <c r="G9" s="16"/>
      <c r="H9" s="19"/>
    </row>
    <row r="10" spans="1:8" ht="18" x14ac:dyDescent="0.25">
      <c r="A10" s="11" t="s">
        <v>11</v>
      </c>
      <c r="B10" s="12" t="str">
        <f>VLOOKUP(A10,[5]LISTADHERENT!A$5:H$60,3,0)</f>
        <v>DJOUKWE NANGUEN GUY BLAISE</v>
      </c>
      <c r="C10" s="13">
        <v>131000</v>
      </c>
      <c r="D10" s="14"/>
      <c r="E10" s="15">
        <v>51000</v>
      </c>
      <c r="F10" s="16">
        <f t="shared" si="0"/>
        <v>182000</v>
      </c>
      <c r="G10" s="16"/>
      <c r="H10" s="19"/>
    </row>
    <row r="11" spans="1:8" ht="18" x14ac:dyDescent="0.25">
      <c r="A11" s="11" t="s">
        <v>12</v>
      </c>
      <c r="B11" s="12" t="str">
        <f>VLOOKUP(A11,[5]LISTADHERENT!A$5:H$60,3,0)</f>
        <v>DJUOMBESSY ANTOINE</v>
      </c>
      <c r="C11" s="13">
        <v>350000</v>
      </c>
      <c r="D11" s="14"/>
      <c r="E11" s="15"/>
      <c r="F11" s="16">
        <f t="shared" si="0"/>
        <v>350000</v>
      </c>
      <c r="G11" s="16"/>
      <c r="H11" s="19"/>
    </row>
    <row r="12" spans="1:8" ht="18" x14ac:dyDescent="0.25">
      <c r="A12" s="11" t="s">
        <v>13</v>
      </c>
      <c r="B12" s="12" t="str">
        <f>VLOOKUP(A12,[5]LISTADHERENT!A$5:H$60,3,0)</f>
        <v>DOMOU FABIEN</v>
      </c>
      <c r="C12" s="13">
        <v>35000</v>
      </c>
      <c r="D12" s="14"/>
      <c r="E12" s="15"/>
      <c r="F12" s="16">
        <f t="shared" si="0"/>
        <v>35000</v>
      </c>
      <c r="G12" s="16"/>
      <c r="H12" s="19"/>
    </row>
    <row r="13" spans="1:8" ht="18" x14ac:dyDescent="0.25">
      <c r="A13" s="11" t="s">
        <v>14</v>
      </c>
      <c r="B13" s="12" t="str">
        <f>VLOOKUP(A13,[5]LISTADHERENT!A$5:H$60,3,0)</f>
        <v>DONHOU DAVID</v>
      </c>
      <c r="C13" s="13"/>
      <c r="D13" s="14"/>
      <c r="E13" s="15"/>
      <c r="F13" s="16">
        <f t="shared" si="0"/>
        <v>0</v>
      </c>
      <c r="G13" s="16"/>
      <c r="H13" s="19"/>
    </row>
    <row r="14" spans="1:8" ht="18" x14ac:dyDescent="0.25">
      <c r="A14" s="11" t="s">
        <v>15</v>
      </c>
      <c r="B14" s="12" t="str">
        <f>VLOOKUP(A14,[5]LISTADHERENT!A$5:H$60,3,0)</f>
        <v>FOTSO THOMAS</v>
      </c>
      <c r="C14" s="13"/>
      <c r="D14" s="14"/>
      <c r="E14" s="15"/>
      <c r="F14" s="16">
        <f t="shared" si="0"/>
        <v>0</v>
      </c>
      <c r="G14" s="16"/>
      <c r="H14" s="19"/>
    </row>
    <row r="15" spans="1:8" ht="18" x14ac:dyDescent="0.25">
      <c r="A15" s="11" t="s">
        <v>16</v>
      </c>
      <c r="B15" s="12" t="str">
        <f>VLOOKUP(A15,[5]LISTADHERENT!A$5:H$60,3,0)</f>
        <v>HENGUE PAUL OMER</v>
      </c>
      <c r="C15" s="13">
        <v>105000</v>
      </c>
      <c r="D15" s="14"/>
      <c r="E15" s="15"/>
      <c r="F15" s="16">
        <f t="shared" si="0"/>
        <v>105000</v>
      </c>
      <c r="G15" s="16"/>
      <c r="H15" s="19"/>
    </row>
    <row r="16" spans="1:8" ht="18" x14ac:dyDescent="0.25">
      <c r="A16" s="11" t="s">
        <v>17</v>
      </c>
      <c r="B16" s="12" t="str">
        <f>VLOOKUP(A16,[5]LISTADHERENT!A$5:H$60,3,0)</f>
        <v>HOTCHO BENJAMIN</v>
      </c>
      <c r="C16" s="13">
        <v>150000</v>
      </c>
      <c r="D16" s="14"/>
      <c r="E16" s="15"/>
      <c r="F16" s="16">
        <f t="shared" si="0"/>
        <v>150000</v>
      </c>
      <c r="G16" s="16"/>
      <c r="H16" s="19"/>
    </row>
    <row r="17" spans="1:8" ht="18" x14ac:dyDescent="0.25">
      <c r="A17" s="11" t="s">
        <v>18</v>
      </c>
      <c r="B17" s="12" t="str">
        <f>VLOOKUP(A17,[5]LISTADHERENT!A$5:H$60,3,0)</f>
        <v>KOUAMOU MOISE</v>
      </c>
      <c r="C17" s="13">
        <v>330000</v>
      </c>
      <c r="D17" s="14"/>
      <c r="E17" s="15">
        <v>1070000</v>
      </c>
      <c r="F17" s="16">
        <f t="shared" si="0"/>
        <v>1400000</v>
      </c>
      <c r="G17" s="16"/>
      <c r="H17" s="19"/>
    </row>
    <row r="18" spans="1:8" ht="18" x14ac:dyDescent="0.25">
      <c r="A18" s="11" t="s">
        <v>19</v>
      </c>
      <c r="B18" s="12" t="str">
        <f>VLOOKUP(A18,[5]LISTADHERENT!A$5:H$60,3,0)</f>
        <v>KOUATCHO MESSACK</v>
      </c>
      <c r="C18" s="13">
        <v>577000</v>
      </c>
      <c r="D18" s="14"/>
      <c r="E18" s="15"/>
      <c r="F18" s="16">
        <f t="shared" si="0"/>
        <v>577000</v>
      </c>
      <c r="G18" s="16"/>
      <c r="H18" s="19"/>
    </row>
    <row r="19" spans="1:8" ht="18" x14ac:dyDescent="0.25">
      <c r="A19" s="11" t="s">
        <v>20</v>
      </c>
      <c r="B19" s="12" t="str">
        <f>VLOOKUP(A19,[5]LISTADHERENT!A$5:H$60,3,0)</f>
        <v>LOWE JEAN</v>
      </c>
      <c r="C19" s="13"/>
      <c r="D19" s="14"/>
      <c r="E19" s="15"/>
      <c r="F19" s="16">
        <f t="shared" si="0"/>
        <v>0</v>
      </c>
      <c r="G19" s="16"/>
      <c r="H19" s="19"/>
    </row>
    <row r="20" spans="1:8" ht="18" x14ac:dyDescent="0.25">
      <c r="A20" s="11" t="s">
        <v>21</v>
      </c>
      <c r="B20" s="12" t="str">
        <f>VLOOKUP(A20,[5]LISTADHERENT!A$5:H$60,3,0)</f>
        <v>MBOGNING TUGMA GUY</v>
      </c>
      <c r="C20" s="13">
        <v>633000</v>
      </c>
      <c r="D20" s="14"/>
      <c r="E20" s="15">
        <v>124000</v>
      </c>
      <c r="F20" s="16">
        <f t="shared" si="0"/>
        <v>757000</v>
      </c>
      <c r="G20" s="16"/>
      <c r="H20" s="19"/>
    </row>
    <row r="21" spans="1:8" ht="18" x14ac:dyDescent="0.25">
      <c r="A21" s="11" t="s">
        <v>22</v>
      </c>
      <c r="B21" s="12" t="str">
        <f>VLOOKUP(A21,[5]LISTADHERENT!A$5:H$60,3,0)</f>
        <v>NANGUEN MARTIN</v>
      </c>
      <c r="C21" s="13">
        <v>30000</v>
      </c>
      <c r="D21" s="14"/>
      <c r="E21" s="15"/>
      <c r="F21" s="16">
        <f t="shared" si="0"/>
        <v>30000</v>
      </c>
      <c r="G21" s="16"/>
      <c r="H21" s="19"/>
    </row>
    <row r="22" spans="1:8" ht="18" x14ac:dyDescent="0.25">
      <c r="A22" s="11" t="s">
        <v>23</v>
      </c>
      <c r="B22" s="12" t="str">
        <f>VLOOKUP(A22,[5]LISTADHERENT!A$5:H$60,3,0)</f>
        <v>NANKAM APPOLINAIRE</v>
      </c>
      <c r="C22" s="13">
        <v>105000</v>
      </c>
      <c r="D22" s="14"/>
      <c r="E22" s="15"/>
      <c r="F22" s="16">
        <f t="shared" si="0"/>
        <v>105000</v>
      </c>
      <c r="G22" s="16"/>
      <c r="H22" s="19"/>
    </row>
    <row r="23" spans="1:8" ht="18" x14ac:dyDescent="0.25">
      <c r="A23" s="11" t="s">
        <v>24</v>
      </c>
      <c r="B23" s="12" t="str">
        <f>VLOOKUP(A23,[5]LISTADHERENT!A$5:H$60,3,0)</f>
        <v>NDJOMO ETIENNE</v>
      </c>
      <c r="C23" s="13">
        <v>150000</v>
      </c>
      <c r="D23" s="14"/>
      <c r="E23" s="15"/>
      <c r="F23" s="16">
        <f t="shared" si="0"/>
        <v>150000</v>
      </c>
      <c r="G23" s="16"/>
      <c r="H23" s="19"/>
    </row>
    <row r="24" spans="1:8" ht="18" x14ac:dyDescent="0.25">
      <c r="A24" s="11" t="s">
        <v>25</v>
      </c>
      <c r="B24" s="12" t="str">
        <f>VLOOKUP(A24,[5]LISTADHERENT!A$5:H$60,3,0)</f>
        <v>NGONDIEP CLAUDE</v>
      </c>
      <c r="C24" s="13">
        <v>205000</v>
      </c>
      <c r="D24" s="14"/>
      <c r="E24" s="15"/>
      <c r="F24" s="16">
        <f t="shared" si="0"/>
        <v>205000</v>
      </c>
      <c r="G24" s="16"/>
      <c r="H24" s="19"/>
    </row>
    <row r="25" spans="1:8" ht="18" x14ac:dyDescent="0.25">
      <c r="A25" s="11" t="s">
        <v>26</v>
      </c>
      <c r="B25" s="12" t="str">
        <f>VLOOKUP(A25,[5]LISTADHERENT!A$5:H$60,3,0)</f>
        <v>NGUIEMEGNI MATHIEU BLAISE</v>
      </c>
      <c r="C25" s="13">
        <v>580000</v>
      </c>
      <c r="D25" s="14"/>
      <c r="E25" s="15"/>
      <c r="F25" s="16">
        <f t="shared" si="0"/>
        <v>580000</v>
      </c>
      <c r="G25" s="16"/>
      <c r="H25" s="19"/>
    </row>
    <row r="26" spans="1:8" ht="18" x14ac:dyDescent="0.25">
      <c r="A26" s="11" t="s">
        <v>27</v>
      </c>
      <c r="B26" s="12" t="str">
        <f>VLOOKUP(A26,[5]LISTADHERENT!A$5:H$60,3,0)</f>
        <v>NKAMGANG JUSTIN DEJOLIE</v>
      </c>
      <c r="C26" s="13"/>
      <c r="D26" s="14">
        <f>202000+51000</f>
        <v>253000</v>
      </c>
      <c r="E26" s="15"/>
      <c r="F26" s="16">
        <f t="shared" si="0"/>
        <v>253000</v>
      </c>
      <c r="G26" s="16"/>
      <c r="H26" s="19"/>
    </row>
    <row r="27" spans="1:8" ht="18" x14ac:dyDescent="0.25">
      <c r="A27" s="11" t="s">
        <v>28</v>
      </c>
      <c r="B27" s="12" t="str">
        <f>VLOOKUP(A27,[5]LISTADHERENT!A$5:H$60,3,0)</f>
        <v>NKEHE DAVID</v>
      </c>
      <c r="C27" s="13">
        <v>20000</v>
      </c>
      <c r="D27" s="14"/>
      <c r="E27" s="15"/>
      <c r="F27" s="16">
        <f t="shared" si="0"/>
        <v>20000</v>
      </c>
      <c r="G27" s="16"/>
      <c r="H27" s="19"/>
    </row>
    <row r="28" spans="1:8" ht="18" x14ac:dyDescent="0.25">
      <c r="A28" s="11" t="s">
        <v>29</v>
      </c>
      <c r="B28" s="12" t="str">
        <f>VLOOKUP(A28,[5]LISTADHERENT!A$5:H$60,3,0)</f>
        <v>NKEPSEU DIEUDONNE</v>
      </c>
      <c r="C28" s="13">
        <v>130000</v>
      </c>
      <c r="D28" s="14"/>
      <c r="E28" s="15"/>
      <c r="F28" s="16">
        <f t="shared" si="0"/>
        <v>130000</v>
      </c>
      <c r="G28" s="16"/>
      <c r="H28" s="19"/>
    </row>
    <row r="29" spans="1:8" ht="18" x14ac:dyDescent="0.25">
      <c r="A29" s="11" t="s">
        <v>30</v>
      </c>
      <c r="B29" s="12" t="str">
        <f>VLOOKUP(A29,[5]LISTADHERENT!A$5:H$60,3,0)</f>
        <v>PATEGO NJOSSU GUSTAVE</v>
      </c>
      <c r="C29" s="13">
        <v>105000</v>
      </c>
      <c r="D29" s="14"/>
      <c r="E29" s="15"/>
      <c r="F29" s="16">
        <f t="shared" si="0"/>
        <v>105000</v>
      </c>
      <c r="G29" s="16"/>
      <c r="H29" s="19"/>
    </row>
    <row r="30" spans="1:8" ht="18" x14ac:dyDescent="0.25">
      <c r="A30" s="11" t="s">
        <v>31</v>
      </c>
      <c r="B30" s="12" t="str">
        <f>VLOOKUP(A30,[5]LISTADHERENT!A$5:H$60,3,0)</f>
        <v>SIME BRICE</v>
      </c>
      <c r="C30" s="13">
        <v>105000</v>
      </c>
      <c r="D30" s="14"/>
      <c r="E30" s="15">
        <v>70000</v>
      </c>
      <c r="F30" s="16">
        <f t="shared" si="0"/>
        <v>175000</v>
      </c>
      <c r="G30" s="16"/>
      <c r="H30" s="19"/>
    </row>
    <row r="31" spans="1:8" ht="18" x14ac:dyDescent="0.25">
      <c r="A31" s="11" t="s">
        <v>32</v>
      </c>
      <c r="B31" s="12" t="str">
        <f>VLOOKUP(A31,[5]LISTADHERENT!A$5:H$60,3,0)</f>
        <v>SIMO FONGANG ERIC</v>
      </c>
      <c r="C31" s="13"/>
      <c r="D31" s="14"/>
      <c r="E31" s="15"/>
      <c r="F31" s="16">
        <f t="shared" si="0"/>
        <v>0</v>
      </c>
      <c r="G31" s="16"/>
      <c r="H31" s="19"/>
    </row>
    <row r="32" spans="1:8" ht="18" x14ac:dyDescent="0.25">
      <c r="A32" s="11" t="s">
        <v>33</v>
      </c>
      <c r="B32" s="12" t="str">
        <f>VLOOKUP(A32,[5]LISTADHERENT!A$5:H$60,3,0)</f>
        <v>SIMO PIERRE</v>
      </c>
      <c r="C32" s="13">
        <v>110000</v>
      </c>
      <c r="D32" s="14"/>
      <c r="E32" s="15"/>
      <c r="F32" s="16">
        <f t="shared" si="0"/>
        <v>110000</v>
      </c>
      <c r="G32" s="16"/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13">
        <v>105000</v>
      </c>
      <c r="D33" s="14"/>
      <c r="E33" s="15"/>
      <c r="F33" s="16">
        <f t="shared" si="0"/>
        <v>105000</v>
      </c>
      <c r="G33" s="16"/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/>
      <c r="D34" s="14"/>
      <c r="E34" s="15"/>
      <c r="F34" s="16">
        <f t="shared" si="0"/>
        <v>0</v>
      </c>
      <c r="G34" s="16"/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>
        <v>30000</v>
      </c>
      <c r="D35" s="14"/>
      <c r="E35" s="15"/>
      <c r="F35" s="16">
        <f t="shared" si="0"/>
        <v>30000</v>
      </c>
      <c r="G35" s="16"/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13">
        <v>280000</v>
      </c>
      <c r="D36" s="14"/>
      <c r="E36" s="15"/>
      <c r="F36" s="16">
        <f t="shared" si="0"/>
        <v>280000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4401000</v>
      </c>
      <c r="D38" s="22">
        <f>SUM(D7:D37)</f>
        <v>409000</v>
      </c>
      <c r="E38" s="22">
        <f>SUM(E7:E37)</f>
        <v>1428000</v>
      </c>
      <c r="F38" s="22">
        <f t="shared" ref="F38:H38" si="1">SUM(F7:F37)</f>
        <v>6238000</v>
      </c>
      <c r="G38" s="22">
        <f t="shared" si="1"/>
        <v>0</v>
      </c>
      <c r="H38" s="23">
        <f t="shared" si="1"/>
        <v>0</v>
      </c>
    </row>
    <row r="39" spans="1:8" ht="15.75" thickTop="1" x14ac:dyDescent="0.25"/>
    <row r="40" spans="1:8" x14ac:dyDescent="0.25">
      <c r="G40" s="25"/>
    </row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0"/>
  <sheetViews>
    <sheetView zoomScale="106" zoomScaleNormal="106" workbookViewId="0">
      <pane xSplit="3" ySplit="5" topLeftCell="D24" activePane="bottomRight" state="frozen"/>
      <selection pane="topRight" activeCell="E1" sqref="E1"/>
      <selection pane="bottomLeft" activeCell="A6" sqref="A6"/>
      <selection pane="bottomRight" activeCell="D29" sqref="D29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x14ac:dyDescent="0.25">
      <c r="A1" s="1" t="s">
        <v>2</v>
      </c>
      <c r="B1" s="1" t="s">
        <v>3</v>
      </c>
    </row>
    <row r="2" spans="1:8" x14ac:dyDescent="0.25">
      <c r="A2" s="1" t="s">
        <v>4</v>
      </c>
      <c r="B2" s="1">
        <v>2022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1" t="s">
        <v>66</v>
      </c>
      <c r="C4" s="29"/>
      <c r="D4" s="29"/>
      <c r="E4" s="29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8" ht="18" x14ac:dyDescent="0.25">
      <c r="A6" s="11" t="s">
        <v>68</v>
      </c>
      <c r="B6" s="12" t="str">
        <f>VLOOKUP(A6,[5]LISTADHERENT!A$5:H$60,3,0)</f>
        <v>ASELBY</v>
      </c>
      <c r="C6" s="13">
        <v>100000</v>
      </c>
      <c r="D6" s="14"/>
      <c r="E6" s="15"/>
      <c r="F6" s="16">
        <f>SUM(C6:E6)</f>
        <v>100000</v>
      </c>
      <c r="G6" s="16"/>
      <c r="H6" s="19"/>
    </row>
    <row r="7" spans="1:8" ht="18" x14ac:dyDescent="0.25">
      <c r="A7" s="11" t="s">
        <v>8</v>
      </c>
      <c r="B7" s="12" t="str">
        <f>VLOOKUP(A7,[5]LISTADHERENT!A$5:H$60,3,0)</f>
        <v>BOUTCHOUANG WILLIAM</v>
      </c>
      <c r="C7" s="13">
        <v>105000</v>
      </c>
      <c r="D7" s="14"/>
      <c r="E7" s="15"/>
      <c r="F7" s="16">
        <f>SUM(C7:E7)</f>
        <v>105000</v>
      </c>
      <c r="G7" s="16">
        <v>250000</v>
      </c>
      <c r="H7" s="19"/>
    </row>
    <row r="8" spans="1:8" ht="18" x14ac:dyDescent="0.25">
      <c r="A8" s="11" t="s">
        <v>9</v>
      </c>
      <c r="B8" s="12" t="str">
        <f>VLOOKUP(A8,[5]LISTADHERENT!A$5:H$60,3,0)</f>
        <v xml:space="preserve">DJOMO JEAN PAUL </v>
      </c>
      <c r="C8" s="13">
        <v>250000</v>
      </c>
      <c r="D8" s="14"/>
      <c r="E8" s="15"/>
      <c r="F8" s="16">
        <f t="shared" ref="F8:F36" si="0">SUM(C8:E8)</f>
        <v>250000</v>
      </c>
      <c r="G8" s="16">
        <v>30000</v>
      </c>
      <c r="H8" s="19"/>
    </row>
    <row r="9" spans="1:8" ht="18" x14ac:dyDescent="0.25">
      <c r="A9" s="11" t="s">
        <v>10</v>
      </c>
      <c r="B9" s="12" t="str">
        <f>VLOOKUP(A9,[5]LISTADHERENT!A$5:H$60,3,0)</f>
        <v>DJOMOU TCHANDA</v>
      </c>
      <c r="C9" s="13">
        <v>30000</v>
      </c>
      <c r="D9" s="14"/>
      <c r="E9" s="15"/>
      <c r="F9" s="16">
        <f t="shared" si="0"/>
        <v>30000</v>
      </c>
      <c r="G9" s="16">
        <v>30000</v>
      </c>
      <c r="H9" s="19"/>
    </row>
    <row r="10" spans="1:8" ht="18" x14ac:dyDescent="0.25">
      <c r="A10" s="11" t="s">
        <v>11</v>
      </c>
      <c r="B10" s="12" t="str">
        <f>VLOOKUP(A10,[5]LISTADHERENT!A$5:H$60,3,0)</f>
        <v>DJOUKWE NANGUEN GUY BLAISE</v>
      </c>
      <c r="C10" s="13">
        <v>30000</v>
      </c>
      <c r="D10" s="14"/>
      <c r="E10" s="15"/>
      <c r="F10" s="16">
        <f t="shared" si="0"/>
        <v>30000</v>
      </c>
      <c r="G10" s="16">
        <v>330000</v>
      </c>
      <c r="H10" s="19"/>
    </row>
    <row r="11" spans="1:8" ht="18" x14ac:dyDescent="0.25">
      <c r="A11" s="11" t="s">
        <v>12</v>
      </c>
      <c r="B11" s="12" t="str">
        <f>VLOOKUP(A11,[5]LISTADHERENT!A$5:H$60,3,0)</f>
        <v>DJUOMBESSY ANTOINE</v>
      </c>
      <c r="C11" s="13">
        <v>205000</v>
      </c>
      <c r="D11" s="14"/>
      <c r="E11" s="15"/>
      <c r="F11" s="16">
        <f t="shared" si="0"/>
        <v>205000</v>
      </c>
      <c r="G11" s="16">
        <v>105000</v>
      </c>
      <c r="H11" s="19"/>
    </row>
    <row r="12" spans="1:8" ht="18" x14ac:dyDescent="0.25">
      <c r="A12" s="11" t="s">
        <v>13</v>
      </c>
      <c r="B12" s="12" t="str">
        <f>VLOOKUP(A12,[5]LISTADHERENT!A$5:H$60,3,0)</f>
        <v>DOMOU FABIEN</v>
      </c>
      <c r="C12" s="13">
        <v>35000</v>
      </c>
      <c r="D12" s="14"/>
      <c r="E12" s="15"/>
      <c r="F12" s="16">
        <f t="shared" si="0"/>
        <v>35000</v>
      </c>
      <c r="G12" s="16">
        <v>120000</v>
      </c>
      <c r="H12" s="19"/>
    </row>
    <row r="13" spans="1:8" ht="18" x14ac:dyDescent="0.25">
      <c r="A13" s="11" t="s">
        <v>14</v>
      </c>
      <c r="B13" s="12" t="str">
        <f>VLOOKUP(A13,[5]LISTADHERENT!A$5:H$60,3,0)</f>
        <v>DONHOU DAVID</v>
      </c>
      <c r="C13" s="13"/>
      <c r="D13" s="14"/>
      <c r="E13" s="15"/>
      <c r="F13" s="16">
        <f t="shared" si="0"/>
        <v>0</v>
      </c>
      <c r="G13" s="16">
        <v>105000</v>
      </c>
      <c r="H13" s="19"/>
    </row>
    <row r="14" spans="1:8" ht="18" x14ac:dyDescent="0.25">
      <c r="A14" s="11" t="s">
        <v>15</v>
      </c>
      <c r="B14" s="12" t="str">
        <f>VLOOKUP(A14,[5]LISTADHERENT!A$5:H$60,3,0)</f>
        <v>FOTSO THOMAS</v>
      </c>
      <c r="C14" s="13"/>
      <c r="D14" s="14"/>
      <c r="E14" s="15"/>
      <c r="F14" s="16">
        <f t="shared" si="0"/>
        <v>0</v>
      </c>
      <c r="G14" s="16">
        <v>35000</v>
      </c>
      <c r="H14" s="19"/>
    </row>
    <row r="15" spans="1:8" ht="18" x14ac:dyDescent="0.25">
      <c r="A15" s="11" t="s">
        <v>16</v>
      </c>
      <c r="B15" s="12" t="str">
        <f>VLOOKUP(A15,[5]LISTADHERENT!A$5:H$60,3,0)</f>
        <v>HENGUE PAUL OMER</v>
      </c>
      <c r="C15" s="13">
        <v>105000</v>
      </c>
      <c r="D15" s="14"/>
      <c r="E15" s="15"/>
      <c r="F15" s="16">
        <f t="shared" si="0"/>
        <v>105000</v>
      </c>
      <c r="G15" s="16">
        <v>205000</v>
      </c>
      <c r="H15" s="19"/>
    </row>
    <row r="16" spans="1:8" ht="18" x14ac:dyDescent="0.25">
      <c r="A16" s="11" t="s">
        <v>17</v>
      </c>
      <c r="B16" s="12" t="str">
        <f>VLOOKUP(A16,[5]LISTADHERENT!A$5:H$60,3,0)</f>
        <v>HOTCHO BENJAMIN</v>
      </c>
      <c r="C16" s="13">
        <v>150000</v>
      </c>
      <c r="D16" s="14"/>
      <c r="E16" s="15"/>
      <c r="F16" s="16">
        <f t="shared" si="0"/>
        <v>150000</v>
      </c>
      <c r="G16" s="16">
        <v>130000</v>
      </c>
      <c r="H16" s="19"/>
    </row>
    <row r="17" spans="1:8" ht="18" x14ac:dyDescent="0.25">
      <c r="A17" s="11" t="s">
        <v>18</v>
      </c>
      <c r="B17" s="12" t="str">
        <f>VLOOKUP(A17,[5]LISTADHERENT!A$5:H$60,3,0)</f>
        <v>KOUAMOU MOISE</v>
      </c>
      <c r="C17" s="13">
        <v>330000</v>
      </c>
      <c r="D17" s="14"/>
      <c r="E17" s="15"/>
      <c r="F17" s="16">
        <f t="shared" si="0"/>
        <v>330000</v>
      </c>
      <c r="G17" s="16">
        <v>205000</v>
      </c>
      <c r="H17" s="19"/>
    </row>
    <row r="18" spans="1:8" ht="18" x14ac:dyDescent="0.25">
      <c r="A18" s="11" t="s">
        <v>19</v>
      </c>
      <c r="B18" s="12" t="str">
        <f>VLOOKUP(A18,[5]LISTADHERENT!A$5:H$60,3,0)</f>
        <v>KOUATCHO MESSACK</v>
      </c>
      <c r="C18" s="13">
        <f>205000+170000</f>
        <v>375000</v>
      </c>
      <c r="D18" s="14"/>
      <c r="E18" s="15"/>
      <c r="F18" s="16">
        <f t="shared" si="0"/>
        <v>375000</v>
      </c>
      <c r="G18" s="16">
        <v>150000</v>
      </c>
      <c r="H18" s="19"/>
    </row>
    <row r="19" spans="1:8" ht="18" x14ac:dyDescent="0.25">
      <c r="A19" s="11" t="s">
        <v>20</v>
      </c>
      <c r="B19" s="12" t="str">
        <f>VLOOKUP(A19,[5]LISTADHERENT!A$5:H$60,3,0)</f>
        <v>LOWE JEAN</v>
      </c>
      <c r="C19" s="13"/>
      <c r="D19" s="14"/>
      <c r="E19" s="15"/>
      <c r="F19" s="16">
        <f t="shared" si="0"/>
        <v>0</v>
      </c>
      <c r="G19" s="16">
        <v>105000</v>
      </c>
      <c r="H19" s="19"/>
    </row>
    <row r="20" spans="1:8" ht="18" x14ac:dyDescent="0.25">
      <c r="A20" s="11" t="s">
        <v>21</v>
      </c>
      <c r="B20" s="12" t="str">
        <f>VLOOKUP(A20,[5]LISTADHERENT!A$5:H$60,3,0)</f>
        <v>MBOGNING TUGMA GUY</v>
      </c>
      <c r="C20" s="13">
        <f>385000+70000</f>
        <v>455000</v>
      </c>
      <c r="D20" s="14"/>
      <c r="E20" s="15"/>
      <c r="F20" s="16">
        <f t="shared" si="0"/>
        <v>455000</v>
      </c>
      <c r="G20" s="16">
        <v>280000</v>
      </c>
      <c r="H20" s="19"/>
    </row>
    <row r="21" spans="1:8" ht="18" x14ac:dyDescent="0.25">
      <c r="A21" s="11" t="s">
        <v>22</v>
      </c>
      <c r="B21" s="12" t="str">
        <f>VLOOKUP(A21,[5]LISTADHERENT!A$5:H$60,3,0)</f>
        <v>NANGUEN MARTIN</v>
      </c>
      <c r="C21" s="13">
        <v>30000</v>
      </c>
      <c r="D21" s="14"/>
      <c r="E21" s="15"/>
      <c r="F21" s="16">
        <f t="shared" si="0"/>
        <v>30000</v>
      </c>
      <c r="G21" s="16">
        <v>105000</v>
      </c>
      <c r="H21" s="19"/>
    </row>
    <row r="22" spans="1:8" ht="18" x14ac:dyDescent="0.25">
      <c r="A22" s="11" t="s">
        <v>23</v>
      </c>
      <c r="B22" s="12" t="str">
        <f>VLOOKUP(A22,[5]LISTADHERENT!A$5:H$60,3,0)</f>
        <v>NANKAM APPOLINAIRE</v>
      </c>
      <c r="C22" s="13">
        <v>105000</v>
      </c>
      <c r="D22" s="14"/>
      <c r="E22" s="15"/>
      <c r="F22" s="16">
        <f t="shared" si="0"/>
        <v>105000</v>
      </c>
      <c r="G22" s="16">
        <v>105000</v>
      </c>
      <c r="H22" s="19"/>
    </row>
    <row r="23" spans="1:8" ht="18" x14ac:dyDescent="0.25">
      <c r="A23" s="11" t="s">
        <v>24</v>
      </c>
      <c r="B23" s="12" t="str">
        <f>VLOOKUP(A23,[5]LISTADHERENT!A$5:H$60,3,0)</f>
        <v>NDJOMO ETIENNE</v>
      </c>
      <c r="C23" s="13">
        <v>150000</v>
      </c>
      <c r="D23" s="14"/>
      <c r="E23" s="15"/>
      <c r="F23" s="16">
        <f t="shared" si="0"/>
        <v>150000</v>
      </c>
      <c r="G23" s="16">
        <v>30000</v>
      </c>
      <c r="H23" s="19"/>
    </row>
    <row r="24" spans="1:8" ht="18" x14ac:dyDescent="0.25">
      <c r="A24" s="11" t="s">
        <v>25</v>
      </c>
      <c r="B24" s="12" t="str">
        <f>VLOOKUP(A24,[5]LISTADHERENT!A$5:H$60,3,0)</f>
        <v>NGONDIEP CLAUDE</v>
      </c>
      <c r="C24" s="13">
        <f>205000+66500</f>
        <v>271500</v>
      </c>
      <c r="D24" s="14"/>
      <c r="E24" s="15"/>
      <c r="F24" s="16">
        <f t="shared" si="0"/>
        <v>271500</v>
      </c>
      <c r="G24" s="16">
        <v>400000</v>
      </c>
      <c r="H24" s="19"/>
    </row>
    <row r="25" spans="1:8" ht="18" x14ac:dyDescent="0.25">
      <c r="A25" s="11" t="s">
        <v>26</v>
      </c>
      <c r="B25" s="12" t="str">
        <f>VLOOKUP(A25,[5]LISTADHERENT!A$5:H$60,3,0)</f>
        <v>NGUIEMEGNI MATHIEU BLAISE</v>
      </c>
      <c r="C25" s="13">
        <v>400000</v>
      </c>
      <c r="D25" s="14"/>
      <c r="E25" s="15"/>
      <c r="F25" s="16">
        <f t="shared" si="0"/>
        <v>400000</v>
      </c>
      <c r="G25" s="16">
        <v>385000</v>
      </c>
      <c r="H25" s="19"/>
    </row>
    <row r="26" spans="1:8" ht="18" x14ac:dyDescent="0.25">
      <c r="A26" s="11" t="s">
        <v>27</v>
      </c>
      <c r="B26" s="12" t="str">
        <f>VLOOKUP(A26,[5]LISTADHERENT!A$5:H$60,3,0)</f>
        <v>NKAMGANG JUSTIN DEJOLIE</v>
      </c>
      <c r="C26" s="13">
        <v>206000</v>
      </c>
      <c r="D26" s="14"/>
      <c r="E26" s="15"/>
      <c r="F26" s="16">
        <f t="shared" si="0"/>
        <v>206000</v>
      </c>
      <c r="G26" s="16">
        <v>150000</v>
      </c>
      <c r="H26" s="19"/>
    </row>
    <row r="27" spans="1:8" ht="18" x14ac:dyDescent="0.25">
      <c r="A27" s="11" t="s">
        <v>28</v>
      </c>
      <c r="B27" s="12" t="str">
        <f>VLOOKUP(A27,[5]LISTADHERENT!A$5:H$60,3,0)</f>
        <v>NKEHE DAVID</v>
      </c>
      <c r="C27" s="13"/>
      <c r="D27" s="14"/>
      <c r="E27" s="15"/>
      <c r="F27" s="16">
        <f t="shared" si="0"/>
        <v>0</v>
      </c>
      <c r="G27" s="16">
        <v>205000</v>
      </c>
      <c r="H27" s="19"/>
    </row>
    <row r="28" spans="1:8" ht="18" x14ac:dyDescent="0.25">
      <c r="A28" s="11" t="s">
        <v>29</v>
      </c>
      <c r="B28" s="12" t="str">
        <f>VLOOKUP(A28,[5]LISTADHERENT!A$5:H$60,3,0)</f>
        <v>NKEPSEU DIEUDONNE</v>
      </c>
      <c r="C28" s="13">
        <v>130000</v>
      </c>
      <c r="D28" s="14"/>
      <c r="E28" s="15"/>
      <c r="F28" s="16">
        <f t="shared" si="0"/>
        <v>130000</v>
      </c>
      <c r="G28" s="16">
        <v>206000</v>
      </c>
      <c r="H28" s="19"/>
    </row>
    <row r="29" spans="1:8" ht="18" x14ac:dyDescent="0.25">
      <c r="A29" s="11" t="s">
        <v>30</v>
      </c>
      <c r="B29" s="12" t="str">
        <f>VLOOKUP(A29,[5]LISTADHERENT!A$5:H$60,3,0)</f>
        <v>PATEGO NJOSSU GUSTAVE</v>
      </c>
      <c r="C29" s="13">
        <v>105000</v>
      </c>
      <c r="D29" s="14"/>
      <c r="E29" s="15">
        <v>70000</v>
      </c>
      <c r="F29" s="16">
        <f t="shared" si="0"/>
        <v>175000</v>
      </c>
      <c r="G29" s="16">
        <v>30000</v>
      </c>
      <c r="H29" s="19"/>
    </row>
    <row r="30" spans="1:8" ht="18" x14ac:dyDescent="0.25">
      <c r="A30" s="11" t="s">
        <v>31</v>
      </c>
      <c r="B30" s="12" t="str">
        <f>VLOOKUP(A30,[5]LISTADHERENT!A$5:H$60,3,0)</f>
        <v>SIME BRICE</v>
      </c>
      <c r="C30" s="13">
        <v>105000</v>
      </c>
      <c r="D30" s="14"/>
      <c r="E30" s="15"/>
      <c r="F30" s="16">
        <f t="shared" si="0"/>
        <v>105000</v>
      </c>
      <c r="G30" s="16"/>
      <c r="H30" s="19"/>
    </row>
    <row r="31" spans="1:8" ht="18" x14ac:dyDescent="0.25">
      <c r="A31" s="11" t="s">
        <v>32</v>
      </c>
      <c r="B31" s="12" t="str">
        <f>VLOOKUP(A31,[5]LISTADHERENT!A$5:H$60,3,0)</f>
        <v>SIMO FONGANG ERIC</v>
      </c>
      <c r="C31" s="13"/>
      <c r="D31" s="14"/>
      <c r="E31" s="15"/>
      <c r="F31" s="16">
        <f t="shared" si="0"/>
        <v>0</v>
      </c>
      <c r="G31" s="16"/>
      <c r="H31" s="19"/>
    </row>
    <row r="32" spans="1:8" ht="18" x14ac:dyDescent="0.25">
      <c r="A32" s="11" t="s">
        <v>33</v>
      </c>
      <c r="B32" s="12" t="str">
        <f>VLOOKUP(A32,[5]LISTADHERENT!A$5:H$60,3,0)</f>
        <v>SIMO PIERRE</v>
      </c>
      <c r="C32" s="13">
        <v>120000</v>
      </c>
      <c r="D32" s="14"/>
      <c r="E32" s="15"/>
      <c r="F32" s="16">
        <f t="shared" si="0"/>
        <v>120000</v>
      </c>
      <c r="G32" s="16"/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13">
        <v>105000</v>
      </c>
      <c r="D33" s="14"/>
      <c r="E33" s="15"/>
      <c r="F33" s="16">
        <f t="shared" si="0"/>
        <v>105000</v>
      </c>
      <c r="G33" s="16"/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/>
      <c r="D34" s="14"/>
      <c r="E34" s="15"/>
      <c r="F34" s="16">
        <f t="shared" si="0"/>
        <v>0</v>
      </c>
      <c r="G34" s="16"/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>
        <v>30000</v>
      </c>
      <c r="D35" s="14"/>
      <c r="E35" s="15"/>
      <c r="F35" s="16">
        <f t="shared" si="0"/>
        <v>30000</v>
      </c>
      <c r="G35" s="16"/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13">
        <v>280000</v>
      </c>
      <c r="D36" s="14"/>
      <c r="E36" s="15"/>
      <c r="F36" s="16">
        <f t="shared" si="0"/>
        <v>280000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4107500</v>
      </c>
      <c r="D38" s="22">
        <f>SUM(D7:D37)</f>
        <v>0</v>
      </c>
      <c r="E38" s="22">
        <f>SUM(E7:E37)</f>
        <v>70000</v>
      </c>
      <c r="F38" s="22">
        <f t="shared" ref="F38:H38" si="1">SUM(F7:F37)</f>
        <v>4177500</v>
      </c>
      <c r="G38" s="22">
        <f t="shared" si="1"/>
        <v>3696000</v>
      </c>
      <c r="H38" s="23">
        <f t="shared" si="1"/>
        <v>0</v>
      </c>
    </row>
    <row r="39" spans="1:8" ht="15.75" thickTop="1" x14ac:dyDescent="0.25"/>
    <row r="40" spans="1:8" x14ac:dyDescent="0.25">
      <c r="G40" s="25"/>
    </row>
  </sheetData>
  <autoFilter ref="A5:F36"/>
  <mergeCells count="1">
    <mergeCell ref="B4:E4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zoomScale="106" zoomScaleNormal="106" workbookViewId="0">
      <pane xSplit="3" ySplit="5" topLeftCell="D24" activePane="bottomRight" state="frozen"/>
      <selection pane="topRight" activeCell="E1" sqref="E1"/>
      <selection pane="bottomLeft" activeCell="A6" sqref="A6"/>
      <selection pane="bottomRight" activeCell="A23" sqref="A23:XFD2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9" x14ac:dyDescent="0.25">
      <c r="A1" s="1" t="s">
        <v>2</v>
      </c>
      <c r="B1" s="1" t="s">
        <v>3</v>
      </c>
    </row>
    <row r="2" spans="1:9" x14ac:dyDescent="0.25">
      <c r="A2" s="1" t="s">
        <v>4</v>
      </c>
      <c r="B2" s="1">
        <v>2022</v>
      </c>
    </row>
    <row r="3" spans="1:9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9" ht="29.25" thickBot="1" x14ac:dyDescent="0.5">
      <c r="B4" s="31" t="s">
        <v>66</v>
      </c>
      <c r="C4" s="29"/>
      <c r="D4" s="29"/>
      <c r="E4" s="29"/>
      <c r="F4" s="3"/>
    </row>
    <row r="5" spans="1:9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9" ht="18" x14ac:dyDescent="0.25">
      <c r="A6" s="11" t="s">
        <v>68</v>
      </c>
      <c r="B6" s="12" t="str">
        <f>VLOOKUP(A6,[5]LISTADHERENT!A$5:H$60,3,0)</f>
        <v>ASELBY</v>
      </c>
      <c r="C6" s="13">
        <v>100000</v>
      </c>
      <c r="D6" s="14"/>
      <c r="E6" s="15"/>
      <c r="F6" s="16">
        <f>SUM(C6:E6)</f>
        <v>100000</v>
      </c>
      <c r="G6" s="16"/>
      <c r="H6" s="19"/>
    </row>
    <row r="7" spans="1:9" ht="18" x14ac:dyDescent="0.25">
      <c r="A7" s="11" t="s">
        <v>8</v>
      </c>
      <c r="B7" s="12" t="str">
        <f>VLOOKUP(A7,[5]LISTADHERENT!A$5:H$60,3,0)</f>
        <v>BOUTCHOUANG WILLIAM</v>
      </c>
      <c r="C7" s="13">
        <v>105000</v>
      </c>
      <c r="D7" s="14"/>
      <c r="E7" s="15"/>
      <c r="F7" s="16">
        <f>SUM(C7:E7)</f>
        <v>105000</v>
      </c>
      <c r="G7" s="16">
        <v>105000</v>
      </c>
      <c r="H7" s="19"/>
    </row>
    <row r="8" spans="1:9" ht="18" x14ac:dyDescent="0.25">
      <c r="A8" s="11" t="s">
        <v>9</v>
      </c>
      <c r="B8" s="12" t="str">
        <f>VLOOKUP(A8,[5]LISTADHERENT!A$5:H$60,3,0)</f>
        <v xml:space="preserve">DJOMO JEAN PAUL </v>
      </c>
      <c r="C8" s="13">
        <f>165000+40000</f>
        <v>205000</v>
      </c>
      <c r="D8" s="14"/>
      <c r="E8" s="15"/>
      <c r="F8" s="16">
        <f t="shared" ref="F8:F36" si="0">SUM(C8:E8)</f>
        <v>205000</v>
      </c>
      <c r="G8" s="16">
        <v>105000</v>
      </c>
      <c r="H8" s="19"/>
    </row>
    <row r="9" spans="1:9" ht="18" x14ac:dyDescent="0.25">
      <c r="A9" s="11" t="s">
        <v>10</v>
      </c>
      <c r="B9" s="12" t="str">
        <f>VLOOKUP(A9,[5]LISTADHERENT!A$5:H$60,3,0)</f>
        <v>DJOMOU TCHANDA</v>
      </c>
      <c r="C9" s="13">
        <v>30000</v>
      </c>
      <c r="D9" s="14"/>
      <c r="E9" s="15"/>
      <c r="F9" s="16">
        <f t="shared" si="0"/>
        <v>30000</v>
      </c>
      <c r="G9" s="16">
        <v>30000</v>
      </c>
      <c r="H9" s="19"/>
    </row>
    <row r="10" spans="1:9" ht="18" x14ac:dyDescent="0.25">
      <c r="A10" s="11" t="s">
        <v>11</v>
      </c>
      <c r="B10" s="12" t="str">
        <f>VLOOKUP(A10,[5]LISTADHERENT!A$5:H$60,3,0)</f>
        <v>DJOUKWE NANGUEN GUY BLAISE</v>
      </c>
      <c r="C10" s="13">
        <f>30000+75000</f>
        <v>105000</v>
      </c>
      <c r="D10" s="14"/>
      <c r="E10" s="15"/>
      <c r="F10" s="16">
        <f t="shared" si="0"/>
        <v>105000</v>
      </c>
      <c r="G10" s="16">
        <v>30000</v>
      </c>
      <c r="H10" s="19"/>
    </row>
    <row r="11" spans="1:9" ht="18" x14ac:dyDescent="0.25">
      <c r="A11" s="11" t="s">
        <v>12</v>
      </c>
      <c r="B11" s="12" t="str">
        <f>VLOOKUP(A11,[5]LISTADHERENT!A$5:H$60,3,0)</f>
        <v>DJUOMBESSY ANTOINE</v>
      </c>
      <c r="C11" s="13">
        <v>205000</v>
      </c>
      <c r="D11" s="14"/>
      <c r="E11" s="15"/>
      <c r="F11" s="16">
        <f t="shared" si="0"/>
        <v>205000</v>
      </c>
      <c r="G11" s="16">
        <v>759000</v>
      </c>
      <c r="H11" s="19"/>
    </row>
    <row r="12" spans="1:9" ht="18" x14ac:dyDescent="0.25">
      <c r="A12" s="11" t="s">
        <v>13</v>
      </c>
      <c r="B12" s="12" t="str">
        <f>VLOOKUP(A12,[5]LISTADHERENT!A$5:H$60,3,0)</f>
        <v>DOMOU FABIEN</v>
      </c>
      <c r="C12" s="13">
        <v>35000</v>
      </c>
      <c r="D12" s="14"/>
      <c r="E12" s="15"/>
      <c r="F12" s="16">
        <f t="shared" si="0"/>
        <v>35000</v>
      </c>
      <c r="G12" s="16">
        <v>150000</v>
      </c>
      <c r="H12" s="19"/>
    </row>
    <row r="13" spans="1:9" ht="18" x14ac:dyDescent="0.25">
      <c r="A13" s="11" t="s">
        <v>14</v>
      </c>
      <c r="B13" s="12" t="str">
        <f>VLOOKUP(A13,[5]LISTADHERENT!A$5:H$60,3,0)</f>
        <v>DONHOU DAVID</v>
      </c>
      <c r="C13" s="13">
        <v>35000</v>
      </c>
      <c r="D13" s="14"/>
      <c r="E13" s="15"/>
      <c r="F13" s="16">
        <f t="shared" si="0"/>
        <v>35000</v>
      </c>
      <c r="G13" s="16">
        <v>370000</v>
      </c>
      <c r="H13" s="19"/>
    </row>
    <row r="14" spans="1:9" ht="18" x14ac:dyDescent="0.25">
      <c r="A14" s="11" t="s">
        <v>15</v>
      </c>
      <c r="B14" s="12" t="str">
        <f>VLOOKUP(A14,[5]LISTADHERENT!A$5:H$60,3,0)</f>
        <v>FOTSO THOMAS</v>
      </c>
      <c r="C14" s="13"/>
      <c r="D14" s="14"/>
      <c r="E14" s="15"/>
      <c r="F14" s="16">
        <f t="shared" si="0"/>
        <v>0</v>
      </c>
      <c r="G14" s="16">
        <v>105000</v>
      </c>
      <c r="H14" s="19"/>
    </row>
    <row r="15" spans="1:9" ht="18" x14ac:dyDescent="0.25">
      <c r="A15" s="11" t="s">
        <v>16</v>
      </c>
      <c r="B15" s="12" t="str">
        <f>VLOOKUP(A15,[5]LISTADHERENT!A$5:H$60,3,0)</f>
        <v>HENGUE PAUL OMER</v>
      </c>
      <c r="C15" s="13">
        <v>105000</v>
      </c>
      <c r="D15" s="14"/>
      <c r="E15" s="15"/>
      <c r="F15" s="16">
        <f t="shared" si="0"/>
        <v>105000</v>
      </c>
      <c r="G15" s="16">
        <v>280000</v>
      </c>
      <c r="H15" s="19"/>
    </row>
    <row r="16" spans="1:9" ht="18" x14ac:dyDescent="0.25">
      <c r="A16" s="11" t="s">
        <v>17</v>
      </c>
      <c r="B16" s="12" t="str">
        <f>VLOOKUP(A16,[5]LISTADHERENT!A$5:H$60,3,0)</f>
        <v>HOTCHO BENJAMIN</v>
      </c>
      <c r="C16" s="13">
        <v>150000</v>
      </c>
      <c r="D16" s="14"/>
      <c r="E16" s="15"/>
      <c r="F16" s="16">
        <f t="shared" si="0"/>
        <v>150000</v>
      </c>
      <c r="G16" s="16">
        <v>105000</v>
      </c>
      <c r="H16" s="19"/>
      <c r="I16">
        <v>105000</v>
      </c>
    </row>
    <row r="17" spans="1:10" ht="18" x14ac:dyDescent="0.25">
      <c r="A17" s="11" t="s">
        <v>18</v>
      </c>
      <c r="B17" s="12" t="str">
        <f>VLOOKUP(A17,[5]LISTADHERENT!A$5:H$60,3,0)</f>
        <v>KOUAMOU MOISE</v>
      </c>
      <c r="C17" s="13">
        <v>330000</v>
      </c>
      <c r="D17" s="14"/>
      <c r="E17" s="15"/>
      <c r="F17" s="16">
        <f t="shared" si="0"/>
        <v>330000</v>
      </c>
      <c r="G17" s="16">
        <v>165000</v>
      </c>
      <c r="H17" s="19"/>
      <c r="I17">
        <v>30000</v>
      </c>
    </row>
    <row r="18" spans="1:10" ht="18" x14ac:dyDescent="0.25">
      <c r="A18" s="11" t="s">
        <v>19</v>
      </c>
      <c r="B18" s="12" t="str">
        <f>VLOOKUP(A18,[5]LISTADHERENT!A$5:H$60,3,0)</f>
        <v>KOUATCHO MESSACK</v>
      </c>
      <c r="C18" s="13">
        <f>410000-1500</f>
        <v>408500</v>
      </c>
      <c r="D18" s="14"/>
      <c r="E18" s="15"/>
      <c r="F18" s="16">
        <f t="shared" si="0"/>
        <v>408500</v>
      </c>
      <c r="G18" s="16">
        <v>130000</v>
      </c>
      <c r="H18" s="19"/>
      <c r="I18">
        <v>35000</v>
      </c>
    </row>
    <row r="19" spans="1:10" ht="18" x14ac:dyDescent="0.25">
      <c r="A19" s="11" t="s">
        <v>20</v>
      </c>
      <c r="B19" s="12" t="str">
        <f>VLOOKUP(A19,[5]LISTADHERENT!A$5:H$60,3,0)</f>
        <v>LOWE JEAN</v>
      </c>
      <c r="C19" s="13">
        <v>30000</v>
      </c>
      <c r="D19" s="14"/>
      <c r="E19" s="15"/>
      <c r="F19" s="16">
        <f t="shared" si="0"/>
        <v>30000</v>
      </c>
      <c r="G19" s="16">
        <v>110000</v>
      </c>
      <c r="H19" s="19"/>
      <c r="I19">
        <v>179000</v>
      </c>
    </row>
    <row r="20" spans="1:10" ht="18" x14ac:dyDescent="0.25">
      <c r="A20" s="11" t="s">
        <v>21</v>
      </c>
      <c r="B20" s="12" t="str">
        <f>VLOOKUP(A20,[5]LISTADHERENT!A$5:H$60,3,0)</f>
        <v>MBOGNING TUGMA GUY</v>
      </c>
      <c r="C20" s="13">
        <f>455000+179000+1500</f>
        <v>635500</v>
      </c>
      <c r="D20" s="14"/>
      <c r="E20" s="15"/>
      <c r="F20" s="16">
        <f t="shared" si="0"/>
        <v>635500</v>
      </c>
      <c r="G20" s="16">
        <v>205000</v>
      </c>
      <c r="H20" s="19"/>
      <c r="I20">
        <f>SUM(I16:I19)</f>
        <v>349000</v>
      </c>
    </row>
    <row r="21" spans="1:10" ht="18" x14ac:dyDescent="0.25">
      <c r="A21" s="11" t="s">
        <v>22</v>
      </c>
      <c r="B21" s="12" t="str">
        <f>VLOOKUP(A21,[5]LISTADHERENT!A$5:H$60,3,0)</f>
        <v>NANGUEN MARTIN</v>
      </c>
      <c r="C21" s="13">
        <v>30000</v>
      </c>
      <c r="D21" s="14"/>
      <c r="E21" s="15">
        <v>70000</v>
      </c>
      <c r="F21" s="16">
        <f t="shared" si="0"/>
        <v>100000</v>
      </c>
      <c r="G21" s="16">
        <v>330000</v>
      </c>
      <c r="H21" s="19"/>
    </row>
    <row r="22" spans="1:10" ht="18" x14ac:dyDescent="0.25">
      <c r="A22" s="11" t="s">
        <v>23</v>
      </c>
      <c r="B22" s="12" t="str">
        <f>VLOOKUP(A22,[5]LISTADHERENT!A$5:H$60,3,0)</f>
        <v>NANKAM APPOLINAIRE</v>
      </c>
      <c r="C22" s="13">
        <v>105000</v>
      </c>
      <c r="D22" s="14"/>
      <c r="E22" s="15"/>
      <c r="F22" s="16">
        <f t="shared" si="0"/>
        <v>105000</v>
      </c>
      <c r="G22" s="16">
        <v>35000</v>
      </c>
      <c r="H22" s="19"/>
      <c r="I22">
        <v>759000</v>
      </c>
      <c r="J22">
        <f>I22-I20</f>
        <v>410000</v>
      </c>
    </row>
    <row r="23" spans="1:10" ht="18" x14ac:dyDescent="0.25">
      <c r="A23" s="11" t="s">
        <v>24</v>
      </c>
      <c r="B23" s="12" t="str">
        <f>VLOOKUP(A23,[5]LISTADHERENT!A$5:H$60,3,0)</f>
        <v>NDJOMO ETIENNE</v>
      </c>
      <c r="C23" s="13">
        <v>140000</v>
      </c>
      <c r="D23" s="14"/>
      <c r="E23" s="15"/>
      <c r="F23" s="16">
        <f t="shared" si="0"/>
        <v>140000</v>
      </c>
      <c r="G23" s="16">
        <v>105000</v>
      </c>
      <c r="H23" s="19"/>
    </row>
    <row r="24" spans="1:10" ht="18" x14ac:dyDescent="0.25">
      <c r="A24" s="11" t="s">
        <v>25</v>
      </c>
      <c r="B24" s="12" t="str">
        <f>VLOOKUP(A24,[5]LISTADHERENT!A$5:H$60,3,0)</f>
        <v>NGONDIEP CLAUDE</v>
      </c>
      <c r="C24" s="13">
        <v>205000</v>
      </c>
      <c r="D24" s="14">
        <v>87500</v>
      </c>
      <c r="E24" s="15"/>
      <c r="F24" s="16">
        <f t="shared" si="0"/>
        <v>292500</v>
      </c>
      <c r="G24" s="16">
        <v>455000</v>
      </c>
      <c r="H24" s="19"/>
    </row>
    <row r="25" spans="1:10" ht="18" x14ac:dyDescent="0.25">
      <c r="A25" s="11" t="s">
        <v>26</v>
      </c>
      <c r="B25" s="12" t="str">
        <f>VLOOKUP(A25,[5]LISTADHERENT!A$5:H$60,3,0)</f>
        <v>NGUIEMEGNI MATHIEU BLAISE</v>
      </c>
      <c r="C25" s="13">
        <f>370000+120000</f>
        <v>490000</v>
      </c>
      <c r="D25" s="14"/>
      <c r="E25" s="15"/>
      <c r="F25" s="16">
        <f t="shared" si="0"/>
        <v>490000</v>
      </c>
      <c r="G25" s="16">
        <v>140000</v>
      </c>
      <c r="H25" s="19"/>
    </row>
    <row r="26" spans="1:10" ht="18" x14ac:dyDescent="0.25">
      <c r="A26" s="11" t="s">
        <v>27</v>
      </c>
      <c r="B26" s="12" t="str">
        <f>VLOOKUP(A26,[5]LISTADHERENT!A$5:H$60,3,0)</f>
        <v>NKAMGANG JUSTIN DEJOLIE</v>
      </c>
      <c r="C26" s="13">
        <f>105000+202000</f>
        <v>307000</v>
      </c>
      <c r="D26" s="14"/>
      <c r="E26" s="15"/>
      <c r="F26" s="16">
        <f t="shared" si="0"/>
        <v>307000</v>
      </c>
      <c r="G26" s="16">
        <v>105000</v>
      </c>
      <c r="H26" s="19"/>
    </row>
    <row r="27" spans="1:10" ht="18" x14ac:dyDescent="0.25">
      <c r="A27" s="11" t="s">
        <v>28</v>
      </c>
      <c r="B27" s="12" t="str">
        <f>VLOOKUP(A27,[5]LISTADHERENT!A$5:H$60,3,0)</f>
        <v>NKEHE DAVID</v>
      </c>
      <c r="C27" s="13"/>
      <c r="D27" s="14"/>
      <c r="E27" s="15"/>
      <c r="F27" s="16">
        <f t="shared" si="0"/>
        <v>0</v>
      </c>
      <c r="G27" s="16"/>
      <c r="H27" s="19"/>
    </row>
    <row r="28" spans="1:10" ht="18" x14ac:dyDescent="0.25">
      <c r="A28" s="11" t="s">
        <v>29</v>
      </c>
      <c r="B28" s="12" t="str">
        <f>VLOOKUP(A28,[5]LISTADHERENT!A$5:H$60,3,0)</f>
        <v>NKEPSEU DIEUDONNE</v>
      </c>
      <c r="C28" s="13">
        <v>130000</v>
      </c>
      <c r="D28" s="14"/>
      <c r="E28" s="15"/>
      <c r="F28" s="16">
        <f t="shared" si="0"/>
        <v>130000</v>
      </c>
      <c r="G28" s="16"/>
      <c r="H28" s="19"/>
    </row>
    <row r="29" spans="1:10" ht="18" x14ac:dyDescent="0.25">
      <c r="A29" s="11" t="s">
        <v>30</v>
      </c>
      <c r="B29" s="12" t="str">
        <f>VLOOKUP(A29,[5]LISTADHERENT!A$5:H$60,3,0)</f>
        <v>PATEGO NJOSSU GUSTAVE</v>
      </c>
      <c r="C29" s="13">
        <v>105000</v>
      </c>
      <c r="D29" s="14"/>
      <c r="E29" s="15"/>
      <c r="F29" s="16">
        <f t="shared" si="0"/>
        <v>105000</v>
      </c>
      <c r="G29" s="16"/>
      <c r="H29" s="19"/>
    </row>
    <row r="30" spans="1:10" ht="18" x14ac:dyDescent="0.25">
      <c r="A30" s="11" t="s">
        <v>31</v>
      </c>
      <c r="B30" s="12" t="str">
        <f>VLOOKUP(A30,[5]LISTADHERENT!A$5:H$60,3,0)</f>
        <v>SIME BRICE</v>
      </c>
      <c r="C30" s="13">
        <v>105000</v>
      </c>
      <c r="D30" s="14"/>
      <c r="E30" s="15"/>
      <c r="F30" s="16">
        <f t="shared" si="0"/>
        <v>105000</v>
      </c>
      <c r="G30" s="16"/>
      <c r="H30" s="19"/>
    </row>
    <row r="31" spans="1:10" ht="18" x14ac:dyDescent="0.25">
      <c r="A31" s="11" t="s">
        <v>32</v>
      </c>
      <c r="B31" s="12" t="str">
        <f>VLOOKUP(A31,[5]LISTADHERENT!A$5:H$60,3,0)</f>
        <v>SIMO FONGANG ERIC</v>
      </c>
      <c r="C31" s="13"/>
      <c r="D31" s="14"/>
      <c r="E31" s="15"/>
      <c r="F31" s="16">
        <f t="shared" si="0"/>
        <v>0</v>
      </c>
      <c r="G31" s="16"/>
      <c r="H31" s="19"/>
    </row>
    <row r="32" spans="1:10" ht="18" x14ac:dyDescent="0.25">
      <c r="A32" s="11" t="s">
        <v>33</v>
      </c>
      <c r="B32" s="12" t="str">
        <f>VLOOKUP(A32,[5]LISTADHERENT!A$5:H$60,3,0)</f>
        <v>SIMO PIERRE</v>
      </c>
      <c r="C32" s="13">
        <v>110000</v>
      </c>
      <c r="D32" s="14"/>
      <c r="E32" s="15"/>
      <c r="F32" s="16">
        <f t="shared" si="0"/>
        <v>110000</v>
      </c>
      <c r="G32" s="16"/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13">
        <v>30000</v>
      </c>
      <c r="D33" s="14"/>
      <c r="E33" s="15"/>
      <c r="F33" s="16">
        <f t="shared" si="0"/>
        <v>30000</v>
      </c>
      <c r="G33" s="16"/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/>
      <c r="D34" s="14"/>
      <c r="E34" s="15"/>
      <c r="F34" s="16">
        <f t="shared" si="0"/>
        <v>0</v>
      </c>
      <c r="G34" s="16"/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/>
      <c r="D35" s="14">
        <v>33000</v>
      </c>
      <c r="E35" s="15"/>
      <c r="F35" s="16">
        <f t="shared" si="0"/>
        <v>33000</v>
      </c>
      <c r="G35" s="16"/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13">
        <v>280000</v>
      </c>
      <c r="D36" s="14"/>
      <c r="E36" s="15"/>
      <c r="F36" s="16">
        <f t="shared" si="0"/>
        <v>280000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4416000</v>
      </c>
      <c r="D38" s="22">
        <f>SUM(D7:D37)</f>
        <v>120500</v>
      </c>
      <c r="E38" s="22">
        <f>SUM(E7:E37)</f>
        <v>70000</v>
      </c>
      <c r="F38" s="22">
        <f t="shared" ref="F38:H38" si="1">SUM(F7:F37)</f>
        <v>4606500</v>
      </c>
      <c r="G38" s="22">
        <f t="shared" si="1"/>
        <v>3819000</v>
      </c>
      <c r="H38" s="23">
        <f t="shared" si="1"/>
        <v>0</v>
      </c>
    </row>
    <row r="39" spans="1:8" ht="15.75" thickTop="1" x14ac:dyDescent="0.25"/>
    <row r="40" spans="1:8" x14ac:dyDescent="0.25">
      <c r="G40" s="25">
        <f>C38-G38</f>
        <v>597000</v>
      </c>
    </row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zoomScale="106" zoomScaleNormal="106" workbookViewId="0">
      <pane xSplit="3" ySplit="5" topLeftCell="D30" activePane="bottomRight" state="frozen"/>
      <selection pane="topRight" activeCell="E1" sqref="E1"/>
      <selection pane="bottomLeft" activeCell="A6" sqref="A6"/>
      <selection pane="bottomRight" activeCell="C35" sqref="C35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x14ac:dyDescent="0.25">
      <c r="A1" s="1" t="s">
        <v>2</v>
      </c>
      <c r="B1" s="1" t="s">
        <v>3</v>
      </c>
    </row>
    <row r="2" spans="1:8" x14ac:dyDescent="0.25">
      <c r="A2" s="1" t="s">
        <v>4</v>
      </c>
      <c r="B2" s="1">
        <v>2022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1" t="s">
        <v>66</v>
      </c>
      <c r="C4" s="29"/>
      <c r="D4" s="29"/>
      <c r="E4" s="29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8" ht="18" x14ac:dyDescent="0.25">
      <c r="A6" s="11" t="s">
        <v>68</v>
      </c>
      <c r="B6" s="12" t="str">
        <f>VLOOKUP(A6,[5]LISTADHERENT!A$5:H$60,3,0)</f>
        <v>ASELBY</v>
      </c>
      <c r="C6" s="26">
        <v>100000</v>
      </c>
      <c r="D6" s="14"/>
      <c r="E6" s="15"/>
      <c r="F6" s="16">
        <f>SUM(C6:E6)</f>
        <v>100000</v>
      </c>
      <c r="G6" s="16"/>
      <c r="H6" s="19"/>
    </row>
    <row r="7" spans="1:8" ht="18" x14ac:dyDescent="0.25">
      <c r="A7" s="11" t="s">
        <v>8</v>
      </c>
      <c r="B7" s="12" t="str">
        <f>VLOOKUP(A7,[5]LISTADHERENT!A$5:H$60,3,0)</f>
        <v>BOUTCHOUANG WILLIAM</v>
      </c>
      <c r="C7" s="27">
        <v>105000</v>
      </c>
      <c r="D7" s="14"/>
      <c r="E7" s="15"/>
      <c r="F7" s="16">
        <f>SUM(C7:E7)</f>
        <v>105000</v>
      </c>
      <c r="G7" s="16"/>
      <c r="H7" s="19"/>
    </row>
    <row r="8" spans="1:8" ht="18" x14ac:dyDescent="0.25">
      <c r="A8" s="11" t="s">
        <v>9</v>
      </c>
      <c r="B8" s="12" t="str">
        <f>VLOOKUP(A8,[5]LISTADHERENT!A$5:H$60,3,0)</f>
        <v xml:space="preserve">DJOMO JEAN PAUL </v>
      </c>
      <c r="C8" s="27">
        <f>880000+130000+95000</f>
        <v>1105000</v>
      </c>
      <c r="D8" s="14"/>
      <c r="E8" s="15"/>
      <c r="F8" s="16">
        <f t="shared" ref="F8:F36" si="0">SUM(C8:E8)</f>
        <v>1105000</v>
      </c>
      <c r="G8" s="16"/>
      <c r="H8" s="19"/>
    </row>
    <row r="9" spans="1:8" ht="18" x14ac:dyDescent="0.25">
      <c r="A9" s="11" t="s">
        <v>10</v>
      </c>
      <c r="B9" s="12" t="str">
        <f>VLOOKUP(A9,[5]LISTADHERENT!A$5:H$60,3,0)</f>
        <v>DJOMOU TCHANDA</v>
      </c>
      <c r="C9" s="27">
        <v>30000</v>
      </c>
      <c r="D9" s="14"/>
      <c r="E9" s="15"/>
      <c r="F9" s="16">
        <f t="shared" si="0"/>
        <v>30000</v>
      </c>
      <c r="G9" s="16"/>
      <c r="H9" s="19"/>
    </row>
    <row r="10" spans="1:8" ht="18" x14ac:dyDescent="0.25">
      <c r="A10" s="11" t="s">
        <v>11</v>
      </c>
      <c r="B10" s="12" t="str">
        <f>VLOOKUP(A10,[5]LISTADHERENT!A$5:H$60,3,0)</f>
        <v>DJOUKWE NANGUEN GUY BLAISE</v>
      </c>
      <c r="C10" s="27">
        <f>930000+75000+100000</f>
        <v>1105000</v>
      </c>
      <c r="D10" s="14"/>
      <c r="E10" s="15"/>
      <c r="F10" s="16">
        <f t="shared" si="0"/>
        <v>1105000</v>
      </c>
      <c r="G10" s="16"/>
      <c r="H10" s="19"/>
    </row>
    <row r="11" spans="1:8" ht="18" x14ac:dyDescent="0.25">
      <c r="A11" s="11" t="s">
        <v>12</v>
      </c>
      <c r="B11" s="12" t="str">
        <f>VLOOKUP(A11,[5]LISTADHERENT!A$5:H$60,3,0)</f>
        <v>DJUOMBESSY ANTOINE</v>
      </c>
      <c r="C11" s="27">
        <v>215000</v>
      </c>
      <c r="D11" s="14"/>
      <c r="E11" s="15"/>
      <c r="F11" s="16">
        <f t="shared" si="0"/>
        <v>215000</v>
      </c>
      <c r="G11" s="16"/>
      <c r="H11" s="19"/>
    </row>
    <row r="12" spans="1:8" ht="18" x14ac:dyDescent="0.25">
      <c r="A12" s="11" t="s">
        <v>13</v>
      </c>
      <c r="B12" s="12" t="str">
        <f>VLOOKUP(A12,[5]LISTADHERENT!A$5:H$60,3,0)</f>
        <v>DOMOU FABIEN</v>
      </c>
      <c r="C12" s="27">
        <v>1035000</v>
      </c>
      <c r="D12" s="14"/>
      <c r="E12" s="15"/>
      <c r="F12" s="16">
        <f t="shared" si="0"/>
        <v>1035000</v>
      </c>
      <c r="G12" s="16"/>
      <c r="H12" s="19"/>
    </row>
    <row r="13" spans="1:8" ht="18" x14ac:dyDescent="0.25">
      <c r="A13" s="11" t="s">
        <v>14</v>
      </c>
      <c r="B13" s="12" t="str">
        <f>VLOOKUP(A13,[5]LISTADHERENT!A$5:H$60,3,0)</f>
        <v>DONHOU DAVID</v>
      </c>
      <c r="C13" s="27">
        <v>35000</v>
      </c>
      <c r="D13" s="14"/>
      <c r="E13" s="15"/>
      <c r="F13" s="16">
        <f t="shared" si="0"/>
        <v>35000</v>
      </c>
      <c r="G13" s="16"/>
      <c r="H13" s="19"/>
    </row>
    <row r="14" spans="1:8" ht="18" x14ac:dyDescent="0.25">
      <c r="A14" s="11" t="s">
        <v>15</v>
      </c>
      <c r="B14" s="12" t="str">
        <f>VLOOKUP(A14,[5]LISTADHERENT!A$5:H$60,3,0)</f>
        <v>FOTSO THOMAS</v>
      </c>
      <c r="C14" s="13"/>
      <c r="D14" s="14"/>
      <c r="E14" s="15"/>
      <c r="F14" s="16">
        <f t="shared" si="0"/>
        <v>0</v>
      </c>
      <c r="G14" s="16"/>
      <c r="H14" s="19"/>
    </row>
    <row r="15" spans="1:8" ht="18" x14ac:dyDescent="0.25">
      <c r="A15" s="11" t="s">
        <v>16</v>
      </c>
      <c r="B15" s="12" t="str">
        <f>VLOOKUP(A15,[5]LISTADHERENT!A$5:H$60,3,0)</f>
        <v>HENGUE PAUL OMER</v>
      </c>
      <c r="C15" s="27">
        <v>105000</v>
      </c>
      <c r="D15" s="14"/>
      <c r="E15" s="15"/>
      <c r="F15" s="16">
        <f t="shared" si="0"/>
        <v>105000</v>
      </c>
      <c r="G15" s="16"/>
      <c r="H15" s="19"/>
    </row>
    <row r="16" spans="1:8" ht="18" x14ac:dyDescent="0.25">
      <c r="A16" s="11" t="s">
        <v>17</v>
      </c>
      <c r="B16" s="12" t="str">
        <f>VLOOKUP(A16,[5]LISTADHERENT!A$5:H$60,3,0)</f>
        <v>HOTCHO BENJAMIN</v>
      </c>
      <c r="C16" s="27">
        <v>1150000</v>
      </c>
      <c r="D16" s="14"/>
      <c r="E16" s="15"/>
      <c r="F16" s="16">
        <f t="shared" si="0"/>
        <v>1150000</v>
      </c>
      <c r="G16" s="16"/>
      <c r="H16" s="19"/>
    </row>
    <row r="17" spans="1:8" ht="18" x14ac:dyDescent="0.25">
      <c r="A17" s="11" t="s">
        <v>18</v>
      </c>
      <c r="B17" s="12" t="str">
        <f>VLOOKUP(A17,[5]LISTADHERENT!A$5:H$60,3,0)</f>
        <v>KOUAMOU MOISE</v>
      </c>
      <c r="C17" s="27">
        <v>1030000</v>
      </c>
      <c r="D17" s="14"/>
      <c r="E17" s="15"/>
      <c r="F17" s="16">
        <f t="shared" si="0"/>
        <v>1030000</v>
      </c>
      <c r="G17" s="16"/>
      <c r="H17" s="19"/>
    </row>
    <row r="18" spans="1:8" ht="18" x14ac:dyDescent="0.25">
      <c r="A18" s="11" t="s">
        <v>19</v>
      </c>
      <c r="B18" s="12" t="str">
        <f>VLOOKUP(A18,[5]LISTADHERENT!A$5:H$60,3,0)</f>
        <v>KOUATCHO MESSACK</v>
      </c>
      <c r="C18" s="27">
        <v>1205000</v>
      </c>
      <c r="D18" s="14"/>
      <c r="E18" s="15"/>
      <c r="F18" s="16">
        <f t="shared" si="0"/>
        <v>1205000</v>
      </c>
      <c r="G18" s="16"/>
      <c r="H18" s="19"/>
    </row>
    <row r="19" spans="1:8" ht="18" x14ac:dyDescent="0.25">
      <c r="A19" s="11" t="s">
        <v>20</v>
      </c>
      <c r="B19" s="12" t="str">
        <f>VLOOKUP(A19,[5]LISTADHERENT!A$5:H$60,3,0)</f>
        <v>LOWE JEAN</v>
      </c>
      <c r="C19" s="27">
        <v>1030000</v>
      </c>
      <c r="D19" s="14"/>
      <c r="E19" s="15"/>
      <c r="F19" s="16">
        <f t="shared" si="0"/>
        <v>1030000</v>
      </c>
      <c r="G19" s="16"/>
      <c r="H19" s="19"/>
    </row>
    <row r="20" spans="1:8" ht="18" x14ac:dyDescent="0.25">
      <c r="A20" s="11" t="s">
        <v>21</v>
      </c>
      <c r="B20" s="12" t="str">
        <f>VLOOKUP(A20,[5]LISTADHERENT!A$5:H$60,3,0)</f>
        <v>MBOGNING TUGMA GUY</v>
      </c>
      <c r="C20" s="27">
        <f>455000+172500+1000000</f>
        <v>1627500</v>
      </c>
      <c r="D20" s="14"/>
      <c r="E20" s="15"/>
      <c r="F20" s="16">
        <f t="shared" si="0"/>
        <v>1627500</v>
      </c>
      <c r="G20" s="16"/>
      <c r="H20" s="19"/>
    </row>
    <row r="21" spans="1:8" ht="18" x14ac:dyDescent="0.25">
      <c r="A21" s="11" t="s">
        <v>22</v>
      </c>
      <c r="B21" s="12" t="str">
        <f>VLOOKUP(A21,[5]LISTADHERENT!A$5:H$60,3,0)</f>
        <v>NANGUEN MARTIN</v>
      </c>
      <c r="C21" s="27">
        <v>30000</v>
      </c>
      <c r="D21" s="14"/>
      <c r="E21" s="15"/>
      <c r="F21" s="16">
        <f t="shared" si="0"/>
        <v>30000</v>
      </c>
      <c r="G21" s="16"/>
      <c r="H21" s="19"/>
    </row>
    <row r="22" spans="1:8" ht="18" x14ac:dyDescent="0.25">
      <c r="A22" s="11" t="s">
        <v>23</v>
      </c>
      <c r="B22" s="12" t="str">
        <f>VLOOKUP(A22,[5]LISTADHERENT!A$5:H$60,3,0)</f>
        <v>NANKAM APPOLINAIRE</v>
      </c>
      <c r="C22" s="27">
        <v>1105000</v>
      </c>
      <c r="D22" s="14"/>
      <c r="E22" s="15"/>
      <c r="F22" s="16">
        <f t="shared" si="0"/>
        <v>1105000</v>
      </c>
      <c r="G22" s="16"/>
      <c r="H22" s="19"/>
    </row>
    <row r="23" spans="1:8" ht="18" x14ac:dyDescent="0.25">
      <c r="A23" s="11" t="s">
        <v>24</v>
      </c>
      <c r="B23" s="12" t="str">
        <f>VLOOKUP(A23,[5]LISTADHERENT!A$5:H$60,3,0)</f>
        <v>NDJOMO ETIENNE</v>
      </c>
      <c r="C23" s="27">
        <v>680000</v>
      </c>
      <c r="D23" s="14">
        <v>101000</v>
      </c>
      <c r="E23" s="15"/>
      <c r="F23" s="16">
        <f t="shared" si="0"/>
        <v>781000</v>
      </c>
      <c r="G23" s="16"/>
      <c r="H23" s="19"/>
    </row>
    <row r="24" spans="1:8" ht="18" x14ac:dyDescent="0.25">
      <c r="A24" s="11" t="s">
        <v>25</v>
      </c>
      <c r="B24" s="12" t="str">
        <f>VLOOKUP(A24,[5]LISTADHERENT!A$5:H$60,3,0)</f>
        <v>NGONDIEP CLAUDE</v>
      </c>
      <c r="C24" s="27">
        <v>1240000</v>
      </c>
      <c r="D24" s="14"/>
      <c r="E24" s="15"/>
      <c r="F24" s="16">
        <f t="shared" si="0"/>
        <v>1240000</v>
      </c>
      <c r="G24" s="16"/>
      <c r="H24" s="19"/>
    </row>
    <row r="25" spans="1:8" ht="18" x14ac:dyDescent="0.25">
      <c r="A25" s="11" t="s">
        <v>26</v>
      </c>
      <c r="B25" s="12" t="str">
        <f>VLOOKUP(A25,[5]LISTADHERENT!A$5:H$60,3,0)</f>
        <v>NGUIEMEGNI MATHIEU BLAISE</v>
      </c>
      <c r="C25" s="27">
        <v>1280000</v>
      </c>
      <c r="D25" s="14"/>
      <c r="E25" s="15"/>
      <c r="F25" s="16">
        <f t="shared" si="0"/>
        <v>1280000</v>
      </c>
      <c r="G25" s="16"/>
      <c r="H25" s="19"/>
    </row>
    <row r="26" spans="1:8" ht="18" x14ac:dyDescent="0.25">
      <c r="A26" s="11" t="s">
        <v>27</v>
      </c>
      <c r="B26" s="12" t="str">
        <f>VLOOKUP(A26,[5]LISTADHERENT!A$5:H$60,3,0)</f>
        <v>NKAMGANG JUSTIN DEJOLIE</v>
      </c>
      <c r="C26" s="27">
        <f>105000+1000000</f>
        <v>1105000</v>
      </c>
      <c r="D26" s="14">
        <v>79500</v>
      </c>
      <c r="E26" s="15"/>
      <c r="F26" s="16">
        <f t="shared" si="0"/>
        <v>1184500</v>
      </c>
      <c r="G26" s="16"/>
      <c r="H26" s="19"/>
    </row>
    <row r="27" spans="1:8" ht="18" x14ac:dyDescent="0.25">
      <c r="A27" s="11" t="s">
        <v>28</v>
      </c>
      <c r="B27" s="12" t="str">
        <f>VLOOKUP(A27,[5]LISTADHERENT!A$5:H$60,3,0)</f>
        <v>NKEHE DAVID</v>
      </c>
      <c r="C27" s="27">
        <v>520000</v>
      </c>
      <c r="D27" s="14"/>
      <c r="E27" s="15"/>
      <c r="F27" s="16">
        <f t="shared" si="0"/>
        <v>520000</v>
      </c>
      <c r="G27" s="16"/>
      <c r="H27" s="19"/>
    </row>
    <row r="28" spans="1:8" ht="18" x14ac:dyDescent="0.25">
      <c r="A28" s="11" t="s">
        <v>29</v>
      </c>
      <c r="B28" s="12" t="str">
        <f>VLOOKUP(A28,[5]LISTADHERENT!A$5:H$60,3,0)</f>
        <v>NKEPSEU DIEUDONNE</v>
      </c>
      <c r="C28" s="27">
        <f>730000+400000</f>
        <v>1130000</v>
      </c>
      <c r="D28" s="14"/>
      <c r="E28" s="15"/>
      <c r="F28" s="16">
        <f t="shared" si="0"/>
        <v>1130000</v>
      </c>
      <c r="G28" s="16"/>
      <c r="H28" s="19"/>
    </row>
    <row r="29" spans="1:8" ht="18" x14ac:dyDescent="0.25">
      <c r="A29" s="11" t="s">
        <v>30</v>
      </c>
      <c r="B29" s="12" t="str">
        <f>VLOOKUP(A29,[5]LISTADHERENT!A$5:H$60,3,0)</f>
        <v>PATEGO NJOSSU GUSTAVE</v>
      </c>
      <c r="C29" s="27">
        <v>105000</v>
      </c>
      <c r="D29" s="14"/>
      <c r="E29" s="15"/>
      <c r="F29" s="16">
        <f t="shared" si="0"/>
        <v>105000</v>
      </c>
      <c r="G29" s="16"/>
      <c r="H29" s="19"/>
    </row>
    <row r="30" spans="1:8" ht="18" x14ac:dyDescent="0.25">
      <c r="A30" s="11" t="s">
        <v>31</v>
      </c>
      <c r="B30" s="12" t="str">
        <f>VLOOKUP(A30,[5]LISTADHERENT!A$5:H$60,3,0)</f>
        <v>SIME BRICE</v>
      </c>
      <c r="C30" s="27">
        <v>105000</v>
      </c>
      <c r="D30" s="14"/>
      <c r="E30" s="15"/>
      <c r="F30" s="16">
        <f t="shared" si="0"/>
        <v>105000</v>
      </c>
      <c r="G30" s="16"/>
      <c r="H30" s="19"/>
    </row>
    <row r="31" spans="1:8" ht="18" x14ac:dyDescent="0.25">
      <c r="A31" s="11" t="s">
        <v>32</v>
      </c>
      <c r="B31" s="12" t="str">
        <f>VLOOKUP(A31,[5]LISTADHERENT!A$5:H$60,3,0)</f>
        <v>SIMO FONGANG ERIC</v>
      </c>
      <c r="C31" s="13"/>
      <c r="D31" s="14"/>
      <c r="E31" s="15"/>
      <c r="F31" s="16">
        <f t="shared" si="0"/>
        <v>0</v>
      </c>
      <c r="G31" s="16"/>
      <c r="H31" s="19"/>
    </row>
    <row r="32" spans="1:8" ht="18" x14ac:dyDescent="0.25">
      <c r="A32" s="11" t="s">
        <v>33</v>
      </c>
      <c r="B32" s="12" t="str">
        <f>VLOOKUP(A32,[5]LISTADHERENT!A$5:H$60,3,0)</f>
        <v>SIMO PIERRE</v>
      </c>
      <c r="C32" s="27">
        <f>500000+160000+218000+27000</f>
        <v>905000</v>
      </c>
      <c r="D32" s="26"/>
      <c r="E32" s="15"/>
      <c r="F32" s="16">
        <f t="shared" si="0"/>
        <v>905000</v>
      </c>
      <c r="G32" s="16"/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27">
        <f>105000-75000+1000000</f>
        <v>1030000</v>
      </c>
      <c r="D33" s="14"/>
      <c r="E33" s="15"/>
      <c r="F33" s="16">
        <f t="shared" si="0"/>
        <v>1030000</v>
      </c>
      <c r="G33" s="16"/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/>
      <c r="D34" s="14"/>
      <c r="E34" s="15"/>
      <c r="F34" s="16">
        <f t="shared" si="0"/>
        <v>0</v>
      </c>
      <c r="G34" s="16"/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>
        <f>30000+1011250</f>
        <v>1041250</v>
      </c>
      <c r="D35" s="14"/>
      <c r="E35" s="15"/>
      <c r="F35" s="16">
        <f t="shared" si="0"/>
        <v>1041250</v>
      </c>
      <c r="G35" s="16"/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27">
        <v>280000</v>
      </c>
      <c r="D36" s="14"/>
      <c r="E36" s="15"/>
      <c r="F36" s="16">
        <f t="shared" si="0"/>
        <v>280000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20333750</v>
      </c>
      <c r="D38" s="22">
        <f>SUM(D7:D37)</f>
        <v>180500</v>
      </c>
      <c r="E38" s="22">
        <f>SUM(E7:E37)</f>
        <v>0</v>
      </c>
      <c r="F38" s="22">
        <f t="shared" ref="F38:H38" si="1">SUM(F7:F37)</f>
        <v>20514250</v>
      </c>
      <c r="G38" s="22">
        <f t="shared" si="1"/>
        <v>0</v>
      </c>
      <c r="H38" s="23">
        <f t="shared" si="1"/>
        <v>0</v>
      </c>
    </row>
    <row r="39" spans="1:8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zoomScale="106" zoomScaleNormal="106" workbookViewId="0">
      <pane xSplit="3" ySplit="5" topLeftCell="D30" activePane="bottomRight" state="frozen"/>
      <selection pane="topRight" activeCell="E1" sqref="E1"/>
      <selection pane="bottomLeft" activeCell="A6" sqref="A6"/>
      <selection pane="bottomRight" activeCell="J8" sqref="J8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17.5703125" bestFit="1" customWidth="1"/>
    <col min="4" max="5" width="17.5703125" customWidth="1"/>
    <col min="6" max="6" width="20.42578125" customWidth="1"/>
    <col min="7" max="7" width="17.7109375" bestFit="1" customWidth="1"/>
  </cols>
  <sheetData>
    <row r="1" spans="1:8" x14ac:dyDescent="0.25">
      <c r="A1" s="1" t="s">
        <v>2</v>
      </c>
      <c r="B1" s="1" t="s">
        <v>3</v>
      </c>
    </row>
    <row r="2" spans="1:8" x14ac:dyDescent="0.25">
      <c r="A2" s="1" t="s">
        <v>4</v>
      </c>
      <c r="B2" s="1">
        <v>2022</v>
      </c>
    </row>
    <row r="3" spans="1:8" x14ac:dyDescent="0.2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.25" thickBot="1" x14ac:dyDescent="0.5">
      <c r="B4" s="31" t="s">
        <v>66</v>
      </c>
      <c r="C4" s="29"/>
      <c r="D4" s="29"/>
      <c r="E4" s="29"/>
      <c r="F4" s="3"/>
    </row>
    <row r="5" spans="1:8" ht="68.25" customHeight="1" thickTop="1" x14ac:dyDescent="0.25">
      <c r="A5" s="8" t="s">
        <v>0</v>
      </c>
      <c r="B5" s="9" t="s">
        <v>1</v>
      </c>
      <c r="C5" s="10" t="s">
        <v>41</v>
      </c>
      <c r="D5" s="10" t="s">
        <v>40</v>
      </c>
      <c r="E5" s="10" t="s">
        <v>42</v>
      </c>
      <c r="F5" s="10" t="s">
        <v>39</v>
      </c>
      <c r="G5" s="10" t="s">
        <v>67</v>
      </c>
      <c r="H5" s="24" t="s">
        <v>69</v>
      </c>
    </row>
    <row r="6" spans="1:8" ht="18" x14ac:dyDescent="0.25">
      <c r="A6" s="11" t="s">
        <v>68</v>
      </c>
      <c r="B6" s="12" t="str">
        <f>VLOOKUP(A6,[5]LISTADHERENT!A$5:H$60,3,0)</f>
        <v>ASELBY</v>
      </c>
      <c r="C6" s="13">
        <f>+HISTOBQUEJANV22!C6+HISTOBQUEFEV22!C6+HISTOBQUEMARS22!C6+HISTOBQUEAVRIL22!C6+HISTOBQUEMAI22!C6+HISTOBQUEJUIN22!C6+HISTOBQUEJUIL22!C6+HISTOBQUEAOUT22!C6+HISTOBQUESEPT22!C6+HISTOBQUEOCT22!C6+HISTOBQUENOV22!C6+HISTOBQUEDEC22!C6</f>
        <v>1200000</v>
      </c>
      <c r="D6" s="13">
        <f>+HISTOBQUEJANV22!D6+HISTOBQUEFEV22!D6+HISTOBQUEMARS22!D6+HISTOBQUEAVRIL22!D6+HISTOBQUEMAI22!D6+HISTOBQUEJUIN22!D6+HISTOBQUEJUIL22!D6+HISTOBQUEAOUT22!D6+HISTOBQUESEPT22!D6+HISTOBQUEOCT22!D6+HISTOBQUENOV22!D6+HISTOBQUEDEC22!D6</f>
        <v>0</v>
      </c>
      <c r="E6" s="13">
        <f>+HISTOBQUEJANV22!E6+HISTOBQUEFEV22!E6+HISTOBQUEMARS22!E6+HISTOBQUEAVRIL22!E6+HISTOBQUEMAI22!E6+HISTOBQUEJUIN22!E6+HISTOBQUEJUIL22!E6+HISTOBQUEAOUT22!E6+HISTOBQUESEPT22!E6+HISTOBQUEOCT22!E6+HISTOBQUENOV22!E6+HISTOBQUEDEC22!E6</f>
        <v>0</v>
      </c>
      <c r="F6" s="16">
        <f>SUM(C6:E6)</f>
        <v>1200000</v>
      </c>
      <c r="G6" s="16"/>
      <c r="H6" s="19"/>
    </row>
    <row r="7" spans="1:8" ht="18" x14ac:dyDescent="0.25">
      <c r="A7" s="11" t="s">
        <v>8</v>
      </c>
      <c r="B7" s="12" t="str">
        <f>VLOOKUP(A7,[5]LISTADHERENT!A$5:H$60,3,0)</f>
        <v>BOUTCHOUANG WILLIAM</v>
      </c>
      <c r="C7" s="13">
        <f>+HISTOBQUEJANV22!C7+HISTOBQUEFEV22!C7+HISTOBQUEMARS22!C7+HISTOBQUEAVRIL22!C7+HISTOBQUEMAI22!C7+HISTOBQUEJUIN22!C7+HISTOBQUEJUIL22!C7+HISTOBQUEAOUT22!C7+HISTOBQUESEPT22!C7+HISTOBQUEOCT22!C7+HISTOBQUENOV22!C7+HISTOBQUEDEC22!C7</f>
        <v>1155000</v>
      </c>
      <c r="D7" s="13">
        <f>+HISTOBQUEJANV22!D7+HISTOBQUEFEV22!D7+HISTOBQUEMARS22!D7+HISTOBQUEAVRIL22!D7+HISTOBQUEMAI22!D7+HISTOBQUEJUIN22!D7+HISTOBQUEJUIL22!D7+HISTOBQUEAOUT22!D7+HISTOBQUESEPT22!D7+HISTOBQUEOCT22!D7+HISTOBQUENOV22!D7+HISTOBQUEDEC22!D7</f>
        <v>105000</v>
      </c>
      <c r="E7" s="13">
        <f>+HISTOBQUEJANV22!E7+HISTOBQUEFEV22!E7+HISTOBQUEMARS22!E7+HISTOBQUEAVRIL22!E7+HISTOBQUEMAI22!E7+HISTOBQUEJUIN22!E7+HISTOBQUEJUIL22!E7+HISTOBQUEAOUT22!E7+HISTOBQUESEPT22!E7+HISTOBQUEOCT22!E7+HISTOBQUENOV22!E7+HISTOBQUEDEC22!E7</f>
        <v>570000</v>
      </c>
      <c r="F7" s="16">
        <f>SUM(C7:E7)</f>
        <v>1830000</v>
      </c>
      <c r="G7" s="16"/>
      <c r="H7" s="19"/>
    </row>
    <row r="8" spans="1:8" ht="18" x14ac:dyDescent="0.25">
      <c r="A8" s="11" t="s">
        <v>9</v>
      </c>
      <c r="B8" s="12" t="str">
        <f>VLOOKUP(A8,[5]LISTADHERENT!A$5:H$60,3,0)</f>
        <v xml:space="preserve">DJOMO JEAN PAUL </v>
      </c>
      <c r="C8" s="13">
        <f>+HISTOBQUEJANV22!C8+HISTOBQUEFEV22!C8+HISTOBQUEMARS22!C8+HISTOBQUEAVRIL22!C8+HISTOBQUEMAI22!C8+HISTOBQUEJUIN22!C8+HISTOBQUEJUIL22!C8+HISTOBQUEAOUT22!C8+HISTOBQUESEPT22!C8+HISTOBQUEOCT22!C8+HISTOBQUENOV22!C8+HISTOBQUEDEC22!C8</f>
        <v>2462000</v>
      </c>
      <c r="D8" s="13">
        <f>+HISTOBQUEJANV22!D8+HISTOBQUEFEV22!D8+HISTOBQUEMARS22!D8+HISTOBQUEAVRIL22!D8+HISTOBQUEMAI22!D8+HISTOBQUEJUIN22!D8+HISTOBQUEJUIL22!D8+HISTOBQUEAOUT22!D8+HISTOBQUESEPT22!D8+HISTOBQUEOCT22!D8+HISTOBQUENOV22!D8+HISTOBQUEDEC22!D8</f>
        <v>399000</v>
      </c>
      <c r="E8" s="13">
        <f>+HISTOBQUEJANV22!E8+HISTOBQUEFEV22!E8+HISTOBQUEMARS22!E8+HISTOBQUEAVRIL22!E8+HISTOBQUEMAI22!E8+HISTOBQUEJUIN22!E8+HISTOBQUEJUIL22!E8+HISTOBQUEAOUT22!E8+HISTOBQUESEPT22!E8+HISTOBQUEOCT22!E8+HISTOBQUENOV22!E8+HISTOBQUEDEC22!E8</f>
        <v>0</v>
      </c>
      <c r="F8" s="16">
        <f t="shared" ref="F8:F36" si="0">SUM(C8:E8)</f>
        <v>2861000</v>
      </c>
      <c r="G8" s="16"/>
      <c r="H8" s="19"/>
    </row>
    <row r="9" spans="1:8" ht="18" x14ac:dyDescent="0.25">
      <c r="A9" s="11" t="s">
        <v>10</v>
      </c>
      <c r="B9" s="12" t="str">
        <f>VLOOKUP(A9,[5]LISTADHERENT!A$5:H$60,3,0)</f>
        <v>DJOMOU TCHANDA</v>
      </c>
      <c r="C9" s="13">
        <f>+HISTOBQUEJANV22!C9+HISTOBQUEFEV22!C9+HISTOBQUEMARS22!C9+HISTOBQUEAVRIL22!C9+HISTOBQUEMAI22!C9+HISTOBQUEJUIN22!C9+HISTOBQUEJUIL22!C9+HISTOBQUEAOUT22!C9+HISTOBQUESEPT22!C9+HISTOBQUEOCT22!C9+HISTOBQUENOV22!C9+HISTOBQUEDEC22!C9</f>
        <v>305000</v>
      </c>
      <c r="D9" s="13">
        <f>+HISTOBQUEJANV22!D9+HISTOBQUEFEV22!D9+HISTOBQUEMARS22!D9+HISTOBQUEAVRIL22!D9+HISTOBQUEMAI22!D9+HISTOBQUEJUIN22!D9+HISTOBQUEJUIL22!D9+HISTOBQUEAOUT22!D9+HISTOBQUESEPT22!D9+HISTOBQUEOCT22!D9+HISTOBQUENOV22!D9+HISTOBQUEDEC22!D9</f>
        <v>67000</v>
      </c>
      <c r="E9" s="13">
        <f>+HISTOBQUEJANV22!E9+HISTOBQUEFEV22!E9+HISTOBQUEMARS22!E9+HISTOBQUEAVRIL22!E9+HISTOBQUEMAI22!E9+HISTOBQUEJUIN22!E9+HISTOBQUEJUIL22!E9+HISTOBQUEAOUT22!E9+HISTOBQUESEPT22!E9+HISTOBQUEOCT22!E9+HISTOBQUENOV22!E9+HISTOBQUEDEC22!E9</f>
        <v>113000</v>
      </c>
      <c r="F9" s="16">
        <f t="shared" si="0"/>
        <v>485000</v>
      </c>
      <c r="G9" s="16"/>
      <c r="H9" s="19"/>
    </row>
    <row r="10" spans="1:8" ht="18" x14ac:dyDescent="0.25">
      <c r="A10" s="11" t="s">
        <v>11</v>
      </c>
      <c r="B10" s="12" t="str">
        <f>VLOOKUP(A10,[5]LISTADHERENT!A$5:H$60,3,0)</f>
        <v>DJOUKWE NANGUEN GUY BLAISE</v>
      </c>
      <c r="C10" s="13">
        <f>+HISTOBQUEJANV22!C10+HISTOBQUEFEV22!C10+HISTOBQUEMARS22!C10+HISTOBQUEAVRIL22!C10+HISTOBQUEMAI22!C10+HISTOBQUEJUIN22!C10+HISTOBQUEJUIL22!C10+HISTOBQUEAOUT22!C10+HISTOBQUESEPT22!C10+HISTOBQUEOCT22!C10+HISTOBQUENOV22!C10+HISTOBQUEDEC22!C10</f>
        <v>1748000</v>
      </c>
      <c r="D10" s="13">
        <f>+HISTOBQUEJANV22!D10+HISTOBQUEFEV22!D10+HISTOBQUEMARS22!D10+HISTOBQUEAVRIL22!D10+HISTOBQUEMAI22!D10+HISTOBQUEJUIN22!D10+HISTOBQUEJUIL22!D10+HISTOBQUEAOUT22!D10+HISTOBQUESEPT22!D10+HISTOBQUEOCT22!D10+HISTOBQUENOV22!D10+HISTOBQUEDEC22!D10</f>
        <v>0</v>
      </c>
      <c r="E10" s="13">
        <f>+HISTOBQUEJANV22!E10+HISTOBQUEFEV22!E10+HISTOBQUEMARS22!E10+HISTOBQUEAVRIL22!E10+HISTOBQUEMAI22!E10+HISTOBQUEJUIN22!E10+HISTOBQUEJUIL22!E10+HISTOBQUEAOUT22!E10+HISTOBQUESEPT22!E10+HISTOBQUEOCT22!E10+HISTOBQUENOV22!E10+HISTOBQUEDEC22!E10</f>
        <v>51000</v>
      </c>
      <c r="F10" s="16">
        <f t="shared" si="0"/>
        <v>1799000</v>
      </c>
      <c r="G10" s="16"/>
      <c r="H10" s="19"/>
    </row>
    <row r="11" spans="1:8" ht="18" x14ac:dyDescent="0.25">
      <c r="A11" s="11" t="s">
        <v>12</v>
      </c>
      <c r="B11" s="12" t="str">
        <f>VLOOKUP(A11,[5]LISTADHERENT!A$5:H$60,3,0)</f>
        <v>DJUOMBESSY ANTOINE</v>
      </c>
      <c r="C11" s="13">
        <f>+HISTOBQUEJANV22!C11+HISTOBQUEFEV22!C11+HISTOBQUEMARS22!C11+HISTOBQUEAVRIL22!C11+HISTOBQUEMAI22!C11+HISTOBQUEJUIN22!C11+HISTOBQUEJUIL22!C11+HISTOBQUEAOUT22!C11+HISTOBQUESEPT22!C11+HISTOBQUEOCT22!C11+HISTOBQUENOV22!C11+HISTOBQUEDEC22!C11</f>
        <v>2215000</v>
      </c>
      <c r="D11" s="13">
        <f>+HISTOBQUEJANV22!D11+HISTOBQUEFEV22!D11+HISTOBQUEMARS22!D11+HISTOBQUEAVRIL22!D11+HISTOBQUEMAI22!D11+HISTOBQUEJUIN22!D11+HISTOBQUEJUIL22!D11+HISTOBQUEAOUT22!D11+HISTOBQUESEPT22!D11+HISTOBQUEOCT22!D11+HISTOBQUENOV22!D11+HISTOBQUEDEC22!D11</f>
        <v>359000</v>
      </c>
      <c r="E11" s="13">
        <f>+HISTOBQUEJANV22!E11+HISTOBQUEFEV22!E11+HISTOBQUEMARS22!E11+HISTOBQUEAVRIL22!E11+HISTOBQUEMAI22!E11+HISTOBQUEJUIN22!E11+HISTOBQUEJUIL22!E11+HISTOBQUEAOUT22!E11+HISTOBQUESEPT22!E11+HISTOBQUEOCT22!E11+HISTOBQUENOV22!E11+HISTOBQUEDEC22!E11</f>
        <v>1966000</v>
      </c>
      <c r="F11" s="16">
        <f t="shared" si="0"/>
        <v>4540000</v>
      </c>
      <c r="G11" s="16"/>
      <c r="H11" s="19"/>
    </row>
    <row r="12" spans="1:8" ht="18" x14ac:dyDescent="0.25">
      <c r="A12" s="11" t="s">
        <v>13</v>
      </c>
      <c r="B12" s="12" t="str">
        <f>VLOOKUP(A12,[5]LISTADHERENT!A$5:H$60,3,0)</f>
        <v>DOMOU FABIEN</v>
      </c>
      <c r="C12" s="13">
        <f>+HISTOBQUEJANV22!C12+HISTOBQUEFEV22!C12+HISTOBQUEMARS22!C12+HISTOBQUEAVRIL22!C12+HISTOBQUEMAI22!C12+HISTOBQUEJUIN22!C12+HISTOBQUEJUIL22!C12+HISTOBQUEAOUT22!C12+HISTOBQUESEPT22!C12+HISTOBQUEOCT22!C12+HISTOBQUENOV22!C12+HISTOBQUEDEC22!C12</f>
        <v>1420000</v>
      </c>
      <c r="D12" s="13">
        <f>+HISTOBQUEJANV22!D12+HISTOBQUEFEV22!D12+HISTOBQUEMARS22!D12+HISTOBQUEAVRIL22!D12+HISTOBQUEMAI22!D12+HISTOBQUEJUIN22!D12+HISTOBQUEJUIL22!D12+HISTOBQUEAOUT22!D12+HISTOBQUESEPT22!D12+HISTOBQUEOCT22!D12+HISTOBQUENOV22!D12+HISTOBQUEDEC22!D12</f>
        <v>0</v>
      </c>
      <c r="E12" s="13">
        <f>+HISTOBQUEJANV22!E12+HISTOBQUEFEV22!E12+HISTOBQUEMARS22!E12+HISTOBQUEAVRIL22!E12+HISTOBQUEMAI22!E12+HISTOBQUEJUIN22!E12+HISTOBQUEJUIL22!E12+HISTOBQUEAOUT22!E12+HISTOBQUESEPT22!E12+HISTOBQUEOCT22!E12+HISTOBQUENOV22!E12+HISTOBQUEDEC22!E12</f>
        <v>0</v>
      </c>
      <c r="F12" s="16">
        <f t="shared" si="0"/>
        <v>1420000</v>
      </c>
      <c r="G12" s="16"/>
      <c r="H12" s="19"/>
    </row>
    <row r="13" spans="1:8" ht="18" x14ac:dyDescent="0.25">
      <c r="A13" s="11" t="s">
        <v>14</v>
      </c>
      <c r="B13" s="12" t="str">
        <f>VLOOKUP(A13,[5]LISTADHERENT!A$5:H$60,3,0)</f>
        <v>DONHOU DAVID</v>
      </c>
      <c r="C13" s="13">
        <f>+HISTOBQUEJANV22!C13+HISTOBQUEFEV22!C13+HISTOBQUEMARS22!C13+HISTOBQUEAVRIL22!C13+HISTOBQUEMAI22!C13+HISTOBQUEJUIN22!C13+HISTOBQUEJUIL22!C13+HISTOBQUEAOUT22!C13+HISTOBQUESEPT22!C13+HISTOBQUEOCT22!C13+HISTOBQUENOV22!C13+HISTOBQUEDEC22!C13</f>
        <v>310000</v>
      </c>
      <c r="D13" s="13">
        <f>+HISTOBQUEJANV22!D13+HISTOBQUEFEV22!D13+HISTOBQUEMARS22!D13+HISTOBQUEAVRIL22!D13+HISTOBQUEMAI22!D13+HISTOBQUEJUIN22!D13+HISTOBQUEJUIL22!D13+HISTOBQUEAOUT22!D13+HISTOBQUESEPT22!D13+HISTOBQUEOCT22!D13+HISTOBQUENOV22!D13+HISTOBQUEDEC22!D13</f>
        <v>33000</v>
      </c>
      <c r="E13" s="13">
        <f>+HISTOBQUEJANV22!E13+HISTOBQUEFEV22!E13+HISTOBQUEMARS22!E13+HISTOBQUEAVRIL22!E13+HISTOBQUEMAI22!E13+HISTOBQUEJUIN22!E13+HISTOBQUEJUIL22!E13+HISTOBQUEAOUT22!E13+HISTOBQUESEPT22!E13+HISTOBQUEOCT22!E13+HISTOBQUENOV22!E13+HISTOBQUEDEC22!E13</f>
        <v>0</v>
      </c>
      <c r="F13" s="16">
        <f t="shared" si="0"/>
        <v>343000</v>
      </c>
      <c r="G13" s="16"/>
      <c r="H13" s="19"/>
    </row>
    <row r="14" spans="1:8" ht="18" x14ac:dyDescent="0.25">
      <c r="A14" s="11" t="s">
        <v>15</v>
      </c>
      <c r="B14" s="12" t="str">
        <f>VLOOKUP(A14,[5]LISTADHERENT!A$5:H$60,3,0)</f>
        <v>FOTSO THOMAS</v>
      </c>
      <c r="C14" s="13">
        <f>+HISTOBQUEJANV22!C14+HISTOBQUEFEV22!C14+HISTOBQUEMARS22!C14+HISTOBQUEAVRIL22!C14+HISTOBQUEMAI22!C14+HISTOBQUEJUIN22!C14+HISTOBQUEJUIL22!C14+HISTOBQUEAOUT22!C14+HISTOBQUESEPT22!C14+HISTOBQUEOCT22!C14+HISTOBQUENOV22!C14+HISTOBQUEDEC22!C14</f>
        <v>0</v>
      </c>
      <c r="D14" s="13">
        <f>+HISTOBQUEJANV22!D14+HISTOBQUEFEV22!D14+HISTOBQUEMARS22!D14+HISTOBQUEAVRIL22!D14+HISTOBQUEMAI22!D14+HISTOBQUEJUIN22!D14+HISTOBQUEJUIL22!D14+HISTOBQUEAOUT22!D14+HISTOBQUESEPT22!D14+HISTOBQUEOCT22!D14+HISTOBQUENOV22!D14+HISTOBQUEDEC22!D14</f>
        <v>0</v>
      </c>
      <c r="E14" s="13">
        <f>+HISTOBQUEJANV22!E14+HISTOBQUEFEV22!E14+HISTOBQUEMARS22!E14+HISTOBQUEAVRIL22!E14+HISTOBQUEMAI22!E14+HISTOBQUEJUIN22!E14+HISTOBQUEJUIL22!E14+HISTOBQUEAOUT22!E14+HISTOBQUESEPT22!E14+HISTOBQUEOCT22!E14+HISTOBQUENOV22!E14+HISTOBQUEDEC22!E14</f>
        <v>0</v>
      </c>
      <c r="F14" s="16">
        <f t="shared" si="0"/>
        <v>0</v>
      </c>
      <c r="G14" s="16"/>
      <c r="H14" s="19"/>
    </row>
    <row r="15" spans="1:8" ht="18" x14ac:dyDescent="0.25">
      <c r="A15" s="11" t="s">
        <v>16</v>
      </c>
      <c r="B15" s="12" t="str">
        <f>VLOOKUP(A15,[5]LISTADHERENT!A$5:H$60,3,0)</f>
        <v>HENGUE PAUL OMER</v>
      </c>
      <c r="C15" s="13">
        <f>+HISTOBQUEJANV22!C15+HISTOBQUEFEV22!C15+HISTOBQUEMARS22!C15+HISTOBQUEAVRIL22!C15+HISTOBQUEMAI22!C15+HISTOBQUEJUIN22!C15+HISTOBQUEJUIL22!C15+HISTOBQUEAOUT22!C15+HISTOBQUESEPT22!C15+HISTOBQUEOCT22!C15+HISTOBQUENOV22!C15+HISTOBQUEDEC22!C15</f>
        <v>2205000</v>
      </c>
      <c r="D15" s="13">
        <f>+HISTOBQUEJANV22!D15+HISTOBQUEFEV22!D15+HISTOBQUEMARS22!D15+HISTOBQUEAVRIL22!D15+HISTOBQUEMAI22!D15+HISTOBQUEJUIN22!D15+HISTOBQUEJUIL22!D15+HISTOBQUEAOUT22!D15+HISTOBQUESEPT22!D15+HISTOBQUEOCT22!D15+HISTOBQUENOV22!D15+HISTOBQUEDEC22!D15</f>
        <v>0</v>
      </c>
      <c r="E15" s="13">
        <f>+HISTOBQUEJANV22!E15+HISTOBQUEFEV22!E15+HISTOBQUEMARS22!E15+HISTOBQUEAVRIL22!E15+HISTOBQUEMAI22!E15+HISTOBQUEJUIN22!E15+HISTOBQUEJUIL22!E15+HISTOBQUEAOUT22!E15+HISTOBQUESEPT22!E15+HISTOBQUEOCT22!E15+HISTOBQUENOV22!E15+HISTOBQUEDEC22!E15</f>
        <v>70000</v>
      </c>
      <c r="F15" s="16">
        <f t="shared" si="0"/>
        <v>2275000</v>
      </c>
      <c r="G15" s="16"/>
      <c r="H15" s="19"/>
    </row>
    <row r="16" spans="1:8" ht="18" x14ac:dyDescent="0.25">
      <c r="A16" s="11" t="s">
        <v>17</v>
      </c>
      <c r="B16" s="12" t="str">
        <f>VLOOKUP(A16,[5]LISTADHERENT!A$5:H$60,3,0)</f>
        <v>HOTCHO BENJAMIN</v>
      </c>
      <c r="C16" s="13">
        <f>+HISTOBQUEJANV22!C16+HISTOBQUEFEV22!C16+HISTOBQUEMARS22!C16+HISTOBQUEAVRIL22!C16+HISTOBQUEMAI22!C16+HISTOBQUEJUIN22!C16+HISTOBQUEJUIL22!C16+HISTOBQUEAOUT22!C16+HISTOBQUESEPT22!C16+HISTOBQUEOCT22!C16+HISTOBQUENOV22!C16+HISTOBQUEDEC22!C16</f>
        <v>2800000</v>
      </c>
      <c r="D16" s="13">
        <f>+HISTOBQUEJANV22!D16+HISTOBQUEFEV22!D16+HISTOBQUEMARS22!D16+HISTOBQUEAVRIL22!D16+HISTOBQUEMAI22!D16+HISTOBQUEJUIN22!D16+HISTOBQUEJUIL22!D16+HISTOBQUEAOUT22!D16+HISTOBQUESEPT22!D16+HISTOBQUEOCT22!D16+HISTOBQUENOV22!D16+HISTOBQUEDEC22!D16</f>
        <v>0</v>
      </c>
      <c r="E16" s="13">
        <f>+HISTOBQUEJANV22!E16+HISTOBQUEFEV22!E16+HISTOBQUEMARS22!E16+HISTOBQUEAVRIL22!E16+HISTOBQUEMAI22!E16+HISTOBQUEJUIN22!E16+HISTOBQUEJUIL22!E16+HISTOBQUEAOUT22!E16+HISTOBQUESEPT22!E16+HISTOBQUEOCT22!E16+HISTOBQUENOV22!E16+HISTOBQUEDEC22!E16</f>
        <v>0</v>
      </c>
      <c r="F16" s="16">
        <f t="shared" si="0"/>
        <v>2800000</v>
      </c>
      <c r="G16" s="16"/>
      <c r="H16" s="19"/>
    </row>
    <row r="17" spans="1:8" ht="18" x14ac:dyDescent="0.25">
      <c r="A17" s="11" t="s">
        <v>18</v>
      </c>
      <c r="B17" s="12" t="str">
        <f>VLOOKUP(A17,[5]LISTADHERENT!A$5:H$60,3,0)</f>
        <v>KOUAMOU MOISE</v>
      </c>
      <c r="C17" s="13">
        <f>+HISTOBQUEJANV22!C17+HISTOBQUEFEV22!C17+HISTOBQUEMARS22!C17+HISTOBQUEAVRIL22!C17+HISTOBQUEMAI22!C17+HISTOBQUEJUIN22!C17+HISTOBQUEJUIL22!C17+HISTOBQUEAOUT22!C17+HISTOBQUESEPT22!C17+HISTOBQUEOCT22!C17+HISTOBQUENOV22!C17+HISTOBQUEDEC22!C17</f>
        <v>4963000</v>
      </c>
      <c r="D17" s="13">
        <f>+HISTOBQUEJANV22!D17+HISTOBQUEFEV22!D17+HISTOBQUEMARS22!D17+HISTOBQUEAVRIL22!D17+HISTOBQUEMAI22!D17+HISTOBQUEJUIN22!D17+HISTOBQUEJUIL22!D17+HISTOBQUEAOUT22!D17+HISTOBQUESEPT22!D17+HISTOBQUEOCT22!D17+HISTOBQUENOV22!D17+HISTOBQUEDEC22!D17</f>
        <v>0</v>
      </c>
      <c r="E17" s="13">
        <f>+HISTOBQUEJANV22!E17+HISTOBQUEFEV22!E17+HISTOBQUEMARS22!E17+HISTOBQUEAVRIL22!E17+HISTOBQUEMAI22!E17+HISTOBQUEJUIN22!E17+HISTOBQUEJUIL22!E17+HISTOBQUEAOUT22!E17+HISTOBQUESEPT22!E17+HISTOBQUEOCT22!E17+HISTOBQUENOV22!E17+HISTOBQUEDEC22!E17</f>
        <v>1070000</v>
      </c>
      <c r="F17" s="16">
        <f t="shared" si="0"/>
        <v>6033000</v>
      </c>
      <c r="G17" s="16"/>
      <c r="H17" s="19"/>
    </row>
    <row r="18" spans="1:8" ht="18" x14ac:dyDescent="0.25">
      <c r="A18" s="11" t="s">
        <v>19</v>
      </c>
      <c r="B18" s="12" t="str">
        <f>VLOOKUP(A18,[5]LISTADHERENT!A$5:H$60,3,0)</f>
        <v>KOUATCHO MESSACK</v>
      </c>
      <c r="C18" s="13">
        <f>+HISTOBQUEJANV22!C18+HISTOBQUEFEV22!C18+HISTOBQUEMARS22!C18+HISTOBQUEAVRIL22!C18+HISTOBQUEMAI22!C18+HISTOBQUEJUIN22!C18+HISTOBQUEJUIL22!C18+HISTOBQUEAOUT22!C18+HISTOBQUESEPT22!C18+HISTOBQUEOCT22!C18+HISTOBQUENOV22!C18+HISTOBQUEDEC22!C18</f>
        <v>4988000</v>
      </c>
      <c r="D18" s="13">
        <f>+HISTOBQUEJANV22!D18+HISTOBQUEFEV22!D18+HISTOBQUEMARS22!D18+HISTOBQUEAVRIL22!D18+HISTOBQUEMAI22!D18+HISTOBQUEJUIN22!D18+HISTOBQUEJUIL22!D18+HISTOBQUEAOUT22!D18+HISTOBQUESEPT22!D18+HISTOBQUEOCT22!D18+HISTOBQUENOV22!D18+HISTOBQUEDEC22!D18</f>
        <v>594000</v>
      </c>
      <c r="E18" s="13">
        <f>+HISTOBQUEJANV22!E18+HISTOBQUEFEV22!E18+HISTOBQUEMARS22!E18+HISTOBQUEAVRIL22!E18+HISTOBQUEMAI22!E18+HISTOBQUEJUIN22!E18+HISTOBQUEJUIL22!E18+HISTOBQUEAOUT22!E18+HISTOBQUESEPT22!E18+HISTOBQUEOCT22!E18+HISTOBQUENOV22!E18+HISTOBQUEDEC22!E18</f>
        <v>0</v>
      </c>
      <c r="F18" s="16">
        <f t="shared" si="0"/>
        <v>5582000</v>
      </c>
      <c r="G18" s="16"/>
      <c r="H18" s="19"/>
    </row>
    <row r="19" spans="1:8" ht="18" x14ac:dyDescent="0.25">
      <c r="A19" s="11" t="s">
        <v>20</v>
      </c>
      <c r="B19" s="12" t="str">
        <f>VLOOKUP(A19,[5]LISTADHERENT!A$5:H$60,3,0)</f>
        <v>LOWE JEAN</v>
      </c>
      <c r="C19" s="13">
        <f>+HISTOBQUEJANV22!C19+HISTOBQUEFEV22!C19+HISTOBQUEMARS22!C19+HISTOBQUEAVRIL22!C19+HISTOBQUEMAI22!C19+HISTOBQUEJUIN22!C19+HISTOBQUEJUIL22!C19+HISTOBQUEAOUT22!C19+HISTOBQUESEPT22!C19+HISTOBQUEOCT22!C19+HISTOBQUENOV22!C19+HISTOBQUEDEC22!C19</f>
        <v>1800000</v>
      </c>
      <c r="D19" s="13">
        <f>+HISTOBQUEJANV22!D19+HISTOBQUEFEV22!D19+HISTOBQUEMARS22!D19+HISTOBQUEAVRIL22!D19+HISTOBQUEMAI22!D19+HISTOBQUEJUIN22!D19+HISTOBQUEJUIL22!D19+HISTOBQUEAOUT22!D19+HISTOBQUESEPT22!D19+HISTOBQUEOCT22!D19+HISTOBQUENOV22!D19+HISTOBQUEDEC22!D19</f>
        <v>0</v>
      </c>
      <c r="E19" s="13">
        <f>+HISTOBQUEJANV22!E19+HISTOBQUEFEV22!E19+HISTOBQUEMARS22!E19+HISTOBQUEAVRIL22!E19+HISTOBQUEMAI22!E19+HISTOBQUEJUIN22!E19+HISTOBQUEJUIL22!E19+HISTOBQUEAOUT22!E19+HISTOBQUESEPT22!E19+HISTOBQUEOCT22!E19+HISTOBQUENOV22!E19+HISTOBQUEDEC22!E19</f>
        <v>0</v>
      </c>
      <c r="F19" s="16">
        <f t="shared" si="0"/>
        <v>1800000</v>
      </c>
      <c r="G19" s="16"/>
      <c r="H19" s="19"/>
    </row>
    <row r="20" spans="1:8" ht="18" x14ac:dyDescent="0.25">
      <c r="A20" s="11" t="s">
        <v>21</v>
      </c>
      <c r="B20" s="12" t="str">
        <f>VLOOKUP(A20,[5]LISTADHERENT!A$5:H$60,3,0)</f>
        <v>MBOGNING TUGMA GUY</v>
      </c>
      <c r="C20" s="13">
        <f>+HISTOBQUEJANV22!C20+HISTOBQUEFEV22!C20+HISTOBQUEMARS22!C20+HISTOBQUEAVRIL22!C20+HISTOBQUEMAI22!C20+HISTOBQUEJUIN22!C20+HISTOBQUEJUIL22!C20+HISTOBQUEAOUT22!C20+HISTOBQUESEPT22!C20+HISTOBQUEOCT22!C20+HISTOBQUENOV22!C20+HISTOBQUEDEC22!C20</f>
        <v>8013500</v>
      </c>
      <c r="D20" s="13">
        <f>+HISTOBQUEJANV22!D20+HISTOBQUEFEV22!D20+HISTOBQUEMARS22!D20+HISTOBQUEAVRIL22!D20+HISTOBQUEMAI22!D20+HISTOBQUEJUIN22!D20+HISTOBQUEJUIL22!D20+HISTOBQUEAOUT22!D20+HISTOBQUESEPT22!D20+HISTOBQUEOCT22!D20+HISTOBQUENOV22!D20+HISTOBQUEDEC22!D20</f>
        <v>0</v>
      </c>
      <c r="E20" s="13">
        <f>+HISTOBQUEJANV22!E20+HISTOBQUEFEV22!E20+HISTOBQUEMARS22!E20+HISTOBQUEAVRIL22!E20+HISTOBQUEMAI22!E20+HISTOBQUEJUIN22!E20+HISTOBQUEJUIL22!E20+HISTOBQUEAOUT22!E20+HISTOBQUESEPT22!E20+HISTOBQUEOCT22!E20+HISTOBQUENOV22!E20+HISTOBQUEDEC22!E20</f>
        <v>1874000</v>
      </c>
      <c r="F20" s="16">
        <f t="shared" si="0"/>
        <v>9887500</v>
      </c>
      <c r="G20" s="16"/>
      <c r="H20" s="19"/>
    </row>
    <row r="21" spans="1:8" ht="18" x14ac:dyDescent="0.25">
      <c r="A21" s="11" t="s">
        <v>22</v>
      </c>
      <c r="B21" s="12" t="str">
        <f>VLOOKUP(A21,[5]LISTADHERENT!A$5:H$60,3,0)</f>
        <v>NANGUEN MARTIN</v>
      </c>
      <c r="C21" s="13">
        <f>+HISTOBQUEJANV22!C21+HISTOBQUEFEV22!C21+HISTOBQUEMARS22!C21+HISTOBQUEAVRIL22!C21+HISTOBQUEMAI22!C21+HISTOBQUEJUIN22!C21+HISTOBQUEJUIL22!C21+HISTOBQUEAOUT22!C21+HISTOBQUESEPT22!C21+HISTOBQUEOCT22!C21+HISTOBQUENOV22!C21+HISTOBQUEDEC22!C21</f>
        <v>360000</v>
      </c>
      <c r="D21" s="13">
        <f>+HISTOBQUEJANV22!D21+HISTOBQUEFEV22!D21+HISTOBQUEMARS22!D21+HISTOBQUEAVRIL22!D21+HISTOBQUEMAI22!D21+HISTOBQUEJUIN22!D21+HISTOBQUEJUIL22!D21+HISTOBQUEAOUT22!D21+HISTOBQUESEPT22!D21+HISTOBQUEOCT22!D21+HISTOBQUENOV22!D21+HISTOBQUEDEC22!D21</f>
        <v>0</v>
      </c>
      <c r="E21" s="13">
        <f>+HISTOBQUEJANV22!E21+HISTOBQUEFEV22!E21+HISTOBQUEMARS22!E21+HISTOBQUEAVRIL22!E21+HISTOBQUEMAI22!E21+HISTOBQUEJUIN22!E21+HISTOBQUEJUIL22!E21+HISTOBQUEAOUT22!E21+HISTOBQUESEPT22!E21+HISTOBQUEOCT22!E21+HISTOBQUENOV22!E21+HISTOBQUEDEC22!E21</f>
        <v>70000</v>
      </c>
      <c r="F21" s="16">
        <f t="shared" si="0"/>
        <v>430000</v>
      </c>
      <c r="G21" s="16"/>
      <c r="H21" s="19"/>
    </row>
    <row r="22" spans="1:8" ht="18" x14ac:dyDescent="0.25">
      <c r="A22" s="11" t="s">
        <v>23</v>
      </c>
      <c r="B22" s="12" t="str">
        <f>VLOOKUP(A22,[5]LISTADHERENT!A$5:H$60,3,0)</f>
        <v>NANKAM APPOLINAIRE</v>
      </c>
      <c r="C22" s="13">
        <f>+HISTOBQUEJANV22!C22+HISTOBQUEFEV22!C22+HISTOBQUEMARS22!C22+HISTOBQUEAVRIL22!C22+HISTOBQUEMAI22!C22+HISTOBQUEJUIN22!C22+HISTOBQUEJUIL22!C22+HISTOBQUEAOUT22!C22+HISTOBQUESEPT22!C22+HISTOBQUEOCT22!C22+HISTOBQUENOV22!C22+HISTOBQUEDEC22!C22</f>
        <v>3184000</v>
      </c>
      <c r="D22" s="13">
        <f>+HISTOBQUEJANV22!D22+HISTOBQUEFEV22!D22+HISTOBQUEMARS22!D22+HISTOBQUEAVRIL22!D22+HISTOBQUEMAI22!D22+HISTOBQUEJUIN22!D22+HISTOBQUEJUIL22!D22+HISTOBQUEAOUT22!D22+HISTOBQUESEPT22!D22+HISTOBQUEOCT22!D22+HISTOBQUENOV22!D22+HISTOBQUEDEC22!D22</f>
        <v>0</v>
      </c>
      <c r="E22" s="13">
        <f>+HISTOBQUEJANV22!E22+HISTOBQUEFEV22!E22+HISTOBQUEMARS22!E22+HISTOBQUEAVRIL22!E22+HISTOBQUEMAI22!E22+HISTOBQUEJUIN22!E22+HISTOBQUEJUIL22!E22+HISTOBQUEAOUT22!E22+HISTOBQUESEPT22!E22+HISTOBQUEOCT22!E22+HISTOBQUENOV22!E22+HISTOBQUEDEC22!E22</f>
        <v>1071000</v>
      </c>
      <c r="F22" s="16">
        <f t="shared" si="0"/>
        <v>4255000</v>
      </c>
      <c r="G22" s="16"/>
      <c r="H22" s="19"/>
    </row>
    <row r="23" spans="1:8" ht="18" x14ac:dyDescent="0.25">
      <c r="A23" s="11" t="s">
        <v>24</v>
      </c>
      <c r="B23" s="12" t="str">
        <f>VLOOKUP(A23,[5]LISTADHERENT!A$5:H$60,3,0)</f>
        <v>NDJOMO ETIENNE</v>
      </c>
      <c r="C23" s="13">
        <f>+HISTOBQUEJANV22!C23+HISTOBQUEFEV22!C23+HISTOBQUEMARS22!C23+HISTOBQUEAVRIL22!C23+HISTOBQUEMAI22!C23+HISTOBQUEJUIN22!C23+HISTOBQUEJUIL22!C23+HISTOBQUEAOUT22!C23+HISTOBQUESEPT22!C23+HISTOBQUEOCT22!C23+HISTOBQUENOV22!C23+HISTOBQUEDEC22!C23</f>
        <v>2411000</v>
      </c>
      <c r="D23" s="13">
        <f>+HISTOBQUEJANV22!D23+HISTOBQUEFEV22!D23+HISTOBQUEMARS22!D23+HISTOBQUEAVRIL22!D23+HISTOBQUEMAI22!D23+HISTOBQUEJUIN22!D23+HISTOBQUEJUIL22!D23+HISTOBQUEAOUT22!D23+HISTOBQUESEPT22!D23+HISTOBQUEOCT22!D23+HISTOBQUENOV22!D23+HISTOBQUEDEC22!D23</f>
        <v>101000</v>
      </c>
      <c r="E23" s="13">
        <f>+HISTOBQUEJANV22!E23+HISTOBQUEFEV22!E23+HISTOBQUEMARS22!E23+HISTOBQUEAVRIL22!E23+HISTOBQUEMAI22!E23+HISTOBQUEJUIN22!E23+HISTOBQUEJUIL22!E23+HISTOBQUEAOUT22!E23+HISTOBQUESEPT22!E23+HISTOBQUEOCT22!E23+HISTOBQUENOV22!E23+HISTOBQUEDEC22!E23</f>
        <v>0</v>
      </c>
      <c r="F23" s="16">
        <f t="shared" si="0"/>
        <v>2512000</v>
      </c>
      <c r="G23" s="16"/>
      <c r="H23" s="19"/>
    </row>
    <row r="24" spans="1:8" ht="18" x14ac:dyDescent="0.25">
      <c r="A24" s="11" t="s">
        <v>25</v>
      </c>
      <c r="B24" s="12" t="str">
        <f>VLOOKUP(A24,[5]LISTADHERENT!A$5:H$60,3,0)</f>
        <v>NGONDIEP CLAUDE</v>
      </c>
      <c r="C24" s="13">
        <f>+HISTOBQUEJANV22!C24+HISTOBQUEFEV22!C24+HISTOBQUEMARS22!C24+HISTOBQUEAVRIL22!C24+HISTOBQUEMAI22!C24+HISTOBQUEJUIN22!C24+HISTOBQUEJUIL22!C24+HISTOBQUEAOUT22!C24+HISTOBQUESEPT22!C24+HISTOBQUEOCT22!C24+HISTOBQUENOV22!C24+HISTOBQUEDEC22!C24</f>
        <v>4311500</v>
      </c>
      <c r="D24" s="13">
        <f>+HISTOBQUEJANV22!D24+HISTOBQUEFEV22!D24+HISTOBQUEMARS22!D24+HISTOBQUEAVRIL22!D24+HISTOBQUEMAI22!D24+HISTOBQUEJUIN22!D24+HISTOBQUEJUIL22!D24+HISTOBQUEAOUT22!D24+HISTOBQUESEPT22!D24+HISTOBQUEOCT22!D24+HISTOBQUENOV22!D24+HISTOBQUEDEC22!D24</f>
        <v>309500</v>
      </c>
      <c r="E24" s="13">
        <f>+HISTOBQUEJANV22!E24+HISTOBQUEFEV22!E24+HISTOBQUEMARS22!E24+HISTOBQUEAVRIL22!E24+HISTOBQUEMAI22!E24+HISTOBQUEJUIN22!E24+HISTOBQUEJUIL22!E24+HISTOBQUEAOUT22!E24+HISTOBQUESEPT22!E24+HISTOBQUEOCT22!E24+HISTOBQUENOV22!E24+HISTOBQUEDEC22!E24</f>
        <v>0</v>
      </c>
      <c r="F24" s="16">
        <f t="shared" si="0"/>
        <v>4621000</v>
      </c>
      <c r="G24" s="16"/>
      <c r="H24" s="19"/>
    </row>
    <row r="25" spans="1:8" ht="18" x14ac:dyDescent="0.25">
      <c r="A25" s="11" t="s">
        <v>26</v>
      </c>
      <c r="B25" s="12" t="str">
        <f>VLOOKUP(A25,[5]LISTADHERENT!A$5:H$60,3,0)</f>
        <v>NGUIEMEGNI MATHIEU BLAISE</v>
      </c>
      <c r="C25" s="13">
        <f>+HISTOBQUEJANV22!C25+HISTOBQUEFEV22!C25+HISTOBQUEMARS22!C25+HISTOBQUEAVRIL22!C25+HISTOBQUEMAI22!C25+HISTOBQUEJUIN22!C25+HISTOBQUEJUIL22!C25+HISTOBQUEAOUT22!C25+HISTOBQUESEPT22!C25+HISTOBQUEOCT22!C25+HISTOBQUENOV22!C25+HISTOBQUEDEC22!C25</f>
        <v>5362000</v>
      </c>
      <c r="D25" s="13">
        <f>+HISTOBQUEJANV22!D25+HISTOBQUEFEV22!D25+HISTOBQUEMARS22!D25+HISTOBQUEAVRIL22!D25+HISTOBQUEMAI22!D25+HISTOBQUEJUIN22!D25+HISTOBQUEJUIL22!D25+HISTOBQUEAOUT22!D25+HISTOBQUESEPT22!D25+HISTOBQUEOCT22!D25+HISTOBQUENOV22!D25+HISTOBQUEDEC22!D25</f>
        <v>0</v>
      </c>
      <c r="E25" s="13">
        <f>+HISTOBQUEJANV22!E25+HISTOBQUEFEV22!E25+HISTOBQUEMARS22!E25+HISTOBQUEAVRIL22!E25+HISTOBQUEMAI22!E25+HISTOBQUEJUIN22!E25+HISTOBQUEJUIL22!E25+HISTOBQUEAOUT22!E25+HISTOBQUESEPT22!E25+HISTOBQUEOCT22!E25+HISTOBQUENOV22!E25+HISTOBQUEDEC22!E25</f>
        <v>0</v>
      </c>
      <c r="F25" s="16">
        <f t="shared" si="0"/>
        <v>5362000</v>
      </c>
      <c r="G25" s="16"/>
      <c r="H25" s="19"/>
    </row>
    <row r="26" spans="1:8" ht="18" x14ac:dyDescent="0.25">
      <c r="A26" s="11" t="s">
        <v>27</v>
      </c>
      <c r="B26" s="12" t="str">
        <f>VLOOKUP(A26,[5]LISTADHERENT!A$5:H$60,3,0)</f>
        <v>NKAMGANG JUSTIN DEJOLIE</v>
      </c>
      <c r="C26" s="13">
        <f>+HISTOBQUEJANV22!C26+HISTOBQUEFEV22!C26+HISTOBQUEMARS22!C26+HISTOBQUEAVRIL22!C26+HISTOBQUEMAI22!C26+HISTOBQUEJUIN22!C26+HISTOBQUEJUIL22!C26+HISTOBQUEAOUT22!C26+HISTOBQUESEPT22!C26+HISTOBQUEOCT22!C26+HISTOBQUENOV22!C26+HISTOBQUEDEC22!C26</f>
        <v>2800500</v>
      </c>
      <c r="D26" s="13">
        <f>+HISTOBQUEJANV22!D26+HISTOBQUEFEV22!D26+HISTOBQUEMARS22!D26+HISTOBQUEAVRIL22!D26+HISTOBQUEMAI22!D26+HISTOBQUEJUIN22!D26+HISTOBQUEJUIL22!D26+HISTOBQUEAOUT22!D26+HISTOBQUESEPT22!D26+HISTOBQUEOCT22!D26+HISTOBQUENOV22!D26+HISTOBQUEDEC22!D26</f>
        <v>446500</v>
      </c>
      <c r="E26" s="13">
        <f>+HISTOBQUEJANV22!E26+HISTOBQUEFEV22!E26+HISTOBQUEMARS22!E26+HISTOBQUEAVRIL22!E26+HISTOBQUEMAI22!E26+HISTOBQUEJUIN22!E26+HISTOBQUEJUIL22!E26+HISTOBQUEAOUT22!E26+HISTOBQUESEPT22!E26+HISTOBQUEOCT22!E26+HISTOBQUENOV22!E26+HISTOBQUEDEC22!E26</f>
        <v>0</v>
      </c>
      <c r="F26" s="16">
        <f t="shared" si="0"/>
        <v>3247000</v>
      </c>
      <c r="G26" s="16"/>
      <c r="H26" s="19"/>
    </row>
    <row r="27" spans="1:8" ht="18" x14ac:dyDescent="0.25">
      <c r="A27" s="11" t="s">
        <v>28</v>
      </c>
      <c r="B27" s="12" t="str">
        <f>VLOOKUP(A27,[5]LISTADHERENT!A$5:H$60,3,0)</f>
        <v>NKEHE DAVID</v>
      </c>
      <c r="C27" s="13">
        <f>+HISTOBQUEJANV22!C27+HISTOBQUEFEV22!C27+HISTOBQUEMARS22!C27+HISTOBQUEAVRIL22!C27+HISTOBQUEMAI22!C27+HISTOBQUEJUIN22!C27+HISTOBQUEJUIL22!C27+HISTOBQUEAOUT22!C27+HISTOBQUESEPT22!C27+HISTOBQUEOCT22!C27+HISTOBQUENOV22!C27+HISTOBQUEDEC22!C27</f>
        <v>630000</v>
      </c>
      <c r="D27" s="13">
        <f>+HISTOBQUEJANV22!D27+HISTOBQUEFEV22!D27+HISTOBQUEMARS22!D27+HISTOBQUEAVRIL22!D27+HISTOBQUEMAI22!D27+HISTOBQUEJUIN22!D27+HISTOBQUEJUIL22!D27+HISTOBQUEAOUT22!D27+HISTOBQUESEPT22!D27+HISTOBQUEOCT22!D27+HISTOBQUENOV22!D27+HISTOBQUEDEC22!D27</f>
        <v>0</v>
      </c>
      <c r="E27" s="13">
        <f>+HISTOBQUEJANV22!E27+HISTOBQUEFEV22!E27+HISTOBQUEMARS22!E27+HISTOBQUEAVRIL22!E27+HISTOBQUEMAI22!E27+HISTOBQUEJUIN22!E27+HISTOBQUEJUIL22!E27+HISTOBQUEAOUT22!E27+HISTOBQUESEPT22!E27+HISTOBQUEOCT22!E27+HISTOBQUENOV22!E27+HISTOBQUEDEC22!E27</f>
        <v>0</v>
      </c>
      <c r="F27" s="16">
        <f t="shared" si="0"/>
        <v>630000</v>
      </c>
      <c r="G27" s="16"/>
      <c r="H27" s="19"/>
    </row>
    <row r="28" spans="1:8" ht="18" x14ac:dyDescent="0.25">
      <c r="A28" s="11" t="s">
        <v>29</v>
      </c>
      <c r="B28" s="12" t="str">
        <f>VLOOKUP(A28,[5]LISTADHERENT!A$5:H$60,3,0)</f>
        <v>NKEPSEU DIEUDONNE</v>
      </c>
      <c r="C28" s="13">
        <f>+HISTOBQUEJANV22!C28+HISTOBQUEFEV22!C28+HISTOBQUEMARS22!C28+HISTOBQUEAVRIL22!C28+HISTOBQUEMAI22!C28+HISTOBQUEJUIN22!C28+HISTOBQUEJUIL22!C28+HISTOBQUEAOUT22!C28+HISTOBQUESEPT22!C28+HISTOBQUEOCT22!C28+HISTOBQUENOV22!C28+HISTOBQUEDEC22!C28</f>
        <v>3312000</v>
      </c>
      <c r="D28" s="13">
        <f>+HISTOBQUEJANV22!D28+HISTOBQUEFEV22!D28+HISTOBQUEMARS22!D28+HISTOBQUEAVRIL22!D28+HISTOBQUEMAI22!D28+HISTOBQUEJUIN22!D28+HISTOBQUEJUIL22!D28+HISTOBQUEAOUT22!D28+HISTOBQUESEPT22!D28+HISTOBQUEOCT22!D28+HISTOBQUENOV22!D28+HISTOBQUEDEC22!D28</f>
        <v>0</v>
      </c>
      <c r="E28" s="13">
        <f>+HISTOBQUEJANV22!E28+HISTOBQUEFEV22!E28+HISTOBQUEMARS22!E28+HISTOBQUEAVRIL22!E28+HISTOBQUEMAI22!E28+HISTOBQUEJUIN22!E28+HISTOBQUEJUIL22!E28+HISTOBQUEAOUT22!E28+HISTOBQUESEPT22!E28+HISTOBQUEOCT22!E28+HISTOBQUENOV22!E28+HISTOBQUEDEC22!E28</f>
        <v>0</v>
      </c>
      <c r="F28" s="16">
        <f t="shared" si="0"/>
        <v>3312000</v>
      </c>
      <c r="G28" s="16"/>
      <c r="H28" s="19"/>
    </row>
    <row r="29" spans="1:8" ht="18" x14ac:dyDescent="0.25">
      <c r="A29" s="11" t="s">
        <v>30</v>
      </c>
      <c r="B29" s="12" t="str">
        <f>VLOOKUP(A29,[5]LISTADHERENT!A$5:H$60,3,0)</f>
        <v>PATEGO NJOSSU GUSTAVE</v>
      </c>
      <c r="C29" s="13">
        <f>+HISTOBQUEJANV22!C29+HISTOBQUEFEV22!C29+HISTOBQUEMARS22!C29+HISTOBQUEAVRIL22!C29+HISTOBQUEMAI22!C29+HISTOBQUEJUIN22!C29+HISTOBQUEJUIL22!C29+HISTOBQUEAOUT22!C29+HISTOBQUESEPT22!C29+HISTOBQUEOCT22!C29+HISTOBQUENOV22!C29+HISTOBQUEDEC22!C29</f>
        <v>1260000</v>
      </c>
      <c r="D29" s="13">
        <f>+HISTOBQUEJANV22!D29+HISTOBQUEFEV22!D29+HISTOBQUEMARS22!D29+HISTOBQUEAVRIL22!D29+HISTOBQUEMAI22!D29+HISTOBQUEJUIN22!D29+HISTOBQUEJUIL22!D29+HISTOBQUEAOUT22!D29+HISTOBQUESEPT22!D29+HISTOBQUEOCT22!D29+HISTOBQUENOV22!D29+HISTOBQUEDEC22!D29</f>
        <v>0</v>
      </c>
      <c r="E29" s="13">
        <f>+HISTOBQUEJANV22!E29+HISTOBQUEFEV22!E29+HISTOBQUEMARS22!E29+HISTOBQUEAVRIL22!E29+HISTOBQUEMAI22!E29+HISTOBQUEJUIN22!E29+HISTOBQUEJUIL22!E29+HISTOBQUEAOUT22!E29+HISTOBQUESEPT22!E29+HISTOBQUEOCT22!E29+HISTOBQUENOV22!E29+HISTOBQUEDEC22!E29</f>
        <v>70000</v>
      </c>
      <c r="F29" s="16">
        <f t="shared" si="0"/>
        <v>1330000</v>
      </c>
      <c r="G29" s="16"/>
      <c r="H29" s="19"/>
    </row>
    <row r="30" spans="1:8" ht="18" x14ac:dyDescent="0.25">
      <c r="A30" s="11" t="s">
        <v>31</v>
      </c>
      <c r="B30" s="12" t="str">
        <f>VLOOKUP(A30,[5]LISTADHERENT!A$5:H$60,3,0)</f>
        <v>SIME BRICE</v>
      </c>
      <c r="C30" s="13">
        <f>+HISTOBQUEJANV22!C30+HISTOBQUEFEV22!C30+HISTOBQUEMARS22!C30+HISTOBQUEAVRIL22!C30+HISTOBQUEMAI22!C30+HISTOBQUEJUIN22!C30+HISTOBQUEJUIL22!C30+HISTOBQUEAOUT22!C30+HISTOBQUESEPT22!C30+HISTOBQUEOCT22!C30+HISTOBQUENOV22!C30+HISTOBQUEDEC22!C30</f>
        <v>945000</v>
      </c>
      <c r="D30" s="13">
        <f>+HISTOBQUEJANV22!D30+HISTOBQUEFEV22!D30+HISTOBQUEMARS22!D30+HISTOBQUEAVRIL22!D30+HISTOBQUEMAI22!D30+HISTOBQUEJUIN22!D30+HISTOBQUEJUIL22!D30+HISTOBQUEAOUT22!D30+HISTOBQUESEPT22!D30+HISTOBQUEOCT22!D30+HISTOBQUENOV22!D30+HISTOBQUEDEC22!D30</f>
        <v>321000</v>
      </c>
      <c r="E30" s="13">
        <f>+HISTOBQUEJANV22!E30+HISTOBQUEFEV22!E30+HISTOBQUEMARS22!E30+HISTOBQUEAVRIL22!E30+HISTOBQUEMAI22!E30+HISTOBQUEJUIN22!E30+HISTOBQUEJUIL22!E30+HISTOBQUEAOUT22!E30+HISTOBQUESEPT22!E30+HISTOBQUEOCT22!E30+HISTOBQUENOV22!E30+HISTOBQUEDEC22!E30</f>
        <v>70000</v>
      </c>
      <c r="F30" s="16">
        <f t="shared" si="0"/>
        <v>1336000</v>
      </c>
      <c r="G30" s="16"/>
      <c r="H30" s="19"/>
    </row>
    <row r="31" spans="1:8" ht="18" x14ac:dyDescent="0.25">
      <c r="A31" s="11" t="s">
        <v>32</v>
      </c>
      <c r="B31" s="12" t="str">
        <f>VLOOKUP(A31,[5]LISTADHERENT!A$5:H$60,3,0)</f>
        <v>SIMO FONGANG ERIC</v>
      </c>
      <c r="C31" s="13">
        <f>+HISTOBQUEJANV22!C31+HISTOBQUEFEV22!C31+HISTOBQUEMARS22!C31+HISTOBQUEAVRIL22!C31+HISTOBQUEMAI22!C31+HISTOBQUEJUIN22!C31+HISTOBQUEJUIL22!C31+HISTOBQUEAOUT22!C31+HISTOBQUESEPT22!C31+HISTOBQUEOCT22!C31+HISTOBQUENOV22!C31+HISTOBQUEDEC22!C31</f>
        <v>0</v>
      </c>
      <c r="D31" s="13">
        <f>+HISTOBQUEJANV22!D31+HISTOBQUEFEV22!D31+HISTOBQUEMARS22!D31+HISTOBQUEAVRIL22!D31+HISTOBQUEMAI22!D31+HISTOBQUEJUIN22!D31+HISTOBQUEJUIL22!D31+HISTOBQUEAOUT22!D31+HISTOBQUESEPT22!D31+HISTOBQUEOCT22!D31+HISTOBQUENOV22!D31+HISTOBQUEDEC22!D31</f>
        <v>0</v>
      </c>
      <c r="E31" s="13">
        <f>+HISTOBQUEJANV22!E31+HISTOBQUEFEV22!E31+HISTOBQUEMARS22!E31+HISTOBQUEAVRIL22!E31+HISTOBQUEMAI22!E31+HISTOBQUEJUIN22!E31+HISTOBQUEJUIL22!E31+HISTOBQUEAOUT22!E31+HISTOBQUESEPT22!E31+HISTOBQUEOCT22!E31+HISTOBQUENOV22!E31+HISTOBQUEDEC22!E31</f>
        <v>0</v>
      </c>
      <c r="F31" s="16">
        <f t="shared" si="0"/>
        <v>0</v>
      </c>
      <c r="G31" s="16"/>
      <c r="H31" s="19"/>
    </row>
    <row r="32" spans="1:8" ht="18" x14ac:dyDescent="0.25">
      <c r="A32" s="11" t="s">
        <v>33</v>
      </c>
      <c r="B32" s="12" t="str">
        <f>VLOOKUP(A32,[5]LISTADHERENT!A$5:H$60,3,0)</f>
        <v>SIMO PIERRE</v>
      </c>
      <c r="C32" s="13">
        <f>+HISTOBQUEJANV22!C32+HISTOBQUEFEV22!C32+HISTOBQUEMARS22!C32+HISTOBQUEAVRIL22!C32+HISTOBQUEMAI22!C32+HISTOBQUEJUIN22!C32+HISTOBQUEJUIL22!C32+HISTOBQUEAOUT22!C32+HISTOBQUESEPT22!C32+HISTOBQUEOCT22!C32+HISTOBQUENOV22!C32+HISTOBQUEDEC22!C32</f>
        <v>2656000</v>
      </c>
      <c r="D32" s="13">
        <f>+HISTOBQUEJANV22!D32+HISTOBQUEFEV22!D32+HISTOBQUEMARS22!D32+HISTOBQUEAVRIL22!D32+HISTOBQUEMAI22!D32+HISTOBQUEJUIN22!D32+HISTOBQUEJUIL22!D32+HISTOBQUEAOUT22!D32+HISTOBQUESEPT22!D32+HISTOBQUEOCT22!D32+HISTOBQUENOV22!D32+HISTOBQUEDEC22!D32</f>
        <v>10000</v>
      </c>
      <c r="E32" s="13">
        <f>+HISTOBQUEJANV22!E32+HISTOBQUEFEV22!E32+HISTOBQUEMARS22!E32+HISTOBQUEAVRIL22!E32+HISTOBQUEMAI22!E32+HISTOBQUEJUIN22!E32+HISTOBQUEJUIL22!E32+HISTOBQUEAOUT22!E32+HISTOBQUESEPT22!E32+HISTOBQUEOCT22!E32+HISTOBQUENOV22!E32+HISTOBQUEDEC22!E32</f>
        <v>0</v>
      </c>
      <c r="F32" s="16">
        <f t="shared" si="0"/>
        <v>2666000</v>
      </c>
      <c r="G32" s="16"/>
      <c r="H32" s="19"/>
    </row>
    <row r="33" spans="1:8" ht="18" x14ac:dyDescent="0.25">
      <c r="A33" s="11" t="s">
        <v>34</v>
      </c>
      <c r="B33" s="12" t="str">
        <f>VLOOKUP(A33,[5]LISTADHERENT!A$5:H$60,3,0)</f>
        <v>TCHOUAMOU MATHIEU</v>
      </c>
      <c r="C33" s="13">
        <f>+HISTOBQUEJANV22!C33+HISTOBQUEFEV22!C33+HISTOBQUEMARS22!C33+HISTOBQUEAVRIL22!C33+HISTOBQUEMAI22!C33+HISTOBQUEJUIN22!C33+HISTOBQUEJUIL22!C33+HISTOBQUEAOUT22!C33+HISTOBQUESEPT22!C33+HISTOBQUEOCT22!C33+HISTOBQUENOV22!C33+HISTOBQUEDEC22!C33</f>
        <v>2364000</v>
      </c>
      <c r="D33" s="13">
        <f>+HISTOBQUEJANV22!D33+HISTOBQUEFEV22!D33+HISTOBQUEMARS22!D33+HISTOBQUEAVRIL22!D33+HISTOBQUEMAI22!D33+HISTOBQUEJUIN22!D33+HISTOBQUEJUIL22!D33+HISTOBQUEAOUT22!D33+HISTOBQUESEPT22!D33+HISTOBQUEOCT22!D33+HISTOBQUENOV22!D33+HISTOBQUEDEC22!D33</f>
        <v>0</v>
      </c>
      <c r="E33" s="13">
        <f>+HISTOBQUEJANV22!E33+HISTOBQUEFEV22!E33+HISTOBQUEMARS22!E33+HISTOBQUEAVRIL22!E33+HISTOBQUEMAI22!E33+HISTOBQUEJUIN22!E33+HISTOBQUEJUIL22!E33+HISTOBQUEAOUT22!E33+HISTOBQUESEPT22!E33+HISTOBQUEOCT22!E33+HISTOBQUENOV22!E33+HISTOBQUEDEC22!E33</f>
        <v>560000</v>
      </c>
      <c r="F33" s="16">
        <f t="shared" si="0"/>
        <v>2924000</v>
      </c>
      <c r="G33" s="16"/>
      <c r="H33" s="19"/>
    </row>
    <row r="34" spans="1:8" ht="18" x14ac:dyDescent="0.25">
      <c r="A34" s="11" t="s">
        <v>35</v>
      </c>
      <c r="B34" s="12" t="str">
        <f>VLOOKUP(A34,[5]LISTADHERENT!A$5:H$60,3,0)</f>
        <v>TIEYAM ERNEST</v>
      </c>
      <c r="C34" s="13">
        <f>+HISTOBQUEJANV22!C34+HISTOBQUEFEV22!C34+HISTOBQUEMARS22!C34+HISTOBQUEAVRIL22!C34+HISTOBQUEMAI22!C34+HISTOBQUEJUIN22!C34+HISTOBQUEJUIL22!C34+HISTOBQUEAOUT22!C34+HISTOBQUESEPT22!C34+HISTOBQUEOCT22!C34+HISTOBQUENOV22!C34+HISTOBQUEDEC22!C34</f>
        <v>90000</v>
      </c>
      <c r="D34" s="13">
        <f>+HISTOBQUEJANV22!D34+HISTOBQUEFEV22!D34+HISTOBQUEMARS22!D34+HISTOBQUEAVRIL22!D34+HISTOBQUEMAI22!D34+HISTOBQUEJUIN22!D34+HISTOBQUEJUIL22!D34+HISTOBQUEAOUT22!D34+HISTOBQUESEPT22!D34+HISTOBQUEOCT22!D34+HISTOBQUENOV22!D34+HISTOBQUEDEC22!D34</f>
        <v>0</v>
      </c>
      <c r="E34" s="13">
        <f>+HISTOBQUEJANV22!E34+HISTOBQUEFEV22!E34+HISTOBQUEMARS22!E34+HISTOBQUEAVRIL22!E34+HISTOBQUEMAI22!E34+HISTOBQUEJUIN22!E34+HISTOBQUEJUIL22!E34+HISTOBQUEAOUT22!E34+HISTOBQUESEPT22!E34+HISTOBQUEOCT22!E34+HISTOBQUENOV22!E34+HISTOBQUEDEC22!E34</f>
        <v>0</v>
      </c>
      <c r="F34" s="16">
        <f t="shared" si="0"/>
        <v>90000</v>
      </c>
      <c r="G34" s="16"/>
      <c r="H34" s="19"/>
    </row>
    <row r="35" spans="1:8" ht="18" x14ac:dyDescent="0.25">
      <c r="A35" s="11" t="s">
        <v>36</v>
      </c>
      <c r="B35" s="12" t="str">
        <f>VLOOKUP(A35,[5]LISTADHERENT!A$5:H$60,3,0)</f>
        <v>YEPMOU JEAN JACQUES</v>
      </c>
      <c r="C35" s="13">
        <f>+HISTOBQUEJANV22!C35+HISTOBQUEFEV22!C35+HISTOBQUEMARS22!C35+HISTOBQUEAVRIL22!C35+HISTOBQUEMAI22!C35+HISTOBQUEJUIN22!C35+HISTOBQUEJUIL22!C35+HISTOBQUEAOUT22!C35+HISTOBQUESEPT22!C35+HISTOBQUEOCT22!C35+HISTOBQUENOV22!C35+HISTOBQUEDEC22!C35</f>
        <v>1191250</v>
      </c>
      <c r="D35" s="13">
        <f>+HISTOBQUEJANV22!D35+HISTOBQUEFEV22!D35+HISTOBQUEMARS22!D35+HISTOBQUEAVRIL22!D35+HISTOBQUEMAI22!D35+HISTOBQUEJUIN22!D35+HISTOBQUEJUIL22!D35+HISTOBQUEAOUT22!D35+HISTOBQUESEPT22!D35+HISTOBQUEOCT22!D35+HISTOBQUENOV22!D35+HISTOBQUEDEC22!D35</f>
        <v>159000</v>
      </c>
      <c r="E35" s="13">
        <f>+HISTOBQUEJANV22!E35+HISTOBQUEFEV22!E35+HISTOBQUEMARS22!E35+HISTOBQUEAVRIL22!E35+HISTOBQUEMAI22!E35+HISTOBQUEJUIN22!E35+HISTOBQUEJUIL22!E35+HISTOBQUEAOUT22!E35+HISTOBQUESEPT22!E35+HISTOBQUEOCT22!E35+HISTOBQUENOV22!E35+HISTOBQUEDEC22!E35</f>
        <v>213750</v>
      </c>
      <c r="F35" s="16">
        <f t="shared" si="0"/>
        <v>1564000</v>
      </c>
      <c r="G35" s="16"/>
      <c r="H35" s="19"/>
    </row>
    <row r="36" spans="1:8" ht="18" x14ac:dyDescent="0.25">
      <c r="A36" s="11" t="s">
        <v>37</v>
      </c>
      <c r="B36" s="12" t="str">
        <f>VLOOKUP(A36,[5]LISTADHERENT!A$5:H$60,3,0)</f>
        <v>YOUMBI EMMANUEL</v>
      </c>
      <c r="C36" s="13">
        <f>+HISTOBQUEJANV22!C36+HISTOBQUEFEV22!C36+HISTOBQUEMARS22!C36+HISTOBQUEAVRIL22!C36+HISTOBQUEMAI22!C36+HISTOBQUEJUIN22!C36+HISTOBQUEJUIL22!C36+HISTOBQUEAOUT22!C36+HISTOBQUESEPT22!C36+HISTOBQUEOCT22!C36+HISTOBQUENOV22!C36+HISTOBQUEDEC22!C36</f>
        <v>3080000</v>
      </c>
      <c r="D36" s="13">
        <f>+HISTOBQUEJANV22!D36+HISTOBQUEFEV22!D36+HISTOBQUEMARS22!D36+HISTOBQUEAVRIL22!D36+HISTOBQUEMAI22!D36+HISTOBQUEJUIN22!D36+HISTOBQUEJUIL22!D36+HISTOBQUEAOUT22!D36+HISTOBQUESEPT22!D36+HISTOBQUEOCT22!D36+HISTOBQUENOV22!D36+HISTOBQUEDEC22!D36</f>
        <v>283000</v>
      </c>
      <c r="E36" s="13">
        <f>+HISTOBQUEJANV22!E36+HISTOBQUEFEV22!E36+HISTOBQUEMARS22!E36+HISTOBQUEAVRIL22!E36+HISTOBQUEMAI22!E36+HISTOBQUEJUIN22!E36+HISTOBQUEJUIL22!E36+HISTOBQUEAOUT22!E36+HISTOBQUESEPT22!E36+HISTOBQUEOCT22!E36+HISTOBQUENOV22!E36+HISTOBQUEDEC22!E36</f>
        <v>0</v>
      </c>
      <c r="F36" s="16">
        <f t="shared" si="0"/>
        <v>3363000</v>
      </c>
      <c r="G36" s="16"/>
      <c r="H36" s="19"/>
    </row>
    <row r="37" spans="1:8" x14ac:dyDescent="0.25">
      <c r="A37" s="17"/>
      <c r="B37" s="18"/>
      <c r="C37" s="18"/>
      <c r="D37" s="18"/>
      <c r="E37" s="18"/>
      <c r="F37" s="18"/>
      <c r="G37" s="18"/>
      <c r="H37" s="19"/>
    </row>
    <row r="38" spans="1:8" ht="18.75" thickBot="1" x14ac:dyDescent="0.3">
      <c r="A38" s="20"/>
      <c r="B38" s="21" t="s">
        <v>38</v>
      </c>
      <c r="C38" s="22">
        <f>SUM(C7:C37)</f>
        <v>68341750</v>
      </c>
      <c r="D38" s="22">
        <f>SUM(D7:D37)</f>
        <v>3187000</v>
      </c>
      <c r="E38" s="22">
        <f>SUM(E7:E37)</f>
        <v>7768750</v>
      </c>
      <c r="F38" s="22">
        <f t="shared" ref="F38:H38" si="1">SUM(F7:F37)</f>
        <v>79297500</v>
      </c>
      <c r="G38" s="22">
        <f t="shared" si="1"/>
        <v>0</v>
      </c>
      <c r="H38" s="23">
        <f t="shared" si="1"/>
        <v>0</v>
      </c>
    </row>
    <row r="39" spans="1:8" ht="15.75" thickTop="1" x14ac:dyDescent="0.25"/>
  </sheetData>
  <autoFilter ref="A5:F36"/>
  <mergeCells count="1">
    <mergeCell ref="B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16</vt:i4>
      </vt:variant>
      <vt:variant>
        <vt:lpstr>Plages nommées</vt:lpstr>
      </vt:variant>
      <vt:variant>
        <vt:i4>1</vt:i4>
      </vt:variant>
    </vt:vector>
  </HeadingPairs>
  <TitlesOfParts>
    <vt:vector size="17" baseType="lpstr">
      <vt:lpstr>MODEVERSEMENT</vt:lpstr>
      <vt:lpstr>COMPTE BANQUE</vt:lpstr>
      <vt:lpstr>HISTOBQUEJANV23</vt:lpstr>
      <vt:lpstr>HISTOBQUEJANV22</vt:lpstr>
      <vt:lpstr>HISTOBQUEFEV22</vt:lpstr>
      <vt:lpstr>HISTOBQUEMARS22</vt:lpstr>
      <vt:lpstr>HISTOBQUEAVRIL22</vt:lpstr>
      <vt:lpstr>HISTOBQUEMAI22</vt:lpstr>
      <vt:lpstr>HISTOBQUEJUIN22</vt:lpstr>
      <vt:lpstr>HISTOBQUEJUIL22</vt:lpstr>
      <vt:lpstr>HISTOBQUEAOUT22</vt:lpstr>
      <vt:lpstr>HISTOBQUESEPT22</vt:lpstr>
      <vt:lpstr>HISTOBQUEOCT22</vt:lpstr>
      <vt:lpstr>HISTOBQUENOV22</vt:lpstr>
      <vt:lpstr>HISTOBQUEDEC22</vt:lpstr>
      <vt:lpstr>HISTOBQUERESUME22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DJUOMBESSY</cp:lastModifiedBy>
  <dcterms:created xsi:type="dcterms:W3CDTF">2020-11-14T09:26:22Z</dcterms:created>
  <dcterms:modified xsi:type="dcterms:W3CDTF">2023-01-15T08:48:42Z</dcterms:modified>
</cp:coreProperties>
</file>