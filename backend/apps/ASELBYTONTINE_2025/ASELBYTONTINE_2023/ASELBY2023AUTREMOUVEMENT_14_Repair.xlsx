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HOTCHO BENJAMIN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sharedStrings.xml><?xml version="1.0" encoding="utf-8"?>
<sst xmlns="http://schemas.openxmlformats.org/spreadsheetml/2006/main" count="4707" uniqueCount="206">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</sst>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M6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525000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1002000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975000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100000</v>
      </c>
      <c r="BK6" s="9">
        <f>HISTOJANV24!BK6+HISTOFEV24!BK6+HISTOMARS24!BK6+HISTOAVRIL24!BK6+HISTOMAI24!BK6+HISTOJUIN24!BK6+HISTOJUIL24!BK6+HISTOAOUT24!BK6+HISTOSEPT24!BK6+HISTOOCT24!BK6+HISTONOV24!BK6+HISTODEC24!BK6</f>
        <v>300000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61000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0</v>
      </c>
      <c r="H7" s="10"/>
      <c r="I7" s="9">
        <f>HISTOJANV24!I7+HISTOFEV24!I7+HISTOMARS24!I7+HISTOAVRIL24!I7+HISTOMAI24!I7+HISTOJUIN24!I7+HISTOJUIL24!I7+HISTOAOUT24!I7+HISTOSEPT24!I7+HISTOOCT24!I7+HISTONOV24!I7+HISTODEC24!I7</f>
        <v>22000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133000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47000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375000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750000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457500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25000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430000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102000</v>
      </c>
      <c r="Q10" s="9">
        <f>HISTOJANV24!Q10+HISTOFEV24!Q10+HISTOMARS24!Q10+HISTOAVRIL24!Q10+HISTOMAI24!Q10+HISTOJUIN24!Q10+HISTOJUIL24!Q10+HISTOAOUT24!Q10+HISTOSEPT24!Q10+HISTOOCT24!Q10+HISTONOV24!Q10+HISTODEC24!Q10</f>
        <v>102000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326000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100000</v>
      </c>
      <c r="AJ10" s="9">
        <f>HISTOJANV24!AJ10+HISTOFEV24!AJ10+HISTOMARS24!AJ10+HISTOAVRIL24!AJ10+HISTOMAI24!AJ10+HISTOJUIN24!AJ10+HISTOJUIL24!AJ10+HISTOAOUT24!AJ10+HISTOSEPT24!AJ10+HISTOOCT24!AJ10+HISTONOV24!AJ10+HISTODEC24!AJ10</f>
        <v>100000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2000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100000</v>
      </c>
      <c r="AX10" s="9">
        <f>HISTOJANV24!AX10+HISTOFEV24!AX10+HISTOMARS24!AX10+HISTOAVRIL24!AX10+HISTOMAI24!AX10+HISTOJUIN24!AX10+HISTOJUIL24!AX10+HISTOAOUT24!AX10+HISTOSEPT24!AX10+HISTOOCT24!AX10+HISTONOV24!AX10+HISTODEC24!AX10</f>
        <v>972000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1072000</v>
      </c>
      <c r="BA10" s="9">
        <f>HISTOJANV24!BA10+HISTOFEV24!BA10+HISTOMARS24!BA10+HISTOAVRIL24!BA10+HISTOMAI24!BA10+HISTOJUIN24!BA10+HISTOJUIL24!BA10+HISTOAOUT24!BA10+HISTOSEPT24!BA10+HISTOOCT24!BA10+HISTONOV24!BA10+HISTODEC24!BA10</f>
        <v>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1033000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477000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41000</v>
      </c>
      <c r="Q11" s="9">
        <f>HISTOJANV24!Q11+HISTOFEV24!Q11+HISTOMARS24!Q11+HISTOAVRIL24!Q11+HISTOMAI24!Q11+HISTOJUIN24!Q11+HISTOJUIL24!Q11+HISTOAOUT24!Q11+HISTOSEPT24!Q11+HISTOOCT24!Q11+HISTONOV24!Q11+HISTODEC24!Q11</f>
        <v>205000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1371000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40000</v>
      </c>
      <c r="AJ11" s="9">
        <f>HISTOJANV24!AJ11+HISTOFEV24!AJ11+HISTOMARS24!AJ11+HISTOAVRIL24!AJ11+HISTOMAI24!AJ11+HISTOJUIN24!AJ11+HISTOJUIL24!AJ11+HISTOAOUT24!AJ11+HISTOSEPT24!AJ11+HISTOOCT24!AJ11+HISTONOV24!AJ11+HISTODEC24!AJ11</f>
        <v>200000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1000</v>
      </c>
      <c r="AM11" s="9">
        <f>HISTOJANV24!AM11+HISTOFEV24!AM11+HISTOMARS24!AM11+HISTOAVRIL24!AM11+HISTOMAI24!AM11+HISTOJUIN24!AM11+HISTOJUIL24!AM11+HISTOAOUT24!AM11+HISTOSEPT24!AM11+HISTOOCT24!AM11+HISTONOV24!AM11+HISTODEC24!AM11</f>
        <v>5000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25000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324000</v>
      </c>
      <c r="AX11" s="9">
        <f>HISTOJANV24!AX11+HISTOFEV24!AX11+HISTOMARS24!AX11+HISTOAVRIL24!AX11+HISTOMAI24!AX11+HISTOJUIN24!AX11+HISTOJUIL24!AX11+HISTOAOUT24!AX11+HISTOSEPT24!AX11+HISTOOCT24!AX11+HISTONOV24!AX11+HISTODEC24!AX11</f>
        <v>1084000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1388000</v>
      </c>
      <c r="BA11" s="9">
        <f>HISTOJANV24!BA11+HISTOFEV24!BA11+HISTOMARS24!BA11+HISTOAVRIL24!BA11+HISTOMAI24!BA11+HISTOJUIN24!BA11+HISTOJUIL24!BA11+HISTOAOUT24!BA11+HISTOSEPT24!BA11+HISTOOCT24!BA11+HISTONOV24!BA11+HISTODEC24!BA11</f>
        <v>368000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918000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1122000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15000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472000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40000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150000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100000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375000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780000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105000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330000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130000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0</v>
      </c>
      <c r="AZ16" s="9">
        <f>HISTOJANV24!AZ16+HISTOFEV24!AZ16+HISTOMARS24!AZ16+HISTOAVRIL24!AZ16+HISTOMAI24!AZ16+HISTOJUIN24!AZ16+HISTOJUIL24!AZ16+HISTOAOUT24!AZ16+HISTOSEPT24!AZ16+HISTOOCT24!AZ16+HISTONOV24!AZ16+HISTODEC24!AZ16</f>
        <v>288000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288000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551000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470000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20000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202000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372000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200000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2000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45000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1360000</v>
      </c>
      <c r="AZ18" s="9">
        <f>HISTOJANV24!AZ18+HISTOFEV24!AZ18+HISTOMARS24!AZ18+HISTOAVRIL24!AZ18+HISTOMAI24!AZ18+HISTOJUIN24!AZ18+HISTOJUIL24!AZ18+HISTOAOUT24!AZ18+HISTOSEPT24!AZ18+HISTOOCT24!AZ18+HISTONOV24!AZ18+HISTODEC24!AZ18</f>
        <v>1647000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1647000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150000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877000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91000</v>
      </c>
      <c r="R20" s="9">
        <f>HISTOJANV24!R20+HISTOFEV24!R20+HISTOMARS24!R20+HISTOAVRIL24!R20+HISTOMAI24!R20+HISTOJUIN24!R20+HISTOJUIL24!R20+HISTOAOUT24!R20+HISTOSEPT24!R20+HISTOOCT24!R20+HISTONOV24!R20+HISTODEC24!R20</f>
        <v>404000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720000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89000</v>
      </c>
      <c r="AK20" s="9">
        <f>HISTOJANV24!AK20+HISTOFEV24!AK20+HISTOMARS24!AK20+HISTOAVRIL24!AK20+HISTOMAI24!AK20+HISTOJUIN24!AK20+HISTOJUIL24!AK20+HISTOAOUT24!AK20+HISTOSEPT24!AK20+HISTOOCT24!AK20+HISTONOV24!AK20+HISTODEC24!AK20</f>
        <v>400000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2000</v>
      </c>
      <c r="AN20" s="9">
        <f>HISTOJANV24!AN20+HISTOFEV24!AN20+HISTOMARS24!AN20+HISTOAVRIL24!AN20+HISTOMAI24!AN20+HISTOJUIN24!AN20+HISTOJUIL24!AN20+HISTOAOUT24!AN20+HISTOSEPT24!AN20+HISTOOCT24!AN20+HISTONOV24!AN20+HISTODEC24!AN20</f>
        <v>4000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25000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973000</v>
      </c>
      <c r="AY20" s="9">
        <f>HISTOJANV24!AY20+HISTOFEV24!AY20+HISTOMARS24!AY20+HISTOAVRIL24!AY20+HISTOMAI24!AY20+HISTOJUIN24!AY20+HISTOJUIL24!AY20+HISTOAOUT24!AY20+HISTOSEPT24!AY20+HISTOOCT24!AY20+HISTONOV24!AY20+HISTODEC24!AY20</f>
        <v>1485000</v>
      </c>
      <c r="AZ20" s="9">
        <f>HISTOJANV24!AZ20+HISTOFEV24!AZ20+HISTOMARS24!AZ20+HISTOAVRIL24!AZ20+HISTOMAI24!AZ20+HISTOJUIN24!AZ20+HISTOJUIL24!AZ20+HISTOAOUT24!AZ20+HISTOSEPT24!AZ20+HISTOOCT24!AZ20+HISTONOV24!AZ20+HISTODEC24!AZ20</f>
        <v>2458000</v>
      </c>
      <c r="BA20" s="9">
        <f>HISTOJANV24!BA20+HISTOFEV24!BA20+HISTOMARS24!BA20+HISTOAVRIL24!BA20+HISTOMAI24!BA20+HISTOJUIN24!BA20+HISTOJUIL24!BA20+HISTOAOUT24!BA20+HISTOSEPT24!BA20+HISTOOCT24!BA20+HISTONOV24!BA20+HISTODEC24!BA20</f>
        <v>345500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2112500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150000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375000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780000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30000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482000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55000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102000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357000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100000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2000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100000</v>
      </c>
      <c r="AZ24" s="9">
        <f>HISTOJANV24!AZ24+HISTOFEV24!AZ24+HISTOMARS24!AZ24+HISTOAVRIL24!AZ24+HISTOMAI24!AZ24+HISTOJUIN24!AZ24+HISTOJUIL24!AZ24+HISTOAOUT24!AZ24+HISTOSEPT24!AZ24+HISTOOCT24!AZ24+HISTONOV24!AZ24+HISTODEC24!AZ24</f>
        <v>100000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100000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1125000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303500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681500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300000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3500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25000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1375000</v>
      </c>
      <c r="AZ25" s="9">
        <f>HISTOJANV24!AZ25+HISTOFEV24!AZ25+HISTOMARS24!AZ25+HISTOAVRIL24!AZ25+HISTOMAI24!AZ25+HISTOJUIN24!AZ25+HISTOJUIL24!AZ25+HISTOAOUT24!AZ25+HISTOSEPT24!AZ25+HISTOOCT24!AZ25+HISTONOV24!AZ25+HISTODEC24!AZ25</f>
        <v>2210000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2110000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100000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150000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375000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652000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750000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700000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0</v>
      </c>
      <c r="AZ31" s="9">
        <f>HISTOJANV24!AZ31+HISTOFEV24!AZ31+HISTOMARS24!AZ31+HISTOAVRIL24!AZ31+HISTOMAI24!AZ31+HISTOJUIN24!AZ31+HISTOJUIL24!AZ31+HISTOAOUT24!AZ31+HISTOSEPT24!AZ31+HISTOOCT24!AZ31+HISTONOV24!AZ31+HISTODEC24!AZ31</f>
        <v>1000000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970000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375000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125000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0</v>
      </c>
      <c r="AD32" s="9">
        <f>HISTOJANV24!AD32+HISTOFEV24!AD32+HISTOMARS24!AD32+HISTOAVRIL24!AD32+HISTOMAI24!AD32+HISTOJUIN24!AD32+HISTOJUIL24!AD32+HISTOAOUT24!AD32+HISTOSEPT24!AD32+HISTOOCT24!AD32+HISTONOV24!AD32+HISTODEC24!AD32</f>
        <v>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0</v>
      </c>
      <c r="AX32" s="9">
        <f>HISTOJANV24!AX32+HISTOFEV24!AX32+HISTOMARS24!AX32+HISTOAVRIL24!AX32+HISTOMAI24!AX32+HISTOJUIN24!AX32+HISTOJUIL24!AX32+HISTOAOUT24!AX32+HISTOSEPT24!AX32+HISTOOCT24!AX32+HISTONOV24!AX32+HISTODEC24!AX32</f>
        <v>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940000</v>
      </c>
      <c r="BA32" s="9">
        <f>HISTOJANV24!BA32+HISTOFEV24!BA32+HISTOMARS24!BA32+HISTOAVRIL24!BA32+HISTOMAI24!BA32+HISTOJUIN24!BA32+HISTOJUIL24!BA32+HISTOAOUT24!BA32+HISTOSEPT24!BA32+HISTOOCT24!BA32+HISTONOV24!BA32+HISTODEC24!BA32</f>
        <v>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940000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920000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325000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500000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350000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50000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25000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180000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30000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80000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55000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50000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50000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150000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375000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15434000</v>
      </c>
      <c r="E40" s="5">
        <f t="shared" si="7"/>
        <v>801500</v>
      </c>
      <c r="F40" s="5">
        <f t="shared" si="7"/>
        <v>1500000</v>
      </c>
      <c r="G40" s="5">
        <f t="shared" si="7"/>
        <v>12000</v>
      </c>
      <c r="H40" s="5">
        <f t="shared" si="7"/>
        <v>0</v>
      </c>
      <c r="I40" s="5">
        <f t="shared" si="7"/>
        <v>1018000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298500</v>
      </c>
      <c r="Q40" s="5">
        <f t="shared" si="7"/>
        <v>398000</v>
      </c>
      <c r="R40" s="5">
        <f t="shared" si="7"/>
        <v>1654000</v>
      </c>
      <c r="S40" s="5">
        <f t="shared" si="7"/>
        <v>1750000</v>
      </c>
      <c r="T40" s="5"/>
      <c r="U40" s="5">
        <f t="shared" ref="U40:AA40" si="8">SUM(U6:U39)</f>
        <v>9805500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116000</v>
      </c>
      <c r="AD40" s="5">
        <f>SUM(AD6:AD39)</f>
        <v>185000</v>
      </c>
      <c r="AE40" s="5">
        <f>SUM(AE6:AE39)</f>
        <v>500000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291000</v>
      </c>
      <c r="AJ40" s="5">
        <f t="shared" si="9"/>
        <v>389000</v>
      </c>
      <c r="AK40" s="5">
        <f t="shared" si="9"/>
        <v>1636500</v>
      </c>
      <c r="AL40" s="5">
        <f t="shared" si="9"/>
        <v>7500</v>
      </c>
      <c r="AM40" s="5">
        <f t="shared" si="9"/>
        <v>9000</v>
      </c>
      <c r="AN40" s="5">
        <f t="shared" si="9"/>
        <v>17500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1818000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2575000</v>
      </c>
      <c r="AX40" s="5">
        <f t="shared" si="9"/>
        <v>4704000</v>
      </c>
      <c r="AY40" s="5">
        <f t="shared" si="9"/>
        <v>8336500</v>
      </c>
      <c r="AZ40" s="5">
        <f t="shared" si="9"/>
        <v>19130000</v>
      </c>
      <c r="BA40" s="5">
        <f t="shared" si="9"/>
        <v>1931200</v>
      </c>
      <c r="BB40" s="5">
        <f t="shared" si="9"/>
        <v>0</v>
      </c>
      <c r="BC40" s="5">
        <f t="shared" si="9"/>
        <v>0</v>
      </c>
      <c r="BD40" s="5">
        <f t="shared" si="9"/>
        <v>17103800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100000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19130000</v>
      </c>
      <c r="D47" s="9">
        <f>SUMIFS(D8:D40,H8:H40,"BANQUE")</f>
        <v>0</v>
      </c>
      <c r="F47" s="9">
        <f>E40</f>
        <v>801500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36914000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85546875" customWidth="1"/>
    <col min="58" max="58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VLOOKUP(A6,[18]HISTOBQUEAVRIL23!$A$6:$G$44,3,0)</f>
        <v>175000</v>
      </c>
      <c r="E6" s="9">
        <f>VLOOKUP(A6,[18]HISTOBQUEAVRIL23!$A$6:$G$39,4,0)</f>
        <v>0</v>
      </c>
      <c r="F6" s="9">
        <f>VLOOKUP(A6,[18]HISTOBQUEAVRIL23!$A$6:$G$39,5,0)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VLOOKUP($A6,[13]TONTAVRIL23!$A$6:$P$20,10,0)</f>
        <v>0</v>
      </c>
      <c r="R6" s="2">
        <f>VLOOKUP($A6,[19]TONTAVRIL23!$A$6:$P$21,10,0)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VLOOKUP(A7,[18]HISTOBQUEAVRIL23!$A$6:$G$44,3,0)</f>
        <v>40000</v>
      </c>
      <c r="E7" s="9">
        <f>VLOOKUP(A7,[18]HISTOBQUEAVRIL23!$A$6:$G$39,4,0)</f>
        <v>0</v>
      </c>
      <c r="F7" s="9">
        <f>VLOOKUP(A7,[18]HISTOBQUEAVRIL23!$A$6:$G$39,5,0)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VLOOKUP($A7,[20]TONTAVRIL23!$A$6:$P$35,12,0)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VLOOKUP(A8,[18]HISTOBQUEAVRIL23!$A$6:$G$44,3,0)</f>
        <v>115000</v>
      </c>
      <c r="E8" s="9">
        <f>VLOOKUP(A8,[18]HISTOBQUEAVRIL23!$A$6:$G$39,4,0)</f>
        <v>0</v>
      </c>
      <c r="F8" s="9">
        <f>VLOOKUP(A8,[18]HISTOBQUEAVRIL23!$A$6:$G$39,5,0)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VLOOKUP($A8,[20]TONTAVRIL23!$A$6:$P$35,12,0)</f>
        <v>0</v>
      </c>
      <c r="Q8" s="2">
        <f>VLOOKUP($A8,[13]TONTAVRIL23!$A$6:$P$20,10,0)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VLOOKUP(A9,[18]HISTOBQUEAVRIL23!$A$6:$G$44,3,0)</f>
        <v>145000</v>
      </c>
      <c r="E9" s="9">
        <f>VLOOKUP(A9,[18]HISTOBQUEAVRIL23!$A$6:$G$39,4,0)</f>
        <v>0</v>
      </c>
      <c r="F9" s="9">
        <f>VLOOKUP(A9,[18]HISTOBQUEAVRIL23!$A$6:$G$39,5,0)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VLOOKUP($A9,[20]TONTAVRIL23!$A$6:$P$35,12,0)</f>
        <v>0</v>
      </c>
      <c r="Q9" s="2"/>
      <c r="R9" s="2">
        <f>VLOOKUP($A9,[19]TONTAVRIL23!$A$6:$P$21,10,0)</f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9">
        <f t="shared" si="0"/>
        <v>-70000</v>
      </c>
      <c r="D10" s="9">
        <f>VLOOKUP(A10,[18]HISTOBQUEAVRIL23!$A$6:$G$44,3,0)</f>
        <v>0</v>
      </c>
      <c r="E10" s="9">
        <f>VLOOKUP(A10,[18]HISTOBQUEAVRIL23!$A$6:$G$39,4,0)</f>
        <v>43000</v>
      </c>
      <c r="F10" s="9">
        <f>VLOOKUP(A10,[18]HISTOBQUEAVRIL23!$A$6:$G$39,5,0)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VLOOKUP($A10,[20]TONTAVRIL23!$A$6:$P$35,12,0)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-157500</v>
      </c>
      <c r="D11" s="9">
        <f>VLOOKUP(A11,[18]HISTOBQUEAVRIL23!$A$6:$G$44,3,0)</f>
        <v>115000</v>
      </c>
      <c r="E11" s="9">
        <f>VLOOKUP(A11,[18]HISTOBQUEAVRIL23!$A$6:$G$39,4,0)</f>
        <v>0</v>
      </c>
      <c r="F11" s="9">
        <f>VLOOKUP(A11,[18]HISTOBQUEAVRIL23!$A$6:$G$39,5,0)+70000</f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VLOOKUP($A11,[20]TONTAVRIL23!$A$6:$P$35,12,0)</f>
        <v>0</v>
      </c>
      <c r="Q11" s="2">
        <f>VLOOKUP($A11,[13]TONTAVRIL23!$A$6:$P$20,10,0)</f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VLOOKUP(A12,[18]HISTOBQUEAVRIL23!$A$6:$G$44,3,0)</f>
        <v>320000</v>
      </c>
      <c r="E12" s="9">
        <f>VLOOKUP(A12,[18]HISTOBQUEAVRIL23!$A$6:$G$39,4,0)</f>
        <v>0</v>
      </c>
      <c r="F12" s="9">
        <f>VLOOKUP(A12,[18]HISTOBQUEAVRIL23!$A$6:$G$39,5,0)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VLOOKUP($A12,[20]TONTAVRIL23!$A$6:$P$35,12,0)</f>
        <v>0</v>
      </c>
      <c r="Q12" s="2">
        <f>VLOOKUP($A12,[13]TONTAVRIL23!$A$6:$P$20,10,0)</f>
        <v>0</v>
      </c>
      <c r="R12" s="2">
        <f>VLOOKUP($A12,[19]TONTAVRIL23!$A$6:$P$21,10,0)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VLOOKUP(A13,[18]HISTOBQUEAVRIL23!$A$6:$G$44,3,0)</f>
        <v>40000</v>
      </c>
      <c r="E13" s="9">
        <f>VLOOKUP(A13,[18]HISTOBQUEAVRIL23!$A$6:$G$39,4,0)</f>
        <v>0</v>
      </c>
      <c r="F13" s="9">
        <f>VLOOKUP(A13,[18]HISTOBQUEAVRIL23!$A$6:$G$39,5,0)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VLOOKUP($A13,[20]TONTAVRIL23!$A$6:$P$35,12,0)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VLOOKUP(A14,[18]HISTOBQUEAVRIL23!$A$6:$G$44,3,0)</f>
        <v>40000</v>
      </c>
      <c r="E14" s="9">
        <f>VLOOKUP(A14,[18]HISTOBQUEAVRIL23!$A$6:$G$39,4,0)</f>
        <v>0</v>
      </c>
      <c r="F14" s="9">
        <f>VLOOKUP(A14,[18]HISTOBQUEAVRIL23!$A$6:$G$39,5,0)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VLOOKUP($A14,[20]TONTAVRIL23!$A$6:$P$35,12,0)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VLOOKUP(A15,[18]HISTOBQUEAVRIL23!$A$6:$G$44,3,0)</f>
        <v>115000</v>
      </c>
      <c r="E15" s="9">
        <f>VLOOKUP(A15,[18]HISTOBQUEAVRIL23!$A$6:$G$39,4,0)</f>
        <v>0</v>
      </c>
      <c r="F15" s="9">
        <f>VLOOKUP(A15,[18]HISTOBQUEAVRIL23!$A$6:$G$39,5,0)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VLOOKUP($A15,[20]TONTAVRIL23!$A$6:$P$35,12,0)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VLOOKUP(A16,[18]HISTOBQUEAVRIL23!$A$6:$G$44,3,0)-101000</f>
        <v>415000</v>
      </c>
      <c r="E16" s="9">
        <f>VLOOKUP(A16,[18]HISTOBQUEAVRIL23!$A$6:$G$39,4,0)</f>
        <v>0</v>
      </c>
      <c r="F16" s="9">
        <f>VLOOKUP(A16,[18]HISTOBQUEAVRIL23!$A$6:$G$39,5,0)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VLOOKUP($A16,[20]TONTAVRIL23!$A$6:$P$35,12,0)</f>
        <v>0</v>
      </c>
      <c r="Q16" s="2">
        <f>VLOOKUP($A16,[13]TONTMARS23!$A$6:$P$20,10,0)</f>
        <v>0</v>
      </c>
      <c r="R16" s="2">
        <f>VLOOKUP($A16,[19]TONTAVRIL23!$A$6:$P$21,10,0)</f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VLOOKUP(A17,[18]HISTOBQUEAVRIL23!$A$6:$G$44,3,0)+101000</f>
        <v>342000</v>
      </c>
      <c r="E17" s="9">
        <f>VLOOKUP(A17,[18]HISTOBQUEAVRIL23!$A$6:$G$39,4,0)</f>
        <v>0</v>
      </c>
      <c r="F17" s="9">
        <f>VLOOKUP(A17,[18]HISTOBQUEAVRIL23!$A$6:$G$39,5,0)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VLOOKUP($A17,[20]TONTAVRIL23!$A$6:$P$35,12,0)</f>
        <v>0</v>
      </c>
      <c r="Q17" s="2"/>
      <c r="R17" s="2">
        <f>VLOOKUP($A17,[19]TONTAVRIL23!$A$6:$P$21,10,0)</f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D18+E18+F18-U18-BB18</f>
        <v>0</v>
      </c>
      <c r="D18" s="9">
        <f>VLOOKUP(A18,[18]HISTOBQUEAVRIL23!$A$6:$G$44,3,0)</f>
        <v>419000</v>
      </c>
      <c r="E18" s="9">
        <f>VLOOKUP(A18,[18]HISTOBQUEAVRIL23!$A$6:$G$39,4,0)</f>
        <v>0</v>
      </c>
      <c r="F18" s="9">
        <f>VLOOKUP(A18,[18]HISTOBQUEAVRIL23!$A$6:$G$39,5,0)</f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VLOOKUP($A18,[20]TONTAVRIL23!$A$6:$P$35,12,0)</f>
        <v>0</v>
      </c>
      <c r="Q18" s="2">
        <f>VLOOKUP($A18,[13]TONTAVRIL23!$A$6:$P$20,10,0)</f>
        <v>0</v>
      </c>
      <c r="R18" s="2">
        <f>VLOOKUP($A18,[19]TONTAVRIL23!$A$6:$P$21,10,0)</f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9">
        <f t="shared" si="0"/>
        <v>-1000000</v>
      </c>
      <c r="D19" s="9">
        <f>VLOOKUP(A19,[18]HISTOBQUEAVRIL23!$A$6:$G$44,3,0)</f>
        <v>40000</v>
      </c>
      <c r="E19" s="9">
        <f>VLOOKUP(A19,[18]HISTOBQUEAVRIL23!$A$6:$G$39,4,0)</f>
        <v>0</v>
      </c>
      <c r="F19" s="9">
        <f>VLOOKUP(A19,[18]HISTOBQUEAVRIL23!$A$6:$G$39,5,0)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VLOOKUP($A19,[20]TONTAVRIL23!$A$6:$P$35,12,0)</f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VLOOKUP(A20,[18]HISTOBQUEAVRIL23!$A$6:$G$44,3,0)</f>
        <v>422000</v>
      </c>
      <c r="E20" s="9">
        <f>VLOOKUP(A20,[18]HISTOBQUEAVRIL23!$A$6:$G$39,4,0)</f>
        <v>0</v>
      </c>
      <c r="F20" s="9">
        <f>VLOOKUP(A20,[18]HISTOBQUEAVRIL23!$A$6:$G$39,5,0)</f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VLOOKUP($A20,[20]TONTAVRIL23!$A$6:$P$35,12,0)</f>
        <v>0</v>
      </c>
      <c r="Q20" s="2">
        <f>VLOOKUP($A20,[13]TONTAVRIL23!$A$6:$P$20,10,0)</f>
        <v>0</v>
      </c>
      <c r="R20" s="2">
        <f>VLOOKUP($A20,[19]TONTAVRIL23!$A$6:$P$21,10,0)</f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VLOOKUP(A21,[18]HISTOBQUEAVRIL23!$A$6:$G$44,3,0)</f>
        <v>40000</v>
      </c>
      <c r="E21" s="9">
        <f>VLOOKUP(A21,[18]HISTOBQUEAVRIL23!$A$6:$G$39,4,0)</f>
        <v>0</v>
      </c>
      <c r="F21" s="9">
        <f>VLOOKUP(A21,[18]HISTOBQUEAVRIL23!$A$6:$G$39,5,0)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VLOOKUP($A21,[20]TONTAVRIL23!$A$6:$P$35,12,0)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VLOOKUP(A22,[18]HISTOBQUEAVRIL23!$A$6:$G$44,3,0)</f>
        <v>115000</v>
      </c>
      <c r="E22" s="9">
        <f>VLOOKUP(A22,[18]HISTOBQUEAVRIL23!$A$6:$G$39,4,0)</f>
        <v>0</v>
      </c>
      <c r="F22" s="9">
        <f>VLOOKUP(A22,[18]HISTOBQUEAVRIL23!$A$6:$G$39,5,0)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VLOOKUP($A22,[20]TONTAVRIL23!$A$6:$P$35,12,0)</f>
        <v>0</v>
      </c>
      <c r="Q22" s="2">
        <f>VLOOKUP($A22,[13]TONTAVRIL23!$A$6:$P$20,10,0)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VLOOKUP(A23,[18]HISTOBQUEAVRIL23!$A$6:$G$44,3,0)</f>
        <v>452000</v>
      </c>
      <c r="E23" s="9">
        <f>VLOOKUP(A23,[18]HISTOBQUEAVRIL23!$A$6:$G$39,4,0)</f>
        <v>0</v>
      </c>
      <c r="F23" s="9">
        <f>VLOOKUP(A23,[18]HISTOBQUEAVRIL23!$A$6:$G$39,5,0)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VLOOKUP($A23,[20]TONTAVRIL23!$A$6:$P$35,12,0)</f>
        <v>0</v>
      </c>
      <c r="Q23" s="2"/>
      <c r="R23" s="2">
        <f>VLOOKUP($A23,[19]TONTAVRIL23!$A$6:$P$21,10,0)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VLOOKUP(A24,[18]HISTOBQUEAVRIL23!$A$6:$G$44,3,0)</f>
        <v>220000</v>
      </c>
      <c r="E24" s="9">
        <f>VLOOKUP(A24,[18]HISTOBQUEAVRIL23!$A$6:$G$39,4,0)</f>
        <v>0</v>
      </c>
      <c r="F24" s="9">
        <f>VLOOKUP(A24,[18]HISTOBQUEAVRIL23!$A$6:$G$39,5,0)</f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VLOOKUP($A24,[20]TONTAVRIL23!$A$6:$P$35,12,0)</f>
        <v>0</v>
      </c>
      <c r="Q24" s="2">
        <f>VLOOKUP($A24,[13]TONTAVRIL23!$A$6:$P$20,10,0)</f>
        <v>0</v>
      </c>
      <c r="R24" s="2">
        <f>VLOOKUP($A24,[19]TONTAVRIL23!$A$6:$P$21,10,0)</f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VLOOKUP(A25,[18]HISTOBQUEAVRIL23!$A$6:$G$44,3,0)</f>
        <v>280000</v>
      </c>
      <c r="E25" s="9">
        <f>VLOOKUP(A25,[18]HISTOBQUEAVRIL23!$A$6:$G$39,4,0)</f>
        <v>0</v>
      </c>
      <c r="F25" s="9">
        <f>VLOOKUP(A25,[18]HISTOBQUEAVRIL23!$A$6:$G$39,5,0)</f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VLOOKUP($A25,[20]TONTAVRIL23!$A$6:$P$35,12,0)</f>
        <v>0</v>
      </c>
      <c r="Q25" s="2">
        <f>VLOOKUP($A25,[13]TONTAVRIL23!$A$6:$P$20,10,0)</f>
        <v>0</v>
      </c>
      <c r="R25" s="2">
        <f>VLOOKUP($A25,[19]TONTAVRIL23!$A$6:$P$21,10,0)</f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  <c r="BP25" s="6"/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VLOOKUP(A26,[18]HISTOBQUEAVRIL23!$A$6:$G$44,3,0)</f>
        <v>0</v>
      </c>
      <c r="E26" s="9">
        <f>VLOOKUP(A26,[18]HISTOBQUEAVRIL23!$A$6:$G$39,4,0)</f>
        <v>43000</v>
      </c>
      <c r="F26" s="9">
        <f>VLOOKUP(A26,[18]HISTOBQUEAVRIL23!$A$6:$G$39,5,0)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VLOOKUP($A26,[20]TONTAVRIL23!$A$6:$P$35,12,0)</f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VLOOKUP(A27,[18]HISTOBQUEAVRIL23!$A$6:$G$44,3,0)</f>
        <v>50000</v>
      </c>
      <c r="E27" s="9">
        <f>VLOOKUP(A27,[18]HISTOBQUEAVRIL23!$A$6:$G$39,4,0)</f>
        <v>0</v>
      </c>
      <c r="F27" s="9">
        <f>VLOOKUP(A27,[18]HISTOBQUEAVRIL23!$A$6:$G$39,5,0)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VLOOKUP($A27,[20]TONTAVRIL23!$A$6:$P$35,12,0)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VLOOKUP(A28,[18]HISTOBQUEAVRIL23!$A$6:$G$44,3,0)</f>
        <v>115000</v>
      </c>
      <c r="E28" s="9">
        <f>VLOOKUP(A28,[18]HISTOBQUEAVRIL23!$A$6:$G$39,4,0)</f>
        <v>0</v>
      </c>
      <c r="F28" s="9">
        <f>VLOOKUP(A28,[18]HISTOBQUEAVRIL23!$A$6:$G$39,5,0)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VLOOKUP($A28,[20]TONTAVRIL23!$A$6:$P$35,12,0)</f>
        <v>0</v>
      </c>
      <c r="Q28" s="2">
        <f>VLOOKUP($A28,[13]TONTAVRIL23!$A$6:$P$20,10,0)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120000</v>
      </c>
      <c r="D29" s="9">
        <f>VLOOKUP(A29,[18]HISTOBQUEAVRIL23!$A$6:$G$44,3,0)</f>
        <v>160000</v>
      </c>
      <c r="E29" s="9">
        <f>VLOOKUP(A29,[18]HISTOBQUEAVRIL23!$A$6:$G$39,4,0)</f>
        <v>0</v>
      </c>
      <c r="F29" s="9">
        <f>VLOOKUP(A29,[18]HISTOBQUEAVRIL23!$A$6:$G$39,5,0)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VLOOKUP($A29,[20]TONTAVRIL23!$A$6:$P$35,12,0)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VLOOKUP(A30,[18]HISTOBQUEAVRIL23!$A$6:$G$44,3,0)</f>
        <v>115000</v>
      </c>
      <c r="E30" s="9">
        <f>VLOOKUP(A30,[18]HISTOBQUEAVRIL23!$A$6:$G$39,4,0)</f>
        <v>0</v>
      </c>
      <c r="F30" s="9">
        <f>VLOOKUP(A30,[18]HISTOBQUEAVRIL23!$A$6:$G$39,5,0)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VLOOKUP($A30,[20]TONTAVRIL23!$A$6:$P$35,12,0)</f>
        <v>0</v>
      </c>
      <c r="Q30" s="2">
        <f>VLOOKUP($A30,[13]TONTAVRIL23!$A$6:$P$20,10,0)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VLOOKUP(A31,[18]HISTOBQUEAVRIL23!$A$6:$G$44,3,0)</f>
        <v>140000</v>
      </c>
      <c r="E31" s="9">
        <f>VLOOKUP(A31,[18]HISTOBQUEAVRIL23!$A$6:$G$39,4,0)</f>
        <v>0</v>
      </c>
      <c r="F31" s="9">
        <f>VLOOKUP(A31,[18]HISTOBQUEAVRIL23!$A$6:$G$39,5,0)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VLOOKUP($A31,[20]TONTAVRIL23!$A$6:$P$35,12,0)</f>
        <v>0</v>
      </c>
      <c r="Q31" s="2"/>
      <c r="R31" s="2">
        <f>VLOOKUP($A31,[19]TONTAVRIL23!$A$6:$P$21,10,0)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9">
        <f t="shared" si="0"/>
        <v>-200000</v>
      </c>
      <c r="D32" s="9">
        <f>VLOOKUP(A32,[18]HISTOBQUEAVRIL23!$A$6:$G$44,3,0)</f>
        <v>115000</v>
      </c>
      <c r="E32" s="9">
        <f>VLOOKUP(A32,[18]HISTOBQUEAVRIL23!$A$6:$G$39,4,0)</f>
        <v>0</v>
      </c>
      <c r="F32" s="9">
        <f>VLOOKUP(A32,[18]HISTOBQUEAVRIL23!$A$6:$G$39,5,0)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VLOOKUP($A32,[20]TONTAVRIL23!$A$6:$P$35,12,0)</f>
        <v>0</v>
      </c>
      <c r="Q32" s="2">
        <f>VLOOKUP($A32,[13]TONTAVRIL23!$A$6:$P$20,10,0)</f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VLOOKUP(A33,[18]HISTOBQUEAVRIL23!$A$6:$G$44,3,0)</f>
        <v>0</v>
      </c>
      <c r="E33" s="9">
        <f>VLOOKUP(A33,[18]HISTOBQUEAVRIL23!$A$6:$G$39,4,0)</f>
        <v>43000</v>
      </c>
      <c r="F33" s="9">
        <f>VLOOKUP(A33,[18]HISTOBQUEAVRIL23!$A$6:$G$39,5,0)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VLOOKUP($A33,[20]TONTAVRIL23!$A$6:$P$35,12,0)</f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VLOOKUP(A34,[18]HISTOBQUEAVRIL23!$A$6:$G$44,3,0)</f>
        <v>0</v>
      </c>
      <c r="E34" s="9">
        <f>VLOOKUP(A34,[18]HISTOBQUEAVRIL23!$A$6:$G$39,4,0)</f>
        <v>100000</v>
      </c>
      <c r="F34" s="9">
        <f>VLOOKUP(A34,[18]HISTOBQUEAVRIL23!$A$6:$G$39,5,0)</f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VLOOKUP($A34,[20]TONTAVRIL23!$A$6:$P$35,12,0)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VLOOKUP(A35,[18]HISTOBQUEAVRIL23!$A$6:$G$44,3,0)</f>
        <v>0</v>
      </c>
      <c r="E35" s="9">
        <f>VLOOKUP(A35,[18]HISTOBQUEAVRIL23!$A$6:$G$39,4,0)+40000</f>
        <v>40000</v>
      </c>
      <c r="F35" s="9">
        <f>VLOOKUP(A35,[18]HISTOBQUEAVRIL23!$A$6:$G$39,5,0)</f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VLOOKUP($A35,[20]TONTAVRIL23!$A$6:$P$35,12,0)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VLOOKUP(A36,[18]HISTOBQUEAVRIL23!$A$6:$G$44,3,0)</f>
        <v>290000</v>
      </c>
      <c r="E36" s="9">
        <f>VLOOKUP(A36,[18]HISTOBQUEAVRIL23!$A$6:$G$39,4,0)</f>
        <v>0</v>
      </c>
      <c r="F36" s="9">
        <f>VLOOKUP(A36,[18]HISTOBQUEAVRIL23!$A$6:$G$39,5,0)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VLOOKUP($A36,[20]TONTAVRIL23!$A$6:$P$35,12,0)</f>
        <v>0</v>
      </c>
      <c r="Q36" s="2">
        <f>VLOOKUP($A36,[13]TONTAVRIL23!$A$6:$P$20,10,0)</f>
        <v>0</v>
      </c>
      <c r="R36" s="2">
        <f>VLOOKUP($A36,[19]TONTAVRIL23!$A$6:$P$21,10,0)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10382000</v>
      </c>
    </row>
  </sheetData>
  <autoFilter ref="A5:AF36"/>
  <mergeCells count="1">
    <mergeCell ref="B4:M4"/>
  </mergeCells>
  <dataValidations disablePrompts="1"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8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VLOOKUP(A6,[18]HISTOBQUEMAI23!$A$6:$G$44,3,0)</f>
        <v>175000</v>
      </c>
      <c r="E6" s="9">
        <f>VLOOKUP(A6,[18]HISTOBQUEMAI23!$A$6:$G$39,4,0)</f>
        <v>0</v>
      </c>
      <c r="F6" s="9">
        <f>VLOOKUP(A6,[18]HISTOBQUEMAI23!$A$6:$G$39,5,0)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VLOOKUP($A6,[13]TONTMAI23!$A$6:$P$20,10,0)</f>
        <v>0</v>
      </c>
      <c r="R6" s="2">
        <f>VLOOKUP($A6,[19]TONTMAI23!$A$6:$P$21,10,0)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VLOOKUP(A7,[18]HISTOBQUEMAI23!$A$6:$G$44,3,0)</f>
        <v>40000</v>
      </c>
      <c r="E7" s="9">
        <f>VLOOKUP(A7,[18]HISTOBQUEMAI23!$A$6:$G$39,4,0)</f>
        <v>0</v>
      </c>
      <c r="F7" s="9">
        <f>VLOOKUP(A7,[18]HISTOBQUEMAI23!$A$6:$G$39,5,0)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VLOOKUP($A7,[20]TONTMAI23!$A$6:$P$35,12,0)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VLOOKUP(A8,[18]HISTOBQUEMAI23!$A$6:$G$44,3,0)</f>
        <v>115000</v>
      </c>
      <c r="E8" s="9">
        <f>VLOOKUP(A8,[18]HISTOBQUEMAI23!$A$6:$G$39,4,0)</f>
        <v>0</v>
      </c>
      <c r="F8" s="9">
        <f>VLOOKUP(A8,[18]HISTOBQUEMAI23!$A$6:$G$39,5,0)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VLOOKUP($A8,[20]TONTMAI23!$A$6:$P$35,12,0)</f>
        <v>0</v>
      </c>
      <c r="Q8" s="2">
        <f>VLOOKUP($A8,[13]TONTMAI23!$A$6:$P$20,10,0)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VLOOKUP(A9,[18]HISTOBQUEMAI23!$A$6:$G$44,3,0)</f>
        <v>145000</v>
      </c>
      <c r="E9" s="9">
        <f>VLOOKUP(A9,[18]HISTOBQUEMAI23!$A$6:$G$39,4,0)</f>
        <v>23000</v>
      </c>
      <c r="F9" s="9">
        <f>VLOOKUP(A9,[18]HISTOBQUEMAI23!$A$6:$G$39,5,0)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VLOOKUP($A9,[20]TONTMAI23!$A$6:$P$35,12,0)</f>
        <v>23000</v>
      </c>
      <c r="Q9" s="2"/>
      <c r="R9" s="2">
        <f>VLOOKUP($A9,[19]TONTMAI23!$A$6:$P$21,10,0)</f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VLOOKUP(A10,[18]HISTOBQUEMAI23!$A$6:$G$44,3,0)</f>
        <v>0</v>
      </c>
      <c r="E10" s="9">
        <f>VLOOKUP(A10,[18]HISTOBQUEMAI23!$A$6:$G$39,4,0)</f>
        <v>105000</v>
      </c>
      <c r="F10" s="9">
        <f>VLOOKUP(A10,[18]HISTOBQUEMAI23!$A$6:$G$39,5,0)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VLOOKUP($A10,[20]TONTMAI23!$A$6:$P$35,12,0)</f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VLOOKUP(A11,[18]HISTOBQUEMAI23!$A$6:$G$44,3,0)</f>
        <v>267000</v>
      </c>
      <c r="E11" s="9">
        <f>VLOOKUP(A11,[18]HISTOBQUEMAI23!$A$6:$G$39,4,0)</f>
        <v>0</v>
      </c>
      <c r="F11" s="9">
        <f>VLOOKUP(A11,[18]HISTOBQUEMAI23!$A$6:$G$39,5,0)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VLOOKUP($A11,[20]TONTMAI23!$A$6:$P$35,12,0)</f>
        <v>0</v>
      </c>
      <c r="Q11" s="2">
        <f>VLOOKUP($A11,[13]TONTMAI23!$A$6:$P$20,10,0)</f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VLOOKUP(A12,[18]HISTOBQUEMAI23!$A$6:$G$44,3,0)</f>
        <v>420000</v>
      </c>
      <c r="E12" s="9">
        <f>VLOOKUP(A12,[18]HISTOBQUEMAI23!$A$6:$G$39,4,0)</f>
        <v>0</v>
      </c>
      <c r="F12" s="9">
        <f>VLOOKUP(A12,[18]HISTOBQUEMAI23!$A$6:$G$39,5,0)</f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VLOOKUP($A12,[20]TONTMAI23!$A$6:$P$35,12,0)</f>
        <v>0</v>
      </c>
      <c r="Q12" s="2">
        <f>VLOOKUP($A12,[13]TONTMAI23!$A$6:$P$20,10,0)</f>
        <v>0</v>
      </c>
      <c r="R12" s="2">
        <f>VLOOKUP($A12,[19]TONTMAI23!$A$6:$P$21,10,0)</f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VLOOKUP(A13,[18]HISTOBQUEMAI23!$A$6:$G$44,3,0)</f>
        <v>40000</v>
      </c>
      <c r="E13" s="9">
        <f>VLOOKUP(A13,[18]HISTOBQUEMAI23!$A$6:$G$39,4,0)</f>
        <v>0</v>
      </c>
      <c r="F13" s="9">
        <f>VLOOKUP(A13,[18]HISTOBQUEMAI23!$A$6:$G$39,5,0)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VLOOKUP($A13,[20]TONTMAI23!$A$6:$P$35,12,0)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VLOOKUP(A14,[18]HISTOBQUEMAI23!$A$6:$G$44,3,0)</f>
        <v>40000</v>
      </c>
      <c r="E14" s="9">
        <f>VLOOKUP(A14,[18]HISTOBQUEMAI23!$A$6:$G$39,4,0)</f>
        <v>0</v>
      </c>
      <c r="F14" s="9">
        <f>VLOOKUP(A14,[18]HISTOBQUEMAI23!$A$6:$G$39,5,0)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VLOOKUP($A14,[20]TONTMAI23!$A$6:$P$35,12,0)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VLOOKUP(A15,[18]HISTOBQUEMAI23!$A$6:$G$44,3,0)</f>
        <v>0</v>
      </c>
      <c r="E15" s="9">
        <f>VLOOKUP(A15,[18]HISTOBQUEMAI23!$A$6:$G$39,4,0)</f>
        <v>118000</v>
      </c>
      <c r="F15" s="9">
        <f>VLOOKUP(A15,[18]HISTOBQUEMAI23!$A$6:$G$39,5,0)</f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VLOOKUP($A15,[20]TONTMAI23!$A$6:$P$35,12,0)</f>
        <v>0</v>
      </c>
      <c r="Q15" s="2">
        <f>VLOOKUP($A15,[13]TONTMAI23!$A$6:$P$20,10,0)</f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VLOOKUP(A16,[18]HISTOBQUEMAI23!$A$6:$G$44,3,0)</f>
        <v>230000</v>
      </c>
      <c r="E16" s="9">
        <f>VLOOKUP(A16,[18]HISTOBQUEMAI23!$A$6:$G$39,4,0)</f>
        <v>0</v>
      </c>
      <c r="F16" s="9">
        <f>VLOOKUP(A16,[18]HISTOBQUEMAI23!$A$6:$G$39,5,0)</f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VLOOKUP($A16,[20]TONTMAI23!$A$6:$P$35,12,0)</f>
        <v>0</v>
      </c>
      <c r="Q16" s="2">
        <f>VLOOKUP($A16,[13]TONTMAI23!$A$6:$P$20,10,0)</f>
        <v>0</v>
      </c>
      <c r="R16" s="2">
        <f>VLOOKUP($A16,[19]TONTMAI23!$A$6:$P$21,10,0)</f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VLOOKUP(A17,[18]HISTOBQUEMAI23!$A$6:$G$44,3,0)</f>
        <v>140000</v>
      </c>
      <c r="E17" s="9">
        <f>VLOOKUP(A17,[18]HISTOBQUEMAI23!$A$6:$G$39,4,0)</f>
        <v>0</v>
      </c>
      <c r="F17" s="9">
        <f>VLOOKUP(A17,[18]HISTOBQUEMAI23!$A$6:$G$39,5,0)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VLOOKUP($A17,[20]TONTMAI23!$A$6:$P$35,12,0)</f>
        <v>0</v>
      </c>
      <c r="Q17" s="2"/>
      <c r="R17" s="2">
        <f>VLOOKUP($A17,[19]TONTMAI23!$A$6:$P$21,10,0)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0</v>
      </c>
      <c r="D18" s="9">
        <f>VLOOKUP(A18,[18]HISTOBQUEMAI23!$A$6:$G$44,3,0)</f>
        <v>315000</v>
      </c>
      <c r="E18" s="9">
        <f>VLOOKUP(A18,[18]HISTOBQUEMAI23!$A$6:$G$39,4,0)</f>
        <v>0</v>
      </c>
      <c r="F18" s="9">
        <f>VLOOKUP(A18,[18]HISTOBQUEMAI23!$A$6:$G$39,5,0)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VLOOKUP($A18,[20]TONTMAI23!$A$6:$P$35,12,0)</f>
        <v>0</v>
      </c>
      <c r="Q18" s="2">
        <f>VLOOKUP($A18,[13]TONTMAI23!$A$6:$P$20,10,0)</f>
        <v>101000</v>
      </c>
      <c r="R18" s="2">
        <f>VLOOKUP($A18,[19]TONTMAI23!$A$6:$P$21,10,0)</f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VLOOKUP(A19,[18]HISTOBQUEMAI23!$A$6:$G$44,3,0)</f>
        <v>40000</v>
      </c>
      <c r="E19" s="9">
        <f>VLOOKUP(A19,[18]HISTOBQUEMAI23!$A$6:$G$39,4,0)</f>
        <v>0</v>
      </c>
      <c r="F19" s="9">
        <f>VLOOKUP(A19,[18]HISTOBQUEMAI23!$A$6:$G$39,5,0)</f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VLOOKUP($A19,[20]TONTMAI23!$A$6:$P$35,12,0)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VLOOKUP(A20,[18]HISTOBQUEMAI23!$A$6:$G$44,3,0)</f>
        <v>215000</v>
      </c>
      <c r="E20" s="9">
        <f>VLOOKUP(A20,[18]HISTOBQUEMAI23!$A$6:$G$39,4,0)</f>
        <v>0</v>
      </c>
      <c r="F20" s="9">
        <f>VLOOKUP(A20,[18]HISTOBQUEMAI23!$A$6:$G$39,5,0)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VLOOKUP($A20,[20]TONTMAI23!$A$6:$P$35,12,0)</f>
        <v>0</v>
      </c>
      <c r="Q20" s="2">
        <f>VLOOKUP($A20,[13]TONTMAI23!$A$6:$P$20,10,0)</f>
        <v>0</v>
      </c>
      <c r="R20" s="2">
        <f>VLOOKUP($A20,[19]TONTMAI23!$A$6:$P$21,10,0)</f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VLOOKUP(A21,[18]HISTOBQUEMAI23!$A$6:$G$44,3,0)</f>
        <v>40000</v>
      </c>
      <c r="E21" s="9">
        <f>VLOOKUP(A21,[18]HISTOBQUEMAI23!$A$6:$G$39,4,0)</f>
        <v>0</v>
      </c>
      <c r="F21" s="9">
        <f>VLOOKUP(A21,[18]HISTOBQUEMAI23!$A$6:$G$39,5,0)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VLOOKUP($A21,[20]TONTMAI23!$A$6:$P$35,12,0)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VLOOKUP(A22,[18]HISTOBQUEMAI23!$A$6:$G$44,3,0)</f>
        <v>115000</v>
      </c>
      <c r="E22" s="9">
        <f>VLOOKUP(A22,[18]HISTOBQUEMAI23!$A$6:$G$39,4,0)</f>
        <v>0</v>
      </c>
      <c r="F22" s="9">
        <f>VLOOKUP(A22,[18]HISTOBQUEMAI23!$A$6:$G$39,5,0)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VLOOKUP($A22,[20]TONTMAI23!$A$6:$P$35,12,0)</f>
        <v>0</v>
      </c>
      <c r="Q22" s="2">
        <f>VLOOKUP($A22,[13]TONTMAI23!$A$6:$P$20,10,0)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VLOOKUP(A23,[18]HISTOBQUEMAI23!$A$6:$G$44,3,0)</f>
        <v>250000</v>
      </c>
      <c r="E23" s="9">
        <f>VLOOKUP(A23,[18]HISTOBQUEMAI23!$A$6:$G$39,4,0)</f>
        <v>0</v>
      </c>
      <c r="F23" s="9">
        <f>VLOOKUP(A23,[18]HISTOBQUEMAI23!$A$6:$G$39,5,0)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VLOOKUP($A23,[20]TONTMAI23!$A$6:$P$35,12,0)</f>
        <v>0</v>
      </c>
      <c r="Q23" s="2"/>
      <c r="R23" s="2">
        <f>VLOOKUP($A23,[19]TONTMAI23!$A$6:$P$21,10,0)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VLOOKUP(A24,[18]HISTOBQUEMAI23!$A$6:$G$44,3,0)</f>
        <v>210000</v>
      </c>
      <c r="E24" s="9">
        <f>VLOOKUP(A24,[18]HISTOBQUEMAI23!$A$6:$G$39,4,0)</f>
        <v>0</v>
      </c>
      <c r="F24" s="9">
        <f>VLOOKUP(A24,[18]HISTOBQUEMAI23!$A$6:$G$39,5,0)+70000</f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VLOOKUP($A24,[20]TONTMAI23!$A$6:$P$35,12,0)</f>
        <v>0</v>
      </c>
      <c r="Q24" s="2">
        <f>VLOOKUP($A24,[13]TONTMAI23!$A$6:$P$20,10,0)</f>
        <v>0</v>
      </c>
      <c r="R24" s="2">
        <f>VLOOKUP($A24,[19]TONTMAI23!$A$6:$P$21,10,0)</f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VLOOKUP(A25,[18]HISTOBQUEMAI23!$A$6:$G$44,3,0)+27000</f>
        <v>407000</v>
      </c>
      <c r="E25" s="9">
        <f>VLOOKUP(A25,[18]HISTOBQUEMAI23!$A$6:$G$39,4,0)</f>
        <v>0</v>
      </c>
      <c r="F25" s="9">
        <f>VLOOKUP(A25,[18]HISTOBQUEMAI23!$A$6:$G$39,5,0)</f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VLOOKUP($A25,[20]TONTMAI23!$A$6:$P$35,12,0)</f>
        <v>0</v>
      </c>
      <c r="Q25" s="2">
        <f>VLOOKUP($A25,[13]TONTMAI23!$A$6:$P$20,10,0)</f>
        <v>0</v>
      </c>
      <c r="R25" s="2">
        <f>VLOOKUP($A25,[19]TONTMAI23!$A$6:$P$21,10,0)</f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VLOOKUP(A26,[18]HISTOBQUEMAI23!$A$6:$G$44,3,0)</f>
        <v>0</v>
      </c>
      <c r="E26" s="9">
        <f>VLOOKUP(A26,[18]HISTOBQUEMAI23!$A$6:$G$39,4,0)</f>
        <v>104000</v>
      </c>
      <c r="F26" s="9">
        <f>VLOOKUP(A26,[18]HISTOBQUEMAI23!$A$6:$G$39,5,0)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VLOOKUP($A26,[20]TONTMAI23!$A$6:$P$35,12,0)</f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120000</v>
      </c>
      <c r="D27" s="9">
        <f>VLOOKUP(A27,[18]HISTOBQUEMAI23!$A$6:$G$44,3,0)</f>
        <v>560000</v>
      </c>
      <c r="E27" s="9">
        <f>VLOOKUP(A27,[18]HISTOBQUEMAI23!$A$6:$G$39,4,0)</f>
        <v>0</v>
      </c>
      <c r="F27" s="9">
        <f>VLOOKUP(A27,[18]HISTOBQUEMAI23!$A$6:$G$39,5,0)</f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VLOOKUP($A27,[20]TONTMAI23!$A$6:$P$35,12,0)</f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VLOOKUP(A28,[18]HISTOBQUEMAI23!$A$6:$G$44,3,0)</f>
        <v>115000</v>
      </c>
      <c r="E28" s="9">
        <f>VLOOKUP(A28,[18]HISTOBQUEMAI23!$A$6:$G$39,4,0)</f>
        <v>0</v>
      </c>
      <c r="F28" s="9">
        <f>VLOOKUP(A28,[18]HISTOBQUEMAI23!$A$6:$G$39,5,0)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VLOOKUP($A28,[20]TONTMAI23!$A$6:$P$35,12,0)</f>
        <v>0</v>
      </c>
      <c r="Q28" s="2">
        <f>VLOOKUP($A28,[13]TONTMAI23!$A$6:$P$20,10,0)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VLOOKUP(A29,[18]HISTOBQUEMAI23!$A$6:$G$44,3,0)</f>
        <v>40000</v>
      </c>
      <c r="E29" s="9">
        <f>VLOOKUP(A29,[18]HISTOBQUEMAI23!$A$6:$G$39,4,0)</f>
        <v>0</v>
      </c>
      <c r="F29" s="9">
        <f>VLOOKUP(A29,[18]HISTOBQUEMAI23!$A$6:$G$39,5,0)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VLOOKUP($A29,[20]TONTMAI23!$A$6:$P$35,12,0)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VLOOKUP(A30,[18]HISTOBQUEMAI23!$A$6:$G$44,3,0)</f>
        <v>115000</v>
      </c>
      <c r="E30" s="9">
        <f>VLOOKUP(A30,[18]HISTOBQUEMAI23!$A$6:$G$39,4,0)</f>
        <v>0</v>
      </c>
      <c r="F30" s="9">
        <f>VLOOKUP(A30,[18]HISTOBQUEMAI23!$A$6:$G$39,5,0)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VLOOKUP($A30,[20]TONTMAI23!$A$6:$P$35,12,0)</f>
        <v>0</v>
      </c>
      <c r="Q30" s="2">
        <f>VLOOKUP($A30,[13]TONTMAI23!$A$6:$P$20,10,0)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200000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VLOOKUP(A31,[18]HISTOBQUEMAI23!$A$6:$G$44,3,0)</f>
        <v>140000</v>
      </c>
      <c r="E31" s="9">
        <f>VLOOKUP(A31,[18]HISTOBQUEMAI23!$A$6:$G$39,4,0)</f>
        <v>0</v>
      </c>
      <c r="F31" s="9">
        <f>VLOOKUP(A31,[18]HISTOBQUEMAI23!$A$6:$G$39,5,0)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VLOOKUP($A31,[20]TONTMAI23!$A$6:$P$35,12,0)</f>
        <v>0</v>
      </c>
      <c r="Q31" s="2"/>
      <c r="R31" s="2">
        <f>VLOOKUP($A31,[19]TONTMAI23!$A$6:$P$21,10,0)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VLOOKUP(A32,[18]HISTOBQUEMAI23!$A$6:$G$44,3,0)</f>
        <v>255000</v>
      </c>
      <c r="E32" s="9">
        <f>VLOOKUP(A32,[18]HISTOBQUEMAI23!$A$6:$G$39,4,0)</f>
        <v>0</v>
      </c>
      <c r="F32" s="9">
        <f>VLOOKUP(A32,[18]HISTOBQUEMAI23!$A$6:$G$39,5,0)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VLOOKUP($A32,[20]TONTMAI23!$A$6:$P$35,12,0)</f>
        <v>0</v>
      </c>
      <c r="Q32" s="2">
        <f>VLOOKUP($A32,[13]TONTMAI23!$A$6:$P$20,10,0)</f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-3000</v>
      </c>
      <c r="D33" s="9">
        <f>VLOOKUP(A33,[18]HISTOBQUEMAI23!$A$6:$G$44,3,0)</f>
        <v>0</v>
      </c>
      <c r="E33" s="9">
        <f>VLOOKUP(A33,[18]HISTOBQUEMAI23!$A$6:$G$39,4,0)</f>
        <v>40000</v>
      </c>
      <c r="F33" s="9">
        <f>VLOOKUP(A33,[18]HISTOBQUEMAI23!$A$6:$G$39,5,0)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VLOOKUP($A33,[20]TONTMAI23!$A$6:$P$35,12,0)</f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200000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VLOOKUP(A34,[18]HISTOBQUEMAI23!$A$6:$G$44,3,0)</f>
        <v>100000</v>
      </c>
      <c r="E34" s="9">
        <f>VLOOKUP(A34,[18]HISTOBQUEMAI23!$A$6:$G$39,4,0)</f>
        <v>0</v>
      </c>
      <c r="F34" s="9">
        <f>VLOOKUP(A34,[18]HISTOBQUEMAI23!$A$6:$G$39,5,0)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VLOOKUP($A34,[20]TONTMAI23!$A$6:$P$35,12,0)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43000</v>
      </c>
      <c r="D35" s="9">
        <f>VLOOKUP(A35,[18]HISTOBQUEMAI23!$A$6:$G$44,3,0)</f>
        <v>0</v>
      </c>
      <c r="E35" s="9">
        <f>VLOOKUP(A35,[18]HISTOBQUEMAI23!$A$6:$G$39,4,0)</f>
        <v>86000</v>
      </c>
      <c r="F35" s="9">
        <f>VLOOKUP(A35,[18]HISTOBQUEMAI23!$A$6:$G$39,5,0)</f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VLOOKUP($A35,[20]TONTMAI23!$A$6:$P$35,12,0)</f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VLOOKUP(A36,[18]HISTOBQUEMAI23!$A$6:$G$44,3,0)</f>
        <v>290000</v>
      </c>
      <c r="E36" s="9">
        <f>VLOOKUP(A36,[18]HISTOBQUEMAI23!$A$6:$G$39,4,0)</f>
        <v>0</v>
      </c>
      <c r="F36" s="9">
        <f>VLOOKUP(A36,[18]HISTOBQUEMAI23!$A$6:$G$39,5,0)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VLOOKUP($A36,[20]TONTMAI23!$A$6:$P$35,12,0)</f>
        <v>0</v>
      </c>
      <c r="Q36" s="2">
        <f>VLOOKUP($A36,[13]TONTMAI23!$A$6:$P$20,10,0)</f>
        <v>0</v>
      </c>
      <c r="R36" s="2">
        <f>VLOOKUP($A36,[19]TONTMAI23!$A$6:$P$21,10,0)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8931000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12" zoomScaleNormal="112" workbookViewId="0">
      <pane xSplit="4" ySplit="5" topLeftCell="R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0" width="15" customWidth="1"/>
    <col min="51" max="51" width="8.4257812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VLOOKUP(A6,[18]HISTOBQUEJUIN23!$A$6:$G$44,3,0)</f>
        <v>175000</v>
      </c>
      <c r="E6" s="9">
        <f>VLOOKUP(A6,[18]HISTOBQUEJUIN23!$A$6:$G$39,4,0)</f>
        <v>0</v>
      </c>
      <c r="F6" s="9">
        <f>VLOOKUP(A6,[18]HISTOBQUEJUIN23!$A$6:$G$39,5,0)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VLOOKUP($A6,[13]TONTJUIN23!$A$6:$P$20,10,0)</f>
        <v>0</v>
      </c>
      <c r="R6" s="2">
        <f>VLOOKUP($A6,[19]TONTJUIN23!$A$6:$P$21,10,0)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144000</v>
      </c>
      <c r="BA6" s="58"/>
      <c r="BB6" s="58"/>
      <c r="BC6" s="15"/>
      <c r="BD6" s="57">
        <f>IF(AZ6=0,(AZ6-BA6-BC6),(AZ6-BA6-BB6-BC6))+F6</f>
        <v>144000</v>
      </c>
      <c r="BE6" s="82">
        <v>109000</v>
      </c>
      <c r="BF6" s="29">
        <f t="shared" ref="BF6:BF36" si="6">Z6*1/100*BG6</f>
        <v>0</v>
      </c>
      <c r="BG6" s="29">
        <v>6</v>
      </c>
      <c r="BH6" s="15">
        <f>BP16</f>
        <v>24000</v>
      </c>
      <c r="BI6" s="15">
        <f>BP28</f>
        <v>20000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VLOOKUP(A7,[18]HISTOBQUEJUIN23!$A$6:$G$44,3,0)</f>
        <v>40000</v>
      </c>
      <c r="E7" s="9">
        <f>VLOOKUP(A7,[18]HISTOBQUEJUIN23!$A$6:$G$39,4,0)</f>
        <v>0</v>
      </c>
      <c r="F7" s="9">
        <f>VLOOKUP(A7,[18]HISTOBQUEJUIN23!$A$6:$G$39,5,0)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VLOOKUP($A7,[20]TONTJUIN23!$A$6:$P$35,12,0)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>
        <v>600000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>
        <v>30000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30000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594000</v>
      </c>
      <c r="BA7" s="58"/>
      <c r="BB7" s="58"/>
      <c r="BC7" s="15"/>
      <c r="BD7" s="57">
        <f t="shared" ref="BD7:BD36" si="13">IF(AZ7=0,(AZ7-BA7-BC7),(AZ7-BA7-BB7-BC7))+F7</f>
        <v>594000</v>
      </c>
      <c r="BE7" s="82">
        <f>30000+564000</f>
        <v>594000</v>
      </c>
      <c r="BF7" s="29">
        <f t="shared" si="6"/>
        <v>36000</v>
      </c>
      <c r="BG7" s="29">
        <v>6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VLOOKUP(A8,[18]HISTOBQUEJUIN23!$A$6:$G$44,3,0)+500000</f>
        <v>615000</v>
      </c>
      <c r="E8" s="9">
        <f>VLOOKUP(A8,[18]HISTOBQUEJUIN23!$A$6:$G$39,4,0)</f>
        <v>0</v>
      </c>
      <c r="F8" s="9">
        <f>VLOOKUP(A8,[18]HISTOBQUEJUIN23!$A$6:$G$39,5,0)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VLOOKUP($A8,[20]TONTJUIN23!$A$6:$P$35,12,0)</f>
        <v>0</v>
      </c>
      <c r="Q8" s="2">
        <f>VLOOKUP($A8,[13]TONTJUIN23!$A$6:$P$20,10,0)</f>
        <v>0</v>
      </c>
      <c r="R8" s="2"/>
      <c r="S8" s="20">
        <v>500000</v>
      </c>
      <c r="T8" s="12" t="s">
        <v>8</v>
      </c>
      <c r="U8" s="17">
        <f t="shared" ref="U8:U36" si="15">G8+S8++R8+P8+O8+M8+I8+K8+Q8+V8+W8</f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15000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VLOOKUP(A9,[18]HISTOBQUEJUIN23!$A$6:$G$44,3,0)</f>
        <v>191000</v>
      </c>
      <c r="E9" s="9">
        <f>VLOOKUP(A9,[18]HISTOBQUEJUIN23!$A$6:$G$39,4,0)</f>
        <v>0</v>
      </c>
      <c r="F9" s="9">
        <f>VLOOKUP(A9,[18]HISTOBQUEJUIN23!$A$6:$G$39,5,0)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VLOOKUP($A9,[20]TONTJUIN23!$A$6:$P$35,12,0)</f>
        <v>0</v>
      </c>
      <c r="Q9" s="2"/>
      <c r="R9" s="2">
        <f>VLOOKUP($A9,[19]TONTJUIN23!$A$6:$P$21,10,0)</f>
        <v>51000</v>
      </c>
      <c r="S9" s="20"/>
      <c r="T9" s="12"/>
      <c r="U9" s="17">
        <f t="shared" si="15"/>
        <v>191000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184000</v>
      </c>
      <c r="AL9" s="12"/>
      <c r="AM9" s="12"/>
      <c r="AN9" s="12">
        <v>1500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184000</v>
      </c>
      <c r="AZ9" s="16">
        <f t="shared" si="12"/>
        <v>184000</v>
      </c>
      <c r="BA9" s="58"/>
      <c r="BB9" s="58"/>
      <c r="BC9" s="15"/>
      <c r="BD9" s="57">
        <f t="shared" si="13"/>
        <v>184000</v>
      </c>
      <c r="BE9" s="82">
        <v>184000</v>
      </c>
      <c r="BF9" s="29">
        <f t="shared" si="6"/>
        <v>0</v>
      </c>
      <c r="BG9" s="29">
        <v>6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VLOOKUP(A10,[18]HISTOBQUEJUIN23!$A$6:$G$44,3,0)</f>
        <v>0</v>
      </c>
      <c r="E10" s="9">
        <f>VLOOKUP(A10,[18]HISTOBQUEJUIN23!$A$6:$G$39,4,0)</f>
        <v>43000</v>
      </c>
      <c r="F10" s="9">
        <f>VLOOKUP(A10,[18]HISTOBQUEJUIN23!$A$6:$G$39,5,0)</f>
        <v>0</v>
      </c>
      <c r="G10" s="5">
        <f>IF(H10="ESPECES",3000,0)</f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VLOOKUP($A10,[20]TONTJUIN23!$A$6:$P$35,12,0)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-500</v>
      </c>
      <c r="D11" s="9">
        <f>VLOOKUP(A11,[18]HISTOBQUEJUIN23!$A$6:$G$44,3,0)+81500</f>
        <v>251500</v>
      </c>
      <c r="E11" s="9">
        <f>VLOOKUP(A11,[18]HISTOBQUEJUIN23!$A$6:$G$39,4,0)</f>
        <v>0</v>
      </c>
      <c r="F11" s="9">
        <f>VLOOKUP(A11,[18]HISTOBQUEJUIN23!$A$6:$G$39,5,0)</f>
        <v>0</v>
      </c>
      <c r="G11" s="5">
        <f t="shared" si="7"/>
        <v>0</v>
      </c>
      <c r="H11" s="10" t="str">
        <f t="shared" si="1"/>
        <v>BANQUE</v>
      </c>
      <c r="I11" s="10">
        <v>4000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VLOOKUP($A11,[20]TONTJUIN23!$A$6:$P$35,12,0)</f>
        <v>31000</v>
      </c>
      <c r="Q11" s="2">
        <f>VLOOKUP($A11,[13]TONTJUIN23!$A$6:$P$20,10,0)</f>
        <v>102000</v>
      </c>
      <c r="R11" s="2"/>
      <c r="S11" s="20"/>
      <c r="T11" s="12"/>
      <c r="U11" s="17">
        <f t="shared" si="15"/>
        <v>252000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>
        <v>100000</v>
      </c>
      <c r="AK11" s="12"/>
      <c r="AL11" s="12">
        <v>500</v>
      </c>
      <c r="AM11" s="12">
        <v>2000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19000</v>
      </c>
      <c r="AT11" s="12"/>
      <c r="AV11" s="15"/>
      <c r="AW11" s="15">
        <f t="shared" si="9"/>
        <v>30000</v>
      </c>
      <c r="AX11" s="15">
        <f t="shared" si="10"/>
        <v>100000</v>
      </c>
      <c r="AY11" s="15">
        <f t="shared" si="11"/>
        <v>0</v>
      </c>
      <c r="AZ11" s="16">
        <f t="shared" si="12"/>
        <v>130000</v>
      </c>
      <c r="BA11" s="58">
        <v>50000</v>
      </c>
      <c r="BB11" s="58"/>
      <c r="BC11" s="15"/>
      <c r="BD11" s="57">
        <f t="shared" si="13"/>
        <v>80000</v>
      </c>
      <c r="BE11" s="82">
        <f>50000+30000</f>
        <v>80000</v>
      </c>
      <c r="BF11" s="29">
        <f t="shared" si="6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VLOOKUP(A12,[18]HISTOBQUEJUIN23!$A$6:$G$44,3,0)+202500</f>
        <v>590500</v>
      </c>
      <c r="E12" s="9">
        <f>VLOOKUP(A12,[18]HISTOBQUEJUIN23!$A$6:$G$39,4,0)</f>
        <v>0</v>
      </c>
      <c r="F12" s="9">
        <f>VLOOKUP(A12,[18]HISTOBQUEJUIN23!$A$6:$G$39,5,0)+1000000</f>
        <v>1000000</v>
      </c>
      <c r="G12" s="5">
        <f t="shared" si="7"/>
        <v>0</v>
      </c>
      <c r="H12" s="10" t="str">
        <f t="shared" si="1"/>
        <v>BANQUE</v>
      </c>
      <c r="I12" s="10">
        <v>34500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VLOOKUP($A12,[20]TONTJUIN23!$A$6:$P$35,12,0)</f>
        <v>0</v>
      </c>
      <c r="Q12" s="2">
        <f>VLOOKUP($A12,[13]TONTJUIN23!$A$6:$P$20,10,0)</f>
        <v>39000</v>
      </c>
      <c r="R12" s="2">
        <f>VLOOKUP($A12,[19]TONTJUIN23!$A$6:$P$21,10,0)</f>
        <v>202000</v>
      </c>
      <c r="S12" s="20">
        <v>1000000</v>
      </c>
      <c r="T12" s="12" t="s">
        <v>8</v>
      </c>
      <c r="U12" s="17">
        <f t="shared" si="15"/>
        <v>1590500</v>
      </c>
      <c r="V12" s="12"/>
      <c r="W12" s="12"/>
      <c r="X12" s="12"/>
      <c r="Y12" s="12"/>
      <c r="Z12" s="12">
        <v>705000</v>
      </c>
      <c r="AA12" s="12" t="s">
        <v>8</v>
      </c>
      <c r="AB12" s="12"/>
      <c r="AC12" s="12">
        <v>5000</v>
      </c>
      <c r="AD12" s="12"/>
      <c r="AE12" s="12"/>
      <c r="AF12" s="12"/>
      <c r="AG12" s="12"/>
      <c r="AH12" s="12"/>
      <c r="AI12" s="12">
        <v>30000</v>
      </c>
      <c r="AJ12" s="12"/>
      <c r="AK12" s="12"/>
      <c r="AL12" s="12">
        <v>500</v>
      </c>
      <c r="AM12" s="12"/>
      <c r="AN12" s="12"/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49500</v>
      </c>
      <c r="AT12" s="12"/>
      <c r="AV12" s="15"/>
      <c r="AW12" s="15">
        <f t="shared" si="9"/>
        <v>325000</v>
      </c>
      <c r="AX12" s="15">
        <f t="shared" si="10"/>
        <v>0</v>
      </c>
      <c r="AY12" s="15">
        <f t="shared" si="11"/>
        <v>0</v>
      </c>
      <c r="AZ12" s="16">
        <f t="shared" si="12"/>
        <v>1800</v>
      </c>
      <c r="BA12" s="58"/>
      <c r="BB12" s="58"/>
      <c r="BC12" s="15"/>
      <c r="BD12" s="57">
        <f>IF(AZ12=0,(AZ12-BA12-BC12),(AZ12-BA12-BB12-BC12))+F12-1001800</f>
        <v>0</v>
      </c>
      <c r="BE12" s="82"/>
      <c r="BF12" s="29">
        <f t="shared" si="6"/>
        <v>28200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VLOOKUP(A13,[18]HISTOBQUEJUIN23!$A$6:$G$44,3,0)</f>
        <v>40000</v>
      </c>
      <c r="E13" s="9">
        <f>VLOOKUP(A13,[18]HISTOBQUEJUIN23!$A$6:$G$39,4,0)</f>
        <v>0</v>
      </c>
      <c r="F13" s="9">
        <f>VLOOKUP(A13,[18]HISTOBQUEJUIN23!$A$6:$G$39,5,0)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VLOOKUP($A13,[20]TONTJUIN23!$A$6:$P$35,12,0)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VLOOKUP(A14,[18]HISTOBQUEJUIN23!$A$6:$G$44,3,0)</f>
        <v>40000</v>
      </c>
      <c r="E14" s="9">
        <f>VLOOKUP(A14,[18]HISTOBQUEJUIN23!$A$6:$G$39,4,0)</f>
        <v>0</v>
      </c>
      <c r="F14" s="9">
        <f>VLOOKUP(A14,[18]HISTOBQUEJUIN23!$A$6:$G$39,5,0)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VLOOKUP($A14,[20]TONTJUIN23!$A$6:$P$35,12,0)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VLOOKUP(A15,[18]HISTOBQUEJUIN23!$A$6:$G$44,3,0)</f>
        <v>115000</v>
      </c>
      <c r="E15" s="9">
        <f>VLOOKUP(A15,[18]HISTOBQUEJUIN23!$A$6:$G$39,4,0)</f>
        <v>0</v>
      </c>
      <c r="F15" s="9">
        <f>VLOOKUP(A15,[18]HISTOBQUEJUIN23!$A$6:$G$39,5,0)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VLOOKUP($A15,[20]TONTJUIN23!$A$6:$P$35,12,0)</f>
        <v>0</v>
      </c>
      <c r="Q15" s="2">
        <f>VLOOKUP($A15,[13]TONTJUIN23!$A$6:$P$20,10,0)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VLOOKUP(A16,[18]HISTOBQUEJUIN23!$A$6:$G$44,3,0)</f>
        <v>250000</v>
      </c>
      <c r="E16" s="9">
        <f>VLOOKUP(A16,[18]HISTOBQUEJUIN23!$A$6:$G$39,4,0)</f>
        <v>0</v>
      </c>
      <c r="F16" s="9">
        <f>VLOOKUP(A16,[18]HISTOBQUEJUIN23!$A$6:$G$39,5,0)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VLOOKUP($A16,[20]TONTJUIN23!$A$6:$P$35,12,0)</f>
        <v>0</v>
      </c>
      <c r="Q16" s="2">
        <f>VLOOKUP($A16,[13]TONTJUIN23!$A$6:$P$20,10,0)</f>
        <v>0</v>
      </c>
      <c r="R16" s="2">
        <f>VLOOKUP($A16,[19]TONTJUIN23!$A$6:$P$21,10,0)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24000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VLOOKUP(A17,[18]HISTOBQUEJUIN23!$A$6:$G$44,3,0)</f>
        <v>140000</v>
      </c>
      <c r="E17" s="9">
        <f>VLOOKUP(A17,[18]HISTOBQUEJUIN23!$A$6:$G$39,4,0)</f>
        <v>0</v>
      </c>
      <c r="F17" s="9">
        <f>VLOOKUP(A17,[18]HISTOBQUEJUIN23!$A$6:$G$39,5,0)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VLOOKUP($A17,[20]TONTJUIN23!$A$6:$P$35,12,0)</f>
        <v>0</v>
      </c>
      <c r="Q17" s="2"/>
      <c r="R17" s="2">
        <f>VLOOKUP($A17,[19]TONTJUIN23!$A$6:$P$21,10,0)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VLOOKUP(A18,[18]HISTOBQUEJUIN23!$A$6:$G$44,3,0)</f>
        <v>1215000</v>
      </c>
      <c r="E18" s="9">
        <f>VLOOKUP(A18,[18]HISTOBQUEJUIN23!$A$6:$G$39,4,0)</f>
        <v>0</v>
      </c>
      <c r="F18" s="9">
        <f>VLOOKUP(A18,[18]HISTOBQUEJUIN23!$A$6:$G$39,5,0)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VLOOKUP($A18,[20]TONTJUIN23!$A$6:$P$35,12,0)</f>
        <v>0</v>
      </c>
      <c r="Q18" s="2">
        <f>VLOOKUP($A18,[13]TONTJUIN23!$A$6:$P$20,10,0)</f>
        <v>0</v>
      </c>
      <c r="R18" s="2">
        <f>VLOOKUP($A18,[19]TONTJUIN23!$A$6:$P$21,10,0)</f>
        <v>0</v>
      </c>
      <c r="S18" s="20">
        <v>1000000</v>
      </c>
      <c r="T18" s="12" t="s">
        <v>8</v>
      </c>
      <c r="U18" s="17">
        <f t="shared" si="15"/>
        <v>1215000</v>
      </c>
      <c r="V18" s="12"/>
      <c r="W18" s="12"/>
      <c r="X18" s="12"/>
      <c r="Y18" s="12"/>
      <c r="Z18" s="12">
        <v>250000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240000</v>
      </c>
      <c r="BA18" s="58"/>
      <c r="BB18" s="58"/>
      <c r="BC18" s="15"/>
      <c r="BD18" s="57">
        <f t="shared" si="13"/>
        <v>240000</v>
      </c>
      <c r="BE18" s="82">
        <v>240000</v>
      </c>
      <c r="BF18" s="29">
        <f t="shared" si="6"/>
        <v>10000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VLOOKUP(A19,[18]HISTOBQUEJUIN23!$A$6:$G$44,3,0)</f>
        <v>40000</v>
      </c>
      <c r="E19" s="9">
        <f>VLOOKUP(A19,[18]HISTOBQUEJUIN23!$A$6:$G$39,4,0)</f>
        <v>0</v>
      </c>
      <c r="F19" s="9">
        <f>VLOOKUP(A19,[18]HISTOBQUEJUIN23!$A$6:$G$39,5,0)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VLOOKUP($A19,[20]TONTJUIN23!$A$6:$P$35,12,0)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6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D20+E20+F20-U20-BB20-202000-81500-500000</f>
        <v>0</v>
      </c>
      <c r="D20" s="9">
        <f>VLOOKUP(A20,[18]HISTOBQUEJUIN23!$A$6:$G$44,3,0)-500</f>
        <v>997500</v>
      </c>
      <c r="E20" s="9">
        <f>VLOOKUP(A20,[18]HISTOBQUEJUIN23!$A$6:$G$39,4,0)</f>
        <v>0</v>
      </c>
      <c r="F20" s="9">
        <f>VLOOKUP(A20,[18]HISTOBQUEJUIN23!$A$6:$G$39,5,0)</f>
        <v>0</v>
      </c>
      <c r="G20" s="5">
        <f t="shared" si="7"/>
        <v>0</v>
      </c>
      <c r="H20" s="10" t="str">
        <f t="shared" si="1"/>
        <v>BANQUE</v>
      </c>
      <c r="I20" s="10">
        <v>-1000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VLOOKUP($A20,[20]TONTJUIN23!$A$6:$P$35,12,0)</f>
        <v>0</v>
      </c>
      <c r="Q20" s="2">
        <f>VLOOKUP($A20,[13]TONTJUIN23!$A$6:$P$20,10,0)</f>
        <v>0</v>
      </c>
      <c r="R20" s="2">
        <f>VLOOKUP($A20,[19]TONTJUIN23!$A$6:$P$21,10,0)</f>
        <v>0</v>
      </c>
      <c r="S20" s="20"/>
      <c r="T20" s="12"/>
      <c r="U20" s="17">
        <f t="shared" si="15"/>
        <v>214000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14000</v>
      </c>
      <c r="AT20" s="12"/>
      <c r="AV20" s="15"/>
      <c r="AW20" s="15">
        <f t="shared" si="9"/>
        <v>0</v>
      </c>
      <c r="AX20" s="15">
        <f t="shared" si="10"/>
        <v>100000</v>
      </c>
      <c r="AY20" s="15">
        <f t="shared" si="11"/>
        <v>200000</v>
      </c>
      <c r="AZ20" s="16">
        <f t="shared" si="12"/>
        <v>300000</v>
      </c>
      <c r="BA20" s="58">
        <v>9000</v>
      </c>
      <c r="BB20" s="58"/>
      <c r="BC20" s="15"/>
      <c r="BD20" s="57">
        <f t="shared" si="13"/>
        <v>291000</v>
      </c>
      <c r="BE20" s="82">
        <f>91000+200000</f>
        <v>291000</v>
      </c>
      <c r="BF20" s="29">
        <f t="shared" si="6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VLOOKUP(A21,[18]HISTOBQUEJUIN23!$A$6:$G$44,3,0)</f>
        <v>40000</v>
      </c>
      <c r="E21" s="9">
        <f>VLOOKUP(A21,[18]HISTOBQUEJUIN23!$A$6:$G$39,4,0)</f>
        <v>0</v>
      </c>
      <c r="F21" s="9">
        <f>VLOOKUP(A21,[18]HISTOBQUEJUIN23!$A$6:$G$39,5,0)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VLOOKUP($A21,[20]TONTJUIN23!$A$6:$P$35,12,0)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VLOOKUP(A22,[18]HISTOBQUEJUIN23!$A$6:$G$44,3,0)</f>
        <v>115000</v>
      </c>
      <c r="E22" s="9">
        <f>VLOOKUP(A22,[18]HISTOBQUEJUIN23!$A$6:$G$39,4,0)</f>
        <v>0</v>
      </c>
      <c r="F22" s="9">
        <f>VLOOKUP(A22,[18]HISTOBQUEJUIN23!$A$6:$G$39,5,0)</f>
        <v>70000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VLOOKUP($A22,[20]TONTJUIN23!$A$6:$P$35,12,0)</f>
        <v>0</v>
      </c>
      <c r="Q22" s="2">
        <f>VLOOKUP($A22,[13]TONTJUIN23!$A$6:$P$20,10,0)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>
        <v>4500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295500</v>
      </c>
      <c r="AX22" s="15">
        <f t="shared" si="10"/>
        <v>0</v>
      </c>
      <c r="AY22" s="15">
        <f t="shared" si="11"/>
        <v>0</v>
      </c>
      <c r="AZ22" s="16">
        <f t="shared" si="12"/>
        <v>225500</v>
      </c>
      <c r="BA22" s="58"/>
      <c r="BB22" s="58">
        <v>70000</v>
      </c>
      <c r="BC22" s="15"/>
      <c r="BD22" s="57">
        <f t="shared" si="13"/>
        <v>225500</v>
      </c>
      <c r="BE22" s="82">
        <f>225500</f>
        <v>225500</v>
      </c>
      <c r="BF22" s="29">
        <f t="shared" si="6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VLOOKUP(A23,[18]HISTOBQUEJUIN23!$A$6:$G$44,3,0)</f>
        <v>452000</v>
      </c>
      <c r="E23" s="9">
        <f>VLOOKUP(A23,[18]HISTOBQUEJUIN23!$A$6:$G$39,4,0)</f>
        <v>0</v>
      </c>
      <c r="F23" s="9">
        <f>VLOOKUP(A23,[18]HISTOBQUEJUIN23!$A$6:$G$39,5,0)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VLOOKUP($A23,[20]TONTJUIN23!$A$6:$P$35,12,0)</f>
        <v>0</v>
      </c>
      <c r="Q23" s="2"/>
      <c r="R23" s="2">
        <f>VLOOKUP($A23,[19]TONTJUIN23!$A$6:$P$21,10,0)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1390000</v>
      </c>
      <c r="AZ23" s="16">
        <f t="shared" si="12"/>
        <v>1390000</v>
      </c>
      <c r="BA23" s="58"/>
      <c r="BB23" s="58"/>
      <c r="BC23" s="15"/>
      <c r="BD23" s="57">
        <f t="shared" si="13"/>
        <v>1390000</v>
      </c>
      <c r="BE23" s="82">
        <f>1190000+200000</f>
        <v>1390000</v>
      </c>
      <c r="BF23" s="29">
        <f t="shared" si="6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VLOOKUP(A24,[18]HISTOBQUEJUIN23!$A$6:$G$44,3,0)</f>
        <v>215000</v>
      </c>
      <c r="E24" s="9">
        <f>VLOOKUP(A24,[18]HISTOBQUEJUIN23!$A$6:$G$39,4,0)</f>
        <v>0</v>
      </c>
      <c r="F24" s="9">
        <f>VLOOKUP(A24,[18]HISTOBQUEJUIN23!$A$6:$G$39,5,0)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VLOOKUP($A24,[20]TONTJUIN23!$A$6:$P$35,12,0)</f>
        <v>0</v>
      </c>
      <c r="Q24" s="2">
        <f>VLOOKUP($A24,[13]TONTJUIN23!$A$6:$P$20,10,0)</f>
        <v>0</v>
      </c>
      <c r="R24" s="2">
        <f>VLOOKUP($A24,[19]TONTJUIN23!$A$6:$P$21,10,0)</f>
        <v>0</v>
      </c>
      <c r="S24" s="20"/>
      <c r="T24" s="12"/>
      <c r="U24" s="17">
        <f t="shared" si="15"/>
        <v>215000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60000</v>
      </c>
      <c r="AJ24" s="12"/>
      <c r="AK24" s="12"/>
      <c r="AL24" s="12">
        <v>1000</v>
      </c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60000</v>
      </c>
      <c r="AX24" s="15">
        <f t="shared" si="10"/>
        <v>0</v>
      </c>
      <c r="AY24" s="15">
        <f t="shared" si="11"/>
        <v>0</v>
      </c>
      <c r="AZ24" s="16">
        <f t="shared" si="12"/>
        <v>60000</v>
      </c>
      <c r="BA24" s="58"/>
      <c r="BB24" s="58"/>
      <c r="BC24" s="15"/>
      <c r="BD24" s="57">
        <f t="shared" si="13"/>
        <v>60000</v>
      </c>
      <c r="BE24" s="82">
        <v>60000</v>
      </c>
      <c r="BF24" s="29">
        <f t="shared" si="6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VLOOKUP(A25,[18]HISTOBQUEJUIN23!$A$6:$G$44,3,0)</f>
        <v>350000</v>
      </c>
      <c r="E25" s="9">
        <f>VLOOKUP(A25,[18]HISTOBQUEJUIN23!$A$6:$G$39,4,0)</f>
        <v>0</v>
      </c>
      <c r="F25" s="9">
        <f>VLOOKUP(A25,[18]HISTOBQUEJUIN23!$A$6:$G$39,5,0)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VLOOKUP($A25,[20]TONTJUIN23!$A$6:$P$35,12,0)</f>
        <v>0</v>
      </c>
      <c r="Q25" s="2">
        <f>VLOOKUP($A25,[13]TONTJUIN23!$A$6:$P$20,10,0)</f>
        <v>51000</v>
      </c>
      <c r="R25" s="2">
        <f>VLOOKUP($A25,[19]TONTJUIN23!$A$6:$P$21,10,0)</f>
        <v>0</v>
      </c>
      <c r="S25" s="20"/>
      <c r="T25" s="12"/>
      <c r="U25" s="17">
        <f t="shared" si="15"/>
        <v>350000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100000</v>
      </c>
      <c r="AK25" s="12"/>
      <c r="AL25" s="12"/>
      <c r="AM25" s="12">
        <v>2000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100000</v>
      </c>
      <c r="AY25" s="15">
        <f t="shared" si="11"/>
        <v>0</v>
      </c>
      <c r="AZ25" s="16">
        <f t="shared" si="12"/>
        <v>100000</v>
      </c>
      <c r="BA25" s="58"/>
      <c r="BB25" s="58"/>
      <c r="BC25" s="15"/>
      <c r="BD25" s="57">
        <f t="shared" si="13"/>
        <v>100000</v>
      </c>
      <c r="BE25" s="82">
        <v>100000</v>
      </c>
      <c r="BF25" s="29">
        <f t="shared" si="6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VLOOKUP(A26,[18]HISTOBQUEJUIN23!$A$6:$G$44,3,0)</f>
        <v>40000</v>
      </c>
      <c r="E26" s="9">
        <f>VLOOKUP(A26,[18]HISTOBQUEJUIN23!$A$6:$G$39,4,0)</f>
        <v>0</v>
      </c>
      <c r="F26" s="9">
        <f>VLOOKUP(A26,[18]HISTOBQUEJUIN23!$A$6:$G$39,5,0)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VLOOKUP($A26,[20]TONTJUIN23!$A$6:$P$35,12,0)</f>
        <v>0</v>
      </c>
      <c r="Q26" s="2"/>
      <c r="R26" s="2"/>
      <c r="S26" s="20"/>
      <c r="T26" s="12"/>
      <c r="U26" s="17">
        <f t="shared" si="15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6</v>
      </c>
      <c r="BH26" s="15"/>
      <c r="BI26" s="15"/>
      <c r="BJ26" s="15"/>
      <c r="BK26" s="15"/>
      <c r="BL26" s="61"/>
      <c r="BN26" t="s">
        <v>192</v>
      </c>
      <c r="BO26" t="s">
        <v>143</v>
      </c>
      <c r="BP26" s="62">
        <v>20000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VLOOKUP(A27,[18]HISTOBQUEJUIN23!$A$6:$G$44,3,0)</f>
        <v>45000</v>
      </c>
      <c r="E27" s="9">
        <f>VLOOKUP(A27,[18]HISTOBQUEJUIN23!$A$6:$G$39,4,0)</f>
        <v>0</v>
      </c>
      <c r="F27" s="9">
        <f>VLOOKUP(A27,[18]HISTOBQUEJUIN23!$A$6:$G$39,5,0)</f>
        <v>0</v>
      </c>
      <c r="G27" s="5">
        <f t="shared" si="7"/>
        <v>0</v>
      </c>
      <c r="H27" s="10" t="str">
        <f t="shared" si="1"/>
        <v>BANQUE</v>
      </c>
      <c r="I27" s="10">
        <v>5000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VLOOKUP($A27,[20]TONTJUIN23!$A$6:$P$35,12,0)</f>
        <v>0</v>
      </c>
      <c r="Q27" s="2"/>
      <c r="R27" s="2"/>
      <c r="S27" s="20"/>
      <c r="T27" s="12"/>
      <c r="U27" s="17">
        <f t="shared" si="15"/>
        <v>45000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20000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VLOOKUP(A28,[18]HISTOBQUEJUIN23!$A$6:$G$44,3,0)</f>
        <v>115000</v>
      </c>
      <c r="E28" s="9">
        <f>VLOOKUP(A28,[18]HISTOBQUEJUIN23!$A$6:$G$39,4,0)</f>
        <v>0</v>
      </c>
      <c r="F28" s="9">
        <f>VLOOKUP(A28,[18]HISTOBQUEJUIN23!$A$6:$G$39,5,0)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VLOOKUP($A28,[20]TONTJUIN23!$A$6:$P$35,12,0)</f>
        <v>0</v>
      </c>
      <c r="Q28" s="2">
        <f>VLOOKUP($A28,[13]TONTJUIN23!$A$6:$P$20,10,0)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20000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VLOOKUP(A29,[18]HISTOBQUEJUIN23!$A$6:$G$44,3,0)</f>
        <v>40000</v>
      </c>
      <c r="E29" s="9">
        <f>VLOOKUP(A29,[18]HISTOBQUEJUIN23!$A$6:$G$39,4,0)</f>
        <v>0</v>
      </c>
      <c r="F29" s="9">
        <f>VLOOKUP(A29,[18]HISTOBQUEJUIN23!$A$6:$G$39,5,0)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VLOOKUP($A29,[20]TONTJUIN23!$A$6:$P$35,12,0)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VLOOKUP(A30,[18]HISTOBQUEJUIN23!$A$6:$G$44,3,0)</f>
        <v>115000</v>
      </c>
      <c r="E30" s="9">
        <f>VLOOKUP(A30,[18]HISTOBQUEJUIN23!$A$6:$G$39,4,0)</f>
        <v>0</v>
      </c>
      <c r="F30" s="9">
        <f>VLOOKUP(A30,[18]HISTOBQUEJUIN23!$A$6:$G$39,5,0)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VLOOKUP($A30,[20]TONTJUIN23!$A$6:$P$35,12,0)</f>
        <v>0</v>
      </c>
      <c r="Q30" s="2">
        <f>VLOOKUP($A30,[13]TONTJUIN23!$A$6:$P$20,10,0)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VLOOKUP(A31,[18]HISTOBQUEJUIN23!$A$6:$G$44,3,0)</f>
        <v>140000</v>
      </c>
      <c r="E31" s="9">
        <f>VLOOKUP(A31,[18]HISTOBQUEJUIN23!$A$6:$G$39,4,0)</f>
        <v>0</v>
      </c>
      <c r="F31" s="9">
        <f>VLOOKUP(A31,[18]HISTOBQUEJUIN23!$A$6:$G$39,5,0)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VLOOKUP($A31,[20]TONTJUIN23!$A$6:$P$35,12,0)</f>
        <v>0</v>
      </c>
      <c r="Q31" s="2"/>
      <c r="R31" s="2">
        <f>VLOOKUP($A31,[19]TONTJUIN23!$A$6:$P$21,10,0)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VLOOKUP(A32,[18]HISTOBQUEJUIN23!$A$6:$G$44,3,0)</f>
        <v>217000</v>
      </c>
      <c r="E32" s="9">
        <f>VLOOKUP(A32,[18]HISTOBQUEJUIN23!$A$6:$G$39,4,0)</f>
        <v>0</v>
      </c>
      <c r="F32" s="9">
        <f>VLOOKUP(A32,[18]HISTOBQUEJUIN23!$A$6:$G$39,5,0)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VLOOKUP($A32,[20]TONTJUIN23!$A$6:$P$35,12,0)</f>
        <v>0</v>
      </c>
      <c r="Q32" s="2">
        <f>VLOOKUP($A32,[13]TONTJUIN23!$A$6:$P$20,10,0)</f>
        <v>102000</v>
      </c>
      <c r="R32" s="2"/>
      <c r="S32" s="20"/>
      <c r="T32" s="12"/>
      <c r="U32" s="17">
        <f t="shared" si="15"/>
        <v>217000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/>
      <c r="BB32" s="58"/>
      <c r="BC32" s="15"/>
      <c r="BD32" s="57">
        <f t="shared" si="13"/>
        <v>100000</v>
      </c>
      <c r="BE32" s="82">
        <v>100000</v>
      </c>
      <c r="BF32" s="29">
        <f t="shared" si="6"/>
        <v>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VLOOKUP(A33,[18]HISTOBQUEJUIN23!$A$6:$G$44,3,0)</f>
        <v>40000</v>
      </c>
      <c r="E33" s="9">
        <f>VLOOKUP(A33,[18]HISTOBQUEJUIN23!$A$6:$G$39,4,0)</f>
        <v>0</v>
      </c>
      <c r="F33" s="9">
        <f>VLOOKUP(A33,[18]HISTOBQUEJUIN23!$A$6:$G$39,5,0)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VLOOKUP($A33,[20]TONTJUIN23!$A$6:$P$35,12,0)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VLOOKUP(A34,[18]HISTOBQUEJUIN23!$A$6:$G$44,3,0)</f>
        <v>100000</v>
      </c>
      <c r="E34" s="9">
        <f>VLOOKUP(A34,[18]HISTOBQUEJUIN23!$A$6:$G$39,4,0)</f>
        <v>0</v>
      </c>
      <c r="F34" s="9">
        <f>VLOOKUP(A34,[18]HISTOBQUEJUIN23!$A$6:$G$39,5,0)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VLOOKUP($A34,[20]TONTJUIN23!$A$6:$P$35,12,0)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6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VLOOKUP(A35,[18]HISTOBQUEJUIN23!$A$6:$G$44,3,0)</f>
        <v>40000</v>
      </c>
      <c r="E35" s="9">
        <f>VLOOKUP(A35,[18]HISTOBQUEJUIN23!$A$6:$G$39,4,0)</f>
        <v>0</v>
      </c>
      <c r="F35" s="9">
        <f>VLOOKUP(A35,[18]HISTOBQUEJUIN23!$A$6:$G$39,5,0)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VLOOKUP($A35,[20]TONTJUIN23!$A$6:$P$35,12,0)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6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VLOOKUP(A36,[18]HISTOBQUEJUIN23!$A$6:$G$44,3,0)</f>
        <v>290000</v>
      </c>
      <c r="E36" s="9">
        <f>VLOOKUP(A36,[18]HISTOBQUEJUIN23!$A$6:$G$39,4,0)</f>
        <v>0</v>
      </c>
      <c r="F36" s="9">
        <f>VLOOKUP(A36,[18]HISTOBQUEJUIN23!$A$6:$G$39,5,0)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VLOOKUP($A36,[20]TONTJUIN23!$A$6:$P$35,12,0)</f>
        <v>0</v>
      </c>
      <c r="Q36" s="2">
        <f>VLOOKUP($A36,[13]TONTJUIN23!$A$6:$P$20,10,0)</f>
        <v>0</v>
      </c>
      <c r="R36" s="2">
        <f>VLOOKUP($A36,[19]TONTJUIN23!$A$6:$P$21,10,0)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>
        <v>7500</v>
      </c>
      <c r="AE36" s="12">
        <v>10000</v>
      </c>
      <c r="AF36" s="12" t="s">
        <v>8</v>
      </c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892500</v>
      </c>
      <c r="AY36" s="15">
        <f t="shared" si="11"/>
        <v>1190000</v>
      </c>
      <c r="AZ36" s="16">
        <f t="shared" si="12"/>
        <v>2082500</v>
      </c>
      <c r="BA36" s="58"/>
      <c r="BB36" s="58"/>
      <c r="BC36" s="15"/>
      <c r="BD36" s="57">
        <f t="shared" si="13"/>
        <v>2082500</v>
      </c>
      <c r="BE36" s="82">
        <f>892500+1190000</f>
        <v>2082500</v>
      </c>
      <c r="BF36" s="29">
        <f t="shared" si="6"/>
        <v>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-500</v>
      </c>
      <c r="D38" s="5">
        <f t="shared" si="16"/>
        <v>7054500</v>
      </c>
      <c r="E38" s="5">
        <f t="shared" si="16"/>
        <v>43000</v>
      </c>
      <c r="F38" s="5">
        <f t="shared" si="16"/>
        <v>1070000</v>
      </c>
      <c r="G38" s="5">
        <f t="shared" si="16"/>
        <v>3000</v>
      </c>
      <c r="H38" s="5">
        <f t="shared" si="16"/>
        <v>0</v>
      </c>
      <c r="I38" s="5">
        <f t="shared" si="16"/>
        <v>156500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31000</v>
      </c>
      <c r="Q38" s="5">
        <f t="shared" si="16"/>
        <v>294000</v>
      </c>
      <c r="R38" s="5">
        <f t="shared" si="16"/>
        <v>455000</v>
      </c>
      <c r="S38" s="5">
        <f t="shared" si="16"/>
        <v>2500000</v>
      </c>
      <c r="T38" s="5"/>
      <c r="U38" s="5">
        <f t="shared" ref="U38:AA38" si="17">SUM(U6:U37)</f>
        <v>7314500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1555000</v>
      </c>
      <c r="AA38" s="5">
        <f t="shared" si="17"/>
        <v>0</v>
      </c>
      <c r="AB38" s="5"/>
      <c r="AC38" s="5">
        <f>SUM(AC6:AC37)</f>
        <v>9500</v>
      </c>
      <c r="AD38" s="5">
        <f>SUM(AD6:AD37)</f>
        <v>7500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150000</v>
      </c>
      <c r="AJ38" s="5">
        <f t="shared" si="18"/>
        <v>400000</v>
      </c>
      <c r="AK38" s="5">
        <f t="shared" si="18"/>
        <v>584000</v>
      </c>
      <c r="AL38" s="5">
        <f t="shared" si="18"/>
        <v>2500</v>
      </c>
      <c r="AM38" s="5">
        <f t="shared" si="18"/>
        <v>8000</v>
      </c>
      <c r="AN38" s="5">
        <f t="shared" si="18"/>
        <v>5500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606500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740500</v>
      </c>
      <c r="AX38" s="5">
        <f t="shared" si="18"/>
        <v>1292500</v>
      </c>
      <c r="AY38" s="5">
        <f t="shared" si="18"/>
        <v>2964000</v>
      </c>
      <c r="AZ38" s="5">
        <f t="shared" si="18"/>
        <v>5551800</v>
      </c>
      <c r="BA38" s="5">
        <f t="shared" si="18"/>
        <v>59000</v>
      </c>
      <c r="BB38" s="5">
        <f t="shared" si="18"/>
        <v>70000</v>
      </c>
      <c r="BC38" s="5">
        <f t="shared" si="18"/>
        <v>0</v>
      </c>
      <c r="BD38" s="5">
        <f t="shared" si="18"/>
        <v>5491000</v>
      </c>
      <c r="BE38" s="5">
        <f t="shared" si="18"/>
        <v>5456000</v>
      </c>
      <c r="BF38" s="5">
        <f>SUM(BF6:BF37)</f>
        <v>74200</v>
      </c>
      <c r="BH38" s="5">
        <f t="shared" ref="BH38:BL38" si="19">SUM(BH6:BH37)</f>
        <v>24000</v>
      </c>
      <c r="BI38" s="5">
        <f t="shared" si="19"/>
        <v>20000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 t="s">
        <v>180</v>
      </c>
      <c r="BA39" s="5">
        <v>94000</v>
      </c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70">
        <f>BA39-BA38</f>
        <v>35000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144000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5551800</v>
      </c>
      <c r="D43" s="9">
        <f>SUMIFS(D8:D38,H8:H38,"BANQUE")</f>
        <v>6839500</v>
      </c>
      <c r="F43" s="9">
        <f>E38</f>
        <v>43000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10365600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MODEVERSEMENT</vt:lpstr>
      <vt:lpstr>HISTOMVTDEPENSE</vt:lpstr>
      <vt:lpstr>COMPTE BANQUE</vt:lpstr>
      <vt:lpstr>HISTODEC22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2024-04-09T09:03:27Z</dcterms:modified>
</cp:coreProperties>
</file>