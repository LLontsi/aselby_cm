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_2023\"/>
    </mc:Choice>
  </mc:AlternateContent>
  <bookViews>
    <workbookView xWindow="0" yWindow="0" windowWidth="15480" windowHeight="6810" activeTab="2"/>
  </bookViews>
  <sheets>
    <sheet name="MODEVERSEMENT" sheetId="2" r:id="rId1"/>
    <sheet name="TONTJANV23" sheetId="78" r:id="rId2"/>
    <sheet name="TONTFEV23" sheetId="79" r:id="rId3"/>
    <sheet name="TONTJANV22" sheetId="52" r:id="rId4"/>
    <sheet name="TONTFEV22" sheetId="66" r:id="rId5"/>
    <sheet name="TONTMARS22" sheetId="67" r:id="rId6"/>
    <sheet name="TONTAVRIL22" sheetId="68" r:id="rId7"/>
    <sheet name="TONTMAI22" sheetId="69" r:id="rId8"/>
    <sheet name="TONTJUIN22" sheetId="70" r:id="rId9"/>
    <sheet name="TONTJUIL22" sheetId="71" r:id="rId10"/>
    <sheet name="TONTAOUT22" sheetId="72" r:id="rId11"/>
    <sheet name="TONTSEPT22" sheetId="73" r:id="rId12"/>
    <sheet name="TONTOCT22" sheetId="74" r:id="rId13"/>
    <sheet name="TONTNOV22" sheetId="75" r:id="rId14"/>
    <sheet name="TONTDEC22" sheetId="76" r:id="rId15"/>
    <sheet name="TONTRESUME22" sheetId="77" r:id="rId16"/>
    <sheet name="TONTRESUME21" sheetId="65" r:id="rId17"/>
    <sheet name="DEFAILLANCETONTINE" sheetId="50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xlnm._FilterDatabase" localSheetId="10" hidden="1">TONTAOUT22!$A$5:$R$24</definedName>
    <definedName name="_xlnm._FilterDatabase" localSheetId="6" hidden="1">TONTAVRIL22!$A$5:$R$24</definedName>
    <definedName name="_xlnm._FilterDatabase" localSheetId="14" hidden="1">TONTDEC22!$A$5:$R$24</definedName>
    <definedName name="_xlnm._FilterDatabase" localSheetId="4" hidden="1">TONTFEV22!$A$5:$R$24</definedName>
    <definedName name="_xlnm._FilterDatabase" localSheetId="2" hidden="1">TONTFEV23!$A$5:$R$25</definedName>
    <definedName name="_xlnm._FilterDatabase" localSheetId="3" hidden="1">TONTJANV22!$A$5:$R$24</definedName>
    <definedName name="_xlnm._FilterDatabase" localSheetId="1" hidden="1">TONTJANV23!$A$5:$R$25</definedName>
    <definedName name="_xlnm._FilterDatabase" localSheetId="9" hidden="1">TONTJUIL22!$A$5:$R$24</definedName>
    <definedName name="_xlnm._FilterDatabase" localSheetId="8" hidden="1">TONTJUIN22!$A$5:$R$24</definedName>
    <definedName name="_xlnm._FilterDatabase" localSheetId="7" hidden="1">TONTMAI22!$A$5:$R$24</definedName>
    <definedName name="_xlnm._FilterDatabase" localSheetId="5" hidden="1">TONTMARS22!$A$5:$R$24</definedName>
    <definedName name="_xlnm._FilterDatabase" localSheetId="13" hidden="1">TONTNOV22!$A$5:$R$24</definedName>
    <definedName name="_xlnm._FilterDatabase" localSheetId="12" hidden="1">TONTOCT22!$A$5:$R$24</definedName>
    <definedName name="_xlnm._FilterDatabase" localSheetId="16" hidden="1">TONTRESUME21!$A$5:$R$34</definedName>
    <definedName name="_xlnm._FilterDatabase" localSheetId="15" hidden="1">TONTRESUME22!$A$5:$R$31</definedName>
    <definedName name="_xlnm._FilterDatabase" localSheetId="11" hidden="1">TONTSEPT22!$A$5:$R$24</definedName>
    <definedName name="BANQUE" localSheetId="0">#REF!</definedName>
    <definedName name="BANQUE" localSheetId="10">#REF!</definedName>
    <definedName name="BANQUE" localSheetId="6">#REF!</definedName>
    <definedName name="BANQUE" localSheetId="14">#REF!</definedName>
    <definedName name="BANQUE" localSheetId="4">#REF!</definedName>
    <definedName name="BANQUE" localSheetId="2">#REF!</definedName>
    <definedName name="BANQUE" localSheetId="3">#REF!</definedName>
    <definedName name="BANQUE" localSheetId="1">#REF!</definedName>
    <definedName name="BANQUE" localSheetId="9">#REF!</definedName>
    <definedName name="BANQUE" localSheetId="8">#REF!</definedName>
    <definedName name="BANQUE" localSheetId="7">#REF!</definedName>
    <definedName name="BANQUE" localSheetId="5">#REF!</definedName>
    <definedName name="BANQUE" localSheetId="13">#REF!</definedName>
    <definedName name="BANQUE" localSheetId="12">#REF!</definedName>
    <definedName name="BANQUE" localSheetId="16">#REF!</definedName>
    <definedName name="BANQUE" localSheetId="15">#REF!</definedName>
    <definedName name="BANQUE" localSheetId="11">#REF!</definedName>
    <definedName name="BANQUE">#REF!</definedName>
    <definedName name="MODEPAID" localSheetId="17">#REF!</definedName>
    <definedName name="MODEPAID">[1]Feuil2!$A$1:$A$3</definedName>
    <definedName name="MODET25000">[2]MODEVERSEMENT!$A$1:$A$3</definedName>
    <definedName name="MODEVERSEMENT" localSheetId="0">#REF!</definedName>
    <definedName name="MODEVERSEMENT" localSheetId="10">#REF!</definedName>
    <definedName name="MODEVERSEMENT" localSheetId="6">#REF!</definedName>
    <definedName name="MODEVERSEMENT" localSheetId="14">#REF!</definedName>
    <definedName name="MODEVERSEMENT" localSheetId="4">#REF!</definedName>
    <definedName name="MODEVERSEMENT" localSheetId="2">#REF!</definedName>
    <definedName name="MODEVERSEMENT" localSheetId="3">#REF!</definedName>
    <definedName name="MODEVERSEMENT" localSheetId="1">#REF!</definedName>
    <definedName name="MODEVERSEMENT" localSheetId="9">#REF!</definedName>
    <definedName name="MODEVERSEMENT" localSheetId="8">#REF!</definedName>
    <definedName name="MODEVERSEMENT" localSheetId="7">#REF!</definedName>
    <definedName name="MODEVERSEMENT" localSheetId="5">#REF!</definedName>
    <definedName name="MODEVERSEMENT" localSheetId="13">#REF!</definedName>
    <definedName name="MODEVERSEMENT" localSheetId="12">#REF!</definedName>
    <definedName name="MODEVERSEMENT" localSheetId="16">#REF!</definedName>
    <definedName name="MODEVERSEMENT" localSheetId="15">#REF!</definedName>
    <definedName name="MODEVERSEMENT" localSheetId="11">#REF!</definedName>
    <definedName name="MODEVERSEMENT">#REF!</definedName>
    <definedName name="MODEVERSEMENTS" localSheetId="10">[3]MODEVERSEMENT!$A$1:$A$3</definedName>
    <definedName name="MODEVERSEMENTS" localSheetId="6">[3]MODEVERSEMENT!$A$1:$A$3</definedName>
    <definedName name="MODEVERSEMENTS" localSheetId="14">[3]MODEVERSEMENT!$A$1:$A$3</definedName>
    <definedName name="MODEVERSEMENTS" localSheetId="4">[3]MODEVERSEMENT!$A$1:$A$3</definedName>
    <definedName name="MODEVERSEMENTS" localSheetId="2">[3]MODEVERSEMENT!$A$1:$A$3</definedName>
    <definedName name="MODEVERSEMENTS" localSheetId="3">[3]MODEVERSEMENT!$A$1:$A$3</definedName>
    <definedName name="MODEVERSEMENTS" localSheetId="1">[3]MODEVERSEMENT!$A$1:$A$3</definedName>
    <definedName name="MODEVERSEMENTS" localSheetId="9">[3]MODEVERSEMENT!$A$1:$A$3</definedName>
    <definedName name="MODEVERSEMENTS" localSheetId="8">[3]MODEVERSEMENT!$A$1:$A$3</definedName>
    <definedName name="MODEVERSEMENTS" localSheetId="7">[3]MODEVERSEMENT!$A$1:$A$3</definedName>
    <definedName name="MODEVERSEMENTS" localSheetId="5">[3]MODEVERSEMENT!$A$1:$A$3</definedName>
    <definedName name="MODEVERSEMENTS" localSheetId="13">[3]MODEVERSEMENT!$A$1:$A$3</definedName>
    <definedName name="MODEVERSEMENTS" localSheetId="12">[3]MODEVERSEMENT!$A$1:$A$3</definedName>
    <definedName name="MODEVERSEMENTS" localSheetId="16">[3]MODEVERSEMENT!$A$1:$A$3</definedName>
    <definedName name="MODEVERSEMENTS" localSheetId="15">[3]MODEVERSEMENT!$A$1:$A$3</definedName>
    <definedName name="MODEVERSEMENTS" localSheetId="11">[3]MODEVERSEMENT!$A$1:$A$3</definedName>
    <definedName name="MODEVERSEMENTS">MODEVERSEMENT!$A$1:$A$3</definedName>
    <definedName name="MODPAID" localSheetId="10">TONTAOUT22!#REF!</definedName>
    <definedName name="MODPAID" localSheetId="6">TONTAVRIL22!#REF!</definedName>
    <definedName name="MODPAID" localSheetId="14">TONTDEC22!#REF!</definedName>
    <definedName name="MODPAID" localSheetId="4">TONTFEV22!#REF!</definedName>
    <definedName name="MODPAID" localSheetId="2">TONTFEV23!#REF!</definedName>
    <definedName name="MODPAID" localSheetId="3">TONTJANV22!#REF!</definedName>
    <definedName name="MODPAID" localSheetId="1">TONTJANV23!#REF!</definedName>
    <definedName name="MODPAID" localSheetId="9">TONTJUIL22!#REF!</definedName>
    <definedName name="MODPAID" localSheetId="8">TONTJUIN22!#REF!</definedName>
    <definedName name="MODPAID" localSheetId="7">TONTMAI22!#REF!</definedName>
    <definedName name="MODPAID" localSheetId="5">TONTMARS22!#REF!</definedName>
    <definedName name="MODPAID" localSheetId="13">TONTNOV22!#REF!</definedName>
    <definedName name="MODPAID" localSheetId="12">TONTOCT22!#REF!</definedName>
    <definedName name="MODPAID" localSheetId="16">TONTRESUME21!#REF!</definedName>
    <definedName name="MODPAID" localSheetId="15">TONTRESUME22!#REF!</definedName>
    <definedName name="MODPAID" localSheetId="11">TONTSEPT22!#REF!</definedName>
    <definedName name="VALMODEPAID" localSheetId="17">[4]MODEPAID!$A$1:$A$3</definedName>
    <definedName name="VALMODEPAID">[5]MODEPAID!$A$1:$A$3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5" i="79" l="1"/>
  <c r="O35" i="79" s="1"/>
  <c r="P35" i="79"/>
  <c r="K35" i="79"/>
  <c r="I35" i="79"/>
  <c r="J35" i="79" s="1"/>
  <c r="H35" i="79"/>
  <c r="R34" i="79"/>
  <c r="O34" i="79" s="1"/>
  <c r="P34" i="79"/>
  <c r="K34" i="79"/>
  <c r="I34" i="79"/>
  <c r="J34" i="79" s="1"/>
  <c r="H34" i="79"/>
  <c r="R33" i="79"/>
  <c r="O33" i="79" s="1"/>
  <c r="P33" i="79"/>
  <c r="K33" i="79"/>
  <c r="I33" i="79"/>
  <c r="J33" i="79" s="1"/>
  <c r="H33" i="79"/>
  <c r="R32" i="79"/>
  <c r="O32" i="79" s="1"/>
  <c r="P32" i="79"/>
  <c r="K32" i="79"/>
  <c r="I32" i="79"/>
  <c r="J32" i="79" s="1"/>
  <c r="H32" i="79"/>
  <c r="R31" i="79"/>
  <c r="O31" i="79" s="1"/>
  <c r="P31" i="79"/>
  <c r="K31" i="79"/>
  <c r="I31" i="79"/>
  <c r="J31" i="79" s="1"/>
  <c r="H31" i="79"/>
  <c r="R30" i="79"/>
  <c r="O30" i="79" s="1"/>
  <c r="P30" i="79"/>
  <c r="K30" i="79"/>
  <c r="I30" i="79"/>
  <c r="J30" i="79" s="1"/>
  <c r="H30" i="79"/>
  <c r="R29" i="79"/>
  <c r="O29" i="79" s="1"/>
  <c r="P29" i="79"/>
  <c r="K29" i="79"/>
  <c r="I29" i="79"/>
  <c r="J29" i="79" s="1"/>
  <c r="H29" i="79"/>
  <c r="R28" i="79"/>
  <c r="O28" i="79" s="1"/>
  <c r="P28" i="79"/>
  <c r="K28" i="79"/>
  <c r="I28" i="79"/>
  <c r="J28" i="79" s="1"/>
  <c r="H28" i="79"/>
  <c r="R27" i="79"/>
  <c r="O27" i="79" s="1"/>
  <c r="P27" i="79"/>
  <c r="K27" i="79"/>
  <c r="I27" i="79"/>
  <c r="J27" i="79" s="1"/>
  <c r="H27" i="79"/>
  <c r="R26" i="79"/>
  <c r="O26" i="79" s="1"/>
  <c r="P26" i="79"/>
  <c r="K26" i="79"/>
  <c r="I26" i="79"/>
  <c r="J26" i="79" s="1"/>
  <c r="H26" i="79"/>
  <c r="R25" i="79"/>
  <c r="O25" i="79" s="1"/>
  <c r="P25" i="79"/>
  <c r="K25" i="79"/>
  <c r="I25" i="79"/>
  <c r="J25" i="79" s="1"/>
  <c r="H25" i="79"/>
  <c r="R24" i="79"/>
  <c r="Q24" i="79" s="1"/>
  <c r="P24" i="79"/>
  <c r="K24" i="79"/>
  <c r="I24" i="79"/>
  <c r="J24" i="79" s="1"/>
  <c r="H24" i="79"/>
  <c r="R23" i="79"/>
  <c r="O23" i="79" s="1"/>
  <c r="P23" i="79"/>
  <c r="K23" i="79"/>
  <c r="I23" i="79"/>
  <c r="J23" i="79" s="1"/>
  <c r="H23" i="79"/>
  <c r="R22" i="79"/>
  <c r="O22" i="79" s="1"/>
  <c r="P22" i="79"/>
  <c r="K22" i="79"/>
  <c r="I22" i="79"/>
  <c r="J22" i="79" s="1"/>
  <c r="H22" i="79"/>
  <c r="R21" i="79"/>
  <c r="O21" i="79" s="1"/>
  <c r="P21" i="79"/>
  <c r="K21" i="79"/>
  <c r="I21" i="79"/>
  <c r="J21" i="79" s="1"/>
  <c r="H21" i="79"/>
  <c r="R20" i="79"/>
  <c r="Q20" i="79" s="1"/>
  <c r="P20" i="79"/>
  <c r="K20" i="79"/>
  <c r="I20" i="79"/>
  <c r="J20" i="79" s="1"/>
  <c r="H20" i="79"/>
  <c r="R19" i="79"/>
  <c r="O19" i="79" s="1"/>
  <c r="P19" i="79"/>
  <c r="K19" i="79"/>
  <c r="I19" i="79"/>
  <c r="J19" i="79" s="1"/>
  <c r="H19" i="79"/>
  <c r="R18" i="79"/>
  <c r="O18" i="79" s="1"/>
  <c r="P18" i="79"/>
  <c r="K18" i="79"/>
  <c r="I18" i="79"/>
  <c r="J18" i="79" s="1"/>
  <c r="H18" i="79"/>
  <c r="R17" i="79"/>
  <c r="O17" i="79" s="1"/>
  <c r="P17" i="79"/>
  <c r="K17" i="79"/>
  <c r="I17" i="79"/>
  <c r="J17" i="79" s="1"/>
  <c r="H17" i="79"/>
  <c r="R16" i="79"/>
  <c r="Q16" i="79" s="1"/>
  <c r="P16" i="79"/>
  <c r="K16" i="79"/>
  <c r="I16" i="79"/>
  <c r="J16" i="79" s="1"/>
  <c r="H16" i="79"/>
  <c r="R15" i="79"/>
  <c r="O15" i="79" s="1"/>
  <c r="P15" i="79"/>
  <c r="K15" i="79"/>
  <c r="I15" i="79"/>
  <c r="J15" i="79" s="1"/>
  <c r="H15" i="79"/>
  <c r="R14" i="79"/>
  <c r="P14" i="79"/>
  <c r="K14" i="79"/>
  <c r="I14" i="79"/>
  <c r="J14" i="79" s="1"/>
  <c r="H14" i="79"/>
  <c r="R13" i="79"/>
  <c r="O13" i="79" s="1"/>
  <c r="P13" i="79"/>
  <c r="K13" i="79"/>
  <c r="I13" i="79"/>
  <c r="J13" i="79" s="1"/>
  <c r="H13" i="79"/>
  <c r="R12" i="79"/>
  <c r="O12" i="79" s="1"/>
  <c r="P12" i="79"/>
  <c r="K12" i="79"/>
  <c r="I12" i="79"/>
  <c r="J12" i="79" s="1"/>
  <c r="H12" i="79"/>
  <c r="R11" i="79"/>
  <c r="O11" i="79" s="1"/>
  <c r="P11" i="79"/>
  <c r="K11" i="79"/>
  <c r="I11" i="79"/>
  <c r="J11" i="79" s="1"/>
  <c r="H11" i="79"/>
  <c r="R10" i="79"/>
  <c r="P10" i="79"/>
  <c r="K10" i="79"/>
  <c r="I10" i="79"/>
  <c r="J10" i="79" s="1"/>
  <c r="H10" i="79"/>
  <c r="R9" i="79"/>
  <c r="O9" i="79" s="1"/>
  <c r="P9" i="79"/>
  <c r="K9" i="79"/>
  <c r="I9" i="79"/>
  <c r="J9" i="79" s="1"/>
  <c r="H9" i="79"/>
  <c r="R8" i="79"/>
  <c r="O8" i="79" s="1"/>
  <c r="P8" i="79"/>
  <c r="K8" i="79"/>
  <c r="I8" i="79"/>
  <c r="J8" i="79" s="1"/>
  <c r="H8" i="79"/>
  <c r="R7" i="79"/>
  <c r="O7" i="79" s="1"/>
  <c r="P7" i="79"/>
  <c r="K7" i="79"/>
  <c r="I7" i="79"/>
  <c r="J7" i="79" s="1"/>
  <c r="H7" i="79"/>
  <c r="R6" i="79"/>
  <c r="Q6" i="79" s="1"/>
  <c r="P6" i="79"/>
  <c r="K6" i="79"/>
  <c r="I6" i="79"/>
  <c r="J6" i="79" s="1"/>
  <c r="H6" i="79"/>
  <c r="C35" i="79"/>
  <c r="C34" i="79"/>
  <c r="C33" i="79"/>
  <c r="C32" i="79"/>
  <c r="C31" i="79"/>
  <c r="C30" i="79"/>
  <c r="C29" i="79"/>
  <c r="C28" i="79"/>
  <c r="C27" i="79"/>
  <c r="C26" i="79"/>
  <c r="C25" i="79"/>
  <c r="C24" i="79"/>
  <c r="C23" i="79"/>
  <c r="C22" i="79"/>
  <c r="C21" i="79"/>
  <c r="C20" i="79"/>
  <c r="C19" i="79"/>
  <c r="C18" i="79"/>
  <c r="C17" i="79"/>
  <c r="C16" i="79"/>
  <c r="C15" i="79"/>
  <c r="C14" i="79"/>
  <c r="C13" i="79"/>
  <c r="C12" i="79"/>
  <c r="C11" i="79"/>
  <c r="C10" i="79"/>
  <c r="C9" i="79"/>
  <c r="C8" i="79"/>
  <c r="C7" i="79"/>
  <c r="C6" i="79"/>
  <c r="C3" i="79"/>
  <c r="Q33" i="79" l="1"/>
  <c r="Q12" i="79"/>
  <c r="Q32" i="79"/>
  <c r="Q35" i="79"/>
  <c r="Q31" i="79"/>
  <c r="Q23" i="79"/>
  <c r="Q19" i="79"/>
  <c r="Q7" i="79"/>
  <c r="O16" i="79"/>
  <c r="Q18" i="79"/>
  <c r="Q28" i="79"/>
  <c r="Q29" i="79"/>
  <c r="Q27" i="79"/>
  <c r="O24" i="79"/>
  <c r="Q15" i="79"/>
  <c r="Q11" i="79"/>
  <c r="Q21" i="79"/>
  <c r="O20" i="79"/>
  <c r="H38" i="79"/>
  <c r="O6" i="79"/>
  <c r="R38" i="79"/>
  <c r="Q10" i="79"/>
  <c r="O10" i="79"/>
  <c r="O14" i="79"/>
  <c r="Q14" i="79"/>
  <c r="Q13" i="79"/>
  <c r="Q25" i="79"/>
  <c r="Q8" i="79"/>
  <c r="Q9" i="79"/>
  <c r="H42" i="79"/>
  <c r="H41" i="79"/>
  <c r="Q26" i="79"/>
  <c r="Q34" i="79"/>
  <c r="Q30" i="79"/>
  <c r="I38" i="79"/>
  <c r="Q22" i="79"/>
  <c r="P38" i="79"/>
  <c r="Q17" i="79"/>
  <c r="O38" i="79" l="1"/>
  <c r="I41" i="79"/>
  <c r="O41" i="79"/>
  <c r="Q38" i="79"/>
  <c r="H44" i="79"/>
  <c r="I42" i="79"/>
  <c r="M41" i="79"/>
  <c r="I44" i="79" l="1"/>
  <c r="H7" i="78" l="1"/>
  <c r="H8" i="78"/>
  <c r="H9" i="78"/>
  <c r="H10" i="78"/>
  <c r="H11" i="78"/>
  <c r="H12" i="78"/>
  <c r="H13" i="78"/>
  <c r="H14" i="78"/>
  <c r="H15" i="78"/>
  <c r="H16" i="78"/>
  <c r="H18" i="78"/>
  <c r="H20" i="78"/>
  <c r="H21" i="78"/>
  <c r="H22" i="78"/>
  <c r="H25" i="78"/>
  <c r="H26" i="78"/>
  <c r="H27" i="78"/>
  <c r="H28" i="78"/>
  <c r="H29" i="78"/>
  <c r="H30" i="78"/>
  <c r="H31" i="78"/>
  <c r="H32" i="78"/>
  <c r="H33" i="78"/>
  <c r="H34" i="78"/>
  <c r="H35" i="78"/>
  <c r="H6" i="78"/>
  <c r="R7" i="78"/>
  <c r="P7" i="78"/>
  <c r="M7" i="78"/>
  <c r="N7" i="78" s="1"/>
  <c r="K7" i="78"/>
  <c r="I7" i="78"/>
  <c r="J7" i="78" s="1"/>
  <c r="C7" i="78"/>
  <c r="R33" i="78"/>
  <c r="P33" i="78"/>
  <c r="M33" i="78"/>
  <c r="N33" i="78" s="1"/>
  <c r="K33" i="78"/>
  <c r="I33" i="78"/>
  <c r="J33" i="78" s="1"/>
  <c r="C33" i="78"/>
  <c r="L33" i="79" l="1"/>
  <c r="L7" i="79"/>
  <c r="Q33" i="78"/>
  <c r="Q7" i="78"/>
  <c r="O7" i="78"/>
  <c r="O33" i="78"/>
  <c r="I8" i="78"/>
  <c r="J8" i="78" s="1"/>
  <c r="K8" i="78"/>
  <c r="M8" i="78"/>
  <c r="N8" i="78" s="1"/>
  <c r="P8" i="78"/>
  <c r="R8" i="78"/>
  <c r="I9" i="78"/>
  <c r="J9" i="78" s="1"/>
  <c r="K9" i="78"/>
  <c r="M9" i="78"/>
  <c r="N9" i="78" s="1"/>
  <c r="P9" i="78"/>
  <c r="R9" i="78"/>
  <c r="Q9" i="78" s="1"/>
  <c r="I10" i="78"/>
  <c r="J10" i="78" s="1"/>
  <c r="K10" i="78"/>
  <c r="M10" i="78"/>
  <c r="N10" i="78" s="1"/>
  <c r="P10" i="78"/>
  <c r="R10" i="78"/>
  <c r="Q10" i="78" s="1"/>
  <c r="I11" i="78"/>
  <c r="J11" i="78" s="1"/>
  <c r="K11" i="78"/>
  <c r="M11" i="78"/>
  <c r="N11" i="78" s="1"/>
  <c r="P11" i="78"/>
  <c r="R11" i="78"/>
  <c r="Q11" i="78" s="1"/>
  <c r="I12" i="78"/>
  <c r="J12" i="78" s="1"/>
  <c r="K12" i="78"/>
  <c r="M12" i="78"/>
  <c r="N12" i="78" s="1"/>
  <c r="P12" i="78"/>
  <c r="R12" i="78"/>
  <c r="Q12" i="78" s="1"/>
  <c r="I13" i="78"/>
  <c r="J13" i="78" s="1"/>
  <c r="K13" i="78"/>
  <c r="M13" i="78"/>
  <c r="N13" i="78" s="1"/>
  <c r="P13" i="78"/>
  <c r="R13" i="78"/>
  <c r="Q13" i="78" s="1"/>
  <c r="I14" i="78"/>
  <c r="J14" i="78" s="1"/>
  <c r="K14" i="78"/>
  <c r="M14" i="78"/>
  <c r="N14" i="78" s="1"/>
  <c r="P14" i="78"/>
  <c r="R14" i="78"/>
  <c r="Q14" i="78" s="1"/>
  <c r="I15" i="78"/>
  <c r="J15" i="78" s="1"/>
  <c r="K15" i="78"/>
  <c r="M15" i="78"/>
  <c r="N15" i="78" s="1"/>
  <c r="P15" i="78"/>
  <c r="R15" i="78"/>
  <c r="Q15" i="78" s="1"/>
  <c r="I16" i="78"/>
  <c r="J16" i="78" s="1"/>
  <c r="K16" i="78"/>
  <c r="M16" i="78"/>
  <c r="N16" i="78" s="1"/>
  <c r="P16" i="78"/>
  <c r="R16" i="78"/>
  <c r="Q16" i="78" s="1"/>
  <c r="K17" i="78"/>
  <c r="M17" i="78"/>
  <c r="N17" i="78" s="1"/>
  <c r="P17" i="78"/>
  <c r="R17" i="78"/>
  <c r="I18" i="78"/>
  <c r="J18" i="78" s="1"/>
  <c r="K18" i="78"/>
  <c r="M18" i="78"/>
  <c r="N18" i="78" s="1"/>
  <c r="P18" i="78"/>
  <c r="R18" i="78"/>
  <c r="Q18" i="78" s="1"/>
  <c r="K19" i="78"/>
  <c r="M19" i="78"/>
  <c r="N19" i="78" s="1"/>
  <c r="P19" i="78"/>
  <c r="R19" i="78"/>
  <c r="Q19" i="78" s="1"/>
  <c r="I20" i="78"/>
  <c r="J20" i="78" s="1"/>
  <c r="K20" i="78"/>
  <c r="M20" i="78"/>
  <c r="N20" i="78" s="1"/>
  <c r="P20" i="78"/>
  <c r="R20" i="78"/>
  <c r="Q20" i="78" s="1"/>
  <c r="I21" i="78"/>
  <c r="J21" i="78" s="1"/>
  <c r="K21" i="78"/>
  <c r="M21" i="78"/>
  <c r="N21" i="78" s="1"/>
  <c r="P21" i="78"/>
  <c r="R21" i="78"/>
  <c r="Q21" i="78" s="1"/>
  <c r="I22" i="78"/>
  <c r="J22" i="78" s="1"/>
  <c r="K22" i="78"/>
  <c r="M22" i="78"/>
  <c r="N22" i="78" s="1"/>
  <c r="P22" i="78"/>
  <c r="R22" i="78"/>
  <c r="Q22" i="78" s="1"/>
  <c r="I23" i="78"/>
  <c r="K23" i="78"/>
  <c r="M23" i="78"/>
  <c r="N23" i="78" s="1"/>
  <c r="P23" i="78"/>
  <c r="R23" i="78"/>
  <c r="Q23" i="78" s="1"/>
  <c r="K24" i="78"/>
  <c r="M24" i="78"/>
  <c r="N24" i="78" s="1"/>
  <c r="P24" i="78"/>
  <c r="R24" i="78"/>
  <c r="Q24" i="78" s="1"/>
  <c r="I25" i="78"/>
  <c r="J25" i="78" s="1"/>
  <c r="K25" i="78"/>
  <c r="M25" i="78"/>
  <c r="N25" i="78" s="1"/>
  <c r="P25" i="78"/>
  <c r="R25" i="78"/>
  <c r="Q25" i="78" s="1"/>
  <c r="G26" i="78"/>
  <c r="D26" i="78" s="1"/>
  <c r="I26" i="78"/>
  <c r="J26" i="78" s="1"/>
  <c r="K26" i="78"/>
  <c r="M26" i="78"/>
  <c r="N26" i="78" s="1"/>
  <c r="P26" i="78"/>
  <c r="R26" i="78"/>
  <c r="Q26" i="78" s="1"/>
  <c r="I27" i="78"/>
  <c r="J27" i="78" s="1"/>
  <c r="K27" i="78"/>
  <c r="M27" i="78"/>
  <c r="N27" i="78" s="1"/>
  <c r="P27" i="78"/>
  <c r="R27" i="78"/>
  <c r="Q27" i="78" s="1"/>
  <c r="G28" i="78"/>
  <c r="D28" i="78" s="1"/>
  <c r="B28" i="78" s="1"/>
  <c r="I28" i="78"/>
  <c r="J28" i="78" s="1"/>
  <c r="K28" i="78"/>
  <c r="M28" i="78"/>
  <c r="N28" i="78" s="1"/>
  <c r="P28" i="78"/>
  <c r="R28" i="78"/>
  <c r="Q28" i="78" s="1"/>
  <c r="I29" i="78"/>
  <c r="J29" i="78" s="1"/>
  <c r="K29" i="78"/>
  <c r="M29" i="78"/>
  <c r="N29" i="78" s="1"/>
  <c r="P29" i="78"/>
  <c r="R29" i="78"/>
  <c r="Q29" i="78" s="1"/>
  <c r="I30" i="78"/>
  <c r="J30" i="78" s="1"/>
  <c r="K30" i="78"/>
  <c r="M30" i="78"/>
  <c r="N30" i="78" s="1"/>
  <c r="P30" i="78"/>
  <c r="R30" i="78"/>
  <c r="Q30" i="78" s="1"/>
  <c r="I31" i="78"/>
  <c r="J31" i="78" s="1"/>
  <c r="K31" i="78"/>
  <c r="M31" i="78"/>
  <c r="N31" i="78" s="1"/>
  <c r="P31" i="78"/>
  <c r="R31" i="78"/>
  <c r="Q31" i="78" s="1"/>
  <c r="I32" i="78"/>
  <c r="J32" i="78" s="1"/>
  <c r="K32" i="78"/>
  <c r="M32" i="78"/>
  <c r="N32" i="78" s="1"/>
  <c r="P32" i="78"/>
  <c r="R32" i="78"/>
  <c r="Q32" i="78" s="1"/>
  <c r="I34" i="78"/>
  <c r="J34" i="78" s="1"/>
  <c r="K34" i="78"/>
  <c r="M34" i="78"/>
  <c r="N34" i="78" s="1"/>
  <c r="P34" i="78"/>
  <c r="R34" i="78"/>
  <c r="Q34" i="78" s="1"/>
  <c r="I35" i="78"/>
  <c r="J35" i="78" s="1"/>
  <c r="K35" i="78"/>
  <c r="M35" i="78"/>
  <c r="N35" i="78" s="1"/>
  <c r="P35" i="78"/>
  <c r="R35" i="78"/>
  <c r="Q35" i="78" s="1"/>
  <c r="R6" i="78"/>
  <c r="O6" i="78" s="1"/>
  <c r="P6" i="78"/>
  <c r="M6" i="78"/>
  <c r="N6" i="78" s="1"/>
  <c r="I6" i="78"/>
  <c r="J6" i="78" s="1"/>
  <c r="K6" i="78"/>
  <c r="C32" i="78"/>
  <c r="C28" i="78"/>
  <c r="C26" i="78"/>
  <c r="L15" i="79" l="1"/>
  <c r="L16" i="79"/>
  <c r="L10" i="79"/>
  <c r="L21" i="79"/>
  <c r="L30" i="79"/>
  <c r="L22" i="79"/>
  <c r="L34" i="79"/>
  <c r="L25" i="79"/>
  <c r="L14" i="79"/>
  <c r="L35" i="79"/>
  <c r="L6" i="79"/>
  <c r="L18" i="79"/>
  <c r="L27" i="79"/>
  <c r="L8" i="79"/>
  <c r="L28" i="79"/>
  <c r="L9" i="79"/>
  <c r="L29" i="79"/>
  <c r="L20" i="79"/>
  <c r="L11" i="79"/>
  <c r="L31" i="79"/>
  <c r="L12" i="79"/>
  <c r="L32" i="79"/>
  <c r="L13" i="79"/>
  <c r="L26" i="79"/>
  <c r="O25" i="78"/>
  <c r="O29" i="78"/>
  <c r="O34" i="78"/>
  <c r="O21" i="78"/>
  <c r="O17" i="78"/>
  <c r="O13" i="78"/>
  <c r="O9" i="78"/>
  <c r="O32" i="78"/>
  <c r="O28" i="78"/>
  <c r="O24" i="78"/>
  <c r="O20" i="78"/>
  <c r="O16" i="78"/>
  <c r="O12" i="78"/>
  <c r="O8" i="78"/>
  <c r="O35" i="78"/>
  <c r="O30" i="78"/>
  <c r="O26" i="78"/>
  <c r="O22" i="78"/>
  <c r="O18" i="78"/>
  <c r="O14" i="78"/>
  <c r="O10" i="78"/>
  <c r="O31" i="78"/>
  <c r="O27" i="78"/>
  <c r="O23" i="78"/>
  <c r="O19" i="78"/>
  <c r="O15" i="78"/>
  <c r="O11" i="78"/>
  <c r="B26" i="78"/>
  <c r="C8" i="78"/>
  <c r="C9" i="78"/>
  <c r="C10" i="78"/>
  <c r="C11" i="78"/>
  <c r="C12" i="78"/>
  <c r="C13" i="78"/>
  <c r="C14" i="78"/>
  <c r="C15" i="78"/>
  <c r="C16" i="78"/>
  <c r="C17" i="78"/>
  <c r="C18" i="78"/>
  <c r="C19" i="78"/>
  <c r="C20" i="78"/>
  <c r="C21" i="78"/>
  <c r="C22" i="78"/>
  <c r="C23" i="78"/>
  <c r="C24" i="78"/>
  <c r="C25" i="78"/>
  <c r="C27" i="78"/>
  <c r="C29" i="78"/>
  <c r="C30" i="78"/>
  <c r="C31" i="78"/>
  <c r="C34" i="78"/>
  <c r="C35" i="78"/>
  <c r="C6" i="78"/>
  <c r="L38" i="78" l="1"/>
  <c r="Q6" i="78"/>
  <c r="C3" i="78"/>
  <c r="Q17" i="78" l="1"/>
  <c r="Q8" i="78"/>
  <c r="R38" i="78"/>
  <c r="I42" i="78"/>
  <c r="P38" i="78"/>
  <c r="U34" i="76"/>
  <c r="M41" i="78" l="1"/>
  <c r="O41" i="78"/>
  <c r="O38" i="78"/>
  <c r="I41" i="78"/>
  <c r="I44" i="78" s="1"/>
  <c r="Q38" i="78"/>
  <c r="R39" i="77"/>
  <c r="R7" i="73" l="1"/>
  <c r="R8" i="73"/>
  <c r="R9" i="73"/>
  <c r="R10" i="73"/>
  <c r="R11" i="73"/>
  <c r="R12" i="73"/>
  <c r="R13" i="73"/>
  <c r="R14" i="73"/>
  <c r="R15" i="73"/>
  <c r="R16" i="73"/>
  <c r="R17" i="73"/>
  <c r="R18" i="73"/>
  <c r="R19" i="73"/>
  <c r="R20" i="73"/>
  <c r="R21" i="73"/>
  <c r="R22" i="73"/>
  <c r="R23" i="73"/>
  <c r="R24" i="73"/>
  <c r="R25" i="73"/>
  <c r="R26" i="73"/>
  <c r="R27" i="73"/>
  <c r="R28" i="73"/>
  <c r="R29" i="73"/>
  <c r="R30" i="73"/>
  <c r="R31" i="73"/>
  <c r="Q26" i="73" l="1"/>
  <c r="O26" i="73"/>
  <c r="Q18" i="73"/>
  <c r="O18" i="73"/>
  <c r="Q29" i="73"/>
  <c r="O29" i="73"/>
  <c r="Q21" i="73"/>
  <c r="O21" i="73"/>
  <c r="Q13" i="73"/>
  <c r="O13" i="73"/>
  <c r="Q9" i="73"/>
  <c r="O9" i="73"/>
  <c r="Q28" i="73"/>
  <c r="O28" i="73"/>
  <c r="Q24" i="73"/>
  <c r="O24" i="73"/>
  <c r="Q20" i="73"/>
  <c r="O20" i="73"/>
  <c r="Q16" i="73"/>
  <c r="O16" i="73"/>
  <c r="Q12" i="73"/>
  <c r="O12" i="73"/>
  <c r="Q8" i="73"/>
  <c r="O8" i="73"/>
  <c r="Q30" i="73"/>
  <c r="O30" i="73"/>
  <c r="Q22" i="73"/>
  <c r="O22" i="73"/>
  <c r="Q14" i="73"/>
  <c r="O14" i="73"/>
  <c r="Q10" i="73"/>
  <c r="O10" i="73"/>
  <c r="Q25" i="73"/>
  <c r="O25" i="73"/>
  <c r="Q17" i="73"/>
  <c r="O17" i="73"/>
  <c r="Q31" i="73"/>
  <c r="O31" i="73"/>
  <c r="Q27" i="73"/>
  <c r="O27" i="73"/>
  <c r="Q23" i="73"/>
  <c r="O23" i="73"/>
  <c r="Q19" i="73"/>
  <c r="O19" i="73"/>
  <c r="Q15" i="73"/>
  <c r="O15" i="73"/>
  <c r="Q11" i="73"/>
  <c r="O11" i="73"/>
  <c r="Q7" i="73"/>
  <c r="O7" i="73"/>
  <c r="S26" i="73"/>
  <c r="S18" i="73"/>
  <c r="S29" i="73"/>
  <c r="S21" i="73"/>
  <c r="S13" i="73"/>
  <c r="S9" i="73"/>
  <c r="S28" i="73"/>
  <c r="S24" i="73"/>
  <c r="S20" i="73"/>
  <c r="S16" i="73"/>
  <c r="S12" i="73"/>
  <c r="S8" i="73"/>
  <c r="S30" i="73"/>
  <c r="S22" i="73"/>
  <c r="S14" i="73"/>
  <c r="S10" i="73"/>
  <c r="S25" i="73"/>
  <c r="S17" i="73"/>
  <c r="S31" i="73"/>
  <c r="S27" i="73"/>
  <c r="S23" i="73"/>
  <c r="S19" i="73"/>
  <c r="S15" i="73"/>
  <c r="S11" i="73"/>
  <c r="S7" i="73"/>
  <c r="R31" i="76"/>
  <c r="P31" i="76"/>
  <c r="K31" i="76"/>
  <c r="I31" i="76"/>
  <c r="J31" i="76" s="1"/>
  <c r="H31" i="76"/>
  <c r="R30" i="76"/>
  <c r="P30" i="76"/>
  <c r="K30" i="76"/>
  <c r="I30" i="76"/>
  <c r="J30" i="76" s="1"/>
  <c r="H30" i="76"/>
  <c r="R29" i="76"/>
  <c r="P29" i="76"/>
  <c r="K29" i="76"/>
  <c r="I29" i="76"/>
  <c r="J29" i="76" s="1"/>
  <c r="H29" i="76"/>
  <c r="R28" i="76"/>
  <c r="P28" i="76"/>
  <c r="K28" i="76"/>
  <c r="I28" i="76"/>
  <c r="J28" i="76" s="1"/>
  <c r="H28" i="76"/>
  <c r="R27" i="76"/>
  <c r="P27" i="76"/>
  <c r="K27" i="76"/>
  <c r="I27" i="76"/>
  <c r="J27" i="76" s="1"/>
  <c r="H27" i="76"/>
  <c r="R26" i="76"/>
  <c r="P26" i="76"/>
  <c r="K26" i="76"/>
  <c r="I26" i="76"/>
  <c r="J26" i="76" s="1"/>
  <c r="H26" i="76"/>
  <c r="R25" i="76"/>
  <c r="P25" i="76"/>
  <c r="K25" i="76"/>
  <c r="I25" i="76"/>
  <c r="J25" i="76" s="1"/>
  <c r="H25" i="76"/>
  <c r="R24" i="76"/>
  <c r="P24" i="76"/>
  <c r="K24" i="76"/>
  <c r="I24" i="76"/>
  <c r="J24" i="76" s="1"/>
  <c r="H24" i="76"/>
  <c r="R23" i="76"/>
  <c r="P23" i="76"/>
  <c r="K23" i="76"/>
  <c r="I23" i="76"/>
  <c r="J23" i="76" s="1"/>
  <c r="H23" i="76"/>
  <c r="R22" i="76"/>
  <c r="P22" i="76"/>
  <c r="K22" i="76"/>
  <c r="I22" i="76"/>
  <c r="J22" i="76" s="1"/>
  <c r="H22" i="76"/>
  <c r="R21" i="76"/>
  <c r="P21" i="76"/>
  <c r="K21" i="76"/>
  <c r="I21" i="76"/>
  <c r="J21" i="76" s="1"/>
  <c r="H21" i="76"/>
  <c r="R20" i="76"/>
  <c r="S20" i="76" s="1"/>
  <c r="P20" i="76"/>
  <c r="K20" i="76"/>
  <c r="I20" i="76"/>
  <c r="H20" i="76"/>
  <c r="R19" i="76"/>
  <c r="P19" i="76"/>
  <c r="K19" i="76"/>
  <c r="I19" i="76"/>
  <c r="J19" i="76" s="1"/>
  <c r="H19" i="76"/>
  <c r="R18" i="76"/>
  <c r="P18" i="76"/>
  <c r="K18" i="76"/>
  <c r="I18" i="76"/>
  <c r="J18" i="76" s="1"/>
  <c r="H18" i="76"/>
  <c r="R17" i="76"/>
  <c r="P17" i="76"/>
  <c r="K17" i="76"/>
  <c r="I17" i="76"/>
  <c r="J17" i="76" s="1"/>
  <c r="H17" i="76"/>
  <c r="R16" i="76"/>
  <c r="P16" i="76"/>
  <c r="K16" i="76"/>
  <c r="I16" i="76"/>
  <c r="J16" i="76" s="1"/>
  <c r="H16" i="76"/>
  <c r="R15" i="76"/>
  <c r="P15" i="76"/>
  <c r="K15" i="76"/>
  <c r="I15" i="76"/>
  <c r="J15" i="76" s="1"/>
  <c r="H15" i="76"/>
  <c r="R14" i="76"/>
  <c r="P14" i="76"/>
  <c r="K14" i="76"/>
  <c r="I14" i="76"/>
  <c r="J14" i="76" s="1"/>
  <c r="H14" i="76"/>
  <c r="R13" i="76"/>
  <c r="P13" i="76"/>
  <c r="K13" i="76"/>
  <c r="I13" i="76"/>
  <c r="J13" i="76" s="1"/>
  <c r="H13" i="76"/>
  <c r="R12" i="76"/>
  <c r="P12" i="76"/>
  <c r="K12" i="76"/>
  <c r="I12" i="76"/>
  <c r="J12" i="76" s="1"/>
  <c r="H12" i="76"/>
  <c r="R11" i="76"/>
  <c r="P11" i="76"/>
  <c r="K11" i="76"/>
  <c r="I11" i="76"/>
  <c r="J11" i="76" s="1"/>
  <c r="H11" i="76"/>
  <c r="R10" i="76"/>
  <c r="P10" i="76"/>
  <c r="K10" i="76"/>
  <c r="I10" i="76"/>
  <c r="J10" i="76" s="1"/>
  <c r="H10" i="76"/>
  <c r="R9" i="76"/>
  <c r="P9" i="76"/>
  <c r="K9" i="76"/>
  <c r="I9" i="76"/>
  <c r="J9" i="76" s="1"/>
  <c r="H9" i="76"/>
  <c r="R8" i="76"/>
  <c r="P8" i="76"/>
  <c r="K8" i="76"/>
  <c r="I8" i="76"/>
  <c r="J8" i="76" s="1"/>
  <c r="H8" i="76"/>
  <c r="R7" i="76"/>
  <c r="P7" i="76"/>
  <c r="K7" i="76"/>
  <c r="I7" i="76"/>
  <c r="J7" i="76" s="1"/>
  <c r="H7" i="76"/>
  <c r="R6" i="76"/>
  <c r="P6" i="76"/>
  <c r="K6" i="76"/>
  <c r="I6" i="76"/>
  <c r="J6" i="76" s="1"/>
  <c r="H6" i="76"/>
  <c r="R31" i="75"/>
  <c r="O31" i="75" s="1"/>
  <c r="P31" i="75"/>
  <c r="K31" i="75"/>
  <c r="I31" i="75"/>
  <c r="J31" i="75" s="1"/>
  <c r="H31" i="75"/>
  <c r="R30" i="75"/>
  <c r="O30" i="75" s="1"/>
  <c r="P30" i="75"/>
  <c r="K30" i="75"/>
  <c r="I30" i="75"/>
  <c r="J30" i="75" s="1"/>
  <c r="H30" i="75"/>
  <c r="R29" i="75"/>
  <c r="O29" i="75" s="1"/>
  <c r="P29" i="75"/>
  <c r="K29" i="75"/>
  <c r="I29" i="75"/>
  <c r="J29" i="75" s="1"/>
  <c r="H29" i="75"/>
  <c r="R28" i="75"/>
  <c r="O28" i="75" s="1"/>
  <c r="P28" i="75"/>
  <c r="K28" i="75"/>
  <c r="I28" i="75"/>
  <c r="J28" i="75" s="1"/>
  <c r="H28" i="75"/>
  <c r="R27" i="75"/>
  <c r="O27" i="75" s="1"/>
  <c r="P27" i="75"/>
  <c r="K27" i="75"/>
  <c r="I27" i="75"/>
  <c r="J27" i="75" s="1"/>
  <c r="H27" i="75"/>
  <c r="R26" i="75"/>
  <c r="O26" i="75" s="1"/>
  <c r="P26" i="75"/>
  <c r="K26" i="75"/>
  <c r="I26" i="75"/>
  <c r="J26" i="75" s="1"/>
  <c r="H26" i="75"/>
  <c r="R25" i="75"/>
  <c r="O25" i="75" s="1"/>
  <c r="P25" i="75"/>
  <c r="K25" i="75"/>
  <c r="I25" i="75"/>
  <c r="J25" i="75" s="1"/>
  <c r="H25" i="75"/>
  <c r="R24" i="75"/>
  <c r="O24" i="75" s="1"/>
  <c r="P24" i="75"/>
  <c r="K24" i="75"/>
  <c r="I24" i="75"/>
  <c r="J24" i="75" s="1"/>
  <c r="H24" i="75"/>
  <c r="R23" i="75"/>
  <c r="O23" i="75" s="1"/>
  <c r="P23" i="75"/>
  <c r="K23" i="75"/>
  <c r="I23" i="75"/>
  <c r="J23" i="75" s="1"/>
  <c r="H23" i="75"/>
  <c r="R22" i="75"/>
  <c r="O22" i="75" s="1"/>
  <c r="P22" i="75"/>
  <c r="K22" i="75"/>
  <c r="I22" i="75"/>
  <c r="J22" i="75" s="1"/>
  <c r="H22" i="75"/>
  <c r="R21" i="75"/>
  <c r="O21" i="75" s="1"/>
  <c r="P21" i="75"/>
  <c r="K21" i="75"/>
  <c r="I21" i="75"/>
  <c r="J21" i="75" s="1"/>
  <c r="H21" i="75"/>
  <c r="R20" i="75"/>
  <c r="P20" i="75"/>
  <c r="K20" i="75"/>
  <c r="I20" i="75"/>
  <c r="H20" i="75"/>
  <c r="R19" i="75"/>
  <c r="O19" i="75" s="1"/>
  <c r="P19" i="75"/>
  <c r="K19" i="75"/>
  <c r="I19" i="75"/>
  <c r="J19" i="75" s="1"/>
  <c r="H19" i="75"/>
  <c r="R18" i="75"/>
  <c r="O18" i="75" s="1"/>
  <c r="P18" i="75"/>
  <c r="K18" i="75"/>
  <c r="I18" i="75"/>
  <c r="J18" i="75" s="1"/>
  <c r="H18" i="75"/>
  <c r="R17" i="75"/>
  <c r="O17" i="75" s="1"/>
  <c r="P17" i="75"/>
  <c r="K17" i="75"/>
  <c r="I17" i="75"/>
  <c r="J17" i="75" s="1"/>
  <c r="H17" i="75"/>
  <c r="R16" i="75"/>
  <c r="O16" i="75" s="1"/>
  <c r="P16" i="75"/>
  <c r="K16" i="75"/>
  <c r="I16" i="75"/>
  <c r="J16" i="75" s="1"/>
  <c r="H16" i="75"/>
  <c r="R15" i="75"/>
  <c r="O15" i="75" s="1"/>
  <c r="P15" i="75"/>
  <c r="K15" i="75"/>
  <c r="I15" i="75"/>
  <c r="J15" i="75" s="1"/>
  <c r="H15" i="75"/>
  <c r="R14" i="75"/>
  <c r="O14" i="75" s="1"/>
  <c r="P14" i="75"/>
  <c r="K14" i="75"/>
  <c r="I14" i="75"/>
  <c r="J14" i="75" s="1"/>
  <c r="H14" i="75"/>
  <c r="R13" i="75"/>
  <c r="O13" i="75" s="1"/>
  <c r="P13" i="75"/>
  <c r="K13" i="75"/>
  <c r="I13" i="75"/>
  <c r="J13" i="75" s="1"/>
  <c r="H13" i="75"/>
  <c r="R12" i="75"/>
  <c r="O12" i="75" s="1"/>
  <c r="P12" i="75"/>
  <c r="K12" i="75"/>
  <c r="I12" i="75"/>
  <c r="J12" i="75" s="1"/>
  <c r="H12" i="75"/>
  <c r="R11" i="75"/>
  <c r="O11" i="75" s="1"/>
  <c r="P11" i="75"/>
  <c r="K11" i="75"/>
  <c r="I11" i="75"/>
  <c r="J11" i="75" s="1"/>
  <c r="H11" i="75"/>
  <c r="R10" i="75"/>
  <c r="O10" i="75" s="1"/>
  <c r="P10" i="75"/>
  <c r="K10" i="75"/>
  <c r="I10" i="75"/>
  <c r="J10" i="75" s="1"/>
  <c r="H10" i="75"/>
  <c r="R9" i="75"/>
  <c r="O9" i="75" s="1"/>
  <c r="P9" i="75"/>
  <c r="K9" i="75"/>
  <c r="I9" i="75"/>
  <c r="J9" i="75" s="1"/>
  <c r="H9" i="75"/>
  <c r="R8" i="75"/>
  <c r="O8" i="75" s="1"/>
  <c r="P8" i="75"/>
  <c r="K8" i="75"/>
  <c r="I8" i="75"/>
  <c r="J8" i="75" s="1"/>
  <c r="H8" i="75"/>
  <c r="R7" i="75"/>
  <c r="O7" i="75" s="1"/>
  <c r="P7" i="75"/>
  <c r="K7" i="75"/>
  <c r="I7" i="75"/>
  <c r="J7" i="75" s="1"/>
  <c r="H7" i="75"/>
  <c r="R6" i="75"/>
  <c r="P6" i="75"/>
  <c r="K6" i="75"/>
  <c r="I6" i="75"/>
  <c r="J6" i="75" s="1"/>
  <c r="H6" i="75"/>
  <c r="R31" i="74"/>
  <c r="P31" i="74"/>
  <c r="K31" i="74"/>
  <c r="I31" i="74"/>
  <c r="J31" i="74" s="1"/>
  <c r="H31" i="74"/>
  <c r="R30" i="74"/>
  <c r="P30" i="74"/>
  <c r="K30" i="74"/>
  <c r="I30" i="74"/>
  <c r="J30" i="74" s="1"/>
  <c r="H30" i="74"/>
  <c r="R29" i="74"/>
  <c r="P29" i="74"/>
  <c r="K29" i="74"/>
  <c r="I29" i="74"/>
  <c r="J29" i="74" s="1"/>
  <c r="H29" i="74"/>
  <c r="R28" i="74"/>
  <c r="P28" i="74"/>
  <c r="K28" i="74"/>
  <c r="I28" i="74"/>
  <c r="J28" i="74" s="1"/>
  <c r="H28" i="74"/>
  <c r="R27" i="74"/>
  <c r="P27" i="74"/>
  <c r="K27" i="74"/>
  <c r="I27" i="74"/>
  <c r="J27" i="74" s="1"/>
  <c r="H27" i="74"/>
  <c r="R26" i="74"/>
  <c r="P26" i="74"/>
  <c r="K26" i="74"/>
  <c r="I26" i="74"/>
  <c r="J26" i="74" s="1"/>
  <c r="H26" i="74"/>
  <c r="R25" i="74"/>
  <c r="P25" i="74"/>
  <c r="K25" i="74"/>
  <c r="I25" i="74"/>
  <c r="J25" i="74" s="1"/>
  <c r="H25" i="74"/>
  <c r="R24" i="74"/>
  <c r="P24" i="74"/>
  <c r="K24" i="74"/>
  <c r="I24" i="74"/>
  <c r="J24" i="74" s="1"/>
  <c r="H24" i="74"/>
  <c r="R23" i="74"/>
  <c r="P23" i="74"/>
  <c r="K23" i="74"/>
  <c r="I23" i="74"/>
  <c r="J23" i="74" s="1"/>
  <c r="H23" i="74"/>
  <c r="R22" i="74"/>
  <c r="P22" i="74"/>
  <c r="K22" i="74"/>
  <c r="I22" i="74"/>
  <c r="J22" i="74" s="1"/>
  <c r="H22" i="74"/>
  <c r="R21" i="74"/>
  <c r="P21" i="74"/>
  <c r="K21" i="74"/>
  <c r="I21" i="74"/>
  <c r="J21" i="74" s="1"/>
  <c r="H21" i="74"/>
  <c r="R20" i="74"/>
  <c r="S20" i="74" s="1"/>
  <c r="P20" i="74"/>
  <c r="K20" i="74"/>
  <c r="I20" i="74"/>
  <c r="H20" i="74"/>
  <c r="R19" i="74"/>
  <c r="P19" i="74"/>
  <c r="K19" i="74"/>
  <c r="I19" i="74"/>
  <c r="J19" i="74" s="1"/>
  <c r="H19" i="74"/>
  <c r="R18" i="74"/>
  <c r="P18" i="74"/>
  <c r="K18" i="74"/>
  <c r="I18" i="74"/>
  <c r="J18" i="74" s="1"/>
  <c r="H18" i="74"/>
  <c r="R17" i="74"/>
  <c r="P17" i="74"/>
  <c r="K17" i="74"/>
  <c r="I17" i="74"/>
  <c r="J17" i="74" s="1"/>
  <c r="H17" i="74"/>
  <c r="R16" i="74"/>
  <c r="P16" i="74"/>
  <c r="K16" i="74"/>
  <c r="I16" i="74"/>
  <c r="J16" i="74" s="1"/>
  <c r="H16" i="74"/>
  <c r="R15" i="74"/>
  <c r="P15" i="74"/>
  <c r="K15" i="74"/>
  <c r="I15" i="74"/>
  <c r="J15" i="74" s="1"/>
  <c r="H15" i="74"/>
  <c r="R14" i="74"/>
  <c r="P14" i="74"/>
  <c r="K14" i="74"/>
  <c r="I14" i="74"/>
  <c r="J14" i="74" s="1"/>
  <c r="H14" i="74"/>
  <c r="R13" i="74"/>
  <c r="P13" i="74"/>
  <c r="K13" i="74"/>
  <c r="I13" i="74"/>
  <c r="J13" i="74" s="1"/>
  <c r="H13" i="74"/>
  <c r="R12" i="74"/>
  <c r="P12" i="74"/>
  <c r="K12" i="74"/>
  <c r="I12" i="74"/>
  <c r="J12" i="74" s="1"/>
  <c r="H12" i="74"/>
  <c r="R11" i="74"/>
  <c r="P11" i="74"/>
  <c r="K11" i="74"/>
  <c r="I11" i="74"/>
  <c r="J11" i="74" s="1"/>
  <c r="H11" i="74"/>
  <c r="R10" i="74"/>
  <c r="P10" i="74"/>
  <c r="K10" i="74"/>
  <c r="I10" i="74"/>
  <c r="J10" i="74" s="1"/>
  <c r="H10" i="74"/>
  <c r="R9" i="74"/>
  <c r="P9" i="74"/>
  <c r="K9" i="74"/>
  <c r="I9" i="74"/>
  <c r="J9" i="74" s="1"/>
  <c r="H9" i="74"/>
  <c r="R8" i="74"/>
  <c r="P8" i="74"/>
  <c r="K8" i="74"/>
  <c r="I8" i="74"/>
  <c r="J8" i="74" s="1"/>
  <c r="H8" i="74"/>
  <c r="R7" i="74"/>
  <c r="P7" i="74"/>
  <c r="K7" i="74"/>
  <c r="I7" i="74"/>
  <c r="J7" i="74" s="1"/>
  <c r="H7" i="74"/>
  <c r="R6" i="74"/>
  <c r="P6" i="74"/>
  <c r="K6" i="74"/>
  <c r="I6" i="74"/>
  <c r="J6" i="74" s="1"/>
  <c r="H6" i="74"/>
  <c r="P31" i="73"/>
  <c r="K31" i="73"/>
  <c r="I31" i="73"/>
  <c r="J31" i="73" s="1"/>
  <c r="H31" i="73"/>
  <c r="P30" i="73"/>
  <c r="K30" i="73"/>
  <c r="I30" i="73"/>
  <c r="J30" i="73" s="1"/>
  <c r="H30" i="73"/>
  <c r="P29" i="73"/>
  <c r="K29" i="73"/>
  <c r="I29" i="73"/>
  <c r="J29" i="73" s="1"/>
  <c r="H29" i="73"/>
  <c r="P28" i="73"/>
  <c r="K28" i="73"/>
  <c r="I28" i="73"/>
  <c r="J28" i="73" s="1"/>
  <c r="H28" i="73"/>
  <c r="P27" i="73"/>
  <c r="K27" i="73"/>
  <c r="I27" i="73"/>
  <c r="J27" i="73" s="1"/>
  <c r="H27" i="73"/>
  <c r="P26" i="73"/>
  <c r="K26" i="73"/>
  <c r="I26" i="73"/>
  <c r="J26" i="73" s="1"/>
  <c r="H26" i="73"/>
  <c r="P25" i="73"/>
  <c r="K25" i="73"/>
  <c r="I25" i="73"/>
  <c r="J25" i="73" s="1"/>
  <c r="H25" i="73"/>
  <c r="P24" i="73"/>
  <c r="K24" i="73"/>
  <c r="I24" i="73"/>
  <c r="J24" i="73" s="1"/>
  <c r="H24" i="73"/>
  <c r="P23" i="73"/>
  <c r="K23" i="73"/>
  <c r="I23" i="73"/>
  <c r="J23" i="73" s="1"/>
  <c r="H23" i="73"/>
  <c r="P22" i="73"/>
  <c r="K22" i="73"/>
  <c r="I22" i="73"/>
  <c r="J22" i="73" s="1"/>
  <c r="H22" i="73"/>
  <c r="P21" i="73"/>
  <c r="K21" i="73"/>
  <c r="I21" i="73"/>
  <c r="J21" i="73" s="1"/>
  <c r="H21" i="73"/>
  <c r="P20" i="73"/>
  <c r="K20" i="73"/>
  <c r="I20" i="73"/>
  <c r="H20" i="73"/>
  <c r="P19" i="73"/>
  <c r="K19" i="73"/>
  <c r="I19" i="73"/>
  <c r="J19" i="73" s="1"/>
  <c r="H19" i="73"/>
  <c r="P18" i="73"/>
  <c r="K18" i="73"/>
  <c r="I18" i="73"/>
  <c r="J18" i="73" s="1"/>
  <c r="H18" i="73"/>
  <c r="P17" i="73"/>
  <c r="K17" i="73"/>
  <c r="I17" i="73"/>
  <c r="J17" i="73" s="1"/>
  <c r="H17" i="73"/>
  <c r="P16" i="73"/>
  <c r="K16" i="73"/>
  <c r="I16" i="73"/>
  <c r="J16" i="73" s="1"/>
  <c r="H16" i="73"/>
  <c r="P15" i="73"/>
  <c r="K15" i="73"/>
  <c r="I15" i="73"/>
  <c r="J15" i="73" s="1"/>
  <c r="H15" i="73"/>
  <c r="P14" i="73"/>
  <c r="K14" i="73"/>
  <c r="I14" i="73"/>
  <c r="J14" i="73" s="1"/>
  <c r="H14" i="73"/>
  <c r="P13" i="73"/>
  <c r="K13" i="73"/>
  <c r="I13" i="73"/>
  <c r="J13" i="73" s="1"/>
  <c r="H13" i="73"/>
  <c r="P12" i="73"/>
  <c r="K12" i="73"/>
  <c r="I12" i="73"/>
  <c r="J12" i="73" s="1"/>
  <c r="H12" i="73"/>
  <c r="P11" i="73"/>
  <c r="K11" i="73"/>
  <c r="I11" i="73"/>
  <c r="J11" i="73" s="1"/>
  <c r="H11" i="73"/>
  <c r="P10" i="73"/>
  <c r="K10" i="73"/>
  <c r="I10" i="73"/>
  <c r="J10" i="73" s="1"/>
  <c r="H10" i="73"/>
  <c r="P9" i="73"/>
  <c r="K9" i="73"/>
  <c r="I9" i="73"/>
  <c r="J9" i="73" s="1"/>
  <c r="H9" i="73"/>
  <c r="P8" i="73"/>
  <c r="K8" i="73"/>
  <c r="I8" i="73"/>
  <c r="J8" i="73" s="1"/>
  <c r="H8" i="73"/>
  <c r="P7" i="73"/>
  <c r="K7" i="73"/>
  <c r="I7" i="73"/>
  <c r="J7" i="73" s="1"/>
  <c r="H7" i="73"/>
  <c r="R6" i="73"/>
  <c r="P6" i="73"/>
  <c r="K6" i="73"/>
  <c r="I6" i="73"/>
  <c r="J6" i="73" s="1"/>
  <c r="H6" i="73"/>
  <c r="R31" i="72"/>
  <c r="P31" i="72"/>
  <c r="K31" i="72"/>
  <c r="I31" i="72"/>
  <c r="J31" i="72" s="1"/>
  <c r="H31" i="72"/>
  <c r="R30" i="72"/>
  <c r="P30" i="72"/>
  <c r="K30" i="72"/>
  <c r="I30" i="72"/>
  <c r="J30" i="72" s="1"/>
  <c r="H30" i="72"/>
  <c r="R29" i="72"/>
  <c r="P29" i="72"/>
  <c r="K29" i="72"/>
  <c r="I29" i="72"/>
  <c r="J29" i="72" s="1"/>
  <c r="H29" i="72"/>
  <c r="R28" i="72"/>
  <c r="P28" i="72"/>
  <c r="K28" i="72"/>
  <c r="I28" i="72"/>
  <c r="J28" i="72" s="1"/>
  <c r="H28" i="72"/>
  <c r="R27" i="72"/>
  <c r="P27" i="72"/>
  <c r="K27" i="72"/>
  <c r="I27" i="72"/>
  <c r="J27" i="72" s="1"/>
  <c r="H27" i="72"/>
  <c r="R26" i="72"/>
  <c r="P26" i="72"/>
  <c r="K26" i="72"/>
  <c r="I26" i="72"/>
  <c r="J26" i="72" s="1"/>
  <c r="H26" i="72"/>
  <c r="R25" i="72"/>
  <c r="P25" i="72"/>
  <c r="K25" i="72"/>
  <c r="I25" i="72"/>
  <c r="J25" i="72" s="1"/>
  <c r="H25" i="72"/>
  <c r="R24" i="72"/>
  <c r="P24" i="72"/>
  <c r="K24" i="72"/>
  <c r="I24" i="72"/>
  <c r="J24" i="72" s="1"/>
  <c r="H24" i="72"/>
  <c r="R23" i="72"/>
  <c r="P23" i="72"/>
  <c r="K23" i="72"/>
  <c r="I23" i="72"/>
  <c r="J23" i="72" s="1"/>
  <c r="H23" i="72"/>
  <c r="R22" i="72"/>
  <c r="P22" i="72"/>
  <c r="K22" i="72"/>
  <c r="I22" i="72"/>
  <c r="J22" i="72" s="1"/>
  <c r="H22" i="72"/>
  <c r="R21" i="72"/>
  <c r="S21" i="72" s="1"/>
  <c r="P21" i="72"/>
  <c r="K21" i="72"/>
  <c r="I21" i="72"/>
  <c r="J21" i="72" s="1"/>
  <c r="H21" i="72"/>
  <c r="R20" i="72"/>
  <c r="S20" i="72" s="1"/>
  <c r="P20" i="72"/>
  <c r="K20" i="72"/>
  <c r="I20" i="72"/>
  <c r="H20" i="72"/>
  <c r="R19" i="72"/>
  <c r="P19" i="72"/>
  <c r="K19" i="72"/>
  <c r="I19" i="72"/>
  <c r="J19" i="72" s="1"/>
  <c r="H19" i="72"/>
  <c r="R18" i="72"/>
  <c r="P18" i="72"/>
  <c r="K18" i="72"/>
  <c r="I18" i="72"/>
  <c r="J18" i="72" s="1"/>
  <c r="H18" i="72"/>
  <c r="R17" i="72"/>
  <c r="P17" i="72"/>
  <c r="K17" i="72"/>
  <c r="I17" i="72"/>
  <c r="J17" i="72" s="1"/>
  <c r="H17" i="72"/>
  <c r="R16" i="72"/>
  <c r="P16" i="72"/>
  <c r="K16" i="72"/>
  <c r="I16" i="72"/>
  <c r="J16" i="72" s="1"/>
  <c r="H16" i="72"/>
  <c r="R15" i="72"/>
  <c r="P15" i="72"/>
  <c r="K15" i="72"/>
  <c r="I15" i="72"/>
  <c r="J15" i="72" s="1"/>
  <c r="H15" i="72"/>
  <c r="R14" i="72"/>
  <c r="P14" i="72"/>
  <c r="K14" i="72"/>
  <c r="I14" i="72"/>
  <c r="J14" i="72" s="1"/>
  <c r="H14" i="72"/>
  <c r="R13" i="72"/>
  <c r="P13" i="72"/>
  <c r="K13" i="72"/>
  <c r="I13" i="72"/>
  <c r="J13" i="72" s="1"/>
  <c r="H13" i="72"/>
  <c r="R12" i="72"/>
  <c r="P12" i="72"/>
  <c r="K12" i="72"/>
  <c r="I12" i="72"/>
  <c r="J12" i="72" s="1"/>
  <c r="H12" i="72"/>
  <c r="R11" i="72"/>
  <c r="P11" i="72"/>
  <c r="K11" i="72"/>
  <c r="I11" i="72"/>
  <c r="J11" i="72" s="1"/>
  <c r="H11" i="72"/>
  <c r="R10" i="72"/>
  <c r="P10" i="72"/>
  <c r="K10" i="72"/>
  <c r="I10" i="72"/>
  <c r="J10" i="72" s="1"/>
  <c r="H10" i="72"/>
  <c r="R9" i="72"/>
  <c r="P9" i="72"/>
  <c r="K9" i="72"/>
  <c r="I9" i="72"/>
  <c r="J9" i="72" s="1"/>
  <c r="H9" i="72"/>
  <c r="R8" i="72"/>
  <c r="P8" i="72"/>
  <c r="K8" i="72"/>
  <c r="I8" i="72"/>
  <c r="J8" i="72" s="1"/>
  <c r="H8" i="72"/>
  <c r="R7" i="72"/>
  <c r="P7" i="72"/>
  <c r="K7" i="72"/>
  <c r="I7" i="72"/>
  <c r="J7" i="72" s="1"/>
  <c r="H7" i="72"/>
  <c r="R6" i="72"/>
  <c r="P6" i="72"/>
  <c r="K6" i="72"/>
  <c r="I6" i="72"/>
  <c r="J6" i="72" s="1"/>
  <c r="H6" i="72"/>
  <c r="R31" i="71"/>
  <c r="P31" i="71"/>
  <c r="K31" i="71"/>
  <c r="I31" i="71"/>
  <c r="J31" i="71" s="1"/>
  <c r="H31" i="71"/>
  <c r="R30" i="71"/>
  <c r="P30" i="71"/>
  <c r="K30" i="71"/>
  <c r="I30" i="71"/>
  <c r="J30" i="71" s="1"/>
  <c r="H30" i="71"/>
  <c r="R29" i="71"/>
  <c r="P29" i="71"/>
  <c r="K29" i="71"/>
  <c r="I29" i="71"/>
  <c r="J29" i="71" s="1"/>
  <c r="H29" i="71"/>
  <c r="R28" i="71"/>
  <c r="P28" i="71"/>
  <c r="K28" i="71"/>
  <c r="I28" i="71"/>
  <c r="J28" i="71" s="1"/>
  <c r="H28" i="71"/>
  <c r="R27" i="71"/>
  <c r="P27" i="71"/>
  <c r="K27" i="71"/>
  <c r="I27" i="71"/>
  <c r="J27" i="71" s="1"/>
  <c r="H27" i="71"/>
  <c r="R26" i="71"/>
  <c r="P26" i="71"/>
  <c r="K26" i="71"/>
  <c r="I26" i="71"/>
  <c r="J26" i="71" s="1"/>
  <c r="H26" i="71"/>
  <c r="R25" i="71"/>
  <c r="P25" i="71"/>
  <c r="K25" i="71"/>
  <c r="I25" i="71"/>
  <c r="J25" i="71" s="1"/>
  <c r="H25" i="71"/>
  <c r="R24" i="71"/>
  <c r="P24" i="71"/>
  <c r="K24" i="71"/>
  <c r="I24" i="71"/>
  <c r="J24" i="71" s="1"/>
  <c r="H24" i="71"/>
  <c r="R23" i="71"/>
  <c r="P23" i="71"/>
  <c r="K23" i="71"/>
  <c r="I23" i="71"/>
  <c r="J23" i="71" s="1"/>
  <c r="H23" i="71"/>
  <c r="R22" i="71"/>
  <c r="P22" i="71"/>
  <c r="K22" i="71"/>
  <c r="I22" i="71"/>
  <c r="J22" i="71" s="1"/>
  <c r="H22" i="71"/>
  <c r="R21" i="71"/>
  <c r="P21" i="71"/>
  <c r="K21" i="71"/>
  <c r="I21" i="71"/>
  <c r="J20" i="71" s="1"/>
  <c r="H21" i="71"/>
  <c r="R20" i="71"/>
  <c r="S20" i="71" s="1"/>
  <c r="P20" i="71"/>
  <c r="K20" i="71"/>
  <c r="I20" i="71"/>
  <c r="H20" i="71"/>
  <c r="R19" i="71"/>
  <c r="P19" i="71"/>
  <c r="K19" i="71"/>
  <c r="I19" i="71"/>
  <c r="J19" i="71" s="1"/>
  <c r="H19" i="71"/>
  <c r="R18" i="71"/>
  <c r="P18" i="71"/>
  <c r="K18" i="71"/>
  <c r="I18" i="71"/>
  <c r="J18" i="71" s="1"/>
  <c r="H18" i="71"/>
  <c r="R17" i="71"/>
  <c r="P17" i="71"/>
  <c r="K17" i="71"/>
  <c r="I17" i="71"/>
  <c r="J17" i="71" s="1"/>
  <c r="H17" i="71"/>
  <c r="R16" i="71"/>
  <c r="P16" i="71"/>
  <c r="K16" i="71"/>
  <c r="I16" i="71"/>
  <c r="J16" i="71" s="1"/>
  <c r="H16" i="71"/>
  <c r="R15" i="71"/>
  <c r="P15" i="71"/>
  <c r="K15" i="71"/>
  <c r="I15" i="71"/>
  <c r="J15" i="71" s="1"/>
  <c r="H15" i="71"/>
  <c r="R14" i="71"/>
  <c r="P14" i="71"/>
  <c r="K14" i="71"/>
  <c r="I14" i="71"/>
  <c r="J14" i="71" s="1"/>
  <c r="H14" i="71"/>
  <c r="R13" i="71"/>
  <c r="P13" i="71"/>
  <c r="K13" i="71"/>
  <c r="I13" i="71"/>
  <c r="J13" i="71" s="1"/>
  <c r="H13" i="71"/>
  <c r="R12" i="71"/>
  <c r="P12" i="71"/>
  <c r="K12" i="71"/>
  <c r="I12" i="71"/>
  <c r="J12" i="71" s="1"/>
  <c r="H12" i="71"/>
  <c r="R11" i="71"/>
  <c r="P11" i="71"/>
  <c r="K11" i="71"/>
  <c r="I11" i="71"/>
  <c r="J11" i="71" s="1"/>
  <c r="H11" i="71"/>
  <c r="R10" i="71"/>
  <c r="P10" i="71"/>
  <c r="K10" i="71"/>
  <c r="I10" i="71"/>
  <c r="J10" i="71" s="1"/>
  <c r="H10" i="71"/>
  <c r="R9" i="71"/>
  <c r="P9" i="71"/>
  <c r="K9" i="71"/>
  <c r="I9" i="71"/>
  <c r="J9" i="71" s="1"/>
  <c r="H9" i="71"/>
  <c r="R8" i="71"/>
  <c r="P8" i="71"/>
  <c r="K8" i="71"/>
  <c r="I8" i="71"/>
  <c r="J8" i="71" s="1"/>
  <c r="H8" i="71"/>
  <c r="R7" i="71"/>
  <c r="P7" i="71"/>
  <c r="K7" i="71"/>
  <c r="I7" i="71"/>
  <c r="J7" i="71" s="1"/>
  <c r="H7" i="71"/>
  <c r="R6" i="71"/>
  <c r="P6" i="71"/>
  <c r="K6" i="71"/>
  <c r="I6" i="71"/>
  <c r="J6" i="71" s="1"/>
  <c r="H6" i="71"/>
  <c r="R31" i="70"/>
  <c r="P31" i="70"/>
  <c r="K31" i="70"/>
  <c r="I31" i="70"/>
  <c r="J31" i="70" s="1"/>
  <c r="H31" i="70"/>
  <c r="R30" i="70"/>
  <c r="P30" i="70"/>
  <c r="K30" i="70"/>
  <c r="I30" i="70"/>
  <c r="J30" i="70" s="1"/>
  <c r="H30" i="70"/>
  <c r="R29" i="70"/>
  <c r="P29" i="70"/>
  <c r="K29" i="70"/>
  <c r="I29" i="70"/>
  <c r="J29" i="70" s="1"/>
  <c r="H29" i="70"/>
  <c r="R28" i="70"/>
  <c r="P28" i="70"/>
  <c r="K28" i="70"/>
  <c r="I28" i="70"/>
  <c r="J28" i="70" s="1"/>
  <c r="H28" i="70"/>
  <c r="R27" i="70"/>
  <c r="P27" i="70"/>
  <c r="K27" i="70"/>
  <c r="I27" i="70"/>
  <c r="J27" i="70" s="1"/>
  <c r="H27" i="70"/>
  <c r="R26" i="70"/>
  <c r="P26" i="70"/>
  <c r="K26" i="70"/>
  <c r="I26" i="70"/>
  <c r="J26" i="70" s="1"/>
  <c r="H26" i="70"/>
  <c r="R25" i="70"/>
  <c r="P25" i="70"/>
  <c r="K25" i="70"/>
  <c r="I25" i="70"/>
  <c r="J25" i="70" s="1"/>
  <c r="H25" i="70"/>
  <c r="R24" i="70"/>
  <c r="P24" i="70"/>
  <c r="K24" i="70"/>
  <c r="I24" i="70"/>
  <c r="J24" i="70" s="1"/>
  <c r="H24" i="70"/>
  <c r="R23" i="70"/>
  <c r="P23" i="70"/>
  <c r="K23" i="70"/>
  <c r="I23" i="70"/>
  <c r="J23" i="70" s="1"/>
  <c r="H23" i="70"/>
  <c r="R22" i="70"/>
  <c r="P22" i="70"/>
  <c r="K22" i="70"/>
  <c r="I22" i="70"/>
  <c r="J22" i="70" s="1"/>
  <c r="H22" i="70"/>
  <c r="R21" i="70"/>
  <c r="P21" i="70"/>
  <c r="K21" i="70"/>
  <c r="I21" i="70"/>
  <c r="J20" i="70" s="1"/>
  <c r="H21" i="70"/>
  <c r="R20" i="70"/>
  <c r="S20" i="70" s="1"/>
  <c r="P20" i="70"/>
  <c r="K20" i="70"/>
  <c r="I20" i="70"/>
  <c r="H20" i="70"/>
  <c r="R19" i="70"/>
  <c r="P19" i="70"/>
  <c r="K19" i="70"/>
  <c r="I19" i="70"/>
  <c r="J19" i="70" s="1"/>
  <c r="H19" i="70"/>
  <c r="R18" i="70"/>
  <c r="P18" i="70"/>
  <c r="K18" i="70"/>
  <c r="I18" i="70"/>
  <c r="J18" i="70" s="1"/>
  <c r="H18" i="70"/>
  <c r="R17" i="70"/>
  <c r="P17" i="70"/>
  <c r="K17" i="70"/>
  <c r="I17" i="70"/>
  <c r="J17" i="70" s="1"/>
  <c r="H17" i="70"/>
  <c r="R16" i="70"/>
  <c r="P16" i="70"/>
  <c r="K16" i="70"/>
  <c r="I16" i="70"/>
  <c r="J16" i="70" s="1"/>
  <c r="H16" i="70"/>
  <c r="R15" i="70"/>
  <c r="P15" i="70"/>
  <c r="K15" i="70"/>
  <c r="I15" i="70"/>
  <c r="J15" i="70" s="1"/>
  <c r="H15" i="70"/>
  <c r="R14" i="70"/>
  <c r="P14" i="70"/>
  <c r="K14" i="70"/>
  <c r="I14" i="70"/>
  <c r="J14" i="70" s="1"/>
  <c r="H14" i="70"/>
  <c r="R13" i="70"/>
  <c r="P13" i="70"/>
  <c r="K13" i="70"/>
  <c r="I13" i="70"/>
  <c r="J13" i="70" s="1"/>
  <c r="H13" i="70"/>
  <c r="R12" i="70"/>
  <c r="P12" i="70"/>
  <c r="K12" i="70"/>
  <c r="I12" i="70"/>
  <c r="J12" i="70" s="1"/>
  <c r="H12" i="70"/>
  <c r="R11" i="70"/>
  <c r="P11" i="70"/>
  <c r="K11" i="70"/>
  <c r="I11" i="70"/>
  <c r="J11" i="70" s="1"/>
  <c r="H11" i="70"/>
  <c r="R10" i="70"/>
  <c r="P10" i="70"/>
  <c r="K10" i="70"/>
  <c r="I10" i="70"/>
  <c r="J10" i="70" s="1"/>
  <c r="H10" i="70"/>
  <c r="R9" i="70"/>
  <c r="P9" i="70"/>
  <c r="K9" i="70"/>
  <c r="I9" i="70"/>
  <c r="J9" i="70" s="1"/>
  <c r="H9" i="70"/>
  <c r="R8" i="70"/>
  <c r="P8" i="70"/>
  <c r="K8" i="70"/>
  <c r="I8" i="70"/>
  <c r="J8" i="70" s="1"/>
  <c r="H8" i="70"/>
  <c r="R7" i="70"/>
  <c r="P7" i="70"/>
  <c r="K7" i="70"/>
  <c r="I7" i="70"/>
  <c r="J7" i="70" s="1"/>
  <c r="H7" i="70"/>
  <c r="R6" i="70"/>
  <c r="P6" i="70"/>
  <c r="K6" i="70"/>
  <c r="I6" i="70"/>
  <c r="J6" i="70" s="1"/>
  <c r="H6" i="70"/>
  <c r="H19" i="69"/>
  <c r="I19" i="69"/>
  <c r="J19" i="69" s="1"/>
  <c r="K19" i="69"/>
  <c r="P19" i="69"/>
  <c r="R19" i="69"/>
  <c r="H20" i="69"/>
  <c r="I20" i="69"/>
  <c r="J20" i="69" s="1"/>
  <c r="K20" i="69"/>
  <c r="P20" i="69"/>
  <c r="R20" i="69"/>
  <c r="H21" i="69"/>
  <c r="I21" i="69"/>
  <c r="J21" i="69" s="1"/>
  <c r="K21" i="69"/>
  <c r="P21" i="69"/>
  <c r="R21" i="69"/>
  <c r="H22" i="69"/>
  <c r="I22" i="69"/>
  <c r="J22" i="69" s="1"/>
  <c r="K22" i="69"/>
  <c r="P22" i="69"/>
  <c r="R22" i="69"/>
  <c r="R31" i="69"/>
  <c r="P31" i="69"/>
  <c r="K31" i="69"/>
  <c r="I31" i="69"/>
  <c r="J31" i="69" s="1"/>
  <c r="H31" i="69"/>
  <c r="R30" i="69"/>
  <c r="P30" i="69"/>
  <c r="K30" i="69"/>
  <c r="I30" i="69"/>
  <c r="J30" i="69" s="1"/>
  <c r="H30" i="69"/>
  <c r="R29" i="69"/>
  <c r="P29" i="69"/>
  <c r="K29" i="69"/>
  <c r="I29" i="69"/>
  <c r="J29" i="69" s="1"/>
  <c r="H29" i="69"/>
  <c r="R28" i="69"/>
  <c r="P28" i="69"/>
  <c r="K28" i="69"/>
  <c r="I28" i="69"/>
  <c r="J28" i="69" s="1"/>
  <c r="H28" i="69"/>
  <c r="R27" i="69"/>
  <c r="P27" i="69"/>
  <c r="K27" i="69"/>
  <c r="I27" i="69"/>
  <c r="J27" i="69" s="1"/>
  <c r="H27" i="69"/>
  <c r="R26" i="69"/>
  <c r="P26" i="69"/>
  <c r="K26" i="69"/>
  <c r="I26" i="69"/>
  <c r="J26" i="69" s="1"/>
  <c r="H26" i="69"/>
  <c r="R25" i="69"/>
  <c r="P25" i="69"/>
  <c r="K25" i="69"/>
  <c r="I25" i="69"/>
  <c r="J25" i="69" s="1"/>
  <c r="H25" i="69"/>
  <c r="R24" i="69"/>
  <c r="P24" i="69"/>
  <c r="K24" i="69"/>
  <c r="I24" i="69"/>
  <c r="J24" i="69" s="1"/>
  <c r="H24" i="69"/>
  <c r="R23" i="69"/>
  <c r="P23" i="69"/>
  <c r="K23" i="69"/>
  <c r="I23" i="69"/>
  <c r="J23" i="69" s="1"/>
  <c r="H23" i="69"/>
  <c r="R18" i="69"/>
  <c r="P18" i="69"/>
  <c r="K18" i="69"/>
  <c r="I18" i="69"/>
  <c r="J18" i="69" s="1"/>
  <c r="H18" i="69"/>
  <c r="R17" i="69"/>
  <c r="P17" i="69"/>
  <c r="K17" i="69"/>
  <c r="I17" i="69"/>
  <c r="J17" i="69" s="1"/>
  <c r="H17" i="69"/>
  <c r="R16" i="69"/>
  <c r="P16" i="69"/>
  <c r="K16" i="69"/>
  <c r="I16" i="69"/>
  <c r="J16" i="69" s="1"/>
  <c r="H16" i="69"/>
  <c r="R15" i="69"/>
  <c r="P15" i="69"/>
  <c r="K15" i="69"/>
  <c r="I15" i="69"/>
  <c r="J15" i="69" s="1"/>
  <c r="H15" i="69"/>
  <c r="R14" i="69"/>
  <c r="P14" i="69"/>
  <c r="K14" i="69"/>
  <c r="I14" i="69"/>
  <c r="J14" i="69" s="1"/>
  <c r="H14" i="69"/>
  <c r="R13" i="69"/>
  <c r="P13" i="69"/>
  <c r="K13" i="69"/>
  <c r="I13" i="69"/>
  <c r="J13" i="69" s="1"/>
  <c r="H13" i="69"/>
  <c r="R12" i="69"/>
  <c r="P12" i="69"/>
  <c r="K12" i="69"/>
  <c r="I12" i="69"/>
  <c r="J12" i="69" s="1"/>
  <c r="H12" i="69"/>
  <c r="R11" i="69"/>
  <c r="P11" i="69"/>
  <c r="K11" i="69"/>
  <c r="I11" i="69"/>
  <c r="J11" i="69" s="1"/>
  <c r="H11" i="69"/>
  <c r="R10" i="69"/>
  <c r="P10" i="69"/>
  <c r="K10" i="69"/>
  <c r="I10" i="69"/>
  <c r="J10" i="69" s="1"/>
  <c r="H10" i="69"/>
  <c r="R9" i="69"/>
  <c r="P9" i="69"/>
  <c r="K9" i="69"/>
  <c r="I9" i="69"/>
  <c r="J9" i="69" s="1"/>
  <c r="H9" i="69"/>
  <c r="R8" i="69"/>
  <c r="P8" i="69"/>
  <c r="K8" i="69"/>
  <c r="I8" i="69"/>
  <c r="J8" i="69" s="1"/>
  <c r="H8" i="69"/>
  <c r="R7" i="69"/>
  <c r="P7" i="69"/>
  <c r="K7" i="69"/>
  <c r="I7" i="69"/>
  <c r="J7" i="69" s="1"/>
  <c r="H7" i="69"/>
  <c r="R6" i="69"/>
  <c r="P6" i="69"/>
  <c r="K6" i="69"/>
  <c r="I6" i="69"/>
  <c r="J6" i="69" s="1"/>
  <c r="H6" i="69"/>
  <c r="P20" i="68"/>
  <c r="R20" i="68"/>
  <c r="P21" i="68"/>
  <c r="R21" i="68"/>
  <c r="S21" i="68" s="1"/>
  <c r="P22" i="68"/>
  <c r="R22" i="68"/>
  <c r="P23" i="68"/>
  <c r="R23" i="68"/>
  <c r="P24" i="68"/>
  <c r="R24" i="68"/>
  <c r="P25" i="68"/>
  <c r="R25" i="68"/>
  <c r="S25" i="68" s="1"/>
  <c r="P26" i="68"/>
  <c r="R26" i="68"/>
  <c r="P27" i="68"/>
  <c r="R27" i="68"/>
  <c r="P28" i="68"/>
  <c r="R28" i="68"/>
  <c r="P29" i="68"/>
  <c r="R29" i="68"/>
  <c r="S29" i="68" s="1"/>
  <c r="P30" i="68"/>
  <c r="R30" i="68"/>
  <c r="P31" i="68"/>
  <c r="R31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I7" i="68"/>
  <c r="J7" i="68" s="1"/>
  <c r="I8" i="68"/>
  <c r="J8" i="68" s="1"/>
  <c r="I9" i="68"/>
  <c r="J9" i="68" s="1"/>
  <c r="I10" i="68"/>
  <c r="J10" i="68" s="1"/>
  <c r="I11" i="68"/>
  <c r="J11" i="68" s="1"/>
  <c r="I12" i="68"/>
  <c r="J12" i="68" s="1"/>
  <c r="I13" i="68"/>
  <c r="J13" i="68" s="1"/>
  <c r="I14" i="68"/>
  <c r="J14" i="68" s="1"/>
  <c r="I15" i="68"/>
  <c r="J15" i="68" s="1"/>
  <c r="I16" i="68"/>
  <c r="J16" i="68" s="1"/>
  <c r="I17" i="68"/>
  <c r="J17" i="68" s="1"/>
  <c r="I18" i="68"/>
  <c r="J18" i="68" s="1"/>
  <c r="I19" i="68"/>
  <c r="J19" i="68" s="1"/>
  <c r="I20" i="68"/>
  <c r="J20" i="68" s="1"/>
  <c r="I21" i="68"/>
  <c r="J21" i="68" s="1"/>
  <c r="I22" i="68"/>
  <c r="J22" i="68" s="1"/>
  <c r="I23" i="68"/>
  <c r="J23" i="68" s="1"/>
  <c r="I24" i="68"/>
  <c r="J24" i="68" s="1"/>
  <c r="I25" i="68"/>
  <c r="J25" i="68" s="1"/>
  <c r="I26" i="68"/>
  <c r="J26" i="68" s="1"/>
  <c r="I27" i="68"/>
  <c r="J27" i="68" s="1"/>
  <c r="I28" i="68"/>
  <c r="J28" i="68" s="1"/>
  <c r="I29" i="68"/>
  <c r="J29" i="68" s="1"/>
  <c r="I30" i="68"/>
  <c r="J30" i="68" s="1"/>
  <c r="I31" i="68"/>
  <c r="J31" i="68" s="1"/>
  <c r="H7" i="68"/>
  <c r="H8" i="68"/>
  <c r="H9" i="68"/>
  <c r="H10" i="68"/>
  <c r="H11" i="68"/>
  <c r="H12" i="68"/>
  <c r="H13" i="68"/>
  <c r="H14" i="68"/>
  <c r="H15" i="68"/>
  <c r="H16" i="68"/>
  <c r="H17" i="68"/>
  <c r="H18" i="68"/>
  <c r="H19" i="68"/>
  <c r="H20" i="68"/>
  <c r="H21" i="68"/>
  <c r="H22" i="68"/>
  <c r="H23" i="68"/>
  <c r="H24" i="68"/>
  <c r="H25" i="68"/>
  <c r="H26" i="68"/>
  <c r="H27" i="68"/>
  <c r="H28" i="68"/>
  <c r="H29" i="68"/>
  <c r="H30" i="68"/>
  <c r="H31" i="68"/>
  <c r="R19" i="68"/>
  <c r="P19" i="68"/>
  <c r="R18" i="68"/>
  <c r="P18" i="68"/>
  <c r="R17" i="68"/>
  <c r="P17" i="68"/>
  <c r="R16" i="68"/>
  <c r="P16" i="68"/>
  <c r="K16" i="68"/>
  <c r="R15" i="68"/>
  <c r="P15" i="68"/>
  <c r="K15" i="68"/>
  <c r="R14" i="68"/>
  <c r="P14" i="68"/>
  <c r="K14" i="68"/>
  <c r="R13" i="68"/>
  <c r="P13" i="68"/>
  <c r="K13" i="68"/>
  <c r="R12" i="68"/>
  <c r="P12" i="68"/>
  <c r="K12" i="68"/>
  <c r="R11" i="68"/>
  <c r="P11" i="68"/>
  <c r="K11" i="68"/>
  <c r="R10" i="68"/>
  <c r="P10" i="68"/>
  <c r="K10" i="68"/>
  <c r="R9" i="68"/>
  <c r="P9" i="68"/>
  <c r="K9" i="68"/>
  <c r="R8" i="68"/>
  <c r="P8" i="68"/>
  <c r="K8" i="68"/>
  <c r="R7" i="68"/>
  <c r="P7" i="68"/>
  <c r="K7" i="68"/>
  <c r="R6" i="68"/>
  <c r="P6" i="68"/>
  <c r="K6" i="68"/>
  <c r="I6" i="68"/>
  <c r="J6" i="68" s="1"/>
  <c r="H6" i="68"/>
  <c r="S20" i="75" l="1"/>
  <c r="O20" i="75"/>
  <c r="O7" i="68"/>
  <c r="S7" i="68"/>
  <c r="O17" i="68"/>
  <c r="S17" i="68"/>
  <c r="O19" i="68"/>
  <c r="S19" i="68"/>
  <c r="Q30" i="68"/>
  <c r="S30" i="68"/>
  <c r="Q28" i="68"/>
  <c r="S28" i="68"/>
  <c r="Q26" i="68"/>
  <c r="S26" i="68"/>
  <c r="Q24" i="68"/>
  <c r="S24" i="68"/>
  <c r="Q22" i="68"/>
  <c r="S22" i="68"/>
  <c r="Q20" i="68"/>
  <c r="S20" i="68"/>
  <c r="O8" i="69"/>
  <c r="S8" i="69"/>
  <c r="O12" i="69"/>
  <c r="S12" i="69"/>
  <c r="O16" i="69"/>
  <c r="S16" i="69"/>
  <c r="O24" i="69"/>
  <c r="S24" i="69"/>
  <c r="O28" i="69"/>
  <c r="S28" i="69"/>
  <c r="Q22" i="69"/>
  <c r="S22" i="69"/>
  <c r="O11" i="68"/>
  <c r="S11" i="68"/>
  <c r="O15" i="68"/>
  <c r="S15" i="68"/>
  <c r="O6" i="68"/>
  <c r="S6" i="68"/>
  <c r="O10" i="68"/>
  <c r="S10" i="68"/>
  <c r="O14" i="68"/>
  <c r="S14" i="68"/>
  <c r="O9" i="68"/>
  <c r="S9" i="68"/>
  <c r="O13" i="68"/>
  <c r="S13" i="68"/>
  <c r="O9" i="69"/>
  <c r="S9" i="69"/>
  <c r="O13" i="69"/>
  <c r="S13" i="69"/>
  <c r="O17" i="69"/>
  <c r="S17" i="69"/>
  <c r="O25" i="69"/>
  <c r="S25" i="69"/>
  <c r="O29" i="69"/>
  <c r="S29" i="69"/>
  <c r="O21" i="69"/>
  <c r="S21" i="69"/>
  <c r="O8" i="68"/>
  <c r="S8" i="68"/>
  <c r="O12" i="68"/>
  <c r="S12" i="68"/>
  <c r="O16" i="68"/>
  <c r="S16" i="68"/>
  <c r="O18" i="68"/>
  <c r="S18" i="68"/>
  <c r="Q31" i="68"/>
  <c r="S31" i="68"/>
  <c r="Q27" i="68"/>
  <c r="S27" i="68"/>
  <c r="Q23" i="68"/>
  <c r="S23" i="68"/>
  <c r="O6" i="69"/>
  <c r="S6" i="69"/>
  <c r="O10" i="69"/>
  <c r="S10" i="69"/>
  <c r="O14" i="69"/>
  <c r="S14" i="69"/>
  <c r="O18" i="69"/>
  <c r="S18" i="69"/>
  <c r="O26" i="69"/>
  <c r="S26" i="69"/>
  <c r="O30" i="69"/>
  <c r="S30" i="69"/>
  <c r="Q20" i="69"/>
  <c r="S20" i="69"/>
  <c r="O7" i="69"/>
  <c r="S7" i="69"/>
  <c r="O11" i="69"/>
  <c r="S11" i="69"/>
  <c r="O15" i="69"/>
  <c r="S15" i="69"/>
  <c r="O23" i="69"/>
  <c r="S23" i="69"/>
  <c r="O27" i="69"/>
  <c r="S27" i="69"/>
  <c r="O31" i="69"/>
  <c r="S31" i="69"/>
  <c r="O19" i="69"/>
  <c r="S19" i="69"/>
  <c r="O8" i="70"/>
  <c r="S8" i="70"/>
  <c r="O6" i="70"/>
  <c r="S6" i="70"/>
  <c r="O10" i="70"/>
  <c r="S10" i="70"/>
  <c r="O14" i="70"/>
  <c r="S14" i="70"/>
  <c r="O18" i="70"/>
  <c r="S18" i="70"/>
  <c r="O22" i="70"/>
  <c r="S22" i="70"/>
  <c r="O26" i="70"/>
  <c r="S26" i="70"/>
  <c r="O30" i="70"/>
  <c r="S30" i="70"/>
  <c r="O8" i="71"/>
  <c r="S8" i="71"/>
  <c r="O12" i="71"/>
  <c r="S12" i="71"/>
  <c r="O16" i="71"/>
  <c r="S16" i="71"/>
  <c r="O24" i="71"/>
  <c r="S24" i="71"/>
  <c r="O28" i="71"/>
  <c r="S28" i="71"/>
  <c r="O6" i="72"/>
  <c r="S6" i="72"/>
  <c r="O10" i="72"/>
  <c r="S10" i="72"/>
  <c r="O14" i="72"/>
  <c r="S14" i="72"/>
  <c r="O18" i="72"/>
  <c r="S18" i="72"/>
  <c r="O22" i="72"/>
  <c r="S22" i="72"/>
  <c r="O26" i="72"/>
  <c r="S26" i="72"/>
  <c r="O30" i="72"/>
  <c r="S30" i="72"/>
  <c r="O7" i="70"/>
  <c r="S7" i="70"/>
  <c r="O11" i="70"/>
  <c r="S11" i="70"/>
  <c r="O15" i="70"/>
  <c r="S15" i="70"/>
  <c r="O19" i="70"/>
  <c r="S19" i="70"/>
  <c r="O23" i="70"/>
  <c r="S23" i="70"/>
  <c r="O27" i="70"/>
  <c r="S27" i="70"/>
  <c r="O31" i="70"/>
  <c r="S31" i="70"/>
  <c r="O9" i="71"/>
  <c r="S9" i="71"/>
  <c r="O13" i="71"/>
  <c r="S13" i="71"/>
  <c r="O17" i="71"/>
  <c r="S17" i="71"/>
  <c r="O21" i="71"/>
  <c r="S21" i="71"/>
  <c r="O25" i="71"/>
  <c r="S25" i="71"/>
  <c r="O29" i="71"/>
  <c r="S29" i="71"/>
  <c r="O7" i="72"/>
  <c r="S7" i="72"/>
  <c r="O11" i="72"/>
  <c r="S11" i="72"/>
  <c r="O15" i="72"/>
  <c r="S15" i="72"/>
  <c r="O19" i="72"/>
  <c r="S19" i="72"/>
  <c r="O23" i="72"/>
  <c r="S23" i="72"/>
  <c r="O27" i="72"/>
  <c r="S27" i="72"/>
  <c r="O31" i="72"/>
  <c r="S31" i="72"/>
  <c r="O12" i="70"/>
  <c r="S12" i="70"/>
  <c r="O16" i="70"/>
  <c r="S16" i="70"/>
  <c r="O24" i="70"/>
  <c r="S24" i="70"/>
  <c r="O28" i="70"/>
  <c r="S28" i="70"/>
  <c r="O6" i="71"/>
  <c r="S6" i="71"/>
  <c r="O10" i="71"/>
  <c r="S10" i="71"/>
  <c r="O14" i="71"/>
  <c r="S14" i="71"/>
  <c r="O18" i="71"/>
  <c r="S18" i="71"/>
  <c r="O22" i="71"/>
  <c r="S22" i="71"/>
  <c r="O26" i="71"/>
  <c r="S26" i="71"/>
  <c r="O30" i="71"/>
  <c r="S30" i="71"/>
  <c r="O8" i="72"/>
  <c r="S8" i="72"/>
  <c r="O12" i="72"/>
  <c r="S12" i="72"/>
  <c r="O16" i="72"/>
  <c r="S16" i="72"/>
  <c r="O24" i="72"/>
  <c r="S24" i="72"/>
  <c r="O28" i="72"/>
  <c r="S28" i="72"/>
  <c r="O9" i="70"/>
  <c r="S9" i="70"/>
  <c r="O13" i="70"/>
  <c r="S13" i="70"/>
  <c r="O17" i="70"/>
  <c r="S17" i="70"/>
  <c r="O21" i="70"/>
  <c r="S21" i="70"/>
  <c r="O25" i="70"/>
  <c r="S25" i="70"/>
  <c r="O29" i="70"/>
  <c r="S29" i="70"/>
  <c r="O7" i="71"/>
  <c r="S7" i="71"/>
  <c r="O11" i="71"/>
  <c r="S11" i="71"/>
  <c r="O15" i="71"/>
  <c r="S15" i="71"/>
  <c r="O19" i="71"/>
  <c r="S19" i="71"/>
  <c r="O23" i="71"/>
  <c r="S23" i="71"/>
  <c r="O27" i="71"/>
  <c r="S27" i="71"/>
  <c r="O31" i="71"/>
  <c r="S31" i="71"/>
  <c r="O9" i="72"/>
  <c r="S9" i="72"/>
  <c r="O13" i="72"/>
  <c r="S13" i="72"/>
  <c r="O17" i="72"/>
  <c r="S17" i="72"/>
  <c r="O25" i="72"/>
  <c r="S25" i="72"/>
  <c r="O29" i="72"/>
  <c r="S29" i="72"/>
  <c r="O9" i="74"/>
  <c r="S9" i="74"/>
  <c r="O13" i="74"/>
  <c r="S13" i="74"/>
  <c r="O17" i="74"/>
  <c r="S17" i="74"/>
  <c r="O21" i="74"/>
  <c r="S21" i="74"/>
  <c r="O25" i="74"/>
  <c r="S25" i="74"/>
  <c r="O29" i="74"/>
  <c r="S29" i="74"/>
  <c r="S7" i="75"/>
  <c r="S11" i="75"/>
  <c r="S15" i="75"/>
  <c r="S19" i="75"/>
  <c r="S23" i="75"/>
  <c r="S27" i="75"/>
  <c r="S31" i="75"/>
  <c r="O9" i="76"/>
  <c r="S9" i="76"/>
  <c r="O13" i="76"/>
  <c r="S13" i="76"/>
  <c r="O17" i="76"/>
  <c r="S17" i="76"/>
  <c r="O21" i="76"/>
  <c r="S21" i="76"/>
  <c r="O25" i="76"/>
  <c r="S25" i="76"/>
  <c r="O29" i="76"/>
  <c r="S29" i="76"/>
  <c r="O6" i="73"/>
  <c r="S6" i="73"/>
  <c r="O6" i="74"/>
  <c r="S6" i="74"/>
  <c r="O10" i="74"/>
  <c r="S10" i="74"/>
  <c r="O14" i="74"/>
  <c r="S14" i="74"/>
  <c r="O18" i="74"/>
  <c r="S18" i="74"/>
  <c r="O22" i="74"/>
  <c r="S22" i="74"/>
  <c r="O26" i="74"/>
  <c r="S26" i="74"/>
  <c r="O30" i="74"/>
  <c r="S30" i="74"/>
  <c r="S8" i="75"/>
  <c r="S12" i="75"/>
  <c r="S16" i="75"/>
  <c r="S24" i="75"/>
  <c r="S28" i="75"/>
  <c r="O6" i="76"/>
  <c r="S6" i="76"/>
  <c r="O10" i="76"/>
  <c r="S10" i="76"/>
  <c r="O14" i="76"/>
  <c r="S14" i="76"/>
  <c r="O18" i="76"/>
  <c r="S18" i="76"/>
  <c r="O22" i="76"/>
  <c r="S22" i="76"/>
  <c r="O26" i="76"/>
  <c r="S26" i="76"/>
  <c r="O30" i="76"/>
  <c r="S30" i="76"/>
  <c r="O7" i="74"/>
  <c r="S7" i="74"/>
  <c r="O11" i="74"/>
  <c r="S11" i="74"/>
  <c r="O15" i="74"/>
  <c r="S15" i="74"/>
  <c r="O19" i="74"/>
  <c r="S19" i="74"/>
  <c r="O23" i="74"/>
  <c r="S23" i="74"/>
  <c r="O27" i="74"/>
  <c r="S27" i="74"/>
  <c r="O31" i="74"/>
  <c r="S31" i="74"/>
  <c r="S9" i="75"/>
  <c r="S13" i="75"/>
  <c r="S17" i="75"/>
  <c r="S21" i="75"/>
  <c r="S25" i="75"/>
  <c r="S29" i="75"/>
  <c r="O7" i="76"/>
  <c r="S7" i="76"/>
  <c r="O11" i="76"/>
  <c r="S11" i="76"/>
  <c r="O15" i="76"/>
  <c r="S15" i="76"/>
  <c r="O19" i="76"/>
  <c r="S19" i="76"/>
  <c r="O23" i="76"/>
  <c r="S23" i="76"/>
  <c r="O27" i="76"/>
  <c r="S27" i="76"/>
  <c r="O31" i="76"/>
  <c r="S31" i="76"/>
  <c r="O8" i="74"/>
  <c r="S8" i="74"/>
  <c r="O12" i="74"/>
  <c r="S12" i="74"/>
  <c r="O16" i="74"/>
  <c r="S16" i="74"/>
  <c r="O24" i="74"/>
  <c r="S24" i="74"/>
  <c r="O28" i="74"/>
  <c r="S28" i="74"/>
  <c r="O6" i="75"/>
  <c r="S6" i="75"/>
  <c r="S10" i="75"/>
  <c r="S14" i="75"/>
  <c r="S18" i="75"/>
  <c r="S22" i="75"/>
  <c r="S26" i="75"/>
  <c r="S30" i="75"/>
  <c r="O8" i="76"/>
  <c r="S8" i="76"/>
  <c r="O12" i="76"/>
  <c r="S12" i="76"/>
  <c r="O16" i="76"/>
  <c r="S16" i="76"/>
  <c r="O24" i="76"/>
  <c r="S24" i="76"/>
  <c r="O28" i="76"/>
  <c r="S28" i="76"/>
  <c r="O20" i="74"/>
  <c r="L29" i="69"/>
  <c r="L25" i="69"/>
  <c r="L21" i="69"/>
  <c r="L17" i="69"/>
  <c r="L13" i="69"/>
  <c r="L9" i="69"/>
  <c r="L8" i="72"/>
  <c r="L10" i="72"/>
  <c r="L12" i="72"/>
  <c r="L14" i="72"/>
  <c r="L16" i="72"/>
  <c r="L18" i="72"/>
  <c r="L20" i="72"/>
  <c r="O20" i="71"/>
  <c r="L6" i="69"/>
  <c r="L28" i="70"/>
  <c r="L30" i="70"/>
  <c r="L6" i="72"/>
  <c r="L8" i="71"/>
  <c r="L10" i="71"/>
  <c r="L12" i="71"/>
  <c r="L14" i="71"/>
  <c r="L16" i="71"/>
  <c r="L18" i="71"/>
  <c r="L20" i="71"/>
  <c r="L22" i="71"/>
  <c r="L24" i="71"/>
  <c r="L26" i="71"/>
  <c r="L28" i="71"/>
  <c r="L30" i="71"/>
  <c r="L26" i="70"/>
  <c r="L6" i="71"/>
  <c r="L6" i="70"/>
  <c r="L8" i="70"/>
  <c r="L10" i="70"/>
  <c r="L12" i="70"/>
  <c r="L14" i="70"/>
  <c r="L16" i="70"/>
  <c r="L18" i="70"/>
  <c r="L24" i="70"/>
  <c r="L21" i="75"/>
  <c r="L23" i="75"/>
  <c r="L25" i="75"/>
  <c r="L27" i="75"/>
  <c r="L29" i="75"/>
  <c r="L31" i="75"/>
  <c r="L7" i="76"/>
  <c r="L9" i="76"/>
  <c r="L11" i="76"/>
  <c r="L13" i="76"/>
  <c r="L15" i="76"/>
  <c r="L17" i="76"/>
  <c r="L19" i="76"/>
  <c r="L21" i="76"/>
  <c r="L23" i="76"/>
  <c r="L25" i="76"/>
  <c r="L27" i="76"/>
  <c r="L29" i="76"/>
  <c r="L31" i="76"/>
  <c r="L30" i="69"/>
  <c r="L26" i="69"/>
  <c r="L22" i="69"/>
  <c r="L18" i="69"/>
  <c r="L14" i="69"/>
  <c r="L10" i="69"/>
  <c r="L21" i="70"/>
  <c r="L19" i="70"/>
  <c r="L21" i="72"/>
  <c r="L23" i="72"/>
  <c r="L25" i="72"/>
  <c r="L27" i="72"/>
  <c r="L29" i="72"/>
  <c r="L31" i="72"/>
  <c r="L7" i="73"/>
  <c r="L9" i="73"/>
  <c r="L11" i="73"/>
  <c r="L13" i="73"/>
  <c r="L15" i="73"/>
  <c r="L17" i="73"/>
  <c r="L19" i="73"/>
  <c r="L21" i="73"/>
  <c r="L23" i="73"/>
  <c r="L25" i="73"/>
  <c r="L27" i="73"/>
  <c r="L29" i="73"/>
  <c r="L31" i="73"/>
  <c r="L7" i="74"/>
  <c r="L9" i="74"/>
  <c r="L11" i="74"/>
  <c r="L13" i="74"/>
  <c r="L15" i="74"/>
  <c r="L17" i="74"/>
  <c r="L19" i="74"/>
  <c r="L21" i="74"/>
  <c r="L23" i="74"/>
  <c r="L25" i="74"/>
  <c r="L27" i="74"/>
  <c r="L29" i="74"/>
  <c r="L31" i="74"/>
  <c r="L7" i="75"/>
  <c r="L9" i="75"/>
  <c r="L11" i="75"/>
  <c r="L13" i="75"/>
  <c r="L15" i="75"/>
  <c r="L17" i="75"/>
  <c r="L19" i="75"/>
  <c r="L31" i="69"/>
  <c r="L27" i="69"/>
  <c r="L23" i="69"/>
  <c r="L19" i="69"/>
  <c r="L15" i="69"/>
  <c r="L11" i="69"/>
  <c r="L7" i="69"/>
  <c r="L7" i="70"/>
  <c r="L9" i="70"/>
  <c r="L11" i="70"/>
  <c r="L13" i="70"/>
  <c r="L15" i="70"/>
  <c r="L17" i="70"/>
  <c r="L23" i="70"/>
  <c r="L25" i="70"/>
  <c r="L27" i="70"/>
  <c r="L29" i="70"/>
  <c r="L31" i="70"/>
  <c r="L7" i="71"/>
  <c r="L9" i="71"/>
  <c r="L11" i="71"/>
  <c r="L13" i="71"/>
  <c r="L15" i="71"/>
  <c r="L17" i="71"/>
  <c r="L19" i="71"/>
  <c r="L21" i="71"/>
  <c r="L23" i="71"/>
  <c r="L25" i="71"/>
  <c r="L27" i="71"/>
  <c r="L29" i="71"/>
  <c r="L31" i="71"/>
  <c r="L7" i="72"/>
  <c r="L9" i="72"/>
  <c r="L11" i="72"/>
  <c r="L13" i="72"/>
  <c r="L15" i="72"/>
  <c r="L17" i="72"/>
  <c r="L19" i="72"/>
  <c r="L22" i="75"/>
  <c r="L24" i="75"/>
  <c r="L26" i="75"/>
  <c r="L28" i="75"/>
  <c r="L30" i="75"/>
  <c r="L6" i="76"/>
  <c r="L8" i="76"/>
  <c r="L10" i="76"/>
  <c r="L12" i="76"/>
  <c r="L14" i="76"/>
  <c r="L16" i="76"/>
  <c r="L18" i="76"/>
  <c r="L20" i="76"/>
  <c r="L22" i="76"/>
  <c r="L24" i="76"/>
  <c r="L26" i="76"/>
  <c r="L28" i="76"/>
  <c r="L30" i="76"/>
  <c r="L28" i="69"/>
  <c r="L24" i="69"/>
  <c r="L20" i="69"/>
  <c r="L16" i="69"/>
  <c r="L12" i="69"/>
  <c r="L8" i="69"/>
  <c r="L22" i="70"/>
  <c r="L20" i="70"/>
  <c r="L22" i="72"/>
  <c r="L24" i="72"/>
  <c r="L26" i="72"/>
  <c r="L28" i="72"/>
  <c r="L30" i="72"/>
  <c r="L6" i="73"/>
  <c r="L8" i="73"/>
  <c r="L10" i="73"/>
  <c r="L12" i="73"/>
  <c r="L14" i="73"/>
  <c r="L16" i="73"/>
  <c r="L18" i="73"/>
  <c r="L20" i="73"/>
  <c r="L22" i="73"/>
  <c r="L24" i="73"/>
  <c r="L26" i="73"/>
  <c r="L28" i="73"/>
  <c r="L30" i="73"/>
  <c r="L6" i="74"/>
  <c r="L8" i="74"/>
  <c r="L10" i="74"/>
  <c r="L12" i="74"/>
  <c r="L14" i="74"/>
  <c r="L16" i="74"/>
  <c r="L18" i="74"/>
  <c r="L20" i="74"/>
  <c r="L22" i="74"/>
  <c r="L24" i="74"/>
  <c r="L26" i="74"/>
  <c r="L28" i="74"/>
  <c r="L30" i="74"/>
  <c r="L6" i="75"/>
  <c r="L8" i="75"/>
  <c r="L10" i="75"/>
  <c r="L12" i="75"/>
  <c r="L14" i="75"/>
  <c r="L16" i="75"/>
  <c r="L18" i="75"/>
  <c r="L20" i="75"/>
  <c r="J20" i="75"/>
  <c r="J20" i="74"/>
  <c r="O31" i="68"/>
  <c r="J21" i="70"/>
  <c r="O27" i="68"/>
  <c r="O22" i="69"/>
  <c r="O23" i="68"/>
  <c r="O20" i="70"/>
  <c r="Q29" i="68"/>
  <c r="O29" i="68"/>
  <c r="Q25" i="68"/>
  <c r="O25" i="68"/>
  <c r="Q21" i="68"/>
  <c r="O21" i="68"/>
  <c r="O30" i="68"/>
  <c r="O26" i="68"/>
  <c r="O22" i="68"/>
  <c r="O28" i="68"/>
  <c r="O24" i="68"/>
  <c r="O20" i="68"/>
  <c r="O20" i="69"/>
  <c r="J20" i="76"/>
  <c r="O20" i="76"/>
  <c r="J20" i="73"/>
  <c r="O21" i="72"/>
  <c r="O20" i="72"/>
  <c r="J20" i="72"/>
  <c r="J21" i="71"/>
  <c r="Q21" i="69"/>
  <c r="Q19" i="69"/>
  <c r="I38" i="73" l="1"/>
  <c r="S34" i="69"/>
  <c r="S34" i="68"/>
  <c r="S34" i="72"/>
  <c r="S34" i="70"/>
  <c r="S34" i="71"/>
  <c r="S34" i="75"/>
  <c r="S34" i="73"/>
  <c r="S34" i="76"/>
  <c r="S34" i="74"/>
  <c r="L34" i="77"/>
  <c r="C31" i="77"/>
  <c r="C30" i="77"/>
  <c r="C29" i="77"/>
  <c r="C28" i="77"/>
  <c r="C27" i="77"/>
  <c r="C26" i="77"/>
  <c r="C25" i="77"/>
  <c r="C24" i="77"/>
  <c r="C23" i="77"/>
  <c r="C22" i="77"/>
  <c r="C21" i="77"/>
  <c r="C20" i="77"/>
  <c r="C19" i="77"/>
  <c r="C18" i="77"/>
  <c r="C17" i="77"/>
  <c r="C16" i="77"/>
  <c r="C15" i="77"/>
  <c r="C14" i="77"/>
  <c r="C13" i="77"/>
  <c r="C12" i="77"/>
  <c r="C11" i="77"/>
  <c r="C10" i="77"/>
  <c r="C9" i="77"/>
  <c r="C8" i="77"/>
  <c r="C7" i="77"/>
  <c r="C6" i="77"/>
  <c r="C3" i="77"/>
  <c r="L34" i="76"/>
  <c r="Q31" i="76"/>
  <c r="C31" i="76"/>
  <c r="Q30" i="76"/>
  <c r="C30" i="76"/>
  <c r="Q29" i="76"/>
  <c r="C29" i="76"/>
  <c r="C28" i="76"/>
  <c r="C27" i="76"/>
  <c r="C26" i="76"/>
  <c r="C25" i="76"/>
  <c r="C24" i="76"/>
  <c r="C23" i="76"/>
  <c r="C22" i="76"/>
  <c r="C21" i="76"/>
  <c r="C20" i="76"/>
  <c r="Q19" i="76"/>
  <c r="C19" i="76"/>
  <c r="Q18" i="76"/>
  <c r="C18" i="76"/>
  <c r="Q17" i="76"/>
  <c r="C17" i="76"/>
  <c r="Q16" i="76"/>
  <c r="C16" i="76"/>
  <c r="Q15" i="76"/>
  <c r="C15" i="76"/>
  <c r="Q14" i="76"/>
  <c r="C14" i="76"/>
  <c r="Q13" i="76"/>
  <c r="C13" i="76"/>
  <c r="Q12" i="76"/>
  <c r="C12" i="76"/>
  <c r="C11" i="76"/>
  <c r="Q10" i="76"/>
  <c r="C10" i="76"/>
  <c r="Q9" i="76"/>
  <c r="C9" i="76"/>
  <c r="Q8" i="76"/>
  <c r="C8" i="76"/>
  <c r="C7" i="76"/>
  <c r="Q6" i="76"/>
  <c r="C6" i="76"/>
  <c r="C3" i="76"/>
  <c r="L34" i="75"/>
  <c r="C31" i="75"/>
  <c r="C30" i="75"/>
  <c r="C29" i="75"/>
  <c r="C28" i="75"/>
  <c r="C27" i="75"/>
  <c r="C26" i="75"/>
  <c r="C25" i="75"/>
  <c r="C24" i="75"/>
  <c r="C23" i="75"/>
  <c r="C22" i="75"/>
  <c r="Q21" i="75"/>
  <c r="C21" i="75"/>
  <c r="C20" i="75"/>
  <c r="C19" i="75"/>
  <c r="C18" i="75"/>
  <c r="C17" i="75"/>
  <c r="C16" i="75"/>
  <c r="C15" i="75"/>
  <c r="C14" i="75"/>
  <c r="C13" i="75"/>
  <c r="C12" i="75"/>
  <c r="C11" i="75"/>
  <c r="C10" i="75"/>
  <c r="C9" i="75"/>
  <c r="C8" i="75"/>
  <c r="C7" i="75"/>
  <c r="Q6" i="75"/>
  <c r="C6" i="75"/>
  <c r="C3" i="75"/>
  <c r="L34" i="74"/>
  <c r="C31" i="74"/>
  <c r="C30" i="74"/>
  <c r="C29" i="74"/>
  <c r="C28" i="74"/>
  <c r="C27" i="74"/>
  <c r="C26" i="74"/>
  <c r="C25" i="74"/>
  <c r="C24" i="74"/>
  <c r="C23" i="74"/>
  <c r="Q22" i="74"/>
  <c r="C22" i="74"/>
  <c r="C21" i="74"/>
  <c r="C20" i="74"/>
  <c r="Q19" i="74"/>
  <c r="C19" i="74"/>
  <c r="Q18" i="74"/>
  <c r="C18" i="74"/>
  <c r="Q17" i="74"/>
  <c r="C17" i="74"/>
  <c r="Q16" i="74"/>
  <c r="C16" i="74"/>
  <c r="C15" i="74"/>
  <c r="Q14" i="74"/>
  <c r="C14" i="74"/>
  <c r="Q13" i="74"/>
  <c r="C13" i="74"/>
  <c r="Q12" i="74"/>
  <c r="C12" i="74"/>
  <c r="Q11" i="74"/>
  <c r="C11" i="74"/>
  <c r="Q10" i="74"/>
  <c r="C10" i="74"/>
  <c r="Q9" i="74"/>
  <c r="C9" i="74"/>
  <c r="Q8" i="74"/>
  <c r="C8" i="74"/>
  <c r="C7" i="74"/>
  <c r="Q6" i="74"/>
  <c r="C6" i="74"/>
  <c r="C3" i="74"/>
  <c r="L34" i="73"/>
  <c r="C31" i="73"/>
  <c r="C30" i="73"/>
  <c r="C29" i="73"/>
  <c r="C28" i="73"/>
  <c r="C27" i="73"/>
  <c r="C26" i="73"/>
  <c r="C25" i="73"/>
  <c r="C24" i="73"/>
  <c r="C23" i="73"/>
  <c r="C22" i="73"/>
  <c r="C21" i="73"/>
  <c r="C20" i="73"/>
  <c r="C19" i="73"/>
  <c r="C18" i="73"/>
  <c r="C17" i="73"/>
  <c r="C16" i="73"/>
  <c r="C15" i="73"/>
  <c r="C14" i="73"/>
  <c r="C13" i="73"/>
  <c r="C12" i="73"/>
  <c r="C11" i="73"/>
  <c r="C10" i="73"/>
  <c r="C9" i="73"/>
  <c r="C8" i="73"/>
  <c r="C7" i="73"/>
  <c r="Q6" i="73"/>
  <c r="C6" i="73"/>
  <c r="C3" i="73"/>
  <c r="L34" i="72"/>
  <c r="C31" i="72"/>
  <c r="C30" i="72"/>
  <c r="C29" i="72"/>
  <c r="C28" i="72"/>
  <c r="C27" i="72"/>
  <c r="C26" i="72"/>
  <c r="C25" i="72"/>
  <c r="C24" i="72"/>
  <c r="C23" i="72"/>
  <c r="C22" i="72"/>
  <c r="Q21" i="72"/>
  <c r="C21" i="72"/>
  <c r="C20" i="72"/>
  <c r="C19" i="72"/>
  <c r="C18" i="72"/>
  <c r="C17" i="72"/>
  <c r="C16" i="72"/>
  <c r="C15" i="72"/>
  <c r="C14" i="72"/>
  <c r="C13" i="72"/>
  <c r="C12" i="72"/>
  <c r="C11" i="72"/>
  <c r="C10" i="72"/>
  <c r="C9" i="72"/>
  <c r="C8" i="72"/>
  <c r="C7" i="72"/>
  <c r="C6" i="72"/>
  <c r="C3" i="72"/>
  <c r="L34" i="71"/>
  <c r="C31" i="71"/>
  <c r="C30" i="71"/>
  <c r="C29" i="71"/>
  <c r="C28" i="71"/>
  <c r="C27" i="71"/>
  <c r="C26" i="71"/>
  <c r="C25" i="71"/>
  <c r="C24" i="71"/>
  <c r="C23" i="71"/>
  <c r="C22" i="71"/>
  <c r="C21" i="71"/>
  <c r="C20" i="71"/>
  <c r="C19" i="71"/>
  <c r="C18" i="71"/>
  <c r="C17" i="71"/>
  <c r="C16" i="71"/>
  <c r="C15" i="71"/>
  <c r="C14" i="71"/>
  <c r="C13" i="71"/>
  <c r="C12" i="71"/>
  <c r="C11" i="71"/>
  <c r="C10" i="71"/>
  <c r="C9" i="71"/>
  <c r="C8" i="71"/>
  <c r="Q7" i="71"/>
  <c r="C7" i="71"/>
  <c r="Q6" i="71"/>
  <c r="C6" i="71"/>
  <c r="C3" i="71"/>
  <c r="L34" i="70"/>
  <c r="C31" i="70"/>
  <c r="C30" i="70"/>
  <c r="C29" i="70"/>
  <c r="C28" i="70"/>
  <c r="C27" i="70"/>
  <c r="C26" i="70"/>
  <c r="C25" i="70"/>
  <c r="C24" i="70"/>
  <c r="C23" i="70"/>
  <c r="C22" i="70"/>
  <c r="C21" i="70"/>
  <c r="C20" i="70"/>
  <c r="Q19" i="70"/>
  <c r="C19" i="70"/>
  <c r="Q18" i="70"/>
  <c r="C18" i="70"/>
  <c r="Q17" i="70"/>
  <c r="C17" i="70"/>
  <c r="Q16" i="70"/>
  <c r="C16" i="70"/>
  <c r="C15" i="70"/>
  <c r="Q14" i="70"/>
  <c r="C14" i="70"/>
  <c r="Q13" i="70"/>
  <c r="C13" i="70"/>
  <c r="Q12" i="70"/>
  <c r="C12" i="70"/>
  <c r="Q11" i="70"/>
  <c r="C11" i="70"/>
  <c r="Q10" i="70"/>
  <c r="C10" i="70"/>
  <c r="Q9" i="70"/>
  <c r="C9" i="70"/>
  <c r="Q8" i="70"/>
  <c r="C8" i="70"/>
  <c r="C7" i="70"/>
  <c r="Q6" i="70"/>
  <c r="C6" i="70"/>
  <c r="C3" i="70"/>
  <c r="L34" i="69"/>
  <c r="C31" i="69"/>
  <c r="C30" i="69"/>
  <c r="C29" i="69"/>
  <c r="C28" i="69"/>
  <c r="C27" i="69"/>
  <c r="C26" i="69"/>
  <c r="C25" i="69"/>
  <c r="Q24" i="69"/>
  <c r="C24" i="69"/>
  <c r="Q23" i="69"/>
  <c r="C23" i="69"/>
  <c r="C22" i="69"/>
  <c r="C21" i="69"/>
  <c r="C20" i="69"/>
  <c r="C19" i="69"/>
  <c r="Q18" i="69"/>
  <c r="C18" i="69"/>
  <c r="Q17" i="69"/>
  <c r="C17" i="69"/>
  <c r="Q16" i="69"/>
  <c r="C16" i="69"/>
  <c r="Q15" i="69"/>
  <c r="C15" i="69"/>
  <c r="Q14" i="69"/>
  <c r="C14" i="69"/>
  <c r="Q13" i="69"/>
  <c r="C13" i="69"/>
  <c r="Q12" i="69"/>
  <c r="C12" i="69"/>
  <c r="Q11" i="69"/>
  <c r="C11" i="69"/>
  <c r="Q10" i="69"/>
  <c r="C10" i="69"/>
  <c r="Q9" i="69"/>
  <c r="C9" i="69"/>
  <c r="Q8" i="69"/>
  <c r="C8" i="69"/>
  <c r="Q7" i="69"/>
  <c r="C7" i="69"/>
  <c r="Q6" i="69"/>
  <c r="C6" i="69"/>
  <c r="C3" i="69"/>
  <c r="C31" i="68"/>
  <c r="C30" i="68"/>
  <c r="C29" i="68"/>
  <c r="C28" i="68"/>
  <c r="C27" i="68"/>
  <c r="C26" i="68"/>
  <c r="C25" i="68"/>
  <c r="C24" i="68"/>
  <c r="C23" i="68"/>
  <c r="C22" i="68"/>
  <c r="C21" i="68"/>
  <c r="C20" i="68"/>
  <c r="Q19" i="68"/>
  <c r="C19" i="68"/>
  <c r="Q18" i="68"/>
  <c r="C18" i="68"/>
  <c r="Q17" i="68"/>
  <c r="C17" i="68"/>
  <c r="Q16" i="68"/>
  <c r="C16" i="68"/>
  <c r="Q15" i="68"/>
  <c r="C15" i="68"/>
  <c r="Q14" i="68"/>
  <c r="C14" i="68"/>
  <c r="Q13" i="68"/>
  <c r="C13" i="68"/>
  <c r="Q12" i="68"/>
  <c r="C12" i="68"/>
  <c r="Q11" i="68"/>
  <c r="C11" i="68"/>
  <c r="Q10" i="68"/>
  <c r="C10" i="68"/>
  <c r="Q9" i="68"/>
  <c r="C9" i="68"/>
  <c r="Q8" i="68"/>
  <c r="C8" i="68"/>
  <c r="Q7" i="68"/>
  <c r="C7" i="68"/>
  <c r="Q6" i="68"/>
  <c r="C6" i="68"/>
  <c r="C3" i="68"/>
  <c r="O37" i="73" l="1"/>
  <c r="M37" i="73"/>
  <c r="I34" i="68"/>
  <c r="Q19" i="75"/>
  <c r="Q10" i="72"/>
  <c r="Q8" i="72"/>
  <c r="Q28" i="72"/>
  <c r="Q29" i="72"/>
  <c r="H34" i="76"/>
  <c r="K34" i="70"/>
  <c r="Q18" i="72"/>
  <c r="Q20" i="72"/>
  <c r="P34" i="68"/>
  <c r="I34" i="69"/>
  <c r="P34" i="71"/>
  <c r="Q13" i="72"/>
  <c r="K34" i="73"/>
  <c r="Q11" i="75"/>
  <c r="K34" i="68"/>
  <c r="H34" i="69"/>
  <c r="Q22" i="72"/>
  <c r="Q30" i="72"/>
  <c r="Q15" i="75"/>
  <c r="H34" i="70"/>
  <c r="K34" i="69"/>
  <c r="P34" i="69"/>
  <c r="Q26" i="69"/>
  <c r="Q30" i="69"/>
  <c r="H34" i="68"/>
  <c r="Q27" i="69"/>
  <c r="Q31" i="69"/>
  <c r="Q7" i="70"/>
  <c r="Q15" i="70"/>
  <c r="H34" i="71"/>
  <c r="Q6" i="72"/>
  <c r="Q24" i="72"/>
  <c r="K34" i="74"/>
  <c r="Q28" i="69"/>
  <c r="Q25" i="69"/>
  <c r="Q29" i="69"/>
  <c r="K34" i="71"/>
  <c r="Q9" i="72"/>
  <c r="H34" i="73"/>
  <c r="H34" i="74"/>
  <c r="Q7" i="74"/>
  <c r="H38" i="74"/>
  <c r="I34" i="75"/>
  <c r="Q11" i="76"/>
  <c r="P34" i="70"/>
  <c r="I34" i="73"/>
  <c r="P34" i="73"/>
  <c r="Q15" i="74"/>
  <c r="Q7" i="75"/>
  <c r="Q7" i="76"/>
  <c r="Q14" i="72"/>
  <c r="Q26" i="72"/>
  <c r="P34" i="74"/>
  <c r="Q23" i="75"/>
  <c r="I34" i="76"/>
  <c r="H37" i="76"/>
  <c r="Q21" i="76"/>
  <c r="Q20" i="76"/>
  <c r="Q22" i="76"/>
  <c r="Q23" i="76"/>
  <c r="Q24" i="76"/>
  <c r="Q25" i="76"/>
  <c r="Q26" i="76"/>
  <c r="Q27" i="76"/>
  <c r="Q28" i="76"/>
  <c r="K34" i="76"/>
  <c r="P34" i="76"/>
  <c r="P34" i="77"/>
  <c r="K34" i="77"/>
  <c r="H38" i="76"/>
  <c r="R34" i="76"/>
  <c r="Q27" i="75"/>
  <c r="Q31" i="75"/>
  <c r="K34" i="75"/>
  <c r="P34" i="75"/>
  <c r="Q8" i="75"/>
  <c r="Q12" i="75"/>
  <c r="Q16" i="75"/>
  <c r="Q20" i="75"/>
  <c r="Q24" i="75"/>
  <c r="Q30" i="75"/>
  <c r="R34" i="75"/>
  <c r="H34" i="75"/>
  <c r="Q9" i="75"/>
  <c r="Q13" i="75"/>
  <c r="Q17" i="75"/>
  <c r="Q25" i="75"/>
  <c r="Q29" i="75"/>
  <c r="Q10" i="75"/>
  <c r="Q14" i="75"/>
  <c r="Q18" i="75"/>
  <c r="Q22" i="75"/>
  <c r="Q26" i="75"/>
  <c r="Q28" i="75"/>
  <c r="Q26" i="74"/>
  <c r="Q30" i="74"/>
  <c r="I34" i="74"/>
  <c r="Q25" i="74"/>
  <c r="Q29" i="74"/>
  <c r="R34" i="74"/>
  <c r="Q21" i="74"/>
  <c r="Q20" i="74"/>
  <c r="Q24" i="74"/>
  <c r="Q28" i="74"/>
  <c r="Q23" i="74"/>
  <c r="Q27" i="74"/>
  <c r="Q31" i="74"/>
  <c r="R34" i="73"/>
  <c r="Q19" i="72"/>
  <c r="Q25" i="72"/>
  <c r="Q12" i="72"/>
  <c r="Q15" i="72"/>
  <c r="Q17" i="72"/>
  <c r="R34" i="72"/>
  <c r="Q7" i="72"/>
  <c r="I34" i="72"/>
  <c r="Q23" i="72"/>
  <c r="K34" i="72"/>
  <c r="Q11" i="72"/>
  <c r="H34" i="72"/>
  <c r="P34" i="72"/>
  <c r="Q16" i="72"/>
  <c r="Q27" i="72"/>
  <c r="Q31" i="72"/>
  <c r="Q18" i="71"/>
  <c r="Q22" i="71"/>
  <c r="Q26" i="71"/>
  <c r="Q30" i="71"/>
  <c r="Q9" i="71"/>
  <c r="Q13" i="71"/>
  <c r="Q17" i="71"/>
  <c r="Q21" i="71"/>
  <c r="Q20" i="71"/>
  <c r="Q25" i="71"/>
  <c r="Q29" i="71"/>
  <c r="R34" i="71"/>
  <c r="I34" i="71"/>
  <c r="Q10" i="71"/>
  <c r="Q14" i="71"/>
  <c r="Q8" i="71"/>
  <c r="Q12" i="71"/>
  <c r="Q16" i="71"/>
  <c r="Q24" i="71"/>
  <c r="Q28" i="71"/>
  <c r="Q11" i="71"/>
  <c r="Q15" i="71"/>
  <c r="Q19" i="71"/>
  <c r="Q23" i="71"/>
  <c r="Q27" i="71"/>
  <c r="Q31" i="71"/>
  <c r="Q22" i="70"/>
  <c r="Q26" i="70"/>
  <c r="Q30" i="70"/>
  <c r="I34" i="70"/>
  <c r="Q21" i="70"/>
  <c r="Q20" i="70"/>
  <c r="Q25" i="70"/>
  <c r="Q29" i="70"/>
  <c r="R34" i="70"/>
  <c r="Q24" i="70"/>
  <c r="Q28" i="70"/>
  <c r="Q23" i="70"/>
  <c r="Q27" i="70"/>
  <c r="Q31" i="70"/>
  <c r="R34" i="69"/>
  <c r="R34" i="68"/>
  <c r="I23" i="66"/>
  <c r="J23" i="66" s="1"/>
  <c r="R31" i="67"/>
  <c r="P31" i="67"/>
  <c r="K31" i="67"/>
  <c r="I31" i="67"/>
  <c r="J31" i="67" s="1"/>
  <c r="H31" i="67"/>
  <c r="R30" i="67"/>
  <c r="P30" i="67"/>
  <c r="K30" i="67"/>
  <c r="I30" i="67"/>
  <c r="J30" i="67" s="1"/>
  <c r="H30" i="67"/>
  <c r="R29" i="67"/>
  <c r="P29" i="67"/>
  <c r="K29" i="67"/>
  <c r="I29" i="67"/>
  <c r="J29" i="67" s="1"/>
  <c r="H29" i="67"/>
  <c r="R28" i="67"/>
  <c r="P28" i="67"/>
  <c r="K28" i="67"/>
  <c r="I28" i="67"/>
  <c r="J28" i="67" s="1"/>
  <c r="H28" i="67"/>
  <c r="R27" i="67"/>
  <c r="P27" i="67"/>
  <c r="K27" i="67"/>
  <c r="I27" i="67"/>
  <c r="J27" i="67" s="1"/>
  <c r="H27" i="67"/>
  <c r="R26" i="67"/>
  <c r="S26" i="67" s="1"/>
  <c r="P26" i="67"/>
  <c r="K26" i="67"/>
  <c r="I26" i="67"/>
  <c r="J26" i="67" s="1"/>
  <c r="H26" i="67"/>
  <c r="R25" i="67"/>
  <c r="P25" i="67"/>
  <c r="K25" i="67"/>
  <c r="I25" i="67"/>
  <c r="J25" i="67" s="1"/>
  <c r="H25" i="67"/>
  <c r="R24" i="67"/>
  <c r="S24" i="67" s="1"/>
  <c r="P24" i="67"/>
  <c r="K24" i="67"/>
  <c r="I24" i="67"/>
  <c r="J24" i="67" s="1"/>
  <c r="H24" i="67"/>
  <c r="R23" i="67"/>
  <c r="P23" i="67"/>
  <c r="K23" i="67"/>
  <c r="I23" i="67"/>
  <c r="J23" i="67" s="1"/>
  <c r="H23" i="67"/>
  <c r="R22" i="67"/>
  <c r="P22" i="67"/>
  <c r="K22" i="67"/>
  <c r="I22" i="67"/>
  <c r="J22" i="67" s="1"/>
  <c r="H22" i="67"/>
  <c r="R21" i="67"/>
  <c r="P21" i="67"/>
  <c r="K21" i="67"/>
  <c r="I21" i="67"/>
  <c r="J21" i="67" s="1"/>
  <c r="H21" i="67"/>
  <c r="R20" i="67"/>
  <c r="S20" i="67" s="1"/>
  <c r="P20" i="67"/>
  <c r="K20" i="67"/>
  <c r="I20" i="67"/>
  <c r="H20" i="67"/>
  <c r="R19" i="67"/>
  <c r="P19" i="67"/>
  <c r="K19" i="67"/>
  <c r="I19" i="67"/>
  <c r="J19" i="67" s="1"/>
  <c r="H19" i="67"/>
  <c r="R18" i="67"/>
  <c r="P18" i="67"/>
  <c r="K18" i="67"/>
  <c r="I18" i="67"/>
  <c r="J18" i="67" s="1"/>
  <c r="H18" i="67"/>
  <c r="R17" i="67"/>
  <c r="P17" i="67"/>
  <c r="K17" i="67"/>
  <c r="I17" i="67"/>
  <c r="J17" i="67" s="1"/>
  <c r="H17" i="67"/>
  <c r="R16" i="67"/>
  <c r="P16" i="67"/>
  <c r="K16" i="67"/>
  <c r="I16" i="67"/>
  <c r="J16" i="67" s="1"/>
  <c r="H16" i="67"/>
  <c r="R15" i="67"/>
  <c r="P15" i="67"/>
  <c r="K15" i="67"/>
  <c r="I15" i="67"/>
  <c r="J15" i="67" s="1"/>
  <c r="H15" i="67"/>
  <c r="R14" i="67"/>
  <c r="P14" i="67"/>
  <c r="K14" i="67"/>
  <c r="I14" i="67"/>
  <c r="J14" i="67" s="1"/>
  <c r="H14" i="67"/>
  <c r="R13" i="67"/>
  <c r="S13" i="67" s="1"/>
  <c r="P13" i="67"/>
  <c r="K13" i="67"/>
  <c r="I13" i="67"/>
  <c r="J13" i="67" s="1"/>
  <c r="H13" i="67"/>
  <c r="R12" i="67"/>
  <c r="P12" i="67"/>
  <c r="K12" i="67"/>
  <c r="I12" i="67"/>
  <c r="J12" i="67" s="1"/>
  <c r="H12" i="67"/>
  <c r="R11" i="67"/>
  <c r="P11" i="67"/>
  <c r="K11" i="67"/>
  <c r="I11" i="67"/>
  <c r="J11" i="67" s="1"/>
  <c r="H11" i="67"/>
  <c r="R10" i="67"/>
  <c r="P10" i="67"/>
  <c r="K10" i="67"/>
  <c r="I10" i="67"/>
  <c r="J10" i="67" s="1"/>
  <c r="H10" i="67"/>
  <c r="R9" i="67"/>
  <c r="P9" i="67"/>
  <c r="K9" i="67"/>
  <c r="I9" i="67"/>
  <c r="J9" i="67" s="1"/>
  <c r="H9" i="67"/>
  <c r="R8" i="67"/>
  <c r="S8" i="67" s="1"/>
  <c r="P8" i="67"/>
  <c r="K8" i="67"/>
  <c r="I8" i="67"/>
  <c r="J8" i="67" s="1"/>
  <c r="H8" i="67"/>
  <c r="R7" i="67"/>
  <c r="P7" i="67"/>
  <c r="K7" i="67"/>
  <c r="I7" i="67"/>
  <c r="J7" i="67" s="1"/>
  <c r="H7" i="67"/>
  <c r="R6" i="67"/>
  <c r="P6" i="67"/>
  <c r="K6" i="67"/>
  <c r="I6" i="67"/>
  <c r="H6" i="67"/>
  <c r="C31" i="67"/>
  <c r="C30" i="67"/>
  <c r="C29" i="67"/>
  <c r="C28" i="67"/>
  <c r="C27" i="67"/>
  <c r="C26" i="67"/>
  <c r="C25" i="67"/>
  <c r="C24" i="67"/>
  <c r="C23" i="67"/>
  <c r="C22" i="67"/>
  <c r="C21" i="67"/>
  <c r="C20" i="67"/>
  <c r="C19" i="67"/>
  <c r="C18" i="67"/>
  <c r="C17" i="67"/>
  <c r="C16" i="67"/>
  <c r="C15" i="67"/>
  <c r="C14" i="67"/>
  <c r="C13" i="67"/>
  <c r="C12" i="67"/>
  <c r="C11" i="67"/>
  <c r="C10" i="67"/>
  <c r="C9" i="67"/>
  <c r="C8" i="67"/>
  <c r="C7" i="67"/>
  <c r="C6" i="67"/>
  <c r="C3" i="67"/>
  <c r="R31" i="66"/>
  <c r="P31" i="66"/>
  <c r="K31" i="66"/>
  <c r="I31" i="66"/>
  <c r="J31" i="66" s="1"/>
  <c r="H31" i="66"/>
  <c r="R30" i="66"/>
  <c r="P30" i="66"/>
  <c r="K30" i="66"/>
  <c r="I30" i="66"/>
  <c r="J30" i="66" s="1"/>
  <c r="H30" i="66"/>
  <c r="R29" i="66"/>
  <c r="P29" i="66"/>
  <c r="K29" i="66"/>
  <c r="I29" i="66"/>
  <c r="J29" i="66" s="1"/>
  <c r="H29" i="66"/>
  <c r="R28" i="66"/>
  <c r="P28" i="66"/>
  <c r="K28" i="66"/>
  <c r="I28" i="66"/>
  <c r="J28" i="66" s="1"/>
  <c r="H28" i="66"/>
  <c r="R27" i="66"/>
  <c r="P27" i="66"/>
  <c r="K27" i="66"/>
  <c r="I27" i="66"/>
  <c r="J27" i="66" s="1"/>
  <c r="H27" i="66"/>
  <c r="R26" i="66"/>
  <c r="P26" i="66"/>
  <c r="K26" i="66"/>
  <c r="I26" i="66"/>
  <c r="J26" i="66" s="1"/>
  <c r="H26" i="66"/>
  <c r="R25" i="66"/>
  <c r="P25" i="66"/>
  <c r="K25" i="66"/>
  <c r="I25" i="66"/>
  <c r="J25" i="66" s="1"/>
  <c r="H25" i="66"/>
  <c r="R24" i="66"/>
  <c r="P24" i="66"/>
  <c r="K24" i="66"/>
  <c r="I24" i="66"/>
  <c r="J24" i="66" s="1"/>
  <c r="R23" i="66"/>
  <c r="P23" i="66"/>
  <c r="K23" i="66"/>
  <c r="H23" i="66"/>
  <c r="R22" i="66"/>
  <c r="P22" i="66"/>
  <c r="K22" i="66"/>
  <c r="I22" i="66"/>
  <c r="J22" i="66" s="1"/>
  <c r="R21" i="66"/>
  <c r="S21" i="66" s="1"/>
  <c r="P21" i="66"/>
  <c r="K21" i="66"/>
  <c r="I21" i="66"/>
  <c r="H21" i="66"/>
  <c r="R20" i="66"/>
  <c r="S20" i="66" s="1"/>
  <c r="P20" i="66"/>
  <c r="K20" i="66"/>
  <c r="I20" i="66"/>
  <c r="H20" i="66"/>
  <c r="R19" i="66"/>
  <c r="P19" i="66"/>
  <c r="K19" i="66"/>
  <c r="I19" i="66"/>
  <c r="J19" i="66" s="1"/>
  <c r="H19" i="66"/>
  <c r="R18" i="66"/>
  <c r="P18" i="66"/>
  <c r="K18" i="66"/>
  <c r="I18" i="66"/>
  <c r="J18" i="66" s="1"/>
  <c r="H18" i="66"/>
  <c r="R17" i="66"/>
  <c r="P17" i="66"/>
  <c r="K17" i="66"/>
  <c r="I17" i="66"/>
  <c r="J17" i="66" s="1"/>
  <c r="H17" i="66"/>
  <c r="R16" i="66"/>
  <c r="P16" i="66"/>
  <c r="K16" i="66"/>
  <c r="I16" i="66"/>
  <c r="J16" i="66" s="1"/>
  <c r="H16" i="66"/>
  <c r="R15" i="66"/>
  <c r="P15" i="66"/>
  <c r="K15" i="66"/>
  <c r="I15" i="66"/>
  <c r="J15" i="66" s="1"/>
  <c r="H15" i="66"/>
  <c r="R14" i="66"/>
  <c r="P14" i="66"/>
  <c r="K14" i="66"/>
  <c r="I14" i="66"/>
  <c r="J14" i="66" s="1"/>
  <c r="H14" i="66"/>
  <c r="R13" i="66"/>
  <c r="P13" i="66"/>
  <c r="K13" i="66"/>
  <c r="I13" i="66"/>
  <c r="J13" i="66" s="1"/>
  <c r="H13" i="66"/>
  <c r="R12" i="66"/>
  <c r="P12" i="66"/>
  <c r="K12" i="66"/>
  <c r="I12" i="66"/>
  <c r="J12" i="66" s="1"/>
  <c r="H12" i="66"/>
  <c r="R11" i="66"/>
  <c r="P11" i="66"/>
  <c r="K11" i="66"/>
  <c r="I11" i="66"/>
  <c r="J11" i="66" s="1"/>
  <c r="H11" i="66"/>
  <c r="R10" i="66"/>
  <c r="P10" i="66"/>
  <c r="K10" i="66"/>
  <c r="I10" i="66"/>
  <c r="J10" i="66" s="1"/>
  <c r="H10" i="66"/>
  <c r="R9" i="66"/>
  <c r="P9" i="66"/>
  <c r="K9" i="66"/>
  <c r="I9" i="66"/>
  <c r="J9" i="66" s="1"/>
  <c r="H9" i="66"/>
  <c r="R8" i="66"/>
  <c r="P8" i="66"/>
  <c r="K8" i="66"/>
  <c r="I8" i="66"/>
  <c r="J8" i="66" s="1"/>
  <c r="H8" i="66"/>
  <c r="R7" i="66"/>
  <c r="P7" i="66"/>
  <c r="K7" i="66"/>
  <c r="I7" i="66"/>
  <c r="J7" i="66" s="1"/>
  <c r="H7" i="66"/>
  <c r="R6" i="66"/>
  <c r="P6" i="66"/>
  <c r="K6" i="66"/>
  <c r="I6" i="66"/>
  <c r="J6" i="66" s="1"/>
  <c r="H6" i="66"/>
  <c r="C31" i="66"/>
  <c r="C30" i="66"/>
  <c r="C29" i="66"/>
  <c r="C28" i="66"/>
  <c r="C27" i="66"/>
  <c r="C26" i="66"/>
  <c r="C25" i="66"/>
  <c r="C24" i="66"/>
  <c r="C23" i="66"/>
  <c r="C22" i="66"/>
  <c r="C21" i="66"/>
  <c r="C20" i="66"/>
  <c r="C19" i="66"/>
  <c r="C18" i="66"/>
  <c r="C17" i="66"/>
  <c r="C16" i="66"/>
  <c r="C15" i="66"/>
  <c r="C14" i="66"/>
  <c r="C13" i="66"/>
  <c r="C12" i="66"/>
  <c r="C11" i="66"/>
  <c r="C10" i="66"/>
  <c r="C9" i="66"/>
  <c r="C8" i="66"/>
  <c r="C7" i="66"/>
  <c r="C6" i="66"/>
  <c r="C3" i="66"/>
  <c r="O9" i="66" l="1"/>
  <c r="S9" i="66"/>
  <c r="O13" i="66"/>
  <c r="S13" i="66"/>
  <c r="O17" i="66"/>
  <c r="S17" i="66"/>
  <c r="O22" i="66"/>
  <c r="S22" i="66"/>
  <c r="O23" i="66"/>
  <c r="S23" i="66"/>
  <c r="O24" i="66"/>
  <c r="S24" i="66"/>
  <c r="O28" i="66"/>
  <c r="S28" i="66"/>
  <c r="O7" i="67"/>
  <c r="S7" i="67"/>
  <c r="O11" i="67"/>
  <c r="S11" i="67"/>
  <c r="O15" i="67"/>
  <c r="S15" i="67"/>
  <c r="O19" i="67"/>
  <c r="S19" i="67"/>
  <c r="O23" i="67"/>
  <c r="S23" i="67"/>
  <c r="O27" i="67"/>
  <c r="S27" i="67"/>
  <c r="O31" i="67"/>
  <c r="S31" i="67"/>
  <c r="O6" i="66"/>
  <c r="S6" i="66"/>
  <c r="O10" i="66"/>
  <c r="S10" i="66"/>
  <c r="O14" i="66"/>
  <c r="S14" i="66"/>
  <c r="O18" i="66"/>
  <c r="S18" i="66"/>
  <c r="O25" i="66"/>
  <c r="S25" i="66"/>
  <c r="O29" i="66"/>
  <c r="S29" i="66"/>
  <c r="O12" i="67"/>
  <c r="S12" i="67"/>
  <c r="O16" i="67"/>
  <c r="S16" i="67"/>
  <c r="O28" i="67"/>
  <c r="S28" i="67"/>
  <c r="O7" i="66"/>
  <c r="S7" i="66"/>
  <c r="O11" i="66"/>
  <c r="S11" i="66"/>
  <c r="O15" i="66"/>
  <c r="S15" i="66"/>
  <c r="O19" i="66"/>
  <c r="S19" i="66"/>
  <c r="O26" i="66"/>
  <c r="S26" i="66"/>
  <c r="O30" i="66"/>
  <c r="S30" i="66"/>
  <c r="O9" i="67"/>
  <c r="S9" i="67"/>
  <c r="O17" i="67"/>
  <c r="S17" i="67"/>
  <c r="O21" i="67"/>
  <c r="S21" i="67"/>
  <c r="O25" i="67"/>
  <c r="S25" i="67"/>
  <c r="O29" i="67"/>
  <c r="S29" i="67"/>
  <c r="O8" i="66"/>
  <c r="S8" i="66"/>
  <c r="O12" i="66"/>
  <c r="S12" i="66"/>
  <c r="O16" i="66"/>
  <c r="S16" i="66"/>
  <c r="O27" i="66"/>
  <c r="S27" i="66"/>
  <c r="O31" i="66"/>
  <c r="S31" i="66"/>
  <c r="O6" i="67"/>
  <c r="S6" i="67"/>
  <c r="O10" i="67"/>
  <c r="S10" i="67"/>
  <c r="O14" i="67"/>
  <c r="S14" i="67"/>
  <c r="O18" i="67"/>
  <c r="S18" i="67"/>
  <c r="O22" i="67"/>
  <c r="S22" i="67"/>
  <c r="O30" i="67"/>
  <c r="S30" i="67"/>
  <c r="L23" i="67"/>
  <c r="L26" i="67"/>
  <c r="L28" i="67"/>
  <c r="L30" i="67"/>
  <c r="L6" i="67"/>
  <c r="L8" i="67"/>
  <c r="L10" i="67"/>
  <c r="L12" i="67"/>
  <c r="L14" i="67"/>
  <c r="L16" i="67"/>
  <c r="L18" i="67"/>
  <c r="L20" i="67"/>
  <c r="L6" i="68"/>
  <c r="L8" i="68"/>
  <c r="L10" i="68"/>
  <c r="L12" i="68"/>
  <c r="L14" i="68"/>
  <c r="L16" i="68"/>
  <c r="L18" i="68"/>
  <c r="L20" i="68"/>
  <c r="L22" i="68"/>
  <c r="L24" i="68"/>
  <c r="L26" i="68"/>
  <c r="L28" i="68"/>
  <c r="L30" i="68"/>
  <c r="L7" i="67"/>
  <c r="L9" i="67"/>
  <c r="L11" i="67"/>
  <c r="L13" i="67"/>
  <c r="L15" i="67"/>
  <c r="L17" i="67"/>
  <c r="L19" i="67"/>
  <c r="L21" i="67"/>
  <c r="L25" i="67"/>
  <c r="L27" i="67"/>
  <c r="L29" i="67"/>
  <c r="L31" i="67"/>
  <c r="L7" i="68"/>
  <c r="L9" i="68"/>
  <c r="L11" i="68"/>
  <c r="L13" i="68"/>
  <c r="L15" i="68"/>
  <c r="L17" i="68"/>
  <c r="L19" i="68"/>
  <c r="L21" i="68"/>
  <c r="L23" i="68"/>
  <c r="L25" i="68"/>
  <c r="L27" i="68"/>
  <c r="L29" i="68"/>
  <c r="L31" i="68"/>
  <c r="O37" i="76"/>
  <c r="H40" i="76"/>
  <c r="J34" i="74"/>
  <c r="Q34" i="76"/>
  <c r="Q34" i="69"/>
  <c r="O34" i="77"/>
  <c r="M37" i="76"/>
  <c r="I37" i="72"/>
  <c r="H37" i="74"/>
  <c r="H40" i="74" s="1"/>
  <c r="I37" i="76"/>
  <c r="M37" i="70"/>
  <c r="H38" i="71"/>
  <c r="I38" i="69"/>
  <c r="I38" i="75"/>
  <c r="M37" i="71"/>
  <c r="J34" i="72"/>
  <c r="J34" i="76"/>
  <c r="H38" i="77"/>
  <c r="Q34" i="68"/>
  <c r="Q34" i="72"/>
  <c r="H37" i="72"/>
  <c r="M37" i="69"/>
  <c r="O37" i="69"/>
  <c r="J34" i="70"/>
  <c r="H38" i="70"/>
  <c r="N34" i="77"/>
  <c r="G37" i="77"/>
  <c r="G38" i="77"/>
  <c r="O34" i="72"/>
  <c r="H38" i="72"/>
  <c r="I38" i="76"/>
  <c r="I37" i="69"/>
  <c r="O34" i="69"/>
  <c r="H38" i="69"/>
  <c r="J34" i="69"/>
  <c r="H37" i="69"/>
  <c r="Q34" i="73"/>
  <c r="Q34" i="74"/>
  <c r="O34" i="76"/>
  <c r="Q34" i="70"/>
  <c r="Q34" i="71"/>
  <c r="J34" i="71"/>
  <c r="O34" i="75"/>
  <c r="O37" i="75"/>
  <c r="I37" i="77"/>
  <c r="H37" i="77"/>
  <c r="J34" i="77"/>
  <c r="I38" i="77"/>
  <c r="Q34" i="75"/>
  <c r="I37" i="75"/>
  <c r="M37" i="75"/>
  <c r="H38" i="75"/>
  <c r="H37" i="75"/>
  <c r="J34" i="75"/>
  <c r="M37" i="74"/>
  <c r="O37" i="74"/>
  <c r="I38" i="74"/>
  <c r="O34" i="74"/>
  <c r="I37" i="74"/>
  <c r="O34" i="73"/>
  <c r="I37" i="73"/>
  <c r="H38" i="73"/>
  <c r="H37" i="73"/>
  <c r="J34" i="73"/>
  <c r="O37" i="72"/>
  <c r="I38" i="72"/>
  <c r="M37" i="72"/>
  <c r="O37" i="71"/>
  <c r="H37" i="71"/>
  <c r="I38" i="71"/>
  <c r="I37" i="71"/>
  <c r="O34" i="71"/>
  <c r="I38" i="70"/>
  <c r="I37" i="70"/>
  <c r="O34" i="70"/>
  <c r="O37" i="70"/>
  <c r="H37" i="70"/>
  <c r="M37" i="68"/>
  <c r="I38" i="68"/>
  <c r="O34" i="68"/>
  <c r="I37" i="68"/>
  <c r="H37" i="68"/>
  <c r="H38" i="68"/>
  <c r="J34" i="68"/>
  <c r="O37" i="68"/>
  <c r="Q6" i="66"/>
  <c r="Q8" i="66"/>
  <c r="P34" i="66"/>
  <c r="O21" i="66"/>
  <c r="O20" i="66"/>
  <c r="Q27" i="67"/>
  <c r="Q29" i="67"/>
  <c r="Q18" i="67"/>
  <c r="Q31" i="67"/>
  <c r="Q21" i="67"/>
  <c r="Q16" i="67"/>
  <c r="Q30" i="67"/>
  <c r="Q12" i="67"/>
  <c r="Q22" i="67"/>
  <c r="Q11" i="67"/>
  <c r="Q15" i="67"/>
  <c r="Q25" i="67"/>
  <c r="Q6" i="67"/>
  <c r="Q23" i="67"/>
  <c r="Q19" i="67"/>
  <c r="O13" i="67"/>
  <c r="Q13" i="67"/>
  <c r="O8" i="67"/>
  <c r="Q8" i="67"/>
  <c r="O26" i="67"/>
  <c r="Q26" i="67"/>
  <c r="J6" i="67"/>
  <c r="I34" i="67"/>
  <c r="H34" i="67"/>
  <c r="O24" i="67"/>
  <c r="Q24" i="67"/>
  <c r="Q28" i="67"/>
  <c r="Q7" i="67"/>
  <c r="Q17" i="67"/>
  <c r="P34" i="67"/>
  <c r="K34" i="67"/>
  <c r="Q9" i="67"/>
  <c r="Q10" i="67"/>
  <c r="Q14" i="67"/>
  <c r="J20" i="67"/>
  <c r="O20" i="67"/>
  <c r="R34" i="67"/>
  <c r="Q20" i="67"/>
  <c r="J20" i="66"/>
  <c r="J21" i="66"/>
  <c r="Q7" i="66"/>
  <c r="R34" i="66"/>
  <c r="Q18" i="66"/>
  <c r="Q10" i="66"/>
  <c r="Q13" i="66"/>
  <c r="Q21" i="66"/>
  <c r="Q20" i="66"/>
  <c r="Q9" i="66"/>
  <c r="Q24" i="66"/>
  <c r="Q31" i="66"/>
  <c r="Q11" i="66"/>
  <c r="Q14" i="66"/>
  <c r="Q22" i="66"/>
  <c r="Q26" i="66"/>
  <c r="Q29" i="66"/>
  <c r="I34" i="66"/>
  <c r="Q17" i="66"/>
  <c r="Q25" i="66"/>
  <c r="Q28" i="66"/>
  <c r="Q16" i="66"/>
  <c r="K34" i="66"/>
  <c r="Q12" i="66"/>
  <c r="Q15" i="66"/>
  <c r="Q19" i="66"/>
  <c r="Q23" i="66"/>
  <c r="Q27" i="66"/>
  <c r="Q30" i="66"/>
  <c r="H38" i="67" l="1"/>
  <c r="H37" i="67"/>
  <c r="I38" i="67"/>
  <c r="I37" i="67"/>
  <c r="S34" i="67"/>
  <c r="S34" i="66"/>
  <c r="L34" i="68"/>
  <c r="I40" i="72"/>
  <c r="I40" i="76"/>
  <c r="I40" i="70"/>
  <c r="H40" i="77"/>
  <c r="H40" i="72"/>
  <c r="H40" i="70"/>
  <c r="H40" i="71"/>
  <c r="I40" i="75"/>
  <c r="G40" i="77"/>
  <c r="M44" i="77" s="1"/>
  <c r="I40" i="68"/>
  <c r="I40" i="69"/>
  <c r="I40" i="71"/>
  <c r="H40" i="75"/>
  <c r="I40" i="74"/>
  <c r="H40" i="69"/>
  <c r="I40" i="77"/>
  <c r="I40" i="73"/>
  <c r="H40" i="73"/>
  <c r="H40" i="68"/>
  <c r="J34" i="66"/>
  <c r="J34" i="67"/>
  <c r="Q34" i="67"/>
  <c r="O37" i="67"/>
  <c r="O34" i="67"/>
  <c r="M37" i="67"/>
  <c r="M37" i="66"/>
  <c r="Q34" i="66"/>
  <c r="H37" i="66"/>
  <c r="O37" i="66"/>
  <c r="I38" i="66"/>
  <c r="O34" i="66"/>
  <c r="I37" i="66"/>
  <c r="H40" i="67" l="1"/>
  <c r="I40" i="67"/>
  <c r="I40" i="66"/>
  <c r="R31" i="52" l="1"/>
  <c r="S31" i="52" s="1"/>
  <c r="S31" i="77" s="1"/>
  <c r="P31" i="52"/>
  <c r="M31" i="52"/>
  <c r="K31" i="52"/>
  <c r="I31" i="52"/>
  <c r="H31" i="52"/>
  <c r="R30" i="52"/>
  <c r="S30" i="52" s="1"/>
  <c r="S30" i="77" s="1"/>
  <c r="P30" i="52"/>
  <c r="M30" i="52"/>
  <c r="K30" i="52"/>
  <c r="I30" i="52"/>
  <c r="H30" i="52"/>
  <c r="R29" i="52"/>
  <c r="S29" i="52" s="1"/>
  <c r="S29" i="77" s="1"/>
  <c r="P29" i="52"/>
  <c r="M29" i="52"/>
  <c r="K29" i="52"/>
  <c r="I29" i="52"/>
  <c r="H29" i="52"/>
  <c r="R28" i="52"/>
  <c r="S28" i="52" s="1"/>
  <c r="S28" i="77" s="1"/>
  <c r="P28" i="52"/>
  <c r="M28" i="52"/>
  <c r="K28" i="52"/>
  <c r="I28" i="52"/>
  <c r="H28" i="52"/>
  <c r="R27" i="52"/>
  <c r="S27" i="52" s="1"/>
  <c r="S27" i="77" s="1"/>
  <c r="P27" i="52"/>
  <c r="M27" i="52"/>
  <c r="K27" i="52"/>
  <c r="I27" i="52"/>
  <c r="H27" i="52"/>
  <c r="R26" i="52"/>
  <c r="S26" i="52" s="1"/>
  <c r="S26" i="77" s="1"/>
  <c r="P26" i="52"/>
  <c r="M26" i="52"/>
  <c r="K26" i="52"/>
  <c r="I26" i="52"/>
  <c r="H26" i="52"/>
  <c r="R25" i="52"/>
  <c r="S25" i="52" s="1"/>
  <c r="S25" i="77" s="1"/>
  <c r="P25" i="52"/>
  <c r="M25" i="52"/>
  <c r="K25" i="52"/>
  <c r="I25" i="52"/>
  <c r="H25" i="52"/>
  <c r="R24" i="52"/>
  <c r="S24" i="52" s="1"/>
  <c r="S24" i="77" s="1"/>
  <c r="P24" i="52"/>
  <c r="M24" i="52"/>
  <c r="K24" i="52"/>
  <c r="I24" i="52"/>
  <c r="H24" i="52"/>
  <c r="R23" i="52"/>
  <c r="S23" i="52" s="1"/>
  <c r="S23" i="77" s="1"/>
  <c r="P23" i="52"/>
  <c r="M23" i="52"/>
  <c r="K23" i="52"/>
  <c r="I23" i="52"/>
  <c r="H23" i="52"/>
  <c r="R22" i="52"/>
  <c r="S22" i="52" s="1"/>
  <c r="S22" i="77" s="1"/>
  <c r="P22" i="52"/>
  <c r="M22" i="52"/>
  <c r="K22" i="52"/>
  <c r="I22" i="52"/>
  <c r="H22" i="52"/>
  <c r="R21" i="52"/>
  <c r="S21" i="52" s="1"/>
  <c r="S21" i="77" s="1"/>
  <c r="P21" i="52"/>
  <c r="M21" i="52"/>
  <c r="K21" i="52"/>
  <c r="I21" i="52"/>
  <c r="H21" i="52"/>
  <c r="R20" i="52"/>
  <c r="P20" i="52"/>
  <c r="M20" i="52"/>
  <c r="K20" i="52"/>
  <c r="I20" i="52"/>
  <c r="I20" i="77" s="1"/>
  <c r="H20" i="52"/>
  <c r="R19" i="52"/>
  <c r="S19" i="52" s="1"/>
  <c r="S19" i="77" s="1"/>
  <c r="P19" i="52"/>
  <c r="M19" i="52"/>
  <c r="K19" i="52"/>
  <c r="I19" i="52"/>
  <c r="H19" i="52"/>
  <c r="R18" i="52"/>
  <c r="S18" i="52" s="1"/>
  <c r="S18" i="77" s="1"/>
  <c r="P18" i="52"/>
  <c r="M18" i="52"/>
  <c r="K18" i="52"/>
  <c r="I18" i="52"/>
  <c r="H18" i="52"/>
  <c r="R17" i="52"/>
  <c r="S17" i="52" s="1"/>
  <c r="S17" i="77" s="1"/>
  <c r="P17" i="52"/>
  <c r="M17" i="52"/>
  <c r="K17" i="52"/>
  <c r="I17" i="52"/>
  <c r="H17" i="52"/>
  <c r="R16" i="52"/>
  <c r="S16" i="52" s="1"/>
  <c r="S16" i="77" s="1"/>
  <c r="P16" i="52"/>
  <c r="M16" i="52"/>
  <c r="K16" i="52"/>
  <c r="I16" i="52"/>
  <c r="H16" i="52"/>
  <c r="R15" i="52"/>
  <c r="S15" i="52" s="1"/>
  <c r="S15" i="77" s="1"/>
  <c r="P15" i="52"/>
  <c r="M15" i="52"/>
  <c r="K15" i="52"/>
  <c r="I15" i="52"/>
  <c r="H15" i="52"/>
  <c r="R14" i="52"/>
  <c r="S14" i="52" s="1"/>
  <c r="S14" i="77" s="1"/>
  <c r="P14" i="52"/>
  <c r="M14" i="52"/>
  <c r="K14" i="52"/>
  <c r="I14" i="52"/>
  <c r="H14" i="52"/>
  <c r="R13" i="52"/>
  <c r="S13" i="52" s="1"/>
  <c r="S13" i="77" s="1"/>
  <c r="P13" i="52"/>
  <c r="M13" i="52"/>
  <c r="K13" i="52"/>
  <c r="I13" i="52"/>
  <c r="H13" i="52"/>
  <c r="R12" i="52"/>
  <c r="S12" i="52" s="1"/>
  <c r="S12" i="77" s="1"/>
  <c r="P12" i="52"/>
  <c r="M12" i="52"/>
  <c r="K12" i="52"/>
  <c r="I12" i="52"/>
  <c r="H12" i="52"/>
  <c r="R11" i="52"/>
  <c r="S11" i="52" s="1"/>
  <c r="S11" i="77" s="1"/>
  <c r="P11" i="52"/>
  <c r="M11" i="52"/>
  <c r="K11" i="52"/>
  <c r="I11" i="52"/>
  <c r="H11" i="52"/>
  <c r="R10" i="52"/>
  <c r="S10" i="52" s="1"/>
  <c r="S10" i="77" s="1"/>
  <c r="P10" i="52"/>
  <c r="M10" i="52"/>
  <c r="K10" i="52"/>
  <c r="I10" i="52"/>
  <c r="H10" i="52"/>
  <c r="R9" i="52"/>
  <c r="S9" i="52" s="1"/>
  <c r="P9" i="52"/>
  <c r="M9" i="52"/>
  <c r="K9" i="52"/>
  <c r="I9" i="52"/>
  <c r="H9" i="52"/>
  <c r="R8" i="52"/>
  <c r="S8" i="52" s="1"/>
  <c r="S8" i="77" s="1"/>
  <c r="P8" i="52"/>
  <c r="M8" i="52"/>
  <c r="K8" i="52"/>
  <c r="I8" i="52"/>
  <c r="H8" i="52"/>
  <c r="R7" i="52"/>
  <c r="S7" i="52" s="1"/>
  <c r="S7" i="77" s="1"/>
  <c r="P7" i="52"/>
  <c r="M7" i="52"/>
  <c r="K7" i="52"/>
  <c r="I7" i="52"/>
  <c r="H7" i="52"/>
  <c r="R6" i="52"/>
  <c r="S6" i="52" s="1"/>
  <c r="S6" i="77" s="1"/>
  <c r="P6" i="52"/>
  <c r="M6" i="52"/>
  <c r="K6" i="52"/>
  <c r="I6" i="52"/>
  <c r="H6" i="52"/>
  <c r="R20" i="77" l="1"/>
  <c r="S20" i="52"/>
  <c r="S20" i="77" s="1"/>
  <c r="S9" i="77"/>
  <c r="J6" i="52"/>
  <c r="I6" i="77"/>
  <c r="O6" i="52"/>
  <c r="R6" i="77"/>
  <c r="N7" i="52"/>
  <c r="J8" i="52"/>
  <c r="I8" i="77"/>
  <c r="O8" i="52"/>
  <c r="R8" i="77"/>
  <c r="N9" i="52"/>
  <c r="J10" i="52"/>
  <c r="I10" i="77"/>
  <c r="O10" i="52"/>
  <c r="R10" i="77"/>
  <c r="N11" i="52"/>
  <c r="J12" i="52"/>
  <c r="I12" i="77"/>
  <c r="O12" i="52"/>
  <c r="R12" i="77"/>
  <c r="N13" i="52"/>
  <c r="J14" i="52"/>
  <c r="I14" i="77"/>
  <c r="O14" i="52"/>
  <c r="R14" i="77"/>
  <c r="N15" i="52"/>
  <c r="J16" i="52"/>
  <c r="I16" i="77"/>
  <c r="O16" i="52"/>
  <c r="R16" i="77"/>
  <c r="N17" i="52"/>
  <c r="J18" i="52"/>
  <c r="I18" i="77"/>
  <c r="O18" i="52"/>
  <c r="R18" i="77"/>
  <c r="N19" i="52"/>
  <c r="N21" i="52"/>
  <c r="J22" i="52"/>
  <c r="I22" i="77"/>
  <c r="O22" i="52"/>
  <c r="R22" i="77"/>
  <c r="N23" i="52"/>
  <c r="J24" i="52"/>
  <c r="I24" i="77"/>
  <c r="O24" i="52"/>
  <c r="R24" i="77"/>
  <c r="N25" i="52"/>
  <c r="J26" i="52"/>
  <c r="I26" i="77"/>
  <c r="O26" i="52"/>
  <c r="R26" i="77"/>
  <c r="N27" i="52"/>
  <c r="J28" i="52"/>
  <c r="I28" i="77"/>
  <c r="O28" i="52"/>
  <c r="R28" i="77"/>
  <c r="N29" i="52"/>
  <c r="J30" i="52"/>
  <c r="I30" i="77"/>
  <c r="O30" i="52"/>
  <c r="R30" i="77"/>
  <c r="N31" i="52"/>
  <c r="H7" i="77"/>
  <c r="L7" i="66"/>
  <c r="H9" i="77"/>
  <c r="L9" i="66"/>
  <c r="H11" i="77"/>
  <c r="L11" i="66"/>
  <c r="H13" i="77"/>
  <c r="L13" i="66"/>
  <c r="H15" i="77"/>
  <c r="L15" i="66"/>
  <c r="H17" i="77"/>
  <c r="L17" i="66"/>
  <c r="H19" i="77"/>
  <c r="L19" i="66"/>
  <c r="H21" i="77"/>
  <c r="L21" i="66"/>
  <c r="H23" i="77"/>
  <c r="L23" i="66"/>
  <c r="H25" i="77"/>
  <c r="L25" i="66"/>
  <c r="H27" i="77"/>
  <c r="L27" i="66"/>
  <c r="H29" i="77"/>
  <c r="L29" i="66"/>
  <c r="H31" i="77"/>
  <c r="L31" i="66"/>
  <c r="N6" i="52"/>
  <c r="J7" i="52"/>
  <c r="I7" i="77"/>
  <c r="O7" i="52"/>
  <c r="R7" i="77"/>
  <c r="N8" i="52"/>
  <c r="J9" i="52"/>
  <c r="I9" i="77"/>
  <c r="O9" i="52"/>
  <c r="R9" i="77"/>
  <c r="N10" i="52"/>
  <c r="J11" i="52"/>
  <c r="I11" i="77"/>
  <c r="O11" i="52"/>
  <c r="R11" i="77"/>
  <c r="N12" i="52"/>
  <c r="J13" i="52"/>
  <c r="I13" i="77"/>
  <c r="O13" i="52"/>
  <c r="R13" i="77"/>
  <c r="N14" i="52"/>
  <c r="J15" i="52"/>
  <c r="I15" i="77"/>
  <c r="O15" i="52"/>
  <c r="R15" i="77"/>
  <c r="N16" i="52"/>
  <c r="J17" i="52"/>
  <c r="I17" i="77"/>
  <c r="O17" i="52"/>
  <c r="R17" i="77"/>
  <c r="N18" i="52"/>
  <c r="J19" i="52"/>
  <c r="I19" i="77"/>
  <c r="O19" i="52"/>
  <c r="R19" i="77"/>
  <c r="J21" i="52"/>
  <c r="I21" i="77"/>
  <c r="O21" i="52"/>
  <c r="R21" i="77"/>
  <c r="N22" i="52"/>
  <c r="J23" i="52"/>
  <c r="I23" i="77"/>
  <c r="O23" i="52"/>
  <c r="R23" i="77"/>
  <c r="N24" i="52"/>
  <c r="J25" i="52"/>
  <c r="I25" i="77"/>
  <c r="O25" i="52"/>
  <c r="R25" i="77"/>
  <c r="N26" i="52"/>
  <c r="J27" i="52"/>
  <c r="I27" i="77"/>
  <c r="O27" i="52"/>
  <c r="R27" i="77"/>
  <c r="N28" i="52"/>
  <c r="J29" i="52"/>
  <c r="I29" i="77"/>
  <c r="O29" i="52"/>
  <c r="R29" i="77"/>
  <c r="N30" i="52"/>
  <c r="J31" i="52"/>
  <c r="I31" i="77"/>
  <c r="O31" i="52"/>
  <c r="R31" i="77"/>
  <c r="H6" i="77"/>
  <c r="L6" i="66"/>
  <c r="H8" i="77"/>
  <c r="L8" i="66"/>
  <c r="H10" i="77"/>
  <c r="L10" i="66"/>
  <c r="H12" i="77"/>
  <c r="L12" i="66"/>
  <c r="H14" i="77"/>
  <c r="L14" i="66"/>
  <c r="H16" i="77"/>
  <c r="L16" i="66"/>
  <c r="H18" i="77"/>
  <c r="L18" i="66"/>
  <c r="H20" i="77"/>
  <c r="L20" i="66"/>
  <c r="L22" i="66"/>
  <c r="L24" i="66"/>
  <c r="H26" i="77"/>
  <c r="L26" i="66"/>
  <c r="H28" i="77"/>
  <c r="L28" i="66"/>
  <c r="H30" i="77"/>
  <c r="L30" i="66"/>
  <c r="O20" i="52"/>
  <c r="Q20" i="52"/>
  <c r="Q20" i="77" s="1"/>
  <c r="N20" i="52"/>
  <c r="J20" i="52"/>
  <c r="S34" i="77" l="1"/>
  <c r="P47" i="76" s="1"/>
  <c r="S34" i="52"/>
  <c r="G38" i="52"/>
  <c r="G37" i="52"/>
  <c r="R34" i="77"/>
  <c r="L34" i="66"/>
  <c r="I34" i="77"/>
  <c r="K37" i="65"/>
  <c r="C34" i="65"/>
  <c r="B34" i="65"/>
  <c r="C33" i="65"/>
  <c r="B33" i="65"/>
  <c r="C32" i="65"/>
  <c r="B32" i="65"/>
  <c r="C31" i="65"/>
  <c r="B31" i="65"/>
  <c r="C30" i="65"/>
  <c r="P43" i="65" s="1"/>
  <c r="B30" i="65"/>
  <c r="C29" i="65"/>
  <c r="P42" i="65" s="1"/>
  <c r="B29" i="65"/>
  <c r="C28" i="65"/>
  <c r="B28" i="65"/>
  <c r="C27" i="65"/>
  <c r="B27" i="65"/>
  <c r="C26" i="65"/>
  <c r="B26" i="65"/>
  <c r="C25" i="65"/>
  <c r="B25" i="65"/>
  <c r="C24" i="65"/>
  <c r="B24" i="65"/>
  <c r="C23" i="65"/>
  <c r="B23" i="65"/>
  <c r="C22" i="65"/>
  <c r="B22" i="65"/>
  <c r="C21" i="65"/>
  <c r="B21" i="65"/>
  <c r="C20" i="65"/>
  <c r="B20" i="65"/>
  <c r="C19" i="65"/>
  <c r="B19" i="65"/>
  <c r="C18" i="65"/>
  <c r="P41" i="65" s="1"/>
  <c r="B18" i="65"/>
  <c r="C17" i="65"/>
  <c r="B17" i="65"/>
  <c r="C16" i="65"/>
  <c r="B16" i="65"/>
  <c r="C15" i="65"/>
  <c r="B15" i="65"/>
  <c r="C14" i="65"/>
  <c r="B14" i="65"/>
  <c r="C13" i="65"/>
  <c r="P44" i="65" s="1"/>
  <c r="B13" i="65"/>
  <c r="C12" i="65"/>
  <c r="B12" i="65"/>
  <c r="C11" i="65"/>
  <c r="B11" i="65"/>
  <c r="C10" i="65"/>
  <c r="B10" i="65"/>
  <c r="C9" i="65"/>
  <c r="B9" i="65"/>
  <c r="C8" i="65"/>
  <c r="P40" i="65" s="1"/>
  <c r="B8" i="65"/>
  <c r="C7" i="65"/>
  <c r="B7" i="65"/>
  <c r="C6" i="65"/>
  <c r="B6" i="65"/>
  <c r="B37" i="65" l="1"/>
  <c r="J37" i="65"/>
  <c r="N37" i="65"/>
  <c r="C37" i="65"/>
  <c r="O37" i="65" l="1"/>
  <c r="P7" i="65" l="1"/>
  <c r="P8" i="65"/>
  <c r="P9" i="65"/>
  <c r="P10" i="65"/>
  <c r="P11" i="65"/>
  <c r="P12" i="65"/>
  <c r="P13" i="65"/>
  <c r="P14" i="65"/>
  <c r="P15" i="65"/>
  <c r="P16" i="65"/>
  <c r="P17" i="65"/>
  <c r="P18" i="65"/>
  <c r="P19" i="65"/>
  <c r="P20" i="65"/>
  <c r="P21" i="65"/>
  <c r="P22" i="65"/>
  <c r="P23" i="65"/>
  <c r="P24" i="65"/>
  <c r="P25" i="65"/>
  <c r="P26" i="65"/>
  <c r="P27" i="65"/>
  <c r="P28" i="65"/>
  <c r="P29" i="65"/>
  <c r="P30" i="65"/>
  <c r="P31" i="65"/>
  <c r="P32" i="65"/>
  <c r="P33" i="65"/>
  <c r="P34" i="65"/>
  <c r="P6" i="65"/>
  <c r="H7" i="65"/>
  <c r="H8" i="65"/>
  <c r="H9" i="65"/>
  <c r="H10" i="65"/>
  <c r="H11" i="65"/>
  <c r="H12" i="65"/>
  <c r="H13" i="65"/>
  <c r="H14" i="65"/>
  <c r="H15" i="65"/>
  <c r="H16" i="65"/>
  <c r="H17" i="65"/>
  <c r="H18" i="65"/>
  <c r="H19" i="65"/>
  <c r="H20" i="65"/>
  <c r="H21" i="65"/>
  <c r="H22" i="65"/>
  <c r="H23" i="65"/>
  <c r="H24" i="65"/>
  <c r="H26" i="65"/>
  <c r="H27" i="65"/>
  <c r="H28" i="65"/>
  <c r="H29" i="65"/>
  <c r="H30" i="65"/>
  <c r="H31" i="65"/>
  <c r="H32" i="65"/>
  <c r="H33" i="65"/>
  <c r="H34" i="65"/>
  <c r="H6" i="65"/>
  <c r="I6" i="65" l="1"/>
  <c r="I32" i="65"/>
  <c r="I29" i="65"/>
  <c r="I21" i="65"/>
  <c r="I17" i="65"/>
  <c r="I13" i="65"/>
  <c r="I9" i="65"/>
  <c r="R6" i="65"/>
  <c r="T6" i="65" s="1"/>
  <c r="R32" i="65"/>
  <c r="T32" i="65" s="1"/>
  <c r="R29" i="65"/>
  <c r="R25" i="65"/>
  <c r="T25" i="65" s="1"/>
  <c r="R21" i="65"/>
  <c r="T21" i="65" s="1"/>
  <c r="R17" i="65"/>
  <c r="T17" i="65" s="1"/>
  <c r="R13" i="65"/>
  <c r="R9" i="65"/>
  <c r="T9" i="65" s="1"/>
  <c r="I34" i="65"/>
  <c r="I28" i="65"/>
  <c r="I24" i="65"/>
  <c r="I20" i="65"/>
  <c r="I16" i="65"/>
  <c r="I12" i="65"/>
  <c r="I8" i="65"/>
  <c r="P37" i="65"/>
  <c r="R34" i="65"/>
  <c r="T34" i="65" s="1"/>
  <c r="R28" i="65"/>
  <c r="T28" i="65" s="1"/>
  <c r="R24" i="65"/>
  <c r="T24" i="65" s="1"/>
  <c r="R20" i="65"/>
  <c r="T20" i="65" s="1"/>
  <c r="R16" i="65"/>
  <c r="T16" i="65" s="1"/>
  <c r="R12" i="65"/>
  <c r="T12" i="65" s="1"/>
  <c r="R8" i="65"/>
  <c r="I33" i="65"/>
  <c r="I31" i="65"/>
  <c r="I27" i="65"/>
  <c r="I23" i="65"/>
  <c r="I19" i="65"/>
  <c r="I15" i="65"/>
  <c r="I11" i="65"/>
  <c r="I7" i="65"/>
  <c r="R33" i="65"/>
  <c r="T33" i="65" s="1"/>
  <c r="R31" i="65"/>
  <c r="T31" i="65" s="1"/>
  <c r="R27" i="65"/>
  <c r="T27" i="65" s="1"/>
  <c r="R23" i="65"/>
  <c r="T23" i="65" s="1"/>
  <c r="R19" i="65"/>
  <c r="T19" i="65" s="1"/>
  <c r="R15" i="65"/>
  <c r="T15" i="65" s="1"/>
  <c r="R11" i="65"/>
  <c r="T11" i="65" s="1"/>
  <c r="R7" i="65"/>
  <c r="T7" i="65" s="1"/>
  <c r="I30" i="65"/>
  <c r="I26" i="65"/>
  <c r="I22" i="65"/>
  <c r="I18" i="65"/>
  <c r="I14" i="65"/>
  <c r="I10" i="65"/>
  <c r="R30" i="65"/>
  <c r="R26" i="65"/>
  <c r="T26" i="65" s="1"/>
  <c r="R22" i="65"/>
  <c r="T22" i="65" s="1"/>
  <c r="R18" i="65"/>
  <c r="R14" i="65"/>
  <c r="T14" i="65" s="1"/>
  <c r="R10" i="65"/>
  <c r="T10" i="65" s="1"/>
  <c r="T37" i="65" l="1"/>
  <c r="L20" i="65"/>
  <c r="L13" i="65"/>
  <c r="L8" i="65"/>
  <c r="L9" i="65"/>
  <c r="L30" i="65"/>
  <c r="L28" i="65"/>
  <c r="L34" i="65"/>
  <c r="L12" i="65"/>
  <c r="L14" i="65"/>
  <c r="L32" i="65"/>
  <c r="L15" i="65"/>
  <c r="L33" i="65"/>
  <c r="L18" i="65"/>
  <c r="L6" i="65"/>
  <c r="L19" i="65"/>
  <c r="L24" i="65"/>
  <c r="L17" i="65"/>
  <c r="L22" i="65"/>
  <c r="L7" i="65"/>
  <c r="L23" i="65"/>
  <c r="L27" i="65"/>
  <c r="L21" i="65"/>
  <c r="L10" i="65"/>
  <c r="L29" i="65"/>
  <c r="L11" i="65"/>
  <c r="L26" i="65"/>
  <c r="L16" i="65"/>
  <c r="L31" i="65"/>
  <c r="R37" i="65"/>
  <c r="Q6" i="52" l="1"/>
  <c r="Q6" i="77" s="1"/>
  <c r="Q8" i="52"/>
  <c r="Q9" i="52"/>
  <c r="Q10" i="52"/>
  <c r="Q11" i="52"/>
  <c r="Q12" i="52"/>
  <c r="Q13" i="65"/>
  <c r="Q13" i="52"/>
  <c r="Q14" i="52"/>
  <c r="Q15" i="52"/>
  <c r="Q16" i="52"/>
  <c r="Q17" i="52"/>
  <c r="Q19" i="52"/>
  <c r="Q21" i="65"/>
  <c r="Q21" i="52"/>
  <c r="Q22" i="52"/>
  <c r="Q25" i="52"/>
  <c r="Q26" i="52"/>
  <c r="Q27" i="52"/>
  <c r="Q29" i="65"/>
  <c r="Q28" i="52"/>
  <c r="Q29" i="52"/>
  <c r="Q30" i="52"/>
  <c r="Q31" i="52"/>
  <c r="Q30" i="65"/>
  <c r="C3" i="52"/>
  <c r="Q24" i="52" s="1"/>
  <c r="L34" i="52"/>
  <c r="Q25" i="65" l="1"/>
  <c r="Q24" i="77"/>
  <c r="Q31" i="65"/>
  <c r="Q28" i="77"/>
  <c r="Q20" i="65"/>
  <c r="Q19" i="77"/>
  <c r="Q34" i="65"/>
  <c r="Q31" i="77"/>
  <c r="Q23" i="65"/>
  <c r="Q22" i="77"/>
  <c r="Q18" i="65"/>
  <c r="Q17" i="77"/>
  <c r="Q14" i="65"/>
  <c r="Q13" i="77"/>
  <c r="Q10" i="65"/>
  <c r="Q10" i="77"/>
  <c r="Q32" i="65"/>
  <c r="Q29" i="77"/>
  <c r="Q15" i="65"/>
  <c r="Q14" i="77"/>
  <c r="Q33" i="65"/>
  <c r="Q30" i="77"/>
  <c r="Q28" i="65"/>
  <c r="Q27" i="77"/>
  <c r="Q22" i="65"/>
  <c r="Q21" i="77"/>
  <c r="Q17" i="65"/>
  <c r="Q16" i="77"/>
  <c r="Q9" i="65"/>
  <c r="Q9" i="77"/>
  <c r="Q27" i="65"/>
  <c r="Q26" i="77"/>
  <c r="Q16" i="65"/>
  <c r="Q15" i="77"/>
  <c r="Q12" i="65"/>
  <c r="Q12" i="77"/>
  <c r="Q8" i="65"/>
  <c r="Q8" i="77"/>
  <c r="Q26" i="65"/>
  <c r="Q25" i="77"/>
  <c r="Q11" i="65"/>
  <c r="Q11" i="77"/>
  <c r="Q23" i="52"/>
  <c r="Q18" i="52"/>
  <c r="Q6" i="65"/>
  <c r="Q7" i="52"/>
  <c r="Q7" i="77" s="1"/>
  <c r="Q19" i="65" l="1"/>
  <c r="Q18" i="77"/>
  <c r="Q24" i="65"/>
  <c r="Q23" i="77"/>
  <c r="O37" i="52"/>
  <c r="M37" i="52"/>
  <c r="Q7" i="65"/>
  <c r="Q37" i="65" s="1"/>
  <c r="K34" i="52"/>
  <c r="P34" i="52"/>
  <c r="H34" i="52"/>
  <c r="I34" i="52"/>
  <c r="N34" i="52"/>
  <c r="M34" i="52"/>
  <c r="R34" i="52"/>
  <c r="C30" i="52"/>
  <c r="C31" i="52"/>
  <c r="C25" i="52"/>
  <c r="C26" i="52"/>
  <c r="C27" i="52"/>
  <c r="C28" i="52"/>
  <c r="C29" i="52"/>
  <c r="O37" i="77" l="1"/>
  <c r="M37" i="77"/>
  <c r="Q34" i="77"/>
  <c r="Q34" i="52"/>
  <c r="C6" i="52"/>
  <c r="C7" i="52"/>
  <c r="C8" i="52"/>
  <c r="C9" i="52"/>
  <c r="C10" i="52"/>
  <c r="C11" i="52"/>
  <c r="C12" i="52"/>
  <c r="C13" i="52"/>
  <c r="C14" i="52"/>
  <c r="C15" i="52"/>
  <c r="C16" i="52"/>
  <c r="C17" i="52"/>
  <c r="C18" i="52"/>
  <c r="C19" i="52"/>
  <c r="C20" i="52"/>
  <c r="C21" i="52"/>
  <c r="C22" i="52"/>
  <c r="C23" i="52"/>
  <c r="C24" i="52"/>
  <c r="D23" i="50" l="1"/>
  <c r="F22" i="50"/>
  <c r="C20" i="50"/>
  <c r="J5" i="50"/>
  <c r="H5" i="50"/>
  <c r="C6" i="50"/>
  <c r="C5" i="50"/>
  <c r="D5" i="50" s="1"/>
  <c r="D7" i="50"/>
  <c r="C7" i="50"/>
  <c r="D6" i="50"/>
  <c r="C4" i="50"/>
  <c r="D4" i="50" s="1"/>
  <c r="G9" i="50" l="1"/>
  <c r="F9" i="50"/>
  <c r="E9" i="50"/>
  <c r="H7" i="50"/>
  <c r="H6" i="50" l="1"/>
  <c r="H4" i="50"/>
  <c r="D9" i="50"/>
  <c r="C9" i="50"/>
  <c r="H9" i="50" l="1"/>
  <c r="G40" i="52" l="1"/>
  <c r="M44" i="52" s="1"/>
  <c r="J34" i="52" l="1"/>
  <c r="H38" i="52" l="1"/>
  <c r="H37" i="52"/>
  <c r="O34" i="52"/>
  <c r="I37" i="52" l="1"/>
  <c r="I38" i="52"/>
  <c r="H40" i="52"/>
  <c r="I40" i="52" l="1"/>
  <c r="I25" i="65" l="1"/>
  <c r="I37" i="65" s="1"/>
  <c r="V37" i="65" s="1"/>
  <c r="W37" i="65" s="1"/>
  <c r="H25" i="65" l="1"/>
  <c r="H37" i="65" s="1"/>
  <c r="L25" i="65" l="1"/>
  <c r="L37" i="65" s="1"/>
  <c r="M38" i="65" s="1"/>
  <c r="O38" i="65" s="1"/>
  <c r="S42" i="65" l="1"/>
  <c r="M9" i="65" l="1"/>
  <c r="M30" i="65"/>
  <c r="M34" i="65"/>
  <c r="M7" i="65"/>
  <c r="M23" i="65"/>
  <c r="M12" i="65"/>
  <c r="M27" i="65"/>
  <c r="M14" i="65"/>
  <c r="M15" i="65"/>
  <c r="M33" i="65"/>
  <c r="M13" i="65"/>
  <c r="M17" i="65"/>
  <c r="M22" i="65"/>
  <c r="M21" i="65"/>
  <c r="M10" i="65"/>
  <c r="M29" i="65"/>
  <c r="M11" i="65"/>
  <c r="M26" i="65"/>
  <c r="M16" i="65"/>
  <c r="M31" i="65"/>
  <c r="M32" i="65"/>
  <c r="M20" i="65"/>
  <c r="M28" i="65"/>
  <c r="M18" i="65"/>
  <c r="M6" i="65"/>
  <c r="M19" i="65"/>
  <c r="M8" i="65"/>
  <c r="M24" i="65"/>
  <c r="M25" i="65" l="1"/>
  <c r="M37" i="65" s="1"/>
  <c r="S41" i="65" l="1"/>
  <c r="S46" i="65" s="1"/>
  <c r="F29" i="65" l="1"/>
  <c r="D29" i="65" l="1"/>
  <c r="Q42" i="65" s="1"/>
  <c r="Q46" i="65" s="1"/>
  <c r="T46" i="65" s="1"/>
  <c r="U47" i="65" s="1"/>
  <c r="E29" i="65" l="1"/>
  <c r="D30" i="65" l="1"/>
  <c r="Q43" i="65" s="1"/>
  <c r="D13" i="65"/>
  <c r="Q44" i="65" s="1"/>
  <c r="F13" i="65" l="1"/>
  <c r="F30" i="65"/>
  <c r="E30" i="65" l="1"/>
  <c r="E13" i="65"/>
  <c r="E37" i="77" l="1"/>
  <c r="D38" i="77"/>
  <c r="J38" i="77" s="1"/>
  <c r="D37" i="77"/>
  <c r="J37" i="77" l="1"/>
  <c r="J40" i="77" s="1"/>
  <c r="D40" i="77"/>
  <c r="M36" i="77" s="1"/>
  <c r="E38" i="77" l="1"/>
  <c r="E40" i="77" s="1"/>
  <c r="M39" i="77"/>
  <c r="D3" i="77"/>
  <c r="N37" i="77" s="1"/>
  <c r="G24" i="73" l="1"/>
  <c r="D24" i="73" s="1"/>
  <c r="F24" i="73"/>
  <c r="B24" i="73" l="1"/>
  <c r="F22" i="75" l="1"/>
  <c r="H22" i="66" l="1"/>
  <c r="H24" i="66"/>
  <c r="H24" i="77" l="1"/>
  <c r="L24" i="67"/>
  <c r="L22" i="67"/>
  <c r="H38" i="66"/>
  <c r="H40" i="66" s="1"/>
  <c r="H34" i="66"/>
  <c r="H22" i="77"/>
  <c r="L34" i="67" l="1"/>
  <c r="H34" i="77"/>
  <c r="M41" i="77" s="1"/>
  <c r="O41" i="77" s="1"/>
  <c r="M6" i="76" l="1"/>
  <c r="N6" i="76" l="1"/>
  <c r="G7" i="68" l="1"/>
  <c r="D7" i="68" s="1"/>
  <c r="B7" i="68" s="1"/>
  <c r="G9" i="68"/>
  <c r="D9" i="68" s="1"/>
  <c r="G11" i="68"/>
  <c r="D11" i="68" s="1"/>
  <c r="B11" i="68" s="1"/>
  <c r="G12" i="68"/>
  <c r="D12" i="68" s="1"/>
  <c r="B12" i="68" s="1"/>
  <c r="G13" i="68"/>
  <c r="D13" i="68" s="1"/>
  <c r="B13" i="68" s="1"/>
  <c r="G15" i="68"/>
  <c r="D15" i="68" s="1"/>
  <c r="B15" i="68" s="1"/>
  <c r="G16" i="68"/>
  <c r="D16" i="68" s="1"/>
  <c r="B16" i="68" s="1"/>
  <c r="G20" i="68"/>
  <c r="D20" i="68" s="1"/>
  <c r="B20" i="68" s="1"/>
  <c r="G25" i="68"/>
  <c r="D25" i="68" s="1"/>
  <c r="B25" i="68" s="1"/>
  <c r="G28" i="68"/>
  <c r="D28" i="68" s="1"/>
  <c r="B28" i="68" s="1"/>
  <c r="B9" i="68" l="1"/>
  <c r="F16" i="68"/>
  <c r="G15" i="74"/>
  <c r="D15" i="74" s="1"/>
  <c r="B15" i="74" s="1"/>
  <c r="G8" i="70"/>
  <c r="D8" i="70" s="1"/>
  <c r="B8" i="70" s="1"/>
  <c r="G15" i="69"/>
  <c r="D15" i="69" s="1"/>
  <c r="B15" i="69" s="1"/>
  <c r="G12" i="71"/>
  <c r="D12" i="71" s="1"/>
  <c r="B12" i="71" s="1"/>
  <c r="G6" i="73"/>
  <c r="G16" i="76"/>
  <c r="D16" i="76" s="1"/>
  <c r="B16" i="76" s="1"/>
  <c r="G29" i="76"/>
  <c r="D29" i="76" s="1"/>
  <c r="B29" i="76" s="1"/>
  <c r="G8" i="74"/>
  <c r="D8" i="74" s="1"/>
  <c r="B8" i="74" s="1"/>
  <c r="G19" i="74"/>
  <c r="D19" i="74" s="1"/>
  <c r="B19" i="74" s="1"/>
  <c r="G30" i="68"/>
  <c r="D30" i="68" s="1"/>
  <c r="B30" i="68" s="1"/>
  <c r="G17" i="68"/>
  <c r="D17" i="68" s="1"/>
  <c r="B17" i="68" s="1"/>
  <c r="G23" i="71"/>
  <c r="D23" i="71" s="1"/>
  <c r="B23" i="71" s="1"/>
  <c r="G9" i="72"/>
  <c r="D9" i="72" s="1"/>
  <c r="B9" i="72" s="1"/>
  <c r="G19" i="75"/>
  <c r="D19" i="75" s="1"/>
  <c r="B19" i="75" s="1"/>
  <c r="G12" i="75"/>
  <c r="D12" i="75" s="1"/>
  <c r="B12" i="75" s="1"/>
  <c r="G13" i="72"/>
  <c r="D13" i="72" s="1"/>
  <c r="B13" i="72" s="1"/>
  <c r="G29" i="68"/>
  <c r="D29" i="68" s="1"/>
  <c r="B29" i="68" s="1"/>
  <c r="G28" i="69"/>
  <c r="D28" i="69" s="1"/>
  <c r="B28" i="69" s="1"/>
  <c r="G30" i="71"/>
  <c r="D30" i="71" s="1"/>
  <c r="B30" i="71" s="1"/>
  <c r="G8" i="73"/>
  <c r="D8" i="73" s="1"/>
  <c r="B8" i="73" s="1"/>
  <c r="G10" i="75"/>
  <c r="D10" i="75" s="1"/>
  <c r="B10" i="75" s="1"/>
  <c r="G13" i="71"/>
  <c r="D13" i="71" s="1"/>
  <c r="B13" i="71" s="1"/>
  <c r="G11" i="75"/>
  <c r="D11" i="75" s="1"/>
  <c r="B11" i="75" s="1"/>
  <c r="G17" i="71"/>
  <c r="D17" i="71" s="1"/>
  <c r="B17" i="71" s="1"/>
  <c r="G26" i="73"/>
  <c r="D26" i="73" s="1"/>
  <c r="B26" i="73" s="1"/>
  <c r="G19" i="73"/>
  <c r="D19" i="73" s="1"/>
  <c r="B19" i="73" s="1"/>
  <c r="G26" i="69"/>
  <c r="D26" i="69" s="1"/>
  <c r="B26" i="69" s="1"/>
  <c r="G10" i="69"/>
  <c r="D10" i="69" s="1"/>
  <c r="B10" i="69" s="1"/>
  <c r="G15" i="75"/>
  <c r="D15" i="75" s="1"/>
  <c r="B15" i="75" s="1"/>
  <c r="G8" i="75"/>
  <c r="D8" i="75" s="1"/>
  <c r="B8" i="75" s="1"/>
  <c r="G9" i="76"/>
  <c r="D9" i="76" s="1"/>
  <c r="B9" i="76" s="1"/>
  <c r="G10" i="70"/>
  <c r="D10" i="70" s="1"/>
  <c r="B10" i="70" s="1"/>
  <c r="G15" i="72"/>
  <c r="D15" i="72" s="1"/>
  <c r="B15" i="72" s="1"/>
  <c r="G12" i="72"/>
  <c r="D12" i="72" s="1"/>
  <c r="B12" i="72" s="1"/>
  <c r="G16" i="73"/>
  <c r="D16" i="73" s="1"/>
  <c r="B16" i="73" s="1"/>
  <c r="G29" i="70"/>
  <c r="D29" i="70" s="1"/>
  <c r="B29" i="70" s="1"/>
  <c r="G12" i="70"/>
  <c r="D12" i="70" s="1"/>
  <c r="B12" i="70" s="1"/>
  <c r="G27" i="71"/>
  <c r="D27" i="71" s="1"/>
  <c r="B27" i="71" s="1"/>
  <c r="G16" i="71"/>
  <c r="D16" i="71" s="1"/>
  <c r="B16" i="71" s="1"/>
  <c r="G26" i="74"/>
  <c r="D26" i="74" s="1"/>
  <c r="G12" i="76"/>
  <c r="D12" i="76" s="1"/>
  <c r="B12" i="76" s="1"/>
  <c r="G23" i="76"/>
  <c r="D23" i="76" s="1"/>
  <c r="B23" i="76" s="1"/>
  <c r="G26" i="75"/>
  <c r="D26" i="75" s="1"/>
  <c r="B26" i="75" s="1"/>
  <c r="G15" i="73"/>
  <c r="D15" i="73" s="1"/>
  <c r="B15" i="73" s="1"/>
  <c r="G8" i="72"/>
  <c r="D8" i="72" s="1"/>
  <c r="B8" i="72" s="1"/>
  <c r="G19" i="72"/>
  <c r="D19" i="72" s="1"/>
  <c r="B19" i="72" s="1"/>
  <c r="G26" i="72"/>
  <c r="D26" i="72" s="1"/>
  <c r="G23" i="70"/>
  <c r="D23" i="70" s="1"/>
  <c r="B23" i="70" s="1"/>
  <c r="G30" i="70"/>
  <c r="D30" i="70" s="1"/>
  <c r="B30" i="70" s="1"/>
  <c r="G19" i="69"/>
  <c r="D19" i="69" s="1"/>
  <c r="B19" i="69" s="1"/>
  <c r="G22" i="70"/>
  <c r="D22" i="70" s="1"/>
  <c r="B22" i="70" s="1"/>
  <c r="G7" i="70"/>
  <c r="D7" i="70" s="1"/>
  <c r="G16" i="72"/>
  <c r="D16" i="72" s="1"/>
  <c r="B16" i="72" s="1"/>
  <c r="G16" i="69"/>
  <c r="D16" i="69" s="1"/>
  <c r="B16" i="69" s="1"/>
  <c r="G27" i="70"/>
  <c r="D27" i="70" s="1"/>
  <c r="B27" i="70" s="1"/>
  <c r="G25" i="72"/>
  <c r="D25" i="72" s="1"/>
  <c r="B25" i="72" s="1"/>
  <c r="G11" i="73"/>
  <c r="D11" i="73" s="1"/>
  <c r="B11" i="73" s="1"/>
  <c r="G13" i="76"/>
  <c r="D13" i="76" s="1"/>
  <c r="B13" i="76" s="1"/>
  <c r="G10" i="74"/>
  <c r="D10" i="74" s="1"/>
  <c r="B10" i="74" s="1"/>
  <c r="G28" i="75"/>
  <c r="D28" i="75" s="1"/>
  <c r="B28" i="75" s="1"/>
  <c r="G14" i="75"/>
  <c r="D14" i="75" s="1"/>
  <c r="G31" i="76"/>
  <c r="D31" i="76" s="1"/>
  <c r="B31" i="76" s="1"/>
  <c r="G22" i="76"/>
  <c r="D22" i="76" s="1"/>
  <c r="B22" i="76" s="1"/>
  <c r="G30" i="76"/>
  <c r="D30" i="76" s="1"/>
  <c r="B30" i="76" s="1"/>
  <c r="G10" i="76"/>
  <c r="D10" i="76" s="1"/>
  <c r="B10" i="76" s="1"/>
  <c r="G27" i="76"/>
  <c r="D27" i="76" s="1"/>
  <c r="B27" i="76" s="1"/>
  <c r="G17" i="76"/>
  <c r="D17" i="76" s="1"/>
  <c r="B17" i="76" s="1"/>
  <c r="G25" i="76"/>
  <c r="D25" i="76" s="1"/>
  <c r="B25" i="76" s="1"/>
  <c r="G18" i="74"/>
  <c r="D18" i="74" s="1"/>
  <c r="B18" i="74" s="1"/>
  <c r="G24" i="74"/>
  <c r="D24" i="74" s="1"/>
  <c r="G28" i="74"/>
  <c r="D28" i="74" s="1"/>
  <c r="B28" i="74" s="1"/>
  <c r="G11" i="74"/>
  <c r="D11" i="74" s="1"/>
  <c r="B11" i="74" s="1"/>
  <c r="G25" i="73"/>
  <c r="D25" i="73" s="1"/>
  <c r="B25" i="73" s="1"/>
  <c r="G28" i="73"/>
  <c r="D28" i="73" s="1"/>
  <c r="B28" i="73" s="1"/>
  <c r="G28" i="72"/>
  <c r="D28" i="72" s="1"/>
  <c r="G24" i="72"/>
  <c r="D24" i="72" s="1"/>
  <c r="G18" i="72"/>
  <c r="D18" i="72" s="1"/>
  <c r="B18" i="72" s="1"/>
  <c r="G7" i="72"/>
  <c r="D7" i="72" s="1"/>
  <c r="B7" i="72" s="1"/>
  <c r="G11" i="72"/>
  <c r="D11" i="72" s="1"/>
  <c r="B11" i="72" s="1"/>
  <c r="G9" i="71"/>
  <c r="D9" i="71" s="1"/>
  <c r="G25" i="71"/>
  <c r="D25" i="71" s="1"/>
  <c r="B25" i="71" s="1"/>
  <c r="G16" i="70"/>
  <c r="D16" i="70" s="1"/>
  <c r="B16" i="70" s="1"/>
  <c r="G31" i="70"/>
  <c r="D31" i="70" s="1"/>
  <c r="B31" i="70" s="1"/>
  <c r="G9" i="70"/>
  <c r="D9" i="70" s="1"/>
  <c r="B9" i="70" s="1"/>
  <c r="G13" i="70"/>
  <c r="D13" i="70" s="1"/>
  <c r="B13" i="70" s="1"/>
  <c r="G17" i="70"/>
  <c r="D17" i="70" s="1"/>
  <c r="B17" i="70" s="1"/>
  <c r="G25" i="70"/>
  <c r="D25" i="70" s="1"/>
  <c r="B25" i="70" s="1"/>
  <c r="G20" i="69"/>
  <c r="D20" i="69" s="1"/>
  <c r="G25" i="69"/>
  <c r="D25" i="69" s="1"/>
  <c r="B25" i="69" s="1"/>
  <c r="G14" i="76"/>
  <c r="D14" i="76" s="1"/>
  <c r="G11" i="76"/>
  <c r="D11" i="76" s="1"/>
  <c r="B11" i="76" s="1"/>
  <c r="G7" i="76"/>
  <c r="D7" i="76" s="1"/>
  <c r="G8" i="76"/>
  <c r="D8" i="76" s="1"/>
  <c r="B8" i="76" s="1"/>
  <c r="G18" i="76"/>
  <c r="D18" i="76" s="1"/>
  <c r="B18" i="76" s="1"/>
  <c r="G24" i="76"/>
  <c r="D24" i="76" s="1"/>
  <c r="B24" i="76" s="1"/>
  <c r="G26" i="76"/>
  <c r="D26" i="76" s="1"/>
  <c r="B26" i="76" s="1"/>
  <c r="G28" i="76"/>
  <c r="D28" i="76" s="1"/>
  <c r="G6" i="76"/>
  <c r="G15" i="76"/>
  <c r="D15" i="76" s="1"/>
  <c r="B15" i="76" s="1"/>
  <c r="G19" i="76"/>
  <c r="D19" i="76" s="1"/>
  <c r="B19" i="76" s="1"/>
  <c r="G24" i="75"/>
  <c r="D24" i="75" s="1"/>
  <c r="G18" i="75"/>
  <c r="D18" i="75" s="1"/>
  <c r="B18" i="75" s="1"/>
  <c r="G13" i="75"/>
  <c r="D13" i="75" s="1"/>
  <c r="G16" i="75"/>
  <c r="D16" i="75" s="1"/>
  <c r="B16" i="75" s="1"/>
  <c r="G25" i="75"/>
  <c r="D25" i="75" s="1"/>
  <c r="B25" i="75" s="1"/>
  <c r="G6" i="75"/>
  <c r="G7" i="75"/>
  <c r="D7" i="75" s="1"/>
  <c r="G9" i="75"/>
  <c r="D9" i="75" s="1"/>
  <c r="B9" i="75" s="1"/>
  <c r="G23" i="75"/>
  <c r="D23" i="75" s="1"/>
  <c r="B23" i="75" s="1"/>
  <c r="G31" i="75"/>
  <c r="D31" i="75" s="1"/>
  <c r="B31" i="75" s="1"/>
  <c r="G17" i="75"/>
  <c r="D17" i="75" s="1"/>
  <c r="B17" i="75" s="1"/>
  <c r="G22" i="75"/>
  <c r="D22" i="75" s="1"/>
  <c r="G27" i="75"/>
  <c r="D27" i="75" s="1"/>
  <c r="G29" i="75"/>
  <c r="D29" i="75" s="1"/>
  <c r="B29" i="75" s="1"/>
  <c r="G30" i="75"/>
  <c r="D30" i="75" s="1"/>
  <c r="B30" i="75" s="1"/>
  <c r="G31" i="74"/>
  <c r="D31" i="74" s="1"/>
  <c r="B31" i="74" s="1"/>
  <c r="G9" i="74"/>
  <c r="D9" i="74" s="1"/>
  <c r="B9" i="74" s="1"/>
  <c r="G14" i="74"/>
  <c r="D14" i="74" s="1"/>
  <c r="G13" i="74"/>
  <c r="D13" i="74" s="1"/>
  <c r="B13" i="74" s="1"/>
  <c r="G16" i="74"/>
  <c r="D16" i="74" s="1"/>
  <c r="B16" i="74" s="1"/>
  <c r="G25" i="74"/>
  <c r="D25" i="74" s="1"/>
  <c r="B25" i="74" s="1"/>
  <c r="G12" i="74"/>
  <c r="D12" i="74" s="1"/>
  <c r="B12" i="74" s="1"/>
  <c r="G6" i="74"/>
  <c r="G7" i="74"/>
  <c r="D7" i="74" s="1"/>
  <c r="B7" i="74" s="1"/>
  <c r="G23" i="74"/>
  <c r="D23" i="74" s="1"/>
  <c r="B23" i="74" s="1"/>
  <c r="G17" i="74"/>
  <c r="D17" i="74" s="1"/>
  <c r="B17" i="74" s="1"/>
  <c r="G22" i="74"/>
  <c r="D22" i="74" s="1"/>
  <c r="B22" i="74" s="1"/>
  <c r="G27" i="74"/>
  <c r="D27" i="74" s="1"/>
  <c r="G29" i="74"/>
  <c r="D29" i="74" s="1"/>
  <c r="B29" i="74" s="1"/>
  <c r="G30" i="74"/>
  <c r="D30" i="74" s="1"/>
  <c r="B30" i="74" s="1"/>
  <c r="G27" i="73"/>
  <c r="D27" i="73" s="1"/>
  <c r="G7" i="73"/>
  <c r="D7" i="73" s="1"/>
  <c r="B7" i="73" s="1"/>
  <c r="G22" i="73"/>
  <c r="D22" i="73" s="1"/>
  <c r="B22" i="73" s="1"/>
  <c r="G29" i="73"/>
  <c r="D29" i="73" s="1"/>
  <c r="B29" i="73" s="1"/>
  <c r="G9" i="73"/>
  <c r="D9" i="73" s="1"/>
  <c r="G12" i="73"/>
  <c r="D12" i="73" s="1"/>
  <c r="B12" i="73" s="1"/>
  <c r="G13" i="73"/>
  <c r="D13" i="73" s="1"/>
  <c r="G17" i="73"/>
  <c r="D17" i="73" s="1"/>
  <c r="B17" i="73" s="1"/>
  <c r="G10" i="73"/>
  <c r="D10" i="73" s="1"/>
  <c r="B10" i="73" s="1"/>
  <c r="G23" i="73"/>
  <c r="D23" i="73" s="1"/>
  <c r="B23" i="73" s="1"/>
  <c r="G30" i="73"/>
  <c r="D30" i="73" s="1"/>
  <c r="B30" i="73" s="1"/>
  <c r="G14" i="73"/>
  <c r="D14" i="73" s="1"/>
  <c r="B14" i="73" s="1"/>
  <c r="G18" i="73"/>
  <c r="D18" i="73" s="1"/>
  <c r="B18" i="73" s="1"/>
  <c r="G31" i="73"/>
  <c r="D31" i="73" s="1"/>
  <c r="B31" i="73" s="1"/>
  <c r="G6" i="72"/>
  <c r="G10" i="72"/>
  <c r="D10" i="72" s="1"/>
  <c r="B10" i="72" s="1"/>
  <c r="G14" i="72"/>
  <c r="D14" i="72" s="1"/>
  <c r="B14" i="72" s="1"/>
  <c r="G23" i="72"/>
  <c r="D23" i="72" s="1"/>
  <c r="B23" i="72" s="1"/>
  <c r="G31" i="72"/>
  <c r="D31" i="72" s="1"/>
  <c r="B31" i="72" s="1"/>
  <c r="G17" i="72"/>
  <c r="D17" i="72" s="1"/>
  <c r="B17" i="72" s="1"/>
  <c r="G22" i="72"/>
  <c r="D22" i="72" s="1"/>
  <c r="B22" i="72" s="1"/>
  <c r="G27" i="72"/>
  <c r="D27" i="72" s="1"/>
  <c r="B27" i="72" s="1"/>
  <c r="G29" i="72"/>
  <c r="D29" i="72" s="1"/>
  <c r="B29" i="72" s="1"/>
  <c r="G30" i="72"/>
  <c r="D30" i="72" s="1"/>
  <c r="B30" i="72" s="1"/>
  <c r="G28" i="71"/>
  <c r="D28" i="71" s="1"/>
  <c r="B28" i="71" s="1"/>
  <c r="G14" i="71"/>
  <c r="D14" i="71" s="1"/>
  <c r="G18" i="71"/>
  <c r="D18" i="71" s="1"/>
  <c r="B18" i="71" s="1"/>
  <c r="G6" i="71"/>
  <c r="G15" i="71"/>
  <c r="D15" i="71" s="1"/>
  <c r="B15" i="71" s="1"/>
  <c r="G19" i="71"/>
  <c r="D19" i="71" s="1"/>
  <c r="B19" i="71" s="1"/>
  <c r="G7" i="71"/>
  <c r="D7" i="71" s="1"/>
  <c r="B7" i="71" s="1"/>
  <c r="G8" i="71"/>
  <c r="D8" i="71" s="1"/>
  <c r="B8" i="71" s="1"/>
  <c r="G10" i="71"/>
  <c r="D10" i="71" s="1"/>
  <c r="B10" i="71" s="1"/>
  <c r="G22" i="71"/>
  <c r="D22" i="71" s="1"/>
  <c r="B22" i="71" s="1"/>
  <c r="G26" i="71"/>
  <c r="D26" i="71" s="1"/>
  <c r="B26" i="71" s="1"/>
  <c r="G29" i="71"/>
  <c r="D29" i="71" s="1"/>
  <c r="B29" i="71" s="1"/>
  <c r="G11" i="71"/>
  <c r="D11" i="71" s="1"/>
  <c r="B11" i="71" s="1"/>
  <c r="G24" i="71"/>
  <c r="D24" i="71" s="1"/>
  <c r="G31" i="71"/>
  <c r="D31" i="71" s="1"/>
  <c r="B31" i="71" s="1"/>
  <c r="G14" i="70"/>
  <c r="D14" i="70" s="1"/>
  <c r="B14" i="70" s="1"/>
  <c r="G11" i="70"/>
  <c r="D11" i="70" s="1"/>
  <c r="B11" i="70" s="1"/>
  <c r="G18" i="70"/>
  <c r="D18" i="70" s="1"/>
  <c r="B18" i="70" s="1"/>
  <c r="G24" i="70"/>
  <c r="D24" i="70" s="1"/>
  <c r="G26" i="70"/>
  <c r="D26" i="70" s="1"/>
  <c r="B26" i="70" s="1"/>
  <c r="G28" i="70"/>
  <c r="D28" i="70" s="1"/>
  <c r="G6" i="70"/>
  <c r="G15" i="70"/>
  <c r="D15" i="70" s="1"/>
  <c r="B15" i="70" s="1"/>
  <c r="G19" i="70"/>
  <c r="D19" i="70" s="1"/>
  <c r="B19" i="70" s="1"/>
  <c r="G6" i="69"/>
  <c r="G7" i="69"/>
  <c r="D7" i="69" s="1"/>
  <c r="B7" i="69" s="1"/>
  <c r="G23" i="69"/>
  <c r="D23" i="69" s="1"/>
  <c r="B23" i="69" s="1"/>
  <c r="G17" i="69"/>
  <c r="D17" i="69" s="1"/>
  <c r="B17" i="69" s="1"/>
  <c r="G27" i="69"/>
  <c r="D27" i="69" s="1"/>
  <c r="B27" i="69" s="1"/>
  <c r="G8" i="69"/>
  <c r="D8" i="69" s="1"/>
  <c r="B8" i="69" s="1"/>
  <c r="G9" i="69"/>
  <c r="D9" i="69" s="1"/>
  <c r="G11" i="69"/>
  <c r="D11" i="69" s="1"/>
  <c r="B11" i="69" s="1"/>
  <c r="G12" i="69"/>
  <c r="D12" i="69" s="1"/>
  <c r="B12" i="69" s="1"/>
  <c r="G13" i="69"/>
  <c r="D13" i="69" s="1"/>
  <c r="G22" i="69"/>
  <c r="D22" i="69" s="1"/>
  <c r="B22" i="69" s="1"/>
  <c r="G29" i="69"/>
  <c r="D29" i="69" s="1"/>
  <c r="B29" i="69" s="1"/>
  <c r="G30" i="69"/>
  <c r="D30" i="69" s="1"/>
  <c r="B30" i="69" s="1"/>
  <c r="G14" i="69"/>
  <c r="D14" i="69" s="1"/>
  <c r="G18" i="69"/>
  <c r="D18" i="69" s="1"/>
  <c r="B18" i="69" s="1"/>
  <c r="G21" i="69"/>
  <c r="D21" i="69" s="1"/>
  <c r="B21" i="69" s="1"/>
  <c r="G24" i="69"/>
  <c r="D24" i="69" s="1"/>
  <c r="G31" i="69"/>
  <c r="D31" i="69" s="1"/>
  <c r="B31" i="69" s="1"/>
  <c r="F7" i="68"/>
  <c r="F9" i="68"/>
  <c r="E9" i="68" s="1"/>
  <c r="F12" i="68"/>
  <c r="E12" i="68" s="1"/>
  <c r="G19" i="68"/>
  <c r="D19" i="68" s="1"/>
  <c r="B19" i="68" s="1"/>
  <c r="F20" i="68"/>
  <c r="E20" i="68" s="1"/>
  <c r="F13" i="68"/>
  <c r="E13" i="68" s="1"/>
  <c r="F11" i="68"/>
  <c r="E11" i="68" s="1"/>
  <c r="G27" i="68"/>
  <c r="D27" i="68" s="1"/>
  <c r="F25" i="68"/>
  <c r="G6" i="68"/>
  <c r="G8" i="68"/>
  <c r="D8" i="68" s="1"/>
  <c r="B8" i="68" s="1"/>
  <c r="F15" i="68"/>
  <c r="E15" i="68" s="1"/>
  <c r="F28" i="68"/>
  <c r="E28" i="68" s="1"/>
  <c r="G22" i="68"/>
  <c r="D22" i="68" s="1"/>
  <c r="B22" i="68" s="1"/>
  <c r="G23" i="68"/>
  <c r="D23" i="68" s="1"/>
  <c r="B23" i="68" s="1"/>
  <c r="G26" i="68"/>
  <c r="D26" i="68" s="1"/>
  <c r="B26" i="68" s="1"/>
  <c r="G10" i="68"/>
  <c r="D10" i="68" s="1"/>
  <c r="B10" i="68" s="1"/>
  <c r="G14" i="68"/>
  <c r="D14" i="68" s="1"/>
  <c r="B14" i="68" s="1"/>
  <c r="G18" i="68"/>
  <c r="D18" i="68" s="1"/>
  <c r="B18" i="68" s="1"/>
  <c r="G21" i="68"/>
  <c r="D21" i="68" s="1"/>
  <c r="B21" i="68" s="1"/>
  <c r="G24" i="68"/>
  <c r="D24" i="68" s="1"/>
  <c r="G31" i="68"/>
  <c r="D31" i="68" s="1"/>
  <c r="B31" i="68" s="1"/>
  <c r="B24" i="69" l="1"/>
  <c r="B28" i="76"/>
  <c r="B7" i="76"/>
  <c r="B9" i="71"/>
  <c r="B24" i="71"/>
  <c r="D6" i="72"/>
  <c r="B14" i="74"/>
  <c r="B22" i="75"/>
  <c r="B24" i="75"/>
  <c r="B28" i="72"/>
  <c r="B24" i="74"/>
  <c r="G21" i="74"/>
  <c r="D21" i="74" s="1"/>
  <c r="B21" i="74" s="1"/>
  <c r="G20" i="74"/>
  <c r="D20" i="74" s="1"/>
  <c r="B20" i="74" s="1"/>
  <c r="B26" i="72"/>
  <c r="B13" i="69"/>
  <c r="D6" i="74"/>
  <c r="B27" i="75"/>
  <c r="G21" i="76"/>
  <c r="D21" i="76" s="1"/>
  <c r="B21" i="76" s="1"/>
  <c r="G20" i="76"/>
  <c r="D20" i="76" s="1"/>
  <c r="B20" i="76" s="1"/>
  <c r="B24" i="72"/>
  <c r="D6" i="73"/>
  <c r="D6" i="68"/>
  <c r="D37" i="68"/>
  <c r="M43" i="68"/>
  <c r="E25" i="68"/>
  <c r="B27" i="68"/>
  <c r="E7" i="68"/>
  <c r="B24" i="68"/>
  <c r="B14" i="69"/>
  <c r="D38" i="69"/>
  <c r="M43" i="69"/>
  <c r="D6" i="69"/>
  <c r="G21" i="70"/>
  <c r="D21" i="70" s="1"/>
  <c r="G20" i="70"/>
  <c r="D20" i="70" s="1"/>
  <c r="B20" i="70" s="1"/>
  <c r="B28" i="70"/>
  <c r="B24" i="70"/>
  <c r="D6" i="71"/>
  <c r="D6" i="75"/>
  <c r="B13" i="75"/>
  <c r="B7" i="70"/>
  <c r="G21" i="72"/>
  <c r="D21" i="72" s="1"/>
  <c r="B21" i="72" s="1"/>
  <c r="G20" i="72"/>
  <c r="D20" i="72" s="1"/>
  <c r="B20" i="72" s="1"/>
  <c r="E16" i="68"/>
  <c r="D6" i="70"/>
  <c r="G20" i="71"/>
  <c r="D20" i="71" s="1"/>
  <c r="B20" i="71" s="1"/>
  <c r="G21" i="71"/>
  <c r="D21" i="71" s="1"/>
  <c r="B14" i="71"/>
  <c r="B9" i="69"/>
  <c r="G20" i="73"/>
  <c r="D20" i="73" s="1"/>
  <c r="B20" i="73" s="1"/>
  <c r="G21" i="73"/>
  <c r="D21" i="73" s="1"/>
  <c r="B21" i="73" s="1"/>
  <c r="B13" i="73"/>
  <c r="B9" i="73"/>
  <c r="B27" i="73"/>
  <c r="B27" i="74"/>
  <c r="B7" i="75"/>
  <c r="G21" i="75"/>
  <c r="D21" i="75" s="1"/>
  <c r="B21" i="75" s="1"/>
  <c r="G20" i="75"/>
  <c r="D20" i="75" s="1"/>
  <c r="B20" i="75" s="1"/>
  <c r="D6" i="76"/>
  <c r="B14" i="76"/>
  <c r="B20" i="69"/>
  <c r="B14" i="75"/>
  <c r="B26" i="74"/>
  <c r="F24" i="68"/>
  <c r="E24" i="68" s="1"/>
  <c r="F10" i="68"/>
  <c r="E10" i="68" s="1"/>
  <c r="F22" i="68"/>
  <c r="F18" i="69"/>
  <c r="E18" i="69" s="1"/>
  <c r="F16" i="72"/>
  <c r="E16" i="72" s="1"/>
  <c r="F24" i="71"/>
  <c r="E24" i="71" s="1"/>
  <c r="F22" i="70"/>
  <c r="E22" i="70" s="1"/>
  <c r="F15" i="74"/>
  <c r="E15" i="74" s="1"/>
  <c r="F19" i="73"/>
  <c r="F15" i="69"/>
  <c r="F26" i="74"/>
  <c r="E26" i="74" s="1"/>
  <c r="F19" i="74"/>
  <c r="E19" i="74" s="1"/>
  <c r="F6" i="73"/>
  <c r="F8" i="70"/>
  <c r="E8" i="70" s="1"/>
  <c r="F27" i="71"/>
  <c r="F16" i="76"/>
  <c r="E16" i="76" s="1"/>
  <c r="F9" i="72"/>
  <c r="E9" i="72" s="1"/>
  <c r="F25" i="71"/>
  <c r="F16" i="73"/>
  <c r="E16" i="73" s="1"/>
  <c r="F12" i="72"/>
  <c r="F17" i="71"/>
  <c r="F10" i="69"/>
  <c r="F16" i="69"/>
  <c r="F12" i="71"/>
  <c r="F29" i="76"/>
  <c r="E29" i="76" s="1"/>
  <c r="F29" i="68"/>
  <c r="F17" i="68"/>
  <c r="E17" i="68" s="1"/>
  <c r="F30" i="71"/>
  <c r="F8" i="73"/>
  <c r="E8" i="73" s="1"/>
  <c r="F19" i="72"/>
  <c r="F28" i="69"/>
  <c r="F30" i="70"/>
  <c r="F16" i="71"/>
  <c r="E16" i="71" s="1"/>
  <c r="F9" i="76"/>
  <c r="F30" i="68"/>
  <c r="F8" i="75"/>
  <c r="F8" i="74"/>
  <c r="F12" i="70"/>
  <c r="F19" i="69"/>
  <c r="F26" i="69"/>
  <c r="F14" i="75"/>
  <c r="E14" i="75" s="1"/>
  <c r="F11" i="75"/>
  <c r="E11" i="75" s="1"/>
  <c r="F13" i="71"/>
  <c r="F19" i="75"/>
  <c r="E19" i="75" s="1"/>
  <c r="F23" i="71"/>
  <c r="E23" i="71" s="1"/>
  <c r="F12" i="75"/>
  <c r="F12" i="76"/>
  <c r="E12" i="76" s="1"/>
  <c r="F13" i="72"/>
  <c r="F8" i="72"/>
  <c r="E8" i="72" s="1"/>
  <c r="F10" i="75"/>
  <c r="E10" i="75" s="1"/>
  <c r="F22" i="76"/>
  <c r="F17" i="76"/>
  <c r="E17" i="76" s="1"/>
  <c r="F15" i="73"/>
  <c r="E15" i="73" s="1"/>
  <c r="F28" i="75"/>
  <c r="F27" i="70"/>
  <c r="F7" i="70"/>
  <c r="F26" i="75"/>
  <c r="F15" i="72"/>
  <c r="E15" i="72" s="1"/>
  <c r="F15" i="75"/>
  <c r="E15" i="75" s="1"/>
  <c r="F27" i="76"/>
  <c r="F26" i="73"/>
  <c r="F26" i="72"/>
  <c r="E26" i="72" s="1"/>
  <c r="F25" i="72"/>
  <c r="E25" i="72" s="1"/>
  <c r="F11" i="73"/>
  <c r="F29" i="70"/>
  <c r="F10" i="70"/>
  <c r="E10" i="70" s="1"/>
  <c r="F10" i="74"/>
  <c r="E10" i="74" s="1"/>
  <c r="F18" i="74"/>
  <c r="E18" i="74" s="1"/>
  <c r="F23" i="76"/>
  <c r="E23" i="76" s="1"/>
  <c r="F7" i="72"/>
  <c r="F23" i="70"/>
  <c r="E7" i="70"/>
  <c r="F9" i="71"/>
  <c r="E9" i="71" s="1"/>
  <c r="F20" i="69"/>
  <c r="E20" i="69" s="1"/>
  <c r="F16" i="70"/>
  <c r="E16" i="70" s="1"/>
  <c r="F13" i="76"/>
  <c r="E13" i="76" s="1"/>
  <c r="F13" i="70"/>
  <c r="F31" i="70"/>
  <c r="F10" i="76"/>
  <c r="E10" i="76" s="1"/>
  <c r="F31" i="76"/>
  <c r="F24" i="74"/>
  <c r="E24" i="74" s="1"/>
  <c r="F25" i="73"/>
  <c r="E25" i="73" s="1"/>
  <c r="F18" i="72"/>
  <c r="E18" i="72" s="1"/>
  <c r="F25" i="69"/>
  <c r="E25" i="69" s="1"/>
  <c r="F17" i="70"/>
  <c r="E17" i="70" s="1"/>
  <c r="F24" i="72"/>
  <c r="E24" i="72" s="1"/>
  <c r="F30" i="76"/>
  <c r="E30" i="76" s="1"/>
  <c r="F25" i="76"/>
  <c r="F11" i="74"/>
  <c r="E11" i="74" s="1"/>
  <c r="F28" i="74"/>
  <c r="E28" i="74" s="1"/>
  <c r="F28" i="73"/>
  <c r="F28" i="72"/>
  <c r="E28" i="72" s="1"/>
  <c r="F11" i="72"/>
  <c r="E11" i="72" s="1"/>
  <c r="F25" i="70"/>
  <c r="E25" i="70" s="1"/>
  <c r="F9" i="70"/>
  <c r="E9" i="70" s="1"/>
  <c r="F15" i="76"/>
  <c r="E15" i="76" s="1"/>
  <c r="F24" i="76"/>
  <c r="F18" i="76"/>
  <c r="F8" i="76"/>
  <c r="F19" i="76"/>
  <c r="E19" i="76" s="1"/>
  <c r="F28" i="76"/>
  <c r="E28" i="76" s="1"/>
  <c r="F7" i="76"/>
  <c r="E7" i="76" s="1"/>
  <c r="F6" i="76"/>
  <c r="F26" i="76"/>
  <c r="F11" i="76"/>
  <c r="E11" i="76" s="1"/>
  <c r="F14" i="76"/>
  <c r="E14" i="76" s="1"/>
  <c r="F30" i="75"/>
  <c r="E30" i="75" s="1"/>
  <c r="F9" i="75"/>
  <c r="F25" i="75"/>
  <c r="F13" i="75"/>
  <c r="E13" i="75" s="1"/>
  <c r="F29" i="75"/>
  <c r="E22" i="75"/>
  <c r="F16" i="75"/>
  <c r="F24" i="75"/>
  <c r="E24" i="75" s="1"/>
  <c r="F27" i="75"/>
  <c r="E27" i="75" s="1"/>
  <c r="F17" i="75"/>
  <c r="F23" i="75"/>
  <c r="F7" i="75"/>
  <c r="E7" i="75" s="1"/>
  <c r="F6" i="75"/>
  <c r="F18" i="75"/>
  <c r="E18" i="75" s="1"/>
  <c r="F31" i="75"/>
  <c r="E31" i="75" s="1"/>
  <c r="F30" i="74"/>
  <c r="F27" i="74"/>
  <c r="E27" i="74" s="1"/>
  <c r="F23" i="74"/>
  <c r="F7" i="74"/>
  <c r="F6" i="74"/>
  <c r="F25" i="74"/>
  <c r="E25" i="74" s="1"/>
  <c r="F13" i="74"/>
  <c r="F14" i="74"/>
  <c r="E14" i="74" s="1"/>
  <c r="F9" i="74"/>
  <c r="F29" i="74"/>
  <c r="F22" i="74"/>
  <c r="F12" i="74"/>
  <c r="E12" i="74" s="1"/>
  <c r="F31" i="74"/>
  <c r="E31" i="74" s="1"/>
  <c r="F17" i="74"/>
  <c r="F16" i="74"/>
  <c r="F31" i="73"/>
  <c r="E31" i="73" s="1"/>
  <c r="F7" i="73"/>
  <c r="F30" i="73"/>
  <c r="E30" i="73" s="1"/>
  <c r="F23" i="73"/>
  <c r="E23" i="73" s="1"/>
  <c r="F10" i="73"/>
  <c r="F17" i="73"/>
  <c r="F29" i="73"/>
  <c r="E29" i="73" s="1"/>
  <c r="F14" i="73"/>
  <c r="F12" i="73"/>
  <c r="F22" i="73"/>
  <c r="F18" i="73"/>
  <c r="E24" i="73"/>
  <c r="F13" i="73"/>
  <c r="E13" i="73" s="1"/>
  <c r="F9" i="73"/>
  <c r="E9" i="73" s="1"/>
  <c r="F27" i="73"/>
  <c r="E27" i="73" s="1"/>
  <c r="F22" i="72"/>
  <c r="F29" i="72"/>
  <c r="E29" i="72" s="1"/>
  <c r="F31" i="72"/>
  <c r="E31" i="72" s="1"/>
  <c r="F10" i="72"/>
  <c r="F27" i="72"/>
  <c r="F6" i="72"/>
  <c r="F30" i="72"/>
  <c r="E30" i="72" s="1"/>
  <c r="F17" i="72"/>
  <c r="E17" i="72" s="1"/>
  <c r="F23" i="72"/>
  <c r="E23" i="72" s="1"/>
  <c r="F14" i="72"/>
  <c r="F7" i="71"/>
  <c r="E7" i="71" s="1"/>
  <c r="F14" i="71"/>
  <c r="E14" i="71" s="1"/>
  <c r="F29" i="71"/>
  <c r="E29" i="71" s="1"/>
  <c r="F8" i="71"/>
  <c r="F31" i="71"/>
  <c r="E31" i="71" s="1"/>
  <c r="F10" i="71"/>
  <c r="E10" i="71" s="1"/>
  <c r="F19" i="71"/>
  <c r="E19" i="71" s="1"/>
  <c r="F6" i="71"/>
  <c r="F11" i="71"/>
  <c r="E11" i="71" s="1"/>
  <c r="F26" i="71"/>
  <c r="F22" i="71"/>
  <c r="F15" i="71"/>
  <c r="F18" i="71"/>
  <c r="F28" i="71"/>
  <c r="E28" i="71" s="1"/>
  <c r="F26" i="70"/>
  <c r="F15" i="70"/>
  <c r="E15" i="70" s="1"/>
  <c r="F24" i="70"/>
  <c r="E24" i="70" s="1"/>
  <c r="F18" i="70"/>
  <c r="F11" i="70"/>
  <c r="E11" i="70" s="1"/>
  <c r="F14" i="70"/>
  <c r="F6" i="70"/>
  <c r="F19" i="70"/>
  <c r="E19" i="70" s="1"/>
  <c r="F28" i="70"/>
  <c r="E28" i="70" s="1"/>
  <c r="F23" i="69"/>
  <c r="E23" i="69" s="1"/>
  <c r="F14" i="69"/>
  <c r="E14" i="69" s="1"/>
  <c r="F24" i="69"/>
  <c r="E24" i="69" s="1"/>
  <c r="F30" i="69"/>
  <c r="F29" i="69"/>
  <c r="F13" i="69"/>
  <c r="E13" i="69" s="1"/>
  <c r="F6" i="69"/>
  <c r="F8" i="69"/>
  <c r="F27" i="69"/>
  <c r="E27" i="69" s="1"/>
  <c r="F31" i="69"/>
  <c r="F22" i="69"/>
  <c r="F11" i="69"/>
  <c r="F21" i="69"/>
  <c r="F12" i="69"/>
  <c r="E12" i="69" s="1"/>
  <c r="F9" i="69"/>
  <c r="E9" i="69" s="1"/>
  <c r="F17" i="69"/>
  <c r="F7" i="69"/>
  <c r="E7" i="69" s="1"/>
  <c r="F6" i="68"/>
  <c r="F8" i="68"/>
  <c r="E8" i="68" s="1"/>
  <c r="F21" i="68"/>
  <c r="F19" i="68"/>
  <c r="F14" i="68"/>
  <c r="E14" i="68" s="1"/>
  <c r="F26" i="68"/>
  <c r="F31" i="68"/>
  <c r="E31" i="68" s="1"/>
  <c r="F18" i="68"/>
  <c r="E18" i="68" s="1"/>
  <c r="F23" i="68"/>
  <c r="F27" i="68"/>
  <c r="E27" i="68" s="1"/>
  <c r="E37" i="76" l="1"/>
  <c r="D37" i="76"/>
  <c r="M43" i="76"/>
  <c r="E37" i="75"/>
  <c r="M43" i="74"/>
  <c r="D37" i="70"/>
  <c r="E37" i="72"/>
  <c r="M43" i="75"/>
  <c r="D38" i="73"/>
  <c r="E11" i="69"/>
  <c r="F20" i="70"/>
  <c r="F21" i="70"/>
  <c r="E20" i="70" s="1"/>
  <c r="E17" i="69"/>
  <c r="E22" i="69"/>
  <c r="E9" i="74"/>
  <c r="E23" i="74"/>
  <c r="E8" i="76"/>
  <c r="E28" i="73"/>
  <c r="E25" i="76"/>
  <c r="E31" i="70"/>
  <c r="E27" i="70"/>
  <c r="E13" i="72"/>
  <c r="E8" i="74"/>
  <c r="E30" i="70"/>
  <c r="E37" i="70" s="1"/>
  <c r="E30" i="71"/>
  <c r="E17" i="71"/>
  <c r="E15" i="69"/>
  <c r="B34" i="70"/>
  <c r="B6" i="70"/>
  <c r="D34" i="70"/>
  <c r="E6" i="70"/>
  <c r="B6" i="75"/>
  <c r="B33" i="75" s="1"/>
  <c r="D34" i="75"/>
  <c r="E6" i="75"/>
  <c r="B34" i="75"/>
  <c r="M43" i="71"/>
  <c r="B21" i="70"/>
  <c r="D38" i="68"/>
  <c r="E6" i="68"/>
  <c r="D34" i="68"/>
  <c r="B34" i="68"/>
  <c r="B6" i="68"/>
  <c r="B33" i="68" s="1"/>
  <c r="D37" i="73"/>
  <c r="D37" i="74"/>
  <c r="D37" i="72"/>
  <c r="F20" i="73"/>
  <c r="E20" i="73" s="1"/>
  <c r="F21" i="73"/>
  <c r="E21" i="73" s="1"/>
  <c r="E9" i="76"/>
  <c r="F34" i="69"/>
  <c r="E18" i="70"/>
  <c r="E22" i="71"/>
  <c r="E27" i="72"/>
  <c r="E31" i="69"/>
  <c r="E14" i="70"/>
  <c r="E18" i="71"/>
  <c r="E14" i="72"/>
  <c r="E16" i="74"/>
  <c r="E22" i="74"/>
  <c r="E23" i="68"/>
  <c r="E26" i="68"/>
  <c r="E19" i="68"/>
  <c r="E21" i="68"/>
  <c r="F34" i="68"/>
  <c r="E21" i="69"/>
  <c r="E8" i="69"/>
  <c r="E29" i="69"/>
  <c r="E30" i="69"/>
  <c r="E26" i="70"/>
  <c r="E15" i="71"/>
  <c r="E26" i="71"/>
  <c r="E8" i="71"/>
  <c r="F21" i="71"/>
  <c r="E20" i="71" s="1"/>
  <c r="F20" i="71"/>
  <c r="E10" i="72"/>
  <c r="E22" i="72"/>
  <c r="E22" i="73"/>
  <c r="E17" i="73"/>
  <c r="E7" i="73"/>
  <c r="E37" i="73" s="1"/>
  <c r="E17" i="74"/>
  <c r="E29" i="74"/>
  <c r="E13" i="74"/>
  <c r="E7" i="74"/>
  <c r="E30" i="74"/>
  <c r="E23" i="75"/>
  <c r="E17" i="75"/>
  <c r="E16" i="75"/>
  <c r="E29" i="75"/>
  <c r="E25" i="75"/>
  <c r="E9" i="75"/>
  <c r="E26" i="76"/>
  <c r="E13" i="70"/>
  <c r="E23" i="70"/>
  <c r="E7" i="72"/>
  <c r="E29" i="70"/>
  <c r="E11" i="73"/>
  <c r="E26" i="73"/>
  <c r="E27" i="76"/>
  <c r="E26" i="75"/>
  <c r="E28" i="75"/>
  <c r="E12" i="75"/>
  <c r="E13" i="71"/>
  <c r="E26" i="69"/>
  <c r="E19" i="69"/>
  <c r="E12" i="70"/>
  <c r="E8" i="75"/>
  <c r="E30" i="68"/>
  <c r="E37" i="68" s="1"/>
  <c r="E28" i="69"/>
  <c r="E19" i="72"/>
  <c r="E12" i="71"/>
  <c r="E10" i="69"/>
  <c r="E12" i="72"/>
  <c r="E27" i="71"/>
  <c r="E19" i="73"/>
  <c r="D38" i="76"/>
  <c r="D40" i="76" s="1"/>
  <c r="B34" i="76"/>
  <c r="B6" i="76"/>
  <c r="B33" i="76" s="1"/>
  <c r="E6" i="76"/>
  <c r="D34" i="76"/>
  <c r="B21" i="71"/>
  <c r="E21" i="71"/>
  <c r="M43" i="70"/>
  <c r="D37" i="75"/>
  <c r="D37" i="71"/>
  <c r="B34" i="73"/>
  <c r="B6" i="73"/>
  <c r="B33" i="73" s="1"/>
  <c r="E6" i="73"/>
  <c r="D34" i="73"/>
  <c r="D38" i="74"/>
  <c r="B6" i="74"/>
  <c r="B33" i="74" s="1"/>
  <c r="E6" i="74"/>
  <c r="D34" i="74"/>
  <c r="B34" i="74"/>
  <c r="M43" i="72"/>
  <c r="D38" i="71"/>
  <c r="E6" i="71"/>
  <c r="B6" i="71"/>
  <c r="D34" i="71"/>
  <c r="B34" i="71"/>
  <c r="D37" i="69"/>
  <c r="B6" i="69"/>
  <c r="B33" i="69" s="1"/>
  <c r="E6" i="69"/>
  <c r="D34" i="69"/>
  <c r="B34" i="69"/>
  <c r="E18" i="73"/>
  <c r="E12" i="73"/>
  <c r="E14" i="73"/>
  <c r="E10" i="73"/>
  <c r="F20" i="75"/>
  <c r="E20" i="75" s="1"/>
  <c r="F21" i="75"/>
  <c r="E21" i="75" s="1"/>
  <c r="E18" i="76"/>
  <c r="E24" i="76"/>
  <c r="F21" i="76"/>
  <c r="E21" i="76" s="1"/>
  <c r="F20" i="76"/>
  <c r="E20" i="76" s="1"/>
  <c r="E31" i="76"/>
  <c r="F20" i="74"/>
  <c r="E20" i="74" s="1"/>
  <c r="F21" i="74"/>
  <c r="E21" i="74" s="1"/>
  <c r="E22" i="76"/>
  <c r="F20" i="72"/>
  <c r="E20" i="72" s="1"/>
  <c r="F21" i="72"/>
  <c r="E21" i="72" s="1"/>
  <c r="E29" i="68"/>
  <c r="E16" i="69"/>
  <c r="E25" i="71"/>
  <c r="E22" i="68"/>
  <c r="D38" i="70"/>
  <c r="D40" i="70" s="1"/>
  <c r="D38" i="75"/>
  <c r="D40" i="68"/>
  <c r="M43" i="73"/>
  <c r="E37" i="74"/>
  <c r="D38" i="72"/>
  <c r="D34" i="72"/>
  <c r="B34" i="72"/>
  <c r="B6" i="72"/>
  <c r="B33" i="72" s="1"/>
  <c r="E6" i="72"/>
  <c r="D40" i="75" l="1"/>
  <c r="F34" i="71"/>
  <c r="E37" i="71"/>
  <c r="F34" i="74"/>
  <c r="F34" i="75"/>
  <c r="E34" i="72"/>
  <c r="E38" i="72"/>
  <c r="E40" i="72" s="1"/>
  <c r="D40" i="69"/>
  <c r="E38" i="71"/>
  <c r="E34" i="71"/>
  <c r="D40" i="71"/>
  <c r="F34" i="72"/>
  <c r="F34" i="70"/>
  <c r="D40" i="72"/>
  <c r="E21" i="70"/>
  <c r="E38" i="70" s="1"/>
  <c r="E40" i="70" s="1"/>
  <c r="E34" i="75"/>
  <c r="E38" i="75"/>
  <c r="E40" i="75" s="1"/>
  <c r="E34" i="74"/>
  <c r="E38" i="74"/>
  <c r="E40" i="74" s="1"/>
  <c r="E34" i="73"/>
  <c r="E38" i="73"/>
  <c r="E40" i="73" s="1"/>
  <c r="E38" i="69"/>
  <c r="D40" i="73"/>
  <c r="E34" i="68"/>
  <c r="E38" i="68"/>
  <c r="E40" i="68" s="1"/>
  <c r="F34" i="73"/>
  <c r="F34" i="76"/>
  <c r="B33" i="70"/>
  <c r="E34" i="69"/>
  <c r="E37" i="69"/>
  <c r="E40" i="69" s="1"/>
  <c r="E34" i="76"/>
  <c r="E38" i="76"/>
  <c r="E40" i="76" s="1"/>
  <c r="B33" i="71"/>
  <c r="D40" i="74"/>
  <c r="E40" i="71" l="1"/>
  <c r="E34" i="70"/>
  <c r="G19" i="67"/>
  <c r="D19" i="67" s="1"/>
  <c r="B19" i="67" s="1"/>
  <c r="G18" i="66"/>
  <c r="D18" i="66" s="1"/>
  <c r="B18" i="66" s="1"/>
  <c r="G31" i="66"/>
  <c r="D31" i="66" s="1"/>
  <c r="B31" i="66" s="1"/>
  <c r="G26" i="66"/>
  <c r="D26" i="66" s="1"/>
  <c r="G24" i="66"/>
  <c r="D24" i="66" s="1"/>
  <c r="B24" i="66" s="1"/>
  <c r="G19" i="66"/>
  <c r="D19" i="66" s="1"/>
  <c r="B19" i="66" s="1"/>
  <c r="G12" i="66"/>
  <c r="D12" i="66" s="1"/>
  <c r="B12" i="66" s="1"/>
  <c r="G9" i="66"/>
  <c r="D9" i="66" s="1"/>
  <c r="B9" i="66" s="1"/>
  <c r="G6" i="66"/>
  <c r="D6" i="66" l="1"/>
  <c r="G20" i="66"/>
  <c r="D20" i="66" s="1"/>
  <c r="B20" i="66" s="1"/>
  <c r="G21" i="66"/>
  <c r="D21" i="66" s="1"/>
  <c r="B21" i="66" s="1"/>
  <c r="B26" i="66"/>
  <c r="F24" i="66"/>
  <c r="G30" i="67"/>
  <c r="D30" i="67" s="1"/>
  <c r="B30" i="67" s="1"/>
  <c r="G28" i="67"/>
  <c r="D28" i="67" s="1"/>
  <c r="B28" i="67" s="1"/>
  <c r="G22" i="67"/>
  <c r="D22" i="67" s="1"/>
  <c r="B22" i="67" s="1"/>
  <c r="G14" i="67"/>
  <c r="D14" i="67" s="1"/>
  <c r="G10" i="67"/>
  <c r="D10" i="67" s="1"/>
  <c r="B10" i="67" s="1"/>
  <c r="G8" i="67"/>
  <c r="D8" i="67" s="1"/>
  <c r="B8" i="67" s="1"/>
  <c r="G7" i="67"/>
  <c r="D7" i="67" s="1"/>
  <c r="B7" i="67" s="1"/>
  <c r="G11" i="67"/>
  <c r="D11" i="67" s="1"/>
  <c r="B11" i="67" s="1"/>
  <c r="G25" i="67"/>
  <c r="D25" i="67" s="1"/>
  <c r="B25" i="67" s="1"/>
  <c r="G15" i="67"/>
  <c r="D15" i="67" s="1"/>
  <c r="B15" i="67" s="1"/>
  <c r="G26" i="67"/>
  <c r="D26" i="67" s="1"/>
  <c r="B26" i="67" s="1"/>
  <c r="G27" i="67"/>
  <c r="D27" i="67" s="1"/>
  <c r="B27" i="67" s="1"/>
  <c r="G23" i="67"/>
  <c r="D23" i="67" s="1"/>
  <c r="B23" i="67" s="1"/>
  <c r="G29" i="67"/>
  <c r="D29" i="67" s="1"/>
  <c r="B29" i="67" s="1"/>
  <c r="G31" i="67"/>
  <c r="D31" i="67" s="1"/>
  <c r="B31" i="67" s="1"/>
  <c r="G6" i="67"/>
  <c r="G17" i="67"/>
  <c r="D17" i="67" s="1"/>
  <c r="B17" i="67" s="1"/>
  <c r="G18" i="67"/>
  <c r="D18" i="67" s="1"/>
  <c r="B18" i="67" s="1"/>
  <c r="F19" i="67"/>
  <c r="E19" i="67" s="1"/>
  <c r="G9" i="67"/>
  <c r="D9" i="67" s="1"/>
  <c r="G12" i="67"/>
  <c r="D12" i="67" s="1"/>
  <c r="B12" i="67" s="1"/>
  <c r="G13" i="67"/>
  <c r="D13" i="67" s="1"/>
  <c r="B13" i="67" s="1"/>
  <c r="G16" i="67"/>
  <c r="D16" i="67" s="1"/>
  <c r="B16" i="67" s="1"/>
  <c r="G24" i="67"/>
  <c r="D24" i="67" s="1"/>
  <c r="B24" i="67" s="1"/>
  <c r="G28" i="66"/>
  <c r="D28" i="66" s="1"/>
  <c r="B28" i="66" s="1"/>
  <c r="G7" i="66"/>
  <c r="D7" i="66" s="1"/>
  <c r="G10" i="66"/>
  <c r="D10" i="66" s="1"/>
  <c r="B10" i="66" s="1"/>
  <c r="G13" i="66"/>
  <c r="D13" i="66" s="1"/>
  <c r="B13" i="66" s="1"/>
  <c r="G16" i="66"/>
  <c r="D16" i="66" s="1"/>
  <c r="B16" i="66" s="1"/>
  <c r="F6" i="66"/>
  <c r="F18" i="66"/>
  <c r="F21" i="66"/>
  <c r="F31" i="66"/>
  <c r="F9" i="66"/>
  <c r="F19" i="66"/>
  <c r="E19" i="66" s="1"/>
  <c r="G23" i="66"/>
  <c r="D23" i="66" s="1"/>
  <c r="G25" i="66"/>
  <c r="D25" i="66" s="1"/>
  <c r="B25" i="66" s="1"/>
  <c r="F26" i="66"/>
  <c r="E26" i="66" s="1"/>
  <c r="G11" i="66"/>
  <c r="D11" i="66" s="1"/>
  <c r="B11" i="66" s="1"/>
  <c r="F12" i="66"/>
  <c r="E12" i="66" s="1"/>
  <c r="G8" i="66"/>
  <c r="D8" i="66" s="1"/>
  <c r="B8" i="66" s="1"/>
  <c r="G15" i="66"/>
  <c r="D15" i="66" s="1"/>
  <c r="B15" i="66" s="1"/>
  <c r="G14" i="66"/>
  <c r="D14" i="66" s="1"/>
  <c r="G17" i="66"/>
  <c r="D17" i="66" s="1"/>
  <c r="B17" i="66" s="1"/>
  <c r="G22" i="66"/>
  <c r="D22" i="66" s="1"/>
  <c r="B22" i="66" s="1"/>
  <c r="G27" i="66"/>
  <c r="D27" i="66" s="1"/>
  <c r="B27" i="66" s="1"/>
  <c r="G29" i="66"/>
  <c r="D29" i="66" s="1"/>
  <c r="B29" i="66" s="1"/>
  <c r="G30" i="66"/>
  <c r="D30" i="66" s="1"/>
  <c r="B30" i="66" s="1"/>
  <c r="D6" i="67" l="1"/>
  <c r="B14" i="67"/>
  <c r="D37" i="66"/>
  <c r="B9" i="67"/>
  <c r="E37" i="66"/>
  <c r="B7" i="66"/>
  <c r="M43" i="66"/>
  <c r="O43" i="66" s="1"/>
  <c r="B14" i="66"/>
  <c r="E18" i="66"/>
  <c r="B23" i="66"/>
  <c r="E9" i="66"/>
  <c r="E31" i="66"/>
  <c r="E21" i="66"/>
  <c r="G20" i="67"/>
  <c r="D20" i="67" s="1"/>
  <c r="B20" i="67" s="1"/>
  <c r="G21" i="67"/>
  <c r="D21" i="67" s="1"/>
  <c r="E24" i="66"/>
  <c r="D38" i="66"/>
  <c r="B34" i="66"/>
  <c r="B6" i="66"/>
  <c r="D34" i="66"/>
  <c r="F7" i="66"/>
  <c r="F24" i="67"/>
  <c r="F10" i="66"/>
  <c r="F16" i="66"/>
  <c r="F22" i="67"/>
  <c r="F22" i="66"/>
  <c r="E22" i="66" s="1"/>
  <c r="F30" i="67"/>
  <c r="E30" i="67" s="1"/>
  <c r="F13" i="66"/>
  <c r="F23" i="67"/>
  <c r="F28" i="66"/>
  <c r="F15" i="67"/>
  <c r="F25" i="67"/>
  <c r="F10" i="67"/>
  <c r="F8" i="67"/>
  <c r="E8" i="67" s="1"/>
  <c r="F28" i="67"/>
  <c r="E28" i="67" s="1"/>
  <c r="F14" i="67"/>
  <c r="E14" i="67" s="1"/>
  <c r="F29" i="67"/>
  <c r="F27" i="67"/>
  <c r="F7" i="67"/>
  <c r="F26" i="67"/>
  <c r="E26" i="67" s="1"/>
  <c r="F11" i="67"/>
  <c r="E11" i="67" s="1"/>
  <c r="F12" i="67"/>
  <c r="F17" i="67"/>
  <c r="F16" i="67"/>
  <c r="F18" i="67"/>
  <c r="E18" i="67" s="1"/>
  <c r="F13" i="67"/>
  <c r="F9" i="67"/>
  <c r="E9" i="67" s="1"/>
  <c r="F31" i="67"/>
  <c r="F6" i="67"/>
  <c r="F30" i="66"/>
  <c r="E30" i="66" s="1"/>
  <c r="F17" i="66"/>
  <c r="E17" i="66" s="1"/>
  <c r="F11" i="66"/>
  <c r="E11" i="66" s="1"/>
  <c r="E6" i="66"/>
  <c r="F29" i="66"/>
  <c r="F14" i="66"/>
  <c r="E14" i="66" s="1"/>
  <c r="F15" i="66"/>
  <c r="F8" i="66"/>
  <c r="F20" i="66"/>
  <c r="F27" i="66"/>
  <c r="E27" i="66" s="1"/>
  <c r="F25" i="66"/>
  <c r="F23" i="66"/>
  <c r="E23" i="66" s="1"/>
  <c r="B33" i="66" l="1"/>
  <c r="E31" i="67"/>
  <c r="E25" i="67"/>
  <c r="E28" i="66"/>
  <c r="E24" i="67"/>
  <c r="B21" i="67"/>
  <c r="D40" i="66"/>
  <c r="E13" i="67"/>
  <c r="E16" i="67"/>
  <c r="E12" i="67"/>
  <c r="E7" i="67"/>
  <c r="E23" i="67"/>
  <c r="E13" i="66"/>
  <c r="E22" i="67"/>
  <c r="F34" i="66"/>
  <c r="D38" i="67"/>
  <c r="D34" i="67"/>
  <c r="B34" i="67"/>
  <c r="E6" i="67"/>
  <c r="B6" i="67"/>
  <c r="B33" i="67" s="1"/>
  <c r="E25" i="66"/>
  <c r="E20" i="66"/>
  <c r="E8" i="66"/>
  <c r="E15" i="66"/>
  <c r="E29" i="66"/>
  <c r="E17" i="67"/>
  <c r="E10" i="67"/>
  <c r="E15" i="67"/>
  <c r="E16" i="66"/>
  <c r="D37" i="67"/>
  <c r="F20" i="67"/>
  <c r="F21" i="67"/>
  <c r="E20" i="67" s="1"/>
  <c r="E27" i="67"/>
  <c r="E29" i="67"/>
  <c r="E10" i="66"/>
  <c r="E7" i="66"/>
  <c r="M43" i="67"/>
  <c r="O43" i="67" s="1"/>
  <c r="O43" i="68" s="1"/>
  <c r="O43" i="69" s="1"/>
  <c r="O43" i="70" s="1"/>
  <c r="O43" i="71" s="1"/>
  <c r="O43" i="72" s="1"/>
  <c r="O43" i="73" s="1"/>
  <c r="O43" i="74" s="1"/>
  <c r="O43" i="75" s="1"/>
  <c r="O43" i="76" s="1"/>
  <c r="F34" i="67" l="1"/>
  <c r="E21" i="67"/>
  <c r="E34" i="67" s="1"/>
  <c r="E38" i="66"/>
  <c r="E40" i="66" s="1"/>
  <c r="D40" i="67"/>
  <c r="E37" i="67"/>
  <c r="E34" i="66"/>
  <c r="E38" i="67" l="1"/>
  <c r="E40" i="67" s="1"/>
  <c r="G8" i="52" l="1"/>
  <c r="D8" i="52" s="1"/>
  <c r="G9" i="52"/>
  <c r="D9" i="52" s="1"/>
  <c r="G10" i="52"/>
  <c r="D10" i="52" s="1"/>
  <c r="G11" i="52"/>
  <c r="D11" i="52" s="1"/>
  <c r="G12" i="52"/>
  <c r="D12" i="52" s="1"/>
  <c r="G13" i="52"/>
  <c r="D13" i="52" s="1"/>
  <c r="G14" i="52"/>
  <c r="D14" i="52" s="1"/>
  <c r="G15" i="52"/>
  <c r="D15" i="52" s="1"/>
  <c r="G16" i="52"/>
  <c r="D16" i="52" s="1"/>
  <c r="G17" i="52"/>
  <c r="D17" i="52" s="1"/>
  <c r="G19" i="52"/>
  <c r="D19" i="52" s="1"/>
  <c r="G22" i="52"/>
  <c r="D22" i="52" s="1"/>
  <c r="G23" i="52"/>
  <c r="D23" i="52" s="1"/>
  <c r="G24" i="52"/>
  <c r="D24" i="52" s="1"/>
  <c r="G25" i="52"/>
  <c r="D25" i="52" s="1"/>
  <c r="G26" i="52"/>
  <c r="D26" i="52" s="1"/>
  <c r="G27" i="52"/>
  <c r="D27" i="52" s="1"/>
  <c r="G28" i="52"/>
  <c r="D28" i="52" s="1"/>
  <c r="G31" i="52"/>
  <c r="D31" i="52" s="1"/>
  <c r="D25" i="77" l="1"/>
  <c r="D26" i="65"/>
  <c r="B25" i="52"/>
  <c r="B25" i="77" s="1"/>
  <c r="D9" i="77"/>
  <c r="D9" i="65"/>
  <c r="B9" i="52"/>
  <c r="B9" i="77" s="1"/>
  <c r="B28" i="52"/>
  <c r="B28" i="77" s="1"/>
  <c r="D31" i="65"/>
  <c r="D28" i="77"/>
  <c r="G20" i="52"/>
  <c r="D20" i="52" s="1"/>
  <c r="G21" i="52"/>
  <c r="D21" i="52" s="1"/>
  <c r="D17" i="65"/>
  <c r="D16" i="77"/>
  <c r="B16" i="52"/>
  <c r="B16" i="77" s="1"/>
  <c r="D12" i="65"/>
  <c r="D12" i="77"/>
  <c r="B12" i="52"/>
  <c r="B12" i="77" s="1"/>
  <c r="D8" i="77"/>
  <c r="B8" i="52"/>
  <c r="B8" i="77" s="1"/>
  <c r="D8" i="65"/>
  <c r="B17" i="52"/>
  <c r="B17" i="77" s="1"/>
  <c r="D17" i="77"/>
  <c r="D18" i="65"/>
  <c r="D27" i="77"/>
  <c r="D28" i="65"/>
  <c r="B27" i="52"/>
  <c r="B27" i="77" s="1"/>
  <c r="D25" i="65"/>
  <c r="D24" i="77"/>
  <c r="B24" i="52"/>
  <c r="B24" i="77" s="1"/>
  <c r="B15" i="52"/>
  <c r="B15" i="77" s="1"/>
  <c r="D15" i="77"/>
  <c r="D16" i="65"/>
  <c r="B11" i="52"/>
  <c r="B11" i="77" s="1"/>
  <c r="D11" i="65"/>
  <c r="D11" i="77"/>
  <c r="D22" i="77"/>
  <c r="D23" i="65"/>
  <c r="B22" i="52"/>
  <c r="B22" i="77" s="1"/>
  <c r="D14" i="65"/>
  <c r="D13" i="77"/>
  <c r="B13" i="52"/>
  <c r="B13" i="77" s="1"/>
  <c r="B31" i="52"/>
  <c r="B31" i="77" s="1"/>
  <c r="D31" i="77"/>
  <c r="D34" i="65"/>
  <c r="D27" i="65"/>
  <c r="D26" i="77"/>
  <c r="B26" i="52"/>
  <c r="B26" i="77" s="1"/>
  <c r="D24" i="65"/>
  <c r="D23" i="77"/>
  <c r="B23" i="52"/>
  <c r="B23" i="77" s="1"/>
  <c r="B19" i="52"/>
  <c r="B19" i="77" s="1"/>
  <c r="D20" i="65"/>
  <c r="D19" i="77"/>
  <c r="B14" i="52"/>
  <c r="B14" i="77" s="1"/>
  <c r="D15" i="65"/>
  <c r="D14" i="77"/>
  <c r="D10" i="77"/>
  <c r="D10" i="65"/>
  <c r="B10" i="52"/>
  <c r="B10" i="77" s="1"/>
  <c r="F27" i="52"/>
  <c r="F24" i="52"/>
  <c r="F8" i="52"/>
  <c r="F28" i="52"/>
  <c r="F23" i="52"/>
  <c r="F14" i="52"/>
  <c r="F31" i="52"/>
  <c r="F25" i="52"/>
  <c r="F22" i="52"/>
  <c r="F17" i="52"/>
  <c r="F13" i="52"/>
  <c r="F10" i="52"/>
  <c r="F16" i="52"/>
  <c r="F9" i="52"/>
  <c r="F15" i="52"/>
  <c r="F12" i="52"/>
  <c r="F26" i="52"/>
  <c r="F19" i="52"/>
  <c r="F11" i="52"/>
  <c r="G29" i="52"/>
  <c r="D29" i="52" s="1"/>
  <c r="F26" i="77" l="1"/>
  <c r="F27" i="65"/>
  <c r="F16" i="77"/>
  <c r="F17" i="65"/>
  <c r="F28" i="65"/>
  <c r="F27" i="77"/>
  <c r="B29" i="52"/>
  <c r="B29" i="77" s="1"/>
  <c r="D29" i="77"/>
  <c r="D32" i="65"/>
  <c r="F12" i="77"/>
  <c r="F12" i="65"/>
  <c r="F10" i="77"/>
  <c r="F10" i="65"/>
  <c r="F31" i="65"/>
  <c r="F28" i="77"/>
  <c r="F21" i="52"/>
  <c r="F20" i="52"/>
  <c r="F11" i="77"/>
  <c r="F11" i="65"/>
  <c r="F15" i="77"/>
  <c r="F16" i="65"/>
  <c r="F14" i="65"/>
  <c r="F13" i="77"/>
  <c r="F8" i="65"/>
  <c r="F8" i="77"/>
  <c r="F24" i="65"/>
  <c r="F23" i="77"/>
  <c r="F26" i="65"/>
  <c r="F25" i="77"/>
  <c r="F34" i="65"/>
  <c r="F31" i="77"/>
  <c r="F19" i="77"/>
  <c r="F20" i="65"/>
  <c r="F9" i="77"/>
  <c r="F9" i="65"/>
  <c r="F17" i="77"/>
  <c r="F18" i="65"/>
  <c r="F14" i="77"/>
  <c r="F15" i="65"/>
  <c r="F24" i="77"/>
  <c r="F25" i="65"/>
  <c r="D22" i="65"/>
  <c r="D21" i="77"/>
  <c r="B21" i="52"/>
  <c r="B21" i="77" s="1"/>
  <c r="F22" i="77"/>
  <c r="F23" i="65"/>
  <c r="D21" i="65"/>
  <c r="D20" i="77"/>
  <c r="B20" i="52"/>
  <c r="B20" i="77" s="1"/>
  <c r="F29" i="52"/>
  <c r="G18" i="52"/>
  <c r="D18" i="52" s="1"/>
  <c r="F20" i="77" l="1"/>
  <c r="F21" i="65"/>
  <c r="D19" i="65"/>
  <c r="B18" i="52"/>
  <c r="B18" i="77" s="1"/>
  <c r="D18" i="77"/>
  <c r="F32" i="65"/>
  <c r="F29" i="77"/>
  <c r="F21" i="77"/>
  <c r="F22" i="65"/>
  <c r="F18" i="52"/>
  <c r="F18" i="77" l="1"/>
  <c r="F19" i="65"/>
  <c r="E31" i="52" l="1"/>
  <c r="E23" i="52"/>
  <c r="E15" i="52"/>
  <c r="E8" i="52"/>
  <c r="E15" i="77" l="1"/>
  <c r="E16" i="65"/>
  <c r="E24" i="65"/>
  <c r="E23" i="77"/>
  <c r="E8" i="77"/>
  <c r="E8" i="65"/>
  <c r="E34" i="65"/>
  <c r="E31" i="77"/>
  <c r="G7" i="52"/>
  <c r="D7" i="52" s="1"/>
  <c r="E9" i="52"/>
  <c r="E10" i="52"/>
  <c r="E11" i="52"/>
  <c r="E12" i="52"/>
  <c r="E13" i="52"/>
  <c r="E14" i="52"/>
  <c r="E25" i="52"/>
  <c r="E26" i="52"/>
  <c r="E27" i="52"/>
  <c r="E24" i="52"/>
  <c r="E16" i="52"/>
  <c r="E17" i="52"/>
  <c r="E18" i="52"/>
  <c r="E19" i="52"/>
  <c r="E22" i="52"/>
  <c r="E28" i="52"/>
  <c r="E29" i="52"/>
  <c r="E17" i="65" l="1"/>
  <c r="E16" i="77"/>
  <c r="E15" i="65"/>
  <c r="E14" i="77"/>
  <c r="E10" i="77"/>
  <c r="E10" i="65"/>
  <c r="D7" i="65"/>
  <c r="D7" i="77"/>
  <c r="B7" i="52"/>
  <c r="B7" i="77" s="1"/>
  <c r="E25" i="65"/>
  <c r="E24" i="77"/>
  <c r="E28" i="65"/>
  <c r="E27" i="77"/>
  <c r="E25" i="77"/>
  <c r="E26" i="65"/>
  <c r="E22" i="77"/>
  <c r="E23" i="65"/>
  <c r="E12" i="65"/>
  <c r="E12" i="77"/>
  <c r="E28" i="77"/>
  <c r="E31" i="65"/>
  <c r="E21" i="52"/>
  <c r="E20" i="52"/>
  <c r="E18" i="65"/>
  <c r="E17" i="77"/>
  <c r="E13" i="77"/>
  <c r="E14" i="65"/>
  <c r="E11" i="65"/>
  <c r="E11" i="77"/>
  <c r="E9" i="65"/>
  <c r="E9" i="77"/>
  <c r="E19" i="65"/>
  <c r="E18" i="77"/>
  <c r="E32" i="65"/>
  <c r="E29" i="77"/>
  <c r="E19" i="77"/>
  <c r="E20" i="65"/>
  <c r="E26" i="77"/>
  <c r="E27" i="65"/>
  <c r="F7" i="52"/>
  <c r="E22" i="65" l="1"/>
  <c r="E21" i="77"/>
  <c r="E20" i="77"/>
  <c r="E21" i="65"/>
  <c r="F7" i="77"/>
  <c r="F7" i="65"/>
  <c r="E7" i="52"/>
  <c r="E7" i="77" l="1"/>
  <c r="E7" i="65"/>
  <c r="G6" i="52"/>
  <c r="D6" i="52" l="1"/>
  <c r="F6" i="52"/>
  <c r="F6" i="65" l="1"/>
  <c r="F37" i="65" s="1"/>
  <c r="F6" i="77"/>
  <c r="E6" i="52"/>
  <c r="B6" i="52"/>
  <c r="D6" i="65"/>
  <c r="D37" i="65" s="1"/>
  <c r="D6" i="77"/>
  <c r="E6" i="77" l="1"/>
  <c r="E6" i="65"/>
  <c r="E37" i="65" s="1"/>
  <c r="B6" i="77"/>
  <c r="G30" i="52" l="1"/>
  <c r="D30" i="52" l="1"/>
  <c r="D37" i="52" s="1"/>
  <c r="M43" i="52"/>
  <c r="D38" i="52"/>
  <c r="J38" i="52" s="1"/>
  <c r="E38" i="52"/>
  <c r="F30" i="52"/>
  <c r="F30" i="77" l="1"/>
  <c r="F34" i="77" s="1"/>
  <c r="F33" i="65"/>
  <c r="F34" i="52"/>
  <c r="J37" i="52"/>
  <c r="J40" i="52" s="1"/>
  <c r="D40" i="52"/>
  <c r="M36" i="52" s="1"/>
  <c r="D30" i="77"/>
  <c r="E30" i="52"/>
  <c r="B30" i="52"/>
  <c r="D33" i="65"/>
  <c r="B34" i="52"/>
  <c r="D34" i="52"/>
  <c r="E33" i="65" l="1"/>
  <c r="E30" i="77"/>
  <c r="E34" i="77" s="1"/>
  <c r="E34" i="52"/>
  <c r="E37" i="52"/>
  <c r="E40" i="52" s="1"/>
  <c r="B30" i="77"/>
  <c r="B33" i="77" s="1"/>
  <c r="M43" i="77" s="1"/>
  <c r="B33" i="52"/>
  <c r="D34" i="77"/>
  <c r="B34" i="77"/>
  <c r="D3" i="52"/>
  <c r="N37" i="52" s="1"/>
  <c r="M39" i="52"/>
  <c r="M41" i="52" s="1"/>
  <c r="O41" i="52" s="1"/>
  <c r="M29" i="69" l="1"/>
  <c r="N29" i="69" s="1"/>
  <c r="M25" i="69"/>
  <c r="N25" i="69" s="1"/>
  <c r="M21" i="69"/>
  <c r="N21" i="69" s="1"/>
  <c r="M17" i="69"/>
  <c r="N17" i="69" s="1"/>
  <c r="M13" i="69"/>
  <c r="N13" i="69" s="1"/>
  <c r="M9" i="69"/>
  <c r="N9" i="69" s="1"/>
  <c r="M8" i="72"/>
  <c r="N8" i="72" s="1"/>
  <c r="M10" i="72"/>
  <c r="N10" i="72" s="1"/>
  <c r="M12" i="72"/>
  <c r="N12" i="72" s="1"/>
  <c r="M14" i="72"/>
  <c r="N14" i="72" s="1"/>
  <c r="M16" i="72"/>
  <c r="N16" i="72" s="1"/>
  <c r="M18" i="72"/>
  <c r="N18" i="72" s="1"/>
  <c r="M6" i="69"/>
  <c r="M28" i="70"/>
  <c r="N28" i="70" s="1"/>
  <c r="M30" i="70"/>
  <c r="N30" i="70" s="1"/>
  <c r="M6" i="72"/>
  <c r="N6" i="72" s="1"/>
  <c r="M8" i="71"/>
  <c r="N8" i="71" s="1"/>
  <c r="M10" i="71"/>
  <c r="N10" i="71" s="1"/>
  <c r="M12" i="71"/>
  <c r="N12" i="71" s="1"/>
  <c r="M14" i="71"/>
  <c r="N14" i="71" s="1"/>
  <c r="M16" i="71"/>
  <c r="N16" i="71" s="1"/>
  <c r="M18" i="71"/>
  <c r="N18" i="71" s="1"/>
  <c r="M22" i="71"/>
  <c r="N22" i="71" s="1"/>
  <c r="M24" i="71"/>
  <c r="N24" i="71" s="1"/>
  <c r="M26" i="71"/>
  <c r="N26" i="71" s="1"/>
  <c r="M28" i="71"/>
  <c r="N28" i="71" s="1"/>
  <c r="M30" i="71"/>
  <c r="N30" i="71" s="1"/>
  <c r="M26" i="70"/>
  <c r="N26" i="70" s="1"/>
  <c r="M6" i="71"/>
  <c r="M6" i="70"/>
  <c r="M8" i="70"/>
  <c r="N8" i="70" s="1"/>
  <c r="M10" i="70"/>
  <c r="N10" i="70" s="1"/>
  <c r="M12" i="70"/>
  <c r="N12" i="70" s="1"/>
  <c r="M14" i="70"/>
  <c r="N14" i="70" s="1"/>
  <c r="M16" i="70"/>
  <c r="N16" i="70" s="1"/>
  <c r="M18" i="70"/>
  <c r="N18" i="70" s="1"/>
  <c r="M24" i="70"/>
  <c r="N24" i="70" s="1"/>
  <c r="M23" i="75"/>
  <c r="N23" i="75" s="1"/>
  <c r="M25" i="75"/>
  <c r="N25" i="75" s="1"/>
  <c r="M27" i="75"/>
  <c r="N27" i="75" s="1"/>
  <c r="M29" i="75"/>
  <c r="N29" i="75" s="1"/>
  <c r="M31" i="75"/>
  <c r="N31" i="75" s="1"/>
  <c r="M7" i="76"/>
  <c r="M9" i="76"/>
  <c r="N9" i="76" s="1"/>
  <c r="M11" i="76"/>
  <c r="N11" i="76" s="1"/>
  <c r="M13" i="76"/>
  <c r="N13" i="76" s="1"/>
  <c r="M15" i="76"/>
  <c r="N15" i="76" s="1"/>
  <c r="M17" i="76"/>
  <c r="N17" i="76" s="1"/>
  <c r="M19" i="76"/>
  <c r="N19" i="76" s="1"/>
  <c r="M23" i="76"/>
  <c r="N23" i="76" s="1"/>
  <c r="M25" i="76"/>
  <c r="N25" i="76" s="1"/>
  <c r="M27" i="76"/>
  <c r="N27" i="76" s="1"/>
  <c r="M29" i="76"/>
  <c r="N29" i="76" s="1"/>
  <c r="M31" i="76"/>
  <c r="N31" i="76" s="1"/>
  <c r="M30" i="69"/>
  <c r="N30" i="69" s="1"/>
  <c r="M26" i="69"/>
  <c r="N26" i="69" s="1"/>
  <c r="M22" i="69"/>
  <c r="N22" i="69" s="1"/>
  <c r="M18" i="69"/>
  <c r="N18" i="69" s="1"/>
  <c r="M14" i="69"/>
  <c r="N14" i="69" s="1"/>
  <c r="M10" i="69"/>
  <c r="N10" i="69" s="1"/>
  <c r="M19" i="70"/>
  <c r="N19" i="70" s="1"/>
  <c r="M23" i="72"/>
  <c r="N23" i="72" s="1"/>
  <c r="M25" i="72"/>
  <c r="N25" i="72" s="1"/>
  <c r="M27" i="72"/>
  <c r="N27" i="72" s="1"/>
  <c r="M29" i="72"/>
  <c r="N29" i="72" s="1"/>
  <c r="M31" i="72"/>
  <c r="N31" i="72" s="1"/>
  <c r="M7" i="73"/>
  <c r="N7" i="73" s="1"/>
  <c r="M9" i="73"/>
  <c r="N9" i="73" s="1"/>
  <c r="M11" i="73"/>
  <c r="N11" i="73" s="1"/>
  <c r="M13" i="73"/>
  <c r="N13" i="73" s="1"/>
  <c r="M15" i="73"/>
  <c r="N15" i="73" s="1"/>
  <c r="M17" i="73"/>
  <c r="N17" i="73" s="1"/>
  <c r="M19" i="73"/>
  <c r="N19" i="73" s="1"/>
  <c r="M23" i="73"/>
  <c r="N23" i="73" s="1"/>
  <c r="M25" i="73"/>
  <c r="N25" i="73" s="1"/>
  <c r="M27" i="73"/>
  <c r="N27" i="73" s="1"/>
  <c r="M29" i="73"/>
  <c r="N29" i="73" s="1"/>
  <c r="M31" i="73"/>
  <c r="N31" i="73" s="1"/>
  <c r="M7" i="74"/>
  <c r="N7" i="74" s="1"/>
  <c r="M9" i="74"/>
  <c r="N9" i="74" s="1"/>
  <c r="M11" i="74"/>
  <c r="N11" i="74" s="1"/>
  <c r="M13" i="74"/>
  <c r="N13" i="74" s="1"/>
  <c r="M15" i="74"/>
  <c r="N15" i="74" s="1"/>
  <c r="M17" i="74"/>
  <c r="N17" i="74" s="1"/>
  <c r="M19" i="74"/>
  <c r="N19" i="74" s="1"/>
  <c r="M23" i="74"/>
  <c r="N23" i="74" s="1"/>
  <c r="M25" i="74"/>
  <c r="N25" i="74" s="1"/>
  <c r="M27" i="74"/>
  <c r="N27" i="74" s="1"/>
  <c r="M29" i="74"/>
  <c r="N29" i="74" s="1"/>
  <c r="M31" i="74"/>
  <c r="N31" i="74" s="1"/>
  <c r="M7" i="75"/>
  <c r="N7" i="75" s="1"/>
  <c r="M9" i="75"/>
  <c r="N9" i="75" s="1"/>
  <c r="M11" i="75"/>
  <c r="N11" i="75" s="1"/>
  <c r="M13" i="75"/>
  <c r="N13" i="75" s="1"/>
  <c r="M15" i="75"/>
  <c r="N15" i="75" s="1"/>
  <c r="M17" i="75"/>
  <c r="N17" i="75" s="1"/>
  <c r="M19" i="75"/>
  <c r="N19" i="75" s="1"/>
  <c r="M31" i="69"/>
  <c r="N31" i="69" s="1"/>
  <c r="M27" i="69"/>
  <c r="N27" i="69" s="1"/>
  <c r="M23" i="69"/>
  <c r="N23" i="69" s="1"/>
  <c r="M19" i="69"/>
  <c r="N19" i="69" s="1"/>
  <c r="M15" i="69"/>
  <c r="N15" i="69" s="1"/>
  <c r="M11" i="69"/>
  <c r="N11" i="69" s="1"/>
  <c r="M7" i="69"/>
  <c r="N7" i="69" s="1"/>
  <c r="M7" i="70"/>
  <c r="N7" i="70" s="1"/>
  <c r="M9" i="70"/>
  <c r="N9" i="70" s="1"/>
  <c r="M11" i="70"/>
  <c r="N11" i="70" s="1"/>
  <c r="M13" i="70"/>
  <c r="N13" i="70" s="1"/>
  <c r="M15" i="70"/>
  <c r="N15" i="70" s="1"/>
  <c r="M17" i="70"/>
  <c r="N17" i="70" s="1"/>
  <c r="M23" i="70"/>
  <c r="N23" i="70" s="1"/>
  <c r="M25" i="70"/>
  <c r="N25" i="70" s="1"/>
  <c r="M27" i="70"/>
  <c r="N27" i="70" s="1"/>
  <c r="M29" i="70"/>
  <c r="N29" i="70" s="1"/>
  <c r="M31" i="70"/>
  <c r="N31" i="70" s="1"/>
  <c r="M7" i="71"/>
  <c r="N7" i="71" s="1"/>
  <c r="M9" i="71"/>
  <c r="N9" i="71" s="1"/>
  <c r="M11" i="71"/>
  <c r="N11" i="71" s="1"/>
  <c r="M13" i="71"/>
  <c r="N13" i="71" s="1"/>
  <c r="M15" i="71"/>
  <c r="N15" i="71" s="1"/>
  <c r="M17" i="71"/>
  <c r="N17" i="71" s="1"/>
  <c r="M19" i="71"/>
  <c r="N19" i="71" s="1"/>
  <c r="M23" i="71"/>
  <c r="N23" i="71" s="1"/>
  <c r="M25" i="71"/>
  <c r="N25" i="71" s="1"/>
  <c r="M27" i="71"/>
  <c r="N27" i="71" s="1"/>
  <c r="M29" i="71"/>
  <c r="N29" i="71" s="1"/>
  <c r="M31" i="71"/>
  <c r="N31" i="71" s="1"/>
  <c r="M7" i="72"/>
  <c r="N7" i="72" s="1"/>
  <c r="M9" i="72"/>
  <c r="N9" i="72" s="1"/>
  <c r="M11" i="72"/>
  <c r="N11" i="72" s="1"/>
  <c r="M13" i="72"/>
  <c r="N13" i="72" s="1"/>
  <c r="M15" i="72"/>
  <c r="N15" i="72" s="1"/>
  <c r="M17" i="72"/>
  <c r="N17" i="72" s="1"/>
  <c r="M19" i="72"/>
  <c r="N19" i="72" s="1"/>
  <c r="M22" i="75"/>
  <c r="N22" i="75" s="1"/>
  <c r="M24" i="75"/>
  <c r="N24" i="75" s="1"/>
  <c r="M26" i="75"/>
  <c r="N26" i="75" s="1"/>
  <c r="M28" i="75"/>
  <c r="N28" i="75" s="1"/>
  <c r="M30" i="75"/>
  <c r="N30" i="75" s="1"/>
  <c r="M8" i="76"/>
  <c r="N8" i="76" s="1"/>
  <c r="M10" i="76"/>
  <c r="N10" i="76" s="1"/>
  <c r="M12" i="76"/>
  <c r="N12" i="76" s="1"/>
  <c r="M14" i="76"/>
  <c r="N14" i="76" s="1"/>
  <c r="M16" i="76"/>
  <c r="N16" i="76" s="1"/>
  <c r="M18" i="76"/>
  <c r="N18" i="76" s="1"/>
  <c r="M22" i="76"/>
  <c r="N22" i="76" s="1"/>
  <c r="M24" i="76"/>
  <c r="N24" i="76" s="1"/>
  <c r="M26" i="76"/>
  <c r="N26" i="76" s="1"/>
  <c r="M28" i="76"/>
  <c r="N28" i="76" s="1"/>
  <c r="M30" i="76"/>
  <c r="N30" i="76" s="1"/>
  <c r="M28" i="69"/>
  <c r="N28" i="69" s="1"/>
  <c r="M24" i="69"/>
  <c r="N24" i="69" s="1"/>
  <c r="M20" i="69"/>
  <c r="N20" i="69" s="1"/>
  <c r="M16" i="69"/>
  <c r="N16" i="69" s="1"/>
  <c r="M12" i="69"/>
  <c r="N12" i="69" s="1"/>
  <c r="M8" i="69"/>
  <c r="N8" i="69" s="1"/>
  <c r="M22" i="70"/>
  <c r="N22" i="70" s="1"/>
  <c r="M22" i="72"/>
  <c r="N22" i="72" s="1"/>
  <c r="M24" i="72"/>
  <c r="N24" i="72" s="1"/>
  <c r="M26" i="72"/>
  <c r="N26" i="72" s="1"/>
  <c r="M28" i="72"/>
  <c r="N28" i="72" s="1"/>
  <c r="M30" i="72"/>
  <c r="N30" i="72" s="1"/>
  <c r="M6" i="73"/>
  <c r="M8" i="73"/>
  <c r="N8" i="73" s="1"/>
  <c r="M10" i="73"/>
  <c r="N10" i="73" s="1"/>
  <c r="M12" i="73"/>
  <c r="N12" i="73" s="1"/>
  <c r="M14" i="73"/>
  <c r="N14" i="73" s="1"/>
  <c r="M16" i="73"/>
  <c r="N16" i="73" s="1"/>
  <c r="M18" i="73"/>
  <c r="N18" i="73" s="1"/>
  <c r="M22" i="73"/>
  <c r="N22" i="73" s="1"/>
  <c r="M24" i="73"/>
  <c r="N24" i="73" s="1"/>
  <c r="M26" i="73"/>
  <c r="N26" i="73" s="1"/>
  <c r="M28" i="73"/>
  <c r="N28" i="73" s="1"/>
  <c r="M30" i="73"/>
  <c r="N30" i="73" s="1"/>
  <c r="M6" i="74"/>
  <c r="N6" i="74" s="1"/>
  <c r="M8" i="74"/>
  <c r="N8" i="74" s="1"/>
  <c r="M10" i="74"/>
  <c r="N10" i="74" s="1"/>
  <c r="M12" i="74"/>
  <c r="N12" i="74" s="1"/>
  <c r="M14" i="74"/>
  <c r="N14" i="74" s="1"/>
  <c r="M16" i="74"/>
  <c r="N16" i="74" s="1"/>
  <c r="M18" i="74"/>
  <c r="N18" i="74" s="1"/>
  <c r="M22" i="74"/>
  <c r="N22" i="74" s="1"/>
  <c r="M24" i="74"/>
  <c r="N24" i="74" s="1"/>
  <c r="M26" i="74"/>
  <c r="N26" i="74" s="1"/>
  <c r="M28" i="74"/>
  <c r="N28" i="74" s="1"/>
  <c r="M30" i="74"/>
  <c r="N30" i="74" s="1"/>
  <c r="M6" i="75"/>
  <c r="N6" i="75" s="1"/>
  <c r="M8" i="75"/>
  <c r="N8" i="75" s="1"/>
  <c r="M10" i="75"/>
  <c r="N10" i="75" s="1"/>
  <c r="M12" i="75"/>
  <c r="N12" i="75" s="1"/>
  <c r="M14" i="75"/>
  <c r="N14" i="75" s="1"/>
  <c r="M16" i="75"/>
  <c r="N16" i="75" s="1"/>
  <c r="M18" i="75"/>
  <c r="N18" i="75" s="1"/>
  <c r="M21" i="71" l="1"/>
  <c r="M20" i="71"/>
  <c r="M21" i="72"/>
  <c r="M20" i="72"/>
  <c r="N6" i="71"/>
  <c r="N6" i="70"/>
  <c r="N6" i="73"/>
  <c r="N7" i="76"/>
  <c r="M34" i="69"/>
  <c r="N6" i="69"/>
  <c r="M20" i="73"/>
  <c r="M21" i="73"/>
  <c r="M20" i="75"/>
  <c r="M21" i="75"/>
  <c r="M21" i="74"/>
  <c r="M20" i="74"/>
  <c r="M21" i="70"/>
  <c r="M20" i="70"/>
  <c r="M20" i="76"/>
  <c r="M21" i="76"/>
  <c r="M34" i="72" l="1"/>
  <c r="M34" i="71"/>
  <c r="M34" i="70"/>
  <c r="M34" i="74"/>
  <c r="M34" i="73"/>
  <c r="N20" i="76"/>
  <c r="N21" i="76"/>
  <c r="N34" i="76" s="1"/>
  <c r="N21" i="75"/>
  <c r="N20" i="75"/>
  <c r="M34" i="76"/>
  <c r="N21" i="74"/>
  <c r="N20" i="74"/>
  <c r="M34" i="75"/>
  <c r="G38" i="76"/>
  <c r="J38" i="76" s="1"/>
  <c r="N20" i="72"/>
  <c r="N21" i="72"/>
  <c r="N20" i="73"/>
  <c r="N21" i="73"/>
  <c r="G38" i="73" s="1"/>
  <c r="J38" i="73" s="1"/>
  <c r="G38" i="69"/>
  <c r="J38" i="69" s="1"/>
  <c r="N34" i="69"/>
  <c r="G37" i="69"/>
  <c r="N21" i="70"/>
  <c r="N20" i="70"/>
  <c r="N20" i="71"/>
  <c r="N21" i="71"/>
  <c r="G37" i="74" l="1"/>
  <c r="G37" i="76"/>
  <c r="G37" i="73"/>
  <c r="J37" i="73" s="1"/>
  <c r="J40" i="73" s="1"/>
  <c r="G38" i="71"/>
  <c r="J38" i="71" s="1"/>
  <c r="G38" i="72"/>
  <c r="J38" i="72" s="1"/>
  <c r="G37" i="70"/>
  <c r="J37" i="70" s="1"/>
  <c r="N34" i="71"/>
  <c r="N34" i="70"/>
  <c r="G38" i="75"/>
  <c r="J38" i="75" s="1"/>
  <c r="N34" i="75"/>
  <c r="G37" i="75"/>
  <c r="G40" i="69"/>
  <c r="J37" i="69"/>
  <c r="N34" i="73"/>
  <c r="G38" i="74"/>
  <c r="J38" i="74" s="1"/>
  <c r="N34" i="74"/>
  <c r="G40" i="76"/>
  <c r="M44" i="76" s="1"/>
  <c r="J37" i="76"/>
  <c r="J40" i="76" s="1"/>
  <c r="J37" i="74"/>
  <c r="G40" i="73"/>
  <c r="M44" i="73" s="1"/>
  <c r="G37" i="71"/>
  <c r="G38" i="70"/>
  <c r="J38" i="70" s="1"/>
  <c r="N34" i="72"/>
  <c r="G37" i="72"/>
  <c r="M23" i="67"/>
  <c r="N23" i="67" s="1"/>
  <c r="M26" i="67"/>
  <c r="N26" i="67" s="1"/>
  <c r="M28" i="67"/>
  <c r="N28" i="67" s="1"/>
  <c r="M30" i="67"/>
  <c r="N30" i="67" s="1"/>
  <c r="M6" i="67"/>
  <c r="M8" i="67"/>
  <c r="N8" i="67" s="1"/>
  <c r="M10" i="67"/>
  <c r="N10" i="67" s="1"/>
  <c r="M12" i="67"/>
  <c r="N12" i="67" s="1"/>
  <c r="M14" i="67"/>
  <c r="N14" i="67" s="1"/>
  <c r="M16" i="67"/>
  <c r="N16" i="67" s="1"/>
  <c r="M18" i="67"/>
  <c r="N18" i="67" s="1"/>
  <c r="M6" i="68"/>
  <c r="M8" i="68"/>
  <c r="N8" i="68" s="1"/>
  <c r="M10" i="68"/>
  <c r="N10" i="68" s="1"/>
  <c r="M12" i="68"/>
  <c r="N12" i="68" s="1"/>
  <c r="M14" i="68"/>
  <c r="N14" i="68" s="1"/>
  <c r="M16" i="68"/>
  <c r="N16" i="68" s="1"/>
  <c r="M18" i="68"/>
  <c r="N18" i="68" s="1"/>
  <c r="M20" i="68"/>
  <c r="N20" i="68" s="1"/>
  <c r="M22" i="68"/>
  <c r="N22" i="68" s="1"/>
  <c r="M24" i="68"/>
  <c r="N24" i="68" s="1"/>
  <c r="M26" i="68"/>
  <c r="N26" i="68" s="1"/>
  <c r="M28" i="68"/>
  <c r="N28" i="68" s="1"/>
  <c r="M30" i="68"/>
  <c r="N30" i="68" s="1"/>
  <c r="M7" i="67"/>
  <c r="N7" i="67" s="1"/>
  <c r="M9" i="67"/>
  <c r="N9" i="67" s="1"/>
  <c r="M11" i="67"/>
  <c r="N11" i="67" s="1"/>
  <c r="M13" i="67"/>
  <c r="N13" i="67" s="1"/>
  <c r="M15" i="67"/>
  <c r="N15" i="67" s="1"/>
  <c r="M17" i="67"/>
  <c r="N17" i="67" s="1"/>
  <c r="M19" i="67"/>
  <c r="N19" i="67" s="1"/>
  <c r="M25" i="67"/>
  <c r="N25" i="67" s="1"/>
  <c r="M27" i="67"/>
  <c r="N27" i="67" s="1"/>
  <c r="M29" i="67"/>
  <c r="N29" i="67" s="1"/>
  <c r="M31" i="67"/>
  <c r="N31" i="67" s="1"/>
  <c r="M7" i="68"/>
  <c r="N7" i="68" s="1"/>
  <c r="M9" i="68"/>
  <c r="N9" i="68" s="1"/>
  <c r="M11" i="68"/>
  <c r="N11" i="68" s="1"/>
  <c r="M13" i="68"/>
  <c r="N13" i="68" s="1"/>
  <c r="M15" i="68"/>
  <c r="N15" i="68" s="1"/>
  <c r="M17" i="68"/>
  <c r="N17" i="68" s="1"/>
  <c r="M19" i="68"/>
  <c r="N19" i="68" s="1"/>
  <c r="M21" i="68"/>
  <c r="N21" i="68" s="1"/>
  <c r="M23" i="68"/>
  <c r="N23" i="68" s="1"/>
  <c r="M25" i="68"/>
  <c r="N25" i="68" s="1"/>
  <c r="M27" i="68"/>
  <c r="N27" i="68" s="1"/>
  <c r="M29" i="68"/>
  <c r="N29" i="68" s="1"/>
  <c r="M31" i="68"/>
  <c r="N31" i="68" s="1"/>
  <c r="G40" i="75" l="1"/>
  <c r="J37" i="75"/>
  <c r="N6" i="68"/>
  <c r="M34" i="68"/>
  <c r="N6" i="67"/>
  <c r="G40" i="71"/>
  <c r="J37" i="71"/>
  <c r="G40" i="70"/>
  <c r="G40" i="74"/>
  <c r="M20" i="67"/>
  <c r="M21" i="67"/>
  <c r="G40" i="72"/>
  <c r="M44" i="72" s="1"/>
  <c r="J37" i="72"/>
  <c r="J40" i="72" s="1"/>
  <c r="M44" i="69"/>
  <c r="M44" i="74" l="1"/>
  <c r="M44" i="71"/>
  <c r="N34" i="68"/>
  <c r="G38" i="68"/>
  <c r="J38" i="68" s="1"/>
  <c r="G37" i="68"/>
  <c r="N21" i="67"/>
  <c r="N20" i="67"/>
  <c r="M44" i="70"/>
  <c r="M44" i="75"/>
  <c r="G40" i="68" l="1"/>
  <c r="J37" i="68"/>
  <c r="M7" i="66"/>
  <c r="M9" i="66"/>
  <c r="M11" i="66"/>
  <c r="M13" i="66"/>
  <c r="M15" i="66"/>
  <c r="M17" i="66"/>
  <c r="M19" i="66"/>
  <c r="M23" i="66"/>
  <c r="M25" i="66"/>
  <c r="M27" i="66"/>
  <c r="M29" i="66"/>
  <c r="M31" i="66"/>
  <c r="M6" i="66"/>
  <c r="M8" i="66"/>
  <c r="M10" i="66"/>
  <c r="M12" i="66"/>
  <c r="M14" i="66"/>
  <c r="M16" i="66"/>
  <c r="M18" i="66"/>
  <c r="M22" i="66"/>
  <c r="M24" i="66"/>
  <c r="M26" i="66"/>
  <c r="M28" i="66"/>
  <c r="M30" i="66"/>
  <c r="M30" i="77" l="1"/>
  <c r="N30" i="66"/>
  <c r="N28" i="66"/>
  <c r="M28" i="77"/>
  <c r="N31" i="66"/>
  <c r="M31" i="77"/>
  <c r="M23" i="77"/>
  <c r="N23" i="66"/>
  <c r="M15" i="77"/>
  <c r="N15" i="66"/>
  <c r="M7" i="77"/>
  <c r="N7" i="66"/>
  <c r="M25" i="77"/>
  <c r="N25" i="66"/>
  <c r="N26" i="66"/>
  <c r="M26" i="77"/>
  <c r="N10" i="66"/>
  <c r="M10" i="77"/>
  <c r="M29" i="77"/>
  <c r="N29" i="66"/>
  <c r="M20" i="66"/>
  <c r="M20" i="77" s="1"/>
  <c r="M21" i="66"/>
  <c r="N13" i="66"/>
  <c r="M13" i="77"/>
  <c r="N22" i="66"/>
  <c r="M14" i="77"/>
  <c r="N14" i="66"/>
  <c r="N6" i="66"/>
  <c r="M6" i="77"/>
  <c r="N17" i="66"/>
  <c r="M17" i="77"/>
  <c r="N9" i="66"/>
  <c r="M9" i="77"/>
  <c r="M12" i="77"/>
  <c r="N12" i="66"/>
  <c r="N18" i="66"/>
  <c r="M18" i="77"/>
  <c r="N24" i="66"/>
  <c r="M16" i="77"/>
  <c r="N16" i="66"/>
  <c r="N8" i="66"/>
  <c r="M8" i="77"/>
  <c r="M27" i="77"/>
  <c r="N27" i="66"/>
  <c r="N19" i="66"/>
  <c r="M19" i="77"/>
  <c r="M11" i="77"/>
  <c r="N11" i="66"/>
  <c r="M44" i="68"/>
  <c r="M34" i="66" l="1"/>
  <c r="M21" i="77"/>
  <c r="N21" i="66"/>
  <c r="G37" i="66" s="1"/>
  <c r="N20" i="66"/>
  <c r="G38" i="66" l="1"/>
  <c r="J38" i="66" s="1"/>
  <c r="J37" i="66"/>
  <c r="N34" i="66"/>
  <c r="M24" i="67"/>
  <c r="J40" i="66" l="1"/>
  <c r="G40" i="66"/>
  <c r="M44" i="66" s="1"/>
  <c r="O44" i="66" s="1"/>
  <c r="N24" i="67"/>
  <c r="M24" i="77"/>
  <c r="M22" i="67"/>
  <c r="M36" i="66" l="1"/>
  <c r="M39" i="66" s="1"/>
  <c r="M41" i="66" s="1"/>
  <c r="O41" i="66" s="1"/>
  <c r="N22" i="67"/>
  <c r="M34" i="67"/>
  <c r="M22" i="77"/>
  <c r="M34" i="77" s="1"/>
  <c r="D3" i="66" l="1"/>
  <c r="N37" i="66" s="1"/>
  <c r="N34" i="67"/>
  <c r="G38" i="67"/>
  <c r="J38" i="67" s="1"/>
  <c r="G37" i="67"/>
  <c r="G40" i="67" l="1"/>
  <c r="J37" i="67"/>
  <c r="J40" i="67" s="1"/>
  <c r="M44" i="67" l="1"/>
  <c r="O44" i="67" s="1"/>
  <c r="O44" i="68" s="1"/>
  <c r="O44" i="69" s="1"/>
  <c r="O44" i="70" s="1"/>
  <c r="O44" i="71" s="1"/>
  <c r="O44" i="72" s="1"/>
  <c r="O44" i="73" s="1"/>
  <c r="O44" i="74" s="1"/>
  <c r="O44" i="75" s="1"/>
  <c r="O44" i="76" s="1"/>
  <c r="M36" i="67"/>
  <c r="D3" i="67" l="1"/>
  <c r="N37" i="67" s="1"/>
  <c r="M39" i="67"/>
  <c r="M41" i="67" s="1"/>
  <c r="O41" i="67" s="1"/>
  <c r="J40" i="68" l="1"/>
  <c r="M36" i="68"/>
  <c r="D3" i="68" l="1"/>
  <c r="N37" i="68" s="1"/>
  <c r="M39" i="68"/>
  <c r="M41" i="68" s="1"/>
  <c r="O41" i="68" s="1"/>
  <c r="J40" i="69" l="1"/>
  <c r="M36" i="69"/>
  <c r="M39" i="69" l="1"/>
  <c r="M41" i="69" s="1"/>
  <c r="O41" i="69" s="1"/>
  <c r="D3" i="69"/>
  <c r="N37" i="69" s="1"/>
  <c r="J40" i="70" l="1"/>
  <c r="M36" i="70"/>
  <c r="D3" i="70" l="1"/>
  <c r="N37" i="70" s="1"/>
  <c r="M39" i="70"/>
  <c r="M41" i="70" s="1"/>
  <c r="O41" i="70" s="1"/>
  <c r="M36" i="71" l="1"/>
  <c r="J40" i="71"/>
  <c r="M39" i="71" l="1"/>
  <c r="M41" i="71" s="1"/>
  <c r="O41" i="71" s="1"/>
  <c r="M36" i="72" s="1"/>
  <c r="D3" i="71"/>
  <c r="N37" i="71" s="1"/>
  <c r="M39" i="72" l="1"/>
  <c r="M41" i="72" s="1"/>
  <c r="O41" i="72" s="1"/>
  <c r="M36" i="73" s="1"/>
  <c r="D3" i="72"/>
  <c r="N37" i="72" s="1"/>
  <c r="M39" i="73" l="1"/>
  <c r="M41" i="73" s="1"/>
  <c r="O41" i="73" s="1"/>
  <c r="D3" i="73"/>
  <c r="N37" i="73" s="1"/>
  <c r="J40" i="74" l="1"/>
  <c r="M36" i="74"/>
  <c r="M39" i="74" l="1"/>
  <c r="M41" i="74" s="1"/>
  <c r="O41" i="74" s="1"/>
  <c r="D3" i="74"/>
  <c r="N37" i="74" s="1"/>
  <c r="J40" i="75" l="1"/>
  <c r="M36" i="75"/>
  <c r="D3" i="75" l="1"/>
  <c r="N37" i="75" s="1"/>
  <c r="M39" i="75"/>
  <c r="R38" i="77" l="1"/>
  <c r="R41" i="77" s="1"/>
  <c r="M41" i="75"/>
  <c r="O41" i="75" s="1"/>
  <c r="M36" i="76" s="1"/>
  <c r="M39" i="76" l="1"/>
  <c r="M41" i="76" s="1"/>
  <c r="D3" i="76"/>
  <c r="N37" i="76" s="1"/>
  <c r="O41" i="76" l="1"/>
  <c r="O47" i="76"/>
  <c r="T10" i="76" l="1"/>
  <c r="T18" i="76"/>
  <c r="T28" i="76"/>
  <c r="T20" i="76"/>
  <c r="T13" i="76"/>
  <c r="T15" i="76"/>
  <c r="T29" i="76"/>
  <c r="T22" i="76"/>
  <c r="T16" i="76"/>
  <c r="T31" i="76"/>
  <c r="T14" i="76"/>
  <c r="T11" i="76"/>
  <c r="T8" i="76"/>
  <c r="T9" i="76"/>
  <c r="T27" i="76"/>
  <c r="T23" i="76"/>
  <c r="T26" i="76"/>
  <c r="T19" i="76"/>
  <c r="T6" i="76"/>
  <c r="T25" i="76"/>
  <c r="T21" i="76"/>
  <c r="T7" i="76"/>
  <c r="T12" i="76"/>
  <c r="T30" i="76"/>
  <c r="T24" i="76"/>
  <c r="T17" i="76"/>
  <c r="T34" i="76" l="1"/>
  <c r="T36" i="76" s="1"/>
  <c r="M38" i="78" l="1"/>
  <c r="G42" i="78" l="1"/>
  <c r="G41" i="78"/>
  <c r="N38" i="78"/>
  <c r="G44" i="78" l="1"/>
  <c r="M48" i="78" s="1"/>
  <c r="H23" i="78" l="1"/>
  <c r="L23" i="79" s="1"/>
  <c r="I19" i="78"/>
  <c r="H19" i="78"/>
  <c r="I24" i="78"/>
  <c r="H24" i="78"/>
  <c r="I17" i="78"/>
  <c r="H17" i="78"/>
  <c r="L24" i="79" l="1"/>
  <c r="L17" i="79"/>
  <c r="L19" i="79"/>
  <c r="L38" i="79" s="1"/>
  <c r="H38" i="78"/>
  <c r="I38" i="78"/>
  <c r="F26" i="78" l="1"/>
  <c r="F28" i="78"/>
  <c r="J17" i="78" l="1"/>
  <c r="J19" i="78"/>
  <c r="J23" i="78" l="1"/>
  <c r="J24" i="78"/>
  <c r="H42" i="78" s="1"/>
  <c r="H41" i="78" l="1"/>
  <c r="H44" i="78" l="1"/>
  <c r="G17" i="79" l="1"/>
  <c r="D17" i="79" s="1"/>
  <c r="B17" i="79" s="1"/>
  <c r="G33" i="79"/>
  <c r="D33" i="79" s="1"/>
  <c r="B33" i="79" s="1"/>
  <c r="G19" i="79"/>
  <c r="D19" i="79" s="1"/>
  <c r="B19" i="79" s="1"/>
  <c r="G14" i="79"/>
  <c r="D14" i="79" s="1"/>
  <c r="B14" i="79" s="1"/>
  <c r="G30" i="79"/>
  <c r="D30" i="79" s="1"/>
  <c r="B30" i="79" s="1"/>
  <c r="G13" i="79"/>
  <c r="D13" i="79" s="1"/>
  <c r="B13" i="79" s="1"/>
  <c r="G31" i="79"/>
  <c r="D31" i="79" s="1"/>
  <c r="B31" i="79" s="1"/>
  <c r="G27" i="79"/>
  <c r="D27" i="79" s="1"/>
  <c r="B27" i="79" s="1"/>
  <c r="G18" i="79"/>
  <c r="D18" i="79" s="1"/>
  <c r="B18" i="79" s="1"/>
  <c r="G34" i="79"/>
  <c r="D34" i="79" s="1"/>
  <c r="B34" i="79" s="1"/>
  <c r="G16" i="79"/>
  <c r="D16" i="79" s="1"/>
  <c r="B16" i="79" s="1"/>
  <c r="G28" i="79"/>
  <c r="D28" i="79" s="1"/>
  <c r="B28" i="79" s="1"/>
  <c r="G21" i="79"/>
  <c r="D21" i="79" s="1"/>
  <c r="B21" i="79" s="1"/>
  <c r="G11" i="79"/>
  <c r="D11" i="79" s="1"/>
  <c r="B11" i="79" s="1"/>
  <c r="G35" i="79"/>
  <c r="D35" i="79" s="1"/>
  <c r="B35" i="79" s="1"/>
  <c r="G22" i="79"/>
  <c r="D22" i="79" s="1"/>
  <c r="B22" i="79" s="1"/>
  <c r="G8" i="79"/>
  <c r="D8" i="79" s="1"/>
  <c r="B8" i="79" s="1"/>
  <c r="G29" i="79"/>
  <c r="D29" i="79" s="1"/>
  <c r="B29" i="79" s="1"/>
  <c r="G15" i="79"/>
  <c r="D15" i="79" s="1"/>
  <c r="B15" i="79" s="1"/>
  <c r="G6" i="79"/>
  <c r="D6" i="79" s="1"/>
  <c r="G26" i="79"/>
  <c r="D26" i="79" s="1"/>
  <c r="B26" i="79" s="1"/>
  <c r="G12" i="79"/>
  <c r="D12" i="79" s="1"/>
  <c r="B12" i="79" s="1"/>
  <c r="G20" i="79"/>
  <c r="D20" i="79" s="1"/>
  <c r="B20" i="79" s="1"/>
  <c r="G32" i="79"/>
  <c r="D32" i="79" s="1"/>
  <c r="B32" i="79" s="1"/>
  <c r="F32" i="79" l="1"/>
  <c r="E32" i="79" s="1"/>
  <c r="F13" i="79"/>
  <c r="F12" i="79"/>
  <c r="E12" i="79" s="1"/>
  <c r="F19" i="79"/>
  <c r="F17" i="79"/>
  <c r="E17" i="79" s="1"/>
  <c r="F20" i="79"/>
  <c r="F33" i="79"/>
  <c r="E33" i="79" s="1"/>
  <c r="F34" i="79"/>
  <c r="F6" i="79"/>
  <c r="F30" i="79"/>
  <c r="E30" i="79" s="1"/>
  <c r="F18" i="79"/>
  <c r="F28" i="79"/>
  <c r="F27" i="79"/>
  <c r="F15" i="79"/>
  <c r="E15" i="79" s="1"/>
  <c r="F8" i="79"/>
  <c r="F16" i="79"/>
  <c r="E16" i="79" s="1"/>
  <c r="F35" i="79"/>
  <c r="E35" i="79" s="1"/>
  <c r="F26" i="79"/>
  <c r="E26" i="79" s="1"/>
  <c r="F29" i="79"/>
  <c r="F21" i="79"/>
  <c r="F22" i="79"/>
  <c r="F14" i="79"/>
  <c r="E14" i="79" s="1"/>
  <c r="F31" i="79"/>
  <c r="F11" i="79"/>
  <c r="E11" i="79" s="1"/>
  <c r="E13" i="79"/>
  <c r="E19" i="79"/>
  <c r="E20" i="79"/>
  <c r="E34" i="79"/>
  <c r="E6" i="79"/>
  <c r="E18" i="79"/>
  <c r="E28" i="79"/>
  <c r="E27" i="79"/>
  <c r="E8" i="79"/>
  <c r="E29" i="79"/>
  <c r="E21" i="79"/>
  <c r="E22" i="79"/>
  <c r="E31" i="79"/>
  <c r="B6" i="79"/>
  <c r="G6" i="78" l="1"/>
  <c r="G33" i="78"/>
  <c r="D33" i="78" s="1"/>
  <c r="B33" i="78" s="1"/>
  <c r="D6" i="78"/>
  <c r="F33" i="78" l="1"/>
  <c r="E33" i="78" s="1"/>
  <c r="F6" i="78"/>
  <c r="E6" i="78"/>
  <c r="B6" i="78"/>
  <c r="G32" i="78" l="1"/>
  <c r="D32" i="78" s="1"/>
  <c r="B32" i="78" s="1"/>
  <c r="E26" i="78" l="1"/>
  <c r="E28" i="78"/>
  <c r="F32" i="78"/>
  <c r="E32" i="78" s="1"/>
  <c r="G23" i="78" l="1"/>
  <c r="D23" i="78" s="1"/>
  <c r="B23" i="78" s="1"/>
  <c r="G27" i="78"/>
  <c r="D27" i="78" s="1"/>
  <c r="B27" i="78" s="1"/>
  <c r="G12" i="78" l="1"/>
  <c r="D12" i="78" s="1"/>
  <c r="B12" i="78" s="1"/>
  <c r="G19" i="78"/>
  <c r="D19" i="78" s="1"/>
  <c r="B19" i="78" s="1"/>
  <c r="G8" i="78"/>
  <c r="D8" i="78" s="1"/>
  <c r="B8" i="78" s="1"/>
  <c r="G35" i="78"/>
  <c r="D35" i="78" s="1"/>
  <c r="B35" i="78" s="1"/>
  <c r="F23" i="78"/>
  <c r="E23" i="78" s="1"/>
  <c r="G14" i="78"/>
  <c r="D14" i="78" s="1"/>
  <c r="B14" i="78" s="1"/>
  <c r="G30" i="78"/>
  <c r="D30" i="78" s="1"/>
  <c r="B30" i="78" s="1"/>
  <c r="G29" i="78"/>
  <c r="D29" i="78" s="1"/>
  <c r="G24" i="78"/>
  <c r="D24" i="78" s="1"/>
  <c r="G13" i="78"/>
  <c r="D13" i="78" s="1"/>
  <c r="B13" i="78" s="1"/>
  <c r="G18" i="78"/>
  <c r="D18" i="78" s="1"/>
  <c r="B18" i="78" s="1"/>
  <c r="G10" i="78"/>
  <c r="D10" i="78" s="1"/>
  <c r="B10" i="78" s="1"/>
  <c r="G25" i="78"/>
  <c r="D25" i="78" s="1"/>
  <c r="B25" i="78" s="1"/>
  <c r="G9" i="78"/>
  <c r="D9" i="78" s="1"/>
  <c r="G31" i="78"/>
  <c r="D31" i="78" s="1"/>
  <c r="B31" i="78" s="1"/>
  <c r="G34" i="78"/>
  <c r="D34" i="78" s="1"/>
  <c r="B34" i="78" s="1"/>
  <c r="G7" i="78"/>
  <c r="D7" i="78" s="1"/>
  <c r="G15" i="78"/>
  <c r="D15" i="78" s="1"/>
  <c r="B15" i="78" s="1"/>
  <c r="G21" i="78"/>
  <c r="D21" i="78" s="1"/>
  <c r="B21" i="78" s="1"/>
  <c r="G20" i="78"/>
  <c r="D20" i="78" s="1"/>
  <c r="B20" i="78" s="1"/>
  <c r="G22" i="78"/>
  <c r="D22" i="78" s="1"/>
  <c r="B22" i="78" s="1"/>
  <c r="G16" i="78"/>
  <c r="D16" i="78" s="1"/>
  <c r="B16" i="78" s="1"/>
  <c r="G11" i="78"/>
  <c r="D11" i="78" s="1"/>
  <c r="B11" i="78" s="1"/>
  <c r="F27" i="78"/>
  <c r="E27" i="78" s="1"/>
  <c r="B29" i="78"/>
  <c r="B24" i="78"/>
  <c r="B9" i="78"/>
  <c r="F35" i="78" l="1"/>
  <c r="E35" i="78" s="1"/>
  <c r="F19" i="78"/>
  <c r="E19" i="78" s="1"/>
  <c r="F29" i="78"/>
  <c r="E29" i="78" s="1"/>
  <c r="F11" i="78"/>
  <c r="E11" i="78" s="1"/>
  <c r="F24" i="78"/>
  <c r="E24" i="78" s="1"/>
  <c r="F9" i="78"/>
  <c r="E9" i="78" s="1"/>
  <c r="F7" i="78"/>
  <c r="E7" i="78" s="1"/>
  <c r="F31" i="78"/>
  <c r="E31" i="78" s="1"/>
  <c r="F20" i="78"/>
  <c r="E20" i="78" s="1"/>
  <c r="F15" i="78"/>
  <c r="E15" i="78" s="1"/>
  <c r="F12" i="78"/>
  <c r="E12" i="78" s="1"/>
  <c r="F8" i="78"/>
  <c r="E8" i="78" s="1"/>
  <c r="F18" i="78"/>
  <c r="E18" i="78" s="1"/>
  <c r="F25" i="78"/>
  <c r="E25" i="78" s="1"/>
  <c r="F10" i="78"/>
  <c r="E10" i="78" s="1"/>
  <c r="F21" i="78"/>
  <c r="E21" i="78" s="1"/>
  <c r="F30" i="78"/>
  <c r="E30" i="78" s="1"/>
  <c r="F34" i="78"/>
  <c r="E34" i="78" s="1"/>
  <c r="F22" i="78"/>
  <c r="E22" i="78" s="1"/>
  <c r="F14" i="78"/>
  <c r="E14" i="78" s="1"/>
  <c r="F16" i="78"/>
  <c r="E16" i="78" s="1"/>
  <c r="F13" i="78"/>
  <c r="E13" i="78" s="1"/>
  <c r="B7" i="78"/>
  <c r="G7" i="79" l="1"/>
  <c r="G23" i="79"/>
  <c r="D23" i="79" s="1"/>
  <c r="B23" i="79" s="1"/>
  <c r="G9" i="79"/>
  <c r="D9" i="79" s="1"/>
  <c r="B9" i="79" s="1"/>
  <c r="D7" i="79"/>
  <c r="G10" i="79"/>
  <c r="D10" i="79" s="1"/>
  <c r="B10" i="79" s="1"/>
  <c r="F7" i="79" l="1"/>
  <c r="F10" i="79"/>
  <c r="E10" i="79" s="1"/>
  <c r="F23" i="79"/>
  <c r="E23" i="79" s="1"/>
  <c r="F9" i="79"/>
  <c r="G24" i="79"/>
  <c r="E9" i="79"/>
  <c r="G25" i="79"/>
  <c r="D25" i="79" s="1"/>
  <c r="B25" i="79" s="1"/>
  <c r="E7" i="79"/>
  <c r="B7" i="79"/>
  <c r="F25" i="79" l="1"/>
  <c r="F24" i="79"/>
  <c r="F38" i="79" s="1"/>
  <c r="E25" i="79"/>
  <c r="E41" i="79" s="1"/>
  <c r="D41" i="79"/>
  <c r="D24" i="79"/>
  <c r="M47" i="79"/>
  <c r="O47" i="79" s="1"/>
  <c r="B24" i="79" l="1"/>
  <c r="B37" i="79" s="1"/>
  <c r="E24" i="79"/>
  <c r="B38" i="79"/>
  <c r="D38" i="79"/>
  <c r="D42" i="79"/>
  <c r="D44" i="79" s="1"/>
  <c r="E38" i="79" l="1"/>
  <c r="E42" i="79"/>
  <c r="E44" i="79" s="1"/>
  <c r="G17" i="78" l="1"/>
  <c r="D17" i="78" s="1"/>
  <c r="M47" i="78"/>
  <c r="E41" i="78" l="1"/>
  <c r="D41" i="78"/>
  <c r="F17" i="78"/>
  <c r="F38" i="78" s="1"/>
  <c r="D42" i="78"/>
  <c r="J42" i="78" s="1"/>
  <c r="J41" i="78"/>
  <c r="B17" i="78"/>
  <c r="B37" i="78" s="1"/>
  <c r="E17" i="78"/>
  <c r="B38" i="78"/>
  <c r="D38" i="78"/>
  <c r="D44" i="78" l="1"/>
  <c r="M40" i="78" s="1"/>
  <c r="J44" i="78"/>
  <c r="D3" i="78"/>
  <c r="N41" i="78" s="1"/>
  <c r="M43" i="78"/>
  <c r="M45" i="78" s="1"/>
  <c r="O45" i="78" s="1"/>
  <c r="E38" i="78"/>
  <c r="E42" i="78"/>
  <c r="E44" i="78" s="1"/>
  <c r="M33" i="79" l="1"/>
  <c r="N33" i="79" s="1"/>
  <c r="M19" i="79"/>
  <c r="N19" i="79" s="1"/>
  <c r="M35" i="79"/>
  <c r="N35" i="79" s="1"/>
  <c r="M22" i="79"/>
  <c r="N22" i="79" s="1"/>
  <c r="M9" i="79"/>
  <c r="N9" i="79" s="1"/>
  <c r="M25" i="79"/>
  <c r="N25" i="79" s="1"/>
  <c r="M20" i="79"/>
  <c r="N20" i="79" s="1"/>
  <c r="M8" i="79"/>
  <c r="N8" i="79" s="1"/>
  <c r="M24" i="79"/>
  <c r="N24" i="79" s="1"/>
  <c r="M7" i="79"/>
  <c r="N7" i="79" s="1"/>
  <c r="M23" i="79"/>
  <c r="N23" i="79" s="1"/>
  <c r="M10" i="79"/>
  <c r="N10" i="79" s="1"/>
  <c r="M26" i="79"/>
  <c r="N26" i="79" s="1"/>
  <c r="M13" i="79"/>
  <c r="N13" i="79" s="1"/>
  <c r="M29" i="79"/>
  <c r="N29" i="79" s="1"/>
  <c r="M6" i="79"/>
  <c r="M12" i="79"/>
  <c r="N12" i="79" s="1"/>
  <c r="M28" i="79"/>
  <c r="N28" i="79" s="1"/>
  <c r="M11" i="79"/>
  <c r="N11" i="79" s="1"/>
  <c r="M27" i="79"/>
  <c r="N27" i="79" s="1"/>
  <c r="M14" i="79"/>
  <c r="N14" i="79" s="1"/>
  <c r="M30" i="79"/>
  <c r="N30" i="79" s="1"/>
  <c r="M17" i="79"/>
  <c r="N17" i="79" s="1"/>
  <c r="M16" i="79"/>
  <c r="N16" i="79" s="1"/>
  <c r="M32" i="79"/>
  <c r="N32" i="79" s="1"/>
  <c r="M15" i="79"/>
  <c r="N15" i="79" s="1"/>
  <c r="M31" i="79"/>
  <c r="N31" i="79" s="1"/>
  <c r="M18" i="79"/>
  <c r="N18" i="79" s="1"/>
  <c r="M34" i="79"/>
  <c r="N34" i="79" s="1"/>
  <c r="M21" i="79"/>
  <c r="N21" i="79" s="1"/>
  <c r="M38" i="79" l="1"/>
  <c r="N6" i="79"/>
  <c r="G41" i="79"/>
  <c r="J41" i="79" l="1"/>
  <c r="N38" i="79"/>
  <c r="G42" i="79"/>
  <c r="J42" i="79" s="1"/>
  <c r="J44" i="79" s="1"/>
  <c r="G44" i="79" l="1"/>
  <c r="M48" i="79" l="1"/>
  <c r="O48" i="79" s="1"/>
  <c r="M40" i="79"/>
  <c r="D3" i="79" l="1"/>
  <c r="N41" i="79" s="1"/>
  <c r="M43" i="79"/>
  <c r="M45" i="79" s="1"/>
  <c r="O45" i="79" s="1"/>
</calcChain>
</file>

<file path=xl/sharedStrings.xml><?xml version="1.0" encoding="utf-8"?>
<sst xmlns="http://schemas.openxmlformats.org/spreadsheetml/2006/main" count="1236" uniqueCount="108">
  <si>
    <t>ASSOCIATION</t>
  </si>
  <si>
    <t>ASELBY</t>
  </si>
  <si>
    <t>ANNEE</t>
  </si>
  <si>
    <t>MATRICULE</t>
  </si>
  <si>
    <t>NOM ET PRENOM</t>
  </si>
  <si>
    <t>MONTANT TONTINE</t>
  </si>
  <si>
    <t>MODE VERSEMENT</t>
  </si>
  <si>
    <t>MONTANT VERSE</t>
  </si>
  <si>
    <t>ECHEC</t>
  </si>
  <si>
    <t>AS201602</t>
  </si>
  <si>
    <t>AS201604</t>
  </si>
  <si>
    <t>AS201605</t>
  </si>
  <si>
    <t>AS201608</t>
  </si>
  <si>
    <t>AS201609</t>
  </si>
  <si>
    <t>AS201610</t>
  </si>
  <si>
    <t>AS201611</t>
  </si>
  <si>
    <t>AS201613</t>
  </si>
  <si>
    <t>AS201617</t>
  </si>
  <si>
    <t>AS201619</t>
  </si>
  <si>
    <t>AS201620</t>
  </si>
  <si>
    <t>AS201621</t>
  </si>
  <si>
    <t>AS201622</t>
  </si>
  <si>
    <t>AS201624</t>
  </si>
  <si>
    <t>AS201626</t>
  </si>
  <si>
    <t>AS201628</t>
  </si>
  <si>
    <t>AS201629</t>
  </si>
  <si>
    <t>AS201633</t>
  </si>
  <si>
    <t>AS201636</t>
  </si>
  <si>
    <t>AS201637</t>
  </si>
  <si>
    <t>AS201638</t>
  </si>
  <si>
    <t>AS201639</t>
  </si>
  <si>
    <t>AS201641</t>
  </si>
  <si>
    <t>AS201646</t>
  </si>
  <si>
    <t>AS201647</t>
  </si>
  <si>
    <t>TOTAL</t>
  </si>
  <si>
    <t>RESTE</t>
  </si>
  <si>
    <t>ESPECES</t>
  </si>
  <si>
    <t>BANQUE</t>
  </si>
  <si>
    <t>TONTINE</t>
  </si>
  <si>
    <t>MODE VERSEMENT REMBOURSEMENT</t>
  </si>
  <si>
    <t>REMBOURSEMENT PETIT LOT</t>
  </si>
  <si>
    <t>INTERET PETIT LOT</t>
  </si>
  <si>
    <t>MODE VERSEMENTLOT PRINCIPAL</t>
  </si>
  <si>
    <t>INTERET LOT PRINCIPAL</t>
  </si>
  <si>
    <t>VENTE PETIT LOT</t>
  </si>
  <si>
    <t>MODE VERSEMENT VENTE PETIT LOT</t>
  </si>
  <si>
    <t>VENTE LOT PRINCIPAL</t>
  </si>
  <si>
    <t>SOLDE EN CAISSE</t>
  </si>
  <si>
    <t>PENALITE VERSEMENT ESPECES</t>
  </si>
  <si>
    <t>AS201649</t>
  </si>
  <si>
    <t>AS201651</t>
  </si>
  <si>
    <t>AS201653</t>
  </si>
  <si>
    <t>PETIT LOT</t>
  </si>
  <si>
    <t>TONTINE + REMB + INTERET VENTE</t>
  </si>
  <si>
    <t>NUMERO CHEQUE</t>
  </si>
  <si>
    <t>RELIQUAT</t>
  </si>
  <si>
    <t>TOTAL+DEPOT</t>
  </si>
  <si>
    <t>AS201654</t>
  </si>
  <si>
    <t>CUMUL</t>
  </si>
  <si>
    <t>ECHEC REMBOURSEMENT MOIS</t>
  </si>
  <si>
    <t>ECHEC TONTINE MOIS</t>
  </si>
  <si>
    <t>DEFAILLANCE TONTINE</t>
  </si>
  <si>
    <t>PENALITE</t>
  </si>
  <si>
    <t>REMBOURSEMENT</t>
  </si>
  <si>
    <t>AVANCE</t>
  </si>
  <si>
    <t>NKEHEP DAVID</t>
  </si>
  <si>
    <t>TYAM ERNEST</t>
  </si>
  <si>
    <t>SIME FOGANG</t>
  </si>
  <si>
    <t>FOTSO THOMAS</t>
  </si>
  <si>
    <t>NANGUEN MARTIN</t>
  </si>
  <si>
    <t>SIME BRICE</t>
  </si>
  <si>
    <t>HENGUE PAUL</t>
  </si>
  <si>
    <t>KEPSEU FRANCIS</t>
  </si>
  <si>
    <t>ATTENDU</t>
  </si>
  <si>
    <t>TONTINE DECEMBRE</t>
  </si>
  <si>
    <t>RESTITUTION NGUIEMENI</t>
  </si>
  <si>
    <t>KOUAMOU VICTOR</t>
  </si>
  <si>
    <t>KEHE DAVID</t>
  </si>
  <si>
    <t>SIME FOGANG ERIC</t>
  </si>
  <si>
    <t>BENEFICIAIRE DECEMBRE</t>
  </si>
  <si>
    <t>NBRE PART</t>
  </si>
  <si>
    <t>NBREPART</t>
  </si>
  <si>
    <t>MONTANT A REMBOURSER PETIT LOT</t>
  </si>
  <si>
    <t>MONTANT  LOT PRINCIPAL</t>
  </si>
  <si>
    <t>LOT PRINCIPAL</t>
  </si>
  <si>
    <t>TONIINE</t>
  </si>
  <si>
    <t xml:space="preserve">TAUX TONTINE </t>
  </si>
  <si>
    <t>MOIS ACHAT</t>
  </si>
  <si>
    <t>LLIQUIDATION</t>
  </si>
  <si>
    <t>DJOMO</t>
  </si>
  <si>
    <t>OK</t>
  </si>
  <si>
    <t>KAMGANG</t>
  </si>
  <si>
    <t>KOUTCHO</t>
  </si>
  <si>
    <t>NBRE ADHERENT</t>
  </si>
  <si>
    <t>TOTAL PART</t>
  </si>
  <si>
    <t>PART VENDUE</t>
  </si>
  <si>
    <t>DATE OBTENTION</t>
  </si>
  <si>
    <t>TONTINE + REMB + INTERET VENTE+RELIQUAT</t>
  </si>
  <si>
    <t>INTERET DU</t>
  </si>
  <si>
    <t>EN ATTENTE</t>
  </si>
  <si>
    <t>INTERET A PERCEVOIR</t>
  </si>
  <si>
    <t>INTERET A DISTRIBUER</t>
  </si>
  <si>
    <t>reliquat</t>
  </si>
  <si>
    <t>AS201656</t>
  </si>
  <si>
    <t>AS201657</t>
  </si>
  <si>
    <t>AS201643</t>
  </si>
  <si>
    <t>AS201658</t>
  </si>
  <si>
    <t>AS201601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</si>
</sst>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0C]d\-mmm\-yy;@"/>
    <numFmt numFmtId="165" formatCode="[$-40C]d\-mmm;@"/>
    <numFmt numFmtId="166" formatCode="[$-40C]mmmm\-yy;@"/>
    <numFmt numFmtId="167" formatCode="[$-40C]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4"/>
      <color theme="1"/>
      <name val="Britannic Bold"/>
      <family val="2"/>
    </font>
    <font>
      <b/>
      <sz val="18"/>
      <color theme="1"/>
      <name val="Calibri"/>
      <family val="2"/>
      <scheme val="minor"/>
    </font>
    <font>
      <b/>
      <sz val="16"/>
      <name val="Arial"/>
      <family val="2"/>
    </font>
    <font>
      <sz val="14"/>
      <color rgb="FF0070C0"/>
      <name val="Britannic Bold"/>
      <family val="2"/>
    </font>
    <font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3" fontId="1" fillId="0" borderId="0" xfId="0" applyNumberFormat="1" applyFont="1"/>
    <xf numFmtId="3" fontId="2" fillId="0" borderId="0" xfId="0" applyNumberFormat="1" applyFont="1"/>
    <xf numFmtId="3" fontId="3" fillId="0" borderId="0" xfId="0" applyNumberFormat="1" applyFont="1"/>
    <xf numFmtId="3" fontId="0" fillId="0" borderId="0" xfId="0" applyNumberFormat="1" applyAlignment="1">
      <alignment horizontal="center"/>
    </xf>
    <xf numFmtId="17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4" fillId="0" borderId="0" xfId="0" applyFont="1"/>
    <xf numFmtId="0" fontId="5" fillId="0" borderId="0" xfId="0" applyFont="1" applyFill="1" applyBorder="1" applyAlignment="1">
      <alignment horizontal="left"/>
    </xf>
    <xf numFmtId="164" fontId="0" fillId="0" borderId="0" xfId="0" applyNumberFormat="1" applyAlignment="1">
      <alignment horizontal="center"/>
    </xf>
    <xf numFmtId="17" fontId="0" fillId="0" borderId="0" xfId="0" applyNumberFormat="1"/>
    <xf numFmtId="165" fontId="0" fillId="0" borderId="0" xfId="0" applyNumberFormat="1"/>
    <xf numFmtId="165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3" fontId="6" fillId="0" borderId="0" xfId="0" applyNumberFormat="1" applyFont="1"/>
    <xf numFmtId="167" fontId="7" fillId="0" borderId="0" xfId="0" applyNumberFormat="1" applyFont="1"/>
    <xf numFmtId="3" fontId="8" fillId="0" borderId="0" xfId="0" applyNumberFormat="1" applyFont="1"/>
    <xf numFmtId="3" fontId="9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center"/>
    </xf>
    <xf numFmtId="3" fontId="7" fillId="0" borderId="0" xfId="0" applyNumberFormat="1" applyFont="1"/>
    <xf numFmtId="3" fontId="11" fillId="0" borderId="0" xfId="0" applyNumberFormat="1" applyFont="1"/>
    <xf numFmtId="3" fontId="12" fillId="0" borderId="0" xfId="0" applyNumberFormat="1" applyFont="1"/>
    <xf numFmtId="166" fontId="3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ONTINE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10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ABBOR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LISTEADHEREN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%20YTONTINE2022/ASELBY2022TABBOR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2TABBORD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1/ASELBY2021TABBO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1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RESUMETONTINE"/>
      <sheetName val="TONTOCT (2)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HISTORIQUE OCT"/>
      <sheetName val="TONT0CT"/>
      <sheetName val="TONTAOUT2019"/>
      <sheetName val="TONTSEPT2019"/>
      <sheetName val="TONTOCT2019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/>
      <sheetData sheetId="1"/>
      <sheetData sheetId="2"/>
      <sheetData sheetId="3"/>
      <sheetData sheetId="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  <cell r="BD6">
            <v>106000</v>
          </cell>
          <cell r="BE6">
            <v>106000</v>
          </cell>
          <cell r="BF6">
            <v>0</v>
          </cell>
          <cell r="BG6">
            <v>11</v>
          </cell>
          <cell r="BH6">
            <v>6000</v>
          </cell>
          <cell r="BI6">
            <v>0</v>
          </cell>
          <cell r="BJ6">
            <v>0</v>
          </cell>
          <cell r="BK6">
            <v>100000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104000</v>
          </cell>
          <cell r="F7">
            <v>0</v>
          </cell>
          <cell r="G7">
            <v>0</v>
          </cell>
          <cell r="H7" t="str">
            <v>ESPECES</v>
          </cell>
          <cell r="I7">
            <v>64000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U7">
            <v>104000</v>
          </cell>
          <cell r="AQ7">
            <v>0</v>
          </cell>
          <cell r="AR7">
            <v>0</v>
          </cell>
          <cell r="AS7">
            <v>79000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11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105000</v>
          </cell>
          <cell r="E8">
            <v>10000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Q8">
            <v>0</v>
          </cell>
          <cell r="U8">
            <v>115000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11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160000</v>
          </cell>
          <cell r="E9">
            <v>0</v>
          </cell>
          <cell r="F9">
            <v>140000</v>
          </cell>
          <cell r="G9">
            <v>0</v>
          </cell>
          <cell r="H9" t="str">
            <v>BANQUE</v>
          </cell>
          <cell r="I9">
            <v>20000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U9">
            <v>160000</v>
          </cell>
          <cell r="AC9">
            <v>45000</v>
          </cell>
          <cell r="AF9" t="str">
            <v>BANQUE</v>
          </cell>
          <cell r="AK9">
            <v>50000</v>
          </cell>
          <cell r="AN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35000</v>
          </cell>
          <cell r="AW9">
            <v>255000</v>
          </cell>
          <cell r="AX9">
            <v>0</v>
          </cell>
          <cell r="AY9">
            <v>50000</v>
          </cell>
          <cell r="AZ9">
            <v>165000</v>
          </cell>
          <cell r="BA9">
            <v>50000</v>
          </cell>
          <cell r="BB9">
            <v>140000</v>
          </cell>
          <cell r="BD9">
            <v>115000</v>
          </cell>
          <cell r="BE9">
            <v>115000</v>
          </cell>
          <cell r="BF9">
            <v>0</v>
          </cell>
          <cell r="BG9">
            <v>11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U10">
            <v>40000</v>
          </cell>
          <cell r="AI10">
            <v>60000</v>
          </cell>
          <cell r="AL10">
            <v>3000</v>
          </cell>
          <cell r="AP10" t="str">
            <v>BANQUE</v>
          </cell>
          <cell r="AQ10">
            <v>0</v>
          </cell>
          <cell r="AR10">
            <v>0</v>
          </cell>
          <cell r="AS10">
            <v>15000</v>
          </cell>
          <cell r="AW10">
            <v>60000</v>
          </cell>
          <cell r="AX10">
            <v>0</v>
          </cell>
          <cell r="AY10">
            <v>0</v>
          </cell>
          <cell r="AZ10">
            <v>60000</v>
          </cell>
          <cell r="BA10">
            <v>60000</v>
          </cell>
          <cell r="BD10">
            <v>0</v>
          </cell>
          <cell r="BF10">
            <v>0</v>
          </cell>
          <cell r="BG10">
            <v>11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115000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Q11">
            <v>0</v>
          </cell>
          <cell r="U11">
            <v>115000</v>
          </cell>
          <cell r="AI11">
            <v>60000</v>
          </cell>
          <cell r="AL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60000</v>
          </cell>
          <cell r="AX11">
            <v>0</v>
          </cell>
          <cell r="AY11">
            <v>0</v>
          </cell>
          <cell r="AZ11">
            <v>60000</v>
          </cell>
          <cell r="BA11">
            <v>60000</v>
          </cell>
          <cell r="BD11">
            <v>0</v>
          </cell>
          <cell r="BF11">
            <v>0</v>
          </cell>
          <cell r="BG11">
            <v>11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320000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Q12">
            <v>0</v>
          </cell>
          <cell r="U12">
            <v>320000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11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11</v>
          </cell>
          <cell r="BN13" t="str">
            <v>TAXI BANQUE</v>
          </cell>
          <cell r="BO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11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11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Q16">
            <v>0</v>
          </cell>
          <cell r="U16">
            <v>250000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11</v>
          </cell>
          <cell r="BN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U17">
            <v>140000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11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180000</v>
          </cell>
          <cell r="E18">
            <v>35000</v>
          </cell>
          <cell r="F18">
            <v>70000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Q18">
            <v>0</v>
          </cell>
          <cell r="U18">
            <v>215000</v>
          </cell>
          <cell r="AC18">
            <v>40000</v>
          </cell>
          <cell r="AE18">
            <v>125000</v>
          </cell>
          <cell r="AF18" t="str">
            <v>BANQUE</v>
          </cell>
          <cell r="AJ18">
            <v>100000</v>
          </cell>
          <cell r="AM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260000</v>
          </cell>
          <cell r="AX18">
            <v>100000</v>
          </cell>
          <cell r="AY18">
            <v>1075000</v>
          </cell>
          <cell r="AZ18">
            <v>1365000</v>
          </cell>
          <cell r="BB18">
            <v>70000</v>
          </cell>
          <cell r="BD18">
            <v>1365000</v>
          </cell>
          <cell r="BE18">
            <v>1365000</v>
          </cell>
          <cell r="BF18">
            <v>0</v>
          </cell>
          <cell r="BG18">
            <v>11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11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215000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Q20">
            <v>0</v>
          </cell>
          <cell r="U20">
            <v>215000</v>
          </cell>
          <cell r="AE20">
            <v>125000</v>
          </cell>
          <cell r="AF20" t="str">
            <v>BANQUE</v>
          </cell>
          <cell r="AJ20">
            <v>105000</v>
          </cell>
          <cell r="AM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0</v>
          </cell>
          <cell r="AX20">
            <v>105000</v>
          </cell>
          <cell r="AY20">
            <v>1075000</v>
          </cell>
          <cell r="AZ20">
            <v>1180000</v>
          </cell>
          <cell r="BA20">
            <v>55000</v>
          </cell>
          <cell r="BD20">
            <v>1125000</v>
          </cell>
          <cell r="BE20">
            <v>986000</v>
          </cell>
          <cell r="BF20">
            <v>0</v>
          </cell>
          <cell r="BG20">
            <v>11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E21">
            <v>139000</v>
          </cell>
          <cell r="BF21">
            <v>0</v>
          </cell>
          <cell r="BG21">
            <v>11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11</v>
          </cell>
          <cell r="BN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U23">
            <v>250000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11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210000</v>
          </cell>
          <cell r="E24">
            <v>5000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Q24">
            <v>0</v>
          </cell>
          <cell r="U24">
            <v>215000</v>
          </cell>
          <cell r="AD24">
            <v>105000</v>
          </cell>
          <cell r="AE24">
            <v>125000</v>
          </cell>
          <cell r="AF24" t="str">
            <v>BANQUE</v>
          </cell>
          <cell r="AI24">
            <v>25000</v>
          </cell>
          <cell r="AJ24">
            <v>100000</v>
          </cell>
          <cell r="AK24">
            <v>200000</v>
          </cell>
          <cell r="AL24">
            <v>1000</v>
          </cell>
          <cell r="AM24">
            <v>2000</v>
          </cell>
          <cell r="AN24">
            <v>8000</v>
          </cell>
          <cell r="AP24" t="str">
            <v>BANQUE</v>
          </cell>
          <cell r="AQ24">
            <v>0</v>
          </cell>
          <cell r="AR24">
            <v>0</v>
          </cell>
          <cell r="AS24">
            <v>15000</v>
          </cell>
          <cell r="AW24">
            <v>25000</v>
          </cell>
          <cell r="AX24">
            <v>895000</v>
          </cell>
          <cell r="AY24">
            <v>1275000</v>
          </cell>
          <cell r="AZ24">
            <v>2195000</v>
          </cell>
          <cell r="BD24">
            <v>2195000</v>
          </cell>
          <cell r="BE24">
            <v>2195000</v>
          </cell>
          <cell r="BF24">
            <v>0</v>
          </cell>
          <cell r="BG24">
            <v>11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280000</v>
          </cell>
          <cell r="E25">
            <v>10000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Q25">
            <v>0</v>
          </cell>
          <cell r="U25">
            <v>290000</v>
          </cell>
          <cell r="AI25">
            <v>30000</v>
          </cell>
          <cell r="AJ25">
            <v>100000</v>
          </cell>
          <cell r="AK25">
            <v>75000</v>
          </cell>
          <cell r="AL25">
            <v>1000</v>
          </cell>
          <cell r="AM25">
            <v>2000</v>
          </cell>
          <cell r="AN25">
            <v>3000</v>
          </cell>
          <cell r="AP25" t="str">
            <v>BANQUE</v>
          </cell>
          <cell r="AQ25">
            <v>0</v>
          </cell>
          <cell r="AR25">
            <v>0</v>
          </cell>
          <cell r="AS25">
            <v>15000</v>
          </cell>
          <cell r="AW25">
            <v>30000</v>
          </cell>
          <cell r="AX25">
            <v>100000</v>
          </cell>
          <cell r="AY25">
            <v>75000</v>
          </cell>
          <cell r="AZ25">
            <v>205000</v>
          </cell>
          <cell r="BA25">
            <v>205000</v>
          </cell>
          <cell r="BD25">
            <v>0</v>
          </cell>
          <cell r="BF25">
            <v>0</v>
          </cell>
          <cell r="BG25">
            <v>11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40000</v>
          </cell>
          <cell r="F26">
            <v>0</v>
          </cell>
          <cell r="G26">
            <v>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U26">
            <v>40000</v>
          </cell>
          <cell r="AI26">
            <v>60000</v>
          </cell>
          <cell r="AL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A26">
            <v>60000</v>
          </cell>
          <cell r="BD26">
            <v>0</v>
          </cell>
          <cell r="BF26">
            <v>0</v>
          </cell>
          <cell r="BG26">
            <v>11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0</v>
          </cell>
          <cell r="E27">
            <v>65000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U27">
            <v>65000</v>
          </cell>
          <cell r="W27">
            <v>25000</v>
          </cell>
          <cell r="AQ27">
            <v>0</v>
          </cell>
          <cell r="AR27">
            <v>0</v>
          </cell>
          <cell r="AS27">
            <v>15000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11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11</v>
          </cell>
          <cell r="BN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0</v>
          </cell>
          <cell r="E29">
            <v>65000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U29">
            <v>65000</v>
          </cell>
          <cell r="W29">
            <v>25000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11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0</v>
          </cell>
          <cell r="E30">
            <v>115000</v>
          </cell>
          <cell r="F30">
            <v>0</v>
          </cell>
          <cell r="G30">
            <v>0</v>
          </cell>
          <cell r="H30" t="str">
            <v>ESPECES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11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250000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I31">
            <v>110000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U31">
            <v>250000</v>
          </cell>
          <cell r="AQ31">
            <v>0</v>
          </cell>
          <cell r="AR31">
            <v>0</v>
          </cell>
          <cell r="AS31">
            <v>125000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11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115000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U32">
            <v>115000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11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0</v>
          </cell>
          <cell r="E33">
            <v>40000</v>
          </cell>
          <cell r="F33">
            <v>0</v>
          </cell>
          <cell r="G33">
            <v>0</v>
          </cell>
          <cell r="H33" t="str">
            <v>ESPECES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11</v>
          </cell>
          <cell r="BN33" t="str">
            <v>S/TOTAL</v>
          </cell>
        </row>
        <row r="34">
          <cell r="A34" t="str">
            <v>AS201658</v>
          </cell>
          <cell r="B34" t="str">
            <v>YANTCHOU GERVAIS</v>
          </cell>
          <cell r="C34">
            <v>35000</v>
          </cell>
          <cell r="D34">
            <v>0</v>
          </cell>
          <cell r="E34">
            <v>100000</v>
          </cell>
          <cell r="F34">
            <v>0</v>
          </cell>
          <cell r="G34">
            <v>0</v>
          </cell>
          <cell r="H34" t="str">
            <v>ESPECES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U34">
            <v>65000</v>
          </cell>
          <cell r="W34">
            <v>25000</v>
          </cell>
          <cell r="AQ34">
            <v>0</v>
          </cell>
          <cell r="AR34">
            <v>0</v>
          </cell>
          <cell r="AS34">
            <v>15000</v>
          </cell>
          <cell r="AT34">
            <v>35000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11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11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Q36">
            <v>0</v>
          </cell>
          <cell r="U36">
            <v>290000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11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35000</v>
          </cell>
          <cell r="D38">
            <v>3640000</v>
          </cell>
          <cell r="E38">
            <v>589000</v>
          </cell>
          <cell r="F38">
            <v>210000</v>
          </cell>
          <cell r="G38">
            <v>0</v>
          </cell>
          <cell r="H38">
            <v>0</v>
          </cell>
          <cell r="I38">
            <v>244000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U38">
            <v>4194000</v>
          </cell>
          <cell r="V38">
            <v>0</v>
          </cell>
          <cell r="W38">
            <v>75000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C38">
            <v>85000</v>
          </cell>
          <cell r="AD38">
            <v>105000</v>
          </cell>
          <cell r="AE38">
            <v>375000</v>
          </cell>
          <cell r="AF38">
            <v>0</v>
          </cell>
          <cell r="AG38">
            <v>0</v>
          </cell>
          <cell r="AI38">
            <v>235000</v>
          </cell>
          <cell r="AJ38">
            <v>405000</v>
          </cell>
          <cell r="AK38">
            <v>325000</v>
          </cell>
          <cell r="AL38">
            <v>9000</v>
          </cell>
          <cell r="AM38">
            <v>8000</v>
          </cell>
          <cell r="AN38">
            <v>13000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694000</v>
          </cell>
          <cell r="AT38">
            <v>35000</v>
          </cell>
          <cell r="AU38">
            <v>0</v>
          </cell>
          <cell r="AV38">
            <v>0</v>
          </cell>
          <cell r="AW38">
            <v>750000</v>
          </cell>
          <cell r="AX38">
            <v>1200000</v>
          </cell>
          <cell r="AY38">
            <v>3550000</v>
          </cell>
          <cell r="AZ38">
            <v>5396000</v>
          </cell>
          <cell r="BA38">
            <v>490000</v>
          </cell>
          <cell r="BB38">
            <v>210000</v>
          </cell>
          <cell r="BC38">
            <v>0</v>
          </cell>
          <cell r="BD38">
            <v>4906000</v>
          </cell>
          <cell r="BE38">
            <v>4906000</v>
          </cell>
          <cell r="BF38">
            <v>0</v>
          </cell>
          <cell r="BH38">
            <v>6000</v>
          </cell>
          <cell r="BI38">
            <v>0</v>
          </cell>
          <cell r="BJ38">
            <v>0</v>
          </cell>
          <cell r="BK38">
            <v>100000</v>
          </cell>
          <cell r="BL38">
            <v>0</v>
          </cell>
          <cell r="BM38">
            <v>0</v>
          </cell>
          <cell r="BN38" t="str">
            <v>S/TOTAL</v>
          </cell>
        </row>
        <row r="40">
          <cell r="Y40" t="str">
            <v>CHINGUE</v>
          </cell>
          <cell r="Z40">
            <v>428899</v>
          </cell>
          <cell r="BA40">
            <v>619000</v>
          </cell>
          <cell r="BD40" t="str">
            <v>BORDEREAU</v>
          </cell>
          <cell r="BE40">
            <v>5024000</v>
          </cell>
        </row>
        <row r="41">
          <cell r="B41" t="str">
            <v>AS201643</v>
          </cell>
          <cell r="Y41" t="str">
            <v>NJIEPDIO DELUX</v>
          </cell>
          <cell r="Z41">
            <v>805000</v>
          </cell>
        </row>
        <row r="42">
          <cell r="C42" t="str">
            <v>BANQUE</v>
          </cell>
          <cell r="F42" t="str">
            <v>ESPECES</v>
          </cell>
          <cell r="Y42" t="str">
            <v>TCHOUANTE FRANCOIS</v>
          </cell>
          <cell r="Z42">
            <v>243805</v>
          </cell>
        </row>
        <row r="43">
          <cell r="B43" t="str">
            <v>LIBELLE</v>
          </cell>
          <cell r="C43" t="str">
            <v>SORTIE</v>
          </cell>
          <cell r="D43" t="str">
            <v>ENTREE</v>
          </cell>
          <cell r="E43" t="str">
            <v>SOLDE</v>
          </cell>
          <cell r="F43" t="str">
            <v>ENTREE</v>
          </cell>
          <cell r="G43" t="str">
            <v>SORTIE</v>
          </cell>
          <cell r="H43" t="str">
            <v>SOLDE</v>
          </cell>
          <cell r="Y43" t="str">
            <v>TCHOUTCHOU</v>
          </cell>
          <cell r="Z43">
            <v>51454</v>
          </cell>
        </row>
        <row r="44">
          <cell r="B44" t="str">
            <v>REPORT</v>
          </cell>
        </row>
        <row r="45">
          <cell r="B45" t="str">
            <v>TONTINE</v>
          </cell>
          <cell r="C45">
            <v>5396000</v>
          </cell>
          <cell r="D45">
            <v>3465000</v>
          </cell>
          <cell r="F45">
            <v>589000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828500</v>
          </cell>
          <cell r="BA6">
            <v>262500</v>
          </cell>
          <cell r="BD6">
            <v>566000</v>
          </cell>
          <cell r="BE6">
            <v>1206700</v>
          </cell>
          <cell r="BF6">
            <v>0</v>
          </cell>
          <cell r="BG6">
            <v>10</v>
          </cell>
          <cell r="BH6">
            <v>68500</v>
          </cell>
          <cell r="BI6">
            <v>0</v>
          </cell>
          <cell r="BJ6">
            <v>560000</v>
          </cell>
          <cell r="BM6">
            <v>200000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40000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10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615000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S8">
            <v>500000</v>
          </cell>
          <cell r="T8" t="str">
            <v>BANQUE</v>
          </cell>
          <cell r="U8">
            <v>615000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10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120000</v>
          </cell>
          <cell r="E9">
            <v>80000</v>
          </cell>
          <cell r="F9">
            <v>0</v>
          </cell>
          <cell r="G9">
            <v>0</v>
          </cell>
          <cell r="H9" t="str">
            <v>BANQUE</v>
          </cell>
          <cell r="I9">
            <v>8000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52000</v>
          </cell>
          <cell r="U9">
            <v>200000</v>
          </cell>
          <cell r="AP9" t="str">
            <v>BANQUE</v>
          </cell>
          <cell r="AQ9">
            <v>0</v>
          </cell>
          <cell r="AR9">
            <v>0</v>
          </cell>
          <cell r="AS9">
            <v>23000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10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103000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63000</v>
          </cell>
          <cell r="U10">
            <v>103000</v>
          </cell>
          <cell r="AI10">
            <v>40000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15000</v>
          </cell>
          <cell r="AW10">
            <v>40000</v>
          </cell>
          <cell r="AX10">
            <v>0</v>
          </cell>
          <cell r="AY10">
            <v>0</v>
          </cell>
          <cell r="AZ10">
            <v>40000</v>
          </cell>
          <cell r="BA10">
            <v>40000</v>
          </cell>
          <cell r="BD10">
            <v>0</v>
          </cell>
          <cell r="BF10">
            <v>0</v>
          </cell>
          <cell r="BG10">
            <v>10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177000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62000</v>
          </cell>
          <cell r="Q11">
            <v>0</v>
          </cell>
          <cell r="U11">
            <v>177000</v>
          </cell>
          <cell r="AP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D11">
            <v>0</v>
          </cell>
          <cell r="BF11">
            <v>0</v>
          </cell>
          <cell r="BG11">
            <v>10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320000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320000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10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0</v>
          </cell>
          <cell r="E13">
            <v>40000</v>
          </cell>
          <cell r="F13">
            <v>0</v>
          </cell>
          <cell r="G13">
            <v>0</v>
          </cell>
          <cell r="H13" t="str">
            <v>ESPECES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10</v>
          </cell>
          <cell r="BN13" t="str">
            <v>TAXI BANQUE</v>
          </cell>
          <cell r="BO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10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1000000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S16">
            <v>1000000</v>
          </cell>
          <cell r="T16" t="str">
            <v>BANQUE</v>
          </cell>
          <cell r="U16">
            <v>1250000</v>
          </cell>
          <cell r="AD16">
            <v>20000</v>
          </cell>
          <cell r="AE16">
            <v>28000</v>
          </cell>
          <cell r="AF16" t="str">
            <v>BANQUE</v>
          </cell>
          <cell r="AP16" t="str">
            <v>BANQUE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880000</v>
          </cell>
          <cell r="AY16">
            <v>1172000</v>
          </cell>
          <cell r="AZ16">
            <v>1052000</v>
          </cell>
          <cell r="BD16">
            <v>1052000</v>
          </cell>
          <cell r="BE16">
            <v>1052000</v>
          </cell>
          <cell r="BF16">
            <v>0</v>
          </cell>
          <cell r="BG16">
            <v>10</v>
          </cell>
          <cell r="BN16" t="str">
            <v>S/TOTAL</v>
          </cell>
        </row>
        <row r="17">
          <cell r="A17" t="str">
            <v>AS201617</v>
          </cell>
          <cell r="B17" t="str">
            <v>KOUAMOU MOISE</v>
          </cell>
          <cell r="C17">
            <v>-70000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C17">
            <v>6500</v>
          </cell>
          <cell r="AE17">
            <v>28000</v>
          </cell>
          <cell r="AF17" t="str">
            <v>BANQUE</v>
          </cell>
          <cell r="AP17" t="str">
            <v>BANQUE</v>
          </cell>
          <cell r="AQ17">
            <v>0</v>
          </cell>
          <cell r="AR17">
            <v>0</v>
          </cell>
          <cell r="AS17">
            <v>15000</v>
          </cell>
          <cell r="AW17">
            <v>293500</v>
          </cell>
          <cell r="AX17">
            <v>0</v>
          </cell>
          <cell r="AY17">
            <v>1172000</v>
          </cell>
          <cell r="AZ17">
            <v>1465500</v>
          </cell>
          <cell r="BA17">
            <v>64500</v>
          </cell>
          <cell r="BB17">
            <v>70000</v>
          </cell>
          <cell r="BD17">
            <v>1331000</v>
          </cell>
          <cell r="BE17">
            <v>1331000</v>
          </cell>
          <cell r="BF17">
            <v>0</v>
          </cell>
          <cell r="BG17">
            <v>10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51000</v>
          </cell>
          <cell r="E18">
            <v>266000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102000</v>
          </cell>
          <cell r="R18">
            <v>0</v>
          </cell>
          <cell r="U18">
            <v>317000</v>
          </cell>
          <cell r="AP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10</v>
          </cell>
          <cell r="BN18" t="str">
            <v>GRATIFICATION BUREAU 2022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0</v>
          </cell>
          <cell r="E19">
            <v>40000</v>
          </cell>
          <cell r="F19">
            <v>0</v>
          </cell>
          <cell r="G19">
            <v>0</v>
          </cell>
          <cell r="H19" t="str">
            <v>ESPECES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10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107000</v>
          </cell>
          <cell r="E20">
            <v>215000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107000</v>
          </cell>
          <cell r="R20">
            <v>0</v>
          </cell>
          <cell r="U20">
            <v>322000</v>
          </cell>
          <cell r="AD20">
            <v>22000</v>
          </cell>
          <cell r="AF20" t="str">
            <v>BANQUE</v>
          </cell>
          <cell r="AI20">
            <v>31500</v>
          </cell>
          <cell r="AL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31500</v>
          </cell>
          <cell r="AX20">
            <v>878000</v>
          </cell>
          <cell r="AY20">
            <v>0</v>
          </cell>
          <cell r="AZ20">
            <v>409500</v>
          </cell>
          <cell r="BA20">
            <v>409500</v>
          </cell>
          <cell r="BD20">
            <v>0</v>
          </cell>
          <cell r="BF20">
            <v>0</v>
          </cell>
          <cell r="BG20">
            <v>10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10</v>
          </cell>
          <cell r="BN22" t="str">
            <v>S/TOTAL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10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551000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26000</v>
          </cell>
          <cell r="Q24">
            <v>102000</v>
          </cell>
          <cell r="R24">
            <v>208000</v>
          </cell>
          <cell r="U24">
            <v>551000</v>
          </cell>
          <cell r="AP24" t="str">
            <v>BANQUE</v>
          </cell>
          <cell r="AQ24">
            <v>0</v>
          </cell>
          <cell r="AR24">
            <v>0</v>
          </cell>
          <cell r="AS24">
            <v>15000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D24">
            <v>0</v>
          </cell>
          <cell r="BF24">
            <v>0</v>
          </cell>
          <cell r="BG24">
            <v>10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451000</v>
          </cell>
          <cell r="E25">
            <v>50000</v>
          </cell>
          <cell r="F25">
            <v>70000</v>
          </cell>
          <cell r="G25">
            <v>0</v>
          </cell>
          <cell r="H25" t="str">
            <v>BANQUE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31000</v>
          </cell>
          <cell r="Q25">
            <v>102000</v>
          </cell>
          <cell r="R25">
            <v>78000</v>
          </cell>
          <cell r="U25">
            <v>501000</v>
          </cell>
          <cell r="AC25">
            <v>7500</v>
          </cell>
          <cell r="AF25" t="str">
            <v>BANQUE</v>
          </cell>
          <cell r="AP25" t="str">
            <v>BANQUE</v>
          </cell>
          <cell r="AQ25">
            <v>0</v>
          </cell>
          <cell r="AR25">
            <v>0</v>
          </cell>
          <cell r="AS25">
            <v>15000</v>
          </cell>
          <cell r="AW25">
            <v>292500</v>
          </cell>
          <cell r="AX25">
            <v>0</v>
          </cell>
          <cell r="AY25">
            <v>0</v>
          </cell>
          <cell r="AZ25">
            <v>222500</v>
          </cell>
          <cell r="BB25">
            <v>70000</v>
          </cell>
          <cell r="BD25">
            <v>222500</v>
          </cell>
          <cell r="BE25">
            <v>222500</v>
          </cell>
          <cell r="BF25">
            <v>0</v>
          </cell>
          <cell r="BG25">
            <v>10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102000</v>
          </cell>
          <cell r="F26">
            <v>1070000</v>
          </cell>
          <cell r="G26">
            <v>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62000</v>
          </cell>
          <cell r="S26">
            <v>1000000</v>
          </cell>
          <cell r="T26" t="str">
            <v>BANQUE</v>
          </cell>
          <cell r="U26">
            <v>1102000</v>
          </cell>
          <cell r="Z26">
            <v>1000000</v>
          </cell>
          <cell r="AA26" t="str">
            <v>BANQUE</v>
          </cell>
          <cell r="AC26">
            <v>3500</v>
          </cell>
          <cell r="AF26" t="str">
            <v>BANQUE</v>
          </cell>
          <cell r="AI26">
            <v>40000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336500</v>
          </cell>
          <cell r="AX26">
            <v>0</v>
          </cell>
          <cell r="AY26">
            <v>0</v>
          </cell>
          <cell r="AZ26">
            <v>236500</v>
          </cell>
          <cell r="BA26">
            <v>236500</v>
          </cell>
          <cell r="BB26">
            <v>70000</v>
          </cell>
          <cell r="BD26">
            <v>0</v>
          </cell>
          <cell r="BF26">
            <v>30000</v>
          </cell>
          <cell r="BG26">
            <v>3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40000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40000</v>
          </cell>
          <cell r="AQ27">
            <v>0</v>
          </cell>
          <cell r="AR27">
            <v>0</v>
          </cell>
          <cell r="AS27">
            <v>15000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10</v>
          </cell>
          <cell r="BN28" t="str">
            <v>S/TOTAL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10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10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0</v>
          </cell>
          <cell r="E31">
            <v>140000</v>
          </cell>
          <cell r="F31">
            <v>0</v>
          </cell>
          <cell r="G31">
            <v>0</v>
          </cell>
          <cell r="H31" t="str">
            <v>ESPECES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10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115000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115000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10</v>
          </cell>
          <cell r="BN32" t="str">
            <v>REMBOURSEMENT FONDS</v>
          </cell>
          <cell r="BO32" t="str">
            <v>FONDS DE CAISSE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0</v>
          </cell>
          <cell r="E33">
            <v>40000</v>
          </cell>
          <cell r="F33">
            <v>0</v>
          </cell>
          <cell r="G33">
            <v>0</v>
          </cell>
          <cell r="H33" t="str">
            <v>ESPECES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10</v>
          </cell>
          <cell r="BN33" t="str">
            <v>S/TOTAL</v>
          </cell>
        </row>
        <row r="34">
          <cell r="A34" t="str">
            <v>AS201658</v>
          </cell>
          <cell r="B34" t="str">
            <v>YANTCHOU GERVAIS</v>
          </cell>
          <cell r="C34">
            <v>60000</v>
          </cell>
          <cell r="D34">
            <v>100000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40000</v>
          </cell>
          <cell r="AQ34">
            <v>0</v>
          </cell>
          <cell r="AR34">
            <v>0</v>
          </cell>
          <cell r="AS34">
            <v>15000</v>
          </cell>
          <cell r="AT34">
            <v>60000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10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10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-10000</v>
          </cell>
          <cell r="D38">
            <v>4475000</v>
          </cell>
          <cell r="E38">
            <v>1013000</v>
          </cell>
          <cell r="F38">
            <v>2140000</v>
          </cell>
          <cell r="G38">
            <v>0</v>
          </cell>
          <cell r="H38">
            <v>0</v>
          </cell>
          <cell r="I38">
            <v>58000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244000</v>
          </cell>
          <cell r="Q38">
            <v>413000</v>
          </cell>
          <cell r="R38">
            <v>338000</v>
          </cell>
          <cell r="S38">
            <v>2500000</v>
          </cell>
          <cell r="U38">
            <v>7428000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1000000</v>
          </cell>
          <cell r="AA38">
            <v>0</v>
          </cell>
          <cell r="AC38">
            <v>17500</v>
          </cell>
          <cell r="AD38">
            <v>42000</v>
          </cell>
          <cell r="AE38">
            <v>56000</v>
          </cell>
          <cell r="AF38">
            <v>0</v>
          </cell>
          <cell r="AG38">
            <v>0</v>
          </cell>
          <cell r="AI38">
            <v>111500</v>
          </cell>
          <cell r="AJ38">
            <v>0</v>
          </cell>
          <cell r="AK38">
            <v>0</v>
          </cell>
          <cell r="AL38">
            <v>3000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508000</v>
          </cell>
          <cell r="AT38">
            <v>60000</v>
          </cell>
          <cell r="AU38">
            <v>0</v>
          </cell>
          <cell r="AV38">
            <v>0</v>
          </cell>
          <cell r="AW38">
            <v>994000</v>
          </cell>
          <cell r="AX38">
            <v>1758000</v>
          </cell>
          <cell r="AY38">
            <v>2344000</v>
          </cell>
          <cell r="AZ38">
            <v>4254500</v>
          </cell>
          <cell r="BA38">
            <v>1013000</v>
          </cell>
          <cell r="BB38">
            <v>210000</v>
          </cell>
          <cell r="BC38">
            <v>0</v>
          </cell>
          <cell r="BD38">
            <v>3171500</v>
          </cell>
          <cell r="BE38">
            <v>3812200</v>
          </cell>
          <cell r="BF38">
            <v>30000</v>
          </cell>
          <cell r="BH38">
            <v>68500</v>
          </cell>
          <cell r="BI38">
            <v>0</v>
          </cell>
          <cell r="BJ38">
            <v>560000</v>
          </cell>
          <cell r="BK38">
            <v>0</v>
          </cell>
          <cell r="BL38">
            <v>0</v>
          </cell>
          <cell r="BM38">
            <v>200000</v>
          </cell>
          <cell r="BN38" t="str">
            <v>S/TOTAL</v>
          </cell>
        </row>
        <row r="40">
          <cell r="C40" t="str">
            <v>BANQUE</v>
          </cell>
          <cell r="F40" t="str">
            <v>ESPECES</v>
          </cell>
          <cell r="BA40">
            <v>0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4254500</v>
          </cell>
          <cell r="D43">
            <v>4300000</v>
          </cell>
          <cell r="F43">
            <v>1013000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>
            <v>0</v>
          </cell>
          <cell r="F7">
            <v>677986676</v>
          </cell>
          <cell r="G7">
            <v>0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>
            <v>0</v>
          </cell>
          <cell r="F8">
            <v>675250451</v>
          </cell>
          <cell r="G8">
            <v>0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>
            <v>0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>
            <v>0</v>
          </cell>
          <cell r="F10">
            <v>699908065</v>
          </cell>
          <cell r="G10">
            <v>0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>
            <v>0</v>
          </cell>
          <cell r="F11">
            <v>694468080</v>
          </cell>
          <cell r="G11">
            <v>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>
            <v>0</v>
          </cell>
          <cell r="F12">
            <v>699956355</v>
          </cell>
          <cell r="G12">
            <v>0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>
            <v>0</v>
          </cell>
          <cell r="F13">
            <v>675836725</v>
          </cell>
          <cell r="G13">
            <v>0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>
            <v>0</v>
          </cell>
          <cell r="F14">
            <v>677735778</v>
          </cell>
          <cell r="G14">
            <v>0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>
            <v>0</v>
          </cell>
          <cell r="F16">
            <v>693055118</v>
          </cell>
          <cell r="G16">
            <v>0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>
            <v>0</v>
          </cell>
          <cell r="F17">
            <v>677553702</v>
          </cell>
          <cell r="G17">
            <v>0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>
            <v>0</v>
          </cell>
          <cell r="F18">
            <v>675249207</v>
          </cell>
          <cell r="G18">
            <v>0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>
            <v>0</v>
          </cell>
          <cell r="F19">
            <v>677068360</v>
          </cell>
          <cell r="G19">
            <v>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>
            <v>0</v>
          </cell>
          <cell r="F20">
            <v>676659191</v>
          </cell>
          <cell r="G20">
            <v>0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>
            <v>0</v>
          </cell>
          <cell r="F21">
            <v>699995086</v>
          </cell>
          <cell r="G21">
            <v>0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>
            <v>0</v>
          </cell>
          <cell r="F22">
            <v>677546060</v>
          </cell>
          <cell r="G22">
            <v>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>
            <v>0</v>
          </cell>
          <cell r="F23">
            <v>677648306</v>
          </cell>
          <cell r="G23">
            <v>0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>
            <v>0</v>
          </cell>
          <cell r="F24">
            <v>699778906</v>
          </cell>
          <cell r="G24">
            <v>0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>
            <v>0</v>
          </cell>
          <cell r="F25">
            <v>677775940</v>
          </cell>
          <cell r="G25">
            <v>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>
            <v>0</v>
          </cell>
          <cell r="F26">
            <v>699663416</v>
          </cell>
          <cell r="G26">
            <v>0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>
            <v>0</v>
          </cell>
          <cell r="F27">
            <v>677547311</v>
          </cell>
          <cell r="G27">
            <v>0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>
            <v>0</v>
          </cell>
          <cell r="F29">
            <v>694452000</v>
          </cell>
          <cell r="G29">
            <v>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>
            <v>0</v>
          </cell>
          <cell r="E34">
            <v>0</v>
          </cell>
          <cell r="F34">
            <v>696585118</v>
          </cell>
          <cell r="G34">
            <v>0</v>
          </cell>
          <cell r="H34">
            <v>0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AS201629</v>
          </cell>
          <cell r="C36" t="str">
            <v>NKEPSEU DIEUDONNE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JANV22"/>
      <sheetName val="HISTOFEV22"/>
      <sheetName val="HISTOMARS22"/>
    </sheetNames>
    <sheetDataSet>
      <sheetData sheetId="0" refreshError="1"/>
      <sheetData sheetId="1"/>
      <sheetData sheetId="2" refreshError="1"/>
      <sheetData sheetId="3" refreshError="1">
        <row r="6">
          <cell r="A6" t="str">
            <v>AS201602</v>
          </cell>
          <cell r="B6" t="str">
            <v>BOUTCHOUANG WILLIAM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 t="str">
            <v>ECHEC</v>
          </cell>
          <cell r="I6">
            <v>1</v>
          </cell>
          <cell r="J6">
            <v>0</v>
          </cell>
          <cell r="K6">
            <v>0</v>
          </cell>
          <cell r="L6">
            <v>1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</row>
        <row r="7">
          <cell r="A7" t="str">
            <v>AS201604</v>
          </cell>
          <cell r="B7" t="str">
            <v xml:space="preserve">DJOMO JEAN PAUL 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 t="str">
            <v>ECHEC</v>
          </cell>
          <cell r="I7">
            <v>1</v>
          </cell>
          <cell r="J7">
            <v>0</v>
          </cell>
          <cell r="K7">
            <v>0</v>
          </cell>
          <cell r="L7">
            <v>1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AS201654</v>
          </cell>
          <cell r="B8" t="str">
            <v>DJOMOU TCHANDA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 t="str">
            <v>ECHEC</v>
          </cell>
          <cell r="I8">
            <v>1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AS201605</v>
          </cell>
          <cell r="B9" t="str">
            <v>DJOUKWE NANGUEN GUY BLAISE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 t="str">
            <v>ECHEC</v>
          </cell>
          <cell r="I9">
            <v>1</v>
          </cell>
          <cell r="J9">
            <v>0</v>
          </cell>
          <cell r="K9">
            <v>0</v>
          </cell>
          <cell r="L9">
            <v>1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AS201608</v>
          </cell>
          <cell r="B10" t="str">
            <v>DJUOMBESSY ANTOINE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ECHEC</v>
          </cell>
          <cell r="I10">
            <v>1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1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AS201651</v>
          </cell>
          <cell r="B11" t="str">
            <v>DOMOU FABIEN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ECHEC</v>
          </cell>
          <cell r="I11">
            <v>1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AS201609</v>
          </cell>
          <cell r="B12" t="str">
            <v>DONHOU DAVID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 t="str">
            <v>ECHEC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AS201610</v>
          </cell>
          <cell r="B13" t="str">
            <v>FOTSO THOMAS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AS201611</v>
          </cell>
          <cell r="B14" t="str">
            <v>HENGUE PAUL OMER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AS201613</v>
          </cell>
          <cell r="B15" t="str">
            <v>HOTCHO BENJAMIN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 t="str">
            <v>ECHEC</v>
          </cell>
          <cell r="I15">
            <v>1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AS201617</v>
          </cell>
          <cell r="B16" t="str">
            <v>KOUAMOU MOISE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 t="str">
            <v>ECHEC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AS201619</v>
          </cell>
          <cell r="B17" t="str">
            <v>KOUATCHO MESSACK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 t="str">
            <v>ECHEC</v>
          </cell>
          <cell r="I17">
            <v>1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AS201620</v>
          </cell>
          <cell r="B18" t="str">
            <v>LOWE JEAN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 t="str">
            <v>ECHEC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AS201649</v>
          </cell>
          <cell r="B19" t="str">
            <v>MBOGNING TUGMA GUY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 t="str">
            <v>ECHEC</v>
          </cell>
          <cell r="I19">
            <v>1</v>
          </cell>
          <cell r="J19">
            <v>0</v>
          </cell>
          <cell r="K19">
            <v>0</v>
          </cell>
          <cell r="L19">
            <v>3</v>
          </cell>
          <cell r="M19">
            <v>0</v>
          </cell>
          <cell r="N19">
            <v>2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AS201639</v>
          </cell>
          <cell r="B20" t="str">
            <v>NANGUEN MARTIN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 t="str">
            <v>ECHEC</v>
          </cell>
          <cell r="I20">
            <v>1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</row>
        <row r="21">
          <cell r="A21" t="str">
            <v>AS201621</v>
          </cell>
          <cell r="B21" t="str">
            <v>NANKAM APPOLINAIRE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 t="str">
            <v>ECHEC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AS201622</v>
          </cell>
          <cell r="B22" t="str">
            <v>NDJOMO ETIENNE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 t="str">
            <v>ECHEC</v>
          </cell>
          <cell r="I22">
            <v>1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1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AS201624</v>
          </cell>
          <cell r="B23" t="str">
            <v>NGONDIEP CLAUDE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 t="str">
            <v>ECHEC</v>
          </cell>
          <cell r="I23">
            <v>1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1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AS201626</v>
          </cell>
          <cell r="B24" t="str">
            <v>NGUIEMEGNI MATHIEU BLAISE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ECHEC</v>
          </cell>
          <cell r="I24">
            <v>1</v>
          </cell>
          <cell r="J24">
            <v>0</v>
          </cell>
          <cell r="K24">
            <v>0</v>
          </cell>
          <cell r="L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AS201628</v>
          </cell>
          <cell r="B25" t="str">
            <v>NKAMGANG JUSTIN DEJOLIE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 t="str">
            <v>ECHEC</v>
          </cell>
          <cell r="I25">
            <v>1</v>
          </cell>
          <cell r="J25">
            <v>0</v>
          </cell>
          <cell r="K25">
            <v>0</v>
          </cell>
          <cell r="L25">
            <v>1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A26" t="str">
            <v>AS201614</v>
          </cell>
          <cell r="B26" t="str">
            <v>NKEHE DAVID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 t="str">
            <v>ECHEC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AS201629</v>
          </cell>
          <cell r="B27" t="str">
            <v>NKEPSEU DIEUDONNE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I27">
            <v>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 t="str">
            <v>ECHEC</v>
          </cell>
          <cell r="I28">
            <v>1</v>
          </cell>
          <cell r="J28">
            <v>0</v>
          </cell>
          <cell r="K28">
            <v>0</v>
          </cell>
          <cell r="L28">
            <v>1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AS201653</v>
          </cell>
          <cell r="B29" t="str">
            <v>SIME BRICE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 t="str">
            <v>ECHEC</v>
          </cell>
          <cell r="I29">
            <v>1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AS201636</v>
          </cell>
          <cell r="B30" t="str">
            <v>SIMO FONGANG ERIC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 t="str">
            <v>ECHEC</v>
          </cell>
          <cell r="I30">
            <v>1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I31">
            <v>1</v>
          </cell>
          <cell r="J31">
            <v>0</v>
          </cell>
          <cell r="K31">
            <v>0</v>
          </cell>
          <cell r="L31">
            <v>1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 t="str">
            <v>ECHEC</v>
          </cell>
          <cell r="I32">
            <v>1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1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AS201644</v>
          </cell>
          <cell r="B33" t="str">
            <v>TIEYAM ERNEST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 t="str">
            <v>ECHEC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AS201646</v>
          </cell>
          <cell r="B34" t="str">
            <v>YEPMOU JEAN JACQUES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1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AS201647</v>
          </cell>
          <cell r="B35" t="str">
            <v>YOUMBI EMMANUEL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 t="str">
            <v>ECHEC</v>
          </cell>
          <cell r="I35">
            <v>1</v>
          </cell>
          <cell r="J35">
            <v>0</v>
          </cell>
          <cell r="K35">
            <v>0</v>
          </cell>
          <cell r="L35">
            <v>2</v>
          </cell>
          <cell r="M35">
            <v>0</v>
          </cell>
          <cell r="N35">
            <v>1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</sheetData>
      <sheetData sheetId="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K7">
            <v>0</v>
          </cell>
          <cell r="L7">
            <v>1</v>
          </cell>
          <cell r="M7">
            <v>75000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105000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7000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55000</v>
          </cell>
          <cell r="D8">
            <v>25000</v>
          </cell>
          <cell r="E8">
            <v>135000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0</v>
          </cell>
          <cell r="L8">
            <v>1</v>
          </cell>
          <cell r="M8">
            <v>75000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105000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37000</v>
          </cell>
          <cell r="AD8">
            <v>0</v>
          </cell>
          <cell r="AE8">
            <v>0</v>
          </cell>
          <cell r="AF8" t="str">
            <v>BANQUE</v>
          </cell>
          <cell r="AG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7000</v>
          </cell>
          <cell r="AV8">
            <v>0</v>
          </cell>
          <cell r="AW8">
            <v>263000</v>
          </cell>
          <cell r="AX8">
            <v>0</v>
          </cell>
          <cell r="AY8">
            <v>0</v>
          </cell>
          <cell r="AZ8">
            <v>263000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30000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7000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AS201605</v>
          </cell>
          <cell r="B10" t="str">
            <v>DJOUKWE NANGUEN GUY BLAISE</v>
          </cell>
          <cell r="C10">
            <v>-45000</v>
          </cell>
          <cell r="D10">
            <v>60000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K10">
            <v>0</v>
          </cell>
          <cell r="L10">
            <v>1</v>
          </cell>
          <cell r="M10">
            <v>75000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105000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7000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205000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K11">
            <v>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205000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7000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AS201651</v>
          </cell>
          <cell r="B12" t="str">
            <v>DOMOU FABIEN</v>
          </cell>
          <cell r="C12">
            <v>5000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30000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7000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 t="str">
            <v>ECHEC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K15">
            <v>0</v>
          </cell>
          <cell r="L15">
            <v>1</v>
          </cell>
          <cell r="M15">
            <v>75000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105000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7000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150000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52000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K17">
            <v>0</v>
          </cell>
          <cell r="L17">
            <v>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330000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1000000</v>
          </cell>
          <cell r="AA17" t="str">
            <v>BANQUE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7000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-16500</v>
          </cell>
          <cell r="D18">
            <v>293500</v>
          </cell>
          <cell r="E18">
            <v>101000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K18">
            <v>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206000</v>
          </cell>
          <cell r="R18">
            <v>0</v>
          </cell>
          <cell r="S18">
            <v>0</v>
          </cell>
          <cell r="T18">
            <v>0</v>
          </cell>
          <cell r="U18">
            <v>411000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36000</v>
          </cell>
          <cell r="AD18">
            <v>0</v>
          </cell>
          <cell r="AE18">
            <v>0</v>
          </cell>
          <cell r="AF18" t="str">
            <v>BANQUE</v>
          </cell>
          <cell r="AG18">
            <v>0</v>
          </cell>
          <cell r="AI18">
            <v>0</v>
          </cell>
          <cell r="AJ18">
            <v>0</v>
          </cell>
          <cell r="AK18">
            <v>50000</v>
          </cell>
          <cell r="AL18">
            <v>0</v>
          </cell>
          <cell r="AM18">
            <v>0</v>
          </cell>
          <cell r="AN18">
            <v>2000</v>
          </cell>
          <cell r="AO18">
            <v>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  <cell r="AV18">
            <v>0</v>
          </cell>
          <cell r="AW18">
            <v>264000</v>
          </cell>
          <cell r="AX18">
            <v>0</v>
          </cell>
          <cell r="AY18">
            <v>0</v>
          </cell>
          <cell r="AZ18">
            <v>264000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 t="str">
            <v>ECHEC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102000</v>
          </cell>
          <cell r="D20">
            <v>557000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K20">
            <v>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455000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1000000</v>
          </cell>
          <cell r="AA20" t="str">
            <v>BANQUE</v>
          </cell>
          <cell r="AB20">
            <v>0</v>
          </cell>
          <cell r="AC20">
            <v>0</v>
          </cell>
          <cell r="AD20">
            <v>0</v>
          </cell>
          <cell r="AE20">
            <v>100000</v>
          </cell>
          <cell r="AF20" t="str">
            <v>BANQUE</v>
          </cell>
          <cell r="AG20">
            <v>0</v>
          </cell>
          <cell r="AI20">
            <v>0</v>
          </cell>
          <cell r="AJ20">
            <v>0</v>
          </cell>
          <cell r="AK20">
            <v>50000</v>
          </cell>
          <cell r="AL20">
            <v>0</v>
          </cell>
          <cell r="AM20">
            <v>0</v>
          </cell>
          <cell r="AN20">
            <v>1000</v>
          </cell>
          <cell r="AO20">
            <v>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V20">
            <v>0</v>
          </cell>
          <cell r="AW20">
            <v>0</v>
          </cell>
          <cell r="AX20">
            <v>0</v>
          </cell>
          <cell r="AY20">
            <v>3550000</v>
          </cell>
          <cell r="AZ20">
            <v>3550000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 t="str">
            <v>ECHEC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K22">
            <v>0</v>
          </cell>
          <cell r="L22">
            <v>1</v>
          </cell>
          <cell r="M22">
            <v>75000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105000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85000</v>
          </cell>
          <cell r="AE22">
            <v>0</v>
          </cell>
          <cell r="AF22" t="str">
            <v>BANQUE</v>
          </cell>
          <cell r="AG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7000</v>
          </cell>
          <cell r="AV22">
            <v>0</v>
          </cell>
          <cell r="AW22">
            <v>0</v>
          </cell>
          <cell r="AX22">
            <v>1115000</v>
          </cell>
          <cell r="AY22">
            <v>0</v>
          </cell>
          <cell r="AZ22">
            <v>1115000</v>
          </cell>
        </row>
        <row r="23">
          <cell r="A23" t="str">
            <v>AS201622</v>
          </cell>
          <cell r="B23" t="str">
            <v>NDJOMO ETIENNE</v>
          </cell>
          <cell r="C23">
            <v>20000</v>
          </cell>
          <cell r="D23">
            <v>150000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0</v>
          </cell>
          <cell r="L23">
            <v>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130000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I23">
            <v>0</v>
          </cell>
          <cell r="AJ23">
            <v>0</v>
          </cell>
          <cell r="AK23">
            <v>100000</v>
          </cell>
          <cell r="AL23">
            <v>0</v>
          </cell>
          <cell r="AM23">
            <v>0</v>
          </cell>
          <cell r="AN23">
            <v>2000</v>
          </cell>
          <cell r="AO23">
            <v>0</v>
          </cell>
          <cell r="AP23" t="str">
            <v>BANQUE</v>
          </cell>
          <cell r="AQ23">
            <v>0</v>
          </cell>
          <cell r="AR23">
            <v>0</v>
          </cell>
          <cell r="AS23">
            <v>7000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AS201624</v>
          </cell>
          <cell r="B24" t="str">
            <v>NGONDIEP CLAUDE</v>
          </cell>
          <cell r="C24">
            <v>15000</v>
          </cell>
          <cell r="D24">
            <v>220000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205000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I24">
            <v>60000</v>
          </cell>
          <cell r="AJ24">
            <v>0</v>
          </cell>
          <cell r="AK24">
            <v>0</v>
          </cell>
          <cell r="AL24">
            <v>1000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7000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-100000</v>
          </cell>
          <cell r="D25">
            <v>180000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K25">
            <v>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280000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I25">
            <v>0</v>
          </cell>
          <cell r="AJ25">
            <v>0</v>
          </cell>
          <cell r="AK25">
            <v>100000</v>
          </cell>
          <cell r="AL25">
            <v>0</v>
          </cell>
          <cell r="AM25">
            <v>0</v>
          </cell>
          <cell r="AN25">
            <v>3500</v>
          </cell>
          <cell r="AO25">
            <v>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A26" t="str">
            <v>AS201628</v>
          </cell>
          <cell r="B26" t="str">
            <v>NKAMGANG JUSTIN DEJOLIE</v>
          </cell>
          <cell r="C26">
            <v>-29500</v>
          </cell>
          <cell r="D26">
            <v>105000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K26">
            <v>0</v>
          </cell>
          <cell r="L26">
            <v>1</v>
          </cell>
          <cell r="M26">
            <v>75000</v>
          </cell>
          <cell r="N26">
            <v>0</v>
          </cell>
          <cell r="O26">
            <v>0</v>
          </cell>
          <cell r="P26">
            <v>0</v>
          </cell>
          <cell r="Q26">
            <v>29500</v>
          </cell>
          <cell r="R26">
            <v>0</v>
          </cell>
          <cell r="S26">
            <v>0</v>
          </cell>
          <cell r="T26">
            <v>0</v>
          </cell>
          <cell r="U26">
            <v>134500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I26">
            <v>60000</v>
          </cell>
          <cell r="AJ26">
            <v>0</v>
          </cell>
          <cell r="AK26">
            <v>0</v>
          </cell>
          <cell r="AL26">
            <v>1000</v>
          </cell>
          <cell r="AM26">
            <v>0</v>
          </cell>
          <cell r="AN26">
            <v>0</v>
          </cell>
          <cell r="AO26">
            <v>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0</v>
          </cell>
          <cell r="L28">
            <v>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130000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I28">
            <v>0</v>
          </cell>
          <cell r="AJ28">
            <v>0</v>
          </cell>
          <cell r="AK28">
            <v>46000</v>
          </cell>
          <cell r="AL28">
            <v>0</v>
          </cell>
          <cell r="AM28">
            <v>0</v>
          </cell>
          <cell r="AN28">
            <v>1000</v>
          </cell>
          <cell r="AO28">
            <v>0</v>
          </cell>
          <cell r="AP28" t="str">
            <v>BANQUE</v>
          </cell>
          <cell r="AQ28">
            <v>0</v>
          </cell>
          <cell r="AR28">
            <v>0</v>
          </cell>
          <cell r="AS28">
            <v>7000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K29">
            <v>0</v>
          </cell>
          <cell r="L29">
            <v>1</v>
          </cell>
          <cell r="M29">
            <v>75000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105000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7000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K30">
            <v>0</v>
          </cell>
          <cell r="L30">
            <v>1</v>
          </cell>
          <cell r="M30">
            <v>75000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105000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7000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25000</v>
          </cell>
          <cell r="D32">
            <v>130000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0</v>
          </cell>
          <cell r="L32">
            <v>1</v>
          </cell>
          <cell r="M32">
            <v>75000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105000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85000</v>
          </cell>
          <cell r="AE32">
            <v>0</v>
          </cell>
          <cell r="AF32" t="str">
            <v>BANQUE</v>
          </cell>
          <cell r="AG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7000</v>
          </cell>
          <cell r="AV32">
            <v>0</v>
          </cell>
          <cell r="AW32">
            <v>0</v>
          </cell>
          <cell r="AX32">
            <v>1115000</v>
          </cell>
          <cell r="AY32">
            <v>0</v>
          </cell>
          <cell r="AZ32">
            <v>1115000</v>
          </cell>
        </row>
        <row r="33">
          <cell r="A33" t="str">
            <v>AS201641</v>
          </cell>
          <cell r="B33" t="str">
            <v>TCHOUAMOU MATHIEU</v>
          </cell>
          <cell r="C33">
            <v>126000</v>
          </cell>
          <cell r="D33">
            <v>156000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30000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I33">
            <v>31500</v>
          </cell>
          <cell r="AJ33">
            <v>0</v>
          </cell>
          <cell r="AK33">
            <v>0</v>
          </cell>
          <cell r="AL33">
            <v>500</v>
          </cell>
          <cell r="AM33">
            <v>0</v>
          </cell>
          <cell r="AN33">
            <v>0</v>
          </cell>
          <cell r="AO33">
            <v>0</v>
          </cell>
          <cell r="AP33" t="str">
            <v>BANQUE</v>
          </cell>
          <cell r="AQ33">
            <v>0</v>
          </cell>
          <cell r="AR33">
            <v>0</v>
          </cell>
          <cell r="AS33">
            <v>7000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 t="str">
            <v>ECHEC</v>
          </cell>
          <cell r="I35">
            <v>1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K36">
            <v>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280000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7000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K7">
            <v>0</v>
          </cell>
          <cell r="L7">
            <v>1</v>
          </cell>
          <cell r="M7">
            <v>75000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105000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500000</v>
          </cell>
          <cell r="AA7" t="str">
            <v>BANQUE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7000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 t="str">
            <v>ECHEC</v>
          </cell>
          <cell r="I8">
            <v>1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I8">
            <v>100000</v>
          </cell>
          <cell r="AJ8">
            <v>0</v>
          </cell>
          <cell r="AK8">
            <v>0</v>
          </cell>
          <cell r="AL8">
            <v>2000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 t="str">
            <v>ECHEC</v>
          </cell>
          <cell r="I9">
            <v>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AS201605</v>
          </cell>
          <cell r="B10" t="str">
            <v>DJOUKWE NANGUEN GUY BLAISE</v>
          </cell>
          <cell r="C10">
            <v>-24000</v>
          </cell>
          <cell r="D10">
            <v>81000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K10">
            <v>0</v>
          </cell>
          <cell r="L10">
            <v>1</v>
          </cell>
          <cell r="M10">
            <v>75000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105000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I10">
            <v>0</v>
          </cell>
          <cell r="AJ10">
            <v>50000</v>
          </cell>
          <cell r="AK10">
            <v>0</v>
          </cell>
          <cell r="AL10">
            <v>0</v>
          </cell>
          <cell r="AM10">
            <v>1000</v>
          </cell>
          <cell r="AN10">
            <v>0</v>
          </cell>
          <cell r="AO10">
            <v>0</v>
          </cell>
          <cell r="AP10" t="str">
            <v>BANQUE</v>
          </cell>
          <cell r="AQ10">
            <v>0</v>
          </cell>
          <cell r="AR10">
            <v>0</v>
          </cell>
          <cell r="AS10">
            <v>7000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205000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K11">
            <v>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205000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700000</v>
          </cell>
          <cell r="AA11" t="str">
            <v>BANQUE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7000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 t="str">
            <v>ECHEC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 t="str">
            <v>ECHEC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K15">
            <v>0</v>
          </cell>
          <cell r="L15">
            <v>1</v>
          </cell>
          <cell r="M15">
            <v>75000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105000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7000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150000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52000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K17">
            <v>0</v>
          </cell>
          <cell r="L17">
            <v>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330000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I17">
            <v>0</v>
          </cell>
          <cell r="AJ17">
            <v>0</v>
          </cell>
          <cell r="AK17">
            <v>100000</v>
          </cell>
          <cell r="AL17">
            <v>0</v>
          </cell>
          <cell r="AM17">
            <v>0</v>
          </cell>
          <cell r="AN17">
            <v>1000</v>
          </cell>
          <cell r="AO17">
            <v>0</v>
          </cell>
          <cell r="AP17" t="str">
            <v>BANQUE</v>
          </cell>
          <cell r="AQ17">
            <v>0</v>
          </cell>
          <cell r="AR17">
            <v>0</v>
          </cell>
          <cell r="AS17">
            <v>7000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-276000</v>
          </cell>
          <cell r="D18">
            <v>205000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K18">
            <v>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206000</v>
          </cell>
          <cell r="R18">
            <v>0</v>
          </cell>
          <cell r="S18">
            <v>0</v>
          </cell>
          <cell r="T18">
            <v>0</v>
          </cell>
          <cell r="U18">
            <v>411000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85000</v>
          </cell>
          <cell r="AE18">
            <v>0</v>
          </cell>
          <cell r="AF18" t="str">
            <v>BANQUE</v>
          </cell>
          <cell r="AG18">
            <v>0</v>
          </cell>
          <cell r="AI18">
            <v>0</v>
          </cell>
          <cell r="AJ18">
            <v>100000</v>
          </cell>
          <cell r="AK18">
            <v>100000</v>
          </cell>
          <cell r="AL18">
            <v>0</v>
          </cell>
          <cell r="AM18">
            <v>2000</v>
          </cell>
          <cell r="AN18">
            <v>1000</v>
          </cell>
          <cell r="AO18">
            <v>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  <cell r="AV18">
            <v>0</v>
          </cell>
          <cell r="AW18">
            <v>0</v>
          </cell>
          <cell r="AX18">
            <v>1215000</v>
          </cell>
          <cell r="AY18">
            <v>0</v>
          </cell>
          <cell r="AZ18">
            <v>1215000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 t="str">
            <v>ECHEC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34000</v>
          </cell>
          <cell r="AD19">
            <v>0</v>
          </cell>
          <cell r="AE19">
            <v>0</v>
          </cell>
          <cell r="AF19" t="str">
            <v>BANQUE</v>
          </cell>
          <cell r="AG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V19">
            <v>0</v>
          </cell>
          <cell r="AW19">
            <v>266000</v>
          </cell>
          <cell r="AX19">
            <v>0</v>
          </cell>
          <cell r="AY19">
            <v>0</v>
          </cell>
          <cell r="AZ19">
            <v>266000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455000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K20">
            <v>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455000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I20">
            <v>0</v>
          </cell>
          <cell r="AJ20">
            <v>0</v>
          </cell>
          <cell r="AK20">
            <v>100000</v>
          </cell>
          <cell r="AL20">
            <v>0</v>
          </cell>
          <cell r="AM20">
            <v>0</v>
          </cell>
          <cell r="AN20">
            <v>1000</v>
          </cell>
          <cell r="AO20">
            <v>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30000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7000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-70000</v>
          </cell>
          <cell r="D22">
            <v>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K22">
            <v>0</v>
          </cell>
          <cell r="L22">
            <v>1</v>
          </cell>
          <cell r="M22">
            <v>75000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105000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1000000</v>
          </cell>
          <cell r="AA22" t="str">
            <v>BANQUE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7000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20000</v>
          </cell>
          <cell r="D23">
            <v>150000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0</v>
          </cell>
          <cell r="L23">
            <v>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130000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I23">
            <v>0</v>
          </cell>
          <cell r="AJ23">
            <v>0</v>
          </cell>
          <cell r="AK23">
            <v>35500</v>
          </cell>
          <cell r="AL23">
            <v>0</v>
          </cell>
          <cell r="AM23">
            <v>0</v>
          </cell>
          <cell r="AN23">
            <v>500</v>
          </cell>
          <cell r="AO23">
            <v>0</v>
          </cell>
          <cell r="AP23" t="str">
            <v>BANQUE</v>
          </cell>
          <cell r="AQ23">
            <v>0</v>
          </cell>
          <cell r="AR23">
            <v>0</v>
          </cell>
          <cell r="AS23">
            <v>7000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ECHEC</v>
          </cell>
          <cell r="I24">
            <v>1</v>
          </cell>
          <cell r="J24">
            <v>0</v>
          </cell>
          <cell r="K24">
            <v>0</v>
          </cell>
          <cell r="L24">
            <v>1</v>
          </cell>
          <cell r="M24">
            <v>0</v>
          </cell>
          <cell r="N24">
            <v>1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I24">
            <v>0</v>
          </cell>
          <cell r="AJ24">
            <v>50000</v>
          </cell>
          <cell r="AK24">
            <v>100000</v>
          </cell>
          <cell r="AL24">
            <v>0</v>
          </cell>
          <cell r="AM24">
            <v>1000</v>
          </cell>
          <cell r="AN24">
            <v>2000</v>
          </cell>
          <cell r="AO24">
            <v>0</v>
          </cell>
          <cell r="AP24" t="str">
            <v>BANQUE</v>
          </cell>
          <cell r="AQ24">
            <v>0</v>
          </cell>
          <cell r="AR24">
            <v>0</v>
          </cell>
          <cell r="AS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60000</v>
          </cell>
          <cell r="D25">
            <v>340000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K25">
            <v>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280000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180000</v>
          </cell>
          <cell r="AF25" t="str">
            <v>BANQUE</v>
          </cell>
          <cell r="AG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7000</v>
          </cell>
          <cell r="AV25">
            <v>0</v>
          </cell>
          <cell r="AW25">
            <v>0</v>
          </cell>
          <cell r="AX25">
            <v>0</v>
          </cell>
          <cell r="AY25">
            <v>1120000</v>
          </cell>
          <cell r="AZ25">
            <v>1120000</v>
          </cell>
        </row>
        <row r="26">
          <cell r="A26" t="str">
            <v>AS201628</v>
          </cell>
          <cell r="B26" t="str">
            <v>NKAMGANG JUSTIN DEJOLIE</v>
          </cell>
          <cell r="C26">
            <v>-29500</v>
          </cell>
          <cell r="D26">
            <v>105000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K26">
            <v>0</v>
          </cell>
          <cell r="L26">
            <v>1</v>
          </cell>
          <cell r="M26">
            <v>75000</v>
          </cell>
          <cell r="N26">
            <v>0</v>
          </cell>
          <cell r="O26">
            <v>0</v>
          </cell>
          <cell r="P26">
            <v>0</v>
          </cell>
          <cell r="Q26">
            <v>29500</v>
          </cell>
          <cell r="R26">
            <v>0</v>
          </cell>
          <cell r="S26">
            <v>0</v>
          </cell>
          <cell r="T26">
            <v>0</v>
          </cell>
          <cell r="U26">
            <v>134500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I26">
            <v>0</v>
          </cell>
          <cell r="AJ26">
            <v>50000</v>
          </cell>
          <cell r="AK26">
            <v>0</v>
          </cell>
          <cell r="AL26">
            <v>0</v>
          </cell>
          <cell r="AM26">
            <v>1000</v>
          </cell>
          <cell r="AN26">
            <v>0</v>
          </cell>
          <cell r="AO26">
            <v>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50000</v>
          </cell>
          <cell r="D28">
            <v>180000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0</v>
          </cell>
          <cell r="L28">
            <v>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130000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28000</v>
          </cell>
          <cell r="AD28">
            <v>0</v>
          </cell>
          <cell r="AE28">
            <v>0</v>
          </cell>
          <cell r="AF28" t="str">
            <v>BANQUE</v>
          </cell>
          <cell r="AG28">
            <v>0</v>
          </cell>
          <cell r="AI28">
            <v>0</v>
          </cell>
          <cell r="AJ28">
            <v>0</v>
          </cell>
          <cell r="AK28">
            <v>100000</v>
          </cell>
          <cell r="AL28">
            <v>0</v>
          </cell>
          <cell r="AM28">
            <v>0</v>
          </cell>
          <cell r="AN28">
            <v>1000</v>
          </cell>
          <cell r="AO28">
            <v>0</v>
          </cell>
          <cell r="AP28" t="str">
            <v>BANQUE</v>
          </cell>
          <cell r="AQ28">
            <v>0</v>
          </cell>
          <cell r="AR28">
            <v>0</v>
          </cell>
          <cell r="AS28">
            <v>7000</v>
          </cell>
          <cell r="AV28">
            <v>0</v>
          </cell>
          <cell r="AW28">
            <v>272000</v>
          </cell>
          <cell r="AX28">
            <v>0</v>
          </cell>
          <cell r="AY28">
            <v>0</v>
          </cell>
          <cell r="AZ28">
            <v>272000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K29">
            <v>0</v>
          </cell>
          <cell r="L29">
            <v>1</v>
          </cell>
          <cell r="M29">
            <v>75000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105000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7000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 t="str">
            <v>ECHEC</v>
          </cell>
          <cell r="I30">
            <v>1</v>
          </cell>
          <cell r="J30">
            <v>0</v>
          </cell>
          <cell r="K30">
            <v>0</v>
          </cell>
          <cell r="L30">
            <v>1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45000</v>
          </cell>
          <cell r="D32">
            <v>150000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0</v>
          </cell>
          <cell r="L32">
            <v>1</v>
          </cell>
          <cell r="M32">
            <v>75000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105000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I32">
            <v>0</v>
          </cell>
          <cell r="AJ32">
            <v>48000</v>
          </cell>
          <cell r="AK32">
            <v>0</v>
          </cell>
          <cell r="AL32">
            <v>0</v>
          </cell>
          <cell r="AM32">
            <v>500</v>
          </cell>
          <cell r="AN32">
            <v>0</v>
          </cell>
          <cell r="AO32">
            <v>0</v>
          </cell>
          <cell r="AP32" t="str">
            <v>BANQUE</v>
          </cell>
          <cell r="AQ32">
            <v>0</v>
          </cell>
          <cell r="AR32">
            <v>0</v>
          </cell>
          <cell r="AS32">
            <v>7000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AS201641</v>
          </cell>
          <cell r="B33" t="str">
            <v>TCHOUAMOU MATHIEU</v>
          </cell>
          <cell r="C33">
            <v>75000</v>
          </cell>
          <cell r="D33">
            <v>105000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30000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7000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 t="str">
            <v>ECHEC</v>
          </cell>
          <cell r="I35">
            <v>1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K36">
            <v>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280000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7000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2"/>
      <sheetName val="HISTODEC21"/>
      <sheetName val="HISTOJANV23"/>
      <sheetName val="HISTOJANV22"/>
      <sheetName val="HISTOFEV22"/>
      <sheetName val="HISTOMARS22"/>
      <sheetName val="HISTOAVRIL22"/>
      <sheetName val="HISTOMAI22"/>
      <sheetName val="HISTOJUIN22"/>
      <sheetName val="HISTOJUIL22"/>
      <sheetName val="HISTOAOUT22"/>
      <sheetName val="HISTOSEPT22"/>
      <sheetName val="HISTOOCT22"/>
      <sheetName val="HISTONOV22"/>
      <sheetName val="HISTODEC22"/>
      <sheetName val="DETAILSORT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6">
          <cell r="A6" t="str">
            <v>AS201648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Q7">
            <v>0</v>
          </cell>
          <cell r="U7">
            <v>105000</v>
          </cell>
          <cell r="AQ7">
            <v>0</v>
          </cell>
          <cell r="AR7">
            <v>0</v>
          </cell>
          <cell r="AS7">
            <v>7000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150000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45000</v>
          </cell>
          <cell r="L8">
            <v>1</v>
          </cell>
          <cell r="M8">
            <v>75000</v>
          </cell>
          <cell r="O8">
            <v>0</v>
          </cell>
          <cell r="Q8">
            <v>0</v>
          </cell>
          <cell r="U8">
            <v>150000</v>
          </cell>
          <cell r="Z8">
            <v>1000000</v>
          </cell>
          <cell r="AA8" t="str">
            <v>BANQUE</v>
          </cell>
          <cell r="AB8" t="str">
            <v>OKK</v>
          </cell>
          <cell r="AD8">
            <v>95000</v>
          </cell>
          <cell r="AF8" t="str">
            <v>BANQUE</v>
          </cell>
          <cell r="AJ8">
            <v>100000</v>
          </cell>
          <cell r="AM8">
            <v>2000</v>
          </cell>
          <cell r="AP8" t="str">
            <v>BANQUE</v>
          </cell>
          <cell r="AQ8">
            <v>0</v>
          </cell>
          <cell r="AR8">
            <v>0</v>
          </cell>
          <cell r="AS8">
            <v>52000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110000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K10">
            <v>5000</v>
          </cell>
          <cell r="L10">
            <v>1</v>
          </cell>
          <cell r="M10">
            <v>75000</v>
          </cell>
          <cell r="O10">
            <v>0</v>
          </cell>
          <cell r="Q10">
            <v>0</v>
          </cell>
          <cell r="U10">
            <v>110000</v>
          </cell>
          <cell r="Z10">
            <v>1000000</v>
          </cell>
          <cell r="AA10" t="str">
            <v>BANQUE</v>
          </cell>
          <cell r="AB10" t="str">
            <v>OKK</v>
          </cell>
          <cell r="AJ10">
            <v>100000</v>
          </cell>
          <cell r="AM10">
            <v>2000</v>
          </cell>
          <cell r="AP10" t="str">
            <v>BANQUE</v>
          </cell>
          <cell r="AQ10">
            <v>0</v>
          </cell>
          <cell r="AR10">
            <v>0</v>
          </cell>
          <cell r="AS10">
            <v>12000</v>
          </cell>
        </row>
        <row r="11">
          <cell r="A11" t="str">
            <v>AS201608</v>
          </cell>
          <cell r="B11" t="str">
            <v>DJUOMBESSY ANTOINE</v>
          </cell>
          <cell r="C11">
            <v>29000</v>
          </cell>
          <cell r="D11">
            <v>205000</v>
          </cell>
          <cell r="E11">
            <v>0</v>
          </cell>
          <cell r="F11">
            <v>1090000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Q11">
            <v>0</v>
          </cell>
          <cell r="S11">
            <v>1000000</v>
          </cell>
          <cell r="T11" t="str">
            <v>BANQUE</v>
          </cell>
          <cell r="U11">
            <v>1205000</v>
          </cell>
          <cell r="AE11">
            <v>160000</v>
          </cell>
          <cell r="AF11" t="str">
            <v>BANQUE</v>
          </cell>
          <cell r="AQ11">
            <v>0</v>
          </cell>
          <cell r="AR11">
            <v>0</v>
          </cell>
          <cell r="AS11">
            <v>7000</v>
          </cell>
        </row>
        <row r="12">
          <cell r="A12" t="str">
            <v>AS201651</v>
          </cell>
          <cell r="B12" t="str">
            <v>DOMOU FABIEN</v>
          </cell>
          <cell r="C12">
            <v>-57000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U12">
            <v>35000</v>
          </cell>
          <cell r="Z12">
            <v>1000000</v>
          </cell>
          <cell r="AA12" t="str">
            <v>BANQUE</v>
          </cell>
          <cell r="AB12" t="str">
            <v>OKK</v>
          </cell>
          <cell r="AQ12">
            <v>0</v>
          </cell>
          <cell r="AR12">
            <v>0</v>
          </cell>
          <cell r="AS12">
            <v>12000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100000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M13">
            <v>0</v>
          </cell>
          <cell r="O13">
            <v>0</v>
          </cell>
          <cell r="U13">
            <v>30000</v>
          </cell>
          <cell r="AQ13">
            <v>0</v>
          </cell>
          <cell r="AR13">
            <v>0</v>
          </cell>
          <cell r="AS13">
            <v>7000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Z14">
            <v>1155000</v>
          </cell>
          <cell r="AA14" t="str">
            <v>BANQUE</v>
          </cell>
          <cell r="AQ14">
            <v>0</v>
          </cell>
          <cell r="AR14">
            <v>0</v>
          </cell>
          <cell r="AS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220000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U17">
            <v>330000</v>
          </cell>
          <cell r="AQ17">
            <v>0</v>
          </cell>
          <cell r="AR17">
            <v>0</v>
          </cell>
          <cell r="AS17">
            <v>7000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411000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Q18">
            <v>206000</v>
          </cell>
          <cell r="U18">
            <v>411000</v>
          </cell>
          <cell r="Z18">
            <v>1000000</v>
          </cell>
          <cell r="AA18" t="str">
            <v>BANQUE</v>
          </cell>
          <cell r="AB18" t="str">
            <v>OKK</v>
          </cell>
          <cell r="AI18">
            <v>26000</v>
          </cell>
          <cell r="AJ18">
            <v>100000</v>
          </cell>
          <cell r="AK18">
            <v>60000</v>
          </cell>
          <cell r="AL18">
            <v>1500</v>
          </cell>
          <cell r="AM18">
            <v>2000</v>
          </cell>
          <cell r="AN18">
            <v>1000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U19">
            <v>30000</v>
          </cell>
          <cell r="Z19">
            <v>500000</v>
          </cell>
          <cell r="AA19" t="str">
            <v>BANQUE</v>
          </cell>
          <cell r="AB19" t="str">
            <v>OKK</v>
          </cell>
          <cell r="AQ19">
            <v>0</v>
          </cell>
          <cell r="AR19">
            <v>0</v>
          </cell>
          <cell r="AS19">
            <v>7000</v>
          </cell>
        </row>
        <row r="20">
          <cell r="A20" t="str">
            <v>AS201649</v>
          </cell>
          <cell r="B20" t="str">
            <v>MBOGNING TUGMA GUY</v>
          </cell>
          <cell r="C20">
            <v>-1050000</v>
          </cell>
          <cell r="D20">
            <v>455000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Q20">
            <v>0</v>
          </cell>
          <cell r="S20">
            <v>1050000</v>
          </cell>
          <cell r="T20" t="str">
            <v>BANQUE</v>
          </cell>
          <cell r="U20">
            <v>1505000</v>
          </cell>
          <cell r="Z20">
            <v>1000000</v>
          </cell>
          <cell r="AA20" t="str">
            <v>BANQUE</v>
          </cell>
          <cell r="AC20">
            <v>39000</v>
          </cell>
          <cell r="AF20" t="str">
            <v>BANQUE</v>
          </cell>
          <cell r="AJ20">
            <v>100000</v>
          </cell>
          <cell r="AM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1029000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Q22">
            <v>0</v>
          </cell>
          <cell r="S22">
            <v>924000</v>
          </cell>
          <cell r="T22" t="str">
            <v>BANQUE</v>
          </cell>
          <cell r="U22">
            <v>1029000</v>
          </cell>
          <cell r="AQ22">
            <v>0</v>
          </cell>
          <cell r="AR22">
            <v>0</v>
          </cell>
          <cell r="AS22">
            <v>7000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140000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10000</v>
          </cell>
          <cell r="M23">
            <v>0</v>
          </cell>
          <cell r="N23">
            <v>1</v>
          </cell>
          <cell r="O23">
            <v>100000</v>
          </cell>
          <cell r="U23">
            <v>140000</v>
          </cell>
          <cell r="Z23">
            <v>500000</v>
          </cell>
          <cell r="AA23" t="str">
            <v>BANQUE</v>
          </cell>
          <cell r="AB23" t="str">
            <v>OKK</v>
          </cell>
          <cell r="AQ23">
            <v>0</v>
          </cell>
          <cell r="AR23">
            <v>0</v>
          </cell>
          <cell r="AS23">
            <v>17000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280000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Q24">
            <v>0</v>
          </cell>
          <cell r="U24">
            <v>210000</v>
          </cell>
          <cell r="Z24">
            <v>1000000</v>
          </cell>
          <cell r="AA24" t="str">
            <v>BANQUE</v>
          </cell>
          <cell r="AB24" t="str">
            <v>OKK</v>
          </cell>
          <cell r="AJ24">
            <v>100000</v>
          </cell>
          <cell r="AM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12000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350000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Q25">
            <v>0</v>
          </cell>
          <cell r="U25">
            <v>280000</v>
          </cell>
          <cell r="Z25">
            <v>1000000</v>
          </cell>
          <cell r="AA25" t="str">
            <v>BANQUE</v>
          </cell>
          <cell r="AB25" t="str">
            <v>OKK</v>
          </cell>
          <cell r="AC25">
            <v>39000</v>
          </cell>
          <cell r="AF25" t="str">
            <v>BANQUE</v>
          </cell>
          <cell r="AI25">
            <v>25000</v>
          </cell>
          <cell r="AJ25">
            <v>30500</v>
          </cell>
          <cell r="AK25">
            <v>100000</v>
          </cell>
          <cell r="AL25">
            <v>2000</v>
          </cell>
          <cell r="AM25">
            <v>500</v>
          </cell>
          <cell r="AN25">
            <v>15000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105000</v>
          </cell>
          <cell r="E26">
            <v>29500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Q26">
            <v>29500</v>
          </cell>
          <cell r="U26">
            <v>134500</v>
          </cell>
          <cell r="Z26">
            <v>1155000</v>
          </cell>
          <cell r="AA26" t="str">
            <v>BANQUE</v>
          </cell>
          <cell r="AI26">
            <v>25000</v>
          </cell>
          <cell r="AJ26">
            <v>100000</v>
          </cell>
          <cell r="AL26">
            <v>1000</v>
          </cell>
          <cell r="AM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</row>
        <row r="27">
          <cell r="A27" t="str">
            <v>AS201614</v>
          </cell>
          <cell r="B27" t="str">
            <v>NKEHE DAVID</v>
          </cell>
          <cell r="C27">
            <v>30000</v>
          </cell>
          <cell r="D27">
            <v>30000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Z27">
            <v>1155000</v>
          </cell>
          <cell r="AA27" t="str">
            <v>BANQUE</v>
          </cell>
          <cell r="AQ27">
            <v>0</v>
          </cell>
          <cell r="AR27">
            <v>0</v>
          </cell>
          <cell r="AS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140000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10000</v>
          </cell>
          <cell r="M28">
            <v>0</v>
          </cell>
          <cell r="N28">
            <v>1</v>
          </cell>
          <cell r="O28">
            <v>100000</v>
          </cell>
          <cell r="U28">
            <v>140000</v>
          </cell>
          <cell r="Z28">
            <v>1000000</v>
          </cell>
          <cell r="AA28" t="str">
            <v>BANQUE</v>
          </cell>
          <cell r="AB28" t="str">
            <v>OKK</v>
          </cell>
          <cell r="AQ28">
            <v>0</v>
          </cell>
          <cell r="AR28">
            <v>0</v>
          </cell>
          <cell r="AS28">
            <v>17000</v>
          </cell>
        </row>
        <row r="29">
          <cell r="A29" t="str">
            <v>AS201633</v>
          </cell>
          <cell r="B29" t="str">
            <v>PATEGO NJOSSU GUSTAVE</v>
          </cell>
          <cell r="C29">
            <v>70000</v>
          </cell>
          <cell r="D29">
            <v>175000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Z31">
            <v>1166000</v>
          </cell>
          <cell r="AA31" t="str">
            <v>BANQUE</v>
          </cell>
          <cell r="AQ31">
            <v>0</v>
          </cell>
          <cell r="AR31">
            <v>0</v>
          </cell>
          <cell r="AS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190000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15000</v>
          </cell>
          <cell r="L32">
            <v>1</v>
          </cell>
          <cell r="M32">
            <v>75000</v>
          </cell>
          <cell r="O32">
            <v>0</v>
          </cell>
          <cell r="Q32">
            <v>0</v>
          </cell>
          <cell r="U32">
            <v>120000</v>
          </cell>
          <cell r="Z32">
            <v>500000</v>
          </cell>
          <cell r="AA32" t="str">
            <v>BANQUE</v>
          </cell>
          <cell r="AQ32">
            <v>0</v>
          </cell>
          <cell r="AR32">
            <v>0</v>
          </cell>
          <cell r="AS32">
            <v>22000</v>
          </cell>
        </row>
        <row r="33">
          <cell r="A33" t="str">
            <v>AS201641</v>
          </cell>
          <cell r="B33" t="str">
            <v>TCHOUAMOU MATHIEU</v>
          </cell>
          <cell r="C33">
            <v>75000</v>
          </cell>
          <cell r="D33">
            <v>105000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U33">
            <v>30000</v>
          </cell>
          <cell r="Z33">
            <v>560000</v>
          </cell>
          <cell r="AA33" t="str">
            <v>BANQUE</v>
          </cell>
          <cell r="AB33" t="str">
            <v>OKK</v>
          </cell>
          <cell r="AQ33">
            <v>0</v>
          </cell>
          <cell r="AR33">
            <v>0</v>
          </cell>
          <cell r="AS33">
            <v>7000</v>
          </cell>
        </row>
        <row r="34">
          <cell r="A34" t="str">
            <v>AS201644</v>
          </cell>
          <cell r="B34" t="str">
            <v>TIEYAM ERNEST</v>
          </cell>
          <cell r="C34">
            <v>30000</v>
          </cell>
          <cell r="D34">
            <v>30000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Z34">
            <v>1112500</v>
          </cell>
          <cell r="AA34" t="str">
            <v>BANQUE</v>
          </cell>
          <cell r="AQ34">
            <v>0</v>
          </cell>
          <cell r="AR34">
            <v>0</v>
          </cell>
          <cell r="AS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33000</v>
          </cell>
          <cell r="F35">
            <v>0</v>
          </cell>
          <cell r="G35">
            <v>3000</v>
          </cell>
          <cell r="H35" t="str">
            <v>ESPECES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U35">
            <v>33000</v>
          </cell>
          <cell r="Z35">
            <v>1155000</v>
          </cell>
          <cell r="AA35" t="str">
            <v>BANQUE</v>
          </cell>
          <cell r="AQ35">
            <v>0</v>
          </cell>
          <cell r="AR35">
            <v>0</v>
          </cell>
          <cell r="AS35">
            <v>7000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350000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Q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</row>
        <row r="38">
          <cell r="B38" t="str">
            <v>TOTAUX</v>
          </cell>
          <cell r="C38">
            <v>-873000</v>
          </cell>
          <cell r="D38">
            <v>5445000</v>
          </cell>
          <cell r="E38">
            <v>62500</v>
          </cell>
          <cell r="F38">
            <v>1090000</v>
          </cell>
          <cell r="G38">
            <v>3000</v>
          </cell>
          <cell r="H38">
            <v>0</v>
          </cell>
          <cell r="I38">
            <v>26</v>
          </cell>
          <cell r="J38">
            <v>780000</v>
          </cell>
          <cell r="K38">
            <v>140000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0</v>
          </cell>
          <cell r="Q38">
            <v>235500</v>
          </cell>
          <cell r="R38">
            <v>0</v>
          </cell>
          <cell r="S38">
            <v>2974000</v>
          </cell>
          <cell r="U38">
            <v>6932500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16958500</v>
          </cell>
          <cell r="AA38">
            <v>0</v>
          </cell>
          <cell r="AC38">
            <v>78000</v>
          </cell>
          <cell r="AD38">
            <v>95000</v>
          </cell>
          <cell r="AE38">
            <v>160000</v>
          </cell>
          <cell r="AF38">
            <v>0</v>
          </cell>
          <cell r="AG38">
            <v>0</v>
          </cell>
          <cell r="AH38">
            <v>0</v>
          </cell>
          <cell r="AI38">
            <v>76000</v>
          </cell>
          <cell r="AJ38">
            <v>630500</v>
          </cell>
          <cell r="AK38">
            <v>160000</v>
          </cell>
          <cell r="AL38">
            <v>4500</v>
          </cell>
          <cell r="AM38">
            <v>12500</v>
          </cell>
          <cell r="AN38">
            <v>16000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322000</v>
          </cell>
          <cell r="AT38">
            <v>0</v>
          </cell>
          <cell r="AU38">
            <v>0</v>
          </cell>
        </row>
      </sheetData>
      <sheetData sheetId="7">
        <row r="6">
          <cell r="A6" t="str">
            <v>AS201648</v>
          </cell>
        </row>
        <row r="7">
          <cell r="A7" t="str">
            <v>AS201602</v>
          </cell>
          <cell r="B7" t="str">
            <v>BOUTCHOUANG WILLIAM</v>
          </cell>
          <cell r="C7">
            <v>-525000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S7">
            <v>525000</v>
          </cell>
          <cell r="T7" t="str">
            <v>BANQUE</v>
          </cell>
          <cell r="U7">
            <v>630000</v>
          </cell>
          <cell r="AQ7">
            <v>0</v>
          </cell>
          <cell r="AR7">
            <v>0</v>
          </cell>
          <cell r="AS7">
            <v>7000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-51000</v>
          </cell>
          <cell r="D8">
            <v>25000</v>
          </cell>
          <cell r="E8">
            <v>135000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4000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102000</v>
          </cell>
          <cell r="U8">
            <v>211000</v>
          </cell>
          <cell r="AC8">
            <v>37000</v>
          </cell>
          <cell r="AF8" t="str">
            <v>BANQUE</v>
          </cell>
          <cell r="AP8" t="str">
            <v>BANQUE</v>
          </cell>
          <cell r="AQ8">
            <v>0</v>
          </cell>
          <cell r="AR8">
            <v>0</v>
          </cell>
          <cell r="AS8">
            <v>11000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</row>
        <row r="10">
          <cell r="A10" t="str">
            <v>AS201605</v>
          </cell>
          <cell r="B10" t="str">
            <v>DJOUKWE NANGUEN GUY BLAISE</v>
          </cell>
          <cell r="C10">
            <v>30000</v>
          </cell>
          <cell r="D10">
            <v>237000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102000</v>
          </cell>
          <cell r="U10">
            <v>207000</v>
          </cell>
          <cell r="AP10" t="str">
            <v>BANQUE</v>
          </cell>
          <cell r="AQ10">
            <v>0</v>
          </cell>
          <cell r="AR10">
            <v>0</v>
          </cell>
          <cell r="AS10">
            <v>7000</v>
          </cell>
        </row>
        <row r="11">
          <cell r="A11" t="str">
            <v>AS201608</v>
          </cell>
          <cell r="B11" t="str">
            <v>DJUOMBESSY ANTOINE</v>
          </cell>
          <cell r="C11">
            <v>-3000</v>
          </cell>
          <cell r="D11">
            <v>205000</v>
          </cell>
          <cell r="E11">
            <v>0</v>
          </cell>
          <cell r="F11">
            <v>0</v>
          </cell>
          <cell r="G11">
            <v>3000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208000</v>
          </cell>
          <cell r="AP11" t="str">
            <v>BANQUE</v>
          </cell>
          <cell r="AQ11">
            <v>0</v>
          </cell>
          <cell r="AR11">
            <v>0</v>
          </cell>
          <cell r="AS11">
            <v>7000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Q13">
            <v>0</v>
          </cell>
          <cell r="AR13">
            <v>0</v>
          </cell>
          <cell r="AS13">
            <v>12000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U17">
            <v>330000</v>
          </cell>
          <cell r="Z17">
            <v>1000000</v>
          </cell>
          <cell r="AA17" t="str">
            <v>BANQUE</v>
          </cell>
          <cell r="AQ17">
            <v>0</v>
          </cell>
          <cell r="AR17">
            <v>0</v>
          </cell>
          <cell r="AS17">
            <v>7000</v>
          </cell>
        </row>
        <row r="18">
          <cell r="A18" t="str">
            <v>AS201619</v>
          </cell>
          <cell r="B18" t="str">
            <v>KOUATCHO MESSACK</v>
          </cell>
          <cell r="C18">
            <v>79000</v>
          </cell>
          <cell r="D18">
            <v>293500</v>
          </cell>
          <cell r="E18">
            <v>249000</v>
          </cell>
          <cell r="F18">
            <v>0</v>
          </cell>
          <cell r="G18">
            <v>3000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27500</v>
          </cell>
          <cell r="Q18">
            <v>102000</v>
          </cell>
          <cell r="R18">
            <v>61000</v>
          </cell>
          <cell r="U18">
            <v>398500</v>
          </cell>
          <cell r="AC18">
            <v>36000</v>
          </cell>
          <cell r="AF18" t="str">
            <v>BANQUE</v>
          </cell>
          <cell r="AK18">
            <v>50000</v>
          </cell>
          <cell r="AN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U19">
            <v>30000</v>
          </cell>
          <cell r="AQ19">
            <v>0</v>
          </cell>
          <cell r="AR19">
            <v>0</v>
          </cell>
          <cell r="AS19">
            <v>7000</v>
          </cell>
        </row>
        <row r="20">
          <cell r="A20" t="str">
            <v>AS201649</v>
          </cell>
          <cell r="B20" t="str">
            <v>MBOGNING TUGMA GUY</v>
          </cell>
          <cell r="C20">
            <v>680000</v>
          </cell>
          <cell r="D20">
            <v>557000</v>
          </cell>
          <cell r="E20">
            <v>0</v>
          </cell>
          <cell r="F20">
            <v>1750000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102000</v>
          </cell>
          <cell r="R20">
            <v>0</v>
          </cell>
          <cell r="S20">
            <v>1000000</v>
          </cell>
          <cell r="T20" t="str">
            <v>BANQUE</v>
          </cell>
          <cell r="U20">
            <v>1557000</v>
          </cell>
          <cell r="Z20">
            <v>2050000</v>
          </cell>
          <cell r="AA20" t="str">
            <v>BANQUE</v>
          </cell>
          <cell r="AE20">
            <v>170000</v>
          </cell>
          <cell r="AF20" t="str">
            <v>BANQUE</v>
          </cell>
          <cell r="AK20">
            <v>50000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</row>
        <row r="22">
          <cell r="A22" t="str">
            <v>AS201621</v>
          </cell>
          <cell r="B22" t="str">
            <v>NANKAM APPOLINAIRE</v>
          </cell>
          <cell r="C22">
            <v>71000</v>
          </cell>
          <cell r="D22">
            <v>105000</v>
          </cell>
          <cell r="E22">
            <v>0</v>
          </cell>
          <cell r="F22">
            <v>71000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105000</v>
          </cell>
          <cell r="AD22">
            <v>85000</v>
          </cell>
          <cell r="AF22" t="str">
            <v>BANQUE</v>
          </cell>
          <cell r="AQ22">
            <v>0</v>
          </cell>
          <cell r="AR22">
            <v>0</v>
          </cell>
          <cell r="AS22">
            <v>7000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0</v>
          </cell>
          <cell r="U23">
            <v>150000</v>
          </cell>
          <cell r="AK23">
            <v>100000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</row>
        <row r="24">
          <cell r="A24" t="str">
            <v>AS201624</v>
          </cell>
          <cell r="B24" t="str">
            <v>NGONDIEP CLAUDE</v>
          </cell>
          <cell r="C24">
            <v>-105000</v>
          </cell>
          <cell r="D24">
            <v>220000</v>
          </cell>
          <cell r="E24">
            <v>0</v>
          </cell>
          <cell r="F24">
            <v>0</v>
          </cell>
          <cell r="G24">
            <v>3000</v>
          </cell>
          <cell r="H24" t="str">
            <v>BANQUE</v>
          </cell>
          <cell r="I24">
            <v>1</v>
          </cell>
          <cell r="J24">
            <v>30000</v>
          </cell>
          <cell r="K24">
            <v>15000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102000</v>
          </cell>
          <cell r="R24">
            <v>0</v>
          </cell>
          <cell r="U24">
            <v>325000</v>
          </cell>
          <cell r="AI24">
            <v>60000</v>
          </cell>
          <cell r="AL24">
            <v>1000</v>
          </cell>
          <cell r="AP24" t="str">
            <v>BANQUE</v>
          </cell>
          <cell r="AQ24">
            <v>0</v>
          </cell>
          <cell r="AR24">
            <v>0</v>
          </cell>
          <cell r="AS24">
            <v>22000</v>
          </cell>
        </row>
        <row r="25">
          <cell r="A25" t="str">
            <v>AS201626</v>
          </cell>
          <cell r="B25" t="str">
            <v>NGUIEMEGNI MATHIEU BLAISE</v>
          </cell>
          <cell r="C25">
            <v>-273000</v>
          </cell>
          <cell r="D25">
            <v>180000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27000</v>
          </cell>
          <cell r="Q25">
            <v>31000</v>
          </cell>
          <cell r="R25">
            <v>115000</v>
          </cell>
          <cell r="U25">
            <v>453000</v>
          </cell>
          <cell r="AK25">
            <v>100000</v>
          </cell>
          <cell r="AN25">
            <v>3500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</row>
        <row r="26">
          <cell r="A26" t="str">
            <v>AS201628</v>
          </cell>
          <cell r="B26" t="str">
            <v>NKAMGANG JUSTIN DEJOLIE</v>
          </cell>
          <cell r="C26">
            <v>-131000</v>
          </cell>
          <cell r="D26">
            <v>105000</v>
          </cell>
          <cell r="E26">
            <v>0</v>
          </cell>
          <cell r="F26">
            <v>0</v>
          </cell>
          <cell r="G26">
            <v>3000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26000</v>
          </cell>
          <cell r="Q26">
            <v>102000</v>
          </cell>
          <cell r="U26">
            <v>236000</v>
          </cell>
          <cell r="AI26">
            <v>60000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0</v>
          </cell>
          <cell r="U28">
            <v>130000</v>
          </cell>
          <cell r="AK28">
            <v>46000</v>
          </cell>
          <cell r="AN28">
            <v>1000</v>
          </cell>
          <cell r="AP28" t="str">
            <v>BANQUE</v>
          </cell>
          <cell r="AQ28">
            <v>0</v>
          </cell>
          <cell r="AR28">
            <v>0</v>
          </cell>
          <cell r="AS28">
            <v>7000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130000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25000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130000</v>
          </cell>
          <cell r="AD32">
            <v>85000</v>
          </cell>
          <cell r="AF32" t="str">
            <v>BANQUE</v>
          </cell>
          <cell r="AQ32">
            <v>0</v>
          </cell>
          <cell r="AR32">
            <v>0</v>
          </cell>
          <cell r="AS32">
            <v>32000</v>
          </cell>
        </row>
        <row r="33">
          <cell r="A33" t="str">
            <v>AS201641</v>
          </cell>
          <cell r="B33" t="str">
            <v>TCHOUAMOU MATHIEU</v>
          </cell>
          <cell r="C33">
            <v>126000</v>
          </cell>
          <cell r="D33">
            <v>156000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U33">
            <v>30000</v>
          </cell>
          <cell r="AI33">
            <v>31500</v>
          </cell>
          <cell r="AL33">
            <v>500</v>
          </cell>
          <cell r="AP33" t="str">
            <v>BANQUE</v>
          </cell>
          <cell r="AQ33">
            <v>0</v>
          </cell>
          <cell r="AR33">
            <v>0</v>
          </cell>
          <cell r="AS33">
            <v>7000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30000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U35">
            <v>30000</v>
          </cell>
          <cell r="AQ35">
            <v>0</v>
          </cell>
          <cell r="AR35">
            <v>0</v>
          </cell>
          <cell r="AS35">
            <v>7000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</row>
        <row r="38">
          <cell r="B38" t="str">
            <v>TOTAUX</v>
          </cell>
          <cell r="C38">
            <v>-102000</v>
          </cell>
          <cell r="D38">
            <v>3963500</v>
          </cell>
          <cell r="E38">
            <v>384000</v>
          </cell>
          <cell r="F38">
            <v>1821000</v>
          </cell>
          <cell r="G38">
            <v>12000</v>
          </cell>
          <cell r="H38">
            <v>0</v>
          </cell>
          <cell r="I38">
            <v>26</v>
          </cell>
          <cell r="J38">
            <v>780000</v>
          </cell>
          <cell r="K38">
            <v>119000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80500</v>
          </cell>
          <cell r="Q38">
            <v>643000</v>
          </cell>
          <cell r="R38">
            <v>176000</v>
          </cell>
          <cell r="S38">
            <v>1525000</v>
          </cell>
          <cell r="T38">
            <v>0</v>
          </cell>
          <cell r="U38">
            <v>6135500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3050000</v>
          </cell>
          <cell r="AA38">
            <v>0</v>
          </cell>
          <cell r="AB38">
            <v>0</v>
          </cell>
          <cell r="AC38">
            <v>73000</v>
          </cell>
          <cell r="AD38">
            <v>170000</v>
          </cell>
          <cell r="AE38">
            <v>170000</v>
          </cell>
          <cell r="AF38">
            <v>0</v>
          </cell>
          <cell r="AG38">
            <v>0</v>
          </cell>
          <cell r="AH38">
            <v>0</v>
          </cell>
          <cell r="AI38">
            <v>151500</v>
          </cell>
          <cell r="AJ38">
            <v>0</v>
          </cell>
          <cell r="AK38">
            <v>346000</v>
          </cell>
          <cell r="AL38">
            <v>2500</v>
          </cell>
          <cell r="AM38">
            <v>0</v>
          </cell>
          <cell r="AN38">
            <v>9500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301000</v>
          </cell>
          <cell r="AT38">
            <v>0</v>
          </cell>
          <cell r="AU38">
            <v>0</v>
          </cell>
        </row>
      </sheetData>
      <sheetData sheetId="8">
        <row r="6">
          <cell r="A6" t="str">
            <v>AS201648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105000</v>
          </cell>
          <cell r="Z7">
            <v>500000</v>
          </cell>
          <cell r="AA7" t="str">
            <v>BANQUE</v>
          </cell>
          <cell r="AQ7">
            <v>0</v>
          </cell>
          <cell r="AR7">
            <v>0</v>
          </cell>
          <cell r="AS7">
            <v>7000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-10000</v>
          </cell>
          <cell r="D8">
            <v>0</v>
          </cell>
          <cell r="E8">
            <v>108000</v>
          </cell>
          <cell r="F8">
            <v>0</v>
          </cell>
          <cell r="G8">
            <v>3000</v>
          </cell>
          <cell r="H8" t="str">
            <v>ESPECES</v>
          </cell>
          <cell r="I8">
            <v>1</v>
          </cell>
          <cell r="J8">
            <v>30000</v>
          </cell>
          <cell r="K8">
            <v>10000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118000</v>
          </cell>
          <cell r="AI8">
            <v>100000</v>
          </cell>
          <cell r="AL8">
            <v>2000</v>
          </cell>
          <cell r="AP8" t="str">
            <v>BANQUE</v>
          </cell>
          <cell r="AQ8">
            <v>0</v>
          </cell>
          <cell r="AR8">
            <v>0</v>
          </cell>
          <cell r="AS8">
            <v>17000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0</v>
          </cell>
          <cell r="E9">
            <v>33000</v>
          </cell>
          <cell r="F9">
            <v>0</v>
          </cell>
          <cell r="G9">
            <v>3000</v>
          </cell>
          <cell r="H9" t="str">
            <v>ESPECES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33000</v>
          </cell>
          <cell r="AQ9">
            <v>0</v>
          </cell>
          <cell r="AR9">
            <v>0</v>
          </cell>
          <cell r="AS9">
            <v>7000</v>
          </cell>
        </row>
        <row r="10">
          <cell r="A10" t="str">
            <v>AS201605</v>
          </cell>
          <cell r="B10" t="str">
            <v>DJOUKWE NANGUEN GUY BLAISE</v>
          </cell>
          <cell r="C10">
            <v>-24000</v>
          </cell>
          <cell r="D10">
            <v>81000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U10">
            <v>105000</v>
          </cell>
          <cell r="AJ10">
            <v>50000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7000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205000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205000</v>
          </cell>
          <cell r="Z11">
            <v>700000</v>
          </cell>
          <cell r="AA11" t="str">
            <v>BANQUE</v>
          </cell>
          <cell r="AQ11">
            <v>0</v>
          </cell>
          <cell r="AR11">
            <v>0</v>
          </cell>
          <cell r="AS11">
            <v>7000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</row>
        <row r="13">
          <cell r="A13" t="str">
            <v>AS201609</v>
          </cell>
          <cell r="B13" t="str">
            <v>DONHOU DAVID</v>
          </cell>
          <cell r="C13">
            <v>-5000</v>
          </cell>
          <cell r="D13">
            <v>0</v>
          </cell>
          <cell r="E13">
            <v>33000</v>
          </cell>
          <cell r="F13">
            <v>0</v>
          </cell>
          <cell r="G13">
            <v>3000</v>
          </cell>
          <cell r="H13" t="str">
            <v>ESPECES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38000</v>
          </cell>
          <cell r="AQ13">
            <v>0</v>
          </cell>
          <cell r="AR13">
            <v>0</v>
          </cell>
          <cell r="AS13">
            <v>12000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U17">
            <v>330000</v>
          </cell>
          <cell r="AK17">
            <v>100000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7000</v>
          </cell>
        </row>
        <row r="18">
          <cell r="A18" t="str">
            <v>AS201619</v>
          </cell>
          <cell r="B18" t="str">
            <v>KOUATCHO MESSACK</v>
          </cell>
          <cell r="C18">
            <v>-122000</v>
          </cell>
          <cell r="D18">
            <v>205000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52000</v>
          </cell>
          <cell r="U18">
            <v>257000</v>
          </cell>
          <cell r="AD18">
            <v>85000</v>
          </cell>
          <cell r="AF18" t="str">
            <v>BANQUE</v>
          </cell>
          <cell r="AJ18">
            <v>100000</v>
          </cell>
          <cell r="AK18">
            <v>100000</v>
          </cell>
          <cell r="AM18">
            <v>2000</v>
          </cell>
          <cell r="AN18">
            <v>1000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530000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S19">
            <v>500000</v>
          </cell>
          <cell r="U19">
            <v>530000</v>
          </cell>
          <cell r="AC19">
            <v>34000</v>
          </cell>
          <cell r="AF19" t="str">
            <v>BANQUE</v>
          </cell>
          <cell r="AQ19">
            <v>0</v>
          </cell>
          <cell r="AR19">
            <v>0</v>
          </cell>
          <cell r="AS19">
            <v>7000</v>
          </cell>
        </row>
        <row r="20">
          <cell r="A20" t="str">
            <v>AS201649</v>
          </cell>
          <cell r="B20" t="str">
            <v>MBOGNING TUGMA GUY</v>
          </cell>
          <cell r="C20">
            <v>-51000</v>
          </cell>
          <cell r="D20">
            <v>455000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51000</v>
          </cell>
          <cell r="U20">
            <v>506000</v>
          </cell>
          <cell r="AK20">
            <v>100000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</row>
        <row r="22">
          <cell r="A22" t="str">
            <v>AS201621</v>
          </cell>
          <cell r="B22" t="str">
            <v>NANKAM APPOLINAIRE</v>
          </cell>
          <cell r="C22">
            <v>-70000</v>
          </cell>
          <cell r="D22">
            <v>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105000</v>
          </cell>
          <cell r="Z22">
            <v>1000000</v>
          </cell>
          <cell r="AA22" t="str">
            <v>BANQUE</v>
          </cell>
          <cell r="AQ22">
            <v>0</v>
          </cell>
          <cell r="AR22">
            <v>0</v>
          </cell>
          <cell r="AS22">
            <v>7000</v>
          </cell>
        </row>
        <row r="23">
          <cell r="A23" t="str">
            <v>AS201622</v>
          </cell>
          <cell r="B23" t="str">
            <v>NDJOMO ETIENNE</v>
          </cell>
          <cell r="C23">
            <v>-102000</v>
          </cell>
          <cell r="D23">
            <v>150000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102000</v>
          </cell>
          <cell r="U23">
            <v>252000</v>
          </cell>
          <cell r="AK23">
            <v>35500</v>
          </cell>
          <cell r="AN23">
            <v>500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</row>
        <row r="24">
          <cell r="A24" t="str">
            <v>AS201624</v>
          </cell>
          <cell r="B24" t="str">
            <v>NGONDIEP CLAUDE</v>
          </cell>
          <cell r="C24">
            <v>-99000</v>
          </cell>
          <cell r="D24">
            <v>205000</v>
          </cell>
          <cell r="E24">
            <v>0</v>
          </cell>
          <cell r="F24">
            <v>0</v>
          </cell>
          <cell r="G24">
            <v>3000</v>
          </cell>
          <cell r="H24" t="str">
            <v>BANQUE</v>
          </cell>
          <cell r="I24">
            <v>1</v>
          </cell>
          <cell r="J24">
            <v>30000</v>
          </cell>
          <cell r="K24">
            <v>35000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61000</v>
          </cell>
          <cell r="Q24">
            <v>0</v>
          </cell>
          <cell r="R24">
            <v>0</v>
          </cell>
          <cell r="U24">
            <v>304000</v>
          </cell>
          <cell r="AJ24">
            <v>50000</v>
          </cell>
          <cell r="AK24">
            <v>100000</v>
          </cell>
          <cell r="AM24">
            <v>1000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42000</v>
          </cell>
        </row>
        <row r="25">
          <cell r="A25" t="str">
            <v>AS201626</v>
          </cell>
          <cell r="B25" t="str">
            <v>NGUIEMEGNI MATHIEU BLAISE</v>
          </cell>
          <cell r="C25">
            <v>-43500</v>
          </cell>
          <cell r="D25">
            <v>340000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103500</v>
          </cell>
          <cell r="U25">
            <v>383500</v>
          </cell>
          <cell r="AE25">
            <v>180000</v>
          </cell>
          <cell r="AF25" t="str">
            <v>BANQUE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</row>
        <row r="26">
          <cell r="A26" t="str">
            <v>AS201628</v>
          </cell>
          <cell r="B26" t="str">
            <v>NKAMGANG JUSTIN DEJOLIE</v>
          </cell>
          <cell r="C26">
            <v>-64000</v>
          </cell>
          <cell r="D26">
            <v>105000</v>
          </cell>
          <cell r="E26">
            <v>0</v>
          </cell>
          <cell r="F26">
            <v>0</v>
          </cell>
          <cell r="G26">
            <v>3000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61000</v>
          </cell>
          <cell r="Q26">
            <v>0</v>
          </cell>
          <cell r="U26">
            <v>169000</v>
          </cell>
          <cell r="AJ26">
            <v>50000</v>
          </cell>
          <cell r="AM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180000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3000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47000</v>
          </cell>
          <cell r="U28">
            <v>180000</v>
          </cell>
          <cell r="AC28">
            <v>28000</v>
          </cell>
          <cell r="AF28" t="str">
            <v>BANQUE</v>
          </cell>
          <cell r="AK28">
            <v>100000</v>
          </cell>
          <cell r="AN28">
            <v>1000</v>
          </cell>
          <cell r="AP28" t="str">
            <v>BANQUE</v>
          </cell>
          <cell r="AQ28">
            <v>0</v>
          </cell>
          <cell r="AR28">
            <v>0</v>
          </cell>
          <cell r="AS28">
            <v>10000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0</v>
          </cell>
          <cell r="E30">
            <v>108000</v>
          </cell>
          <cell r="F30">
            <v>0</v>
          </cell>
          <cell r="G30">
            <v>3000</v>
          </cell>
          <cell r="H30" t="str">
            <v>ESPECES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108000</v>
          </cell>
          <cell r="AQ30">
            <v>0</v>
          </cell>
          <cell r="AR30">
            <v>0</v>
          </cell>
          <cell r="AS30">
            <v>7000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150000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45000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150000</v>
          </cell>
          <cell r="AJ32">
            <v>48000</v>
          </cell>
          <cell r="AM32">
            <v>500</v>
          </cell>
          <cell r="AP32" t="str">
            <v>BANQUE</v>
          </cell>
          <cell r="AQ32">
            <v>0</v>
          </cell>
          <cell r="AR32">
            <v>0</v>
          </cell>
          <cell r="AS32">
            <v>52000</v>
          </cell>
        </row>
        <row r="33">
          <cell r="A33" t="str">
            <v>AS201641</v>
          </cell>
          <cell r="B33" t="str">
            <v>TCHOUAMOU MATHIEU</v>
          </cell>
          <cell r="C33">
            <v>43000</v>
          </cell>
          <cell r="D33">
            <v>105000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32000</v>
          </cell>
          <cell r="U33">
            <v>62000</v>
          </cell>
          <cell r="AQ33">
            <v>0</v>
          </cell>
          <cell r="AR33">
            <v>0</v>
          </cell>
          <cell r="AS33">
            <v>7000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30000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U35">
            <v>30000</v>
          </cell>
          <cell r="AQ35">
            <v>0</v>
          </cell>
          <cell r="AR35">
            <v>0</v>
          </cell>
          <cell r="AS35">
            <v>7000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</row>
        <row r="38">
          <cell r="B38" t="str">
            <v>TOTAUX</v>
          </cell>
          <cell r="C38">
            <v>-547500</v>
          </cell>
          <cell r="D38">
            <v>4086000</v>
          </cell>
          <cell r="E38">
            <v>282000</v>
          </cell>
          <cell r="F38">
            <v>0</v>
          </cell>
          <cell r="G38">
            <v>18000</v>
          </cell>
          <cell r="H38">
            <v>0</v>
          </cell>
          <cell r="I38">
            <v>26</v>
          </cell>
          <cell r="J38">
            <v>780000</v>
          </cell>
          <cell r="K38">
            <v>168000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154000</v>
          </cell>
          <cell r="Q38">
            <v>0</v>
          </cell>
          <cell r="R38">
            <v>355500</v>
          </cell>
          <cell r="S38">
            <v>500000</v>
          </cell>
          <cell r="T38">
            <v>0</v>
          </cell>
          <cell r="U38">
            <v>4775500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2200000</v>
          </cell>
          <cell r="AA38">
            <v>0</v>
          </cell>
          <cell r="AB38">
            <v>0</v>
          </cell>
          <cell r="AC38">
            <v>62000</v>
          </cell>
          <cell r="AD38">
            <v>85000</v>
          </cell>
          <cell r="AE38">
            <v>180000</v>
          </cell>
          <cell r="AF38">
            <v>0</v>
          </cell>
          <cell r="AG38">
            <v>0</v>
          </cell>
          <cell r="AH38">
            <v>0</v>
          </cell>
          <cell r="AI38">
            <v>100000</v>
          </cell>
          <cell r="AJ38">
            <v>298000</v>
          </cell>
          <cell r="AK38">
            <v>535500</v>
          </cell>
          <cell r="AL38">
            <v>2000</v>
          </cell>
          <cell r="AM38">
            <v>5500</v>
          </cell>
          <cell r="AN38">
            <v>6500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350000</v>
          </cell>
          <cell r="AT38">
            <v>0</v>
          </cell>
          <cell r="AU38">
            <v>0</v>
          </cell>
        </row>
      </sheetData>
      <sheetData sheetId="9">
        <row r="6">
          <cell r="A6" t="str">
            <v>AS201648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105000</v>
          </cell>
          <cell r="AQ7">
            <v>0</v>
          </cell>
          <cell r="AR7">
            <v>0</v>
          </cell>
          <cell r="AS7">
            <v>7000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-79000</v>
          </cell>
          <cell r="D8">
            <v>132000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4000</v>
          </cell>
          <cell r="L8">
            <v>1</v>
          </cell>
          <cell r="M8">
            <v>75000</v>
          </cell>
          <cell r="O8">
            <v>0</v>
          </cell>
          <cell r="P8">
            <v>102000</v>
          </cell>
          <cell r="Q8">
            <v>0</v>
          </cell>
          <cell r="U8">
            <v>211000</v>
          </cell>
          <cell r="AQ8">
            <v>0</v>
          </cell>
          <cell r="AR8">
            <v>0</v>
          </cell>
          <cell r="AS8">
            <v>11000</v>
          </cell>
        </row>
        <row r="9">
          <cell r="A9" t="str">
            <v>AS201654</v>
          </cell>
          <cell r="B9" t="str">
            <v>DJOMOU TCHANDA</v>
          </cell>
          <cell r="C9">
            <v>5000</v>
          </cell>
          <cell r="D9">
            <v>35000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</row>
        <row r="10">
          <cell r="A10" t="str">
            <v>AS201605</v>
          </cell>
          <cell r="B10" t="str">
            <v>DJOUKWE NANGUEN GUY BLAISE</v>
          </cell>
          <cell r="C10">
            <v>-75000</v>
          </cell>
          <cell r="D10">
            <v>81000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51000</v>
          </cell>
          <cell r="U10">
            <v>156000</v>
          </cell>
          <cell r="AQ10">
            <v>0</v>
          </cell>
          <cell r="AR10">
            <v>0</v>
          </cell>
          <cell r="AS10">
            <v>7000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105000</v>
          </cell>
          <cell r="E11">
            <v>100000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205000</v>
          </cell>
          <cell r="AQ11">
            <v>0</v>
          </cell>
          <cell r="AR11">
            <v>0</v>
          </cell>
          <cell r="AS11">
            <v>4000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Q13">
            <v>0</v>
          </cell>
          <cell r="AR13">
            <v>0</v>
          </cell>
          <cell r="AS13">
            <v>12000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AD16">
            <v>90000</v>
          </cell>
          <cell r="AF16" t="str">
            <v>BANQUE</v>
          </cell>
          <cell r="AQ16">
            <v>0</v>
          </cell>
          <cell r="AR16">
            <v>0</v>
          </cell>
          <cell r="AS16">
            <v>52000</v>
          </cell>
        </row>
        <row r="17">
          <cell r="A17" t="str">
            <v>AS201617</v>
          </cell>
          <cell r="B17" t="str">
            <v>KOUAMOU MOISE</v>
          </cell>
          <cell r="C17">
            <v>-1000</v>
          </cell>
          <cell r="D17">
            <v>430000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101000</v>
          </cell>
          <cell r="U17">
            <v>431000</v>
          </cell>
          <cell r="AP17" t="str">
            <v>BANQUE</v>
          </cell>
          <cell r="AQ17">
            <v>0</v>
          </cell>
          <cell r="AR17">
            <v>0</v>
          </cell>
          <cell r="AS17">
            <v>6000</v>
          </cell>
        </row>
        <row r="18">
          <cell r="A18" t="str">
            <v>AS201619</v>
          </cell>
          <cell r="B18" t="str">
            <v>KOUATCHO MESSACK</v>
          </cell>
          <cell r="C18">
            <v>500</v>
          </cell>
          <cell r="D18">
            <v>410000</v>
          </cell>
          <cell r="E18">
            <v>0</v>
          </cell>
          <cell r="F18">
            <v>0</v>
          </cell>
          <cell r="G18">
            <v>3000</v>
          </cell>
          <cell r="H18" t="str">
            <v>BANQUE</v>
          </cell>
          <cell r="I18">
            <v>1</v>
          </cell>
          <cell r="J18">
            <v>30000</v>
          </cell>
          <cell r="K18">
            <v>1500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102000</v>
          </cell>
          <cell r="R18">
            <v>101000</v>
          </cell>
          <cell r="U18">
            <v>412500</v>
          </cell>
          <cell r="AP18" t="str">
            <v>ESPECES</v>
          </cell>
          <cell r="AQ18">
            <v>0</v>
          </cell>
          <cell r="AR18">
            <v>0</v>
          </cell>
          <cell r="AS18">
            <v>8500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U19">
            <v>30000</v>
          </cell>
          <cell r="AQ19">
            <v>0</v>
          </cell>
          <cell r="AR19">
            <v>0</v>
          </cell>
          <cell r="AS19">
            <v>7000</v>
          </cell>
        </row>
        <row r="20">
          <cell r="A20" t="str">
            <v>AS201649</v>
          </cell>
          <cell r="B20" t="str">
            <v>MBOGNING TUGMA GUY</v>
          </cell>
          <cell r="C20">
            <v>-101000</v>
          </cell>
          <cell r="D20">
            <v>455000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101000</v>
          </cell>
          <cell r="U20">
            <v>556000</v>
          </cell>
          <cell r="AK20">
            <v>200000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105000</v>
          </cell>
          <cell r="AQ22">
            <v>0</v>
          </cell>
          <cell r="AR22">
            <v>0</v>
          </cell>
          <cell r="AS22">
            <v>7000</v>
          </cell>
        </row>
        <row r="23">
          <cell r="A23" t="str">
            <v>AS201622</v>
          </cell>
          <cell r="B23" t="str">
            <v>NDJOMO ETIENNE</v>
          </cell>
          <cell r="C23">
            <v>-36000</v>
          </cell>
          <cell r="D23">
            <v>150000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36000</v>
          </cell>
          <cell r="U23">
            <v>186000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</row>
        <row r="24">
          <cell r="A24" t="str">
            <v>AS201624</v>
          </cell>
          <cell r="B24" t="str">
            <v>NGONDIEP CLAUDE</v>
          </cell>
          <cell r="C24">
            <v>-48000</v>
          </cell>
          <cell r="D24">
            <v>315000</v>
          </cell>
          <cell r="E24">
            <v>0</v>
          </cell>
          <cell r="F24">
            <v>0</v>
          </cell>
          <cell r="G24">
            <v>3000</v>
          </cell>
          <cell r="H24" t="str">
            <v>BANQUE</v>
          </cell>
          <cell r="I24">
            <v>1</v>
          </cell>
          <cell r="J24">
            <v>30000</v>
          </cell>
          <cell r="K24">
            <v>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51000</v>
          </cell>
          <cell r="R24">
            <v>102000</v>
          </cell>
          <cell r="U24">
            <v>366000</v>
          </cell>
          <cell r="AC24">
            <v>25000</v>
          </cell>
          <cell r="AE24">
            <v>180000</v>
          </cell>
          <cell r="AF24" t="str">
            <v>BANQUE</v>
          </cell>
          <cell r="AJ24">
            <v>200000</v>
          </cell>
          <cell r="AK24">
            <v>222000</v>
          </cell>
          <cell r="AM24">
            <v>2000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12000</v>
          </cell>
        </row>
        <row r="25">
          <cell r="A25" t="str">
            <v>AS201626</v>
          </cell>
          <cell r="B25" t="str">
            <v>NGUIEMEGNI MATHIEU BLAISE</v>
          </cell>
          <cell r="C25">
            <v>-70000</v>
          </cell>
          <cell r="D25">
            <v>280000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280000</v>
          </cell>
          <cell r="AJ25">
            <v>200000</v>
          </cell>
          <cell r="AM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</row>
        <row r="26">
          <cell r="A26" t="str">
            <v>AS201628</v>
          </cell>
          <cell r="B26" t="str">
            <v>NKAMGANG JUSTIN DEJOLIE</v>
          </cell>
          <cell r="C26">
            <v>-51000</v>
          </cell>
          <cell r="D26">
            <v>105000</v>
          </cell>
          <cell r="E26">
            <v>0</v>
          </cell>
          <cell r="F26">
            <v>0</v>
          </cell>
          <cell r="G26">
            <v>3000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0</v>
          </cell>
          <cell r="Q26">
            <v>51000</v>
          </cell>
          <cell r="U26">
            <v>159000</v>
          </cell>
          <cell r="AQ26">
            <v>0</v>
          </cell>
          <cell r="AR26">
            <v>0</v>
          </cell>
          <cell r="AS26">
            <v>7000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241000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10000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101000</v>
          </cell>
          <cell r="U28">
            <v>241000</v>
          </cell>
          <cell r="AK28">
            <v>200000</v>
          </cell>
          <cell r="AN28">
            <v>2000</v>
          </cell>
          <cell r="AP28" t="str">
            <v>BANQUE</v>
          </cell>
          <cell r="AQ28">
            <v>0</v>
          </cell>
          <cell r="AR28">
            <v>0</v>
          </cell>
          <cell r="AS28">
            <v>17000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261000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7500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48500</v>
          </cell>
          <cell r="S32">
            <v>100000</v>
          </cell>
          <cell r="T32" t="str">
            <v>BANQUE</v>
          </cell>
          <cell r="U32">
            <v>261000</v>
          </cell>
          <cell r="AC32">
            <v>27000</v>
          </cell>
          <cell r="AF32" t="str">
            <v>BANQUE</v>
          </cell>
          <cell r="AQ32">
            <v>0</v>
          </cell>
          <cell r="AR32">
            <v>0</v>
          </cell>
          <cell r="AS32">
            <v>14500</v>
          </cell>
        </row>
        <row r="33">
          <cell r="A33" t="str">
            <v>AS201641</v>
          </cell>
          <cell r="B33" t="str">
            <v>TCHOUAMOU MATHIEU</v>
          </cell>
          <cell r="C33">
            <v>75000</v>
          </cell>
          <cell r="D33">
            <v>105000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U33">
            <v>30000</v>
          </cell>
          <cell r="AC33">
            <v>24000</v>
          </cell>
          <cell r="AF33" t="str">
            <v>BANQUE</v>
          </cell>
          <cell r="AQ33">
            <v>0</v>
          </cell>
          <cell r="AR33">
            <v>0</v>
          </cell>
          <cell r="AS33">
            <v>7000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30000</v>
          </cell>
          <cell r="F35">
            <v>0</v>
          </cell>
          <cell r="G35">
            <v>3000</v>
          </cell>
          <cell r="H35" t="str">
            <v>ESPECES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U35">
            <v>33000</v>
          </cell>
          <cell r="AQ35">
            <v>0</v>
          </cell>
          <cell r="AR35">
            <v>0</v>
          </cell>
          <cell r="AS35">
            <v>7000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</row>
        <row r="38">
          <cell r="B38" t="str">
            <v>TOTAUX</v>
          </cell>
          <cell r="C38">
            <v>-380500</v>
          </cell>
          <cell r="D38">
            <v>4290000</v>
          </cell>
          <cell r="E38">
            <v>130000</v>
          </cell>
          <cell r="F38">
            <v>0</v>
          </cell>
          <cell r="G38">
            <v>12000</v>
          </cell>
          <cell r="H38">
            <v>0</v>
          </cell>
          <cell r="I38">
            <v>26</v>
          </cell>
          <cell r="J38">
            <v>780000</v>
          </cell>
          <cell r="K38">
            <v>103000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102000</v>
          </cell>
          <cell r="Q38">
            <v>303500</v>
          </cell>
          <cell r="R38">
            <v>542000</v>
          </cell>
          <cell r="S38">
            <v>100000</v>
          </cell>
          <cell r="T38">
            <v>0</v>
          </cell>
          <cell r="U38">
            <v>4742500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76000</v>
          </cell>
          <cell r="AD38">
            <v>90000</v>
          </cell>
          <cell r="AE38">
            <v>180000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400000</v>
          </cell>
          <cell r="AK38">
            <v>622000</v>
          </cell>
          <cell r="AL38">
            <v>0</v>
          </cell>
          <cell r="AM38">
            <v>4000</v>
          </cell>
          <cell r="AN38">
            <v>6000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281000</v>
          </cell>
          <cell r="AT38">
            <v>0</v>
          </cell>
          <cell r="AU38">
            <v>0</v>
          </cell>
        </row>
      </sheetData>
      <sheetData sheetId="10">
        <row r="6">
          <cell r="A6" t="str">
            <v>AS201648</v>
          </cell>
        </row>
        <row r="7">
          <cell r="A7" t="str">
            <v>AS201602</v>
          </cell>
          <cell r="B7" t="str">
            <v>BOUTCHOUANG WILLIAM</v>
          </cell>
          <cell r="C7">
            <v>-3000</v>
          </cell>
          <cell r="D7">
            <v>0</v>
          </cell>
          <cell r="E7">
            <v>105000</v>
          </cell>
          <cell r="F7">
            <v>0</v>
          </cell>
          <cell r="G7">
            <v>3000</v>
          </cell>
          <cell r="H7" t="str">
            <v>ESPECES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108000</v>
          </cell>
          <cell r="AQ7">
            <v>0</v>
          </cell>
          <cell r="AR7">
            <v>0</v>
          </cell>
          <cell r="AS7">
            <v>7000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15000</v>
          </cell>
          <cell r="D8">
            <v>120000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105000</v>
          </cell>
          <cell r="AQ8">
            <v>0</v>
          </cell>
          <cell r="AR8">
            <v>0</v>
          </cell>
          <cell r="AS8">
            <v>4000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105000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U10">
            <v>105000</v>
          </cell>
          <cell r="AJ10">
            <v>100000</v>
          </cell>
          <cell r="AM10">
            <v>1000</v>
          </cell>
          <cell r="AQ10">
            <v>0</v>
          </cell>
          <cell r="AR10">
            <v>0</v>
          </cell>
          <cell r="AS10">
            <v>7000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205000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205000</v>
          </cell>
          <cell r="AQ11">
            <v>0</v>
          </cell>
          <cell r="AR11">
            <v>0</v>
          </cell>
          <cell r="AS11">
            <v>7000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Q13">
            <v>0</v>
          </cell>
          <cell r="AR13">
            <v>0</v>
          </cell>
          <cell r="AS13">
            <v>12000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AC16">
            <v>23000</v>
          </cell>
          <cell r="AF16" t="str">
            <v>BANQUE</v>
          </cell>
          <cell r="AQ16">
            <v>0</v>
          </cell>
          <cell r="AR16">
            <v>0</v>
          </cell>
          <cell r="AS16">
            <v>52000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U17">
            <v>330000</v>
          </cell>
          <cell r="AK17">
            <v>200000</v>
          </cell>
          <cell r="AN17">
            <v>2000</v>
          </cell>
          <cell r="AP17" t="str">
            <v>BANQUE</v>
          </cell>
          <cell r="AQ17">
            <v>0</v>
          </cell>
          <cell r="AR17">
            <v>0</v>
          </cell>
          <cell r="AS17">
            <v>7000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205000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205000</v>
          </cell>
          <cell r="AJ18">
            <v>173000</v>
          </cell>
          <cell r="AM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U19">
            <v>30000</v>
          </cell>
          <cell r="AQ19">
            <v>0</v>
          </cell>
          <cell r="AR19">
            <v>0</v>
          </cell>
          <cell r="AS19">
            <v>7000</v>
          </cell>
        </row>
        <row r="20">
          <cell r="A20" t="str">
            <v>AS201649</v>
          </cell>
          <cell r="B20" t="str">
            <v>MBOGNING TUGMA GUY</v>
          </cell>
          <cell r="C20">
            <v>-53500</v>
          </cell>
          <cell r="D20">
            <v>606500</v>
          </cell>
          <cell r="E20">
            <v>0</v>
          </cell>
          <cell r="F20">
            <v>0</v>
          </cell>
          <cell r="G20">
            <v>3000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202000</v>
          </cell>
          <cell r="U20">
            <v>660000</v>
          </cell>
          <cell r="AD20">
            <v>75000</v>
          </cell>
          <cell r="AF20" t="str">
            <v>BANQUE</v>
          </cell>
          <cell r="AJ20">
            <v>200000</v>
          </cell>
          <cell r="AK20">
            <v>200000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105000</v>
          </cell>
          <cell r="E22">
            <v>0</v>
          </cell>
          <cell r="F22">
            <v>1000000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S22">
            <v>1000000</v>
          </cell>
          <cell r="T22" t="str">
            <v>BANQUE</v>
          </cell>
          <cell r="U22">
            <v>1105000</v>
          </cell>
          <cell r="AQ22">
            <v>0</v>
          </cell>
          <cell r="AR22">
            <v>0</v>
          </cell>
          <cell r="AS22">
            <v>7000</v>
          </cell>
        </row>
        <row r="23">
          <cell r="A23" t="str">
            <v>AS201622</v>
          </cell>
          <cell r="B23" t="str">
            <v>NDJOMO ETIENNE</v>
          </cell>
          <cell r="C23">
            <v>-70000</v>
          </cell>
          <cell r="D23">
            <v>150000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0</v>
          </cell>
          <cell r="U23">
            <v>150000</v>
          </cell>
          <cell r="AC23">
            <v>23000</v>
          </cell>
          <cell r="AF23" t="str">
            <v>BANQUE</v>
          </cell>
          <cell r="AK23">
            <v>100000</v>
          </cell>
          <cell r="AN23">
            <v>1000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</row>
        <row r="24">
          <cell r="A24" t="str">
            <v>AS201624</v>
          </cell>
          <cell r="B24" t="str">
            <v>NGONDIEP CLAUDE</v>
          </cell>
          <cell r="C24">
            <v>-429000</v>
          </cell>
          <cell r="D24">
            <v>0</v>
          </cell>
          <cell r="E24">
            <v>205000</v>
          </cell>
          <cell r="F24">
            <v>0</v>
          </cell>
          <cell r="G24">
            <v>3000</v>
          </cell>
          <cell r="H24" t="str">
            <v>ESPECES</v>
          </cell>
          <cell r="I24">
            <v>1</v>
          </cell>
          <cell r="J24">
            <v>30000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202000</v>
          </cell>
          <cell r="R24">
            <v>224000</v>
          </cell>
          <cell r="U24">
            <v>634000</v>
          </cell>
          <cell r="AJ24">
            <v>200000</v>
          </cell>
          <cell r="AK24">
            <v>243000</v>
          </cell>
          <cell r="AM24">
            <v>2000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7000</v>
          </cell>
        </row>
        <row r="25">
          <cell r="A25" t="str">
            <v>AS201626</v>
          </cell>
          <cell r="B25" t="str">
            <v>NGUIEMEGNI MATHIEU BLAISE</v>
          </cell>
          <cell r="C25">
            <v>-2000</v>
          </cell>
          <cell r="D25">
            <v>480000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202000</v>
          </cell>
          <cell r="R25">
            <v>0</v>
          </cell>
          <cell r="U25">
            <v>482000</v>
          </cell>
          <cell r="AJ25">
            <v>200000</v>
          </cell>
          <cell r="AM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5000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105000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0</v>
          </cell>
          <cell r="Q26">
            <v>0</v>
          </cell>
          <cell r="U26">
            <v>105000</v>
          </cell>
          <cell r="AI26">
            <v>34000</v>
          </cell>
          <cell r="AJ26">
            <v>200000</v>
          </cell>
          <cell r="AL26">
            <v>500</v>
          </cell>
          <cell r="AM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-71000</v>
          </cell>
          <cell r="D28">
            <v>341000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10000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202000</v>
          </cell>
          <cell r="U28">
            <v>342000</v>
          </cell>
          <cell r="AE28">
            <v>115000</v>
          </cell>
          <cell r="AF28" t="str">
            <v>BANQUE</v>
          </cell>
          <cell r="AP28" t="str">
            <v>BANQUE</v>
          </cell>
          <cell r="AQ28">
            <v>0</v>
          </cell>
          <cell r="AR28">
            <v>0</v>
          </cell>
          <cell r="AS28">
            <v>17000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</row>
        <row r="30">
          <cell r="A30" t="str">
            <v>AS201653</v>
          </cell>
          <cell r="B30" t="str">
            <v>SIME BRICE</v>
          </cell>
          <cell r="C30">
            <v>-3000</v>
          </cell>
          <cell r="D30">
            <v>0</v>
          </cell>
          <cell r="E30">
            <v>105000</v>
          </cell>
          <cell r="F30">
            <v>0</v>
          </cell>
          <cell r="G30">
            <v>3000</v>
          </cell>
          <cell r="H30" t="str">
            <v>ESPECES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108000</v>
          </cell>
          <cell r="AQ30">
            <v>0</v>
          </cell>
          <cell r="AR30">
            <v>0</v>
          </cell>
          <cell r="AS30">
            <v>4000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210000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S32">
            <v>100000</v>
          </cell>
          <cell r="T32" t="str">
            <v>BANQUE</v>
          </cell>
          <cell r="U32">
            <v>210000</v>
          </cell>
          <cell r="AQ32">
            <v>0</v>
          </cell>
          <cell r="AR32">
            <v>0</v>
          </cell>
          <cell r="AS32">
            <v>12000</v>
          </cell>
        </row>
        <row r="33">
          <cell r="A33" t="str">
            <v>AS201641</v>
          </cell>
          <cell r="B33" t="str">
            <v>TCHOUAMOU MATHIEU</v>
          </cell>
          <cell r="C33">
            <v>5000</v>
          </cell>
          <cell r="D33">
            <v>105000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U33">
            <v>30000</v>
          </cell>
          <cell r="AQ33">
            <v>0</v>
          </cell>
          <cell r="AR33">
            <v>0</v>
          </cell>
          <cell r="AS33">
            <v>7000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30000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U35">
            <v>30000</v>
          </cell>
          <cell r="AQ35">
            <v>0</v>
          </cell>
          <cell r="AR35">
            <v>0</v>
          </cell>
          <cell r="AS35">
            <v>7000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</row>
        <row r="38">
          <cell r="B38" t="str">
            <v>TOTAUX</v>
          </cell>
          <cell r="C38">
            <v>-611500</v>
          </cell>
          <cell r="D38">
            <v>3997500</v>
          </cell>
          <cell r="E38">
            <v>415000</v>
          </cell>
          <cell r="F38">
            <v>1000000</v>
          </cell>
          <cell r="G38">
            <v>12000</v>
          </cell>
          <cell r="H38">
            <v>0</v>
          </cell>
          <cell r="I38">
            <v>26</v>
          </cell>
          <cell r="J38">
            <v>780000</v>
          </cell>
          <cell r="K38">
            <v>90000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0</v>
          </cell>
          <cell r="Q38">
            <v>404000</v>
          </cell>
          <cell r="R38">
            <v>628000</v>
          </cell>
          <cell r="S38">
            <v>1100000</v>
          </cell>
          <cell r="T38">
            <v>0</v>
          </cell>
          <cell r="U38">
            <v>5814000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46000</v>
          </cell>
          <cell r="AD38">
            <v>75000</v>
          </cell>
          <cell r="AE38">
            <v>115000</v>
          </cell>
          <cell r="AF38">
            <v>0</v>
          </cell>
          <cell r="AG38">
            <v>0</v>
          </cell>
          <cell r="AH38">
            <v>0</v>
          </cell>
          <cell r="AI38">
            <v>34000</v>
          </cell>
          <cell r="AJ38">
            <v>1073000</v>
          </cell>
          <cell r="AK38">
            <v>743000</v>
          </cell>
          <cell r="AL38">
            <v>500</v>
          </cell>
          <cell r="AM38">
            <v>11000</v>
          </cell>
          <cell r="AN38">
            <v>7000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264000</v>
          </cell>
          <cell r="AT38">
            <v>0</v>
          </cell>
          <cell r="AU38">
            <v>0</v>
          </cell>
        </row>
      </sheetData>
      <sheetData sheetId="11">
        <row r="6">
          <cell r="A6" t="str">
            <v>AS201648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105000</v>
          </cell>
          <cell r="AQ7">
            <v>0</v>
          </cell>
          <cell r="AR7">
            <v>0</v>
          </cell>
          <cell r="AS7">
            <v>7000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110000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5000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110000</v>
          </cell>
          <cell r="AQ8">
            <v>0</v>
          </cell>
          <cell r="AR8">
            <v>0</v>
          </cell>
          <cell r="AS8">
            <v>12000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206000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101000</v>
          </cell>
          <cell r="U10">
            <v>206000</v>
          </cell>
          <cell r="AJ10">
            <v>50000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7000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205000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205000</v>
          </cell>
          <cell r="AJ11">
            <v>50000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7000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33000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C12">
            <v>23000</v>
          </cell>
          <cell r="AF12" t="str">
            <v>BANQUE</v>
          </cell>
          <cell r="AQ12">
            <v>0</v>
          </cell>
          <cell r="AR12">
            <v>0</v>
          </cell>
          <cell r="AS12">
            <v>12000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Q13">
            <v>0</v>
          </cell>
          <cell r="AR13">
            <v>0</v>
          </cell>
          <cell r="AS13">
            <v>12000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533000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K17">
            <v>1000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202000</v>
          </cell>
          <cell r="U17">
            <v>533000</v>
          </cell>
          <cell r="AP17" t="str">
            <v>BANQUE</v>
          </cell>
          <cell r="AQ17">
            <v>0</v>
          </cell>
          <cell r="AR17">
            <v>0</v>
          </cell>
          <cell r="AS17">
            <v>8000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380000</v>
          </cell>
          <cell r="E18">
            <v>0</v>
          </cell>
          <cell r="F18">
            <v>1000000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175000</v>
          </cell>
          <cell r="R18">
            <v>0</v>
          </cell>
          <cell r="S18">
            <v>1000000</v>
          </cell>
          <cell r="T18" t="str">
            <v>BANQUE</v>
          </cell>
          <cell r="U18">
            <v>1380000</v>
          </cell>
          <cell r="Z18">
            <v>1000000</v>
          </cell>
          <cell r="AE18">
            <v>100000</v>
          </cell>
          <cell r="AF18" t="str">
            <v>BANQUE</v>
          </cell>
          <cell r="AI18">
            <v>48500</v>
          </cell>
          <cell r="AK18">
            <v>200000</v>
          </cell>
          <cell r="AL18">
            <v>1000</v>
          </cell>
          <cell r="AN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U19">
            <v>30000</v>
          </cell>
          <cell r="Z19">
            <v>1000000</v>
          </cell>
          <cell r="AQ19">
            <v>0</v>
          </cell>
          <cell r="AR19">
            <v>0</v>
          </cell>
          <cell r="AS19">
            <v>7000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859000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202000</v>
          </cell>
          <cell r="R20">
            <v>202000</v>
          </cell>
          <cell r="U20">
            <v>859000</v>
          </cell>
          <cell r="AK20">
            <v>200000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105000</v>
          </cell>
          <cell r="Z22">
            <v>1000000</v>
          </cell>
          <cell r="AQ22">
            <v>0</v>
          </cell>
          <cell r="AR22">
            <v>0</v>
          </cell>
          <cell r="AS22">
            <v>7000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251000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101000</v>
          </cell>
          <cell r="U23">
            <v>251000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</row>
        <row r="24">
          <cell r="A24" t="str">
            <v>AS201624</v>
          </cell>
          <cell r="B24" t="str">
            <v>NGONDIEP CLAUDE</v>
          </cell>
          <cell r="C24">
            <v>78000</v>
          </cell>
          <cell r="D24">
            <v>740000</v>
          </cell>
          <cell r="E24">
            <v>17000</v>
          </cell>
          <cell r="F24">
            <v>0</v>
          </cell>
          <cell r="G24">
            <v>3000</v>
          </cell>
          <cell r="H24" t="str">
            <v>BANQUE</v>
          </cell>
          <cell r="I24">
            <v>1</v>
          </cell>
          <cell r="J24">
            <v>30000</v>
          </cell>
          <cell r="K24">
            <v>4000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202000</v>
          </cell>
          <cell r="R24">
            <v>245000</v>
          </cell>
          <cell r="U24">
            <v>659000</v>
          </cell>
          <cell r="AD24">
            <v>75000</v>
          </cell>
          <cell r="AF24" t="str">
            <v>BANQUE</v>
          </cell>
          <cell r="AK24">
            <v>250000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11000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385000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K25">
            <v>4000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101000</v>
          </cell>
          <cell r="R25">
            <v>0</v>
          </cell>
          <cell r="U25">
            <v>385000</v>
          </cell>
          <cell r="AJ25">
            <v>102000</v>
          </cell>
          <cell r="AM25">
            <v>2000</v>
          </cell>
          <cell r="AQ25">
            <v>0</v>
          </cell>
          <cell r="AR25">
            <v>0</v>
          </cell>
          <cell r="AS25">
            <v>11000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341500</v>
          </cell>
          <cell r="E26">
            <v>0</v>
          </cell>
          <cell r="F26">
            <v>1228000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34500</v>
          </cell>
          <cell r="Q26">
            <v>202000</v>
          </cell>
          <cell r="S26">
            <v>1155000</v>
          </cell>
          <cell r="T26" t="str">
            <v>BANQUE</v>
          </cell>
          <cell r="U26">
            <v>1496500</v>
          </cell>
          <cell r="Z26">
            <v>1000000</v>
          </cell>
          <cell r="AC26">
            <v>23000</v>
          </cell>
          <cell r="AD26">
            <v>75000</v>
          </cell>
          <cell r="AF26" t="str">
            <v>BANQUE</v>
          </cell>
          <cell r="AI26">
            <v>30000</v>
          </cell>
          <cell r="AJ26">
            <v>50000</v>
          </cell>
          <cell r="AL26">
            <v>500</v>
          </cell>
          <cell r="AM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</row>
        <row r="27">
          <cell r="A27" t="str">
            <v>AS201614</v>
          </cell>
          <cell r="B27" t="str">
            <v>NKEHE DAVID</v>
          </cell>
          <cell r="C27">
            <v>20000</v>
          </cell>
          <cell r="D27">
            <v>20000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430000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300000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0</v>
          </cell>
          <cell r="U28">
            <v>430000</v>
          </cell>
          <cell r="AQ28">
            <v>0</v>
          </cell>
          <cell r="AR28">
            <v>0</v>
          </cell>
          <cell r="AS28">
            <v>307000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-100000</v>
          </cell>
          <cell r="D32">
            <v>310000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S32">
            <v>300000</v>
          </cell>
          <cell r="T32" t="str">
            <v>BANQUE</v>
          </cell>
          <cell r="U32">
            <v>410000</v>
          </cell>
          <cell r="Z32">
            <v>800000</v>
          </cell>
          <cell r="AQ32">
            <v>0</v>
          </cell>
          <cell r="AR32">
            <v>0</v>
          </cell>
          <cell r="AS32">
            <v>12000</v>
          </cell>
        </row>
        <row r="33">
          <cell r="A33" t="str">
            <v>AS201641</v>
          </cell>
          <cell r="B33" t="str">
            <v>TCHOUAMOU MATHIEU</v>
          </cell>
          <cell r="C33">
            <v>176000</v>
          </cell>
          <cell r="D33">
            <v>206000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U33">
            <v>30000</v>
          </cell>
          <cell r="AQ33">
            <v>0</v>
          </cell>
          <cell r="AR33">
            <v>0</v>
          </cell>
          <cell r="AS33">
            <v>7000</v>
          </cell>
        </row>
        <row r="34">
          <cell r="A34" t="str">
            <v>AS201644</v>
          </cell>
          <cell r="B34" t="str">
            <v>TIEYAM ERNEST</v>
          </cell>
          <cell r="C34">
            <v>30000</v>
          </cell>
          <cell r="D34">
            <v>30000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-3000</v>
          </cell>
          <cell r="D35">
            <v>0</v>
          </cell>
          <cell r="E35">
            <v>30000</v>
          </cell>
          <cell r="F35">
            <v>0</v>
          </cell>
          <cell r="G35">
            <v>3000</v>
          </cell>
          <cell r="H35" t="str">
            <v>ESPECES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U35">
            <v>33000</v>
          </cell>
          <cell r="AQ35">
            <v>0</v>
          </cell>
          <cell r="AR35">
            <v>0</v>
          </cell>
          <cell r="AS35">
            <v>7000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Z36">
            <v>1000000</v>
          </cell>
          <cell r="AQ36">
            <v>0</v>
          </cell>
          <cell r="AR36">
            <v>0</v>
          </cell>
          <cell r="AS36">
            <v>7000</v>
          </cell>
        </row>
        <row r="38">
          <cell r="B38" t="str">
            <v>TOTAUX</v>
          </cell>
          <cell r="C38">
            <v>201000</v>
          </cell>
          <cell r="D38">
            <v>6221500</v>
          </cell>
          <cell r="E38">
            <v>47000</v>
          </cell>
          <cell r="F38">
            <v>2261000</v>
          </cell>
          <cell r="G38">
            <v>6000</v>
          </cell>
          <cell r="H38">
            <v>0</v>
          </cell>
          <cell r="I38">
            <v>26</v>
          </cell>
          <cell r="J38">
            <v>780000</v>
          </cell>
          <cell r="K38">
            <v>394000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34500</v>
          </cell>
          <cell r="Q38">
            <v>983000</v>
          </cell>
          <cell r="R38">
            <v>750000</v>
          </cell>
          <cell r="S38">
            <v>2455000</v>
          </cell>
          <cell r="T38">
            <v>0</v>
          </cell>
          <cell r="U38">
            <v>8202500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5800000</v>
          </cell>
          <cell r="AA38">
            <v>0</v>
          </cell>
          <cell r="AB38">
            <v>0</v>
          </cell>
          <cell r="AC38">
            <v>46000</v>
          </cell>
          <cell r="AD38">
            <v>150000</v>
          </cell>
          <cell r="AE38">
            <v>100000</v>
          </cell>
          <cell r="AF38">
            <v>0</v>
          </cell>
          <cell r="AG38">
            <v>0</v>
          </cell>
          <cell r="AH38">
            <v>0</v>
          </cell>
          <cell r="AI38">
            <v>78500</v>
          </cell>
          <cell r="AJ38">
            <v>252000</v>
          </cell>
          <cell r="AK38">
            <v>650000</v>
          </cell>
          <cell r="AL38">
            <v>1500</v>
          </cell>
          <cell r="AM38">
            <v>5000</v>
          </cell>
          <cell r="AN38">
            <v>6000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576000</v>
          </cell>
          <cell r="AT38">
            <v>0</v>
          </cell>
          <cell r="AU38">
            <v>0</v>
          </cell>
        </row>
      </sheetData>
      <sheetData sheetId="12">
        <row r="6">
          <cell r="A6" t="str">
            <v>AS201648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570000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S7">
            <v>500000</v>
          </cell>
          <cell r="U7">
            <v>605000</v>
          </cell>
          <cell r="AC7">
            <v>23000</v>
          </cell>
          <cell r="AF7" t="str">
            <v>BANQUE</v>
          </cell>
          <cell r="AQ7">
            <v>0</v>
          </cell>
          <cell r="AR7">
            <v>0</v>
          </cell>
          <cell r="AS7">
            <v>7000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105000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105000</v>
          </cell>
          <cell r="AJ8">
            <v>50000</v>
          </cell>
          <cell r="AM8">
            <v>1000</v>
          </cell>
          <cell r="AP8" t="str">
            <v>BANQUE</v>
          </cell>
          <cell r="AQ8">
            <v>0</v>
          </cell>
          <cell r="AR8">
            <v>0</v>
          </cell>
          <cell r="AS8">
            <v>7000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0</v>
          </cell>
          <cell r="E9">
            <v>34000</v>
          </cell>
          <cell r="F9">
            <v>0</v>
          </cell>
          <cell r="G9">
            <v>3000</v>
          </cell>
          <cell r="H9" t="str">
            <v>ESPECES</v>
          </cell>
          <cell r="I9">
            <v>1</v>
          </cell>
          <cell r="J9">
            <v>30000</v>
          </cell>
          <cell r="K9">
            <v>1000</v>
          </cell>
          <cell r="M9">
            <v>0</v>
          </cell>
          <cell r="O9">
            <v>0</v>
          </cell>
          <cell r="P9">
            <v>0</v>
          </cell>
          <cell r="U9">
            <v>34000</v>
          </cell>
          <cell r="AQ9">
            <v>0</v>
          </cell>
          <cell r="AR9">
            <v>0</v>
          </cell>
          <cell r="AS9">
            <v>8000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156000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51000</v>
          </cell>
          <cell r="U10">
            <v>156000</v>
          </cell>
          <cell r="AJ10">
            <v>50000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7000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0</v>
          </cell>
          <cell r="E11">
            <v>259000</v>
          </cell>
          <cell r="F11">
            <v>700000</v>
          </cell>
          <cell r="G11">
            <v>3000</v>
          </cell>
          <cell r="H11" t="str">
            <v>ESPECES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51000</v>
          </cell>
          <cell r="R11">
            <v>0</v>
          </cell>
          <cell r="S11">
            <v>700000</v>
          </cell>
          <cell r="U11">
            <v>959000</v>
          </cell>
          <cell r="AD11">
            <v>85000</v>
          </cell>
          <cell r="AF11" t="str">
            <v>BANQUE</v>
          </cell>
          <cell r="AJ11">
            <v>75000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7000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Q13">
            <v>0</v>
          </cell>
          <cell r="AR13">
            <v>0</v>
          </cell>
          <cell r="AS13">
            <v>12000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U17">
            <v>330000</v>
          </cell>
          <cell r="AQ17">
            <v>0</v>
          </cell>
          <cell r="AR17">
            <v>0</v>
          </cell>
          <cell r="AS17">
            <v>7000</v>
          </cell>
        </row>
        <row r="18">
          <cell r="A18" t="str">
            <v>AS201619</v>
          </cell>
          <cell r="B18" t="str">
            <v>KOUATCHO MESSACK</v>
          </cell>
          <cell r="C18">
            <v>-3500</v>
          </cell>
          <cell r="D18">
            <v>453000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49500</v>
          </cell>
          <cell r="Q18">
            <v>0</v>
          </cell>
          <cell r="R18">
            <v>202000</v>
          </cell>
          <cell r="U18">
            <v>456500</v>
          </cell>
          <cell r="AK18">
            <v>200000</v>
          </cell>
          <cell r="AN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4000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U19">
            <v>30000</v>
          </cell>
          <cell r="AQ19">
            <v>0</v>
          </cell>
          <cell r="AR19">
            <v>0</v>
          </cell>
          <cell r="AS19">
            <v>7000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657000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202000</v>
          </cell>
          <cell r="U20">
            <v>657000</v>
          </cell>
          <cell r="AE20">
            <v>100000</v>
          </cell>
          <cell r="AF20" t="str">
            <v>BANQUE</v>
          </cell>
          <cell r="AK20">
            <v>256000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105000</v>
          </cell>
          <cell r="AQ22">
            <v>0</v>
          </cell>
          <cell r="AR22">
            <v>0</v>
          </cell>
          <cell r="AS22">
            <v>7000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0</v>
          </cell>
          <cell r="U23">
            <v>150000</v>
          </cell>
          <cell r="AK23">
            <v>100000</v>
          </cell>
          <cell r="AN23">
            <v>1000</v>
          </cell>
          <cell r="AQ23">
            <v>0</v>
          </cell>
          <cell r="AR23">
            <v>0</v>
          </cell>
          <cell r="AS23">
            <v>27000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460000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3000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252000</v>
          </cell>
          <cell r="U24">
            <v>460000</v>
          </cell>
          <cell r="AP24" t="str">
            <v>BANQUE</v>
          </cell>
          <cell r="AQ24">
            <v>0</v>
          </cell>
          <cell r="AR24">
            <v>0</v>
          </cell>
          <cell r="AS24">
            <v>10000</v>
          </cell>
        </row>
        <row r="25">
          <cell r="A25" t="str">
            <v>AS201626</v>
          </cell>
          <cell r="B25" t="str">
            <v>NGUIEMEGNI MATHIEU BLAISE</v>
          </cell>
          <cell r="C25">
            <v>-1000</v>
          </cell>
          <cell r="D25">
            <v>387000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K25">
            <v>4000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104000</v>
          </cell>
          <cell r="R25">
            <v>0</v>
          </cell>
          <cell r="U25">
            <v>388000</v>
          </cell>
          <cell r="AD25">
            <v>90000</v>
          </cell>
          <cell r="AF25" t="str">
            <v>BANQUE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11000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105000</v>
          </cell>
          <cell r="E26">
            <v>84500</v>
          </cell>
          <cell r="F26">
            <v>0</v>
          </cell>
          <cell r="G26">
            <v>3000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30500</v>
          </cell>
          <cell r="Q26">
            <v>51000</v>
          </cell>
          <cell r="U26">
            <v>189500</v>
          </cell>
          <cell r="AJ26">
            <v>75000</v>
          </cell>
          <cell r="AM26">
            <v>1000</v>
          </cell>
          <cell r="AP26" t="str">
            <v>ESPECES</v>
          </cell>
          <cell r="AQ26">
            <v>0</v>
          </cell>
          <cell r="AR26">
            <v>0</v>
          </cell>
          <cell r="AS26">
            <v>7000</v>
          </cell>
        </row>
        <row r="27">
          <cell r="A27" t="str">
            <v>AS201614</v>
          </cell>
          <cell r="B27" t="str">
            <v>NKEHE DAVID</v>
          </cell>
          <cell r="C27">
            <v>20000</v>
          </cell>
          <cell r="D27">
            <v>20000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200000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70000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0</v>
          </cell>
          <cell r="U28">
            <v>200000</v>
          </cell>
          <cell r="AQ28">
            <v>0</v>
          </cell>
          <cell r="AR28">
            <v>0</v>
          </cell>
          <cell r="AS28">
            <v>77000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0</v>
          </cell>
          <cell r="E30">
            <v>108000</v>
          </cell>
          <cell r="F30">
            <v>0</v>
          </cell>
          <cell r="G30">
            <v>3000</v>
          </cell>
          <cell r="H30" t="str">
            <v>ESPECES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108000</v>
          </cell>
          <cell r="AQ30">
            <v>0</v>
          </cell>
          <cell r="AR30">
            <v>0</v>
          </cell>
          <cell r="AS30">
            <v>7000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110000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110000</v>
          </cell>
          <cell r="AI32">
            <v>20000</v>
          </cell>
          <cell r="AL32">
            <v>500</v>
          </cell>
          <cell r="AP32" t="str">
            <v>BANQUE</v>
          </cell>
          <cell r="AQ32">
            <v>0</v>
          </cell>
          <cell r="AR32">
            <v>0</v>
          </cell>
          <cell r="AS32">
            <v>12000</v>
          </cell>
        </row>
        <row r="33">
          <cell r="A33" t="str">
            <v>AS201641</v>
          </cell>
          <cell r="B33" t="str">
            <v>TCHOUAMOU MATHIEU</v>
          </cell>
          <cell r="C33">
            <v>0</v>
          </cell>
          <cell r="D33">
            <v>30000</v>
          </cell>
          <cell r="E33">
            <v>0</v>
          </cell>
          <cell r="F33">
            <v>560000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S33">
            <v>560000</v>
          </cell>
          <cell r="U33">
            <v>590000</v>
          </cell>
          <cell r="Z33">
            <v>1000000</v>
          </cell>
          <cell r="AA33" t="str">
            <v>BANQUE</v>
          </cell>
          <cell r="AQ33">
            <v>0</v>
          </cell>
          <cell r="AR33">
            <v>0</v>
          </cell>
          <cell r="AS33">
            <v>7000</v>
          </cell>
        </row>
        <row r="34">
          <cell r="A34" t="str">
            <v>AS201644</v>
          </cell>
          <cell r="B34" t="str">
            <v>TIEYAM ERNEST</v>
          </cell>
          <cell r="C34">
            <v>30000</v>
          </cell>
          <cell r="D34">
            <v>30000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33000</v>
          </cell>
          <cell r="F35">
            <v>0</v>
          </cell>
          <cell r="G35">
            <v>3000</v>
          </cell>
          <cell r="H35" t="str">
            <v>ESPECES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U35">
            <v>33000</v>
          </cell>
          <cell r="AQ35">
            <v>0</v>
          </cell>
          <cell r="AR35">
            <v>0</v>
          </cell>
          <cell r="AS35">
            <v>7000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0</v>
          </cell>
          <cell r="E36">
            <v>283000</v>
          </cell>
          <cell r="F36">
            <v>0</v>
          </cell>
          <cell r="G36">
            <v>3000</v>
          </cell>
          <cell r="H36" t="str">
            <v>ESPECES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283000</v>
          </cell>
          <cell r="AQ36">
            <v>0</v>
          </cell>
          <cell r="AR36">
            <v>0</v>
          </cell>
          <cell r="AS36">
            <v>7000</v>
          </cell>
        </row>
        <row r="38">
          <cell r="B38" t="str">
            <v>TOTAUX</v>
          </cell>
          <cell r="C38">
            <v>45500</v>
          </cell>
          <cell r="D38">
            <v>3993000</v>
          </cell>
          <cell r="E38">
            <v>801500</v>
          </cell>
          <cell r="F38">
            <v>1830000</v>
          </cell>
          <cell r="G38">
            <v>18000</v>
          </cell>
          <cell r="H38">
            <v>0</v>
          </cell>
          <cell r="I38">
            <v>26</v>
          </cell>
          <cell r="J38">
            <v>780000</v>
          </cell>
          <cell r="K38">
            <v>158000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80000</v>
          </cell>
          <cell r="Q38">
            <v>257000</v>
          </cell>
          <cell r="R38">
            <v>656000</v>
          </cell>
          <cell r="S38">
            <v>1760000</v>
          </cell>
          <cell r="T38">
            <v>0</v>
          </cell>
          <cell r="U38">
            <v>6509000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1000000</v>
          </cell>
          <cell r="AA38">
            <v>0</v>
          </cell>
          <cell r="AB38">
            <v>0</v>
          </cell>
          <cell r="AC38">
            <v>23000</v>
          </cell>
          <cell r="AD38">
            <v>175000</v>
          </cell>
          <cell r="AE38">
            <v>100000</v>
          </cell>
          <cell r="AF38">
            <v>0</v>
          </cell>
          <cell r="AG38">
            <v>0</v>
          </cell>
          <cell r="AH38">
            <v>0</v>
          </cell>
          <cell r="AI38">
            <v>20000</v>
          </cell>
          <cell r="AJ38">
            <v>250000</v>
          </cell>
          <cell r="AK38">
            <v>656000</v>
          </cell>
          <cell r="AL38">
            <v>500</v>
          </cell>
          <cell r="AM38">
            <v>4000</v>
          </cell>
          <cell r="AN38">
            <v>6000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337000</v>
          </cell>
          <cell r="AT38">
            <v>0</v>
          </cell>
          <cell r="AU38">
            <v>0</v>
          </cell>
        </row>
      </sheetData>
      <sheetData sheetId="13">
        <row r="6">
          <cell r="A6" t="str">
            <v>AS201648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105000</v>
          </cell>
          <cell r="AD7">
            <v>75000</v>
          </cell>
          <cell r="AF7" t="str">
            <v>BANQUE</v>
          </cell>
          <cell r="AQ7">
            <v>0</v>
          </cell>
          <cell r="AR7">
            <v>0</v>
          </cell>
          <cell r="AS7">
            <v>7000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159000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3000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51000</v>
          </cell>
          <cell r="U8">
            <v>159000</v>
          </cell>
          <cell r="AJ8">
            <v>50000</v>
          </cell>
          <cell r="AM8">
            <v>1000</v>
          </cell>
          <cell r="AP8" t="str">
            <v>BANQUE</v>
          </cell>
          <cell r="AQ8">
            <v>0</v>
          </cell>
          <cell r="AR8">
            <v>0</v>
          </cell>
          <cell r="AS8">
            <v>10000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156000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51000</v>
          </cell>
          <cell r="U10">
            <v>156000</v>
          </cell>
          <cell r="AI10">
            <v>50000</v>
          </cell>
          <cell r="AJ10">
            <v>100000</v>
          </cell>
          <cell r="AL10">
            <v>1000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7000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110000</v>
          </cell>
          <cell r="E11">
            <v>0</v>
          </cell>
          <cell r="F11">
            <v>176000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K11">
            <v>5000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76000</v>
          </cell>
          <cell r="R11">
            <v>0</v>
          </cell>
          <cell r="U11">
            <v>286000</v>
          </cell>
          <cell r="AC11">
            <v>23000</v>
          </cell>
          <cell r="AF11" t="str">
            <v>BANQUE</v>
          </cell>
          <cell r="AI11">
            <v>68000</v>
          </cell>
          <cell r="AJ11">
            <v>75000</v>
          </cell>
          <cell r="AL11">
            <v>1000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12000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Q13">
            <v>0</v>
          </cell>
          <cell r="AR13">
            <v>0</v>
          </cell>
          <cell r="AS13">
            <v>12000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1050000</v>
          </cell>
          <cell r="E15">
            <v>0</v>
          </cell>
          <cell r="F15">
            <v>70000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C15">
            <v>23000</v>
          </cell>
          <cell r="AF15" t="str">
            <v>BANQUE</v>
          </cell>
          <cell r="AQ15">
            <v>0</v>
          </cell>
          <cell r="AR15">
            <v>0</v>
          </cell>
          <cell r="AS15">
            <v>7000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U17">
            <v>330000</v>
          </cell>
          <cell r="AQ17">
            <v>0</v>
          </cell>
          <cell r="AR17">
            <v>0</v>
          </cell>
          <cell r="AS17">
            <v>7000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65000</v>
          </cell>
          <cell r="E18">
            <v>345000</v>
          </cell>
          <cell r="F18">
            <v>0</v>
          </cell>
          <cell r="G18">
            <v>3000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202000</v>
          </cell>
          <cell r="U18">
            <v>410000</v>
          </cell>
          <cell r="AJ18">
            <v>400000</v>
          </cell>
          <cell r="AM18">
            <v>4000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U19">
            <v>30000</v>
          </cell>
          <cell r="AQ19">
            <v>0</v>
          </cell>
          <cell r="AR19">
            <v>0</v>
          </cell>
          <cell r="AS19">
            <v>7000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713000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258000</v>
          </cell>
          <cell r="U20">
            <v>713000</v>
          </cell>
          <cell r="AJ20">
            <v>200000</v>
          </cell>
          <cell r="AK20">
            <v>100000</v>
          </cell>
          <cell r="AM20">
            <v>2000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105000</v>
          </cell>
          <cell r="AQ22">
            <v>0</v>
          </cell>
          <cell r="AR22">
            <v>0</v>
          </cell>
          <cell r="AS22">
            <v>7000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251000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101000</v>
          </cell>
          <cell r="U23">
            <v>251000</v>
          </cell>
          <cell r="AE23">
            <v>100000</v>
          </cell>
          <cell r="AF23" t="str">
            <v>BANQUE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35000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240000</v>
          </cell>
          <cell r="AQ24">
            <v>0</v>
          </cell>
          <cell r="AR24">
            <v>0</v>
          </cell>
          <cell r="AS24">
            <v>42000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381000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101000</v>
          </cell>
          <cell r="U25">
            <v>381000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181000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0</v>
          </cell>
          <cell r="Q26">
            <v>76000</v>
          </cell>
          <cell r="U26">
            <v>181000</v>
          </cell>
          <cell r="AI26">
            <v>50000</v>
          </cell>
          <cell r="AJ26">
            <v>200000</v>
          </cell>
          <cell r="AL26">
            <v>1000</v>
          </cell>
          <cell r="AM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20000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0</v>
          </cell>
          <cell r="U28">
            <v>130000</v>
          </cell>
          <cell r="AQ28">
            <v>0</v>
          </cell>
          <cell r="AR28">
            <v>0</v>
          </cell>
          <cell r="AS28">
            <v>7000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120000</v>
          </cell>
          <cell r="E32">
            <v>10000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4500</v>
          </cell>
          <cell r="L32">
            <v>1</v>
          </cell>
          <cell r="M32">
            <v>75000</v>
          </cell>
          <cell r="O32">
            <v>0</v>
          </cell>
          <cell r="P32">
            <v>20500</v>
          </cell>
          <cell r="Q32">
            <v>0</v>
          </cell>
          <cell r="U32">
            <v>130000</v>
          </cell>
          <cell r="AQ32">
            <v>0</v>
          </cell>
          <cell r="AR32">
            <v>0</v>
          </cell>
          <cell r="AS32">
            <v>11500</v>
          </cell>
        </row>
        <row r="33">
          <cell r="A33" t="str">
            <v>AS201641</v>
          </cell>
          <cell r="B33" t="str">
            <v>TCHOUAMOU MATHIEU</v>
          </cell>
          <cell r="C33">
            <v>0</v>
          </cell>
          <cell r="D33">
            <v>30000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U33">
            <v>30000</v>
          </cell>
          <cell r="AQ33">
            <v>0</v>
          </cell>
          <cell r="AR33">
            <v>0</v>
          </cell>
          <cell r="AS33">
            <v>7000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30000</v>
          </cell>
          <cell r="E35">
            <v>0</v>
          </cell>
          <cell r="F35">
            <v>213750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S35">
            <v>143750</v>
          </cell>
          <cell r="U35">
            <v>173750</v>
          </cell>
          <cell r="AC35">
            <v>23000</v>
          </cell>
          <cell r="AF35" t="str">
            <v>BANQUE</v>
          </cell>
          <cell r="AQ35">
            <v>0</v>
          </cell>
          <cell r="AR35">
            <v>0</v>
          </cell>
          <cell r="AS35">
            <v>7000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</row>
        <row r="38">
          <cell r="B38" t="str">
            <v>TOTAUX</v>
          </cell>
          <cell r="C38">
            <v>0</v>
          </cell>
          <cell r="D38">
            <v>5076000</v>
          </cell>
          <cell r="E38">
            <v>355000</v>
          </cell>
          <cell r="F38">
            <v>459750</v>
          </cell>
          <cell r="G38">
            <v>3000</v>
          </cell>
          <cell r="H38">
            <v>0</v>
          </cell>
          <cell r="I38">
            <v>26</v>
          </cell>
          <cell r="J38">
            <v>780000</v>
          </cell>
          <cell r="K38">
            <v>122500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20500</v>
          </cell>
          <cell r="Q38">
            <v>254000</v>
          </cell>
          <cell r="R38">
            <v>662000</v>
          </cell>
          <cell r="S38">
            <v>143750</v>
          </cell>
          <cell r="T38">
            <v>0</v>
          </cell>
          <cell r="U38">
            <v>4785750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69000</v>
          </cell>
          <cell r="AD38">
            <v>75000</v>
          </cell>
          <cell r="AE38">
            <v>100000</v>
          </cell>
          <cell r="AF38">
            <v>0</v>
          </cell>
          <cell r="AG38">
            <v>0</v>
          </cell>
          <cell r="AH38">
            <v>0</v>
          </cell>
          <cell r="AI38">
            <v>168000</v>
          </cell>
          <cell r="AJ38">
            <v>1025000</v>
          </cell>
          <cell r="AK38">
            <v>200000</v>
          </cell>
          <cell r="AL38">
            <v>3000</v>
          </cell>
          <cell r="AM38">
            <v>11000</v>
          </cell>
          <cell r="AN38">
            <v>2000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304500</v>
          </cell>
          <cell r="AT38">
            <v>0</v>
          </cell>
          <cell r="AU38">
            <v>0</v>
          </cell>
        </row>
      </sheetData>
      <sheetData sheetId="14">
        <row r="6">
          <cell r="A6" t="str">
            <v>AS201648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105000</v>
          </cell>
          <cell r="AQ7">
            <v>0</v>
          </cell>
          <cell r="AR7">
            <v>0</v>
          </cell>
          <cell r="AS7">
            <v>7000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0</v>
          </cell>
          <cell r="E8">
            <v>156000</v>
          </cell>
          <cell r="F8">
            <v>0</v>
          </cell>
          <cell r="G8">
            <v>3000</v>
          </cell>
          <cell r="H8" t="str">
            <v>ESPECES</v>
          </cell>
          <cell r="I8">
            <v>1</v>
          </cell>
          <cell r="J8">
            <v>30000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51000</v>
          </cell>
          <cell r="U8">
            <v>159000</v>
          </cell>
          <cell r="AJ8">
            <v>100000</v>
          </cell>
          <cell r="AM8">
            <v>14000</v>
          </cell>
          <cell r="AP8" t="str">
            <v>BANQUE</v>
          </cell>
          <cell r="AQ8">
            <v>0</v>
          </cell>
          <cell r="AR8">
            <v>0</v>
          </cell>
          <cell r="AS8">
            <v>7000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113000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C9">
            <v>28000</v>
          </cell>
          <cell r="AF9" t="str">
            <v>BANQUE</v>
          </cell>
          <cell r="AQ9">
            <v>0</v>
          </cell>
          <cell r="AR9">
            <v>0</v>
          </cell>
          <cell r="AS9">
            <v>7000</v>
          </cell>
        </row>
        <row r="10">
          <cell r="A10" t="str">
            <v>AS201605</v>
          </cell>
          <cell r="B10" t="str">
            <v>DJOUKWE NANGUEN GUY BLAISE</v>
          </cell>
          <cell r="C10">
            <v>-70000</v>
          </cell>
          <cell r="D10">
            <v>206000</v>
          </cell>
          <cell r="E10">
            <v>0</v>
          </cell>
          <cell r="F10">
            <v>51000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51000</v>
          </cell>
          <cell r="Q10">
            <v>101000</v>
          </cell>
          <cell r="U10">
            <v>257000</v>
          </cell>
          <cell r="AC10">
            <v>27000</v>
          </cell>
          <cell r="AF10" t="str">
            <v>BANQUE</v>
          </cell>
          <cell r="AQ10">
            <v>0</v>
          </cell>
          <cell r="AR10">
            <v>0</v>
          </cell>
          <cell r="AS10">
            <v>7000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350000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69000</v>
          </cell>
          <cell r="Q11">
            <v>76000</v>
          </cell>
          <cell r="R11">
            <v>0</v>
          </cell>
          <cell r="U11">
            <v>350000</v>
          </cell>
          <cell r="AQ11">
            <v>0</v>
          </cell>
          <cell r="AR11">
            <v>0</v>
          </cell>
          <cell r="AS11">
            <v>7000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Q13">
            <v>0</v>
          </cell>
          <cell r="AR13">
            <v>0</v>
          </cell>
          <cell r="AS13">
            <v>12000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1070000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S17">
            <v>1000000</v>
          </cell>
          <cell r="T17" t="str">
            <v>BANQUE</v>
          </cell>
          <cell r="U17">
            <v>1330000</v>
          </cell>
          <cell r="AE17">
            <v>200000</v>
          </cell>
          <cell r="AF17" t="str">
            <v>BANQUE</v>
          </cell>
          <cell r="AQ17">
            <v>0</v>
          </cell>
          <cell r="AR17">
            <v>0</v>
          </cell>
          <cell r="AS17">
            <v>7000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609000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404000</v>
          </cell>
          <cell r="R18">
            <v>0</v>
          </cell>
          <cell r="U18">
            <v>609000</v>
          </cell>
          <cell r="AQ18">
            <v>0</v>
          </cell>
          <cell r="AR18">
            <v>0</v>
          </cell>
          <cell r="AS18">
            <v>7000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U19">
            <v>30000</v>
          </cell>
          <cell r="AQ19">
            <v>0</v>
          </cell>
          <cell r="AR19">
            <v>0</v>
          </cell>
          <cell r="AS19">
            <v>7000</v>
          </cell>
        </row>
        <row r="20">
          <cell r="A20" t="str">
            <v>AS201649</v>
          </cell>
          <cell r="B20" t="str">
            <v>MBOGNING TUGMA GUY</v>
          </cell>
          <cell r="C20">
            <v>-1000</v>
          </cell>
          <cell r="D20">
            <v>633000</v>
          </cell>
          <cell r="E20">
            <v>0</v>
          </cell>
          <cell r="F20">
            <v>124000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202000</v>
          </cell>
          <cell r="R20">
            <v>101000</v>
          </cell>
          <cell r="U20">
            <v>758000</v>
          </cell>
          <cell r="AD20">
            <v>75000</v>
          </cell>
          <cell r="AF20" t="str">
            <v>BANQUE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105000</v>
          </cell>
          <cell r="AC22">
            <v>27000</v>
          </cell>
          <cell r="AF22" t="str">
            <v>BANQUE</v>
          </cell>
          <cell r="AQ22">
            <v>0</v>
          </cell>
          <cell r="AR22">
            <v>0</v>
          </cell>
          <cell r="AS22">
            <v>7000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0</v>
          </cell>
          <cell r="U23">
            <v>150000</v>
          </cell>
          <cell r="AQ23">
            <v>0</v>
          </cell>
          <cell r="AR23">
            <v>0</v>
          </cell>
          <cell r="AS23">
            <v>27000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205000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205000</v>
          </cell>
          <cell r="AK24">
            <v>64000</v>
          </cell>
          <cell r="AN24">
            <v>2500</v>
          </cell>
          <cell r="AP24" t="str">
            <v>BANQUE</v>
          </cell>
          <cell r="AQ24">
            <v>0</v>
          </cell>
          <cell r="AR24">
            <v>0</v>
          </cell>
          <cell r="AS24">
            <v>7000</v>
          </cell>
        </row>
        <row r="25">
          <cell r="A25" t="str">
            <v>AS201626</v>
          </cell>
          <cell r="B25" t="str">
            <v>NGUIEMEGNI MATHIEU BLAISE</v>
          </cell>
          <cell r="C25">
            <v>-3000</v>
          </cell>
          <cell r="D25">
            <v>378000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101000</v>
          </cell>
          <cell r="U25">
            <v>381000</v>
          </cell>
          <cell r="AJ25">
            <v>77000</v>
          </cell>
          <cell r="AM25">
            <v>7000</v>
          </cell>
          <cell r="AP25" t="str">
            <v>BANQUE</v>
          </cell>
          <cell r="AQ25">
            <v>0</v>
          </cell>
          <cell r="AR25">
            <v>0</v>
          </cell>
          <cell r="AS25">
            <v>4000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105000</v>
          </cell>
          <cell r="E26">
            <v>253000</v>
          </cell>
          <cell r="F26">
            <v>0</v>
          </cell>
          <cell r="G26">
            <v>3000</v>
          </cell>
          <cell r="H26" t="str">
            <v>ESPECES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51000</v>
          </cell>
          <cell r="Q26">
            <v>202000</v>
          </cell>
          <cell r="U26">
            <v>361000</v>
          </cell>
          <cell r="AJ26">
            <v>202000</v>
          </cell>
          <cell r="AM26">
            <v>4000</v>
          </cell>
          <cell r="AN26">
            <v>2000</v>
          </cell>
          <cell r="AQ26">
            <v>0</v>
          </cell>
          <cell r="AR26">
            <v>0</v>
          </cell>
          <cell r="AS26">
            <v>7000</v>
          </cell>
        </row>
        <row r="27">
          <cell r="A27" t="str">
            <v>AS201614</v>
          </cell>
          <cell r="B27" t="str">
            <v>NKEHE DAVID</v>
          </cell>
          <cell r="C27">
            <v>20000</v>
          </cell>
          <cell r="D27">
            <v>20000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0</v>
          </cell>
          <cell r="U28">
            <v>130000</v>
          </cell>
          <cell r="AQ28">
            <v>0</v>
          </cell>
          <cell r="AR28">
            <v>0</v>
          </cell>
          <cell r="AS28">
            <v>7000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70000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105000</v>
          </cell>
          <cell r="AD30">
            <v>75000</v>
          </cell>
          <cell r="AF30" t="str">
            <v>BANQUE</v>
          </cell>
          <cell r="AQ30">
            <v>0</v>
          </cell>
          <cell r="AR30">
            <v>0</v>
          </cell>
          <cell r="AS30">
            <v>7000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110000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110000</v>
          </cell>
          <cell r="AQ32">
            <v>0</v>
          </cell>
          <cell r="AR32">
            <v>0</v>
          </cell>
          <cell r="AS32">
            <v>12000</v>
          </cell>
        </row>
        <row r="33">
          <cell r="A33" t="str">
            <v>AS201641</v>
          </cell>
          <cell r="B33" t="str">
            <v>TCHOUAMOU MATHIEU</v>
          </cell>
          <cell r="C33">
            <v>75000</v>
          </cell>
          <cell r="D33">
            <v>105000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U33">
            <v>30000</v>
          </cell>
          <cell r="AQ33">
            <v>0</v>
          </cell>
          <cell r="AR33">
            <v>0</v>
          </cell>
          <cell r="AS33">
            <v>7000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30000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U35">
            <v>30000</v>
          </cell>
          <cell r="AQ35">
            <v>0</v>
          </cell>
          <cell r="AR35">
            <v>0</v>
          </cell>
          <cell r="AS35">
            <v>7000</v>
          </cell>
        </row>
        <row r="36">
          <cell r="A36" t="str">
            <v>AS201647</v>
          </cell>
          <cell r="B36" t="str">
            <v>YOUMBI EMMANUEL</v>
          </cell>
          <cell r="C36">
            <v>-1000000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>
            <v>1000000</v>
          </cell>
          <cell r="T36" t="str">
            <v>BANQUE</v>
          </cell>
          <cell r="U36">
            <v>1280000</v>
          </cell>
          <cell r="AQ36">
            <v>0</v>
          </cell>
          <cell r="AR36">
            <v>0</v>
          </cell>
          <cell r="AS36">
            <v>7000</v>
          </cell>
        </row>
        <row r="38">
          <cell r="B38" t="str">
            <v>TOTAUX</v>
          </cell>
          <cell r="C38">
            <v>-979000</v>
          </cell>
          <cell r="D38">
            <v>4576000</v>
          </cell>
          <cell r="E38">
            <v>409000</v>
          </cell>
          <cell r="F38">
            <v>1428000</v>
          </cell>
          <cell r="G38">
            <v>6000</v>
          </cell>
          <cell r="H38">
            <v>0</v>
          </cell>
          <cell r="I38">
            <v>26</v>
          </cell>
          <cell r="J38">
            <v>780000</v>
          </cell>
          <cell r="K38">
            <v>80000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171000</v>
          </cell>
          <cell r="Q38">
            <v>1036000</v>
          </cell>
          <cell r="R38">
            <v>202000</v>
          </cell>
          <cell r="S38">
            <v>2000000</v>
          </cell>
          <cell r="T38">
            <v>0</v>
          </cell>
          <cell r="U38">
            <v>7075000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82000</v>
          </cell>
          <cell r="AD38">
            <v>150000</v>
          </cell>
          <cell r="AE38">
            <v>200000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379000</v>
          </cell>
          <cell r="AK38">
            <v>64000</v>
          </cell>
          <cell r="AL38">
            <v>0</v>
          </cell>
          <cell r="AM38">
            <v>25000</v>
          </cell>
          <cell r="AN38">
            <v>4500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259000</v>
          </cell>
          <cell r="AT38">
            <v>0</v>
          </cell>
          <cell r="AU38">
            <v>0</v>
          </cell>
        </row>
      </sheetData>
      <sheetData sheetId="15">
        <row r="6">
          <cell r="A6" t="str">
            <v>AS201648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105000</v>
          </cell>
          <cell r="AQ7">
            <v>0</v>
          </cell>
          <cell r="AR7">
            <v>0</v>
          </cell>
          <cell r="AS7">
            <v>7000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250000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31000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114000</v>
          </cell>
          <cell r="U8">
            <v>250000</v>
          </cell>
          <cell r="AJ8">
            <v>100000</v>
          </cell>
          <cell r="AM8">
            <v>1500</v>
          </cell>
          <cell r="AP8" t="str">
            <v>BANQUE</v>
          </cell>
          <cell r="AQ8">
            <v>0</v>
          </cell>
          <cell r="AR8">
            <v>0</v>
          </cell>
          <cell r="AS8">
            <v>38000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105000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U10">
            <v>105000</v>
          </cell>
          <cell r="AQ10">
            <v>0</v>
          </cell>
          <cell r="AR10">
            <v>0</v>
          </cell>
          <cell r="AS10">
            <v>7000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205000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205000</v>
          </cell>
          <cell r="AQ11">
            <v>0</v>
          </cell>
          <cell r="AR11">
            <v>0</v>
          </cell>
          <cell r="AS11">
            <v>7000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Q13">
            <v>0</v>
          </cell>
          <cell r="AR13">
            <v>0</v>
          </cell>
          <cell r="AS13">
            <v>12000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U17">
            <v>330000</v>
          </cell>
          <cell r="AC17">
            <v>23000</v>
          </cell>
          <cell r="AE17">
            <v>100000</v>
          </cell>
          <cell r="AF17" t="str">
            <v>BANQUE</v>
          </cell>
          <cell r="AQ17">
            <v>0</v>
          </cell>
          <cell r="AR17">
            <v>0</v>
          </cell>
          <cell r="AS17">
            <v>7000</v>
          </cell>
        </row>
        <row r="18">
          <cell r="A18" t="str">
            <v>AS201619</v>
          </cell>
          <cell r="B18" t="str">
            <v>KOUATCHO MESSACK</v>
          </cell>
          <cell r="C18">
            <v>170000</v>
          </cell>
          <cell r="D18">
            <v>375000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205000</v>
          </cell>
          <cell r="AJ18">
            <v>200000</v>
          </cell>
          <cell r="AM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U19">
            <v>30000</v>
          </cell>
          <cell r="AQ19">
            <v>0</v>
          </cell>
          <cell r="AR19">
            <v>0</v>
          </cell>
          <cell r="AS19">
            <v>7000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455000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0</v>
          </cell>
          <cell r="U20">
            <v>455000</v>
          </cell>
          <cell r="AJ20">
            <v>179000</v>
          </cell>
          <cell r="AM20">
            <v>1500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105000</v>
          </cell>
          <cell r="AQ22">
            <v>0</v>
          </cell>
          <cell r="AR22">
            <v>0</v>
          </cell>
          <cell r="AS22">
            <v>7000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0</v>
          </cell>
          <cell r="U23">
            <v>150000</v>
          </cell>
          <cell r="AQ23">
            <v>0</v>
          </cell>
          <cell r="AR23">
            <v>0</v>
          </cell>
          <cell r="AS23">
            <v>27000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271500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66500</v>
          </cell>
          <cell r="U24">
            <v>271500</v>
          </cell>
          <cell r="AK24">
            <v>83500</v>
          </cell>
          <cell r="AN24">
            <v>1000</v>
          </cell>
          <cell r="AP24" t="str">
            <v>BANQUE</v>
          </cell>
          <cell r="AQ24">
            <v>0</v>
          </cell>
          <cell r="AR24">
            <v>0</v>
          </cell>
          <cell r="AS24">
            <v>7000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400000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K25">
            <v>36000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84000</v>
          </cell>
          <cell r="R25">
            <v>0</v>
          </cell>
          <cell r="U25">
            <v>400000</v>
          </cell>
          <cell r="AJ25">
            <v>100000</v>
          </cell>
          <cell r="AK25">
            <v>83000</v>
          </cell>
          <cell r="AM25">
            <v>1000</v>
          </cell>
          <cell r="AN25">
            <v>3000</v>
          </cell>
          <cell r="AP25" t="str">
            <v>BANQUE</v>
          </cell>
          <cell r="AQ25">
            <v>0</v>
          </cell>
          <cell r="AR25">
            <v>0</v>
          </cell>
          <cell r="AS25">
            <v>43000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311000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0</v>
          </cell>
          <cell r="Q26">
            <v>206000</v>
          </cell>
          <cell r="U26">
            <v>311000</v>
          </cell>
          <cell r="AJ26">
            <v>200000</v>
          </cell>
          <cell r="AM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0</v>
          </cell>
          <cell r="U28">
            <v>130000</v>
          </cell>
          <cell r="AQ28">
            <v>0</v>
          </cell>
          <cell r="AR28">
            <v>0</v>
          </cell>
          <cell r="AS28">
            <v>7000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70000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C29">
            <v>23000</v>
          </cell>
          <cell r="AD29">
            <v>75000</v>
          </cell>
          <cell r="AF29" t="str">
            <v>BANQUE</v>
          </cell>
          <cell r="AQ29">
            <v>0</v>
          </cell>
          <cell r="AR29">
            <v>0</v>
          </cell>
          <cell r="AS29">
            <v>7000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120000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15000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120000</v>
          </cell>
          <cell r="AQ32">
            <v>0</v>
          </cell>
          <cell r="AR32">
            <v>0</v>
          </cell>
          <cell r="AS32">
            <v>22000</v>
          </cell>
        </row>
        <row r="33">
          <cell r="A33" t="str">
            <v>AS201641</v>
          </cell>
          <cell r="B33" t="str">
            <v>TCHOUAMOU MATHIEU</v>
          </cell>
          <cell r="C33">
            <v>75000</v>
          </cell>
          <cell r="D33">
            <v>105000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U33">
            <v>30000</v>
          </cell>
          <cell r="AQ33">
            <v>0</v>
          </cell>
          <cell r="AR33">
            <v>0</v>
          </cell>
          <cell r="AS33">
            <v>7000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30000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U35">
            <v>30000</v>
          </cell>
          <cell r="AQ35">
            <v>0</v>
          </cell>
          <cell r="AR35">
            <v>0</v>
          </cell>
          <cell r="AS35">
            <v>7000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</row>
        <row r="38">
          <cell r="B38" t="str">
            <v>TOTAUX</v>
          </cell>
          <cell r="C38">
            <v>245000</v>
          </cell>
          <cell r="D38">
            <v>4452500</v>
          </cell>
          <cell r="E38">
            <v>0</v>
          </cell>
          <cell r="F38">
            <v>70000</v>
          </cell>
          <cell r="G38">
            <v>0</v>
          </cell>
          <cell r="H38">
            <v>0</v>
          </cell>
          <cell r="I38">
            <v>26</v>
          </cell>
          <cell r="J38">
            <v>780000</v>
          </cell>
          <cell r="K38">
            <v>157000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0</v>
          </cell>
          <cell r="Q38">
            <v>404000</v>
          </cell>
          <cell r="R38">
            <v>66500</v>
          </cell>
          <cell r="S38">
            <v>0</v>
          </cell>
          <cell r="T38">
            <v>0</v>
          </cell>
          <cell r="U38">
            <v>4207500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46000</v>
          </cell>
          <cell r="AD38">
            <v>75000</v>
          </cell>
          <cell r="AE38">
            <v>100000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779000</v>
          </cell>
          <cell r="AK38">
            <v>166500</v>
          </cell>
          <cell r="AL38">
            <v>0</v>
          </cell>
          <cell r="AM38">
            <v>8000</v>
          </cell>
          <cell r="AN38">
            <v>4000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339000</v>
          </cell>
          <cell r="AT38">
            <v>0</v>
          </cell>
          <cell r="AU38">
            <v>0</v>
          </cell>
        </row>
      </sheetData>
      <sheetData sheetId="16">
        <row r="6">
          <cell r="A6" t="str">
            <v>AS201648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105000</v>
          </cell>
          <cell r="AQ7">
            <v>0</v>
          </cell>
          <cell r="AR7">
            <v>0</v>
          </cell>
          <cell r="AS7">
            <v>7000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205000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-1500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101500</v>
          </cell>
          <cell r="U8">
            <v>205000</v>
          </cell>
          <cell r="AP8" t="str">
            <v>BANQUE</v>
          </cell>
          <cell r="AQ8">
            <v>0</v>
          </cell>
          <cell r="AR8">
            <v>0</v>
          </cell>
          <cell r="AS8">
            <v>5500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105000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U10">
            <v>105000</v>
          </cell>
          <cell r="AQ10">
            <v>0</v>
          </cell>
          <cell r="AR10">
            <v>0</v>
          </cell>
          <cell r="AS10">
            <v>7000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205000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205000</v>
          </cell>
          <cell r="AQ11">
            <v>0</v>
          </cell>
          <cell r="AR11">
            <v>0</v>
          </cell>
          <cell r="AS11">
            <v>7000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Q13">
            <v>0</v>
          </cell>
          <cell r="AR13">
            <v>0</v>
          </cell>
          <cell r="AS13">
            <v>12000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Z16">
            <v>1000000</v>
          </cell>
          <cell r="AA16" t="str">
            <v>BANQUE</v>
          </cell>
          <cell r="AQ16">
            <v>0</v>
          </cell>
          <cell r="AR16">
            <v>0</v>
          </cell>
          <cell r="AS16">
            <v>52000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U17">
            <v>330000</v>
          </cell>
          <cell r="Z17">
            <v>700000</v>
          </cell>
          <cell r="AA17" t="str">
            <v>BANQUE</v>
          </cell>
          <cell r="AQ17">
            <v>0</v>
          </cell>
          <cell r="AR17">
            <v>0</v>
          </cell>
          <cell r="AS17">
            <v>7000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408500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K18">
            <v>1500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202000</v>
          </cell>
          <cell r="R18">
            <v>0</v>
          </cell>
          <cell r="U18">
            <v>408500</v>
          </cell>
          <cell r="AP18" t="str">
            <v>BANQUE</v>
          </cell>
          <cell r="AQ18">
            <v>0</v>
          </cell>
          <cell r="AR18">
            <v>0</v>
          </cell>
          <cell r="AS18">
            <v>8500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U19">
            <v>30000</v>
          </cell>
          <cell r="AQ19">
            <v>0</v>
          </cell>
          <cell r="AR19">
            <v>0</v>
          </cell>
          <cell r="AS19">
            <v>7000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635500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180500</v>
          </cell>
          <cell r="R20">
            <v>0</v>
          </cell>
          <cell r="U20">
            <v>635500</v>
          </cell>
          <cell r="AK20">
            <v>170500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70000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C21">
            <v>23000</v>
          </cell>
          <cell r="AF21" t="str">
            <v>BANQUE</v>
          </cell>
          <cell r="AQ21">
            <v>0</v>
          </cell>
          <cell r="AR21">
            <v>0</v>
          </cell>
          <cell r="AS21">
            <v>7000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105000</v>
          </cell>
          <cell r="AQ22">
            <v>0</v>
          </cell>
          <cell r="AR22">
            <v>0</v>
          </cell>
          <cell r="AS22">
            <v>7000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140000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10000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0</v>
          </cell>
          <cell r="U23">
            <v>140000</v>
          </cell>
          <cell r="AK23">
            <v>100000</v>
          </cell>
          <cell r="AN23">
            <v>1000</v>
          </cell>
          <cell r="AQ23">
            <v>0</v>
          </cell>
          <cell r="AR23">
            <v>0</v>
          </cell>
          <cell r="AS23">
            <v>17000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205000</v>
          </cell>
          <cell r="E24">
            <v>87500</v>
          </cell>
          <cell r="F24">
            <v>0</v>
          </cell>
          <cell r="G24">
            <v>3000</v>
          </cell>
          <cell r="H24" t="str">
            <v>BANQUE</v>
          </cell>
          <cell r="I24">
            <v>1</v>
          </cell>
          <cell r="J24">
            <v>30000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84500</v>
          </cell>
          <cell r="U24">
            <v>292500</v>
          </cell>
          <cell r="AP24" t="str">
            <v>BANQUE</v>
          </cell>
          <cell r="AQ24">
            <v>0</v>
          </cell>
          <cell r="AR24">
            <v>0</v>
          </cell>
          <cell r="AS24">
            <v>7000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490000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K25">
            <v>23000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101000</v>
          </cell>
          <cell r="R25">
            <v>86000</v>
          </cell>
          <cell r="U25">
            <v>490000</v>
          </cell>
          <cell r="AP25" t="str">
            <v>BANQUE</v>
          </cell>
          <cell r="AQ25">
            <v>0</v>
          </cell>
          <cell r="AR25">
            <v>0</v>
          </cell>
          <cell r="AS25">
            <v>30000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307000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0</v>
          </cell>
          <cell r="Q26">
            <v>202000</v>
          </cell>
          <cell r="U26">
            <v>307000</v>
          </cell>
          <cell r="AI26">
            <v>40000</v>
          </cell>
          <cell r="AJ26">
            <v>37000</v>
          </cell>
          <cell r="AL26">
            <v>1000</v>
          </cell>
          <cell r="AM26">
            <v>1500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0</v>
          </cell>
          <cell r="U28">
            <v>130000</v>
          </cell>
          <cell r="AQ28">
            <v>0</v>
          </cell>
          <cell r="AR28">
            <v>0</v>
          </cell>
          <cell r="AS28">
            <v>7000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110000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110000</v>
          </cell>
          <cell r="AQ32">
            <v>0</v>
          </cell>
          <cell r="AR32">
            <v>0</v>
          </cell>
          <cell r="AS32">
            <v>12000</v>
          </cell>
        </row>
        <row r="33">
          <cell r="A33" t="str">
            <v>AS201641</v>
          </cell>
          <cell r="B33" t="str">
            <v>TCHOUAMOU MATHIEU</v>
          </cell>
          <cell r="C33">
            <v>0</v>
          </cell>
          <cell r="D33">
            <v>30000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U33">
            <v>30000</v>
          </cell>
          <cell r="AQ33">
            <v>0</v>
          </cell>
          <cell r="AR33">
            <v>0</v>
          </cell>
          <cell r="AS33">
            <v>7000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33000</v>
          </cell>
          <cell r="F35">
            <v>0</v>
          </cell>
          <cell r="G35">
            <v>3000</v>
          </cell>
          <cell r="H35" t="str">
            <v>ESPECES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U35">
            <v>33000</v>
          </cell>
          <cell r="AQ35">
            <v>0</v>
          </cell>
          <cell r="AR35">
            <v>0</v>
          </cell>
          <cell r="AS35">
            <v>7000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AC36">
            <v>24000</v>
          </cell>
          <cell r="AD36">
            <v>150000</v>
          </cell>
          <cell r="AE36">
            <v>100000</v>
          </cell>
          <cell r="AF36" t="str">
            <v>BANQUE</v>
          </cell>
          <cell r="AQ36">
            <v>0</v>
          </cell>
          <cell r="AR36">
            <v>0</v>
          </cell>
          <cell r="AS36">
            <v>7000</v>
          </cell>
        </row>
        <row r="38">
          <cell r="B38" t="str">
            <v>TOTAUX</v>
          </cell>
          <cell r="C38">
            <v>0</v>
          </cell>
          <cell r="D38">
            <v>4516000</v>
          </cell>
          <cell r="E38">
            <v>120500</v>
          </cell>
          <cell r="F38">
            <v>70000</v>
          </cell>
          <cell r="G38">
            <v>6000</v>
          </cell>
          <cell r="H38">
            <v>0</v>
          </cell>
          <cell r="I38">
            <v>26</v>
          </cell>
          <cell r="J38">
            <v>780000</v>
          </cell>
          <cell r="K38">
            <v>93000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0</v>
          </cell>
          <cell r="Q38">
            <v>787000</v>
          </cell>
          <cell r="R38">
            <v>170500</v>
          </cell>
          <cell r="S38">
            <v>0</v>
          </cell>
          <cell r="T38">
            <v>0</v>
          </cell>
          <cell r="U38">
            <v>4636500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1700000</v>
          </cell>
          <cell r="AA38">
            <v>0</v>
          </cell>
          <cell r="AB38">
            <v>0</v>
          </cell>
          <cell r="AC38">
            <v>47000</v>
          </cell>
          <cell r="AD38">
            <v>150000</v>
          </cell>
          <cell r="AE38">
            <v>100000</v>
          </cell>
          <cell r="AF38">
            <v>0</v>
          </cell>
          <cell r="AG38">
            <v>0</v>
          </cell>
          <cell r="AH38">
            <v>0</v>
          </cell>
          <cell r="AI38">
            <v>40000</v>
          </cell>
          <cell r="AJ38">
            <v>37000</v>
          </cell>
          <cell r="AK38">
            <v>270500</v>
          </cell>
          <cell r="AL38">
            <v>1000</v>
          </cell>
          <cell r="AM38">
            <v>1500</v>
          </cell>
          <cell r="AN38">
            <v>3000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275000</v>
          </cell>
          <cell r="AT38">
            <v>0</v>
          </cell>
          <cell r="AU38">
            <v>0</v>
          </cell>
        </row>
      </sheetData>
      <sheetData sheetId="17">
        <row r="6">
          <cell r="A6" t="str">
            <v>AS201648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K7">
            <v>0</v>
          </cell>
          <cell r="L7">
            <v>1</v>
          </cell>
          <cell r="M7">
            <v>75000</v>
          </cell>
          <cell r="N7">
            <v>0</v>
          </cell>
          <cell r="O7">
            <v>0</v>
          </cell>
          <cell r="P7">
            <v>0</v>
          </cell>
          <cell r="R7">
            <v>0</v>
          </cell>
          <cell r="S7">
            <v>0</v>
          </cell>
          <cell r="T7">
            <v>0</v>
          </cell>
          <cell r="U7">
            <v>105000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500000</v>
          </cell>
          <cell r="AA7" t="str">
            <v>BANQUE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7000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1105000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0</v>
          </cell>
          <cell r="L8">
            <v>1</v>
          </cell>
          <cell r="M8">
            <v>75000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1000000</v>
          </cell>
          <cell r="T8" t="str">
            <v>BANQUE</v>
          </cell>
          <cell r="U8">
            <v>1105000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1000000</v>
          </cell>
          <cell r="AA8" t="str">
            <v>BANQUE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7000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30000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7000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1105000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K10">
            <v>0</v>
          </cell>
          <cell r="L10">
            <v>1</v>
          </cell>
          <cell r="M10">
            <v>75000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1000000</v>
          </cell>
          <cell r="T10" t="str">
            <v>BANQUE</v>
          </cell>
          <cell r="U10">
            <v>1105000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1000000</v>
          </cell>
          <cell r="AA10" t="str">
            <v>BANQUE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7000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215000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K11">
            <v>1000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206000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1000000</v>
          </cell>
          <cell r="AA11" t="str">
            <v>BANQUE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8000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1035000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1000000</v>
          </cell>
          <cell r="T12" t="str">
            <v>BANQUE</v>
          </cell>
          <cell r="U12">
            <v>1035000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1000000</v>
          </cell>
          <cell r="AA12" t="str">
            <v>BANQUE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12000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35000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23000</v>
          </cell>
          <cell r="AD13">
            <v>0</v>
          </cell>
          <cell r="AE13">
            <v>0</v>
          </cell>
          <cell r="AF13" t="str">
            <v>BANQUE</v>
          </cell>
          <cell r="AG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12000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K15">
            <v>0</v>
          </cell>
          <cell r="L15">
            <v>1</v>
          </cell>
          <cell r="M15">
            <v>75000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105000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75000</v>
          </cell>
          <cell r="AE15">
            <v>0</v>
          </cell>
          <cell r="AF15" t="str">
            <v>BANQUE</v>
          </cell>
          <cell r="AG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7000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1000000</v>
          </cell>
          <cell r="T16" t="str">
            <v>BANQUE</v>
          </cell>
          <cell r="U16">
            <v>1150000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1000000</v>
          </cell>
          <cell r="AA16" t="str">
            <v>BANQUE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52000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1030000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K17">
            <v>0</v>
          </cell>
          <cell r="L17">
            <v>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Q17">
            <v>0</v>
          </cell>
          <cell r="R17">
            <v>0</v>
          </cell>
          <cell r="S17">
            <v>700000</v>
          </cell>
          <cell r="T17" t="str">
            <v>BANQUE</v>
          </cell>
          <cell r="U17">
            <v>1030000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7000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1205000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K18">
            <v>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S18">
            <v>1000000</v>
          </cell>
          <cell r="T18" t="str">
            <v>BANQUE</v>
          </cell>
          <cell r="U18">
            <v>1205000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1000000</v>
          </cell>
          <cell r="AA18" t="str">
            <v>BANQUE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7000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1030000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1000000</v>
          </cell>
          <cell r="T19" t="str">
            <v>BANQUE</v>
          </cell>
          <cell r="U19">
            <v>1030000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1000000</v>
          </cell>
          <cell r="AA19" t="str">
            <v>BANQUE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7000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1627500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K20">
            <v>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172500</v>
          </cell>
          <cell r="S20">
            <v>1000000</v>
          </cell>
          <cell r="T20" t="str">
            <v>BANQUE</v>
          </cell>
          <cell r="U20">
            <v>1627500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1000000</v>
          </cell>
          <cell r="AA20" t="str">
            <v>BANQUE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30000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500000</v>
          </cell>
          <cell r="AA21" t="str">
            <v>BANQUE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7000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K22">
            <v>0</v>
          </cell>
          <cell r="L22">
            <v>1</v>
          </cell>
          <cell r="M22">
            <v>75000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1000000</v>
          </cell>
          <cell r="T22" t="str">
            <v>BANQUE</v>
          </cell>
          <cell r="U22">
            <v>1105000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1000000</v>
          </cell>
          <cell r="AA22" t="str">
            <v>BANQUE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7000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680000</v>
          </cell>
          <cell r="E23">
            <v>101000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L23">
            <v>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Q23">
            <v>0</v>
          </cell>
          <cell r="R23">
            <v>101000</v>
          </cell>
          <cell r="S23">
            <v>530000</v>
          </cell>
          <cell r="T23" t="str">
            <v>BANQUE</v>
          </cell>
          <cell r="U23">
            <v>781000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600000</v>
          </cell>
          <cell r="AA23" t="str">
            <v>BANQUE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1240000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35000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S24">
            <v>1000000</v>
          </cell>
          <cell r="T24" t="str">
            <v>BANQUE</v>
          </cell>
          <cell r="U24">
            <v>1240000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1000000</v>
          </cell>
          <cell r="AA24" t="str">
            <v>BANQUE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42000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1280000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K25">
            <v>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T25" t="str">
            <v>BANQUE</v>
          </cell>
          <cell r="U25">
            <v>1280000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1000000</v>
          </cell>
          <cell r="AA25" t="str">
            <v>BANQUE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7000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1105000</v>
          </cell>
          <cell r="E26">
            <v>79500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K26">
            <v>0</v>
          </cell>
          <cell r="L26">
            <v>1</v>
          </cell>
          <cell r="M26">
            <v>75000</v>
          </cell>
          <cell r="N26">
            <v>0</v>
          </cell>
          <cell r="O26">
            <v>0</v>
          </cell>
          <cell r="P26">
            <v>41000</v>
          </cell>
          <cell r="Q26">
            <v>38500</v>
          </cell>
          <cell r="R26">
            <v>0</v>
          </cell>
          <cell r="S26">
            <v>1000000</v>
          </cell>
          <cell r="T26" t="str">
            <v>BANQUE</v>
          </cell>
          <cell r="U26">
            <v>1184500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1000000</v>
          </cell>
          <cell r="AA26" t="str">
            <v>BANQUE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</row>
        <row r="27">
          <cell r="A27" t="str">
            <v>AS201614</v>
          </cell>
          <cell r="B27" t="str">
            <v>NKEHE DAVID</v>
          </cell>
          <cell r="C27">
            <v>520000</v>
          </cell>
          <cell r="D27">
            <v>520000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1130000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0</v>
          </cell>
          <cell r="L28">
            <v>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Q28">
            <v>0</v>
          </cell>
          <cell r="R28">
            <v>0</v>
          </cell>
          <cell r="S28">
            <v>1000000</v>
          </cell>
          <cell r="T28" t="str">
            <v>BANQUE</v>
          </cell>
          <cell r="U28">
            <v>1130000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7000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K29">
            <v>0</v>
          </cell>
          <cell r="L29">
            <v>1</v>
          </cell>
          <cell r="M29">
            <v>75000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105000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7000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K30">
            <v>0</v>
          </cell>
          <cell r="L30">
            <v>1</v>
          </cell>
          <cell r="M30">
            <v>75000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105000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23000</v>
          </cell>
          <cell r="AD30">
            <v>0</v>
          </cell>
          <cell r="AE30">
            <v>0</v>
          </cell>
          <cell r="AF30" t="str">
            <v>BANQUE</v>
          </cell>
          <cell r="AG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7000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905000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0</v>
          </cell>
          <cell r="L32">
            <v>1</v>
          </cell>
          <cell r="M32">
            <v>75000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800000</v>
          </cell>
          <cell r="T32" t="str">
            <v>BANQUE</v>
          </cell>
          <cell r="U32">
            <v>905000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1000000</v>
          </cell>
          <cell r="AA32" t="str">
            <v>BANQUE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7000</v>
          </cell>
        </row>
        <row r="33">
          <cell r="A33" t="str">
            <v>AS201641</v>
          </cell>
          <cell r="B33" t="str">
            <v>TCHOUAMOU MATHIEU</v>
          </cell>
          <cell r="C33">
            <v>0</v>
          </cell>
          <cell r="D33">
            <v>1030000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1000000</v>
          </cell>
          <cell r="T33" t="str">
            <v>BANQUE</v>
          </cell>
          <cell r="U33">
            <v>1030000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7000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1041250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1011250</v>
          </cell>
          <cell r="T35" t="str">
            <v>BANQUE</v>
          </cell>
          <cell r="U35">
            <v>1041250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7000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K36">
            <v>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280000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7000</v>
          </cell>
        </row>
        <row r="37"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B38" t="str">
            <v>TOTAUX</v>
          </cell>
          <cell r="C38">
            <v>520000</v>
          </cell>
          <cell r="D38">
            <v>20433750</v>
          </cell>
          <cell r="E38">
            <v>180500</v>
          </cell>
          <cell r="F38">
            <v>0</v>
          </cell>
          <cell r="G38">
            <v>0</v>
          </cell>
          <cell r="H38">
            <v>0</v>
          </cell>
          <cell r="I38">
            <v>26</v>
          </cell>
          <cell r="J38">
            <v>780000</v>
          </cell>
          <cell r="K38">
            <v>111000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41000</v>
          </cell>
          <cell r="Q38">
            <v>38500</v>
          </cell>
          <cell r="R38">
            <v>273500</v>
          </cell>
          <cell r="S38">
            <v>16041250</v>
          </cell>
          <cell r="T38">
            <v>0</v>
          </cell>
          <cell r="U38">
            <v>20085250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14600000</v>
          </cell>
          <cell r="AA38">
            <v>0</v>
          </cell>
          <cell r="AB38">
            <v>0</v>
          </cell>
          <cell r="AC38">
            <v>46000</v>
          </cell>
          <cell r="AD38">
            <v>75000</v>
          </cell>
          <cell r="AE38">
            <v>100000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293000</v>
          </cell>
          <cell r="AT38">
            <v>0</v>
          </cell>
          <cell r="AU38">
            <v>0</v>
          </cell>
        </row>
      </sheetData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JANV21"/>
      <sheetName val="HISTOFEV21"/>
      <sheetName val="HISTOMARS21"/>
      <sheetName val="HISTOAVRIL21"/>
      <sheetName val="HISTOMAI21"/>
      <sheetName val="HISTOJUIN21"/>
      <sheetName val="HISTOJUIL21"/>
      <sheetName val="HISTOAOUT21"/>
      <sheetName val="HISTOSEPT21"/>
      <sheetName val="HISTOOCT21"/>
      <sheetName val="HISTONOV21"/>
      <sheetName val="HISTODEC21"/>
    </sheetNames>
    <sheetDataSet>
      <sheetData sheetId="0"/>
      <sheetData sheetId="1"/>
      <sheetData sheetId="2">
        <row r="6">
          <cell r="A6" t="str">
            <v>AS201602</v>
          </cell>
        </row>
      </sheetData>
      <sheetData sheetId="3">
        <row r="6">
          <cell r="A6" t="str">
            <v>AS201602</v>
          </cell>
        </row>
      </sheetData>
      <sheetData sheetId="4">
        <row r="6">
          <cell r="A6" t="str">
            <v>AS201602</v>
          </cell>
          <cell r="B6" t="str">
            <v>BOUTCHOUANG WILLIAM</v>
          </cell>
          <cell r="C6">
            <v>0</v>
          </cell>
          <cell r="D6">
            <v>105000</v>
          </cell>
          <cell r="G6">
            <v>0</v>
          </cell>
          <cell r="H6" t="str">
            <v>BANQUE</v>
          </cell>
          <cell r="I6">
            <v>1</v>
          </cell>
          <cell r="J6">
            <v>30000</v>
          </cell>
          <cell r="L6">
            <v>1</v>
          </cell>
          <cell r="M6">
            <v>75000</v>
          </cell>
          <cell r="O6">
            <v>0</v>
          </cell>
          <cell r="P6">
            <v>0</v>
          </cell>
          <cell r="Q6">
            <v>0</v>
          </cell>
          <cell r="U6">
            <v>105000</v>
          </cell>
        </row>
        <row r="7">
          <cell r="A7" t="str">
            <v>AS201604</v>
          </cell>
          <cell r="B7" t="str">
            <v xml:space="preserve">DJOMO JEAN PAUL </v>
          </cell>
          <cell r="C7">
            <v>0</v>
          </cell>
          <cell r="D7">
            <v>214000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K7">
            <v>5000</v>
          </cell>
          <cell r="L7">
            <v>1</v>
          </cell>
          <cell r="M7">
            <v>75000</v>
          </cell>
          <cell r="O7">
            <v>0</v>
          </cell>
          <cell r="P7">
            <v>104000</v>
          </cell>
          <cell r="Q7">
            <v>0</v>
          </cell>
          <cell r="U7">
            <v>214000</v>
          </cell>
          <cell r="AJ7">
            <v>50000</v>
          </cell>
          <cell r="AM7">
            <v>1000</v>
          </cell>
          <cell r="AP7" t="str">
            <v>BANQUE</v>
          </cell>
        </row>
        <row r="8">
          <cell r="A8" t="str">
            <v>AS201654</v>
          </cell>
          <cell r="B8" t="str">
            <v>DJOMOU TCHANDA</v>
          </cell>
          <cell r="C8">
            <v>3000</v>
          </cell>
          <cell r="E8">
            <v>38000</v>
          </cell>
          <cell r="G8">
            <v>3000</v>
          </cell>
          <cell r="H8" t="str">
            <v>ESPECES</v>
          </cell>
          <cell r="I8">
            <v>1</v>
          </cell>
          <cell r="J8">
            <v>30000</v>
          </cell>
          <cell r="K8">
            <v>5000</v>
          </cell>
          <cell r="M8">
            <v>0</v>
          </cell>
          <cell r="O8">
            <v>0</v>
          </cell>
          <cell r="P8">
            <v>0</v>
          </cell>
          <cell r="U8">
            <v>38000</v>
          </cell>
        </row>
        <row r="9">
          <cell r="A9" t="str">
            <v>AS201605</v>
          </cell>
          <cell r="B9" t="str">
            <v>DJOUKWE NANGUEN GUY BLAISE</v>
          </cell>
          <cell r="C9">
            <v>0</v>
          </cell>
          <cell r="D9">
            <v>110000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K9">
            <v>5000</v>
          </cell>
          <cell r="L9">
            <v>1</v>
          </cell>
          <cell r="M9">
            <v>75000</v>
          </cell>
          <cell r="O9">
            <v>0</v>
          </cell>
          <cell r="P9">
            <v>0</v>
          </cell>
          <cell r="Q9">
            <v>0</v>
          </cell>
          <cell r="U9">
            <v>110000</v>
          </cell>
          <cell r="AJ9">
            <v>56000</v>
          </cell>
          <cell r="AM9">
            <v>1000</v>
          </cell>
          <cell r="AP9" t="str">
            <v>BANQUE</v>
          </cell>
        </row>
        <row r="10">
          <cell r="A10" t="str">
            <v>AS201608</v>
          </cell>
          <cell r="B10" t="str">
            <v>DJUOMBESSY ANTOINE</v>
          </cell>
          <cell r="C10">
            <v>-1500</v>
          </cell>
          <cell r="D10">
            <v>180000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M10">
            <v>0</v>
          </cell>
          <cell r="N10">
            <v>1</v>
          </cell>
          <cell r="O10">
            <v>100000</v>
          </cell>
          <cell r="P10">
            <v>51500</v>
          </cell>
          <cell r="R10">
            <v>0</v>
          </cell>
          <cell r="U10">
            <v>181500</v>
          </cell>
          <cell r="AE10">
            <v>135000</v>
          </cell>
          <cell r="AF10" t="str">
            <v>BANQUE</v>
          </cell>
          <cell r="AI10">
            <v>23000</v>
          </cell>
          <cell r="AK10">
            <v>50000</v>
          </cell>
          <cell r="AL10">
            <v>500</v>
          </cell>
          <cell r="AN10">
            <v>1000</v>
          </cell>
          <cell r="AP10" t="str">
            <v>BANQUE</v>
          </cell>
        </row>
        <row r="11">
          <cell r="A11" t="str">
            <v>AS201651</v>
          </cell>
          <cell r="B11" t="str">
            <v>DOMOU FABIEN</v>
          </cell>
          <cell r="C11">
            <v>484000</v>
          </cell>
          <cell r="D11">
            <v>514000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M11">
            <v>0</v>
          </cell>
          <cell r="O11">
            <v>0</v>
          </cell>
          <cell r="P11">
            <v>0</v>
          </cell>
          <cell r="U11">
            <v>30000</v>
          </cell>
        </row>
        <row r="12">
          <cell r="A12" t="str">
            <v>AS201609</v>
          </cell>
          <cell r="B12" t="str">
            <v>DONHOU DAVID</v>
          </cell>
          <cell r="C12">
            <v>0</v>
          </cell>
          <cell r="D12">
            <v>30000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M12">
            <v>0</v>
          </cell>
          <cell r="O12">
            <v>0</v>
          </cell>
          <cell r="P12">
            <v>0</v>
          </cell>
          <cell r="U12">
            <v>30000</v>
          </cell>
        </row>
        <row r="13">
          <cell r="A13" t="str">
            <v>AS201610</v>
          </cell>
          <cell r="B13" t="str">
            <v>FOTSO THOMAS</v>
          </cell>
          <cell r="C13">
            <v>0</v>
          </cell>
          <cell r="E13">
            <v>30000</v>
          </cell>
          <cell r="G13">
            <v>3000</v>
          </cell>
          <cell r="H13" t="str">
            <v>ESPECES</v>
          </cell>
          <cell r="I13">
            <v>1</v>
          </cell>
          <cell r="J13">
            <v>30000</v>
          </cell>
          <cell r="M13">
            <v>0</v>
          </cell>
          <cell r="O13">
            <v>0</v>
          </cell>
          <cell r="P13">
            <v>0</v>
          </cell>
          <cell r="U13">
            <v>33000</v>
          </cell>
        </row>
        <row r="14">
          <cell r="A14" t="str">
            <v>AS201611</v>
          </cell>
          <cell r="B14" t="str">
            <v>HENGUE PAUL OMER</v>
          </cell>
          <cell r="C14">
            <v>0</v>
          </cell>
          <cell r="D14">
            <v>105000</v>
          </cell>
          <cell r="G14">
            <v>0</v>
          </cell>
          <cell r="H14" t="str">
            <v>BANQUE</v>
          </cell>
          <cell r="I14">
            <v>1</v>
          </cell>
          <cell r="J14">
            <v>30000</v>
          </cell>
          <cell r="L14">
            <v>1</v>
          </cell>
          <cell r="M14">
            <v>75000</v>
          </cell>
          <cell r="O14">
            <v>0</v>
          </cell>
          <cell r="P14">
            <v>0</v>
          </cell>
          <cell r="Q14">
            <v>0</v>
          </cell>
          <cell r="U14">
            <v>105000</v>
          </cell>
        </row>
        <row r="15">
          <cell r="A15" t="str">
            <v>AS201613</v>
          </cell>
          <cell r="B15" t="str">
            <v>HOTCHO BENJAMIN</v>
          </cell>
          <cell r="C15">
            <v>0</v>
          </cell>
          <cell r="D15">
            <v>240000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K15">
            <v>35000</v>
          </cell>
          <cell r="L15">
            <v>1</v>
          </cell>
          <cell r="M15">
            <v>75000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240000</v>
          </cell>
        </row>
        <row r="16">
          <cell r="A16" t="str">
            <v>AS201617</v>
          </cell>
          <cell r="B16" t="str">
            <v>KOUAMOU MOISE</v>
          </cell>
          <cell r="C16">
            <v>0</v>
          </cell>
          <cell r="D16">
            <v>110000</v>
          </cell>
          <cell r="E16">
            <v>20000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M16">
            <v>0</v>
          </cell>
          <cell r="N16">
            <v>1</v>
          </cell>
          <cell r="O16">
            <v>100000</v>
          </cell>
          <cell r="P16">
            <v>0</v>
          </cell>
          <cell r="R16">
            <v>0</v>
          </cell>
          <cell r="U16">
            <v>130000</v>
          </cell>
          <cell r="AK16">
            <v>50000</v>
          </cell>
          <cell r="AN16">
            <v>1000</v>
          </cell>
          <cell r="AP16" t="str">
            <v>BANQUE</v>
          </cell>
        </row>
        <row r="17">
          <cell r="A17" t="str">
            <v>AS201619</v>
          </cell>
          <cell r="B17" t="str">
            <v>KOUATCHO MESSACK</v>
          </cell>
          <cell r="C17">
            <v>0</v>
          </cell>
          <cell r="D17">
            <v>514000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206000</v>
          </cell>
          <cell r="R17">
            <v>103000</v>
          </cell>
          <cell r="U17">
            <v>514000</v>
          </cell>
        </row>
        <row r="18">
          <cell r="A18" t="str">
            <v>AS201620</v>
          </cell>
          <cell r="B18" t="str">
            <v>LOWE JEAN</v>
          </cell>
          <cell r="C18">
            <v>0</v>
          </cell>
          <cell r="D18">
            <v>30000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M18">
            <v>0</v>
          </cell>
          <cell r="O18">
            <v>0</v>
          </cell>
          <cell r="P18">
            <v>0</v>
          </cell>
          <cell r="U18">
            <v>30000</v>
          </cell>
        </row>
        <row r="19">
          <cell r="A19" t="str">
            <v>AS201649</v>
          </cell>
          <cell r="B19" t="str">
            <v>MBOGNING TUGMA GUY</v>
          </cell>
          <cell r="C19">
            <v>0</v>
          </cell>
          <cell r="D19">
            <v>663000</v>
          </cell>
          <cell r="E19">
            <v>33000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L19">
            <v>3</v>
          </cell>
          <cell r="M19">
            <v>225000</v>
          </cell>
          <cell r="N19">
            <v>2</v>
          </cell>
          <cell r="O19">
            <v>200000</v>
          </cell>
          <cell r="P19">
            <v>0</v>
          </cell>
          <cell r="Q19">
            <v>202000</v>
          </cell>
          <cell r="R19">
            <v>39000</v>
          </cell>
          <cell r="U19">
            <v>696000</v>
          </cell>
          <cell r="AC19">
            <v>28000</v>
          </cell>
          <cell r="AF19" t="str">
            <v>BANQUE</v>
          </cell>
          <cell r="AJ19">
            <v>100000</v>
          </cell>
          <cell r="AK19">
            <v>100000</v>
          </cell>
          <cell r="AM19">
            <v>2000</v>
          </cell>
          <cell r="AN19">
            <v>2000</v>
          </cell>
          <cell r="AP19" t="str">
            <v>BANQUE</v>
          </cell>
        </row>
        <row r="20">
          <cell r="A20" t="str">
            <v>AS201639</v>
          </cell>
          <cell r="B20" t="str">
            <v>NANGUEN MARTIN</v>
          </cell>
          <cell r="C20">
            <v>0</v>
          </cell>
          <cell r="E20">
            <v>30000</v>
          </cell>
          <cell r="G20">
            <v>3000</v>
          </cell>
          <cell r="H20" t="str">
            <v>ESPECES</v>
          </cell>
          <cell r="I20">
            <v>1</v>
          </cell>
          <cell r="J20">
            <v>30000</v>
          </cell>
          <cell r="M20">
            <v>0</v>
          </cell>
          <cell r="O20">
            <v>0</v>
          </cell>
          <cell r="P20">
            <v>0</v>
          </cell>
          <cell r="U20">
            <v>33000</v>
          </cell>
        </row>
        <row r="21">
          <cell r="A21" t="str">
            <v>AS201621</v>
          </cell>
          <cell r="B21" t="str">
            <v>NANKAM APPOLINAIRE</v>
          </cell>
          <cell r="C21">
            <v>0</v>
          </cell>
          <cell r="D21">
            <v>105000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L21">
            <v>1</v>
          </cell>
          <cell r="M21">
            <v>75000</v>
          </cell>
          <cell r="O21">
            <v>0</v>
          </cell>
          <cell r="P21">
            <v>0</v>
          </cell>
          <cell r="Q21">
            <v>0</v>
          </cell>
          <cell r="U21">
            <v>105000</v>
          </cell>
        </row>
        <row r="22">
          <cell r="A22" t="str">
            <v>AS201622</v>
          </cell>
          <cell r="B22" t="str">
            <v>NDJOMO ETIENNE</v>
          </cell>
          <cell r="C22">
            <v>0</v>
          </cell>
          <cell r="D22">
            <v>137000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K22">
            <v>7000</v>
          </cell>
          <cell r="M22">
            <v>0</v>
          </cell>
          <cell r="N22">
            <v>1</v>
          </cell>
          <cell r="O22">
            <v>100000</v>
          </cell>
          <cell r="P22">
            <v>0</v>
          </cell>
          <cell r="R22">
            <v>0</v>
          </cell>
          <cell r="U22">
            <v>137000</v>
          </cell>
          <cell r="AK22">
            <v>130500</v>
          </cell>
          <cell r="AN22">
            <v>2000</v>
          </cell>
          <cell r="AP22" t="str">
            <v>BANQUE</v>
          </cell>
        </row>
        <row r="23">
          <cell r="A23" t="str">
            <v>AS201624</v>
          </cell>
          <cell r="B23" t="str">
            <v>NGONDIEP CLAUDE</v>
          </cell>
          <cell r="C23">
            <v>0</v>
          </cell>
          <cell r="D23">
            <v>190000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8500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51500</v>
          </cell>
          <cell r="U23">
            <v>190000</v>
          </cell>
        </row>
        <row r="24">
          <cell r="A24" t="str">
            <v>AS201626</v>
          </cell>
          <cell r="B24" t="str">
            <v>NGUIEMEGNI MATHIEU BLAISE</v>
          </cell>
          <cell r="C24">
            <v>0</v>
          </cell>
          <cell r="D24">
            <v>180000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L24">
            <v>2</v>
          </cell>
          <cell r="M24">
            <v>150000</v>
          </cell>
          <cell r="O24">
            <v>0</v>
          </cell>
          <cell r="P24">
            <v>0</v>
          </cell>
          <cell r="Q24">
            <v>0</v>
          </cell>
          <cell r="U24">
            <v>180000</v>
          </cell>
        </row>
        <row r="25">
          <cell r="A25" t="str">
            <v>AS201628</v>
          </cell>
          <cell r="B25" t="str">
            <v>NKAMGANG JUSTIN DEJOLIE</v>
          </cell>
          <cell r="C25">
            <v>0</v>
          </cell>
          <cell r="E25">
            <v>384500</v>
          </cell>
          <cell r="G25">
            <v>3000</v>
          </cell>
          <cell r="H25" t="str">
            <v>ESPECES</v>
          </cell>
          <cell r="I25">
            <v>1</v>
          </cell>
          <cell r="J25">
            <v>30000</v>
          </cell>
          <cell r="K25">
            <v>5000</v>
          </cell>
          <cell r="L25">
            <v>1</v>
          </cell>
          <cell r="M25">
            <v>75000</v>
          </cell>
          <cell r="O25">
            <v>0</v>
          </cell>
          <cell r="P25">
            <v>72500</v>
          </cell>
          <cell r="Q25">
            <v>202000</v>
          </cell>
          <cell r="U25">
            <v>387500</v>
          </cell>
          <cell r="AI25">
            <v>27500</v>
          </cell>
          <cell r="AJ25">
            <v>100000</v>
          </cell>
          <cell r="AL25">
            <v>500</v>
          </cell>
          <cell r="AM25">
            <v>2000</v>
          </cell>
          <cell r="AP25" t="str">
            <v>BANQUE</v>
          </cell>
        </row>
        <row r="26">
          <cell r="A26" t="str">
            <v>AS201614</v>
          </cell>
          <cell r="B26" t="str">
            <v>NKEHE DAVID</v>
          </cell>
          <cell r="C26">
            <v>0</v>
          </cell>
          <cell r="G26">
            <v>0</v>
          </cell>
          <cell r="H26" t="str">
            <v>ECHEC</v>
          </cell>
          <cell r="I26">
            <v>0</v>
          </cell>
          <cell r="J26">
            <v>0</v>
          </cell>
          <cell r="M26">
            <v>0</v>
          </cell>
          <cell r="N26">
            <v>0</v>
          </cell>
          <cell r="O26">
            <v>0</v>
          </cell>
          <cell r="U26">
            <v>0</v>
          </cell>
        </row>
        <row r="27">
          <cell r="A27" t="str">
            <v>AS201629</v>
          </cell>
          <cell r="B27" t="str">
            <v>NKEPSEU DIEUDONNE</v>
          </cell>
          <cell r="C27">
            <v>0</v>
          </cell>
          <cell r="D27">
            <v>130000</v>
          </cell>
          <cell r="G27">
            <v>0</v>
          </cell>
          <cell r="H27" t="str">
            <v>BANQUE</v>
          </cell>
          <cell r="I27">
            <v>1</v>
          </cell>
          <cell r="J27">
            <v>30000</v>
          </cell>
          <cell r="M27">
            <v>0</v>
          </cell>
          <cell r="N27">
            <v>1</v>
          </cell>
          <cell r="O27">
            <v>100000</v>
          </cell>
          <cell r="P27">
            <v>0</v>
          </cell>
          <cell r="R27">
            <v>0</v>
          </cell>
          <cell r="U27">
            <v>130000</v>
          </cell>
          <cell r="AC27">
            <v>27000</v>
          </cell>
          <cell r="AF27" t="str">
            <v>BANQUE</v>
          </cell>
          <cell r="AK27">
            <v>50000</v>
          </cell>
          <cell r="AN27">
            <v>1000</v>
          </cell>
          <cell r="AP27" t="str">
            <v>BANQUE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105000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105000</v>
          </cell>
        </row>
        <row r="29">
          <cell r="A29" t="str">
            <v>AS201653</v>
          </cell>
          <cell r="B29" t="str">
            <v>SIME BRICE</v>
          </cell>
          <cell r="C29">
            <v>0</v>
          </cell>
          <cell r="D29">
            <v>50000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K29">
            <v>20000</v>
          </cell>
          <cell r="M29">
            <v>0</v>
          </cell>
          <cell r="O29">
            <v>0</v>
          </cell>
          <cell r="P29">
            <v>0</v>
          </cell>
          <cell r="U29">
            <v>50000</v>
          </cell>
        </row>
        <row r="30">
          <cell r="A30" t="str">
            <v>AS201637</v>
          </cell>
          <cell r="B30" t="str">
            <v>SIME MATHIEU</v>
          </cell>
          <cell r="C30">
            <v>0</v>
          </cell>
          <cell r="D30">
            <v>230000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230000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G31">
            <v>0</v>
          </cell>
          <cell r="H31" t="str">
            <v>ECHEC</v>
          </cell>
          <cell r="I31">
            <v>1</v>
          </cell>
          <cell r="J31">
            <v>0</v>
          </cell>
          <cell r="M31">
            <v>0</v>
          </cell>
          <cell r="O31">
            <v>0</v>
          </cell>
          <cell r="P31">
            <v>0</v>
          </cell>
          <cell r="U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115000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10000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115000</v>
          </cell>
          <cell r="AD32">
            <v>75000</v>
          </cell>
          <cell r="AF32" t="str">
            <v>BANQUE</v>
          </cell>
        </row>
        <row r="33">
          <cell r="A33" t="str">
            <v>AS201655</v>
          </cell>
          <cell r="B33" t="str">
            <v>TCHEMHOU EMMANUEL</v>
          </cell>
          <cell r="C33">
            <v>0</v>
          </cell>
          <cell r="G33">
            <v>0</v>
          </cell>
          <cell r="H33" t="str">
            <v>ECHEC</v>
          </cell>
          <cell r="J33">
            <v>0</v>
          </cell>
          <cell r="L33">
            <v>1</v>
          </cell>
          <cell r="M33">
            <v>0</v>
          </cell>
          <cell r="O33">
            <v>0</v>
          </cell>
          <cell r="Q33">
            <v>0</v>
          </cell>
          <cell r="U33">
            <v>0</v>
          </cell>
        </row>
        <row r="34">
          <cell r="A34" t="str">
            <v>AS201641</v>
          </cell>
          <cell r="B34" t="str">
            <v>TCHOUAMOU MATHIEU</v>
          </cell>
          <cell r="C34">
            <v>0</v>
          </cell>
          <cell r="D34">
            <v>130000</v>
          </cell>
          <cell r="E34">
            <v>52000</v>
          </cell>
          <cell r="G34">
            <v>0</v>
          </cell>
          <cell r="H34" t="str">
            <v>BANQUE</v>
          </cell>
          <cell r="I34">
            <v>1</v>
          </cell>
          <cell r="J34">
            <v>30000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R34">
            <v>52000</v>
          </cell>
          <cell r="U34">
            <v>182000</v>
          </cell>
          <cell r="AC34">
            <v>25000</v>
          </cell>
          <cell r="AF34" t="str">
            <v>BANQUE</v>
          </cell>
        </row>
        <row r="35">
          <cell r="A35" t="str">
            <v>AS201644</v>
          </cell>
          <cell r="B35" t="str">
            <v>TIEYAM ERNEST</v>
          </cell>
          <cell r="C35">
            <v>0</v>
          </cell>
          <cell r="G35">
            <v>0</v>
          </cell>
          <cell r="H35" t="str">
            <v>ECHEC</v>
          </cell>
          <cell r="I35">
            <v>0</v>
          </cell>
          <cell r="J35">
            <v>0</v>
          </cell>
          <cell r="M35">
            <v>0</v>
          </cell>
          <cell r="N35">
            <v>0</v>
          </cell>
          <cell r="O35">
            <v>0</v>
          </cell>
          <cell r="U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E36">
            <v>30000</v>
          </cell>
          <cell r="G36">
            <v>3000</v>
          </cell>
          <cell r="H36" t="str">
            <v>ESPECES</v>
          </cell>
          <cell r="I36">
            <v>1</v>
          </cell>
          <cell r="J36">
            <v>30000</v>
          </cell>
          <cell r="M36">
            <v>0</v>
          </cell>
          <cell r="O36">
            <v>0</v>
          </cell>
          <cell r="P36">
            <v>0</v>
          </cell>
          <cell r="U36">
            <v>33000</v>
          </cell>
        </row>
        <row r="37">
          <cell r="A37" t="str">
            <v>AS201647</v>
          </cell>
          <cell r="B37" t="str">
            <v>YOUMBI EMMANUEL</v>
          </cell>
          <cell r="C37">
            <v>0</v>
          </cell>
          <cell r="D37">
            <v>280000</v>
          </cell>
          <cell r="G37">
            <v>0</v>
          </cell>
          <cell r="H37" t="str">
            <v>BANQUE</v>
          </cell>
          <cell r="I37">
            <v>1</v>
          </cell>
          <cell r="J37">
            <v>30000</v>
          </cell>
          <cell r="L37">
            <v>2</v>
          </cell>
          <cell r="M37">
            <v>150000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280000</v>
          </cell>
          <cell r="AD37">
            <v>75000</v>
          </cell>
          <cell r="AF37" t="str">
            <v>BANQUE</v>
          </cell>
        </row>
      </sheetData>
      <sheetData sheetId="5">
        <row r="6">
          <cell r="A6" t="str">
            <v>AS201602</v>
          </cell>
        </row>
      </sheetData>
      <sheetData sheetId="6">
        <row r="6">
          <cell r="A6" t="str">
            <v>AS201602</v>
          </cell>
        </row>
      </sheetData>
      <sheetData sheetId="7">
        <row r="6">
          <cell r="A6" t="str">
            <v>AS201602</v>
          </cell>
        </row>
      </sheetData>
      <sheetData sheetId="8">
        <row r="6">
          <cell r="A6" t="str">
            <v>AS201602</v>
          </cell>
        </row>
      </sheetData>
      <sheetData sheetId="9">
        <row r="6">
          <cell r="A6" t="str">
            <v>AS201602</v>
          </cell>
        </row>
      </sheetData>
      <sheetData sheetId="10">
        <row r="6">
          <cell r="A6" t="str">
            <v>AS201602</v>
          </cell>
        </row>
      </sheetData>
      <sheetData sheetId="11">
        <row r="6">
          <cell r="A6" t="str">
            <v>AS201602</v>
          </cell>
        </row>
      </sheetData>
      <sheetData sheetId="12">
        <row r="6">
          <cell r="A6" t="str">
            <v>AS201602</v>
          </cell>
        </row>
      </sheetData>
      <sheetData sheetId="13">
        <row r="6">
          <cell r="A6" t="str">
            <v>AS201602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I5" sqref="I5"/>
    </sheetView>
  </sheetViews>
  <sheetFormatPr baseColWidth="10" defaultColWidth="11" defaultRowHeight="15" x14ac:dyDescent="0.25"/>
  <sheetData>
    <row r="1" spans="1:1" x14ac:dyDescent="0.25">
      <c r="A1" t="s">
        <v>37</v>
      </c>
    </row>
    <row r="2" spans="1:1" x14ac:dyDescent="0.25">
      <c r="A2" t="s">
        <v>36</v>
      </c>
    </row>
    <row r="3" spans="1:1" x14ac:dyDescent="0.25">
      <c r="A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workbookViewId="0">
      <pane xSplit="3" ySplit="5" topLeftCell="F30" activePane="bottomRight" state="frozen"/>
      <selection activeCell="G6" sqref="G6:G39"/>
      <selection pane="topRight" activeCell="G6" sqref="G6:G39"/>
      <selection pane="bottomLeft" activeCell="G6" sqref="G6:G39"/>
      <selection pane="bottomRight" activeCell="H38" sqref="H38:I38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5" width="13" customWidth="1"/>
    <col min="16" max="16" width="15.5703125" style="3" customWidth="1"/>
    <col min="17" max="18" width="18.140625" style="2" customWidth="1"/>
  </cols>
  <sheetData>
    <row r="1" spans="1:18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8" x14ac:dyDescent="0.25">
      <c r="A2" s="1" t="s">
        <v>2</v>
      </c>
      <c r="B2" s="1">
        <v>2023</v>
      </c>
      <c r="C2" s="1" t="s">
        <v>85</v>
      </c>
      <c r="D2" s="1" t="s">
        <v>80</v>
      </c>
      <c r="E2" s="1"/>
      <c r="F2" s="1"/>
      <c r="G2" s="1"/>
      <c r="N2" s="1"/>
      <c r="O2" s="1"/>
    </row>
    <row r="3" spans="1:18" x14ac:dyDescent="0.25">
      <c r="A3" s="1" t="s">
        <v>86</v>
      </c>
      <c r="B3" s="6">
        <v>25000</v>
      </c>
      <c r="C3" s="6">
        <f>B3*13+1000</f>
        <v>326000</v>
      </c>
      <c r="D3" s="1">
        <f>ROUNDDOWN(M40/C3,0)</f>
        <v>2</v>
      </c>
      <c r="E3" s="1"/>
      <c r="F3" s="1"/>
      <c r="G3" s="1"/>
      <c r="N3" s="1"/>
      <c r="O3" s="1"/>
    </row>
    <row r="4" spans="1:18" s="16" customFormat="1" ht="18" x14ac:dyDescent="0.25">
      <c r="B4" s="17"/>
      <c r="C4" s="28">
        <v>44939</v>
      </c>
      <c r="D4" s="29"/>
      <c r="E4" s="29"/>
      <c r="F4" s="29"/>
      <c r="G4" s="29"/>
      <c r="H4" s="29"/>
      <c r="I4" s="29"/>
      <c r="J4" s="29"/>
      <c r="K4" s="29"/>
      <c r="L4" s="29"/>
      <c r="N4" s="18"/>
      <c r="O4" s="18"/>
      <c r="P4" s="18"/>
      <c r="Q4" s="18"/>
    </row>
    <row r="5" spans="1:18" ht="58.5" x14ac:dyDescent="0.3">
      <c r="A5" s="1" t="s">
        <v>3</v>
      </c>
      <c r="B5" s="13" t="s">
        <v>81</v>
      </c>
      <c r="C5" s="1" t="s">
        <v>4</v>
      </c>
      <c r="D5" s="4" t="s">
        <v>5</v>
      </c>
      <c r="E5" s="4" t="s">
        <v>7</v>
      </c>
      <c r="F5" s="1" t="s">
        <v>48</v>
      </c>
      <c r="G5" s="5" t="s">
        <v>6</v>
      </c>
      <c r="H5" s="6" t="s">
        <v>44</v>
      </c>
      <c r="I5" s="4" t="s">
        <v>41</v>
      </c>
      <c r="J5" s="4" t="s">
        <v>45</v>
      </c>
      <c r="K5" s="11" t="s">
        <v>54</v>
      </c>
      <c r="L5" s="4" t="s">
        <v>82</v>
      </c>
      <c r="M5" s="4" t="s">
        <v>40</v>
      </c>
      <c r="N5" s="4" t="s">
        <v>39</v>
      </c>
      <c r="O5" s="4" t="s">
        <v>42</v>
      </c>
      <c r="P5" s="4" t="s">
        <v>54</v>
      </c>
      <c r="Q5" s="4" t="s">
        <v>83</v>
      </c>
      <c r="R5" s="4" t="s">
        <v>43</v>
      </c>
    </row>
    <row r="6" spans="1:18" x14ac:dyDescent="0.25">
      <c r="A6" s="1" t="s">
        <v>107</v>
      </c>
      <c r="B6" s="7">
        <f>IF(D6=0,0,VLOOKUP($A6,[6]HISTOJANV23!$A$6:$BO$40,10,0))</f>
        <v>1</v>
      </c>
      <c r="C6" s="1" t="str">
        <f>VLOOKUP(A6,[7]LISTADHERENT!A$5:H$60,3,0)</f>
        <v>BAKOP ACHILLE</v>
      </c>
      <c r="D6" s="7">
        <f>IF(G6="ECHEC",0,B$3)</f>
        <v>25000</v>
      </c>
      <c r="E6" s="7">
        <f>D6+VLOOKUP($A6,[6]HISTOJANV23!$A$7:$AU$40,45,0)+F6</f>
        <v>104000</v>
      </c>
      <c r="F6" s="7">
        <f>VLOOKUP($A6,[6]HISTOJANV23!$A$7:$AU$45,7,0)</f>
        <v>0</v>
      </c>
      <c r="G6" s="7" t="str">
        <f>VLOOKUP($A6,[6]HISTOJANV23!$A$7:$AU$45,8,0)</f>
        <v>ESPECES</v>
      </c>
      <c r="H6" s="7">
        <f>VLOOKUP($A6,[6]HISTOJANV23!$A$6:$AU$45,35,0)</f>
        <v>0</v>
      </c>
      <c r="I6" s="7">
        <f>VLOOKUP($A6,[6]HISTOJANV23!$A$7:$AU$45,38,0)</f>
        <v>0</v>
      </c>
      <c r="J6" s="7">
        <f>IF(I6=0,0,VLOOKUP($A6,[6]HISTOJANV23!$A$7:$AU$45,42,0))</f>
        <v>0</v>
      </c>
      <c r="K6" s="7">
        <f>VLOOKUP($A6,[6]HISTOJANV23!$A$7:$AU$45,41,0)</f>
        <v>0</v>
      </c>
      <c r="L6"/>
      <c r="M6" s="7">
        <f>VLOOKUP($A6,[6]HISTOJANV23!$A$7:$AU$45,16,0)</f>
        <v>0</v>
      </c>
      <c r="N6" s="7" t="str">
        <f>IF(M6&lt;&gt;0,VLOOKUP($A6,[6]HISTOJANV23!$A$7:$AU$45,8,0),"ECHEC")</f>
        <v>ECHEC</v>
      </c>
      <c r="O6" s="7">
        <f>IF(R6=0,0,VLOOKUP($A6,[6]HISTOJANV23!$A$7:$AU$45,32,0))</f>
        <v>0</v>
      </c>
      <c r="P6" s="7">
        <f>VLOOKUP($A6,[6]HISTOJANV23!$A$7:$AU$45,33,0)</f>
        <v>0</v>
      </c>
      <c r="Q6" s="7">
        <f t="shared" ref="Q6" si="0">IF(R6=0,0,($C$3-R6))</f>
        <v>0</v>
      </c>
      <c r="R6" s="7">
        <f>VLOOKUP($A6,[6]HISTOJANV23!$A$7:$AU$45,29,0)</f>
        <v>0</v>
      </c>
    </row>
    <row r="7" spans="1:18" x14ac:dyDescent="0.25">
      <c r="A7" s="1" t="s">
        <v>9</v>
      </c>
      <c r="B7" s="7">
        <f>IF(D7=0,0,VLOOKUP($A7,[6]HISTOJANV23!$A$6:$BO$40,10,0))</f>
        <v>1</v>
      </c>
      <c r="C7" s="1" t="str">
        <f>VLOOKUP(A7,[7]LISTADHERENT!A$5:H$60,3,0)</f>
        <v>BOUTCHOUANG WILLIAM</v>
      </c>
      <c r="D7" s="7">
        <f>IF(G7="ECHEC",0,B$3)</f>
        <v>25000</v>
      </c>
      <c r="E7" s="7">
        <f>D7+VLOOKUP($A7,[6]HISTOJANV23!$A$7:$AU$40,45,0)+F7</f>
        <v>40000</v>
      </c>
      <c r="F7" s="7">
        <f>VLOOKUP($A7,[6]HISTOJANV23!$A$7:$AU$45,7,0)</f>
        <v>0</v>
      </c>
      <c r="G7" s="7" t="str">
        <f>VLOOKUP($A7,[6]HISTOJANV23!$A$7:$AU$45,8,0)</f>
        <v>BANQUE</v>
      </c>
      <c r="H7" s="7">
        <f>VLOOKUP($A7,[6]HISTOJANV23!$A$6:$AU$45,35,0)</f>
        <v>0</v>
      </c>
      <c r="I7" s="7">
        <f>VLOOKUP($A7,[6]HISTOJANV23!$A$7:$AU$45,38,0)</f>
        <v>0</v>
      </c>
      <c r="J7" s="7">
        <f>IF(I7=0,0,VLOOKUP($A7,[6]HISTOJANV23!$A$7:$AU$45,42,0))</f>
        <v>0</v>
      </c>
      <c r="K7" s="7">
        <f>VLOOKUP($A7,[6]HISTOJANV23!$A$7:$AU$45,41,0)</f>
        <v>0</v>
      </c>
      <c r="L7"/>
      <c r="M7" s="7">
        <f>VLOOKUP($A7,[6]HISTOJANV23!$A$7:$AU$45,16,0)</f>
        <v>0</v>
      </c>
      <c r="N7" s="7" t="str">
        <f>IF(M7&lt;&gt;0,VLOOKUP($A7,[6]HISTOJANV23!$A$7:$AU$45,8,0),"ECHEC")</f>
        <v>ECHEC</v>
      </c>
      <c r="O7" s="7">
        <f>IF(R7=0,0,VLOOKUP($A7,[6]HISTOJANV23!$A$7:$AU$45,32,0))</f>
        <v>0</v>
      </c>
      <c r="P7" s="7">
        <f>VLOOKUP($A7,[6]HISTOJANV23!$A$7:$AU$45,33,0)</f>
        <v>0</v>
      </c>
      <c r="Q7" s="7">
        <f t="shared" ref="Q7" si="1">IF(R7=0,0,($C$3-R7))</f>
        <v>0</v>
      </c>
      <c r="R7" s="7">
        <f>VLOOKUP($A7,[6]HISTOJANV23!$A$7:$AU$45,29,0)</f>
        <v>0</v>
      </c>
    </row>
    <row r="8" spans="1:18" x14ac:dyDescent="0.25">
      <c r="A8" s="1" t="s">
        <v>10</v>
      </c>
      <c r="B8" s="7">
        <f>IF(D8=0,0,VLOOKUP($A8,[6]HISTOJANV23!$A$6:$BO$40,10,0))</f>
        <v>1</v>
      </c>
      <c r="C8" s="1" t="str">
        <f>VLOOKUP(A8,[7]LISTADHERENT!A$5:H$60,3,0)</f>
        <v xml:space="preserve">DJOMO JEAN PAUL </v>
      </c>
      <c r="D8" s="7">
        <f t="shared" ref="D8:D35" si="2">IF(G8="ECHEC",0,B$3)</f>
        <v>25000</v>
      </c>
      <c r="E8" s="7">
        <f>D8+VLOOKUP($A8,[6]HISTOJANV23!$A$7:$AU$40,45,0)+F8</f>
        <v>60000</v>
      </c>
      <c r="F8" s="7">
        <f>VLOOKUP($A8,[6]HISTOJANV23!$A$7:$AU$45,7,0)</f>
        <v>0</v>
      </c>
      <c r="G8" s="7" t="str">
        <f>VLOOKUP($A8,[6]HISTOJANV23!$A$7:$AU$45,8,0)</f>
        <v>BANQUE</v>
      </c>
      <c r="H8" s="7">
        <f>VLOOKUP($A8,[6]HISTOJANV23!$A$6:$AU$45,35,0)</f>
        <v>0</v>
      </c>
      <c r="I8" s="7">
        <f>VLOOKUP($A8,[6]HISTOJANV23!$A$7:$AU$45,38,0)</f>
        <v>0</v>
      </c>
      <c r="J8" s="7">
        <f>IF(I8=0,0,VLOOKUP($A8,[6]HISTOJANV23!$A$7:$AU$45,42,0))</f>
        <v>0</v>
      </c>
      <c r="K8" s="7">
        <f>VLOOKUP($A8,[6]HISTOJANV23!$A$7:$AU$45,41,0)</f>
        <v>0</v>
      </c>
      <c r="L8"/>
      <c r="M8" s="7">
        <f>VLOOKUP($A8,[6]HISTOJANV23!$A$7:$AU$45,16,0)</f>
        <v>0</v>
      </c>
      <c r="N8" s="7" t="str">
        <f>IF(M8&lt;&gt;0,VLOOKUP($A8,[6]HISTOJANV23!$A$7:$AU$45,8,0),"ECHEC")</f>
        <v>ECHEC</v>
      </c>
      <c r="O8" s="7" t="str">
        <f>IF(R8=0,0,VLOOKUP($A8,[6]HISTOJANV23!$A$7:$AU$45,32,0))</f>
        <v>BANQUE</v>
      </c>
      <c r="P8" s="7">
        <f>VLOOKUP($A8,[6]HISTOJANV23!$A$7:$AU$45,33,0)</f>
        <v>0</v>
      </c>
      <c r="Q8" s="7">
        <f t="shared" ref="Q8:Q35" si="3">IF(R8=0,0,($C$3-R8))</f>
        <v>281000</v>
      </c>
      <c r="R8" s="7">
        <f>VLOOKUP($A8,[6]HISTOJANV23!$A$7:$AU$45,29,0)</f>
        <v>45000</v>
      </c>
    </row>
    <row r="9" spans="1:18" x14ac:dyDescent="0.25">
      <c r="A9" s="1" t="s">
        <v>57</v>
      </c>
      <c r="B9" s="7">
        <f>IF(D9=0,0,VLOOKUP($A9,[6]HISTOJANV23!$A$6:$BO$40,10,0))</f>
        <v>1</v>
      </c>
      <c r="C9" s="1" t="str">
        <f>VLOOKUP(A9,[7]LISTADHERENT!A$5:H$60,3,0)</f>
        <v>DJOMOU TCHAPDA</v>
      </c>
      <c r="D9" s="7">
        <f t="shared" si="2"/>
        <v>25000</v>
      </c>
      <c r="E9" s="7">
        <f>D9+VLOOKUP($A9,[6]HISTOJANV23!$A$7:$AU$40,45,0)+F9</f>
        <v>40000</v>
      </c>
      <c r="F9" s="7">
        <f>VLOOKUP($A9,[6]HISTOJANV23!$A$7:$AU$45,7,0)</f>
        <v>0</v>
      </c>
      <c r="G9" s="7" t="str">
        <f>VLOOKUP($A9,[6]HISTOJANV23!$A$7:$AU$45,8,0)</f>
        <v>BANQUE</v>
      </c>
      <c r="H9" s="7">
        <f>VLOOKUP($A9,[6]HISTOJANV23!$A$6:$AU$45,35,0)</f>
        <v>60000</v>
      </c>
      <c r="I9" s="7">
        <f>VLOOKUP($A9,[6]HISTOJANV23!$A$7:$AU$45,38,0)</f>
        <v>3000</v>
      </c>
      <c r="J9" s="7" t="str">
        <f>IF(I9=0,0,VLOOKUP($A9,[6]HISTOJANV23!$A$7:$AU$45,42,0))</f>
        <v>BANQUE</v>
      </c>
      <c r="K9" s="7">
        <f>VLOOKUP($A9,[6]HISTOJANV23!$A$7:$AU$45,41,0)</f>
        <v>0</v>
      </c>
      <c r="L9"/>
      <c r="M9" s="7">
        <f>VLOOKUP($A9,[6]HISTOJANV23!$A$7:$AU$45,16,0)</f>
        <v>0</v>
      </c>
      <c r="N9" s="7" t="str">
        <f>IF(M9&lt;&gt;0,VLOOKUP($A9,[6]HISTOJANV23!$A$7:$AU$45,8,0),"ECHEC")</f>
        <v>ECHEC</v>
      </c>
      <c r="O9" s="7">
        <f>IF(R9=0,0,VLOOKUP($A9,[6]HISTOJANV23!$A$7:$AU$45,32,0))</f>
        <v>0</v>
      </c>
      <c r="P9" s="7">
        <f>VLOOKUP($A9,[6]HISTOJANV23!$A$7:$AU$45,33,0)</f>
        <v>0</v>
      </c>
      <c r="Q9" s="7">
        <f t="shared" si="3"/>
        <v>0</v>
      </c>
      <c r="R9" s="7">
        <f>VLOOKUP($A9,[6]HISTOJANV23!$A$7:$AU$45,29,0)</f>
        <v>0</v>
      </c>
    </row>
    <row r="10" spans="1:18" x14ac:dyDescent="0.25">
      <c r="A10" s="1" t="s">
        <v>11</v>
      </c>
      <c r="B10" s="7">
        <f>IF(D10=0,0,VLOOKUP($A10,[6]HISTOJANV23!$A$6:$BO$40,10,0))</f>
        <v>1</v>
      </c>
      <c r="C10" s="1" t="str">
        <f>VLOOKUP(A10,[7]LISTADHERENT!A$5:H$60,3,0)</f>
        <v>DJOUKWE NANGUEN GUY BLAISE</v>
      </c>
      <c r="D10" s="7">
        <f t="shared" si="2"/>
        <v>25000</v>
      </c>
      <c r="E10" s="7">
        <f>D10+VLOOKUP($A10,[6]HISTOJANV23!$A$7:$AU$40,45,0)+F10</f>
        <v>40000</v>
      </c>
      <c r="F10" s="7">
        <f>VLOOKUP($A10,[6]HISTOJANV23!$A$7:$AU$45,7,0)</f>
        <v>0</v>
      </c>
      <c r="G10" s="7" t="str">
        <f>VLOOKUP($A10,[6]HISTOJANV23!$A$7:$AU$45,8,0)</f>
        <v>BANQUE</v>
      </c>
      <c r="H10" s="7">
        <f>VLOOKUP($A10,[6]HISTOJANV23!$A$6:$AU$45,35,0)</f>
        <v>60000</v>
      </c>
      <c r="I10" s="7">
        <f>VLOOKUP($A10,[6]HISTOJANV23!$A$7:$AU$45,38,0)</f>
        <v>2000</v>
      </c>
      <c r="J10" s="7" t="str">
        <f>IF(I10=0,0,VLOOKUP($A10,[6]HISTOJANV23!$A$7:$AU$45,42,0))</f>
        <v>BANQUE</v>
      </c>
      <c r="K10" s="7">
        <f>VLOOKUP($A10,[6]HISTOJANV23!$A$7:$AU$45,41,0)</f>
        <v>0</v>
      </c>
      <c r="L10"/>
      <c r="M10" s="7">
        <f>VLOOKUP($A10,[6]HISTOJANV23!$A$7:$AU$45,16,0)</f>
        <v>0</v>
      </c>
      <c r="N10" s="7" t="str">
        <f>IF(M10&lt;&gt;0,VLOOKUP($A10,[6]HISTOJANV23!$A$7:$AU$45,8,0),"ECHEC")</f>
        <v>ECHEC</v>
      </c>
      <c r="O10" s="7">
        <f>IF(R10=0,0,VLOOKUP($A10,[6]HISTOJANV23!$A$7:$AU$45,32,0))</f>
        <v>0</v>
      </c>
      <c r="P10" s="7">
        <f>VLOOKUP($A10,[6]HISTOJANV23!$A$7:$AU$45,33,0)</f>
        <v>0</v>
      </c>
      <c r="Q10" s="7">
        <f t="shared" si="3"/>
        <v>0</v>
      </c>
      <c r="R10" s="7">
        <f>VLOOKUP($A10,[6]HISTOJANV23!$A$7:$AU$45,29,0)</f>
        <v>0</v>
      </c>
    </row>
    <row r="11" spans="1:18" x14ac:dyDescent="0.25">
      <c r="A11" s="1" t="s">
        <v>12</v>
      </c>
      <c r="B11" s="7">
        <f>IF(D11=0,0,VLOOKUP($A11,[6]HISTOJANV23!$A$6:$BO$40,10,0))</f>
        <v>1</v>
      </c>
      <c r="C11" s="1" t="str">
        <f>VLOOKUP(A11,[7]LISTADHERENT!A$5:H$60,3,0)</f>
        <v>DJUOMBESSY ANTOINE</v>
      </c>
      <c r="D11" s="7">
        <f t="shared" si="2"/>
        <v>25000</v>
      </c>
      <c r="E11" s="7">
        <f>D11+VLOOKUP($A11,[6]HISTOJANV23!$A$7:$AU$40,45,0)+F11</f>
        <v>45000</v>
      </c>
      <c r="F11" s="7">
        <f>VLOOKUP($A11,[6]HISTOJANV23!$A$7:$AU$45,7,0)</f>
        <v>0</v>
      </c>
      <c r="G11" s="7" t="str">
        <f>VLOOKUP($A11,[6]HISTOJANV23!$A$7:$AU$45,8,0)</f>
        <v>BANQUE</v>
      </c>
      <c r="H11" s="7">
        <f>VLOOKUP($A11,[6]HISTOJANV23!$A$6:$AU$45,35,0)</f>
        <v>0</v>
      </c>
      <c r="I11" s="7">
        <f>VLOOKUP($A11,[6]HISTOJANV23!$A$7:$AU$45,38,0)</f>
        <v>0</v>
      </c>
      <c r="J11" s="7">
        <f>IF(I11=0,0,VLOOKUP($A11,[6]HISTOJANV23!$A$7:$AU$45,42,0))</f>
        <v>0</v>
      </c>
      <c r="K11" s="7">
        <f>VLOOKUP($A11,[6]HISTOJANV23!$A$7:$AU$45,41,0)</f>
        <v>0</v>
      </c>
      <c r="L11"/>
      <c r="M11" s="7">
        <f>VLOOKUP($A11,[6]HISTOJANV23!$A$7:$AU$45,16,0)</f>
        <v>0</v>
      </c>
      <c r="N11" s="7" t="str">
        <f>IF(M11&lt;&gt;0,VLOOKUP($A11,[6]HISTOJANV23!$A$7:$AU$45,8,0),"ECHEC")</f>
        <v>ECHEC</v>
      </c>
      <c r="O11" s="7">
        <f>IF(R11=0,0,VLOOKUP($A11,[6]HISTOJANV23!$A$7:$AU$45,32,0))</f>
        <v>0</v>
      </c>
      <c r="P11" s="7">
        <f>VLOOKUP($A11,[6]HISTOJANV23!$A$7:$AU$45,33,0)</f>
        <v>0</v>
      </c>
      <c r="Q11" s="7">
        <f t="shared" si="3"/>
        <v>0</v>
      </c>
      <c r="R11" s="7">
        <f>VLOOKUP($A11,[6]HISTOJANV23!$A$7:$AU$45,29,0)</f>
        <v>0</v>
      </c>
    </row>
    <row r="12" spans="1:18" x14ac:dyDescent="0.25">
      <c r="A12" s="1" t="s">
        <v>50</v>
      </c>
      <c r="B12" s="7">
        <f>IF(D12=0,0,VLOOKUP($A12,[6]HISTOJANV23!$A$6:$BO$40,10,0))</f>
        <v>1</v>
      </c>
      <c r="C12" s="1" t="str">
        <f>VLOOKUP(A12,[7]LISTADHERENT!A$5:H$60,3,0)</f>
        <v>DOMOU FABIEN</v>
      </c>
      <c r="D12" s="7">
        <f t="shared" si="2"/>
        <v>25000</v>
      </c>
      <c r="E12" s="7">
        <f>D12+VLOOKUP($A12,[6]HISTOJANV23!$A$7:$AU$40,45,0)+F12</f>
        <v>40000</v>
      </c>
      <c r="F12" s="7">
        <f>VLOOKUP($A12,[6]HISTOJANV23!$A$7:$AU$45,7,0)</f>
        <v>0</v>
      </c>
      <c r="G12" s="7" t="str">
        <f>VLOOKUP($A12,[6]HISTOJANV23!$A$7:$AU$45,8,0)</f>
        <v>BANQUE</v>
      </c>
      <c r="H12" s="7">
        <f>VLOOKUP($A12,[6]HISTOJANV23!$A$6:$AU$45,35,0)</f>
        <v>0</v>
      </c>
      <c r="I12" s="7">
        <f>VLOOKUP($A12,[6]HISTOJANV23!$A$7:$AU$45,38,0)</f>
        <v>0</v>
      </c>
      <c r="J12" s="7">
        <f>IF(I12=0,0,VLOOKUP($A12,[6]HISTOJANV23!$A$7:$AU$45,42,0))</f>
        <v>0</v>
      </c>
      <c r="K12" s="7">
        <f>VLOOKUP($A12,[6]HISTOJANV23!$A$7:$AU$45,41,0)</f>
        <v>0</v>
      </c>
      <c r="L12"/>
      <c r="M12" s="7">
        <f>VLOOKUP($A12,[6]HISTOJANV23!$A$7:$AU$45,16,0)</f>
        <v>0</v>
      </c>
      <c r="N12" s="7" t="str">
        <f>IF(M12&lt;&gt;0,VLOOKUP($A12,[6]HISTOJANV23!$A$7:$AU$45,8,0),"ECHEC")</f>
        <v>ECHEC</v>
      </c>
      <c r="O12" s="7">
        <f>IF(R12=0,0,VLOOKUP($A12,[6]HISTOJANV23!$A$7:$AU$45,32,0))</f>
        <v>0</v>
      </c>
      <c r="P12" s="7">
        <f>VLOOKUP($A12,[6]HISTOJANV23!$A$7:$AU$45,33,0)</f>
        <v>0</v>
      </c>
      <c r="Q12" s="7">
        <f t="shared" si="3"/>
        <v>0</v>
      </c>
      <c r="R12" s="7">
        <f>VLOOKUP($A12,[6]HISTOJANV23!$A$7:$AU$45,29,0)</f>
        <v>0</v>
      </c>
    </row>
    <row r="13" spans="1:18" x14ac:dyDescent="0.25">
      <c r="A13" s="1" t="s">
        <v>13</v>
      </c>
      <c r="B13" s="7">
        <f>IF(D13=0,0,VLOOKUP($A13,[6]HISTOJANV23!$A$6:$BO$40,10,0))</f>
        <v>1</v>
      </c>
      <c r="C13" s="1" t="str">
        <f>VLOOKUP(A13,[7]LISTADHERENT!A$5:H$60,3,0)</f>
        <v>DONHOU DAVID</v>
      </c>
      <c r="D13" s="7">
        <f t="shared" si="2"/>
        <v>25000</v>
      </c>
      <c r="E13" s="7">
        <f>D13+VLOOKUP($A13,[6]HISTOJANV23!$A$7:$AU$40,45,0)+F13</f>
        <v>40000</v>
      </c>
      <c r="F13" s="7">
        <f>VLOOKUP($A13,[6]HISTOJANV23!$A$7:$AU$45,7,0)</f>
        <v>0</v>
      </c>
      <c r="G13" s="7" t="str">
        <f>VLOOKUP($A13,[6]HISTOJANV23!$A$7:$AU$45,8,0)</f>
        <v>BANQUE</v>
      </c>
      <c r="H13" s="7">
        <f>VLOOKUP($A13,[6]HISTOJANV23!$A$6:$AU$45,35,0)</f>
        <v>0</v>
      </c>
      <c r="I13" s="7">
        <f>VLOOKUP($A13,[6]HISTOJANV23!$A$7:$AU$45,38,0)</f>
        <v>0</v>
      </c>
      <c r="J13" s="7">
        <f>IF(I13=0,0,VLOOKUP($A13,[6]HISTOJANV23!$A$7:$AU$45,42,0))</f>
        <v>0</v>
      </c>
      <c r="K13" s="7">
        <f>VLOOKUP($A13,[6]HISTOJANV23!$A$7:$AU$45,41,0)</f>
        <v>0</v>
      </c>
      <c r="L13"/>
      <c r="M13" s="7">
        <f>VLOOKUP($A13,[6]HISTOJANV23!$A$7:$AU$45,16,0)</f>
        <v>0</v>
      </c>
      <c r="N13" s="7" t="str">
        <f>IF(M13&lt;&gt;0,VLOOKUP($A13,[6]HISTOJANV23!$A$7:$AU$45,8,0),"ECHEC")</f>
        <v>ECHEC</v>
      </c>
      <c r="O13" s="7">
        <f>IF(R13=0,0,VLOOKUP($A13,[6]HISTOJANV23!$A$7:$AU$45,32,0))</f>
        <v>0</v>
      </c>
      <c r="P13" s="7">
        <f>VLOOKUP($A13,[6]HISTOJANV23!$A$7:$AU$45,33,0)</f>
        <v>0</v>
      </c>
      <c r="Q13" s="7">
        <f t="shared" si="3"/>
        <v>0</v>
      </c>
      <c r="R13" s="7">
        <f>VLOOKUP($A13,[6]HISTOJANV23!$A$7:$AU$45,29,0)</f>
        <v>0</v>
      </c>
    </row>
    <row r="14" spans="1:18" x14ac:dyDescent="0.25">
      <c r="A14" s="1" t="s">
        <v>15</v>
      </c>
      <c r="B14" s="7">
        <f>IF(D14=0,0,VLOOKUP($A14,[6]HISTOJANV23!$A$6:$BO$40,10,0))</f>
        <v>1</v>
      </c>
      <c r="C14" s="1" t="str">
        <f>VLOOKUP(A14,[7]LISTADHERENT!A$5:H$60,3,0)</f>
        <v>HENGUE PAUL OMER</v>
      </c>
      <c r="D14" s="7">
        <f t="shared" si="2"/>
        <v>25000</v>
      </c>
      <c r="E14" s="7">
        <f>D14+VLOOKUP($A14,[6]HISTOJANV23!$A$7:$AU$40,45,0)+F14</f>
        <v>40000</v>
      </c>
      <c r="F14" s="7">
        <f>VLOOKUP($A14,[6]HISTOJANV23!$A$7:$AU$45,7,0)</f>
        <v>0</v>
      </c>
      <c r="G14" s="7" t="str">
        <f>VLOOKUP($A14,[6]HISTOJANV23!$A$7:$AU$45,8,0)</f>
        <v>BANQUE</v>
      </c>
      <c r="H14" s="7">
        <f>VLOOKUP($A14,[6]HISTOJANV23!$A$6:$AU$45,35,0)</f>
        <v>0</v>
      </c>
      <c r="I14" s="7">
        <f>VLOOKUP($A14,[6]HISTOJANV23!$A$7:$AU$45,38,0)</f>
        <v>0</v>
      </c>
      <c r="J14" s="7">
        <f>IF(I14=0,0,VLOOKUP($A14,[6]HISTOJANV23!$A$7:$AU$45,42,0))</f>
        <v>0</v>
      </c>
      <c r="K14" s="7">
        <f>VLOOKUP($A14,[6]HISTOJANV23!$A$7:$AU$45,41,0)</f>
        <v>0</v>
      </c>
      <c r="L14"/>
      <c r="M14" s="7">
        <f>VLOOKUP($A14,[6]HISTOJANV23!$A$7:$AU$45,16,0)</f>
        <v>0</v>
      </c>
      <c r="N14" s="7" t="str">
        <f>IF(M14&lt;&gt;0,VLOOKUP($A14,[6]HISTOJANV23!$A$7:$AU$45,8,0),"ECHEC")</f>
        <v>ECHEC</v>
      </c>
      <c r="O14" s="7">
        <f>IF(R14=0,0,VLOOKUP($A14,[6]HISTOJANV23!$A$7:$AU$45,32,0))</f>
        <v>0</v>
      </c>
      <c r="P14" s="7">
        <f>VLOOKUP($A14,[6]HISTOJANV23!$A$7:$AU$45,33,0)</f>
        <v>0</v>
      </c>
      <c r="Q14" s="7">
        <f t="shared" si="3"/>
        <v>0</v>
      </c>
      <c r="R14" s="7">
        <f>VLOOKUP($A14,[6]HISTOJANV23!$A$7:$AU$45,29,0)</f>
        <v>0</v>
      </c>
    </row>
    <row r="15" spans="1:18" x14ac:dyDescent="0.25">
      <c r="A15" s="1" t="s">
        <v>16</v>
      </c>
      <c r="B15" s="7">
        <f>IF(D15=0,0,VLOOKUP($A15,[6]HISTOJANV23!$A$6:$BO$40,10,0))</f>
        <v>1</v>
      </c>
      <c r="C15" s="1" t="str">
        <f>VLOOKUP(A15,[7]LISTADHERENT!A$5:H$60,3,0)</f>
        <v>HOTCHO BENJAMIN</v>
      </c>
      <c r="D15" s="7">
        <f t="shared" si="2"/>
        <v>25000</v>
      </c>
      <c r="E15" s="7">
        <f>D15+VLOOKUP($A15,[6]HISTOJANV23!$A$7:$AU$40,45,0)+F15</f>
        <v>75000</v>
      </c>
      <c r="F15" s="7">
        <f>VLOOKUP($A15,[6]HISTOJANV23!$A$7:$AU$45,7,0)</f>
        <v>0</v>
      </c>
      <c r="G15" s="7" t="str">
        <f>VLOOKUP($A15,[6]HISTOJANV23!$A$7:$AU$45,8,0)</f>
        <v>BANQUE</v>
      </c>
      <c r="H15" s="7">
        <f>VLOOKUP($A15,[6]HISTOJANV23!$A$6:$AU$45,35,0)</f>
        <v>0</v>
      </c>
      <c r="I15" s="7">
        <f>VLOOKUP($A15,[6]HISTOJANV23!$A$7:$AU$45,38,0)</f>
        <v>0</v>
      </c>
      <c r="J15" s="7">
        <f>IF(I15=0,0,VLOOKUP($A15,[6]HISTOJANV23!$A$7:$AU$45,42,0))</f>
        <v>0</v>
      </c>
      <c r="K15" s="7">
        <f>VLOOKUP($A15,[6]HISTOJANV23!$A$7:$AU$45,41,0)</f>
        <v>0</v>
      </c>
      <c r="L15"/>
      <c r="M15" s="7">
        <f>VLOOKUP($A15,[6]HISTOJANV23!$A$7:$AU$45,16,0)</f>
        <v>0</v>
      </c>
      <c r="N15" s="7" t="str">
        <f>IF(M15&lt;&gt;0,VLOOKUP($A15,[6]HISTOJANV23!$A$7:$AU$45,8,0),"ECHEC")</f>
        <v>ECHEC</v>
      </c>
      <c r="O15" s="7">
        <f>IF(R15=0,0,VLOOKUP($A15,[6]HISTOJANV23!$A$7:$AU$45,32,0))</f>
        <v>0</v>
      </c>
      <c r="P15" s="7">
        <f>VLOOKUP($A15,[6]HISTOJANV23!$A$7:$AU$45,33,0)</f>
        <v>0</v>
      </c>
      <c r="Q15" s="7">
        <f t="shared" si="3"/>
        <v>0</v>
      </c>
      <c r="R15" s="7">
        <f>VLOOKUP($A15,[6]HISTOJANV23!$A$7:$AU$45,29,0)</f>
        <v>0</v>
      </c>
    </row>
    <row r="16" spans="1:18" x14ac:dyDescent="0.25">
      <c r="A16" s="1" t="s">
        <v>17</v>
      </c>
      <c r="B16" s="7">
        <f>IF(D16=0,0,VLOOKUP($A16,[6]HISTOJANV23!$A$6:$BO$40,10,0))</f>
        <v>1</v>
      </c>
      <c r="C16" s="1" t="str">
        <f>VLOOKUP(A16,[7]LISTADHERENT!A$5:H$60,3,0)</f>
        <v>KOUAMOU MOISE</v>
      </c>
      <c r="D16" s="7">
        <f t="shared" si="2"/>
        <v>25000</v>
      </c>
      <c r="E16" s="7">
        <f>D16+VLOOKUP($A16,[6]HISTOJANV23!$A$7:$AU$40,45,0)+F16</f>
        <v>40000</v>
      </c>
      <c r="F16" s="7">
        <f>VLOOKUP($A16,[6]HISTOJANV23!$A$7:$AU$45,7,0)</f>
        <v>0</v>
      </c>
      <c r="G16" s="7" t="str">
        <f>VLOOKUP($A16,[6]HISTOJANV23!$A$7:$AU$45,8,0)</f>
        <v>BANQUE</v>
      </c>
      <c r="H16" s="7">
        <f>VLOOKUP($A16,[6]HISTOJANV23!$A$6:$AU$45,35,0)</f>
        <v>0</v>
      </c>
      <c r="I16" s="7">
        <f>VLOOKUP($A16,[6]HISTOJANV23!$A$7:$AU$45,38,0)</f>
        <v>0</v>
      </c>
      <c r="J16" s="7">
        <f>IF(I16=0,0,VLOOKUP($A16,[6]HISTOJANV23!$A$7:$AU$45,42,0))</f>
        <v>0</v>
      </c>
      <c r="K16" s="7">
        <f>VLOOKUP($A16,[6]HISTOJANV23!$A$7:$AU$45,41,0)</f>
        <v>0</v>
      </c>
      <c r="L16"/>
      <c r="M16" s="7">
        <f>VLOOKUP($A16,[6]HISTOJANV23!$A$7:$AU$45,16,0)</f>
        <v>0</v>
      </c>
      <c r="N16" s="7" t="str">
        <f>IF(M16&lt;&gt;0,VLOOKUP($A16,[6]HISTOJANV23!$A$7:$AU$45,8,0),"ECHEC")</f>
        <v>ECHEC</v>
      </c>
      <c r="O16" s="7">
        <f>IF(R16=0,0,VLOOKUP($A16,[6]HISTOJANV23!$A$7:$AU$45,32,0))</f>
        <v>0</v>
      </c>
      <c r="P16" s="7">
        <f>VLOOKUP($A16,[6]HISTOJANV23!$A$7:$AU$45,33,0)</f>
        <v>0</v>
      </c>
      <c r="Q16" s="7">
        <f t="shared" si="3"/>
        <v>0</v>
      </c>
      <c r="R16" s="7">
        <f>VLOOKUP($A16,[6]HISTOJANV23!$A$7:$AU$45,29,0)</f>
        <v>0</v>
      </c>
    </row>
    <row r="17" spans="1:18" x14ac:dyDescent="0.25">
      <c r="A17" s="1" t="s">
        <v>18</v>
      </c>
      <c r="B17" s="7">
        <f>IF(D17=0,0,VLOOKUP($A17,[6]HISTOJANV23!$A$6:$BO$40,10,0))</f>
        <v>1</v>
      </c>
      <c r="C17" s="1" t="str">
        <f>VLOOKUP(A17,[7]LISTADHERENT!A$5:H$60,3,0)</f>
        <v>KOUATCHO MESSACK</v>
      </c>
      <c r="D17" s="7">
        <f t="shared" si="2"/>
        <v>25000</v>
      </c>
      <c r="E17" s="7">
        <f>D17+VLOOKUP($A17,[6]HISTOJANV23!$A$7:$AU$40,45,0)+F17</f>
        <v>40000</v>
      </c>
      <c r="F17" s="7">
        <f>VLOOKUP($A17,[6]HISTOJANV23!$A$7:$AU$45,7,0)</f>
        <v>0</v>
      </c>
      <c r="G17" s="7" t="str">
        <f>VLOOKUP($A17,[6]HISTOJANV23!$A$7:$AU$45,8,0)</f>
        <v>BANQUE</v>
      </c>
      <c r="H17" s="7">
        <f>VLOOKUP($A17,[6]HISTOJANV23!$A$6:$AU$45,35,0)</f>
        <v>0</v>
      </c>
      <c r="I17" s="7">
        <f>VLOOKUP($A17,[6]HISTOJANV23!$A$7:$AU$45,38,0)</f>
        <v>0</v>
      </c>
      <c r="J17" s="7">
        <f>IF(I17=0,0,VLOOKUP($A17,[6]HISTOJANV23!$A$7:$AU$45,42,0))</f>
        <v>0</v>
      </c>
      <c r="K17" s="7">
        <f>VLOOKUP($A17,[6]HISTOJANV23!$A$7:$AU$45,41,0)</f>
        <v>0</v>
      </c>
      <c r="L17"/>
      <c r="M17" s="7">
        <f>VLOOKUP($A17,[6]HISTOJANV23!$A$7:$AU$45,16,0)</f>
        <v>0</v>
      </c>
      <c r="N17" s="7" t="str">
        <f>IF(M17&lt;&gt;0,VLOOKUP($A17,[6]HISTOJANV23!$A$7:$AU$45,8,0),"ECHEC")</f>
        <v>ECHEC</v>
      </c>
      <c r="O17" s="7" t="str">
        <f>IF(R17=0,0,VLOOKUP($A17,[6]HISTOJANV23!$A$7:$AU$45,32,0))</f>
        <v>BANQUE</v>
      </c>
      <c r="P17" s="7">
        <f>VLOOKUP($A17,[6]HISTOJANV23!$A$7:$AU$45,33,0)</f>
        <v>0</v>
      </c>
      <c r="Q17" s="7">
        <f t="shared" si="3"/>
        <v>286000</v>
      </c>
      <c r="R17" s="7">
        <f>VLOOKUP($A17,[6]HISTOJANV23!$A$7:$AU$45,29,0)</f>
        <v>40000</v>
      </c>
    </row>
    <row r="18" spans="1:18" x14ac:dyDescent="0.25">
      <c r="A18" s="1" t="s">
        <v>19</v>
      </c>
      <c r="B18" s="7">
        <f>IF(D18=0,0,VLOOKUP($A18,[6]HISTOJANV23!$A$6:$BO$40,10,0))</f>
        <v>1</v>
      </c>
      <c r="C18" s="1" t="str">
        <f>VLOOKUP(A18,[7]LISTADHERENT!A$5:H$60,3,0)</f>
        <v>LOWE JEAN</v>
      </c>
      <c r="D18" s="7">
        <f t="shared" si="2"/>
        <v>25000</v>
      </c>
      <c r="E18" s="7">
        <f>D18+VLOOKUP($A18,[6]HISTOJANV23!$A$7:$AU$40,45,0)+F18</f>
        <v>40000</v>
      </c>
      <c r="F18" s="7">
        <f>VLOOKUP($A18,[6]HISTOJANV23!$A$7:$AU$45,7,0)</f>
        <v>0</v>
      </c>
      <c r="G18" s="7" t="str">
        <f>VLOOKUP($A18,[6]HISTOJANV23!$A$7:$AU$45,8,0)</f>
        <v>BANQUE</v>
      </c>
      <c r="H18" s="7">
        <f>VLOOKUP($A18,[6]HISTOJANV23!$A$6:$AU$45,35,0)</f>
        <v>0</v>
      </c>
      <c r="I18" s="7">
        <f>VLOOKUP($A18,[6]HISTOJANV23!$A$7:$AU$45,38,0)</f>
        <v>0</v>
      </c>
      <c r="J18" s="7">
        <f>IF(I18=0,0,VLOOKUP($A18,[6]HISTOJANV23!$A$7:$AU$45,42,0))</f>
        <v>0</v>
      </c>
      <c r="K18" s="7">
        <f>VLOOKUP($A18,[6]HISTOJANV23!$A$7:$AU$45,41,0)</f>
        <v>0</v>
      </c>
      <c r="L18"/>
      <c r="M18" s="7">
        <f>VLOOKUP($A18,[6]HISTOJANV23!$A$7:$AU$45,16,0)</f>
        <v>0</v>
      </c>
      <c r="N18" s="7" t="str">
        <f>IF(M18&lt;&gt;0,VLOOKUP($A18,[6]HISTOJANV23!$A$7:$AU$45,8,0),"ECHEC")</f>
        <v>ECHEC</v>
      </c>
      <c r="O18" s="7">
        <f>IF(R18=0,0,VLOOKUP($A18,[6]HISTOJANV23!$A$7:$AU$45,32,0))</f>
        <v>0</v>
      </c>
      <c r="P18" s="7">
        <f>VLOOKUP($A18,[6]HISTOJANV23!$A$7:$AU$45,33,0)</f>
        <v>0</v>
      </c>
      <c r="Q18" s="7">
        <f t="shared" si="3"/>
        <v>0</v>
      </c>
      <c r="R18" s="7">
        <f>VLOOKUP($A18,[6]HISTOJANV23!$A$7:$AU$45,29,0)</f>
        <v>0</v>
      </c>
    </row>
    <row r="19" spans="1:18" x14ac:dyDescent="0.25">
      <c r="A19" s="1" t="s">
        <v>49</v>
      </c>
      <c r="B19" s="7">
        <f>IF(D19=0,0,VLOOKUP($A19,[6]HISTOJANV23!$A$6:$BO$40,10,0))</f>
        <v>1</v>
      </c>
      <c r="C19" s="1" t="str">
        <f>VLOOKUP(A19,[7]LISTADHERENT!A$5:H$60,3,0)</f>
        <v>MBOGNING TUGMA GUY</v>
      </c>
      <c r="D19" s="7">
        <f t="shared" si="2"/>
        <v>25000</v>
      </c>
      <c r="E19" s="7">
        <f>D19+VLOOKUP($A19,[6]HISTOJANV23!$A$7:$AU$40,45,0)+F19</f>
        <v>40000</v>
      </c>
      <c r="F19" s="7">
        <f>VLOOKUP($A19,[6]HISTOJANV23!$A$7:$AU$45,7,0)</f>
        <v>0</v>
      </c>
      <c r="G19" s="7" t="str">
        <f>VLOOKUP($A19,[6]HISTOJANV23!$A$7:$AU$45,8,0)</f>
        <v>BANQUE</v>
      </c>
      <c r="H19" s="7">
        <f>VLOOKUP($A19,[6]HISTOJANV23!$A$6:$AU$45,35,0)</f>
        <v>0</v>
      </c>
      <c r="I19" s="7">
        <f>VLOOKUP($A19,[6]HISTOJANV23!$A$7:$AU$45,38,0)</f>
        <v>0</v>
      </c>
      <c r="J19" s="7">
        <f>IF(I19=0,0,VLOOKUP($A19,[6]HISTOJANV23!$A$7:$AU$45,42,0))</f>
        <v>0</v>
      </c>
      <c r="K19" s="7">
        <f>VLOOKUP($A19,[6]HISTOJANV23!$A$7:$AU$45,41,0)</f>
        <v>0</v>
      </c>
      <c r="L19"/>
      <c r="M19" s="7">
        <f>VLOOKUP($A19,[6]HISTOJANV23!$A$7:$AU$45,16,0)</f>
        <v>0</v>
      </c>
      <c r="N19" s="7" t="str">
        <f>IF(M19&lt;&gt;0,VLOOKUP($A19,[6]HISTOJANV23!$A$7:$AU$45,8,0),"ECHEC")</f>
        <v>ECHEC</v>
      </c>
      <c r="O19" s="7">
        <f>IF(R19=0,0,VLOOKUP($A19,[6]HISTOJANV23!$A$7:$AU$45,32,0))</f>
        <v>0</v>
      </c>
      <c r="P19" s="7">
        <f>VLOOKUP($A19,[6]HISTOJANV23!$A$7:$AU$45,33,0)</f>
        <v>0</v>
      </c>
      <c r="Q19" s="7">
        <f t="shared" si="3"/>
        <v>0</v>
      </c>
      <c r="R19" s="7">
        <f>VLOOKUP($A19,[6]HISTOJANV23!$A$7:$AU$45,29,0)</f>
        <v>0</v>
      </c>
    </row>
    <row r="20" spans="1:18" x14ac:dyDescent="0.25">
      <c r="A20" s="1" t="s">
        <v>30</v>
      </c>
      <c r="B20" s="7">
        <f>IF(D20=0,0,VLOOKUP($A20,[6]HISTOJANV23!$A$6:$BO$40,10,0))</f>
        <v>1</v>
      </c>
      <c r="C20" s="1" t="str">
        <f>VLOOKUP(A20,[7]LISTADHERENT!A$5:H$60,3,0)</f>
        <v>NANGUEN MARTIN</v>
      </c>
      <c r="D20" s="7">
        <f t="shared" si="2"/>
        <v>25000</v>
      </c>
      <c r="E20" s="7">
        <f>D20+VLOOKUP($A20,[6]HISTOJANV23!$A$7:$AU$40,45,0)+F20</f>
        <v>40000</v>
      </c>
      <c r="F20" s="7">
        <f>VLOOKUP($A20,[6]HISTOJANV23!$A$7:$AU$45,7,0)</f>
        <v>0</v>
      </c>
      <c r="G20" s="7" t="str">
        <f>VLOOKUP($A20,[6]HISTOJANV23!$A$7:$AU$45,8,0)</f>
        <v>BANQUE</v>
      </c>
      <c r="H20" s="7">
        <f>VLOOKUP($A20,[6]HISTOJANV23!$A$6:$AU$45,35,0)</f>
        <v>0</v>
      </c>
      <c r="I20" s="7">
        <f>VLOOKUP($A20,[6]HISTOJANV23!$A$7:$AU$45,38,0)</f>
        <v>0</v>
      </c>
      <c r="J20" s="7">
        <f>IF(I20=0,0,VLOOKUP($A20,[6]HISTOJANV23!$A$7:$AU$45,42,0))</f>
        <v>0</v>
      </c>
      <c r="K20" s="7">
        <f>VLOOKUP($A20,[6]HISTOJANV23!$A$7:$AU$45,41,0)</f>
        <v>0</v>
      </c>
      <c r="L20"/>
      <c r="M20" s="7">
        <f>VLOOKUP($A20,[6]HISTOJANV23!$A$7:$AU$45,16,0)</f>
        <v>0</v>
      </c>
      <c r="N20" s="7" t="str">
        <f>IF(M20&lt;&gt;0,VLOOKUP($A20,[6]HISTOJANV23!$A$7:$AU$45,8,0),"ECHEC")</f>
        <v>ECHEC</v>
      </c>
      <c r="O20" s="7">
        <f>IF(R20=0,0,VLOOKUP($A20,[6]HISTOJANV23!$A$7:$AU$45,32,0))</f>
        <v>0</v>
      </c>
      <c r="P20" s="7">
        <f>VLOOKUP($A20,[6]HISTOJANV23!$A$7:$AU$45,33,0)</f>
        <v>0</v>
      </c>
      <c r="Q20" s="7">
        <f t="shared" si="3"/>
        <v>0</v>
      </c>
      <c r="R20" s="7">
        <f>VLOOKUP($A20,[6]HISTOJANV23!$A$7:$AU$45,29,0)</f>
        <v>0</v>
      </c>
    </row>
    <row r="21" spans="1:18" x14ac:dyDescent="0.25">
      <c r="A21" s="1" t="s">
        <v>20</v>
      </c>
      <c r="B21" s="7">
        <f>IF(D21=0,0,VLOOKUP($A21,[6]HISTOJANV23!$A$6:$BO$40,10,0))</f>
        <v>1</v>
      </c>
      <c r="C21" s="1" t="str">
        <f>VLOOKUP(A21,[7]LISTADHERENT!A$5:H$60,3,0)</f>
        <v>NANKAM APPOLINAIRE</v>
      </c>
      <c r="D21" s="7">
        <f t="shared" si="2"/>
        <v>25000</v>
      </c>
      <c r="E21" s="7">
        <f>D21+VLOOKUP($A21,[6]HISTOJANV23!$A$7:$AU$40,45,0)+F21</f>
        <v>40000</v>
      </c>
      <c r="F21" s="7">
        <f>VLOOKUP($A21,[6]HISTOJANV23!$A$7:$AU$45,7,0)</f>
        <v>0</v>
      </c>
      <c r="G21" s="7" t="str">
        <f>VLOOKUP($A21,[6]HISTOJANV23!$A$7:$AU$45,8,0)</f>
        <v>BANQUE</v>
      </c>
      <c r="H21" s="7">
        <f>VLOOKUP($A21,[6]HISTOJANV23!$A$6:$AU$45,35,0)</f>
        <v>0</v>
      </c>
      <c r="I21" s="7">
        <f>VLOOKUP($A21,[6]HISTOJANV23!$A$7:$AU$45,38,0)</f>
        <v>0</v>
      </c>
      <c r="J21" s="7">
        <f>IF(I21=0,0,VLOOKUP($A21,[6]HISTOJANV23!$A$7:$AU$45,42,0))</f>
        <v>0</v>
      </c>
      <c r="K21" s="7">
        <f>VLOOKUP($A21,[6]HISTOJANV23!$A$7:$AU$45,41,0)</f>
        <v>0</v>
      </c>
      <c r="L21"/>
      <c r="M21" s="7">
        <f>VLOOKUP($A21,[6]HISTOJANV23!$A$7:$AU$45,16,0)</f>
        <v>0</v>
      </c>
      <c r="N21" s="7" t="str">
        <f>IF(M21&lt;&gt;0,VLOOKUP($A21,[6]HISTOJANV23!$A$7:$AU$45,8,0),"ECHEC")</f>
        <v>ECHEC</v>
      </c>
      <c r="O21" s="7">
        <f>IF(R21=0,0,VLOOKUP($A21,[6]HISTOJANV23!$A$7:$AU$45,32,0))</f>
        <v>0</v>
      </c>
      <c r="P21" s="7">
        <f>VLOOKUP($A21,[6]HISTOJANV23!$A$7:$AU$45,33,0)</f>
        <v>0</v>
      </c>
      <c r="Q21" s="7">
        <f t="shared" si="3"/>
        <v>0</v>
      </c>
      <c r="R21" s="7">
        <f>VLOOKUP($A21,[6]HISTOJANV23!$A$7:$AU$45,29,0)</f>
        <v>0</v>
      </c>
    </row>
    <row r="22" spans="1:18" x14ac:dyDescent="0.25">
      <c r="A22" s="1" t="s">
        <v>21</v>
      </c>
      <c r="B22" s="7">
        <f>IF(D22=0,0,VLOOKUP($A22,[6]HISTOJANV23!$A$6:$BO$40,10,0))</f>
        <v>1</v>
      </c>
      <c r="C22" s="1" t="str">
        <f>VLOOKUP(A22,[7]LISTADHERENT!A$5:H$60,3,0)</f>
        <v>NDJOMO ETIENNE</v>
      </c>
      <c r="D22" s="7">
        <f t="shared" si="2"/>
        <v>25000</v>
      </c>
      <c r="E22" s="7">
        <f>D22+VLOOKUP($A22,[6]HISTOJANV23!$A$7:$AU$40,45,0)+F22</f>
        <v>50000</v>
      </c>
      <c r="F22" s="7">
        <f>VLOOKUP($A22,[6]HISTOJANV23!$A$7:$AU$45,7,0)</f>
        <v>0</v>
      </c>
      <c r="G22" s="7" t="str">
        <f>VLOOKUP($A22,[6]HISTOJANV23!$A$7:$AU$45,8,0)</f>
        <v>BANQUE</v>
      </c>
      <c r="H22" s="7">
        <f>VLOOKUP($A22,[6]HISTOJANV23!$A$6:$AU$45,35,0)</f>
        <v>0</v>
      </c>
      <c r="I22" s="7">
        <f>VLOOKUP($A22,[6]HISTOJANV23!$A$7:$AU$45,38,0)</f>
        <v>0</v>
      </c>
      <c r="J22" s="7">
        <f>IF(I22=0,0,VLOOKUP($A22,[6]HISTOJANV23!$A$7:$AU$45,42,0))</f>
        <v>0</v>
      </c>
      <c r="K22" s="7">
        <f>VLOOKUP($A22,[6]HISTOJANV23!$A$7:$AU$45,41,0)</f>
        <v>0</v>
      </c>
      <c r="L22"/>
      <c r="M22" s="7">
        <f>VLOOKUP($A22,[6]HISTOJANV23!$A$7:$AU$45,16,0)</f>
        <v>0</v>
      </c>
      <c r="N22" s="7" t="str">
        <f>IF(M22&lt;&gt;0,VLOOKUP($A22,[6]HISTOJANV23!$A$7:$AU$45,8,0),"ECHEC")</f>
        <v>ECHEC</v>
      </c>
      <c r="O22" s="7">
        <f>IF(R22=0,0,VLOOKUP($A22,[6]HISTOJANV23!$A$7:$AU$45,32,0))</f>
        <v>0</v>
      </c>
      <c r="P22" s="7">
        <f>VLOOKUP($A22,[6]HISTOJANV23!$A$7:$AU$45,33,0)</f>
        <v>0</v>
      </c>
      <c r="Q22" s="7">
        <f t="shared" si="3"/>
        <v>0</v>
      </c>
      <c r="R22" s="7">
        <f>VLOOKUP($A22,[6]HISTOJANV23!$A$7:$AU$45,29,0)</f>
        <v>0</v>
      </c>
    </row>
    <row r="23" spans="1:18" x14ac:dyDescent="0.25">
      <c r="A23" s="1" t="s">
        <v>22</v>
      </c>
      <c r="B23" s="7">
        <f>IF(D23=0,0,VLOOKUP($A23,[6]HISTOJANV23!$A$6:$BO$40,10,0))</f>
        <v>1</v>
      </c>
      <c r="C23" s="1" t="str">
        <f>VLOOKUP(A23,[7]LISTADHERENT!A$5:H$60,3,0)</f>
        <v>NGONDIEP CLAUDE</v>
      </c>
      <c r="D23" s="7">
        <f t="shared" si="2"/>
        <v>25000</v>
      </c>
      <c r="E23" s="7">
        <f>D23+VLOOKUP($A23,[6]HISTOJANV23!$A$7:$AU$40,45,0)+F23</f>
        <v>40000</v>
      </c>
      <c r="F23" s="7">
        <f>VLOOKUP($A23,[6]HISTOJANV23!$A$7:$AU$45,7,0)</f>
        <v>0</v>
      </c>
      <c r="G23" s="7" t="str">
        <f>VLOOKUP($A23,[6]HISTOJANV23!$A$7:$AU$45,8,0)</f>
        <v>BANQUE</v>
      </c>
      <c r="H23" s="7">
        <f>VLOOKUP($A23,[6]HISTOJANV23!$A$6:$AU$45,35,0)</f>
        <v>25000</v>
      </c>
      <c r="I23" s="7">
        <f>VLOOKUP($A23,[6]HISTOJANV23!$A$7:$AU$45,38,0)</f>
        <v>1000</v>
      </c>
      <c r="J23" s="7" t="str">
        <f>IF(I23=0,0,VLOOKUP($A23,[6]HISTOJANV23!$A$7:$AU$45,42,0))</f>
        <v>BANQUE</v>
      </c>
      <c r="K23" s="7">
        <f>VLOOKUP($A23,[6]HISTOJANV23!$A$7:$AU$45,41,0)</f>
        <v>0</v>
      </c>
      <c r="L23"/>
      <c r="M23" s="7">
        <f>VLOOKUP($A23,[6]HISTOJANV23!$A$7:$AU$45,16,0)</f>
        <v>0</v>
      </c>
      <c r="N23" s="7" t="str">
        <f>IF(M23&lt;&gt;0,VLOOKUP($A23,[6]HISTOJANV23!$A$7:$AU$45,8,0),"ECHEC")</f>
        <v>ECHEC</v>
      </c>
      <c r="O23" s="7">
        <f>IF(R23=0,0,VLOOKUP($A23,[6]HISTOJANV23!$A$7:$AU$45,32,0))</f>
        <v>0</v>
      </c>
      <c r="P23" s="7">
        <f>VLOOKUP($A23,[6]HISTOJANV23!$A$7:$AU$45,33,0)</f>
        <v>0</v>
      </c>
      <c r="Q23" s="7">
        <f t="shared" si="3"/>
        <v>0</v>
      </c>
      <c r="R23" s="7">
        <f>VLOOKUP($A23,[6]HISTOJANV23!$A$7:$AU$45,29,0)</f>
        <v>0</v>
      </c>
    </row>
    <row r="24" spans="1:18" x14ac:dyDescent="0.25">
      <c r="A24" s="1" t="s">
        <v>23</v>
      </c>
      <c r="B24" s="7">
        <f>IF(D24=0,0,VLOOKUP($A24,[6]HISTOJANV23!$A$6:$BO$40,10,0))</f>
        <v>1</v>
      </c>
      <c r="C24" s="1" t="str">
        <f>VLOOKUP(A24,[7]LISTADHERENT!A$5:H$60,3,0)</f>
        <v>NGUIEMEGNI MATHIEU BLAISE</v>
      </c>
      <c r="D24" s="7">
        <f t="shared" si="2"/>
        <v>25000</v>
      </c>
      <c r="E24" s="7">
        <f>D24+VLOOKUP($A24,[6]HISTOJANV23!$A$7:$AU$40,45,0)+F24</f>
        <v>40000</v>
      </c>
      <c r="F24" s="7">
        <f>VLOOKUP($A24,[6]HISTOJANV23!$A$7:$AU$45,7,0)</f>
        <v>0</v>
      </c>
      <c r="G24" s="7" t="str">
        <f>VLOOKUP($A24,[6]HISTOJANV23!$A$7:$AU$45,8,0)</f>
        <v>BANQUE</v>
      </c>
      <c r="H24" s="7">
        <f>VLOOKUP($A24,[6]HISTOJANV23!$A$6:$AU$45,35,0)</f>
        <v>30000</v>
      </c>
      <c r="I24" s="7">
        <f>VLOOKUP($A24,[6]HISTOJANV23!$A$7:$AU$45,38,0)</f>
        <v>1000</v>
      </c>
      <c r="J24" s="7" t="str">
        <f>IF(I24=0,0,VLOOKUP($A24,[6]HISTOJANV23!$A$7:$AU$45,42,0))</f>
        <v>BANQUE</v>
      </c>
      <c r="K24" s="7">
        <f>VLOOKUP($A24,[6]HISTOJANV23!$A$7:$AU$45,41,0)</f>
        <v>0</v>
      </c>
      <c r="L24"/>
      <c r="M24" s="7">
        <f>VLOOKUP($A24,[6]HISTOJANV23!$A$7:$AU$45,16,0)</f>
        <v>0</v>
      </c>
      <c r="N24" s="7" t="str">
        <f>IF(M24&lt;&gt;0,VLOOKUP($A24,[6]HISTOJANV23!$A$7:$AU$45,8,0),"ECHEC")</f>
        <v>ECHEC</v>
      </c>
      <c r="O24" s="7">
        <f>IF(R24=0,0,VLOOKUP($A24,[6]HISTOJANV23!$A$7:$AU$45,32,0))</f>
        <v>0</v>
      </c>
      <c r="P24" s="7">
        <f>VLOOKUP($A24,[6]HISTOJANV23!$A$7:$AU$45,33,0)</f>
        <v>0</v>
      </c>
      <c r="Q24" s="7">
        <f t="shared" si="3"/>
        <v>0</v>
      </c>
      <c r="R24" s="7">
        <f>VLOOKUP($A24,[6]HISTOJANV23!$A$7:$AU$45,29,0)</f>
        <v>0</v>
      </c>
    </row>
    <row r="25" spans="1:18" x14ac:dyDescent="0.25">
      <c r="A25" s="1" t="s">
        <v>24</v>
      </c>
      <c r="B25" s="7">
        <f>IF(D25=0,0,VLOOKUP($A25,[6]HISTOJANV23!$A$6:$BO$40,10,0))</f>
        <v>1</v>
      </c>
      <c r="C25" s="1" t="str">
        <f>VLOOKUP(A25,[7]LISTADHERENT!A$5:H$60,3,0)</f>
        <v>NKAMGANG JUSTIN DEJOLIE</v>
      </c>
      <c r="D25" s="7">
        <f t="shared" si="2"/>
        <v>25000</v>
      </c>
      <c r="E25" s="7">
        <f>D25+VLOOKUP($A25,[6]HISTOJANV23!$A$7:$AU$40,45,0)+F25</f>
        <v>40000</v>
      </c>
      <c r="F25" s="7">
        <f>VLOOKUP($A25,[6]HISTOJANV23!$A$7:$AU$45,7,0)</f>
        <v>0</v>
      </c>
      <c r="G25" s="7" t="str">
        <f>VLOOKUP($A25,[6]HISTOJANV23!$A$7:$AU$45,8,0)</f>
        <v>ESPECES</v>
      </c>
      <c r="H25" s="7">
        <f>VLOOKUP($A25,[6]HISTOJANV23!$A$6:$AU$45,35,0)</f>
        <v>60000</v>
      </c>
      <c r="I25" s="7">
        <f>VLOOKUP($A25,[6]HISTOJANV23!$A$7:$AU$45,38,0)</f>
        <v>2000</v>
      </c>
      <c r="J25" s="7" t="str">
        <f>IF(I25=0,0,VLOOKUP($A25,[6]HISTOJANV23!$A$7:$AU$45,42,0))</f>
        <v>BANQUE</v>
      </c>
      <c r="K25" s="7">
        <f>VLOOKUP($A25,[6]HISTOJANV23!$A$7:$AU$45,41,0)</f>
        <v>0</v>
      </c>
      <c r="L25"/>
      <c r="M25" s="7">
        <f>VLOOKUP($A25,[6]HISTOJANV23!$A$7:$AU$45,16,0)</f>
        <v>0</v>
      </c>
      <c r="N25" s="7" t="str">
        <f>IF(M25&lt;&gt;0,VLOOKUP($A25,[6]HISTOJANV23!$A$7:$AU$45,8,0),"ECHEC")</f>
        <v>ECHEC</v>
      </c>
      <c r="O25" s="7">
        <f>IF(R25=0,0,VLOOKUP($A25,[6]HISTOJANV23!$A$7:$AU$45,32,0))</f>
        <v>0</v>
      </c>
      <c r="P25" s="7">
        <f>VLOOKUP($A25,[6]HISTOJANV23!$A$7:$AU$45,33,0)</f>
        <v>0</v>
      </c>
      <c r="Q25" s="7">
        <f t="shared" si="3"/>
        <v>0</v>
      </c>
      <c r="R25" s="7">
        <f>VLOOKUP($A25,[6]HISTOJANV23!$A$7:$AU$45,29,0)</f>
        <v>0</v>
      </c>
    </row>
    <row r="26" spans="1:18" x14ac:dyDescent="0.25">
      <c r="A26" s="1" t="s">
        <v>103</v>
      </c>
      <c r="B26" s="7">
        <f>IF(D26=0,0,VLOOKUP($A26,[6]HISTOJANV23!$A$6:$BO$40,10,0))</f>
        <v>1</v>
      </c>
      <c r="C26" s="1" t="str">
        <f>VLOOKUP(A26,[7]LISTADHERENT!A$5:H$60,3,0)</f>
        <v>NOUBE ETIENNE</v>
      </c>
      <c r="D26" s="7">
        <f t="shared" si="2"/>
        <v>25000</v>
      </c>
      <c r="E26" s="7">
        <f>D26+VLOOKUP($A26,[6]HISTOJANV23!$A$7:$AU$40,45,0)+F26</f>
        <v>40000</v>
      </c>
      <c r="F26" s="7">
        <f>VLOOKUP($A26,[6]HISTOJANV23!$A$7:$AU$45,7,0)</f>
        <v>0</v>
      </c>
      <c r="G26" s="7" t="str">
        <f>VLOOKUP($A26,[6]HISTOJANV23!$A$7:$AU$45,8,0)</f>
        <v>BANQUE</v>
      </c>
      <c r="H26" s="7">
        <f>VLOOKUP($A26,[6]HISTOJANV23!$A$6:$AU$45,35,0)</f>
        <v>0</v>
      </c>
      <c r="I26" s="7">
        <f>VLOOKUP($A26,[6]HISTOJANV23!$A$7:$AU$45,38,0)</f>
        <v>0</v>
      </c>
      <c r="J26" s="7">
        <f>IF(I26=0,0,VLOOKUP($A26,[6]HISTOJANV23!$A$7:$AU$45,42,0))</f>
        <v>0</v>
      </c>
      <c r="K26" s="7">
        <f>VLOOKUP($A26,[6]HISTOJANV23!$A$7:$AU$45,41,0)</f>
        <v>0</v>
      </c>
      <c r="L26"/>
      <c r="M26" s="7">
        <f>VLOOKUP($A26,[6]HISTOJANV23!$A$7:$AU$45,16,0)</f>
        <v>0</v>
      </c>
      <c r="N26" s="7" t="str">
        <f>IF(M26&lt;&gt;0,VLOOKUP($A26,[6]HISTOJANV23!$A$7:$AU$45,8,0),"ECHEC")</f>
        <v>ECHEC</v>
      </c>
      <c r="O26" s="7">
        <f>IF(R26=0,0,VLOOKUP($A26,[6]HISTOJANV23!$A$7:$AU$45,32,0))</f>
        <v>0</v>
      </c>
      <c r="P26" s="7">
        <f>VLOOKUP($A26,[6]HISTOJANV23!$A$7:$AU$45,33,0)</f>
        <v>0</v>
      </c>
      <c r="Q26" s="7">
        <f t="shared" si="3"/>
        <v>0</v>
      </c>
      <c r="R26" s="7">
        <f>VLOOKUP($A26,[6]HISTOJANV23!$A$7:$AU$45,29,0)</f>
        <v>0</v>
      </c>
    </row>
    <row r="27" spans="1:18" x14ac:dyDescent="0.25">
      <c r="A27" s="1" t="s">
        <v>26</v>
      </c>
      <c r="B27" s="7">
        <f>IF(D27=0,0,VLOOKUP($A27,[6]HISTOJANV23!$A$6:$BO$40,10,0))</f>
        <v>1</v>
      </c>
      <c r="C27" s="1" t="str">
        <f>VLOOKUP(A27,[7]LISTADHERENT!A$5:H$60,3,0)</f>
        <v>PATEGO NJOSSU GUSTAVE</v>
      </c>
      <c r="D27" s="7">
        <f t="shared" si="2"/>
        <v>25000</v>
      </c>
      <c r="E27" s="7">
        <f>D27+VLOOKUP($A27,[6]HISTOJANV23!$A$7:$AU$40,45,0)+F27</f>
        <v>40000</v>
      </c>
      <c r="F27" s="7">
        <f>VLOOKUP($A27,[6]HISTOJANV23!$A$7:$AU$45,7,0)</f>
        <v>0</v>
      </c>
      <c r="G27" s="7" t="str">
        <f>VLOOKUP($A27,[6]HISTOJANV23!$A$7:$AU$45,8,0)</f>
        <v>BANQUE</v>
      </c>
      <c r="H27" s="7">
        <f>VLOOKUP($A27,[6]HISTOJANV23!$A$6:$AU$45,35,0)</f>
        <v>0</v>
      </c>
      <c r="I27" s="7">
        <f>VLOOKUP($A27,[6]HISTOJANV23!$A$7:$AU$45,38,0)</f>
        <v>0</v>
      </c>
      <c r="J27" s="7">
        <f>IF(I27=0,0,VLOOKUP($A27,[6]HISTOJANV23!$A$7:$AU$45,42,0))</f>
        <v>0</v>
      </c>
      <c r="K27" s="7">
        <f>VLOOKUP($A27,[6]HISTOJANV23!$A$7:$AU$45,41,0)</f>
        <v>0</v>
      </c>
      <c r="L27"/>
      <c r="M27" s="7">
        <f>VLOOKUP($A27,[6]HISTOJANV23!$A$7:$AU$45,16,0)</f>
        <v>0</v>
      </c>
      <c r="N27" s="7" t="str">
        <f>IF(M27&lt;&gt;0,VLOOKUP($A27,[6]HISTOJANV23!$A$7:$AU$45,8,0),"ECHEC")</f>
        <v>ECHEC</v>
      </c>
      <c r="O27" s="7">
        <f>IF(R27=0,0,VLOOKUP($A27,[6]HISTOJANV23!$A$7:$AU$45,32,0))</f>
        <v>0</v>
      </c>
      <c r="P27" s="7">
        <f>VLOOKUP($A27,[6]HISTOJANV23!$A$7:$AU$45,33,0)</f>
        <v>0</v>
      </c>
      <c r="Q27" s="7">
        <f t="shared" si="3"/>
        <v>0</v>
      </c>
      <c r="R27" s="7">
        <f>VLOOKUP($A27,[6]HISTOJANV23!$A$7:$AU$45,29,0)</f>
        <v>0</v>
      </c>
    </row>
    <row r="28" spans="1:18" x14ac:dyDescent="0.25">
      <c r="A28" s="1" t="s">
        <v>104</v>
      </c>
      <c r="B28" s="7">
        <f>IF(D28=0,0,VLOOKUP($A28,[6]HISTOJANV23!$A$6:$BO$40,10,0))</f>
        <v>1</v>
      </c>
      <c r="C28" s="1" t="str">
        <f>VLOOKUP(A28,[7]LISTADHERENT!A$5:H$60,3,0)</f>
        <v>SEUMO POLYCARPE</v>
      </c>
      <c r="D28" s="7">
        <f t="shared" si="2"/>
        <v>25000</v>
      </c>
      <c r="E28" s="7">
        <f>D28+VLOOKUP($A28,[6]HISTOJANV23!$A$7:$AU$40,45,0)+F28</f>
        <v>40000</v>
      </c>
      <c r="F28" s="7">
        <f>VLOOKUP($A28,[6]HISTOJANV23!$A$7:$AU$45,7,0)</f>
        <v>0</v>
      </c>
      <c r="G28" s="7" t="str">
        <f>VLOOKUP($A28,[6]HISTOJANV23!$A$7:$AU$45,8,0)</f>
        <v>BANQUE</v>
      </c>
      <c r="H28" s="7">
        <f>VLOOKUP($A28,[6]HISTOJANV23!$A$6:$AU$45,35,0)</f>
        <v>0</v>
      </c>
      <c r="I28" s="7">
        <f>VLOOKUP($A28,[6]HISTOJANV23!$A$7:$AU$45,38,0)</f>
        <v>0</v>
      </c>
      <c r="J28" s="7">
        <f>IF(I28=0,0,VLOOKUP($A28,[6]HISTOJANV23!$A$7:$AU$45,42,0))</f>
        <v>0</v>
      </c>
      <c r="K28" s="7">
        <f>VLOOKUP($A28,[6]HISTOJANV23!$A$7:$AU$45,41,0)</f>
        <v>0</v>
      </c>
      <c r="L28"/>
      <c r="M28" s="7">
        <f>VLOOKUP($A28,[6]HISTOJANV23!$A$7:$AU$45,16,0)</f>
        <v>0</v>
      </c>
      <c r="N28" s="7" t="str">
        <f>IF(M28&lt;&gt;0,VLOOKUP($A28,[6]HISTOJANV23!$A$7:$AU$45,8,0),"ECHEC")</f>
        <v>ECHEC</v>
      </c>
      <c r="O28" s="7">
        <f>IF(R28=0,0,VLOOKUP($A28,[6]HISTOJANV23!$A$7:$AU$45,32,0))</f>
        <v>0</v>
      </c>
      <c r="P28" s="7">
        <f>VLOOKUP($A28,[6]HISTOJANV23!$A$7:$AU$45,33,0)</f>
        <v>0</v>
      </c>
      <c r="Q28" s="7">
        <f t="shared" si="3"/>
        <v>0</v>
      </c>
      <c r="R28" s="7">
        <f>VLOOKUP($A28,[6]HISTOJANV23!$A$7:$AU$45,29,0)</f>
        <v>0</v>
      </c>
    </row>
    <row r="29" spans="1:18" x14ac:dyDescent="0.25">
      <c r="A29" s="1" t="s">
        <v>51</v>
      </c>
      <c r="B29" s="7">
        <f>IF(D29=0,0,VLOOKUP($A29,[6]HISTOJANV23!$A$6:$BO$40,10,0))</f>
        <v>1</v>
      </c>
      <c r="C29" s="1" t="str">
        <f>VLOOKUP(A29,[7]LISTADHERENT!A$5:H$60,3,0)</f>
        <v>SIME BRICE</v>
      </c>
      <c r="D29" s="7">
        <f t="shared" si="2"/>
        <v>25000</v>
      </c>
      <c r="E29" s="7">
        <f>D29+VLOOKUP($A29,[6]HISTOJANV23!$A$7:$AU$40,45,0)+F29</f>
        <v>40000</v>
      </c>
      <c r="F29" s="7">
        <f>VLOOKUP($A29,[6]HISTOJANV23!$A$7:$AU$45,7,0)</f>
        <v>0</v>
      </c>
      <c r="G29" s="7" t="str">
        <f>VLOOKUP($A29,[6]HISTOJANV23!$A$7:$AU$45,8,0)</f>
        <v>ESPECES</v>
      </c>
      <c r="H29" s="7">
        <f>VLOOKUP($A29,[6]HISTOJANV23!$A$6:$AU$45,35,0)</f>
        <v>0</v>
      </c>
      <c r="I29" s="7">
        <f>VLOOKUP($A29,[6]HISTOJANV23!$A$7:$AU$45,38,0)</f>
        <v>0</v>
      </c>
      <c r="J29" s="7">
        <f>IF(I29=0,0,VLOOKUP($A29,[6]HISTOJANV23!$A$7:$AU$45,42,0))</f>
        <v>0</v>
      </c>
      <c r="K29" s="7">
        <f>VLOOKUP($A29,[6]HISTOJANV23!$A$7:$AU$45,41,0)</f>
        <v>0</v>
      </c>
      <c r="L29"/>
      <c r="M29" s="7">
        <f>VLOOKUP($A29,[6]HISTOJANV23!$A$7:$AU$45,16,0)</f>
        <v>0</v>
      </c>
      <c r="N29" s="7" t="str">
        <f>IF(M29&lt;&gt;0,VLOOKUP($A29,[6]HISTOJANV23!$A$7:$AU$45,8,0),"ECHEC")</f>
        <v>ECHEC</v>
      </c>
      <c r="O29" s="7">
        <f>IF(R29=0,0,VLOOKUP($A29,[6]HISTOJANV23!$A$7:$AU$45,32,0))</f>
        <v>0</v>
      </c>
      <c r="P29" s="7">
        <f>VLOOKUP($A29,[6]HISTOJANV23!$A$7:$AU$45,33,0)</f>
        <v>0</v>
      </c>
      <c r="Q29" s="7">
        <f t="shared" si="3"/>
        <v>0</v>
      </c>
      <c r="R29" s="7">
        <f>VLOOKUP($A29,[6]HISTOJANV23!$A$7:$AU$45,29,0)</f>
        <v>0</v>
      </c>
    </row>
    <row r="30" spans="1:18" x14ac:dyDescent="0.25">
      <c r="A30" s="1" t="s">
        <v>29</v>
      </c>
      <c r="B30" s="7">
        <f>IF(D30=0,0,VLOOKUP($A30,[6]HISTOJANV23!$A$6:$BO$40,10,0))</f>
        <v>1</v>
      </c>
      <c r="C30" s="1" t="str">
        <f>VLOOKUP(A30,[7]LISTADHERENT!A$5:H$60,3,0)</f>
        <v>SIMO PIERRE</v>
      </c>
      <c r="D30" s="7">
        <f t="shared" si="2"/>
        <v>25000</v>
      </c>
      <c r="E30" s="7">
        <f>D30+VLOOKUP($A30,[6]HISTOJANV23!$A$7:$AU$40,45,0)+F30</f>
        <v>150000</v>
      </c>
      <c r="F30" s="7">
        <f>VLOOKUP($A30,[6]HISTOJANV23!$A$7:$AU$45,7,0)</f>
        <v>0</v>
      </c>
      <c r="G30" s="7" t="str">
        <f>VLOOKUP($A30,[6]HISTOJANV23!$A$7:$AU$45,8,0)</f>
        <v>BANQUE</v>
      </c>
      <c r="H30" s="7">
        <f>VLOOKUP($A30,[6]HISTOJANV23!$A$6:$AU$45,35,0)</f>
        <v>0</v>
      </c>
      <c r="I30" s="7">
        <f>VLOOKUP($A30,[6]HISTOJANV23!$A$7:$AU$45,38,0)</f>
        <v>0</v>
      </c>
      <c r="J30" s="7">
        <f>IF(I30=0,0,VLOOKUP($A30,[6]HISTOJANV23!$A$7:$AU$45,42,0))</f>
        <v>0</v>
      </c>
      <c r="K30" s="7">
        <f>VLOOKUP($A30,[6]HISTOJANV23!$A$7:$AU$45,41,0)</f>
        <v>0</v>
      </c>
      <c r="L30"/>
      <c r="M30" s="7">
        <f>VLOOKUP($A30,[6]HISTOJANV23!$A$7:$AU$45,16,0)</f>
        <v>0</v>
      </c>
      <c r="N30" s="7" t="str">
        <f>IF(M30&lt;&gt;0,VLOOKUP($A30,[6]HISTOJANV23!$A$7:$AU$45,8,0),"ECHEC")</f>
        <v>ECHEC</v>
      </c>
      <c r="O30" s="7">
        <f>IF(R30=0,0,VLOOKUP($A30,[6]HISTOJANV23!$A$7:$AU$45,32,0))</f>
        <v>0</v>
      </c>
      <c r="P30" s="7">
        <f>VLOOKUP($A30,[6]HISTOJANV23!$A$7:$AU$45,33,0)</f>
        <v>0</v>
      </c>
      <c r="Q30" s="7">
        <f t="shared" si="3"/>
        <v>0</v>
      </c>
      <c r="R30" s="7">
        <f>VLOOKUP($A30,[6]HISTOJANV23!$A$7:$AU$45,29,0)</f>
        <v>0</v>
      </c>
    </row>
    <row r="31" spans="1:18" x14ac:dyDescent="0.25">
      <c r="A31" s="1" t="s">
        <v>31</v>
      </c>
      <c r="B31" s="7">
        <f>IF(D31=0,0,VLOOKUP($A31,[6]HISTOJANV23!$A$6:$BO$40,10,0))</f>
        <v>1</v>
      </c>
      <c r="C31" s="1" t="str">
        <f>VLOOKUP(A31,[7]LISTADHERENT!A$5:H$60,3,0)</f>
        <v>TCHOUAMOU MATHIEU</v>
      </c>
      <c r="D31" s="7">
        <f t="shared" si="2"/>
        <v>25000</v>
      </c>
      <c r="E31" s="7">
        <f>D31+VLOOKUP($A31,[6]HISTOJANV23!$A$7:$AU$40,45,0)+F31</f>
        <v>40000</v>
      </c>
      <c r="F31" s="7">
        <f>VLOOKUP($A31,[6]HISTOJANV23!$A$7:$AU$45,7,0)</f>
        <v>0</v>
      </c>
      <c r="G31" s="7" t="str">
        <f>VLOOKUP($A31,[6]HISTOJANV23!$A$7:$AU$45,8,0)</f>
        <v>BANQUE</v>
      </c>
      <c r="H31" s="7">
        <f>VLOOKUP($A31,[6]HISTOJANV23!$A$6:$AU$45,35,0)</f>
        <v>0</v>
      </c>
      <c r="I31" s="7">
        <f>VLOOKUP($A31,[6]HISTOJANV23!$A$7:$AU$45,38,0)</f>
        <v>0</v>
      </c>
      <c r="J31" s="7">
        <f>IF(I31=0,0,VLOOKUP($A31,[6]HISTOJANV23!$A$7:$AU$45,42,0))</f>
        <v>0</v>
      </c>
      <c r="K31" s="7">
        <f>VLOOKUP($A31,[6]HISTOJANV23!$A$7:$AU$45,41,0)</f>
        <v>0</v>
      </c>
      <c r="L31"/>
      <c r="M31" s="7">
        <f>VLOOKUP($A31,[6]HISTOJANV23!$A$7:$AU$45,16,0)</f>
        <v>0</v>
      </c>
      <c r="N31" s="7" t="str">
        <f>IF(M31&lt;&gt;0,VLOOKUP($A31,[6]HISTOJANV23!$A$7:$AU$45,8,0),"ECHEC")</f>
        <v>ECHEC</v>
      </c>
      <c r="O31" s="7">
        <f>IF(R31=0,0,VLOOKUP($A31,[6]HISTOJANV23!$A$7:$AU$45,32,0))</f>
        <v>0</v>
      </c>
      <c r="P31" s="7">
        <f>VLOOKUP($A31,[6]HISTOJANV23!$A$7:$AU$45,33,0)</f>
        <v>0</v>
      </c>
      <c r="Q31" s="7">
        <f t="shared" si="3"/>
        <v>0</v>
      </c>
      <c r="R31" s="7">
        <f>VLOOKUP($A31,[6]HISTOJANV23!$A$7:$AU$45,29,0)</f>
        <v>0</v>
      </c>
    </row>
    <row r="32" spans="1:18" x14ac:dyDescent="0.25">
      <c r="A32" s="1" t="s">
        <v>105</v>
      </c>
      <c r="B32" s="7">
        <f>IF(D32=0,0,VLOOKUP($A32,[6]HISTOJANV23!$A$6:$BO$40,10,0))</f>
        <v>1</v>
      </c>
      <c r="C32" s="1" t="str">
        <f>VLOOKUP(A32,[7]LISTADHERENT!A$5:H$60,3,0)</f>
        <v>TCHOUTOU NANA CLAUDE</v>
      </c>
      <c r="D32" s="7">
        <f t="shared" si="2"/>
        <v>25000</v>
      </c>
      <c r="E32" s="7">
        <f>D32+VLOOKUP($A32,[6]HISTOJANV23!$A$7:$AU$40,45,0)+F32</f>
        <v>40000</v>
      </c>
      <c r="F32" s="7">
        <f>VLOOKUP($A32,[6]HISTOJANV23!$A$7:$AU$45,7,0)</f>
        <v>0</v>
      </c>
      <c r="G32" s="7" t="str">
        <f>VLOOKUP($A32,[6]HISTOJANV23!$A$7:$AU$45,8,0)</f>
        <v>ESPECES</v>
      </c>
      <c r="H32" s="7">
        <f>VLOOKUP($A32,[6]HISTOJANV23!$A$6:$AU$45,35,0)</f>
        <v>0</v>
      </c>
      <c r="I32" s="7">
        <f>VLOOKUP($A32,[6]HISTOJANV23!$A$7:$AU$45,38,0)</f>
        <v>0</v>
      </c>
      <c r="J32" s="7">
        <f>IF(I32=0,0,VLOOKUP($A32,[6]HISTOJANV23!$A$7:$AU$45,42,0))</f>
        <v>0</v>
      </c>
      <c r="K32" s="7">
        <f>VLOOKUP($A32,[6]HISTOJANV23!$A$7:$AU$45,41,0)</f>
        <v>0</v>
      </c>
      <c r="L32"/>
      <c r="M32" s="7">
        <f>VLOOKUP($A32,[6]HISTOJANV23!$A$7:$AU$45,16,0)</f>
        <v>0</v>
      </c>
      <c r="N32" s="7" t="str">
        <f>IF(M32&lt;&gt;0,VLOOKUP($A32,[6]HISTOJANV23!$A$7:$AU$45,8,0),"ECHEC")</f>
        <v>ECHEC</v>
      </c>
      <c r="O32" s="7">
        <f>IF(R32=0,0,VLOOKUP($A32,[6]HISTOJANV23!$A$7:$AU$45,32,0))</f>
        <v>0</v>
      </c>
      <c r="P32" s="7">
        <f>VLOOKUP($A32,[6]HISTOJANV23!$A$7:$AU$45,33,0)</f>
        <v>0</v>
      </c>
      <c r="Q32" s="7">
        <f t="shared" si="3"/>
        <v>0</v>
      </c>
      <c r="R32" s="7">
        <f>VLOOKUP($A32,[6]HISTOJANV23!$A$7:$AU$45,29,0)</f>
        <v>0</v>
      </c>
    </row>
    <row r="33" spans="1:18" x14ac:dyDescent="0.25">
      <c r="A33" s="1" t="s">
        <v>106</v>
      </c>
      <c r="B33" s="7">
        <f>IF(D33=0,0,VLOOKUP($A33,[6]HISTOJANV23!$A$6:$BO$40,10,0))</f>
        <v>1</v>
      </c>
      <c r="C33" s="1" t="str">
        <f>VLOOKUP(A33,[7]LISTADHERENT!A$5:H$60,3,0)</f>
        <v>YANTCHOU GERVAIS</v>
      </c>
      <c r="D33" s="7">
        <f t="shared" ref="D33" si="4">IF(G33="ECHEC",0,B$3)</f>
        <v>25000</v>
      </c>
      <c r="E33" s="7">
        <f>D33+VLOOKUP($A33,[6]HISTOJANV23!$A$7:$AU$40,45,0)+F33</f>
        <v>40000</v>
      </c>
      <c r="F33" s="7">
        <f>VLOOKUP($A33,[6]HISTOJANV23!$A$7:$AU$45,7,0)</f>
        <v>0</v>
      </c>
      <c r="G33" s="7" t="str">
        <f>VLOOKUP($A33,[6]HISTOJANV23!$A$7:$AU$45,8,0)</f>
        <v>ESPECES</v>
      </c>
      <c r="H33" s="7">
        <f>VLOOKUP($A33,[6]HISTOJANV23!$A$6:$AU$45,35,0)</f>
        <v>0</v>
      </c>
      <c r="I33" s="7">
        <f>VLOOKUP($A33,[6]HISTOJANV23!$A$7:$AU$45,38,0)</f>
        <v>0</v>
      </c>
      <c r="J33" s="7">
        <f>IF(I33=0,0,VLOOKUP($A33,[6]HISTOJANV23!$A$7:$AU$45,42,0))</f>
        <v>0</v>
      </c>
      <c r="K33" s="7">
        <f>VLOOKUP($A33,[6]HISTOJANV23!$A$7:$AU$45,41,0)</f>
        <v>0</v>
      </c>
      <c r="L33"/>
      <c r="M33" s="7">
        <f>VLOOKUP($A33,[6]HISTOJANV23!$A$7:$AU$45,16,0)</f>
        <v>0</v>
      </c>
      <c r="N33" s="7" t="str">
        <f>IF(M33&lt;&gt;0,VLOOKUP($A33,[6]HISTOJANV23!$A$7:$AU$45,8,0),"ECHEC")</f>
        <v>ECHEC</v>
      </c>
      <c r="O33" s="7">
        <f>IF(R33=0,0,VLOOKUP($A33,[6]HISTOJANV23!$A$7:$AU$45,32,0))</f>
        <v>0</v>
      </c>
      <c r="P33" s="7">
        <f>VLOOKUP($A33,[6]HISTOJANV23!$A$7:$AU$45,33,0)</f>
        <v>0</v>
      </c>
      <c r="Q33" s="7">
        <f t="shared" ref="Q33" si="5">IF(R33=0,0,($C$3-R33))</f>
        <v>0</v>
      </c>
      <c r="R33" s="7">
        <f>VLOOKUP($A33,[6]HISTOJANV23!$A$7:$AU$45,29,0)</f>
        <v>0</v>
      </c>
    </row>
    <row r="34" spans="1:18" x14ac:dyDescent="0.25">
      <c r="A34" s="1" t="s">
        <v>32</v>
      </c>
      <c r="B34" s="7">
        <f>IF(D34=0,0,VLOOKUP($A34,[6]HISTOJANV23!$A$6:$BO$40,10,0))</f>
        <v>1</v>
      </c>
      <c r="C34" s="1" t="str">
        <f>VLOOKUP(A34,[7]LISTADHERENT!A$5:H$60,3,0)</f>
        <v>YEPMOU JEAN JACQUES</v>
      </c>
      <c r="D34" s="7">
        <f t="shared" si="2"/>
        <v>25000</v>
      </c>
      <c r="E34" s="7">
        <f>D34+VLOOKUP($A34,[6]HISTOJANV23!$A$7:$AU$40,45,0)+F34</f>
        <v>40000</v>
      </c>
      <c r="F34" s="7">
        <f>VLOOKUP($A34,[6]HISTOJANV23!$A$7:$AU$45,7,0)</f>
        <v>0</v>
      </c>
      <c r="G34" s="7" t="str">
        <f>VLOOKUP($A34,[6]HISTOJANV23!$A$7:$AU$45,8,0)</f>
        <v>BANQUE</v>
      </c>
      <c r="H34" s="7">
        <f>VLOOKUP($A34,[6]HISTOJANV23!$A$6:$AU$45,35,0)</f>
        <v>0</v>
      </c>
      <c r="I34" s="7">
        <f>VLOOKUP($A34,[6]HISTOJANV23!$A$7:$AU$45,38,0)</f>
        <v>0</v>
      </c>
      <c r="J34" s="7">
        <f>IF(I34=0,0,VLOOKUP($A34,[6]HISTOJANV23!$A$7:$AU$45,42,0))</f>
        <v>0</v>
      </c>
      <c r="K34" s="7">
        <f>VLOOKUP($A34,[6]HISTOJANV23!$A$7:$AU$45,41,0)</f>
        <v>0</v>
      </c>
      <c r="L34"/>
      <c r="M34" s="7">
        <f>VLOOKUP($A34,[6]HISTOJANV23!$A$7:$AU$45,16,0)</f>
        <v>0</v>
      </c>
      <c r="N34" s="7" t="str">
        <f>IF(M34&lt;&gt;0,VLOOKUP($A34,[6]HISTOJANV23!$A$7:$AU$45,8,0),"ECHEC")</f>
        <v>ECHEC</v>
      </c>
      <c r="O34" s="7">
        <f>IF(R34=0,0,VLOOKUP($A34,[6]HISTOJANV23!$A$7:$AU$45,32,0))</f>
        <v>0</v>
      </c>
      <c r="P34" s="7">
        <f>VLOOKUP($A34,[6]HISTOJANV23!$A$7:$AU$45,33,0)</f>
        <v>0</v>
      </c>
      <c r="Q34" s="7">
        <f t="shared" si="3"/>
        <v>0</v>
      </c>
      <c r="R34" s="7">
        <f>VLOOKUP($A34,[6]HISTOJANV23!$A$7:$AU$45,29,0)</f>
        <v>0</v>
      </c>
    </row>
    <row r="35" spans="1:18" x14ac:dyDescent="0.25">
      <c r="A35" s="1" t="s">
        <v>33</v>
      </c>
      <c r="B35" s="7">
        <f>IF(D35=0,0,VLOOKUP($A35,[6]HISTOJANV23!$A$6:$BO$40,10,0))</f>
        <v>1</v>
      </c>
      <c r="C35" s="1" t="str">
        <f>VLOOKUP(A35,[7]LISTADHERENT!A$5:H$60,3,0)</f>
        <v>YOUMBI EMMANUEL</v>
      </c>
      <c r="D35" s="7">
        <f t="shared" si="2"/>
        <v>25000</v>
      </c>
      <c r="E35" s="7">
        <f>D35+VLOOKUP($A35,[6]HISTOJANV23!$A$7:$AU$40,45,0)+F35</f>
        <v>40000</v>
      </c>
      <c r="F35" s="7">
        <f>VLOOKUP($A35,[6]HISTOJANV23!$A$7:$AU$45,7,0)</f>
        <v>0</v>
      </c>
      <c r="G35" s="7" t="str">
        <f>VLOOKUP($A35,[6]HISTOJANV23!$A$7:$AU$45,8,0)</f>
        <v>BANQUE</v>
      </c>
      <c r="H35" s="7">
        <f>VLOOKUP($A35,[6]HISTOJANV23!$A$6:$AU$45,35,0)</f>
        <v>0</v>
      </c>
      <c r="I35" s="7">
        <f>VLOOKUP($A35,[6]HISTOJANV23!$A$7:$AU$45,38,0)</f>
        <v>0</v>
      </c>
      <c r="J35" s="7">
        <f>IF(I35=0,0,VLOOKUP($A35,[6]HISTOJANV23!$A$7:$AU$45,42,0))</f>
        <v>0</v>
      </c>
      <c r="K35" s="7">
        <f>VLOOKUP($A35,[6]HISTOJANV23!$A$7:$AU$45,41,0)</f>
        <v>0</v>
      </c>
      <c r="L35"/>
      <c r="M35" s="7">
        <f>VLOOKUP($A35,[6]HISTOJANV23!$A$7:$AU$45,16,0)</f>
        <v>0</v>
      </c>
      <c r="N35" s="7" t="str">
        <f>IF(M35&lt;&gt;0,VLOOKUP($A35,[6]HISTOJANV23!$A$7:$AU$45,8,0),"ECHEC")</f>
        <v>ECHEC</v>
      </c>
      <c r="O35" s="7">
        <f>IF(R35=0,0,VLOOKUP($A35,[6]HISTOJANV23!$A$7:$AU$45,32,0))</f>
        <v>0</v>
      </c>
      <c r="P35" s="7">
        <f>VLOOKUP($A35,[6]HISTOJANV23!$A$7:$AU$45,33,0)</f>
        <v>0</v>
      </c>
      <c r="Q35" s="7">
        <f t="shared" si="3"/>
        <v>0</v>
      </c>
      <c r="R35" s="7">
        <f>VLOOKUP($A35,[6]HISTOJANV23!$A$7:$AU$45,29,0)</f>
        <v>0</v>
      </c>
    </row>
    <row r="36" spans="1:18" x14ac:dyDescent="0.25">
      <c r="A36" s="1"/>
    </row>
    <row r="37" spans="1:18" ht="18" x14ac:dyDescent="0.25">
      <c r="A37" s="1" t="s">
        <v>94</v>
      </c>
      <c r="B37" s="8">
        <f>SUM(B6:B36)</f>
        <v>30</v>
      </c>
      <c r="I37" s="9"/>
    </row>
    <row r="38" spans="1:18" ht="18" x14ac:dyDescent="0.25">
      <c r="A38" s="1" t="s">
        <v>93</v>
      </c>
      <c r="B38" s="19">
        <f>COUNT(D6:D35)</f>
        <v>30</v>
      </c>
      <c r="C38" s="8"/>
      <c r="D38" s="8">
        <f>SUM(D6:D37)</f>
        <v>750000</v>
      </c>
      <c r="E38" s="8">
        <f>SUM(E6:E37)</f>
        <v>1444000</v>
      </c>
      <c r="F38" s="8">
        <f>SUM(F6:F37)</f>
        <v>0</v>
      </c>
      <c r="G38" s="8"/>
      <c r="H38" s="8">
        <f t="shared" ref="H38:R38" si="6">SUM(H6:H37)</f>
        <v>235000</v>
      </c>
      <c r="I38" s="8">
        <f t="shared" si="6"/>
        <v>9000</v>
      </c>
      <c r="J38" s="8"/>
      <c r="K38" s="8"/>
      <c r="L38" s="8">
        <f t="shared" si="6"/>
        <v>0</v>
      </c>
      <c r="M38" s="8">
        <f t="shared" si="6"/>
        <v>0</v>
      </c>
      <c r="N38" s="8">
        <f t="shared" si="6"/>
        <v>0</v>
      </c>
      <c r="O38" s="8">
        <f t="shared" si="6"/>
        <v>0</v>
      </c>
      <c r="P38" s="8">
        <f t="shared" si="6"/>
        <v>0</v>
      </c>
      <c r="Q38" s="8">
        <f t="shared" si="6"/>
        <v>567000</v>
      </c>
      <c r="R38" s="8">
        <f t="shared" si="6"/>
        <v>85000</v>
      </c>
    </row>
    <row r="39" spans="1:18" s="2" customFormat="1" ht="29.25" x14ac:dyDescent="0.25">
      <c r="B39"/>
      <c r="C39"/>
      <c r="D39"/>
      <c r="E39"/>
      <c r="F39"/>
      <c r="G39"/>
      <c r="H39"/>
      <c r="I39" s="9"/>
      <c r="J39" s="3"/>
      <c r="K39" s="3"/>
      <c r="L39" s="3"/>
      <c r="N39" s="4" t="s">
        <v>80</v>
      </c>
      <c r="O39" s="4" t="s">
        <v>95</v>
      </c>
      <c r="P39" s="3"/>
    </row>
    <row r="40" spans="1:18" s="2" customFormat="1" ht="29.25" x14ac:dyDescent="0.25">
      <c r="D40" s="4" t="s">
        <v>5</v>
      </c>
      <c r="E40" s="4" t="s">
        <v>7</v>
      </c>
      <c r="F40"/>
      <c r="G40" s="4" t="s">
        <v>40</v>
      </c>
      <c r="H40" s="4" t="s">
        <v>44</v>
      </c>
      <c r="I40" s="4" t="s">
        <v>46</v>
      </c>
      <c r="J40" s="4" t="s">
        <v>47</v>
      </c>
      <c r="K40" s="4"/>
      <c r="L40" s="8" t="s">
        <v>53</v>
      </c>
      <c r="M40" s="8">
        <f>D44+G44+R38</f>
        <v>835000</v>
      </c>
      <c r="N40" s="4"/>
      <c r="O40"/>
      <c r="P40" s="4"/>
    </row>
    <row r="41" spans="1:18" s="2" customFormat="1" ht="18" x14ac:dyDescent="0.25">
      <c r="D41" s="8">
        <f>SUMIFS(D6:D37,G6:G37,"ESPECES")</f>
        <v>125000</v>
      </c>
      <c r="E41" s="8">
        <f>SUMIFS(E6:E37,G6:G37,"ESPECES")</f>
        <v>264000</v>
      </c>
      <c r="F41" s="8" t="s">
        <v>36</v>
      </c>
      <c r="G41" s="8">
        <f>SUMIFS(M6:M35,N6:N35,"ESPECES")</f>
        <v>0</v>
      </c>
      <c r="H41" s="8">
        <f>SUMIFS(H6:H37,J6:J37,"ESPECES")</f>
        <v>0</v>
      </c>
      <c r="I41" s="8">
        <f>SUMIFS(Q6:Q37,O6:O37,"ESPECES")</f>
        <v>0</v>
      </c>
      <c r="J41" s="8">
        <f>D41+G41-H41-I41</f>
        <v>125000</v>
      </c>
      <c r="K41" s="8"/>
      <c r="L41" s="8" t="s">
        <v>84</v>
      </c>
      <c r="M41" s="8">
        <f>C3*COUNTIF(Q6:Q37,"&gt;0")</f>
        <v>652000</v>
      </c>
      <c r="N41" s="8">
        <f>D3</f>
        <v>2</v>
      </c>
      <c r="O41" s="8">
        <f>COUNTIF(Q6:Q35,"&gt;0")</f>
        <v>2</v>
      </c>
      <c r="P41" s="8"/>
    </row>
    <row r="42" spans="1:18" s="2" customFormat="1" ht="18" x14ac:dyDescent="0.25">
      <c r="D42" s="8">
        <f>SUMIFS(D6:D37,G6:G37,"BANQUE")</f>
        <v>625000</v>
      </c>
      <c r="E42" s="8">
        <f>SUMIFS(E6:E38,G6:G38,"BANQUE")</f>
        <v>1180000</v>
      </c>
      <c r="F42" s="8" t="s">
        <v>37</v>
      </c>
      <c r="G42" s="8">
        <f>SUMIFS(M6:M35,N6:N35,"BANQUE")</f>
        <v>0</v>
      </c>
      <c r="H42" s="8">
        <f>SUMIFS(H6:H37,J6:J37,"BANQUE")</f>
        <v>235000</v>
      </c>
      <c r="I42" s="8">
        <f>SUMIFS(Q6:Q37,O6:O37,"BANQUE")</f>
        <v>567000</v>
      </c>
      <c r="J42" s="8">
        <f>D42+G42-H42-I42</f>
        <v>-177000</v>
      </c>
      <c r="K42" s="8"/>
      <c r="M42" s="8"/>
      <c r="N42" s="8"/>
      <c r="O42" s="8"/>
      <c r="P42" s="8"/>
    </row>
    <row r="43" spans="1:18" s="2" customFormat="1" ht="18" x14ac:dyDescent="0.25">
      <c r="D43" s="8"/>
      <c r="E43" s="8"/>
      <c r="F43" s="8"/>
      <c r="G43" s="8"/>
      <c r="H43" s="8"/>
      <c r="I43" s="8"/>
      <c r="K43" s="8"/>
      <c r="L43" s="8" t="s">
        <v>52</v>
      </c>
      <c r="M43" s="8">
        <f>M40-M41</f>
        <v>183000</v>
      </c>
      <c r="N43" s="8"/>
      <c r="O43" s="8"/>
      <c r="P43" s="8"/>
    </row>
    <row r="44" spans="1:18" s="2" customFormat="1" ht="18" x14ac:dyDescent="0.25">
      <c r="D44" s="8">
        <f>D41+D42</f>
        <v>750000</v>
      </c>
      <c r="E44" s="8">
        <f>E41+E42</f>
        <v>1444000</v>
      </c>
      <c r="F44" s="8" t="s">
        <v>34</v>
      </c>
      <c r="G44" s="8">
        <f>G41+G42</f>
        <v>0</v>
      </c>
      <c r="H44" s="8">
        <f>H41+H42</f>
        <v>235000</v>
      </c>
      <c r="I44" s="8">
        <f t="shared" ref="I44:J44" si="7">I41+I42</f>
        <v>567000</v>
      </c>
      <c r="J44" s="8">
        <f t="shared" si="7"/>
        <v>-52000</v>
      </c>
      <c r="K44" s="8"/>
      <c r="M44" s="8"/>
      <c r="N44" s="8"/>
      <c r="O44" s="8"/>
      <c r="P44" s="8"/>
    </row>
    <row r="45" spans="1:18" s="2" customFormat="1" ht="18" x14ac:dyDescent="0.25">
      <c r="D45" s="8"/>
      <c r="E45" s="8"/>
      <c r="F45" s="8" t="s">
        <v>56</v>
      </c>
      <c r="G45"/>
      <c r="H45"/>
      <c r="I45" s="3"/>
      <c r="J45" s="3"/>
      <c r="K45" s="3"/>
      <c r="L45" s="8" t="s">
        <v>55</v>
      </c>
      <c r="M45" s="8">
        <f>M43-H38</f>
        <v>-52000</v>
      </c>
      <c r="N45"/>
      <c r="O45" s="8">
        <f>M45</f>
        <v>-52000</v>
      </c>
      <c r="P45" s="8" t="s">
        <v>58</v>
      </c>
    </row>
    <row r="46" spans="1:18" s="2" customFormat="1" ht="18" x14ac:dyDescent="0.25">
      <c r="D46" s="4"/>
      <c r="E46" s="4"/>
      <c r="F46" s="8"/>
      <c r="G46"/>
      <c r="H46"/>
      <c r="I46" s="3"/>
      <c r="J46" s="3"/>
      <c r="K46" s="3"/>
      <c r="N46"/>
      <c r="O46" s="3"/>
      <c r="P46" s="3"/>
    </row>
    <row r="47" spans="1:18" ht="18" x14ac:dyDescent="0.25">
      <c r="L47" s="8" t="s">
        <v>60</v>
      </c>
      <c r="M47" s="8">
        <f>COUNTIFS(G6:G36,"ECHEC")*25000</f>
        <v>0</v>
      </c>
      <c r="O47" s="8"/>
      <c r="P47" s="8" t="s">
        <v>58</v>
      </c>
    </row>
    <row r="48" spans="1:18" ht="18" x14ac:dyDescent="0.25">
      <c r="F48" s="2"/>
      <c r="L48" s="8" t="s">
        <v>59</v>
      </c>
      <c r="M48" s="8">
        <f>L38-G44</f>
        <v>0</v>
      </c>
      <c r="O48" s="8"/>
      <c r="P48" s="8" t="s">
        <v>58</v>
      </c>
    </row>
  </sheetData>
  <autoFilter ref="A5:R25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tabSelected="1" workbookViewId="0">
      <pane xSplit="3" ySplit="5" topLeftCell="K6" activePane="bottomRight" state="frozen"/>
      <selection activeCell="G6" sqref="G6:G39"/>
      <selection pane="topRight" activeCell="G6" sqref="G6:G39"/>
      <selection pane="bottomLeft" activeCell="G6" sqref="G6:G39"/>
      <selection pane="bottomRight" activeCell="M6" sqref="M6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5" width="13" customWidth="1"/>
    <col min="16" max="16" width="15.5703125" style="3" customWidth="1"/>
    <col min="17" max="18" width="18.140625" style="2" customWidth="1"/>
  </cols>
  <sheetData>
    <row r="1" spans="1:18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8" x14ac:dyDescent="0.25">
      <c r="A2" s="1" t="s">
        <v>2</v>
      </c>
      <c r="B2" s="1">
        <v>2023</v>
      </c>
      <c r="C2" s="1" t="s">
        <v>85</v>
      </c>
      <c r="D2" s="1" t="s">
        <v>80</v>
      </c>
      <c r="E2" s="1"/>
      <c r="F2" s="1"/>
      <c r="G2" s="1"/>
      <c r="N2" s="1"/>
      <c r="O2" s="1"/>
    </row>
    <row r="3" spans="1:18" x14ac:dyDescent="0.25">
      <c r="A3" s="1" t="s">
        <v>86</v>
      </c>
      <c r="B3" s="6">
        <v>25000</v>
      </c>
      <c r="C3" s="6">
        <f>B3*13+1000</f>
        <v>326000</v>
      </c>
      <c r="D3" s="1">
        <f>ROUNDDOWN(M40/C3,0)</f>
        <v>3</v>
      </c>
      <c r="E3" s="1"/>
      <c r="F3" s="1"/>
      <c r="G3" s="1"/>
      <c r="N3" s="1"/>
      <c r="O3" s="1"/>
    </row>
    <row r="4" spans="1:18" s="16" customFormat="1" ht="18" x14ac:dyDescent="0.25">
      <c r="B4" s="17"/>
      <c r="C4" s="28">
        <v>44939</v>
      </c>
      <c r="D4" s="29"/>
      <c r="E4" s="29"/>
      <c r="F4" s="29"/>
      <c r="G4" s="29"/>
      <c r="H4" s="29"/>
      <c r="I4" s="29"/>
      <c r="J4" s="29"/>
      <c r="K4" s="29"/>
      <c r="L4" s="29"/>
      <c r="N4" s="18"/>
      <c r="O4" s="18"/>
      <c r="P4" s="18"/>
      <c r="Q4" s="18"/>
    </row>
    <row r="5" spans="1:18" ht="58.5" x14ac:dyDescent="0.3">
      <c r="A5" s="1" t="s">
        <v>3</v>
      </c>
      <c r="B5" s="13" t="s">
        <v>81</v>
      </c>
      <c r="C5" s="1" t="s">
        <v>4</v>
      </c>
      <c r="D5" s="4" t="s">
        <v>5</v>
      </c>
      <c r="E5" s="4" t="s">
        <v>7</v>
      </c>
      <c r="F5" s="1" t="s">
        <v>48</v>
      </c>
      <c r="G5" s="5" t="s">
        <v>6</v>
      </c>
      <c r="H5" s="6" t="s">
        <v>44</v>
      </c>
      <c r="I5" s="4" t="s">
        <v>41</v>
      </c>
      <c r="J5" s="4" t="s">
        <v>45</v>
      </c>
      <c r="K5" s="11" t="s">
        <v>54</v>
      </c>
      <c r="L5" s="4" t="s">
        <v>82</v>
      </c>
      <c r="M5" s="4" t="s">
        <v>40</v>
      </c>
      <c r="N5" s="4" t="s">
        <v>39</v>
      </c>
      <c r="O5" s="4" t="s">
        <v>42</v>
      </c>
      <c r="P5" s="4" t="s">
        <v>54</v>
      </c>
      <c r="Q5" s="4" t="s">
        <v>83</v>
      </c>
      <c r="R5" s="4" t="s">
        <v>43</v>
      </c>
    </row>
    <row r="6" spans="1:18" x14ac:dyDescent="0.25">
      <c r="A6" s="1" t="s">
        <v>107</v>
      </c>
      <c r="B6" s="7">
        <f>IF(D6=0,0,VLOOKUP($A6,[6]HISTOFEV23!$A$6:$BO$40,10,0))</f>
        <v>1</v>
      </c>
      <c r="C6" s="1" t="str">
        <f>VLOOKUP(A6,[7]LISTADHERENT!A$5:H$60,3,0)</f>
        <v>BAKOP ACHILLE</v>
      </c>
      <c r="D6" s="7">
        <f>IF(G6="ECHEC",0,B$3)</f>
        <v>25000</v>
      </c>
      <c r="E6" s="7">
        <f>D6+VLOOKUP($A6,[6]HISTOFEV23!$A$7:$AU$40,45,0)+F6</f>
        <v>40000</v>
      </c>
      <c r="F6" s="7">
        <f>VLOOKUP($A6,[6]HISTOFEV23!$A$7:$AU$45,7,0)</f>
        <v>0</v>
      </c>
      <c r="G6" s="7" t="str">
        <f>VLOOKUP($A6,[6]HISTOFEV23!$A$7:$AU$45,8,0)</f>
        <v>ESPECES</v>
      </c>
      <c r="H6" s="7">
        <f>VLOOKUP($A6,[6]HISTOFEV23!$A$6:$AU$45,35,0)</f>
        <v>0</v>
      </c>
      <c r="I6" s="7">
        <f>VLOOKUP($A6,[6]HISTOFEV23!$A$7:$AU$45,38,0)</f>
        <v>0</v>
      </c>
      <c r="J6" s="7">
        <f>IF(I6=0,0,VLOOKUP($A6,[6]HISTOFEV23!$A$7:$AU$45,42,0))</f>
        <v>0</v>
      </c>
      <c r="K6" s="7">
        <f>VLOOKUP($A6,[6]HISTOFEV23!$A$7:$AU$45,41,0)</f>
        <v>0</v>
      </c>
      <c r="L6" s="7">
        <f>TONTJANV23!H6+TONTJANV23!I6</f>
        <v>0</v>
      </c>
      <c r="M6" s="7">
        <f>VLOOKUP($A6,[6]HISTOFEV23!$A$7:$AU$45,16,0)</f>
        <v>0</v>
      </c>
      <c r="N6" s="7" t="str">
        <f>IF(M6&lt;&gt;0,VLOOKUP($A6,[6]HISTOFEV23!$A$7:$AU$45,8,0),"ECHEC")</f>
        <v>ECHEC</v>
      </c>
      <c r="O6" s="7">
        <f>IF(R6=0,0,VLOOKUP($A6,[6]HISTOFEV23!$A$7:$AU$45,32,0))</f>
        <v>0</v>
      </c>
      <c r="P6" s="7">
        <f>VLOOKUP($A6,[6]HISTOFEV23!$A$7:$AU$45,33,0)</f>
        <v>0</v>
      </c>
      <c r="Q6" s="7">
        <f t="shared" ref="Q6:Q35" si="0">IF(R6=0,0,($C$3-R6))</f>
        <v>0</v>
      </c>
      <c r="R6" s="7">
        <f>VLOOKUP($A6,[6]HISTOFEV23!$A$7:$AU$45,29,0)</f>
        <v>0</v>
      </c>
    </row>
    <row r="7" spans="1:18" x14ac:dyDescent="0.25">
      <c r="A7" s="1" t="s">
        <v>9</v>
      </c>
      <c r="B7" s="7">
        <f>IF(D7=0,0,VLOOKUP($A7,[6]HISTOFEV23!$A$6:$BO$40,10,0))</f>
        <v>1</v>
      </c>
      <c r="C7" s="1" t="str">
        <f>VLOOKUP(A7,[7]LISTADHERENT!A$5:H$60,3,0)</f>
        <v>BOUTCHOUANG WILLIAM</v>
      </c>
      <c r="D7" s="7">
        <f>IF(G7="ECHEC",0,B$3)</f>
        <v>25000</v>
      </c>
      <c r="E7" s="7">
        <f>D7+VLOOKUP($A7,[6]HISTOFEV23!$A$7:$AU$40,45,0)+F7</f>
        <v>40000</v>
      </c>
      <c r="F7" s="7">
        <f>VLOOKUP($A7,[6]HISTOFEV23!$A$7:$AU$45,7,0)</f>
        <v>0</v>
      </c>
      <c r="G7" s="7" t="str">
        <f>VLOOKUP($A7,[6]HISTOFEV23!$A$7:$AU$45,8,0)</f>
        <v>BANQUE</v>
      </c>
      <c r="H7" s="7">
        <f>VLOOKUP($A7,[6]HISTOFEV23!$A$6:$AU$45,35,0)</f>
        <v>0</v>
      </c>
      <c r="I7" s="7">
        <f>VLOOKUP($A7,[6]HISTOFEV23!$A$7:$AU$45,38,0)</f>
        <v>0</v>
      </c>
      <c r="J7" s="7">
        <f>IF(I7=0,0,VLOOKUP($A7,[6]HISTOFEV23!$A$7:$AU$45,42,0))</f>
        <v>0</v>
      </c>
      <c r="K7" s="7">
        <f>VLOOKUP($A7,[6]HISTOFEV23!$A$7:$AU$45,41,0)</f>
        <v>0</v>
      </c>
      <c r="L7" s="7">
        <f>TONTJANV23!H7+TONTJANV23!I7</f>
        <v>0</v>
      </c>
      <c r="M7" s="7">
        <f>VLOOKUP($A7,[6]HISTOFEV23!$A$7:$AU$45,16,0)</f>
        <v>0</v>
      </c>
      <c r="N7" s="7" t="str">
        <f>IF(M7&lt;&gt;0,VLOOKUP($A7,[6]HISTOFEV23!$A$7:$AU$45,8,0),"ECHEC")</f>
        <v>ECHEC</v>
      </c>
      <c r="O7" s="7">
        <f>IF(R7=0,0,VLOOKUP($A7,[6]HISTOFEV23!$A$7:$AU$45,32,0))</f>
        <v>0</v>
      </c>
      <c r="P7" s="7">
        <f>VLOOKUP($A7,[6]HISTOFEV23!$A$7:$AU$45,33,0)</f>
        <v>0</v>
      </c>
      <c r="Q7" s="7">
        <f t="shared" si="0"/>
        <v>0</v>
      </c>
      <c r="R7" s="7">
        <f>VLOOKUP($A7,[6]HISTOFEV23!$A$7:$AU$45,29,0)</f>
        <v>0</v>
      </c>
    </row>
    <row r="8" spans="1:18" x14ac:dyDescent="0.25">
      <c r="A8" s="1" t="s">
        <v>10</v>
      </c>
      <c r="B8" s="7">
        <f>IF(D8=0,0,VLOOKUP($A8,[6]HISTOFEV23!$A$6:$BO$40,10,0))</f>
        <v>1</v>
      </c>
      <c r="C8" s="1" t="str">
        <f>VLOOKUP(A8,[7]LISTADHERENT!A$5:H$60,3,0)</f>
        <v xml:space="preserve">DJOMO JEAN PAUL </v>
      </c>
      <c r="D8" s="7">
        <f t="shared" ref="D8:D35" si="1">IF(G8="ECHEC",0,B$3)</f>
        <v>25000</v>
      </c>
      <c r="E8" s="7">
        <f>D8+VLOOKUP($A8,[6]HISTOFEV23!$A$7:$AU$40,45,0)+F8</f>
        <v>48000</v>
      </c>
      <c r="F8" s="7">
        <f>VLOOKUP($A8,[6]HISTOFEV23!$A$7:$AU$45,7,0)</f>
        <v>0</v>
      </c>
      <c r="G8" s="7" t="str">
        <f>VLOOKUP($A8,[6]HISTOFEV23!$A$7:$AU$45,8,0)</f>
        <v>BANQUE</v>
      </c>
      <c r="H8" s="7">
        <f>VLOOKUP($A8,[6]HISTOFEV23!$A$6:$AU$45,35,0)</f>
        <v>0</v>
      </c>
      <c r="I8" s="7">
        <f>VLOOKUP($A8,[6]HISTOFEV23!$A$7:$AU$45,38,0)</f>
        <v>0</v>
      </c>
      <c r="J8" s="7">
        <f>IF(I8=0,0,VLOOKUP($A8,[6]HISTOFEV23!$A$7:$AU$45,42,0))</f>
        <v>0</v>
      </c>
      <c r="K8" s="7">
        <f>VLOOKUP($A8,[6]HISTOFEV23!$A$7:$AU$45,41,0)</f>
        <v>0</v>
      </c>
      <c r="L8" s="7">
        <f>TONTJANV23!H8+TONTJANV23!I8</f>
        <v>0</v>
      </c>
      <c r="M8" s="7">
        <f>VLOOKUP($A8,[6]HISTOFEV23!$A$7:$AU$45,16,0)</f>
        <v>0</v>
      </c>
      <c r="N8" s="7" t="str">
        <f>IF(M8&lt;&gt;0,VLOOKUP($A8,[6]HISTOFEV23!$A$7:$AU$45,8,0),"ECHEC")</f>
        <v>ECHEC</v>
      </c>
      <c r="O8" s="7">
        <f>IF(R8=0,0,VLOOKUP($A8,[6]HISTOFEV23!$A$7:$AU$45,32,0))</f>
        <v>0</v>
      </c>
      <c r="P8" s="7">
        <f>VLOOKUP($A8,[6]HISTOFEV23!$A$7:$AU$45,33,0)</f>
        <v>0</v>
      </c>
      <c r="Q8" s="7">
        <f t="shared" si="0"/>
        <v>0</v>
      </c>
      <c r="R8" s="7">
        <f>VLOOKUP($A8,[6]HISTOFEV23!$A$7:$AU$45,29,0)</f>
        <v>0</v>
      </c>
    </row>
    <row r="9" spans="1:18" x14ac:dyDescent="0.25">
      <c r="A9" s="1" t="s">
        <v>57</v>
      </c>
      <c r="B9" s="7">
        <f>IF(D9=0,0,VLOOKUP($A9,[6]HISTOFEV23!$A$6:$BO$40,10,0))</f>
        <v>1</v>
      </c>
      <c r="C9" s="1" t="str">
        <f>VLOOKUP(A9,[7]LISTADHERENT!A$5:H$60,3,0)</f>
        <v>DJOMOU TCHAPDA</v>
      </c>
      <c r="D9" s="7">
        <f t="shared" si="1"/>
        <v>25000</v>
      </c>
      <c r="E9" s="7">
        <f>D9+VLOOKUP($A9,[6]HISTOFEV23!$A$7:$AU$40,45,0)+F9</f>
        <v>40000</v>
      </c>
      <c r="F9" s="7">
        <f>VLOOKUP($A9,[6]HISTOFEV23!$A$7:$AU$45,7,0)</f>
        <v>0</v>
      </c>
      <c r="G9" s="7" t="str">
        <f>VLOOKUP($A9,[6]HISTOFEV23!$A$7:$AU$45,8,0)</f>
        <v>BANQUE</v>
      </c>
      <c r="H9" s="7">
        <f>VLOOKUP($A9,[6]HISTOFEV23!$A$6:$AU$45,35,0)</f>
        <v>40000</v>
      </c>
      <c r="I9" s="7">
        <f>VLOOKUP($A9,[6]HISTOFEV23!$A$7:$AU$45,38,0)</f>
        <v>1000</v>
      </c>
      <c r="J9" s="7" t="str">
        <f>IF(I9=0,0,VLOOKUP($A9,[6]HISTOFEV23!$A$7:$AU$45,42,0))</f>
        <v>BANQUE</v>
      </c>
      <c r="K9" s="7">
        <f>VLOOKUP($A9,[6]HISTOFEV23!$A$7:$AU$45,41,0)</f>
        <v>0</v>
      </c>
      <c r="L9" s="7">
        <f>TONTJANV23!H9+TONTJANV23!I9</f>
        <v>63000</v>
      </c>
      <c r="M9" s="7">
        <f>VLOOKUP($A9,[6]HISTOFEV23!$A$7:$AU$45,16,0)</f>
        <v>63000</v>
      </c>
      <c r="N9" s="7" t="str">
        <f>IF(M9&lt;&gt;0,VLOOKUP($A9,[6]HISTOFEV23!$A$7:$AU$45,8,0),"ECHEC")</f>
        <v>BANQUE</v>
      </c>
      <c r="O9" s="7">
        <f>IF(R9=0,0,VLOOKUP($A9,[6]HISTOFEV23!$A$7:$AU$45,32,0))</f>
        <v>0</v>
      </c>
      <c r="P9" s="7">
        <f>VLOOKUP($A9,[6]HISTOFEV23!$A$7:$AU$45,33,0)</f>
        <v>0</v>
      </c>
      <c r="Q9" s="7">
        <f t="shared" si="0"/>
        <v>0</v>
      </c>
      <c r="R9" s="7">
        <f>VLOOKUP($A9,[6]HISTOFEV23!$A$7:$AU$45,29,0)</f>
        <v>0</v>
      </c>
    </row>
    <row r="10" spans="1:18" x14ac:dyDescent="0.25">
      <c r="A10" s="1" t="s">
        <v>11</v>
      </c>
      <c r="B10" s="7">
        <f>IF(D10=0,0,VLOOKUP($A10,[6]HISTOFEV23!$A$6:$BO$40,10,0))</f>
        <v>1</v>
      </c>
      <c r="C10" s="1" t="str">
        <f>VLOOKUP(A10,[7]LISTADHERENT!A$5:H$60,3,0)</f>
        <v>DJOUKWE NANGUEN GUY BLAISE</v>
      </c>
      <c r="D10" s="7">
        <f t="shared" si="1"/>
        <v>25000</v>
      </c>
      <c r="E10" s="7">
        <f>D10+VLOOKUP($A10,[6]HISTOFEV23!$A$7:$AU$40,45,0)+F10</f>
        <v>40000</v>
      </c>
      <c r="F10" s="7">
        <f>VLOOKUP($A10,[6]HISTOFEV23!$A$7:$AU$45,7,0)</f>
        <v>0</v>
      </c>
      <c r="G10" s="7" t="str">
        <f>VLOOKUP($A10,[6]HISTOFEV23!$A$7:$AU$45,8,0)</f>
        <v>BANQUE</v>
      </c>
      <c r="H10" s="7">
        <f>VLOOKUP($A10,[6]HISTOFEV23!$A$6:$AU$45,35,0)</f>
        <v>0</v>
      </c>
      <c r="I10" s="7">
        <f>VLOOKUP($A10,[6]HISTOFEV23!$A$7:$AU$45,38,0)</f>
        <v>0</v>
      </c>
      <c r="J10" s="7">
        <f>IF(I10=0,0,VLOOKUP($A10,[6]HISTOFEV23!$A$7:$AU$45,42,0))</f>
        <v>0</v>
      </c>
      <c r="K10" s="7">
        <f>VLOOKUP($A10,[6]HISTOFEV23!$A$7:$AU$45,41,0)</f>
        <v>0</v>
      </c>
      <c r="L10" s="7">
        <f>TONTJANV23!H10+TONTJANV23!I10</f>
        <v>62000</v>
      </c>
      <c r="M10" s="7">
        <f>VLOOKUP($A10,[6]HISTOFEV23!$A$7:$AU$45,16,0)</f>
        <v>62000</v>
      </c>
      <c r="N10" s="7" t="str">
        <f>IF(M10&lt;&gt;0,VLOOKUP($A10,[6]HISTOFEV23!$A$7:$AU$45,8,0),"ECHEC")</f>
        <v>BANQUE</v>
      </c>
      <c r="O10" s="7">
        <f>IF(R10=0,0,VLOOKUP($A10,[6]HISTOFEV23!$A$7:$AU$45,32,0))</f>
        <v>0</v>
      </c>
      <c r="P10" s="7">
        <f>VLOOKUP($A10,[6]HISTOFEV23!$A$7:$AU$45,33,0)</f>
        <v>0</v>
      </c>
      <c r="Q10" s="7">
        <f t="shared" si="0"/>
        <v>0</v>
      </c>
      <c r="R10" s="7">
        <f>VLOOKUP($A10,[6]HISTOFEV23!$A$7:$AU$45,29,0)</f>
        <v>0</v>
      </c>
    </row>
    <row r="11" spans="1:18" x14ac:dyDescent="0.25">
      <c r="A11" s="1" t="s">
        <v>12</v>
      </c>
      <c r="B11" s="7">
        <f>IF(D11=0,0,VLOOKUP($A11,[6]HISTOFEV23!$A$6:$BO$40,10,0))</f>
        <v>1</v>
      </c>
      <c r="C11" s="1" t="str">
        <f>VLOOKUP(A11,[7]LISTADHERENT!A$5:H$60,3,0)</f>
        <v>DJUOMBESSY ANTOINE</v>
      </c>
      <c r="D11" s="7">
        <f t="shared" si="1"/>
        <v>25000</v>
      </c>
      <c r="E11" s="7">
        <f>D11+VLOOKUP($A11,[6]HISTOFEV23!$A$7:$AU$40,45,0)+F11</f>
        <v>45000</v>
      </c>
      <c r="F11" s="7">
        <f>VLOOKUP($A11,[6]HISTOFEV23!$A$7:$AU$45,7,0)</f>
        <v>0</v>
      </c>
      <c r="G11" s="7" t="str">
        <f>VLOOKUP($A11,[6]HISTOFEV23!$A$7:$AU$45,8,0)</f>
        <v>BANQUE</v>
      </c>
      <c r="H11" s="7">
        <f>VLOOKUP($A11,[6]HISTOFEV23!$A$6:$AU$45,35,0)</f>
        <v>0</v>
      </c>
      <c r="I11" s="7">
        <f>VLOOKUP($A11,[6]HISTOFEV23!$A$7:$AU$45,38,0)</f>
        <v>0</v>
      </c>
      <c r="J11" s="7">
        <f>IF(I11=0,0,VLOOKUP($A11,[6]HISTOFEV23!$A$7:$AU$45,42,0))</f>
        <v>0</v>
      </c>
      <c r="K11" s="7">
        <f>VLOOKUP($A11,[6]HISTOFEV23!$A$7:$AU$45,41,0)</f>
        <v>0</v>
      </c>
      <c r="L11" s="7">
        <f>TONTJANV23!H11+TONTJANV23!I11</f>
        <v>0</v>
      </c>
      <c r="M11" s="7">
        <f>VLOOKUP($A11,[6]HISTOFEV23!$A$7:$AU$45,16,0)</f>
        <v>0</v>
      </c>
      <c r="N11" s="7" t="str">
        <f>IF(M11&lt;&gt;0,VLOOKUP($A11,[6]HISTOFEV23!$A$7:$AU$45,8,0),"ECHEC")</f>
        <v>ECHEC</v>
      </c>
      <c r="O11" s="7">
        <f>IF(R11=0,0,VLOOKUP($A11,[6]HISTOFEV23!$A$7:$AU$45,32,0))</f>
        <v>0</v>
      </c>
      <c r="P11" s="7">
        <f>VLOOKUP($A11,[6]HISTOFEV23!$A$7:$AU$45,33,0)</f>
        <v>0</v>
      </c>
      <c r="Q11" s="7">
        <f t="shared" si="0"/>
        <v>0</v>
      </c>
      <c r="R11" s="7">
        <f>VLOOKUP($A11,[6]HISTOFEV23!$A$7:$AU$45,29,0)</f>
        <v>0</v>
      </c>
    </row>
    <row r="12" spans="1:18" x14ac:dyDescent="0.25">
      <c r="A12" s="1" t="s">
        <v>50</v>
      </c>
      <c r="B12" s="7">
        <f>IF(D12=0,0,VLOOKUP($A12,[6]HISTOFEV23!$A$6:$BO$40,10,0))</f>
        <v>1</v>
      </c>
      <c r="C12" s="1" t="str">
        <f>VLOOKUP(A12,[7]LISTADHERENT!A$5:H$60,3,0)</f>
        <v>DOMOU FABIEN</v>
      </c>
      <c r="D12" s="7">
        <f t="shared" si="1"/>
        <v>25000</v>
      </c>
      <c r="E12" s="7">
        <f>D12+VLOOKUP($A12,[6]HISTOFEV23!$A$7:$AU$40,45,0)+F12</f>
        <v>40000</v>
      </c>
      <c r="F12" s="7">
        <f>VLOOKUP($A12,[6]HISTOFEV23!$A$7:$AU$45,7,0)</f>
        <v>0</v>
      </c>
      <c r="G12" s="7" t="str">
        <f>VLOOKUP($A12,[6]HISTOFEV23!$A$7:$AU$45,8,0)</f>
        <v>ESPECES</v>
      </c>
      <c r="H12" s="7">
        <f>VLOOKUP($A12,[6]HISTOFEV23!$A$6:$AU$45,35,0)</f>
        <v>0</v>
      </c>
      <c r="I12" s="7">
        <f>VLOOKUP($A12,[6]HISTOFEV23!$A$7:$AU$45,38,0)</f>
        <v>0</v>
      </c>
      <c r="J12" s="7">
        <f>IF(I12=0,0,VLOOKUP($A12,[6]HISTOFEV23!$A$7:$AU$45,42,0))</f>
        <v>0</v>
      </c>
      <c r="K12" s="7">
        <f>VLOOKUP($A12,[6]HISTOFEV23!$A$7:$AU$45,41,0)</f>
        <v>0</v>
      </c>
      <c r="L12" s="7">
        <f>TONTJANV23!H12+TONTJANV23!I12</f>
        <v>0</v>
      </c>
      <c r="M12" s="7">
        <f>VLOOKUP($A12,[6]HISTOFEV23!$A$7:$AU$45,16,0)</f>
        <v>0</v>
      </c>
      <c r="N12" s="7" t="str">
        <f>IF(M12&lt;&gt;0,VLOOKUP($A12,[6]HISTOFEV23!$A$7:$AU$45,8,0),"ECHEC")</f>
        <v>ECHEC</v>
      </c>
      <c r="O12" s="7">
        <f>IF(R12=0,0,VLOOKUP($A12,[6]HISTOFEV23!$A$7:$AU$45,32,0))</f>
        <v>0</v>
      </c>
      <c r="P12" s="7">
        <f>VLOOKUP($A12,[6]HISTOFEV23!$A$7:$AU$45,33,0)</f>
        <v>0</v>
      </c>
      <c r="Q12" s="7">
        <f t="shared" si="0"/>
        <v>0</v>
      </c>
      <c r="R12" s="7">
        <f>VLOOKUP($A12,[6]HISTOFEV23!$A$7:$AU$45,29,0)</f>
        <v>0</v>
      </c>
    </row>
    <row r="13" spans="1:18" x14ac:dyDescent="0.25">
      <c r="A13" s="1" t="s">
        <v>13</v>
      </c>
      <c r="B13" s="7">
        <f>IF(D13=0,0,VLOOKUP($A13,[6]HISTOFEV23!$A$6:$BO$40,10,0))</f>
        <v>1</v>
      </c>
      <c r="C13" s="1" t="str">
        <f>VLOOKUP(A13,[7]LISTADHERENT!A$5:H$60,3,0)</f>
        <v>DONHOU DAVID</v>
      </c>
      <c r="D13" s="7">
        <f t="shared" si="1"/>
        <v>25000</v>
      </c>
      <c r="E13" s="7">
        <f>D13+VLOOKUP($A13,[6]HISTOFEV23!$A$7:$AU$40,45,0)+F13</f>
        <v>40000</v>
      </c>
      <c r="F13" s="7">
        <f>VLOOKUP($A13,[6]HISTOFEV23!$A$7:$AU$45,7,0)</f>
        <v>0</v>
      </c>
      <c r="G13" s="7" t="str">
        <f>VLOOKUP($A13,[6]HISTOFEV23!$A$7:$AU$45,8,0)</f>
        <v>BANQUE</v>
      </c>
      <c r="H13" s="7">
        <f>VLOOKUP($A13,[6]HISTOFEV23!$A$6:$AU$45,35,0)</f>
        <v>0</v>
      </c>
      <c r="I13" s="7">
        <f>VLOOKUP($A13,[6]HISTOFEV23!$A$7:$AU$45,38,0)</f>
        <v>0</v>
      </c>
      <c r="J13" s="7">
        <f>IF(I13=0,0,VLOOKUP($A13,[6]HISTOFEV23!$A$7:$AU$45,42,0))</f>
        <v>0</v>
      </c>
      <c r="K13" s="7">
        <f>VLOOKUP($A13,[6]HISTOFEV23!$A$7:$AU$45,41,0)</f>
        <v>0</v>
      </c>
      <c r="L13" s="7">
        <f>TONTJANV23!H13+TONTJANV23!I13</f>
        <v>0</v>
      </c>
      <c r="M13" s="7">
        <f>VLOOKUP($A13,[6]HISTOFEV23!$A$7:$AU$45,16,0)</f>
        <v>0</v>
      </c>
      <c r="N13" s="7" t="str">
        <f>IF(M13&lt;&gt;0,VLOOKUP($A13,[6]HISTOFEV23!$A$7:$AU$45,8,0),"ECHEC")</f>
        <v>ECHEC</v>
      </c>
      <c r="O13" s="7">
        <f>IF(R13=0,0,VLOOKUP($A13,[6]HISTOFEV23!$A$7:$AU$45,32,0))</f>
        <v>0</v>
      </c>
      <c r="P13" s="7">
        <f>VLOOKUP($A13,[6]HISTOFEV23!$A$7:$AU$45,33,0)</f>
        <v>0</v>
      </c>
      <c r="Q13" s="7">
        <f t="shared" si="0"/>
        <v>0</v>
      </c>
      <c r="R13" s="7">
        <f>VLOOKUP($A13,[6]HISTOFEV23!$A$7:$AU$45,29,0)</f>
        <v>0</v>
      </c>
    </row>
    <row r="14" spans="1:18" x14ac:dyDescent="0.25">
      <c r="A14" s="1" t="s">
        <v>15</v>
      </c>
      <c r="B14" s="7">
        <f>IF(D14=0,0,VLOOKUP($A14,[6]HISTOFEV23!$A$6:$BO$40,10,0))</f>
        <v>1</v>
      </c>
      <c r="C14" s="1" t="str">
        <f>VLOOKUP(A14,[7]LISTADHERENT!A$5:H$60,3,0)</f>
        <v>HENGUE PAUL OMER</v>
      </c>
      <c r="D14" s="7">
        <f t="shared" si="1"/>
        <v>25000</v>
      </c>
      <c r="E14" s="7">
        <f>D14+VLOOKUP($A14,[6]HISTOFEV23!$A$7:$AU$40,45,0)+F14</f>
        <v>40000</v>
      </c>
      <c r="F14" s="7">
        <f>VLOOKUP($A14,[6]HISTOFEV23!$A$7:$AU$45,7,0)</f>
        <v>0</v>
      </c>
      <c r="G14" s="7" t="str">
        <f>VLOOKUP($A14,[6]HISTOFEV23!$A$7:$AU$45,8,0)</f>
        <v>BANQUE</v>
      </c>
      <c r="H14" s="7">
        <f>VLOOKUP($A14,[6]HISTOFEV23!$A$6:$AU$45,35,0)</f>
        <v>0</v>
      </c>
      <c r="I14" s="7">
        <f>VLOOKUP($A14,[6]HISTOFEV23!$A$7:$AU$45,38,0)</f>
        <v>0</v>
      </c>
      <c r="J14" s="7">
        <f>IF(I14=0,0,VLOOKUP($A14,[6]HISTOFEV23!$A$7:$AU$45,42,0))</f>
        <v>0</v>
      </c>
      <c r="K14" s="7">
        <f>VLOOKUP($A14,[6]HISTOFEV23!$A$7:$AU$45,41,0)</f>
        <v>0</v>
      </c>
      <c r="L14" s="7">
        <f>TONTJANV23!H14+TONTJANV23!I14</f>
        <v>0</v>
      </c>
      <c r="M14" s="7">
        <f>VLOOKUP($A14,[6]HISTOFEV23!$A$7:$AU$45,16,0)</f>
        <v>0</v>
      </c>
      <c r="N14" s="7" t="str">
        <f>IF(M14&lt;&gt;0,VLOOKUP($A14,[6]HISTOFEV23!$A$7:$AU$45,8,0),"ECHEC")</f>
        <v>ECHEC</v>
      </c>
      <c r="O14" s="7">
        <f>IF(R14=0,0,VLOOKUP($A14,[6]HISTOFEV23!$A$7:$AU$45,32,0))</f>
        <v>0</v>
      </c>
      <c r="P14" s="7">
        <f>VLOOKUP($A14,[6]HISTOFEV23!$A$7:$AU$45,33,0)</f>
        <v>0</v>
      </c>
      <c r="Q14" s="7">
        <f t="shared" si="0"/>
        <v>0</v>
      </c>
      <c r="R14" s="7">
        <f>VLOOKUP($A14,[6]HISTOFEV23!$A$7:$AU$45,29,0)</f>
        <v>0</v>
      </c>
    </row>
    <row r="15" spans="1:18" x14ac:dyDescent="0.25">
      <c r="A15" s="1" t="s">
        <v>16</v>
      </c>
      <c r="B15" s="7">
        <f>IF(D15=0,0,VLOOKUP($A15,[6]HISTOFEV23!$A$6:$BO$40,10,0))</f>
        <v>1</v>
      </c>
      <c r="C15" s="1" t="str">
        <f>VLOOKUP(A15,[7]LISTADHERENT!A$5:H$60,3,0)</f>
        <v>HOTCHO BENJAMIN</v>
      </c>
      <c r="D15" s="7">
        <f t="shared" si="1"/>
        <v>25000</v>
      </c>
      <c r="E15" s="7">
        <f>D15+VLOOKUP($A15,[6]HISTOFEV23!$A$7:$AU$40,45,0)+F15</f>
        <v>75000</v>
      </c>
      <c r="F15" s="7">
        <f>VLOOKUP($A15,[6]HISTOFEV23!$A$7:$AU$45,7,0)</f>
        <v>0</v>
      </c>
      <c r="G15" s="7" t="str">
        <f>VLOOKUP($A15,[6]HISTOFEV23!$A$7:$AU$45,8,0)</f>
        <v>BANQUE</v>
      </c>
      <c r="H15" s="7">
        <f>VLOOKUP($A15,[6]HISTOFEV23!$A$6:$AU$45,35,0)</f>
        <v>0</v>
      </c>
      <c r="I15" s="7">
        <f>VLOOKUP($A15,[6]HISTOFEV23!$A$7:$AU$45,38,0)</f>
        <v>0</v>
      </c>
      <c r="J15" s="7">
        <f>IF(I15=0,0,VLOOKUP($A15,[6]HISTOFEV23!$A$7:$AU$45,42,0))</f>
        <v>0</v>
      </c>
      <c r="K15" s="7">
        <f>VLOOKUP($A15,[6]HISTOFEV23!$A$7:$AU$45,41,0)</f>
        <v>0</v>
      </c>
      <c r="L15" s="7">
        <f>TONTJANV23!H15+TONTJANV23!I15</f>
        <v>0</v>
      </c>
      <c r="M15" s="7">
        <f>VLOOKUP($A15,[6]HISTOFEV23!$A$7:$AU$45,16,0)</f>
        <v>0</v>
      </c>
      <c r="N15" s="7" t="str">
        <f>IF(M15&lt;&gt;0,VLOOKUP($A15,[6]HISTOFEV23!$A$7:$AU$45,8,0),"ECHEC")</f>
        <v>ECHEC</v>
      </c>
      <c r="O15" s="7">
        <f>IF(R15=0,0,VLOOKUP($A15,[6]HISTOFEV23!$A$7:$AU$45,32,0))</f>
        <v>0</v>
      </c>
      <c r="P15" s="7">
        <f>VLOOKUP($A15,[6]HISTOFEV23!$A$7:$AU$45,33,0)</f>
        <v>0</v>
      </c>
      <c r="Q15" s="7">
        <f t="shared" si="0"/>
        <v>0</v>
      </c>
      <c r="R15" s="7">
        <f>VLOOKUP($A15,[6]HISTOFEV23!$A$7:$AU$45,29,0)</f>
        <v>0</v>
      </c>
    </row>
    <row r="16" spans="1:18" x14ac:dyDescent="0.25">
      <c r="A16" s="1" t="s">
        <v>17</v>
      </c>
      <c r="B16" s="7">
        <f>IF(D16=0,0,VLOOKUP($A16,[6]HISTOFEV23!$A$6:$BO$40,10,0))</f>
        <v>1</v>
      </c>
      <c r="C16" s="1" t="str">
        <f>VLOOKUP(A16,[7]LISTADHERENT!A$5:H$60,3,0)</f>
        <v>KOUAMOU MOISE</v>
      </c>
      <c r="D16" s="7">
        <f t="shared" si="1"/>
        <v>25000</v>
      </c>
      <c r="E16" s="7">
        <f>D16+VLOOKUP($A16,[6]HISTOFEV23!$A$7:$AU$40,45,0)+F16</f>
        <v>40000</v>
      </c>
      <c r="F16" s="7">
        <f>VLOOKUP($A16,[6]HISTOFEV23!$A$7:$AU$45,7,0)</f>
        <v>0</v>
      </c>
      <c r="G16" s="7" t="str">
        <f>VLOOKUP($A16,[6]HISTOFEV23!$A$7:$AU$45,8,0)</f>
        <v>BANQUE</v>
      </c>
      <c r="H16" s="7">
        <f>VLOOKUP($A16,[6]HISTOFEV23!$A$6:$AU$45,35,0)</f>
        <v>0</v>
      </c>
      <c r="I16" s="7">
        <f>VLOOKUP($A16,[6]HISTOFEV23!$A$7:$AU$45,38,0)</f>
        <v>0</v>
      </c>
      <c r="J16" s="7">
        <f>IF(I16=0,0,VLOOKUP($A16,[6]HISTOFEV23!$A$7:$AU$45,42,0))</f>
        <v>0</v>
      </c>
      <c r="K16" s="7">
        <f>VLOOKUP($A16,[6]HISTOFEV23!$A$7:$AU$45,41,0)</f>
        <v>0</v>
      </c>
      <c r="L16" s="7">
        <f>TONTJANV23!H16+TONTJANV23!I16</f>
        <v>0</v>
      </c>
      <c r="M16" s="7">
        <f>VLOOKUP($A16,[6]HISTOFEV23!$A$7:$AU$45,16,0)</f>
        <v>0</v>
      </c>
      <c r="N16" s="7" t="str">
        <f>IF(M16&lt;&gt;0,VLOOKUP($A16,[6]HISTOFEV23!$A$7:$AU$45,8,0),"ECHEC")</f>
        <v>ECHEC</v>
      </c>
      <c r="O16" s="7" t="str">
        <f>IF(R16=0,0,VLOOKUP($A16,[6]HISTOFEV23!$A$7:$AU$45,32,0))</f>
        <v>BANQUE</v>
      </c>
      <c r="P16" s="7">
        <f>VLOOKUP($A16,[6]HISTOFEV23!$A$7:$AU$45,33,0)</f>
        <v>0</v>
      </c>
      <c r="Q16" s="7">
        <f t="shared" si="0"/>
        <v>319500</v>
      </c>
      <c r="R16" s="7">
        <f>VLOOKUP($A16,[6]HISTOFEV23!$A$7:$AU$45,29,0)</f>
        <v>6500</v>
      </c>
    </row>
    <row r="17" spans="1:18" x14ac:dyDescent="0.25">
      <c r="A17" s="1" t="s">
        <v>18</v>
      </c>
      <c r="B17" s="7">
        <f>IF(D17=0,0,VLOOKUP($A17,[6]HISTOFEV23!$A$6:$BO$40,10,0))</f>
        <v>1</v>
      </c>
      <c r="C17" s="1" t="str">
        <f>VLOOKUP(A17,[7]LISTADHERENT!A$5:H$60,3,0)</f>
        <v>KOUATCHO MESSACK</v>
      </c>
      <c r="D17" s="7">
        <f t="shared" si="1"/>
        <v>25000</v>
      </c>
      <c r="E17" s="7">
        <f>D17+VLOOKUP($A17,[6]HISTOFEV23!$A$7:$AU$40,45,0)+F17</f>
        <v>40000</v>
      </c>
      <c r="F17" s="7">
        <f>VLOOKUP($A17,[6]HISTOFEV23!$A$7:$AU$45,7,0)</f>
        <v>0</v>
      </c>
      <c r="G17" s="7" t="str">
        <f>VLOOKUP($A17,[6]HISTOFEV23!$A$7:$AU$45,8,0)</f>
        <v>BANQUE</v>
      </c>
      <c r="H17" s="7">
        <f>VLOOKUP($A17,[6]HISTOFEV23!$A$6:$AU$45,35,0)</f>
        <v>0</v>
      </c>
      <c r="I17" s="7">
        <f>VLOOKUP($A17,[6]HISTOFEV23!$A$7:$AU$45,38,0)</f>
        <v>0</v>
      </c>
      <c r="J17" s="7">
        <f>IF(I17=0,0,VLOOKUP($A17,[6]HISTOFEV23!$A$7:$AU$45,42,0))</f>
        <v>0</v>
      </c>
      <c r="K17" s="7">
        <f>VLOOKUP($A17,[6]HISTOFEV23!$A$7:$AU$45,41,0)</f>
        <v>0</v>
      </c>
      <c r="L17" s="7">
        <f>TONTJANV23!H17+TONTJANV23!I17</f>
        <v>0</v>
      </c>
      <c r="M17" s="7">
        <f>VLOOKUP($A17,[6]HISTOFEV23!$A$7:$AU$45,16,0)</f>
        <v>0</v>
      </c>
      <c r="N17" s="7" t="str">
        <f>IF(M17&lt;&gt;0,VLOOKUP($A17,[6]HISTOFEV23!$A$7:$AU$45,8,0),"ECHEC")</f>
        <v>ECHEC</v>
      </c>
      <c r="O17" s="7">
        <f>IF(R17=0,0,VLOOKUP($A17,[6]HISTOFEV23!$A$7:$AU$45,32,0))</f>
        <v>0</v>
      </c>
      <c r="P17" s="7">
        <f>VLOOKUP($A17,[6]HISTOFEV23!$A$7:$AU$45,33,0)</f>
        <v>0</v>
      </c>
      <c r="Q17" s="7">
        <f t="shared" si="0"/>
        <v>0</v>
      </c>
      <c r="R17" s="7">
        <f>VLOOKUP($A17,[6]HISTOFEV23!$A$7:$AU$45,29,0)</f>
        <v>0</v>
      </c>
    </row>
    <row r="18" spans="1:18" x14ac:dyDescent="0.25">
      <c r="A18" s="1" t="s">
        <v>19</v>
      </c>
      <c r="B18" s="7">
        <f>IF(D18=0,0,VLOOKUP($A18,[6]HISTOFEV23!$A$6:$BO$40,10,0))</f>
        <v>1</v>
      </c>
      <c r="C18" s="1" t="str">
        <f>VLOOKUP(A18,[7]LISTADHERENT!A$5:H$60,3,0)</f>
        <v>LOWE JEAN</v>
      </c>
      <c r="D18" s="7">
        <f t="shared" si="1"/>
        <v>25000</v>
      </c>
      <c r="E18" s="7">
        <f>D18+VLOOKUP($A18,[6]HISTOFEV23!$A$7:$AU$40,45,0)+F18</f>
        <v>40000</v>
      </c>
      <c r="F18" s="7">
        <f>VLOOKUP($A18,[6]HISTOFEV23!$A$7:$AU$45,7,0)</f>
        <v>0</v>
      </c>
      <c r="G18" s="7" t="str">
        <f>VLOOKUP($A18,[6]HISTOFEV23!$A$7:$AU$45,8,0)</f>
        <v>ESPECES</v>
      </c>
      <c r="H18" s="7">
        <f>VLOOKUP($A18,[6]HISTOFEV23!$A$6:$AU$45,35,0)</f>
        <v>0</v>
      </c>
      <c r="I18" s="7">
        <f>VLOOKUP($A18,[6]HISTOFEV23!$A$7:$AU$45,38,0)</f>
        <v>0</v>
      </c>
      <c r="J18" s="7">
        <f>IF(I18=0,0,VLOOKUP($A18,[6]HISTOFEV23!$A$7:$AU$45,42,0))</f>
        <v>0</v>
      </c>
      <c r="K18" s="7">
        <f>VLOOKUP($A18,[6]HISTOFEV23!$A$7:$AU$45,41,0)</f>
        <v>0</v>
      </c>
      <c r="L18" s="7">
        <f>TONTJANV23!H18+TONTJANV23!I18</f>
        <v>0</v>
      </c>
      <c r="M18" s="7">
        <f>VLOOKUP($A18,[6]HISTOFEV23!$A$7:$AU$45,16,0)</f>
        <v>0</v>
      </c>
      <c r="N18" s="7" t="str">
        <f>IF(M18&lt;&gt;0,VLOOKUP($A18,[6]HISTOFEV23!$A$7:$AU$45,8,0),"ECHEC")</f>
        <v>ECHEC</v>
      </c>
      <c r="O18" s="7">
        <f>IF(R18=0,0,VLOOKUP($A18,[6]HISTOFEV23!$A$7:$AU$45,32,0))</f>
        <v>0</v>
      </c>
      <c r="P18" s="7">
        <f>VLOOKUP($A18,[6]HISTOFEV23!$A$7:$AU$45,33,0)</f>
        <v>0</v>
      </c>
      <c r="Q18" s="7">
        <f t="shared" si="0"/>
        <v>0</v>
      </c>
      <c r="R18" s="7">
        <f>VLOOKUP($A18,[6]HISTOFEV23!$A$7:$AU$45,29,0)</f>
        <v>0</v>
      </c>
    </row>
    <row r="19" spans="1:18" x14ac:dyDescent="0.25">
      <c r="A19" s="1" t="s">
        <v>49</v>
      </c>
      <c r="B19" s="7">
        <f>IF(D19=0,0,VLOOKUP($A19,[6]HISTOFEV23!$A$6:$BO$40,10,0))</f>
        <v>1</v>
      </c>
      <c r="C19" s="1" t="str">
        <f>VLOOKUP(A19,[7]LISTADHERENT!A$5:H$60,3,0)</f>
        <v>MBOGNING TUGMA GUY</v>
      </c>
      <c r="D19" s="7">
        <f t="shared" si="1"/>
        <v>25000</v>
      </c>
      <c r="E19" s="7">
        <f>D19+VLOOKUP($A19,[6]HISTOFEV23!$A$7:$AU$40,45,0)+F19</f>
        <v>40000</v>
      </c>
      <c r="F19" s="7">
        <f>VLOOKUP($A19,[6]HISTOFEV23!$A$7:$AU$45,7,0)</f>
        <v>0</v>
      </c>
      <c r="G19" s="7" t="str">
        <f>VLOOKUP($A19,[6]HISTOFEV23!$A$7:$AU$45,8,0)</f>
        <v>BANQUE</v>
      </c>
      <c r="H19" s="7">
        <f>VLOOKUP($A19,[6]HISTOFEV23!$A$6:$AU$45,35,0)</f>
        <v>31500</v>
      </c>
      <c r="I19" s="7">
        <f>VLOOKUP($A19,[6]HISTOFEV23!$A$7:$AU$45,38,0)</f>
        <v>1000</v>
      </c>
      <c r="J19" s="7" t="str">
        <f>IF(I19=0,0,VLOOKUP($A19,[6]HISTOFEV23!$A$7:$AU$45,42,0))</f>
        <v>BANQUE</v>
      </c>
      <c r="K19" s="7">
        <f>VLOOKUP($A19,[6]HISTOFEV23!$A$7:$AU$45,41,0)</f>
        <v>0</v>
      </c>
      <c r="L19" s="7">
        <f>TONTJANV23!H19+TONTJANV23!I19</f>
        <v>0</v>
      </c>
      <c r="M19" s="7">
        <f>VLOOKUP($A19,[6]HISTOFEV23!$A$7:$AU$45,16,0)</f>
        <v>0</v>
      </c>
      <c r="N19" s="7" t="str">
        <f>IF(M19&lt;&gt;0,VLOOKUP($A19,[6]HISTOFEV23!$A$7:$AU$45,8,0),"ECHEC")</f>
        <v>ECHEC</v>
      </c>
      <c r="O19" s="7">
        <f>IF(R19=0,0,VLOOKUP($A19,[6]HISTOFEV23!$A$7:$AU$45,32,0))</f>
        <v>0</v>
      </c>
      <c r="P19" s="7">
        <f>VLOOKUP($A19,[6]HISTOFEV23!$A$7:$AU$45,33,0)</f>
        <v>0</v>
      </c>
      <c r="Q19" s="7">
        <f t="shared" si="0"/>
        <v>0</v>
      </c>
      <c r="R19" s="7">
        <f>VLOOKUP($A19,[6]HISTOFEV23!$A$7:$AU$45,29,0)</f>
        <v>0</v>
      </c>
    </row>
    <row r="20" spans="1:18" x14ac:dyDescent="0.25">
      <c r="A20" s="1" t="s">
        <v>30</v>
      </c>
      <c r="B20" s="7">
        <f>IF(D20=0,0,VLOOKUP($A20,[6]HISTOFEV23!$A$6:$BO$40,10,0))</f>
        <v>1</v>
      </c>
      <c r="C20" s="1" t="str">
        <f>VLOOKUP(A20,[7]LISTADHERENT!A$5:H$60,3,0)</f>
        <v>NANGUEN MARTIN</v>
      </c>
      <c r="D20" s="7">
        <f t="shared" si="1"/>
        <v>25000</v>
      </c>
      <c r="E20" s="7">
        <f>D20+VLOOKUP($A20,[6]HISTOFEV23!$A$7:$AU$40,45,0)+F20</f>
        <v>40000</v>
      </c>
      <c r="F20" s="7">
        <f>VLOOKUP($A20,[6]HISTOFEV23!$A$7:$AU$45,7,0)</f>
        <v>0</v>
      </c>
      <c r="G20" s="7" t="str">
        <f>VLOOKUP($A20,[6]HISTOFEV23!$A$7:$AU$45,8,0)</f>
        <v>BANQUE</v>
      </c>
      <c r="H20" s="7">
        <f>VLOOKUP($A20,[6]HISTOFEV23!$A$6:$AU$45,35,0)</f>
        <v>0</v>
      </c>
      <c r="I20" s="7">
        <f>VLOOKUP($A20,[6]HISTOFEV23!$A$7:$AU$45,38,0)</f>
        <v>0</v>
      </c>
      <c r="J20" s="7">
        <f>IF(I20=0,0,VLOOKUP($A20,[6]HISTOFEV23!$A$7:$AU$45,42,0))</f>
        <v>0</v>
      </c>
      <c r="K20" s="7">
        <f>VLOOKUP($A20,[6]HISTOFEV23!$A$7:$AU$45,41,0)</f>
        <v>0</v>
      </c>
      <c r="L20" s="7">
        <f>TONTJANV23!H20+TONTJANV23!I20</f>
        <v>0</v>
      </c>
      <c r="M20" s="7">
        <f>VLOOKUP($A20,[6]HISTOFEV23!$A$7:$AU$45,16,0)</f>
        <v>0</v>
      </c>
      <c r="N20" s="7" t="str">
        <f>IF(M20&lt;&gt;0,VLOOKUP($A20,[6]HISTOFEV23!$A$7:$AU$45,8,0),"ECHEC")</f>
        <v>ECHEC</v>
      </c>
      <c r="O20" s="7">
        <f>IF(R20=0,0,VLOOKUP($A20,[6]HISTOFEV23!$A$7:$AU$45,32,0))</f>
        <v>0</v>
      </c>
      <c r="P20" s="7">
        <f>VLOOKUP($A20,[6]HISTOFEV23!$A$7:$AU$45,33,0)</f>
        <v>0</v>
      </c>
      <c r="Q20" s="7">
        <f t="shared" si="0"/>
        <v>0</v>
      </c>
      <c r="R20" s="7">
        <f>VLOOKUP($A20,[6]HISTOFEV23!$A$7:$AU$45,29,0)</f>
        <v>0</v>
      </c>
    </row>
    <row r="21" spans="1:18" x14ac:dyDescent="0.25">
      <c r="A21" s="1" t="s">
        <v>20</v>
      </c>
      <c r="B21" s="7">
        <f>IF(D21=0,0,VLOOKUP($A21,[6]HISTOFEV23!$A$6:$BO$40,10,0))</f>
        <v>1</v>
      </c>
      <c r="C21" s="1" t="str">
        <f>VLOOKUP(A21,[7]LISTADHERENT!A$5:H$60,3,0)</f>
        <v>NANKAM APPOLINAIRE</v>
      </c>
      <c r="D21" s="7">
        <f t="shared" si="1"/>
        <v>25000</v>
      </c>
      <c r="E21" s="7">
        <f>D21+VLOOKUP($A21,[6]HISTOFEV23!$A$7:$AU$40,45,0)+F21</f>
        <v>40000</v>
      </c>
      <c r="F21" s="7">
        <f>VLOOKUP($A21,[6]HISTOFEV23!$A$7:$AU$45,7,0)</f>
        <v>0</v>
      </c>
      <c r="G21" s="7" t="str">
        <f>VLOOKUP($A21,[6]HISTOFEV23!$A$7:$AU$45,8,0)</f>
        <v>BANQUE</v>
      </c>
      <c r="H21" s="7">
        <f>VLOOKUP($A21,[6]HISTOFEV23!$A$6:$AU$45,35,0)</f>
        <v>0</v>
      </c>
      <c r="I21" s="7">
        <f>VLOOKUP($A21,[6]HISTOFEV23!$A$7:$AU$45,38,0)</f>
        <v>0</v>
      </c>
      <c r="J21" s="7">
        <f>IF(I21=0,0,VLOOKUP($A21,[6]HISTOFEV23!$A$7:$AU$45,42,0))</f>
        <v>0</v>
      </c>
      <c r="K21" s="7">
        <f>VLOOKUP($A21,[6]HISTOFEV23!$A$7:$AU$45,41,0)</f>
        <v>0</v>
      </c>
      <c r="L21" s="7">
        <f>TONTJANV23!H21+TONTJANV23!I21</f>
        <v>0</v>
      </c>
      <c r="M21" s="7">
        <f>VLOOKUP($A21,[6]HISTOFEV23!$A$7:$AU$45,16,0)</f>
        <v>0</v>
      </c>
      <c r="N21" s="7" t="str">
        <f>IF(M21&lt;&gt;0,VLOOKUP($A21,[6]HISTOFEV23!$A$7:$AU$45,8,0),"ECHEC")</f>
        <v>ECHEC</v>
      </c>
      <c r="O21" s="7">
        <f>IF(R21=0,0,VLOOKUP($A21,[6]HISTOFEV23!$A$7:$AU$45,32,0))</f>
        <v>0</v>
      </c>
      <c r="P21" s="7">
        <f>VLOOKUP($A21,[6]HISTOFEV23!$A$7:$AU$45,33,0)</f>
        <v>0</v>
      </c>
      <c r="Q21" s="7">
        <f t="shared" si="0"/>
        <v>0</v>
      </c>
      <c r="R21" s="7">
        <f>VLOOKUP($A21,[6]HISTOFEV23!$A$7:$AU$45,29,0)</f>
        <v>0</v>
      </c>
    </row>
    <row r="22" spans="1:18" x14ac:dyDescent="0.25">
      <c r="A22" s="1" t="s">
        <v>21</v>
      </c>
      <c r="B22" s="7">
        <f>IF(D22=0,0,VLOOKUP($A22,[6]HISTOFEV23!$A$6:$BO$40,10,0))</f>
        <v>1</v>
      </c>
      <c r="C22" s="1" t="str">
        <f>VLOOKUP(A22,[7]LISTADHERENT!A$5:H$60,3,0)</f>
        <v>NDJOMO ETIENNE</v>
      </c>
      <c r="D22" s="7">
        <f t="shared" si="1"/>
        <v>25000</v>
      </c>
      <c r="E22" s="7">
        <f>D22+VLOOKUP($A22,[6]HISTOFEV23!$A$7:$AU$40,45,0)+F22</f>
        <v>50000</v>
      </c>
      <c r="F22" s="7">
        <f>VLOOKUP($A22,[6]HISTOFEV23!$A$7:$AU$45,7,0)</f>
        <v>0</v>
      </c>
      <c r="G22" s="7" t="str">
        <f>VLOOKUP($A22,[6]HISTOFEV23!$A$7:$AU$45,8,0)</f>
        <v>BANQUE</v>
      </c>
      <c r="H22" s="7">
        <f>VLOOKUP($A22,[6]HISTOFEV23!$A$6:$AU$45,35,0)</f>
        <v>0</v>
      </c>
      <c r="I22" s="7">
        <f>VLOOKUP($A22,[6]HISTOFEV23!$A$7:$AU$45,38,0)</f>
        <v>0</v>
      </c>
      <c r="J22" s="7">
        <f>IF(I22=0,0,VLOOKUP($A22,[6]HISTOFEV23!$A$7:$AU$45,42,0))</f>
        <v>0</v>
      </c>
      <c r="K22" s="7">
        <f>VLOOKUP($A22,[6]HISTOFEV23!$A$7:$AU$45,41,0)</f>
        <v>0</v>
      </c>
      <c r="L22" s="7">
        <f>TONTJANV23!H22+TONTJANV23!I22</f>
        <v>0</v>
      </c>
      <c r="M22" s="7">
        <f>VLOOKUP($A22,[6]HISTOFEV23!$A$7:$AU$45,16,0)</f>
        <v>0</v>
      </c>
      <c r="N22" s="7" t="str">
        <f>IF(M22&lt;&gt;0,VLOOKUP($A22,[6]HISTOFEV23!$A$7:$AU$45,8,0),"ECHEC")</f>
        <v>ECHEC</v>
      </c>
      <c r="O22" s="7">
        <f>IF(R22=0,0,VLOOKUP($A22,[6]HISTOFEV23!$A$7:$AU$45,32,0))</f>
        <v>0</v>
      </c>
      <c r="P22" s="7">
        <f>VLOOKUP($A22,[6]HISTOFEV23!$A$7:$AU$45,33,0)</f>
        <v>0</v>
      </c>
      <c r="Q22" s="7">
        <f t="shared" si="0"/>
        <v>0</v>
      </c>
      <c r="R22" s="7">
        <f>VLOOKUP($A22,[6]HISTOFEV23!$A$7:$AU$45,29,0)</f>
        <v>0</v>
      </c>
    </row>
    <row r="23" spans="1:18" x14ac:dyDescent="0.25">
      <c r="A23" s="1" t="s">
        <v>22</v>
      </c>
      <c r="B23" s="7">
        <f>IF(D23=0,0,VLOOKUP($A23,[6]HISTOFEV23!$A$6:$BO$40,10,0))</f>
        <v>1</v>
      </c>
      <c r="C23" s="1" t="str">
        <f>VLOOKUP(A23,[7]LISTADHERENT!A$5:H$60,3,0)</f>
        <v>NGONDIEP CLAUDE</v>
      </c>
      <c r="D23" s="7">
        <f t="shared" si="1"/>
        <v>25000</v>
      </c>
      <c r="E23" s="7">
        <f>D23+VLOOKUP($A23,[6]HISTOFEV23!$A$7:$AU$40,45,0)+F23</f>
        <v>40000</v>
      </c>
      <c r="F23" s="7">
        <f>VLOOKUP($A23,[6]HISTOFEV23!$A$7:$AU$45,7,0)</f>
        <v>0</v>
      </c>
      <c r="G23" s="7" t="str">
        <f>VLOOKUP($A23,[6]HISTOFEV23!$A$7:$AU$45,8,0)</f>
        <v>BANQUE</v>
      </c>
      <c r="H23" s="7">
        <f>VLOOKUP($A23,[6]HISTOFEV23!$A$6:$AU$45,35,0)</f>
        <v>0</v>
      </c>
      <c r="I23" s="7">
        <f>VLOOKUP($A23,[6]HISTOFEV23!$A$7:$AU$45,38,0)</f>
        <v>0</v>
      </c>
      <c r="J23" s="7">
        <f>IF(I23=0,0,VLOOKUP($A23,[6]HISTOFEV23!$A$7:$AU$45,42,0))</f>
        <v>0</v>
      </c>
      <c r="K23" s="7">
        <f>VLOOKUP($A23,[6]HISTOFEV23!$A$7:$AU$45,41,0)</f>
        <v>0</v>
      </c>
      <c r="L23" s="7">
        <f>TONTJANV23!H23+TONTJANV23!I23</f>
        <v>26000</v>
      </c>
      <c r="M23" s="7">
        <f>VLOOKUP($A23,[6]HISTOFEV23!$A$7:$AU$45,16,0)</f>
        <v>26000</v>
      </c>
      <c r="N23" s="7" t="str">
        <f>IF(M23&lt;&gt;0,VLOOKUP($A23,[6]HISTOFEV23!$A$7:$AU$45,8,0),"ECHEC")</f>
        <v>BANQUE</v>
      </c>
      <c r="O23" s="7">
        <f>IF(R23=0,0,VLOOKUP($A23,[6]HISTOFEV23!$A$7:$AU$45,32,0))</f>
        <v>0</v>
      </c>
      <c r="P23" s="7">
        <f>VLOOKUP($A23,[6]HISTOFEV23!$A$7:$AU$45,33,0)</f>
        <v>0</v>
      </c>
      <c r="Q23" s="7">
        <f t="shared" si="0"/>
        <v>0</v>
      </c>
      <c r="R23" s="7">
        <f>VLOOKUP($A23,[6]HISTOFEV23!$A$7:$AU$45,29,0)</f>
        <v>0</v>
      </c>
    </row>
    <row r="24" spans="1:18" x14ac:dyDescent="0.25">
      <c r="A24" s="1" t="s">
        <v>23</v>
      </c>
      <c r="B24" s="7">
        <f>IF(D24=0,0,VLOOKUP($A24,[6]HISTOFEV23!$A$6:$BO$40,10,0))</f>
        <v>1</v>
      </c>
      <c r="C24" s="1" t="str">
        <f>VLOOKUP(A24,[7]LISTADHERENT!A$5:H$60,3,0)</f>
        <v>NGUIEMEGNI MATHIEU BLAISE</v>
      </c>
      <c r="D24" s="7">
        <f t="shared" si="1"/>
        <v>25000</v>
      </c>
      <c r="E24" s="7">
        <f>D24+VLOOKUP($A24,[6]HISTOFEV23!$A$7:$AU$40,45,0)+F24</f>
        <v>40000</v>
      </c>
      <c r="F24" s="7">
        <f>VLOOKUP($A24,[6]HISTOFEV23!$A$7:$AU$45,7,0)</f>
        <v>0</v>
      </c>
      <c r="G24" s="7" t="str">
        <f>VLOOKUP($A24,[6]HISTOFEV23!$A$7:$AU$45,8,0)</f>
        <v>BANQUE</v>
      </c>
      <c r="H24" s="7">
        <f>VLOOKUP($A24,[6]HISTOFEV23!$A$6:$AU$45,35,0)</f>
        <v>0</v>
      </c>
      <c r="I24" s="7">
        <f>VLOOKUP($A24,[6]HISTOFEV23!$A$7:$AU$45,38,0)</f>
        <v>0</v>
      </c>
      <c r="J24" s="7">
        <f>IF(I24=0,0,VLOOKUP($A24,[6]HISTOFEV23!$A$7:$AU$45,42,0))</f>
        <v>0</v>
      </c>
      <c r="K24" s="7">
        <f>VLOOKUP($A24,[6]HISTOFEV23!$A$7:$AU$45,41,0)</f>
        <v>0</v>
      </c>
      <c r="L24" s="7">
        <f>TONTJANV23!H24+TONTJANV23!I24</f>
        <v>31000</v>
      </c>
      <c r="M24" s="7">
        <f>VLOOKUP($A24,[6]HISTOFEV23!$A$7:$AU$45,16,0)</f>
        <v>31000</v>
      </c>
      <c r="N24" s="7" t="str">
        <f>IF(M24&lt;&gt;0,VLOOKUP($A24,[6]HISTOFEV23!$A$7:$AU$45,8,0),"ECHEC")</f>
        <v>BANQUE</v>
      </c>
      <c r="O24" s="7" t="str">
        <f>IF(R24=0,0,VLOOKUP($A24,[6]HISTOFEV23!$A$7:$AU$45,32,0))</f>
        <v>BANQUE</v>
      </c>
      <c r="P24" s="7">
        <f>VLOOKUP($A24,[6]HISTOFEV23!$A$7:$AU$45,33,0)</f>
        <v>0</v>
      </c>
      <c r="Q24" s="7">
        <f t="shared" si="0"/>
        <v>318500</v>
      </c>
      <c r="R24" s="7">
        <f>VLOOKUP($A24,[6]HISTOFEV23!$A$7:$AU$45,29,0)</f>
        <v>7500</v>
      </c>
    </row>
    <row r="25" spans="1:18" x14ac:dyDescent="0.25">
      <c r="A25" s="1" t="s">
        <v>24</v>
      </c>
      <c r="B25" s="7">
        <f>IF(D25=0,0,VLOOKUP($A25,[6]HISTOFEV23!$A$6:$BO$40,10,0))</f>
        <v>1</v>
      </c>
      <c r="C25" s="1" t="str">
        <f>VLOOKUP(A25,[7]LISTADHERENT!A$5:H$60,3,0)</f>
        <v>NKAMGANG JUSTIN DEJOLIE</v>
      </c>
      <c r="D25" s="7">
        <f t="shared" si="1"/>
        <v>25000</v>
      </c>
      <c r="E25" s="7">
        <f>D25+VLOOKUP($A25,[6]HISTOFEV23!$A$7:$AU$40,45,0)+F25</f>
        <v>40000</v>
      </c>
      <c r="F25" s="7">
        <f>VLOOKUP($A25,[6]HISTOFEV23!$A$7:$AU$45,7,0)</f>
        <v>0</v>
      </c>
      <c r="G25" s="7" t="str">
        <f>VLOOKUP($A25,[6]HISTOFEV23!$A$7:$AU$45,8,0)</f>
        <v>ESPECES</v>
      </c>
      <c r="H25" s="7">
        <f>VLOOKUP($A25,[6]HISTOFEV23!$A$6:$AU$45,35,0)</f>
        <v>40000</v>
      </c>
      <c r="I25" s="7">
        <f>VLOOKUP($A25,[6]HISTOFEV23!$A$7:$AU$45,38,0)</f>
        <v>1000</v>
      </c>
      <c r="J25" s="7" t="str">
        <f>IF(I25=0,0,VLOOKUP($A25,[6]HISTOFEV23!$A$7:$AU$45,42,0))</f>
        <v>BANQUE</v>
      </c>
      <c r="K25" s="7">
        <f>VLOOKUP($A25,[6]HISTOFEV23!$A$7:$AU$45,41,0)</f>
        <v>0</v>
      </c>
      <c r="L25" s="7">
        <f>TONTJANV23!H25+TONTJANV23!I25</f>
        <v>62000</v>
      </c>
      <c r="M25" s="7">
        <f>VLOOKUP($A25,[6]HISTOFEV23!$A$7:$AU$45,16,0)</f>
        <v>62000</v>
      </c>
      <c r="N25" s="7" t="str">
        <f>IF(M25&lt;&gt;0,VLOOKUP($A25,[6]HISTOFEV23!$A$7:$AU$45,8,0),"ECHEC")</f>
        <v>ESPECES</v>
      </c>
      <c r="O25" s="7" t="str">
        <f>IF(R25=0,0,VLOOKUP($A25,[6]HISTOFEV23!$A$7:$AU$45,32,0))</f>
        <v>BANQUE</v>
      </c>
      <c r="P25" s="7">
        <f>VLOOKUP($A25,[6]HISTOFEV23!$A$7:$AU$45,33,0)</f>
        <v>0</v>
      </c>
      <c r="Q25" s="7">
        <f t="shared" si="0"/>
        <v>322500</v>
      </c>
      <c r="R25" s="7">
        <f>VLOOKUP($A25,[6]HISTOFEV23!$A$7:$AU$45,29,0)</f>
        <v>3500</v>
      </c>
    </row>
    <row r="26" spans="1:18" x14ac:dyDescent="0.25">
      <c r="A26" s="1" t="s">
        <v>103</v>
      </c>
      <c r="B26" s="7">
        <f>IF(D26=0,0,VLOOKUP($A26,[6]HISTOFEV23!$A$6:$BO$40,10,0))</f>
        <v>1</v>
      </c>
      <c r="C26" s="1" t="str">
        <f>VLOOKUP(A26,[7]LISTADHERENT!A$5:H$60,3,0)</f>
        <v>NOUBE ETIENNE</v>
      </c>
      <c r="D26" s="7">
        <f t="shared" si="1"/>
        <v>25000</v>
      </c>
      <c r="E26" s="7">
        <f>D26+VLOOKUP($A26,[6]HISTOFEV23!$A$7:$AU$40,45,0)+F26</f>
        <v>40000</v>
      </c>
      <c r="F26" s="7">
        <f>VLOOKUP($A26,[6]HISTOFEV23!$A$7:$AU$45,7,0)</f>
        <v>0</v>
      </c>
      <c r="G26" s="7" t="str">
        <f>VLOOKUP($A26,[6]HISTOFEV23!$A$7:$AU$45,8,0)</f>
        <v>BANQUE</v>
      </c>
      <c r="H26" s="7">
        <f>VLOOKUP($A26,[6]HISTOFEV23!$A$6:$AU$45,35,0)</f>
        <v>0</v>
      </c>
      <c r="I26" s="7">
        <f>VLOOKUP($A26,[6]HISTOFEV23!$A$7:$AU$45,38,0)</f>
        <v>0</v>
      </c>
      <c r="J26" s="7">
        <f>IF(I26=0,0,VLOOKUP($A26,[6]HISTOFEV23!$A$7:$AU$45,42,0))</f>
        <v>0</v>
      </c>
      <c r="K26" s="7">
        <f>VLOOKUP($A26,[6]HISTOFEV23!$A$7:$AU$45,41,0)</f>
        <v>0</v>
      </c>
      <c r="L26" s="7">
        <f>TONTJANV23!H26+TONTJANV23!I26</f>
        <v>0</v>
      </c>
      <c r="M26" s="7">
        <f>VLOOKUP($A26,[6]HISTOFEV23!$A$7:$AU$45,16,0)</f>
        <v>0</v>
      </c>
      <c r="N26" s="7" t="str">
        <f>IF(M26&lt;&gt;0,VLOOKUP($A26,[6]HISTOFEV23!$A$7:$AU$45,8,0),"ECHEC")</f>
        <v>ECHEC</v>
      </c>
      <c r="O26" s="7">
        <f>IF(R26=0,0,VLOOKUP($A26,[6]HISTOFEV23!$A$7:$AU$45,32,0))</f>
        <v>0</v>
      </c>
      <c r="P26" s="7">
        <f>VLOOKUP($A26,[6]HISTOFEV23!$A$7:$AU$45,33,0)</f>
        <v>0</v>
      </c>
      <c r="Q26" s="7">
        <f t="shared" si="0"/>
        <v>0</v>
      </c>
      <c r="R26" s="7">
        <f>VLOOKUP($A26,[6]HISTOFEV23!$A$7:$AU$45,29,0)</f>
        <v>0</v>
      </c>
    </row>
    <row r="27" spans="1:18" x14ac:dyDescent="0.25">
      <c r="A27" s="1" t="s">
        <v>26</v>
      </c>
      <c r="B27" s="7">
        <f>IF(D27=0,0,VLOOKUP($A27,[6]HISTOFEV23!$A$6:$BO$40,10,0))</f>
        <v>1</v>
      </c>
      <c r="C27" s="1" t="str">
        <f>VLOOKUP(A27,[7]LISTADHERENT!A$5:H$60,3,0)</f>
        <v>PATEGO NJOSSU GUSTAVE</v>
      </c>
      <c r="D27" s="7">
        <f t="shared" si="1"/>
        <v>25000</v>
      </c>
      <c r="E27" s="7">
        <f>D27+VLOOKUP($A27,[6]HISTOFEV23!$A$7:$AU$40,45,0)+F27</f>
        <v>40000</v>
      </c>
      <c r="F27" s="7">
        <f>VLOOKUP($A27,[6]HISTOFEV23!$A$7:$AU$45,7,0)</f>
        <v>0</v>
      </c>
      <c r="G27" s="7" t="str">
        <f>VLOOKUP($A27,[6]HISTOFEV23!$A$7:$AU$45,8,0)</f>
        <v>BANQUE</v>
      </c>
      <c r="H27" s="7">
        <f>VLOOKUP($A27,[6]HISTOFEV23!$A$6:$AU$45,35,0)</f>
        <v>0</v>
      </c>
      <c r="I27" s="7">
        <f>VLOOKUP($A27,[6]HISTOFEV23!$A$7:$AU$45,38,0)</f>
        <v>0</v>
      </c>
      <c r="J27" s="7">
        <f>IF(I27=0,0,VLOOKUP($A27,[6]HISTOFEV23!$A$7:$AU$45,42,0))</f>
        <v>0</v>
      </c>
      <c r="K27" s="7">
        <f>VLOOKUP($A27,[6]HISTOFEV23!$A$7:$AU$45,41,0)</f>
        <v>0</v>
      </c>
      <c r="L27" s="7">
        <f>TONTJANV23!H27+TONTJANV23!I27</f>
        <v>0</v>
      </c>
      <c r="M27" s="7">
        <f>VLOOKUP($A27,[6]HISTOFEV23!$A$7:$AU$45,16,0)</f>
        <v>0</v>
      </c>
      <c r="N27" s="7" t="str">
        <f>IF(M27&lt;&gt;0,VLOOKUP($A27,[6]HISTOFEV23!$A$7:$AU$45,8,0),"ECHEC")</f>
        <v>ECHEC</v>
      </c>
      <c r="O27" s="7">
        <f>IF(R27=0,0,VLOOKUP($A27,[6]HISTOFEV23!$A$7:$AU$45,32,0))</f>
        <v>0</v>
      </c>
      <c r="P27" s="7">
        <f>VLOOKUP($A27,[6]HISTOFEV23!$A$7:$AU$45,33,0)</f>
        <v>0</v>
      </c>
      <c r="Q27" s="7">
        <f t="shared" si="0"/>
        <v>0</v>
      </c>
      <c r="R27" s="7">
        <f>VLOOKUP($A27,[6]HISTOFEV23!$A$7:$AU$45,29,0)</f>
        <v>0</v>
      </c>
    </row>
    <row r="28" spans="1:18" x14ac:dyDescent="0.25">
      <c r="A28" s="1" t="s">
        <v>104</v>
      </c>
      <c r="B28" s="7">
        <f>IF(D28=0,0,VLOOKUP($A28,[6]HISTOFEV23!$A$6:$BO$40,10,0))</f>
        <v>1</v>
      </c>
      <c r="C28" s="1" t="str">
        <f>VLOOKUP(A28,[7]LISTADHERENT!A$5:H$60,3,0)</f>
        <v>SEUMO POLYCARPE</v>
      </c>
      <c r="D28" s="7">
        <f t="shared" si="1"/>
        <v>25000</v>
      </c>
      <c r="E28" s="7">
        <f>D28+VLOOKUP($A28,[6]HISTOFEV23!$A$7:$AU$40,45,0)+F28</f>
        <v>40000</v>
      </c>
      <c r="F28" s="7">
        <f>VLOOKUP($A28,[6]HISTOFEV23!$A$7:$AU$45,7,0)</f>
        <v>0</v>
      </c>
      <c r="G28" s="7" t="str">
        <f>VLOOKUP($A28,[6]HISTOFEV23!$A$7:$AU$45,8,0)</f>
        <v>BANQUE</v>
      </c>
      <c r="H28" s="7">
        <f>VLOOKUP($A28,[6]HISTOFEV23!$A$6:$AU$45,35,0)</f>
        <v>0</v>
      </c>
      <c r="I28" s="7">
        <f>VLOOKUP($A28,[6]HISTOFEV23!$A$7:$AU$45,38,0)</f>
        <v>0</v>
      </c>
      <c r="J28" s="7">
        <f>IF(I28=0,0,VLOOKUP($A28,[6]HISTOFEV23!$A$7:$AU$45,42,0))</f>
        <v>0</v>
      </c>
      <c r="K28" s="7">
        <f>VLOOKUP($A28,[6]HISTOFEV23!$A$7:$AU$45,41,0)</f>
        <v>0</v>
      </c>
      <c r="L28" s="7">
        <f>TONTJANV23!H28+TONTJANV23!I28</f>
        <v>0</v>
      </c>
      <c r="M28" s="7">
        <f>VLOOKUP($A28,[6]HISTOFEV23!$A$7:$AU$45,16,0)</f>
        <v>0</v>
      </c>
      <c r="N28" s="7" t="str">
        <f>IF(M28&lt;&gt;0,VLOOKUP($A28,[6]HISTOFEV23!$A$7:$AU$45,8,0),"ECHEC")</f>
        <v>ECHEC</v>
      </c>
      <c r="O28" s="7">
        <f>IF(R28=0,0,VLOOKUP($A28,[6]HISTOFEV23!$A$7:$AU$45,32,0))</f>
        <v>0</v>
      </c>
      <c r="P28" s="7">
        <f>VLOOKUP($A28,[6]HISTOFEV23!$A$7:$AU$45,33,0)</f>
        <v>0</v>
      </c>
      <c r="Q28" s="7">
        <f t="shared" si="0"/>
        <v>0</v>
      </c>
      <c r="R28" s="7">
        <f>VLOOKUP($A28,[6]HISTOFEV23!$A$7:$AU$45,29,0)</f>
        <v>0</v>
      </c>
    </row>
    <row r="29" spans="1:18" x14ac:dyDescent="0.25">
      <c r="A29" s="1" t="s">
        <v>51</v>
      </c>
      <c r="B29" s="7">
        <f>IF(D29=0,0,VLOOKUP($A29,[6]HISTOFEV23!$A$6:$BO$40,10,0))</f>
        <v>1</v>
      </c>
      <c r="C29" s="1" t="str">
        <f>VLOOKUP(A29,[7]LISTADHERENT!A$5:H$60,3,0)</f>
        <v>SIME BRICE</v>
      </c>
      <c r="D29" s="7">
        <f t="shared" si="1"/>
        <v>25000</v>
      </c>
      <c r="E29" s="7">
        <f>D29+VLOOKUP($A29,[6]HISTOFEV23!$A$7:$AU$40,45,0)+F29</f>
        <v>40000</v>
      </c>
      <c r="F29" s="7">
        <f>VLOOKUP($A29,[6]HISTOFEV23!$A$7:$AU$45,7,0)</f>
        <v>0</v>
      </c>
      <c r="G29" s="7" t="str">
        <f>VLOOKUP($A29,[6]HISTOFEV23!$A$7:$AU$45,8,0)</f>
        <v>BANQUE</v>
      </c>
      <c r="H29" s="7">
        <f>VLOOKUP($A29,[6]HISTOFEV23!$A$6:$AU$45,35,0)</f>
        <v>0</v>
      </c>
      <c r="I29" s="7">
        <f>VLOOKUP($A29,[6]HISTOFEV23!$A$7:$AU$45,38,0)</f>
        <v>0</v>
      </c>
      <c r="J29" s="7">
        <f>IF(I29=0,0,VLOOKUP($A29,[6]HISTOFEV23!$A$7:$AU$45,42,0))</f>
        <v>0</v>
      </c>
      <c r="K29" s="7">
        <f>VLOOKUP($A29,[6]HISTOFEV23!$A$7:$AU$45,41,0)</f>
        <v>0</v>
      </c>
      <c r="L29" s="7">
        <f>TONTJANV23!H29+TONTJANV23!I29</f>
        <v>0</v>
      </c>
      <c r="M29" s="7">
        <f>VLOOKUP($A29,[6]HISTOFEV23!$A$7:$AU$45,16,0)</f>
        <v>0</v>
      </c>
      <c r="N29" s="7" t="str">
        <f>IF(M29&lt;&gt;0,VLOOKUP($A29,[6]HISTOFEV23!$A$7:$AU$45,8,0),"ECHEC")</f>
        <v>ECHEC</v>
      </c>
      <c r="O29" s="7">
        <f>IF(R29=0,0,VLOOKUP($A29,[6]HISTOFEV23!$A$7:$AU$45,32,0))</f>
        <v>0</v>
      </c>
      <c r="P29" s="7">
        <f>VLOOKUP($A29,[6]HISTOFEV23!$A$7:$AU$45,33,0)</f>
        <v>0</v>
      </c>
      <c r="Q29" s="7">
        <f t="shared" si="0"/>
        <v>0</v>
      </c>
      <c r="R29" s="7">
        <f>VLOOKUP($A29,[6]HISTOFEV23!$A$7:$AU$45,29,0)</f>
        <v>0</v>
      </c>
    </row>
    <row r="30" spans="1:18" x14ac:dyDescent="0.25">
      <c r="A30" s="1" t="s">
        <v>29</v>
      </c>
      <c r="B30" s="7">
        <f>IF(D30=0,0,VLOOKUP($A30,[6]HISTOFEV23!$A$6:$BO$40,10,0))</f>
        <v>1</v>
      </c>
      <c r="C30" s="1" t="str">
        <f>VLOOKUP(A30,[7]LISTADHERENT!A$5:H$60,3,0)</f>
        <v>SIMO PIERRE</v>
      </c>
      <c r="D30" s="7">
        <f t="shared" si="1"/>
        <v>25000</v>
      </c>
      <c r="E30" s="7">
        <f>D30+VLOOKUP($A30,[6]HISTOFEV23!$A$7:$AU$40,45,0)+F30</f>
        <v>40000</v>
      </c>
      <c r="F30" s="7">
        <f>VLOOKUP($A30,[6]HISTOFEV23!$A$7:$AU$45,7,0)</f>
        <v>0</v>
      </c>
      <c r="G30" s="7" t="str">
        <f>VLOOKUP($A30,[6]HISTOFEV23!$A$7:$AU$45,8,0)</f>
        <v>ESPECES</v>
      </c>
      <c r="H30" s="7">
        <f>VLOOKUP($A30,[6]HISTOFEV23!$A$6:$AU$45,35,0)</f>
        <v>0</v>
      </c>
      <c r="I30" s="7">
        <f>VLOOKUP($A30,[6]HISTOFEV23!$A$7:$AU$45,38,0)</f>
        <v>0</v>
      </c>
      <c r="J30" s="7">
        <f>IF(I30=0,0,VLOOKUP($A30,[6]HISTOFEV23!$A$7:$AU$45,42,0))</f>
        <v>0</v>
      </c>
      <c r="K30" s="7">
        <f>VLOOKUP($A30,[6]HISTOFEV23!$A$7:$AU$45,41,0)</f>
        <v>0</v>
      </c>
      <c r="L30" s="7">
        <f>TONTJANV23!H30+TONTJANV23!I30</f>
        <v>0</v>
      </c>
      <c r="M30" s="7">
        <f>VLOOKUP($A30,[6]HISTOFEV23!$A$7:$AU$45,16,0)</f>
        <v>0</v>
      </c>
      <c r="N30" s="7" t="str">
        <f>IF(M30&lt;&gt;0,VLOOKUP($A30,[6]HISTOFEV23!$A$7:$AU$45,8,0),"ECHEC")</f>
        <v>ECHEC</v>
      </c>
      <c r="O30" s="7">
        <f>IF(R30=0,0,VLOOKUP($A30,[6]HISTOFEV23!$A$7:$AU$45,32,0))</f>
        <v>0</v>
      </c>
      <c r="P30" s="7">
        <f>VLOOKUP($A30,[6]HISTOFEV23!$A$7:$AU$45,33,0)</f>
        <v>0</v>
      </c>
      <c r="Q30" s="7">
        <f t="shared" si="0"/>
        <v>0</v>
      </c>
      <c r="R30" s="7">
        <f>VLOOKUP($A30,[6]HISTOFEV23!$A$7:$AU$45,29,0)</f>
        <v>0</v>
      </c>
    </row>
    <row r="31" spans="1:18" x14ac:dyDescent="0.25">
      <c r="A31" s="1" t="s">
        <v>31</v>
      </c>
      <c r="B31" s="7">
        <f>IF(D31=0,0,VLOOKUP($A31,[6]HISTOFEV23!$A$6:$BO$40,10,0))</f>
        <v>1</v>
      </c>
      <c r="C31" s="1" t="str">
        <f>VLOOKUP(A31,[7]LISTADHERENT!A$5:H$60,3,0)</f>
        <v>TCHOUAMOU MATHIEU</v>
      </c>
      <c r="D31" s="7">
        <f t="shared" si="1"/>
        <v>25000</v>
      </c>
      <c r="E31" s="7">
        <f>D31+VLOOKUP($A31,[6]HISTOFEV23!$A$7:$AU$40,45,0)+F31</f>
        <v>40000</v>
      </c>
      <c r="F31" s="7">
        <f>VLOOKUP($A31,[6]HISTOFEV23!$A$7:$AU$45,7,0)</f>
        <v>0</v>
      </c>
      <c r="G31" s="7" t="str">
        <f>VLOOKUP($A31,[6]HISTOFEV23!$A$7:$AU$45,8,0)</f>
        <v>BANQUE</v>
      </c>
      <c r="H31" s="7">
        <f>VLOOKUP($A31,[6]HISTOFEV23!$A$6:$AU$45,35,0)</f>
        <v>0</v>
      </c>
      <c r="I31" s="7">
        <f>VLOOKUP($A31,[6]HISTOFEV23!$A$7:$AU$45,38,0)</f>
        <v>0</v>
      </c>
      <c r="J31" s="7">
        <f>IF(I31=0,0,VLOOKUP($A31,[6]HISTOFEV23!$A$7:$AU$45,42,0))</f>
        <v>0</v>
      </c>
      <c r="K31" s="7">
        <f>VLOOKUP($A31,[6]HISTOFEV23!$A$7:$AU$45,41,0)</f>
        <v>0</v>
      </c>
      <c r="L31" s="7">
        <f>TONTJANV23!H31+TONTJANV23!I31</f>
        <v>0</v>
      </c>
      <c r="M31" s="7">
        <f>VLOOKUP($A31,[6]HISTOFEV23!$A$7:$AU$45,16,0)</f>
        <v>0</v>
      </c>
      <c r="N31" s="7" t="str">
        <f>IF(M31&lt;&gt;0,VLOOKUP($A31,[6]HISTOFEV23!$A$7:$AU$45,8,0),"ECHEC")</f>
        <v>ECHEC</v>
      </c>
      <c r="O31" s="7">
        <f>IF(R31=0,0,VLOOKUP($A31,[6]HISTOFEV23!$A$7:$AU$45,32,0))</f>
        <v>0</v>
      </c>
      <c r="P31" s="7">
        <f>VLOOKUP($A31,[6]HISTOFEV23!$A$7:$AU$45,33,0)</f>
        <v>0</v>
      </c>
      <c r="Q31" s="7">
        <f t="shared" si="0"/>
        <v>0</v>
      </c>
      <c r="R31" s="7">
        <f>VLOOKUP($A31,[6]HISTOFEV23!$A$7:$AU$45,29,0)</f>
        <v>0</v>
      </c>
    </row>
    <row r="32" spans="1:18" x14ac:dyDescent="0.25">
      <c r="A32" s="1" t="s">
        <v>105</v>
      </c>
      <c r="B32" s="7">
        <f>IF(D32=0,0,VLOOKUP($A32,[6]HISTOFEV23!$A$6:$BO$40,10,0))</f>
        <v>1</v>
      </c>
      <c r="C32" s="1" t="str">
        <f>VLOOKUP(A32,[7]LISTADHERENT!A$5:H$60,3,0)</f>
        <v>TCHOUTOU NANA CLAUDE</v>
      </c>
      <c r="D32" s="7">
        <f t="shared" si="1"/>
        <v>25000</v>
      </c>
      <c r="E32" s="7">
        <f>D32+VLOOKUP($A32,[6]HISTOFEV23!$A$7:$AU$40,45,0)+F32</f>
        <v>40000</v>
      </c>
      <c r="F32" s="7">
        <f>VLOOKUP($A32,[6]HISTOFEV23!$A$7:$AU$45,7,0)</f>
        <v>0</v>
      </c>
      <c r="G32" s="7" t="str">
        <f>VLOOKUP($A32,[6]HISTOFEV23!$A$7:$AU$45,8,0)</f>
        <v>ESPECES</v>
      </c>
      <c r="H32" s="7">
        <f>VLOOKUP($A32,[6]HISTOFEV23!$A$6:$AU$45,35,0)</f>
        <v>0</v>
      </c>
      <c r="I32" s="7">
        <f>VLOOKUP($A32,[6]HISTOFEV23!$A$7:$AU$45,38,0)</f>
        <v>0</v>
      </c>
      <c r="J32" s="7">
        <f>IF(I32=0,0,VLOOKUP($A32,[6]HISTOFEV23!$A$7:$AU$45,42,0))</f>
        <v>0</v>
      </c>
      <c r="K32" s="7">
        <f>VLOOKUP($A32,[6]HISTOFEV23!$A$7:$AU$45,41,0)</f>
        <v>0</v>
      </c>
      <c r="L32" s="7">
        <f>TONTJANV23!H32+TONTJANV23!I32</f>
        <v>0</v>
      </c>
      <c r="M32" s="7">
        <f>VLOOKUP($A32,[6]HISTOFEV23!$A$7:$AU$45,16,0)</f>
        <v>0</v>
      </c>
      <c r="N32" s="7" t="str">
        <f>IF(M32&lt;&gt;0,VLOOKUP($A32,[6]HISTOFEV23!$A$7:$AU$45,8,0),"ECHEC")</f>
        <v>ECHEC</v>
      </c>
      <c r="O32" s="7">
        <f>IF(R32=0,0,VLOOKUP($A32,[6]HISTOFEV23!$A$7:$AU$45,32,0))</f>
        <v>0</v>
      </c>
      <c r="P32" s="7">
        <f>VLOOKUP($A32,[6]HISTOFEV23!$A$7:$AU$45,33,0)</f>
        <v>0</v>
      </c>
      <c r="Q32" s="7">
        <f t="shared" si="0"/>
        <v>0</v>
      </c>
      <c r="R32" s="7">
        <f>VLOOKUP($A32,[6]HISTOFEV23!$A$7:$AU$45,29,0)</f>
        <v>0</v>
      </c>
    </row>
    <row r="33" spans="1:18" x14ac:dyDescent="0.25">
      <c r="A33" s="1" t="s">
        <v>106</v>
      </c>
      <c r="B33" s="7">
        <f>IF(D33=0,0,VLOOKUP($A33,[6]HISTOFEV23!$A$6:$BO$40,10,0))</f>
        <v>1</v>
      </c>
      <c r="C33" s="1" t="str">
        <f>VLOOKUP(A33,[7]LISTADHERENT!A$5:H$60,3,0)</f>
        <v>YANTCHOU GERVAIS</v>
      </c>
      <c r="D33" s="7">
        <f t="shared" si="1"/>
        <v>25000</v>
      </c>
      <c r="E33" s="7">
        <f>D33+VLOOKUP($A33,[6]HISTOFEV23!$A$7:$AU$40,45,0)+F33</f>
        <v>40000</v>
      </c>
      <c r="F33" s="7">
        <f>VLOOKUP($A33,[6]HISTOFEV23!$A$7:$AU$45,7,0)</f>
        <v>0</v>
      </c>
      <c r="G33" s="7" t="str">
        <f>VLOOKUP($A33,[6]HISTOFEV23!$A$7:$AU$45,8,0)</f>
        <v>BANQUE</v>
      </c>
      <c r="H33" s="7">
        <f>VLOOKUP($A33,[6]HISTOFEV23!$A$6:$AU$45,35,0)</f>
        <v>0</v>
      </c>
      <c r="I33" s="7">
        <f>VLOOKUP($A33,[6]HISTOFEV23!$A$7:$AU$45,38,0)</f>
        <v>0</v>
      </c>
      <c r="J33" s="7">
        <f>IF(I33=0,0,VLOOKUP($A33,[6]HISTOFEV23!$A$7:$AU$45,42,0))</f>
        <v>0</v>
      </c>
      <c r="K33" s="7">
        <f>VLOOKUP($A33,[6]HISTOFEV23!$A$7:$AU$45,41,0)</f>
        <v>0</v>
      </c>
      <c r="L33" s="7">
        <f>TONTJANV23!H33+TONTJANV23!I33</f>
        <v>0</v>
      </c>
      <c r="M33" s="7">
        <f>VLOOKUP($A33,[6]HISTOFEV23!$A$7:$AU$45,16,0)</f>
        <v>0</v>
      </c>
      <c r="N33" s="7" t="str">
        <f>IF(M33&lt;&gt;0,VLOOKUP($A33,[6]HISTOFEV23!$A$7:$AU$45,8,0),"ECHEC")</f>
        <v>ECHEC</v>
      </c>
      <c r="O33" s="7">
        <f>IF(R33=0,0,VLOOKUP($A33,[6]HISTOFEV23!$A$7:$AU$45,32,0))</f>
        <v>0</v>
      </c>
      <c r="P33" s="7">
        <f>VLOOKUP($A33,[6]HISTOFEV23!$A$7:$AU$45,33,0)</f>
        <v>0</v>
      </c>
      <c r="Q33" s="7">
        <f t="shared" si="0"/>
        <v>0</v>
      </c>
      <c r="R33" s="7">
        <f>VLOOKUP($A33,[6]HISTOFEV23!$A$7:$AU$45,29,0)</f>
        <v>0</v>
      </c>
    </row>
    <row r="34" spans="1:18" x14ac:dyDescent="0.25">
      <c r="A34" s="1" t="s">
        <v>32</v>
      </c>
      <c r="B34" s="7">
        <f>IF(D34=0,0,VLOOKUP($A34,[6]HISTOFEV23!$A$6:$BO$40,10,0))</f>
        <v>1</v>
      </c>
      <c r="C34" s="1" t="str">
        <f>VLOOKUP(A34,[7]LISTADHERENT!A$5:H$60,3,0)</f>
        <v>YEPMOU JEAN JACQUES</v>
      </c>
      <c r="D34" s="7">
        <f t="shared" si="1"/>
        <v>25000</v>
      </c>
      <c r="E34" s="7">
        <f>D34+VLOOKUP($A34,[6]HISTOFEV23!$A$7:$AU$40,45,0)+F34</f>
        <v>40000</v>
      </c>
      <c r="F34" s="7">
        <f>VLOOKUP($A34,[6]HISTOFEV23!$A$7:$AU$45,7,0)</f>
        <v>0</v>
      </c>
      <c r="G34" s="7" t="str">
        <f>VLOOKUP($A34,[6]HISTOFEV23!$A$7:$AU$45,8,0)</f>
        <v>BANQUE</v>
      </c>
      <c r="H34" s="7">
        <f>VLOOKUP($A34,[6]HISTOFEV23!$A$6:$AU$45,35,0)</f>
        <v>0</v>
      </c>
      <c r="I34" s="7">
        <f>VLOOKUP($A34,[6]HISTOFEV23!$A$7:$AU$45,38,0)</f>
        <v>0</v>
      </c>
      <c r="J34" s="7">
        <f>IF(I34=0,0,VLOOKUP($A34,[6]HISTOFEV23!$A$7:$AU$45,42,0))</f>
        <v>0</v>
      </c>
      <c r="K34" s="7">
        <f>VLOOKUP($A34,[6]HISTOFEV23!$A$7:$AU$45,41,0)</f>
        <v>0</v>
      </c>
      <c r="L34" s="7">
        <f>TONTJANV23!H34+TONTJANV23!I34</f>
        <v>0</v>
      </c>
      <c r="M34" s="7">
        <f>VLOOKUP($A34,[6]HISTOFEV23!$A$7:$AU$45,16,0)</f>
        <v>0</v>
      </c>
      <c r="N34" s="7" t="str">
        <f>IF(M34&lt;&gt;0,VLOOKUP($A34,[6]HISTOFEV23!$A$7:$AU$45,8,0),"ECHEC")</f>
        <v>ECHEC</v>
      </c>
      <c r="O34" s="7">
        <f>IF(R34=0,0,VLOOKUP($A34,[6]HISTOFEV23!$A$7:$AU$45,32,0))</f>
        <v>0</v>
      </c>
      <c r="P34" s="7">
        <f>VLOOKUP($A34,[6]HISTOFEV23!$A$7:$AU$45,33,0)</f>
        <v>0</v>
      </c>
      <c r="Q34" s="7">
        <f t="shared" si="0"/>
        <v>0</v>
      </c>
      <c r="R34" s="7">
        <f>VLOOKUP($A34,[6]HISTOFEV23!$A$7:$AU$45,29,0)</f>
        <v>0</v>
      </c>
    </row>
    <row r="35" spans="1:18" x14ac:dyDescent="0.25">
      <c r="A35" s="1" t="s">
        <v>33</v>
      </c>
      <c r="B35" s="7">
        <f>IF(D35=0,0,VLOOKUP($A35,[6]HISTOFEV23!$A$6:$BO$40,10,0))</f>
        <v>1</v>
      </c>
      <c r="C35" s="1" t="str">
        <f>VLOOKUP(A35,[7]LISTADHERENT!A$5:H$60,3,0)</f>
        <v>YOUMBI EMMANUEL</v>
      </c>
      <c r="D35" s="7">
        <f t="shared" si="1"/>
        <v>25000</v>
      </c>
      <c r="E35" s="7">
        <f>D35+VLOOKUP($A35,[6]HISTOFEV23!$A$7:$AU$40,45,0)+F35</f>
        <v>40000</v>
      </c>
      <c r="F35" s="7">
        <f>VLOOKUP($A35,[6]HISTOFEV23!$A$7:$AU$45,7,0)</f>
        <v>0</v>
      </c>
      <c r="G35" s="7" t="str">
        <f>VLOOKUP($A35,[6]HISTOFEV23!$A$7:$AU$45,8,0)</f>
        <v>BANQUE</v>
      </c>
      <c r="H35" s="7">
        <f>VLOOKUP($A35,[6]HISTOFEV23!$A$6:$AU$45,35,0)</f>
        <v>0</v>
      </c>
      <c r="I35" s="7">
        <f>VLOOKUP($A35,[6]HISTOFEV23!$A$7:$AU$45,38,0)</f>
        <v>0</v>
      </c>
      <c r="J35" s="7">
        <f>IF(I35=0,0,VLOOKUP($A35,[6]HISTOFEV23!$A$7:$AU$45,42,0))</f>
        <v>0</v>
      </c>
      <c r="K35" s="7">
        <f>VLOOKUP($A35,[6]HISTOFEV23!$A$7:$AU$45,41,0)</f>
        <v>0</v>
      </c>
      <c r="L35" s="7">
        <f>TONTJANV23!H35+TONTJANV23!I35</f>
        <v>0</v>
      </c>
      <c r="M35" s="7">
        <f>VLOOKUP($A35,[6]HISTOFEV23!$A$7:$AU$45,16,0)</f>
        <v>0</v>
      </c>
      <c r="N35" s="7" t="str">
        <f>IF(M35&lt;&gt;0,VLOOKUP($A35,[6]HISTOFEV23!$A$7:$AU$45,8,0),"ECHEC")</f>
        <v>ECHEC</v>
      </c>
      <c r="O35" s="7">
        <f>IF(R35=0,0,VLOOKUP($A35,[6]HISTOFEV23!$A$7:$AU$45,32,0))</f>
        <v>0</v>
      </c>
      <c r="P35" s="7">
        <f>VLOOKUP($A35,[6]HISTOFEV23!$A$7:$AU$45,33,0)</f>
        <v>0</v>
      </c>
      <c r="Q35" s="7">
        <f t="shared" si="0"/>
        <v>0</v>
      </c>
      <c r="R35" s="7">
        <f>VLOOKUP($A35,[6]HISTOFEV23!$A$7:$AU$45,29,0)</f>
        <v>0</v>
      </c>
    </row>
    <row r="36" spans="1:18" x14ac:dyDescent="0.25">
      <c r="A36" s="1"/>
    </row>
    <row r="37" spans="1:18" ht="18" x14ac:dyDescent="0.25">
      <c r="A37" s="1" t="s">
        <v>94</v>
      </c>
      <c r="B37" s="8">
        <f>SUM(B6:B36)</f>
        <v>30</v>
      </c>
      <c r="I37" s="9"/>
    </row>
    <row r="38" spans="1:18" ht="18" x14ac:dyDescent="0.25">
      <c r="A38" s="1" t="s">
        <v>93</v>
      </c>
      <c r="B38" s="19">
        <f>COUNT(D6:D35)</f>
        <v>30</v>
      </c>
      <c r="C38" s="8"/>
      <c r="D38" s="8">
        <f>SUM(D6:D37)</f>
        <v>750000</v>
      </c>
      <c r="E38" s="8">
        <f>SUM(E6:E37)</f>
        <v>1258000</v>
      </c>
      <c r="F38" s="8">
        <f>SUM(F6:F37)</f>
        <v>0</v>
      </c>
      <c r="G38" s="8"/>
      <c r="H38" s="8">
        <f t="shared" ref="H38:R38" si="2">SUM(H6:H37)</f>
        <v>111500</v>
      </c>
      <c r="I38" s="8">
        <f t="shared" si="2"/>
        <v>3000</v>
      </c>
      <c r="J38" s="8"/>
      <c r="K38" s="8"/>
      <c r="L38" s="8">
        <f t="shared" si="2"/>
        <v>244000</v>
      </c>
      <c r="M38" s="8">
        <f t="shared" si="2"/>
        <v>244000</v>
      </c>
      <c r="N38" s="8">
        <f t="shared" si="2"/>
        <v>0</v>
      </c>
      <c r="O38" s="8">
        <f t="shared" si="2"/>
        <v>0</v>
      </c>
      <c r="P38" s="8">
        <f t="shared" si="2"/>
        <v>0</v>
      </c>
      <c r="Q38" s="8">
        <f t="shared" si="2"/>
        <v>960500</v>
      </c>
      <c r="R38" s="8">
        <f t="shared" si="2"/>
        <v>17500</v>
      </c>
    </row>
    <row r="39" spans="1:18" s="2" customFormat="1" ht="29.25" x14ac:dyDescent="0.25">
      <c r="B39"/>
      <c r="C39"/>
      <c r="D39"/>
      <c r="E39"/>
      <c r="F39"/>
      <c r="G39"/>
      <c r="H39"/>
      <c r="I39" s="9"/>
      <c r="J39" s="3"/>
      <c r="K39" s="3"/>
      <c r="L39" s="3"/>
      <c r="N39" s="4" t="s">
        <v>80</v>
      </c>
      <c r="O39" s="4" t="s">
        <v>95</v>
      </c>
      <c r="P39" s="3"/>
    </row>
    <row r="40" spans="1:18" s="2" customFormat="1" ht="29.25" x14ac:dyDescent="0.25">
      <c r="D40" s="4" t="s">
        <v>5</v>
      </c>
      <c r="E40" s="4" t="s">
        <v>7</v>
      </c>
      <c r="F40"/>
      <c r="G40" s="4" t="s">
        <v>40</v>
      </c>
      <c r="H40" s="4" t="s">
        <v>44</v>
      </c>
      <c r="I40" s="4" t="s">
        <v>46</v>
      </c>
      <c r="J40" s="4" t="s">
        <v>47</v>
      </c>
      <c r="K40" s="4"/>
      <c r="L40" s="8" t="s">
        <v>53</v>
      </c>
      <c r="M40" s="8">
        <f>D44+G44+R38</f>
        <v>1011500</v>
      </c>
      <c r="N40" s="4"/>
      <c r="O40"/>
      <c r="P40" s="4"/>
    </row>
    <row r="41" spans="1:18" s="2" customFormat="1" ht="18" x14ac:dyDescent="0.25">
      <c r="D41" s="8">
        <f>SUMIFS(D6:D37,G6:G37,"ESPECES")</f>
        <v>150000</v>
      </c>
      <c r="E41" s="8">
        <f>SUMIFS(E6:E37,G6:G37,"ESPECES")</f>
        <v>240000</v>
      </c>
      <c r="F41" s="8" t="s">
        <v>36</v>
      </c>
      <c r="G41" s="8">
        <f>SUMIFS(M6:M35,N6:N35,"ESPECES")</f>
        <v>62000</v>
      </c>
      <c r="H41" s="8">
        <f>SUMIFS(H6:H37,J6:J37,"ESPECES")</f>
        <v>0</v>
      </c>
      <c r="I41" s="8">
        <f>SUMIFS(Q6:Q37,O6:O37,"ESPECES")</f>
        <v>0</v>
      </c>
      <c r="J41" s="8">
        <f>D41+G41-H41-I41</f>
        <v>212000</v>
      </c>
      <c r="K41" s="8"/>
      <c r="L41" s="8" t="s">
        <v>84</v>
      </c>
      <c r="M41" s="8">
        <f>C3*COUNTIF(Q6:Q37,"&gt;0")</f>
        <v>978000</v>
      </c>
      <c r="N41" s="8">
        <f>D3</f>
        <v>3</v>
      </c>
      <c r="O41" s="8">
        <f>COUNTIF(Q6:Q35,"&gt;0")</f>
        <v>3</v>
      </c>
      <c r="P41" s="8"/>
    </row>
    <row r="42" spans="1:18" s="2" customFormat="1" ht="18" x14ac:dyDescent="0.25">
      <c r="D42" s="8">
        <f>SUMIFS(D6:D37,G6:G37,"BANQUE")</f>
        <v>600000</v>
      </c>
      <c r="E42" s="8">
        <f>SUMIFS(E6:E38,G6:G38,"BANQUE")</f>
        <v>1018000</v>
      </c>
      <c r="F42" s="8" t="s">
        <v>37</v>
      </c>
      <c r="G42" s="8">
        <f>SUMIFS(M6:M35,N6:N35,"BANQUE")</f>
        <v>182000</v>
      </c>
      <c r="H42" s="8">
        <f>SUMIFS(H6:H37,J6:J37,"BANQUE")</f>
        <v>111500</v>
      </c>
      <c r="I42" s="8">
        <f>SUMIFS(Q6:Q37,O6:O37,"BANQUE")</f>
        <v>960500</v>
      </c>
      <c r="J42" s="8">
        <f>D42+G42-H42-I42</f>
        <v>-290000</v>
      </c>
      <c r="K42" s="8"/>
      <c r="M42" s="8"/>
      <c r="N42" s="8"/>
      <c r="O42" s="8"/>
      <c r="P42" s="8"/>
    </row>
    <row r="43" spans="1:18" s="2" customFormat="1" ht="18" x14ac:dyDescent="0.25">
      <c r="D43" s="8"/>
      <c r="E43" s="8"/>
      <c r="F43" s="8"/>
      <c r="G43" s="8"/>
      <c r="H43" s="8"/>
      <c r="I43" s="8"/>
      <c r="K43" s="8"/>
      <c r="L43" s="8" t="s">
        <v>52</v>
      </c>
      <c r="M43" s="8">
        <f>M40-M41</f>
        <v>33500</v>
      </c>
      <c r="N43" s="8"/>
      <c r="O43" s="8"/>
      <c r="P43" s="8"/>
    </row>
    <row r="44" spans="1:18" s="2" customFormat="1" ht="18" x14ac:dyDescent="0.25">
      <c r="D44" s="8">
        <f>D41+D42</f>
        <v>750000</v>
      </c>
      <c r="E44" s="8">
        <f>E41+E42</f>
        <v>1258000</v>
      </c>
      <c r="F44" s="8" t="s">
        <v>34</v>
      </c>
      <c r="G44" s="8">
        <f>G41+G42</f>
        <v>244000</v>
      </c>
      <c r="H44" s="8">
        <f>H41+H42</f>
        <v>111500</v>
      </c>
      <c r="I44" s="8">
        <f t="shared" ref="I44:J44" si="3">I41+I42</f>
        <v>960500</v>
      </c>
      <c r="J44" s="8">
        <f t="shared" si="3"/>
        <v>-78000</v>
      </c>
      <c r="K44" s="8"/>
      <c r="M44" s="8"/>
      <c r="N44" s="8"/>
      <c r="O44" s="8"/>
      <c r="P44" s="8"/>
    </row>
    <row r="45" spans="1:18" s="2" customFormat="1" ht="18" x14ac:dyDescent="0.25">
      <c r="D45" s="8"/>
      <c r="E45" s="8"/>
      <c r="F45" s="8" t="s">
        <v>56</v>
      </c>
      <c r="G45"/>
      <c r="H45"/>
      <c r="I45" s="3"/>
      <c r="J45" s="3"/>
      <c r="K45" s="3"/>
      <c r="L45" s="8" t="s">
        <v>55</v>
      </c>
      <c r="M45" s="8">
        <f>M43-H38</f>
        <v>-78000</v>
      </c>
      <c r="N45"/>
      <c r="O45" s="8">
        <f>TONTJANV23!O45+M45</f>
        <v>-130000</v>
      </c>
      <c r="P45" s="8" t="s">
        <v>58</v>
      </c>
    </row>
    <row r="46" spans="1:18" s="2" customFormat="1" ht="18" x14ac:dyDescent="0.25">
      <c r="D46" s="4"/>
      <c r="E46" s="4"/>
      <c r="F46" s="8"/>
      <c r="G46"/>
      <c r="H46"/>
      <c r="I46" s="3"/>
      <c r="J46" s="3"/>
      <c r="K46" s="3"/>
      <c r="N46"/>
      <c r="O46" s="3"/>
      <c r="P46" s="3"/>
    </row>
    <row r="47" spans="1:18" ht="18" x14ac:dyDescent="0.25">
      <c r="L47" s="8" t="s">
        <v>60</v>
      </c>
      <c r="M47" s="8">
        <f>COUNTIFS(G6:G36,"ECHEC")*25000</f>
        <v>0</v>
      </c>
      <c r="O47" s="8">
        <f>+TONTJANV23!O47+M47</f>
        <v>0</v>
      </c>
      <c r="P47" s="8" t="s">
        <v>58</v>
      </c>
    </row>
    <row r="48" spans="1:18" ht="18" x14ac:dyDescent="0.25">
      <c r="F48" s="2"/>
      <c r="L48" s="8" t="s">
        <v>59</v>
      </c>
      <c r="M48" s="8">
        <f>L38-G44</f>
        <v>0</v>
      </c>
      <c r="O48" s="8">
        <f>+TONTJANV23!O48+M48</f>
        <v>0</v>
      </c>
      <c r="P48" s="8" t="s">
        <v>58</v>
      </c>
    </row>
  </sheetData>
  <autoFilter ref="A5:R25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>
      <pane xSplit="3" ySplit="5" topLeftCell="H36" activePane="bottomRight" state="frozen"/>
      <selection activeCell="G6" sqref="G6:G39"/>
      <selection pane="topRight" activeCell="G6" sqref="G6:G39"/>
      <selection pane="bottomLeft" activeCell="G6" sqref="G6:G39"/>
      <selection pane="bottomRight" activeCell="J40" sqref="J40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5" width="13" customWidth="1"/>
    <col min="16" max="16" width="15.5703125" style="3" customWidth="1"/>
    <col min="17" max="18" width="18.140625" style="2" customWidth="1"/>
  </cols>
  <sheetData>
    <row r="1" spans="1:19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25">
      <c r="A2" s="1" t="s">
        <v>2</v>
      </c>
      <c r="B2" s="1">
        <v>2022</v>
      </c>
      <c r="C2" s="1" t="s">
        <v>85</v>
      </c>
      <c r="D2" s="1" t="s">
        <v>80</v>
      </c>
      <c r="E2" s="1"/>
      <c r="F2" s="1"/>
      <c r="G2" s="1"/>
      <c r="N2" s="1"/>
      <c r="O2" s="1"/>
    </row>
    <row r="3" spans="1:19" x14ac:dyDescent="0.25">
      <c r="A3" s="1" t="s">
        <v>86</v>
      </c>
      <c r="B3" s="6">
        <v>23000</v>
      </c>
      <c r="C3" s="6">
        <f>B3*13+1000</f>
        <v>300000</v>
      </c>
      <c r="D3" s="1">
        <f>ROUNDDOWN(M36/C3,0)</f>
        <v>2</v>
      </c>
      <c r="E3" s="1"/>
      <c r="F3" s="1"/>
      <c r="G3" s="1"/>
      <c r="N3" s="1"/>
      <c r="O3" s="1"/>
    </row>
    <row r="4" spans="1:19" s="16" customFormat="1" ht="18" x14ac:dyDescent="0.25">
      <c r="B4" s="17"/>
      <c r="C4" s="28">
        <v>44574</v>
      </c>
      <c r="D4" s="29"/>
      <c r="E4" s="29"/>
      <c r="F4" s="29"/>
      <c r="G4" s="29"/>
      <c r="H4" s="29"/>
      <c r="I4" s="29"/>
      <c r="J4" s="29"/>
      <c r="K4" s="29"/>
      <c r="L4" s="29"/>
      <c r="N4" s="18"/>
      <c r="O4" s="18"/>
      <c r="P4" s="18"/>
      <c r="Q4" s="18"/>
    </row>
    <row r="5" spans="1:19" ht="58.5" x14ac:dyDescent="0.3">
      <c r="A5" s="1" t="s">
        <v>3</v>
      </c>
      <c r="B5" s="13" t="s">
        <v>81</v>
      </c>
      <c r="C5" s="1" t="s">
        <v>4</v>
      </c>
      <c r="D5" s="4" t="s">
        <v>5</v>
      </c>
      <c r="E5" s="4" t="s">
        <v>7</v>
      </c>
      <c r="F5" s="1" t="s">
        <v>48</v>
      </c>
      <c r="G5" s="5" t="s">
        <v>6</v>
      </c>
      <c r="H5" s="6" t="s">
        <v>44</v>
      </c>
      <c r="I5" s="4" t="s">
        <v>41</v>
      </c>
      <c r="J5" s="4" t="s">
        <v>45</v>
      </c>
      <c r="K5" s="11" t="s">
        <v>54</v>
      </c>
      <c r="L5" s="4" t="s">
        <v>82</v>
      </c>
      <c r="M5" s="4" t="s">
        <v>40</v>
      </c>
      <c r="N5" s="4" t="s">
        <v>39</v>
      </c>
      <c r="O5" s="4" t="s">
        <v>42</v>
      </c>
      <c r="P5" s="4" t="s">
        <v>54</v>
      </c>
      <c r="Q5" s="4" t="s">
        <v>83</v>
      </c>
      <c r="R5" s="4" t="s">
        <v>43</v>
      </c>
      <c r="S5" s="4" t="s">
        <v>98</v>
      </c>
    </row>
    <row r="6" spans="1:19" x14ac:dyDescent="0.25">
      <c r="A6" s="1" t="s">
        <v>9</v>
      </c>
      <c r="B6" s="7">
        <f>IF(D6=0,0,VLOOKUP($A6,[8]HISTOJANV22!$A$6:$AZ$36,9,0))</f>
        <v>1</v>
      </c>
      <c r="C6" s="1" t="str">
        <f>VLOOKUP(A6,[9]LISTADHERENT!A$5:H$60,3,0)</f>
        <v>BOUTCHOUANG WILLIAM</v>
      </c>
      <c r="D6" s="7">
        <f>IF(G6="ECHEC",0,B$3)</f>
        <v>23000</v>
      </c>
      <c r="E6" s="7">
        <f>D6+VLOOKUP($A6,[10]HISTOJANV22!$A$7:$AU$38,45,0)+F6</f>
        <v>30000</v>
      </c>
      <c r="F6" s="7">
        <f>VLOOKUP($A6,[10]HISTOJANV22!$A$7:$AU$38,7,0)</f>
        <v>0</v>
      </c>
      <c r="G6" s="7" t="str">
        <f>VLOOKUP($A6,[10]HISTOJANV22!$A$7:$AU$38,8,0)</f>
        <v>BANQUE</v>
      </c>
      <c r="H6" s="7">
        <f>VLOOKUP($A6,[10]HISTOJANV22!$A$7:$AU$38,35,0)</f>
        <v>0</v>
      </c>
      <c r="I6" s="7">
        <f>VLOOKUP($A6,[10]HISTOJANV22!$A$7:$AU$38,38,0)</f>
        <v>0</v>
      </c>
      <c r="J6" s="7">
        <f>IF(I6=0,0,VLOOKUP($A6,[10]HISTOJANV22!$A$7:$AU$38,42,0))</f>
        <v>0</v>
      </c>
      <c r="K6" s="7">
        <f>VLOOKUP($A6,[10]HISTOJANV22!$A$7:$AU$38,41,0)</f>
        <v>0</v>
      </c>
      <c r="L6"/>
      <c r="M6" s="7">
        <f>VLOOKUP($A6,[10]HISTOJANV22!$A$7:$AU$38,16,0)</f>
        <v>0</v>
      </c>
      <c r="N6" s="7" t="str">
        <f>IF(M6&lt;&gt;0,VLOOKUP($A6,[10]HISTOJANV22!$A$7:$AU$38,8,0),"ECHEC")</f>
        <v>ECHEC</v>
      </c>
      <c r="O6" s="7">
        <f>IF(R6=0,0,VLOOKUP($A6,[10]HISTOJANV22!$A$7:$AU$38,32,0))</f>
        <v>0</v>
      </c>
      <c r="P6" s="7">
        <f>VLOOKUP($A6,[10]HISTOJANV22!$A$7:$AU$38,33,0)</f>
        <v>0</v>
      </c>
      <c r="Q6" s="7">
        <f t="shared" ref="Q6:Q31" si="0">IF(R6=0,0,($C$3-R6))</f>
        <v>0</v>
      </c>
      <c r="R6" s="7">
        <f>VLOOKUP($A6,[10]HISTOJANV22!$A$7:$AU$38,29,0)</f>
        <v>0</v>
      </c>
      <c r="S6" s="21">
        <f>IF(R6=0,0,(R6-23000))</f>
        <v>0</v>
      </c>
    </row>
    <row r="7" spans="1:19" x14ac:dyDescent="0.25">
      <c r="A7" s="1" t="s">
        <v>10</v>
      </c>
      <c r="B7" s="7">
        <f>IF(D7=0,0,VLOOKUP($A7,[8]HISTOJANV22!$A$6:$AZ$36,9,0))</f>
        <v>1</v>
      </c>
      <c r="C7" s="1" t="str">
        <f>VLOOKUP(A7,[9]LISTADHERENT!A$5:H$60,3,0)</f>
        <v xml:space="preserve">DJOMO JEAN PAUL </v>
      </c>
      <c r="D7" s="7">
        <f t="shared" ref="D7:D31" si="1">IF(G7="ECHEC",0,B$3)</f>
        <v>23000</v>
      </c>
      <c r="E7" s="7">
        <f>D7+VLOOKUP($A7,[10]HISTOJANV22!$A$7:$AU$38,45,0)+F7</f>
        <v>75000</v>
      </c>
      <c r="F7" s="7">
        <f>VLOOKUP($A7,[10]HISTOJANV22!$A$7:$AU$38,7,0)</f>
        <v>0</v>
      </c>
      <c r="G7" s="7" t="str">
        <f>VLOOKUP($A7,[10]HISTOJANV22!$A$7:$AU$38,8,0)</f>
        <v>BANQUE</v>
      </c>
      <c r="H7" s="7">
        <f>VLOOKUP($A7,[10]HISTOJANV22!$A$7:$AU$38,35,0)</f>
        <v>0</v>
      </c>
      <c r="I7" s="7">
        <f>VLOOKUP($A7,[10]HISTOJANV22!$A$7:$AU$38,38,0)</f>
        <v>0</v>
      </c>
      <c r="J7" s="7">
        <f>IF(I7=0,0,VLOOKUP($A7,[10]HISTOJANV22!$A$7:$AU$38,42,0))</f>
        <v>0</v>
      </c>
      <c r="K7" s="7">
        <f>VLOOKUP($A7,[10]HISTOJANV22!$A$7:$AU$38,41,0)</f>
        <v>0</v>
      </c>
      <c r="L7"/>
      <c r="M7" s="7">
        <f>VLOOKUP($A7,[10]HISTOJANV22!$A$7:$AU$38,16,0)</f>
        <v>0</v>
      </c>
      <c r="N7" s="7" t="str">
        <f>IF(M7&lt;&gt;0,VLOOKUP($A7,[10]HISTOJANV22!$A$7:$AU$38,8,0),"ECHEC")</f>
        <v>ECHEC</v>
      </c>
      <c r="O7" s="7">
        <f>IF(R7=0,0,VLOOKUP($A7,[10]HISTOJANV22!$A$7:$AU$38,32,0))</f>
        <v>0</v>
      </c>
      <c r="P7" s="7">
        <f>VLOOKUP($A7,[10]HISTOJANV22!$A$7:$AU$38,33,0)</f>
        <v>0</v>
      </c>
      <c r="Q7" s="7">
        <f t="shared" si="0"/>
        <v>0</v>
      </c>
      <c r="R7" s="7">
        <f>VLOOKUP($A7,[10]HISTOJANV22!$A$7:$AU$38,29,0)</f>
        <v>0</v>
      </c>
      <c r="S7" s="21">
        <f t="shared" ref="S7:S31" si="2">IF(R7=0,0,(R7-23000))</f>
        <v>0</v>
      </c>
    </row>
    <row r="8" spans="1:19" x14ac:dyDescent="0.25">
      <c r="A8" s="1" t="s">
        <v>57</v>
      </c>
      <c r="B8" s="7">
        <f>IF(D8=0,0,VLOOKUP($A8,[8]HISTOJANV22!$A$6:$AZ$36,9,0))</f>
        <v>1</v>
      </c>
      <c r="C8" s="1" t="str">
        <f>VLOOKUP(A8,[9]LISTADHERENT!A$5:H$60,3,0)</f>
        <v>DJOMOU TCHANDA</v>
      </c>
      <c r="D8" s="7">
        <f t="shared" si="1"/>
        <v>23000</v>
      </c>
      <c r="E8" s="7">
        <f>D8+VLOOKUP($A8,[10]HISTOJANV22!$A$7:$AU$38,45,0)+F8</f>
        <v>30000</v>
      </c>
      <c r="F8" s="7">
        <f>VLOOKUP($A8,[10]HISTOJANV22!$A$7:$AU$38,7,0)</f>
        <v>0</v>
      </c>
      <c r="G8" s="7" t="str">
        <f>VLOOKUP($A8,[10]HISTOJANV22!$A$7:$AU$38,8,0)</f>
        <v>BANQUE</v>
      </c>
      <c r="H8" s="7">
        <f>VLOOKUP($A8,[10]HISTOJANV22!$A$7:$AU$38,35,0)</f>
        <v>0</v>
      </c>
      <c r="I8" s="7">
        <f>VLOOKUP($A8,[10]HISTOJANV22!$A$7:$AU$38,38,0)</f>
        <v>0</v>
      </c>
      <c r="J8" s="7">
        <f>IF(I8=0,0,VLOOKUP($A8,[10]HISTOJANV22!$A$7:$AU$38,42,0))</f>
        <v>0</v>
      </c>
      <c r="K8" s="7">
        <f>VLOOKUP($A8,[10]HISTOJANV22!$A$7:$AU$38,41,0)</f>
        <v>0</v>
      </c>
      <c r="L8"/>
      <c r="M8" s="7">
        <f>VLOOKUP($A8,[10]HISTOJANV22!$A$7:$AU$38,16,0)</f>
        <v>0</v>
      </c>
      <c r="N8" s="7" t="str">
        <f>IF(M8&lt;&gt;0,VLOOKUP($A8,[10]HISTOJANV22!$A$7:$AU$38,8,0),"ECHEC")</f>
        <v>ECHEC</v>
      </c>
      <c r="O8" s="7">
        <f>IF(R8=0,0,VLOOKUP($A8,[10]HISTOJANV22!$A$7:$AU$38,32,0))</f>
        <v>0</v>
      </c>
      <c r="P8" s="7">
        <f>VLOOKUP($A8,[10]HISTOJANV22!$A$7:$AU$38,33,0)</f>
        <v>0</v>
      </c>
      <c r="Q8" s="7">
        <f t="shared" si="0"/>
        <v>0</v>
      </c>
      <c r="R8" s="7">
        <f>VLOOKUP($A8,[10]HISTOJANV22!$A$7:$AU$38,29,0)</f>
        <v>0</v>
      </c>
      <c r="S8" s="21">
        <f t="shared" si="2"/>
        <v>0</v>
      </c>
    </row>
    <row r="9" spans="1:19" x14ac:dyDescent="0.25">
      <c r="A9" s="1" t="s">
        <v>11</v>
      </c>
      <c r="B9" s="7">
        <f>IF(D9=0,0,VLOOKUP($A9,[8]HISTOJANV22!$A$6:$AZ$36,9,0))</f>
        <v>1</v>
      </c>
      <c r="C9" s="1" t="str">
        <f>VLOOKUP(A9,[9]LISTADHERENT!A$5:H$60,3,0)</f>
        <v>DJOUKWE NANGUEN GUY BLAISE</v>
      </c>
      <c r="D9" s="7">
        <f t="shared" si="1"/>
        <v>23000</v>
      </c>
      <c r="E9" s="7">
        <f>D9+VLOOKUP($A9,[10]HISTOJANV22!$A$7:$AU$38,45,0)+F9</f>
        <v>35000</v>
      </c>
      <c r="F9" s="7">
        <f>VLOOKUP($A9,[10]HISTOJANV22!$A$7:$AU$38,7,0)</f>
        <v>0</v>
      </c>
      <c r="G9" s="7" t="str">
        <f>VLOOKUP($A9,[10]HISTOJANV22!$A$7:$AU$38,8,0)</f>
        <v>BANQUE</v>
      </c>
      <c r="H9" s="7">
        <f>VLOOKUP($A9,[10]HISTOJANV22!$A$7:$AU$38,35,0)</f>
        <v>0</v>
      </c>
      <c r="I9" s="7">
        <f>VLOOKUP($A9,[10]HISTOJANV22!$A$7:$AU$38,38,0)</f>
        <v>0</v>
      </c>
      <c r="J9" s="7">
        <f>IF(I9=0,0,VLOOKUP($A9,[10]HISTOJANV22!$A$7:$AU$38,42,0))</f>
        <v>0</v>
      </c>
      <c r="K9" s="7">
        <f>VLOOKUP($A9,[10]HISTOJANV22!$A$7:$AU$38,41,0)</f>
        <v>0</v>
      </c>
      <c r="L9"/>
      <c r="M9" s="7">
        <f>VLOOKUP($A9,[10]HISTOJANV22!$A$7:$AU$38,16,0)</f>
        <v>0</v>
      </c>
      <c r="N9" s="7" t="str">
        <f>IF(M9&lt;&gt;0,VLOOKUP($A9,[10]HISTOJANV22!$A$7:$AU$38,8,0),"ECHEC")</f>
        <v>ECHEC</v>
      </c>
      <c r="O9" s="7">
        <f>IF(R9=0,0,VLOOKUP($A9,[10]HISTOJANV22!$A$7:$AU$38,32,0))</f>
        <v>0</v>
      </c>
      <c r="P9" s="7">
        <f>VLOOKUP($A9,[10]HISTOJANV22!$A$7:$AU$38,33,0)</f>
        <v>0</v>
      </c>
      <c r="Q9" s="7">
        <f t="shared" si="0"/>
        <v>0</v>
      </c>
      <c r="R9" s="7">
        <f>VLOOKUP($A9,[10]HISTOJANV22!$A$7:$AU$38,29,0)</f>
        <v>0</v>
      </c>
      <c r="S9" s="21">
        <f t="shared" si="2"/>
        <v>0</v>
      </c>
    </row>
    <row r="10" spans="1:19" x14ac:dyDescent="0.25">
      <c r="A10" s="1" t="s">
        <v>12</v>
      </c>
      <c r="B10" s="7">
        <f>IF(D10=0,0,VLOOKUP($A10,[8]HISTOJANV22!$A$6:$AZ$36,9,0))</f>
        <v>1</v>
      </c>
      <c r="C10" s="1" t="str">
        <f>VLOOKUP(A10,[9]LISTADHERENT!A$5:H$60,3,0)</f>
        <v>DJUOMBESSY ANTOINE</v>
      </c>
      <c r="D10" s="7">
        <f t="shared" si="1"/>
        <v>23000</v>
      </c>
      <c r="E10" s="7">
        <f>D10+VLOOKUP($A10,[10]HISTOJANV22!$A$7:$AU$38,45,0)+F10</f>
        <v>30000</v>
      </c>
      <c r="F10" s="7">
        <f>VLOOKUP($A10,[10]HISTOJANV22!$A$7:$AU$38,7,0)</f>
        <v>0</v>
      </c>
      <c r="G10" s="7" t="str">
        <f>VLOOKUP($A10,[10]HISTOJANV22!$A$7:$AU$38,8,0)</f>
        <v>BANQUE</v>
      </c>
      <c r="H10" s="7">
        <f>VLOOKUP($A10,[10]HISTOJANV22!$A$7:$AU$38,35,0)</f>
        <v>0</v>
      </c>
      <c r="I10" s="7">
        <f>VLOOKUP($A10,[10]HISTOJANV22!$A$7:$AU$38,38,0)</f>
        <v>0</v>
      </c>
      <c r="J10" s="7">
        <f>IF(I10=0,0,VLOOKUP($A10,[10]HISTOJANV22!$A$7:$AU$38,42,0))</f>
        <v>0</v>
      </c>
      <c r="K10" s="7">
        <f>VLOOKUP($A10,[10]HISTOJANV22!$A$7:$AU$38,41,0)</f>
        <v>0</v>
      </c>
      <c r="L10"/>
      <c r="M10" s="7">
        <f>VLOOKUP($A10,[10]HISTOJANV22!$A$7:$AU$38,16,0)</f>
        <v>0</v>
      </c>
      <c r="N10" s="7" t="str">
        <f>IF(M10&lt;&gt;0,VLOOKUP($A10,[10]HISTOJANV22!$A$7:$AU$38,8,0),"ECHEC")</f>
        <v>ECHEC</v>
      </c>
      <c r="O10" s="7">
        <f>IF(R10=0,0,VLOOKUP($A10,[10]HISTOJANV22!$A$7:$AU$38,32,0))</f>
        <v>0</v>
      </c>
      <c r="P10" s="7">
        <f>VLOOKUP($A10,[10]HISTOJANV22!$A$7:$AU$38,33,0)</f>
        <v>0</v>
      </c>
      <c r="Q10" s="7">
        <f t="shared" si="0"/>
        <v>0</v>
      </c>
      <c r="R10" s="7">
        <f>VLOOKUP($A10,[10]HISTOJANV22!$A$7:$AU$38,29,0)</f>
        <v>0</v>
      </c>
      <c r="S10" s="21">
        <f t="shared" si="2"/>
        <v>0</v>
      </c>
    </row>
    <row r="11" spans="1:19" x14ac:dyDescent="0.25">
      <c r="A11" s="1" t="s">
        <v>50</v>
      </c>
      <c r="B11" s="7">
        <f>IF(D11=0,0,VLOOKUP($A11,[8]HISTOJANV22!$A$6:$AZ$36,9,0))</f>
        <v>1</v>
      </c>
      <c r="C11" s="1" t="str">
        <f>VLOOKUP(A11,[9]LISTADHERENT!A$5:H$60,3,0)</f>
        <v>DOMOU FABIEN</v>
      </c>
      <c r="D11" s="7">
        <f t="shared" si="1"/>
        <v>23000</v>
      </c>
      <c r="E11" s="7">
        <f>D11+VLOOKUP($A11,[10]HISTOJANV22!$A$7:$AU$38,45,0)+F11</f>
        <v>35000</v>
      </c>
      <c r="F11" s="7">
        <f>VLOOKUP($A11,[10]HISTOJANV22!$A$7:$AU$38,7,0)</f>
        <v>0</v>
      </c>
      <c r="G11" s="7" t="str">
        <f>VLOOKUP($A11,[10]HISTOJANV22!$A$7:$AU$38,8,0)</f>
        <v>BANQUE</v>
      </c>
      <c r="H11" s="7">
        <f>VLOOKUP($A11,[10]HISTOJANV22!$A$7:$AU$38,35,0)</f>
        <v>0</v>
      </c>
      <c r="I11" s="7">
        <f>VLOOKUP($A11,[10]HISTOJANV22!$A$7:$AU$38,38,0)</f>
        <v>0</v>
      </c>
      <c r="J11" s="7">
        <f>IF(I11=0,0,VLOOKUP($A11,[10]HISTOJANV22!$A$7:$AU$38,42,0))</f>
        <v>0</v>
      </c>
      <c r="K11" s="7">
        <f>VLOOKUP($A11,[10]HISTOJANV22!$A$7:$AU$38,41,0)</f>
        <v>0</v>
      </c>
      <c r="L11"/>
      <c r="M11" s="7">
        <f>VLOOKUP($A11,[10]HISTOJANV22!$A$7:$AU$38,16,0)</f>
        <v>0</v>
      </c>
      <c r="N11" s="7" t="str">
        <f>IF(M11&lt;&gt;0,VLOOKUP($A11,[10]HISTOJANV22!$A$7:$AU$38,8,0),"ECHEC")</f>
        <v>ECHEC</v>
      </c>
      <c r="O11" s="7">
        <f>IF(R11=0,0,VLOOKUP($A11,[10]HISTOJANV22!$A$7:$AU$38,32,0))</f>
        <v>0</v>
      </c>
      <c r="P11" s="7">
        <f>VLOOKUP($A11,[10]HISTOJANV22!$A$7:$AU$38,33,0)</f>
        <v>0</v>
      </c>
      <c r="Q11" s="7">
        <f t="shared" si="0"/>
        <v>0</v>
      </c>
      <c r="R11" s="7">
        <f>VLOOKUP($A11,[10]HISTOJANV22!$A$7:$AU$38,29,0)</f>
        <v>0</v>
      </c>
      <c r="S11" s="21">
        <f t="shared" si="2"/>
        <v>0</v>
      </c>
    </row>
    <row r="12" spans="1:19" x14ac:dyDescent="0.25">
      <c r="A12" s="1" t="s">
        <v>13</v>
      </c>
      <c r="B12" s="7">
        <f>IF(D12=0,0,VLOOKUP($A12,[8]HISTOJANV22!$A$6:$AZ$36,9,0))</f>
        <v>1</v>
      </c>
      <c r="C12" s="1" t="str">
        <f>VLOOKUP(A12,[9]LISTADHERENT!A$5:H$60,3,0)</f>
        <v>DONHOU DAVID</v>
      </c>
      <c r="D12" s="7">
        <f t="shared" si="1"/>
        <v>23000</v>
      </c>
      <c r="E12" s="7">
        <f>D12+VLOOKUP($A12,[10]HISTOJANV22!$A$7:$AU$38,45,0)+F12</f>
        <v>30000</v>
      </c>
      <c r="F12" s="7">
        <f>VLOOKUP($A12,[10]HISTOJANV22!$A$7:$AU$38,7,0)</f>
        <v>0</v>
      </c>
      <c r="G12" s="7" t="str">
        <f>VLOOKUP($A12,[10]HISTOJANV22!$A$7:$AU$38,8,0)</f>
        <v>BANQUE</v>
      </c>
      <c r="H12" s="7">
        <f>VLOOKUP($A12,[10]HISTOJANV22!$A$7:$AU$38,35,0)</f>
        <v>0</v>
      </c>
      <c r="I12" s="7">
        <f>VLOOKUP($A12,[10]HISTOJANV22!$A$7:$AU$38,38,0)</f>
        <v>0</v>
      </c>
      <c r="J12" s="7">
        <f>IF(I12=0,0,VLOOKUP($A12,[10]HISTOJANV22!$A$7:$AU$38,42,0))</f>
        <v>0</v>
      </c>
      <c r="K12" s="7">
        <f>VLOOKUP($A12,[10]HISTOJANV22!$A$7:$AU$38,41,0)</f>
        <v>0</v>
      </c>
      <c r="L12"/>
      <c r="M12" s="7">
        <f>VLOOKUP($A12,[10]HISTOJANV22!$A$7:$AU$38,16,0)</f>
        <v>0</v>
      </c>
      <c r="N12" s="7" t="str">
        <f>IF(M12&lt;&gt;0,VLOOKUP($A12,[10]HISTOJANV22!$A$7:$AU$38,8,0),"ECHEC")</f>
        <v>ECHEC</v>
      </c>
      <c r="O12" s="7">
        <f>IF(R12=0,0,VLOOKUP($A12,[10]HISTOJANV22!$A$7:$AU$38,32,0))</f>
        <v>0</v>
      </c>
      <c r="P12" s="7">
        <f>VLOOKUP($A12,[10]HISTOJANV22!$A$7:$AU$38,33,0)</f>
        <v>0</v>
      </c>
      <c r="Q12" s="7">
        <f t="shared" si="0"/>
        <v>0</v>
      </c>
      <c r="R12" s="7">
        <f>VLOOKUP($A12,[10]HISTOJANV22!$A$7:$AU$38,29,0)</f>
        <v>0</v>
      </c>
      <c r="S12" s="21">
        <f t="shared" si="2"/>
        <v>0</v>
      </c>
    </row>
    <row r="13" spans="1:19" x14ac:dyDescent="0.25">
      <c r="A13" s="1" t="s">
        <v>15</v>
      </c>
      <c r="B13" s="7">
        <f>IF(D13=0,0,VLOOKUP($A13,[8]HISTOJANV22!$A$6:$AZ$36,9,0))</f>
        <v>1</v>
      </c>
      <c r="C13" s="1" t="str">
        <f>VLOOKUP(A13,[9]LISTADHERENT!A$5:H$60,3,0)</f>
        <v>HENGUE PAUL OMER</v>
      </c>
      <c r="D13" s="7">
        <f t="shared" si="1"/>
        <v>23000</v>
      </c>
      <c r="E13" s="7">
        <f>D13+VLOOKUP($A13,[10]HISTOJANV22!$A$7:$AU$38,45,0)+F13</f>
        <v>30000</v>
      </c>
      <c r="F13" s="7">
        <f>VLOOKUP($A13,[10]HISTOJANV22!$A$7:$AU$38,7,0)</f>
        <v>0</v>
      </c>
      <c r="G13" s="7" t="str">
        <f>VLOOKUP($A13,[10]HISTOJANV22!$A$7:$AU$38,8,0)</f>
        <v>BANQUE</v>
      </c>
      <c r="H13" s="7">
        <f>VLOOKUP($A13,[10]HISTOJANV22!$A$7:$AU$38,35,0)</f>
        <v>0</v>
      </c>
      <c r="I13" s="7">
        <f>VLOOKUP($A13,[10]HISTOJANV22!$A$7:$AU$38,38,0)</f>
        <v>0</v>
      </c>
      <c r="J13" s="7">
        <f>IF(I13=0,0,VLOOKUP($A13,[10]HISTOJANV22!$A$7:$AU$38,42,0))</f>
        <v>0</v>
      </c>
      <c r="K13" s="7">
        <f>VLOOKUP($A13,[10]HISTOJANV22!$A$7:$AU$38,41,0)</f>
        <v>0</v>
      </c>
      <c r="L13"/>
      <c r="M13" s="7">
        <f>VLOOKUP($A13,[10]HISTOJANV22!$A$7:$AU$38,16,0)</f>
        <v>0</v>
      </c>
      <c r="N13" s="7" t="str">
        <f>IF(M13&lt;&gt;0,VLOOKUP($A13,[10]HISTOJANV22!$A$7:$AU$38,8,0),"ECHEC")</f>
        <v>ECHEC</v>
      </c>
      <c r="O13" s="7">
        <f>IF(R13=0,0,VLOOKUP($A13,[10]HISTOJANV22!$A$7:$AU$38,32,0))</f>
        <v>0</v>
      </c>
      <c r="P13" s="7">
        <f>VLOOKUP($A13,[10]HISTOJANV22!$A$7:$AU$38,33,0)</f>
        <v>0</v>
      </c>
      <c r="Q13" s="7">
        <f t="shared" si="0"/>
        <v>0</v>
      </c>
      <c r="R13" s="7">
        <f>VLOOKUP($A13,[10]HISTOJANV22!$A$7:$AU$38,29,0)</f>
        <v>0</v>
      </c>
      <c r="S13" s="21">
        <f t="shared" si="2"/>
        <v>0</v>
      </c>
    </row>
    <row r="14" spans="1:19" x14ac:dyDescent="0.25">
      <c r="A14" s="1" t="s">
        <v>16</v>
      </c>
      <c r="B14" s="7">
        <f>IF(D14=0,0,VLOOKUP($A14,[8]HISTOJANV22!$A$6:$AZ$36,9,0))</f>
        <v>1</v>
      </c>
      <c r="C14" s="1" t="str">
        <f>VLOOKUP(A14,[9]LISTADHERENT!A$5:H$60,3,0)</f>
        <v>HOTCHO BENJAMIN</v>
      </c>
      <c r="D14" s="7">
        <f t="shared" si="1"/>
        <v>23000</v>
      </c>
      <c r="E14" s="7">
        <f>D14+VLOOKUP($A14,[10]HISTOJANV22!$A$7:$AU$38,45,0)+F14</f>
        <v>75000</v>
      </c>
      <c r="F14" s="7">
        <f>VLOOKUP($A14,[10]HISTOJANV22!$A$7:$AU$38,7,0)</f>
        <v>0</v>
      </c>
      <c r="G14" s="7" t="str">
        <f>VLOOKUP($A14,[10]HISTOJANV22!$A$7:$AU$38,8,0)</f>
        <v>BANQUE</v>
      </c>
      <c r="H14" s="7">
        <f>VLOOKUP($A14,[10]HISTOJANV22!$A$7:$AU$38,35,0)</f>
        <v>0</v>
      </c>
      <c r="I14" s="7">
        <f>VLOOKUP($A14,[10]HISTOJANV22!$A$7:$AU$38,38,0)</f>
        <v>0</v>
      </c>
      <c r="J14" s="7">
        <f>IF(I14=0,0,VLOOKUP($A14,[10]HISTOJANV22!$A$7:$AU$38,42,0))</f>
        <v>0</v>
      </c>
      <c r="K14" s="7">
        <f>VLOOKUP($A14,[10]HISTOJANV22!$A$7:$AU$38,41,0)</f>
        <v>0</v>
      </c>
      <c r="L14"/>
      <c r="M14" s="7">
        <f>VLOOKUP($A14,[10]HISTOJANV22!$A$7:$AU$38,16,0)</f>
        <v>0</v>
      </c>
      <c r="N14" s="7" t="str">
        <f>IF(M14&lt;&gt;0,VLOOKUP($A14,[10]HISTOJANV22!$A$7:$AU$38,8,0),"ECHEC")</f>
        <v>ECHEC</v>
      </c>
      <c r="O14" s="7">
        <f>IF(R14=0,0,VLOOKUP($A14,[10]HISTOJANV22!$A$7:$AU$38,32,0))</f>
        <v>0</v>
      </c>
      <c r="P14" s="7">
        <f>VLOOKUP($A14,[10]HISTOJANV22!$A$7:$AU$38,33,0)</f>
        <v>0</v>
      </c>
      <c r="Q14" s="7">
        <f t="shared" si="0"/>
        <v>0</v>
      </c>
      <c r="R14" s="7">
        <f>VLOOKUP($A14,[10]HISTOJANV22!$A$7:$AU$38,29,0)</f>
        <v>0</v>
      </c>
      <c r="S14" s="21">
        <f t="shared" si="2"/>
        <v>0</v>
      </c>
    </row>
    <row r="15" spans="1:19" x14ac:dyDescent="0.25">
      <c r="A15" s="1" t="s">
        <v>17</v>
      </c>
      <c r="B15" s="7">
        <f>IF(D15=0,0,VLOOKUP($A15,[8]HISTOJANV22!$A$6:$AZ$36,9,0))</f>
        <v>1</v>
      </c>
      <c r="C15" s="1" t="str">
        <f>VLOOKUP(A15,[9]LISTADHERENT!A$5:H$60,3,0)</f>
        <v>KOUAMOU MOISE</v>
      </c>
      <c r="D15" s="7">
        <f t="shared" si="1"/>
        <v>23000</v>
      </c>
      <c r="E15" s="7">
        <f>D15+VLOOKUP($A15,[10]HISTOJANV22!$A$7:$AU$38,45,0)+F15</f>
        <v>30000</v>
      </c>
      <c r="F15" s="7">
        <f>VLOOKUP($A15,[10]HISTOJANV22!$A$7:$AU$38,7,0)</f>
        <v>0</v>
      </c>
      <c r="G15" s="7" t="str">
        <f>VLOOKUP($A15,[10]HISTOJANV22!$A$7:$AU$38,8,0)</f>
        <v>BANQUE</v>
      </c>
      <c r="H15" s="7">
        <f>VLOOKUP($A15,[10]HISTOJANV22!$A$7:$AU$38,35,0)</f>
        <v>0</v>
      </c>
      <c r="I15" s="7">
        <f>VLOOKUP($A15,[10]HISTOJANV22!$A$7:$AU$38,38,0)</f>
        <v>0</v>
      </c>
      <c r="J15" s="7">
        <f>IF(I15=0,0,VLOOKUP($A15,[10]HISTOJANV22!$A$7:$AU$38,42,0))</f>
        <v>0</v>
      </c>
      <c r="K15" s="7">
        <f>VLOOKUP($A15,[10]HISTOJANV22!$A$7:$AU$38,41,0)</f>
        <v>0</v>
      </c>
      <c r="L15"/>
      <c r="M15" s="7">
        <f>VLOOKUP($A15,[10]HISTOJANV22!$A$7:$AU$38,16,0)</f>
        <v>0</v>
      </c>
      <c r="N15" s="7" t="str">
        <f>IF(M15&lt;&gt;0,VLOOKUP($A15,[10]HISTOJANV22!$A$7:$AU$38,8,0),"ECHEC")</f>
        <v>ECHEC</v>
      </c>
      <c r="O15" s="7">
        <f>IF(R15=0,0,VLOOKUP($A15,[10]HISTOJANV22!$A$7:$AU$38,32,0))</f>
        <v>0</v>
      </c>
      <c r="P15" s="7">
        <f>VLOOKUP($A15,[10]HISTOJANV22!$A$7:$AU$38,33,0)</f>
        <v>0</v>
      </c>
      <c r="Q15" s="7">
        <f t="shared" si="0"/>
        <v>0</v>
      </c>
      <c r="R15" s="7">
        <f>VLOOKUP($A15,[10]HISTOJANV22!$A$7:$AU$38,29,0)</f>
        <v>0</v>
      </c>
      <c r="S15" s="21">
        <f t="shared" si="2"/>
        <v>0</v>
      </c>
    </row>
    <row r="16" spans="1:19" x14ac:dyDescent="0.25">
      <c r="A16" s="1" t="s">
        <v>18</v>
      </c>
      <c r="B16" s="7">
        <f>IF(D16=0,0,VLOOKUP($A16,[8]HISTOJANV22!$A$6:$AZ$36,9,0))</f>
        <v>1</v>
      </c>
      <c r="C16" s="1" t="str">
        <f>VLOOKUP(A16,[9]LISTADHERENT!A$5:H$60,3,0)</f>
        <v>KOUATCHO MESSACK</v>
      </c>
      <c r="D16" s="7">
        <f t="shared" si="1"/>
        <v>23000</v>
      </c>
      <c r="E16" s="7">
        <f>D16+VLOOKUP($A16,[10]HISTOJANV22!$A$7:$AU$38,45,0)+F16</f>
        <v>30000</v>
      </c>
      <c r="F16" s="7">
        <f>VLOOKUP($A16,[10]HISTOJANV22!$A$7:$AU$38,7,0)</f>
        <v>0</v>
      </c>
      <c r="G16" s="7" t="str">
        <f>VLOOKUP($A16,[10]HISTOJANV22!$A$7:$AU$38,8,0)</f>
        <v>BANQUE</v>
      </c>
      <c r="H16" s="7">
        <f>VLOOKUP($A16,[10]HISTOJANV22!$A$7:$AU$38,35,0)</f>
        <v>26000</v>
      </c>
      <c r="I16" s="7">
        <f>VLOOKUP($A16,[10]HISTOJANV22!$A$7:$AU$38,38,0)</f>
        <v>1500</v>
      </c>
      <c r="J16" s="7" t="str">
        <f>IF(I16=0,0,VLOOKUP($A16,[10]HISTOJANV22!$A$7:$AU$38,42,0))</f>
        <v>BANQUE</v>
      </c>
      <c r="K16" s="7">
        <f>VLOOKUP($A16,[10]HISTOJANV22!$A$7:$AU$38,41,0)</f>
        <v>0</v>
      </c>
      <c r="L16"/>
      <c r="M16" s="7">
        <f>VLOOKUP($A16,[10]HISTOJANV22!$A$7:$AU$38,16,0)</f>
        <v>0</v>
      </c>
      <c r="N16" s="7" t="str">
        <f>IF(M16&lt;&gt;0,VLOOKUP($A16,[10]HISTOJANV22!$A$7:$AU$38,8,0),"ECHEC")</f>
        <v>ECHEC</v>
      </c>
      <c r="O16" s="7">
        <f>IF(R16=0,0,VLOOKUP($A16,[10]HISTOJANV22!$A$7:$AU$38,32,0))</f>
        <v>0</v>
      </c>
      <c r="P16" s="7">
        <f>VLOOKUP($A16,[10]HISTOJANV22!$A$7:$AU$38,33,0)</f>
        <v>0</v>
      </c>
      <c r="Q16" s="7">
        <f t="shared" si="0"/>
        <v>0</v>
      </c>
      <c r="R16" s="7">
        <f>VLOOKUP($A16,[10]HISTOJANV22!$A$7:$AU$38,29,0)</f>
        <v>0</v>
      </c>
      <c r="S16" s="21">
        <f t="shared" si="2"/>
        <v>0</v>
      </c>
    </row>
    <row r="17" spans="1:19" x14ac:dyDescent="0.25">
      <c r="A17" s="1" t="s">
        <v>19</v>
      </c>
      <c r="B17" s="7">
        <f>IF(D17=0,0,VLOOKUP($A17,[8]HISTOJANV22!$A$6:$AZ$36,9,0))</f>
        <v>1</v>
      </c>
      <c r="C17" s="1" t="str">
        <f>VLOOKUP(A17,[9]LISTADHERENT!A$5:H$60,3,0)</f>
        <v>LOWE JEAN</v>
      </c>
      <c r="D17" s="7">
        <f t="shared" si="1"/>
        <v>23000</v>
      </c>
      <c r="E17" s="7">
        <f>D17+VLOOKUP($A17,[10]HISTOJANV22!$A$7:$AU$38,45,0)+F17</f>
        <v>30000</v>
      </c>
      <c r="F17" s="7">
        <f>VLOOKUP($A17,[10]HISTOJANV22!$A$7:$AU$38,7,0)</f>
        <v>0</v>
      </c>
      <c r="G17" s="7" t="str">
        <f>VLOOKUP($A17,[10]HISTOJANV22!$A$7:$AU$38,8,0)</f>
        <v>BANQUE</v>
      </c>
      <c r="H17" s="7">
        <f>VLOOKUP($A17,[10]HISTOJANV22!$A$7:$AU$38,35,0)</f>
        <v>0</v>
      </c>
      <c r="I17" s="7">
        <f>VLOOKUP($A17,[10]HISTOJANV22!$A$7:$AU$38,38,0)</f>
        <v>0</v>
      </c>
      <c r="J17" s="7">
        <f>IF(I17=0,0,VLOOKUP($A17,[10]HISTOJANV22!$A$7:$AU$38,42,0))</f>
        <v>0</v>
      </c>
      <c r="K17" s="7">
        <f>VLOOKUP($A17,[10]HISTOJANV22!$A$7:$AU$38,41,0)</f>
        <v>0</v>
      </c>
      <c r="L17"/>
      <c r="M17" s="7">
        <f>VLOOKUP($A17,[10]HISTOJANV22!$A$7:$AU$38,16,0)</f>
        <v>0</v>
      </c>
      <c r="N17" s="7" t="str">
        <f>IF(M17&lt;&gt;0,VLOOKUP($A17,[10]HISTOJANV22!$A$7:$AU$38,8,0),"ECHEC")</f>
        <v>ECHEC</v>
      </c>
      <c r="O17" s="7">
        <f>IF(R17=0,0,VLOOKUP($A17,[10]HISTOJANV22!$A$7:$AU$38,32,0))</f>
        <v>0</v>
      </c>
      <c r="P17" s="7">
        <f>VLOOKUP($A17,[10]HISTOJANV22!$A$7:$AU$38,33,0)</f>
        <v>0</v>
      </c>
      <c r="Q17" s="7">
        <f t="shared" si="0"/>
        <v>0</v>
      </c>
      <c r="R17" s="7">
        <f>VLOOKUP($A17,[10]HISTOJANV22!$A$7:$AU$38,29,0)</f>
        <v>0</v>
      </c>
      <c r="S17" s="21">
        <f t="shared" si="2"/>
        <v>0</v>
      </c>
    </row>
    <row r="18" spans="1:19" x14ac:dyDescent="0.25">
      <c r="A18" s="1" t="s">
        <v>49</v>
      </c>
      <c r="B18" s="7">
        <f>IF(D18=0,0,VLOOKUP($A18,[8]HISTOJANV22!$A$6:$AZ$36,9,0))</f>
        <v>1</v>
      </c>
      <c r="C18" s="1" t="str">
        <f>VLOOKUP(A18,[9]LISTADHERENT!A$5:H$60,3,0)</f>
        <v>MBOGNING TUGMA GUY</v>
      </c>
      <c r="D18" s="7">
        <f t="shared" si="1"/>
        <v>23000</v>
      </c>
      <c r="E18" s="7">
        <f>D18+VLOOKUP($A18,[10]HISTOJANV22!$A$7:$AU$38,45,0)+F18</f>
        <v>30000</v>
      </c>
      <c r="F18" s="7">
        <f>VLOOKUP($A18,[10]HISTOJANV22!$A$7:$AU$38,7,0)</f>
        <v>0</v>
      </c>
      <c r="G18" s="7" t="str">
        <f>VLOOKUP($A18,[10]HISTOJANV22!$A$7:$AU$38,8,0)</f>
        <v>BANQUE</v>
      </c>
      <c r="H18" s="7">
        <f>VLOOKUP($A18,[10]HISTOJANV22!$A$7:$AU$38,35,0)</f>
        <v>0</v>
      </c>
      <c r="I18" s="7">
        <f>VLOOKUP($A18,[10]HISTOJANV22!$A$7:$AU$38,38,0)</f>
        <v>0</v>
      </c>
      <c r="J18" s="7">
        <f>IF(I18=0,0,VLOOKUP($A18,[10]HISTOJANV22!$A$7:$AU$38,42,0))</f>
        <v>0</v>
      </c>
      <c r="K18" s="7">
        <f>VLOOKUP($A18,[10]HISTOJANV22!$A$7:$AU$38,41,0)</f>
        <v>0</v>
      </c>
      <c r="L18"/>
      <c r="M18" s="7">
        <f>VLOOKUP($A18,[10]HISTOJANV22!$A$7:$AU$38,16,0)</f>
        <v>0</v>
      </c>
      <c r="N18" s="7" t="str">
        <f>IF(M18&lt;&gt;0,VLOOKUP($A18,[10]HISTOJANV22!$A$7:$AU$38,8,0),"ECHEC")</f>
        <v>ECHEC</v>
      </c>
      <c r="O18" s="7" t="str">
        <f>IF(R18=0,0,VLOOKUP($A18,[10]HISTOJANV22!$A$7:$AU$38,32,0))</f>
        <v>BANQUE</v>
      </c>
      <c r="P18" s="7">
        <f>VLOOKUP($A18,[10]HISTOJANV22!$A$7:$AU$38,33,0)</f>
        <v>0</v>
      </c>
      <c r="Q18" s="7">
        <f t="shared" si="0"/>
        <v>261000</v>
      </c>
      <c r="R18" s="7">
        <f>VLOOKUP($A18,[10]HISTOJANV22!$A$7:$AU$38,29,0)</f>
        <v>39000</v>
      </c>
      <c r="S18" s="21">
        <f t="shared" si="2"/>
        <v>16000</v>
      </c>
    </row>
    <row r="19" spans="1:19" x14ac:dyDescent="0.25">
      <c r="A19" s="1" t="s">
        <v>30</v>
      </c>
      <c r="B19" s="7">
        <f>IF(D19=0,0,VLOOKUP($A19,[8]HISTOJANV22!$A$6:$AZ$36,9,0))</f>
        <v>1</v>
      </c>
      <c r="C19" s="1" t="str">
        <f>VLOOKUP(A19,[9]LISTADHERENT!A$5:H$60,3,0)</f>
        <v>NANGUEN MARTIN</v>
      </c>
      <c r="D19" s="7">
        <f t="shared" si="1"/>
        <v>23000</v>
      </c>
      <c r="E19" s="7">
        <f>D19+VLOOKUP($A19,[10]HISTOJANV22!$A$7:$AU$38,45,0)+F19</f>
        <v>30000</v>
      </c>
      <c r="F19" s="7">
        <f>VLOOKUP($A19,[10]HISTOJANV22!$A$7:$AU$38,7,0)</f>
        <v>0</v>
      </c>
      <c r="G19" s="7" t="str">
        <f>VLOOKUP($A19,[10]HISTOJANV22!$A$7:$AU$38,8,0)</f>
        <v>BANQUE</v>
      </c>
      <c r="H19" s="7">
        <f>VLOOKUP($A19,[10]HISTOJANV22!$A$7:$AU$38,35,0)</f>
        <v>0</v>
      </c>
      <c r="I19" s="7">
        <f>VLOOKUP($A19,[10]HISTOJANV22!$A$7:$AU$38,38,0)</f>
        <v>0</v>
      </c>
      <c r="J19" s="7">
        <f>IF(I19=0,0,VLOOKUP($A19,[10]HISTOJANV22!$A$7:$AU$38,42,0))</f>
        <v>0</v>
      </c>
      <c r="K19" s="7">
        <f>VLOOKUP($A19,[10]HISTOJANV22!$A$7:$AU$38,41,0)</f>
        <v>0</v>
      </c>
      <c r="L19"/>
      <c r="M19" s="7">
        <f>VLOOKUP($A19,[10]HISTOJANV22!$A$7:$AU$38,16,0)</f>
        <v>0</v>
      </c>
      <c r="N19" s="7" t="str">
        <f>IF(M19&lt;&gt;0,VLOOKUP($A19,[10]HISTOJANV22!$A$7:$AU$38,8,0),"ECHEC")</f>
        <v>ECHEC</v>
      </c>
      <c r="O19" s="7">
        <f>IF(R19=0,0,VLOOKUP($A19,[10]HISTOJANV22!$A$7:$AU$38,32,0))</f>
        <v>0</v>
      </c>
      <c r="P19" s="7">
        <f>VLOOKUP($A19,[10]HISTOJANV22!$A$7:$AU$38,33,0)</f>
        <v>0</v>
      </c>
      <c r="Q19" s="7">
        <f t="shared" si="0"/>
        <v>0</v>
      </c>
      <c r="R19" s="7">
        <f>VLOOKUP($A19,[10]HISTOJANV22!$A$7:$AU$38,29,0)</f>
        <v>0</v>
      </c>
      <c r="S19" s="21">
        <f t="shared" si="2"/>
        <v>0</v>
      </c>
    </row>
    <row r="20" spans="1:19" x14ac:dyDescent="0.25">
      <c r="A20" s="1" t="s">
        <v>20</v>
      </c>
      <c r="B20" s="7">
        <f>IF(D20=0,0,VLOOKUP($A20,[8]HISTOJANV22!$A$6:$AZ$36,9,0))</f>
        <v>1</v>
      </c>
      <c r="C20" s="1" t="str">
        <f>VLOOKUP(A20,[9]LISTADHERENT!A$5:H$60,3,0)</f>
        <v>NANKAM APPOLINAIRE</v>
      </c>
      <c r="D20" s="7">
        <f t="shared" si="1"/>
        <v>23000</v>
      </c>
      <c r="E20" s="7">
        <f>D21+VLOOKUP($A21,[10]HISTOJANV22!$A$7:$AU$38,45,0)+F21</f>
        <v>40000</v>
      </c>
      <c r="F20" s="7">
        <f>VLOOKUP($A21,[10]HISTOJANV22!$A$7:$AU$38,7,0)</f>
        <v>0</v>
      </c>
      <c r="G20" s="7" t="str">
        <f>VLOOKUP($A21,[10]HISTOJANV22!$A$7:$AU$38,8,0)</f>
        <v>BANQUE</v>
      </c>
      <c r="H20" s="7">
        <f>VLOOKUP($A21,[10]HISTOJANV22!$A$7:$AU$38,35,0)</f>
        <v>0</v>
      </c>
      <c r="I20" s="7">
        <f>VLOOKUP($A21,[10]HISTOJANV22!$A$7:$AU$38,38,0)</f>
        <v>0</v>
      </c>
      <c r="J20" s="7">
        <f>IF(I21=0,0,VLOOKUP($A21,[10]HISTOJANV22!$A$7:$AU$38,42,0))</f>
        <v>0</v>
      </c>
      <c r="K20" s="7">
        <f>VLOOKUP($A21,[10]HISTOJANV22!$A$7:$AU$38,41,0)</f>
        <v>0</v>
      </c>
      <c r="L20"/>
      <c r="M20" s="7">
        <f>VLOOKUP($A21,[10]HISTOJANV22!$A$7:$AU$38,16,0)</f>
        <v>0</v>
      </c>
      <c r="N20" s="7" t="str">
        <f>IF(M21&lt;&gt;0,VLOOKUP($A21,[10]HISTOJANV22!$A$7:$AU$38,8,0),"ECHEC")</f>
        <v>ECHEC</v>
      </c>
      <c r="O20" s="7">
        <f>IF(R21=0,0,VLOOKUP($A21,[10]HISTOJANV22!$A$7:$AU$38,32,0))</f>
        <v>0</v>
      </c>
      <c r="P20" s="7">
        <f>VLOOKUP($A21,[10]HISTOJANV22!$A$7:$AU$38,33,0)</f>
        <v>0</v>
      </c>
      <c r="Q20" s="7">
        <f>IF(R21=0,0,($C$3-R21))</f>
        <v>0</v>
      </c>
      <c r="R20" s="7">
        <f>VLOOKUP($A21,[10]HISTOJANV22!$A$7:$AU$38,29,0)</f>
        <v>0</v>
      </c>
      <c r="S20" s="21">
        <f t="shared" si="2"/>
        <v>0</v>
      </c>
    </row>
    <row r="21" spans="1:19" x14ac:dyDescent="0.25">
      <c r="A21" s="1" t="s">
        <v>21</v>
      </c>
      <c r="B21" s="7">
        <f>IF(D21=0,0,VLOOKUP($A21,[8]HISTOJANV22!$A$6:$AZ$36,9,0))</f>
        <v>1</v>
      </c>
      <c r="C21" s="1" t="str">
        <f>VLOOKUP(A21,[9]LISTADHERENT!A$5:H$60,3,0)</f>
        <v>NDJOMO ETIENNE</v>
      </c>
      <c r="D21" s="7">
        <f t="shared" si="1"/>
        <v>23000</v>
      </c>
      <c r="E21" s="7">
        <f>D21+VLOOKUP($A21,[10]HISTOJANV22!$A$7:$AU$38,45,0)+F21</f>
        <v>40000</v>
      </c>
      <c r="F21" s="7">
        <f>VLOOKUP($A21,[10]HISTOJANV22!$A$7:$AU$38,7,0)</f>
        <v>0</v>
      </c>
      <c r="G21" s="7" t="str">
        <f>VLOOKUP($A21,[10]HISTOJANV22!$A$7:$AU$38,8,0)</f>
        <v>BANQUE</v>
      </c>
      <c r="H21" s="7">
        <f>VLOOKUP($A21,[10]HISTOJANV22!$A$7:$AU$38,35,0)</f>
        <v>0</v>
      </c>
      <c r="I21" s="7">
        <f>VLOOKUP($A21,[10]HISTOJANV22!$A$7:$AU$38,38,0)</f>
        <v>0</v>
      </c>
      <c r="J21" s="7">
        <f>IF(I21=0,0,VLOOKUP($A21,[10]HISTOJANV22!$A$7:$AU$38,42,0))</f>
        <v>0</v>
      </c>
      <c r="K21" s="7">
        <f>VLOOKUP($A21,[10]HISTOJANV22!$A$7:$AU$38,41,0)</f>
        <v>0</v>
      </c>
      <c r="L21"/>
      <c r="M21" s="7">
        <f>VLOOKUP($A21,[10]HISTOJANV22!$A$7:$AU$38,16,0)</f>
        <v>0</v>
      </c>
      <c r="N21" s="7" t="str">
        <f>IF(M21&lt;&gt;0,VLOOKUP($A21,[10]HISTOJANV22!$A$7:$AU$38,8,0),"ECHEC")</f>
        <v>ECHEC</v>
      </c>
      <c r="O21" s="7">
        <f>IF(R21=0,0,VLOOKUP($A21,[10]HISTOJANV22!$A$7:$AU$38,32,0))</f>
        <v>0</v>
      </c>
      <c r="P21" s="7">
        <f>VLOOKUP($A21,[10]HISTOJANV22!$A$7:$AU$38,33,0)</f>
        <v>0</v>
      </c>
      <c r="Q21" s="7">
        <f t="shared" si="0"/>
        <v>0</v>
      </c>
      <c r="R21" s="7">
        <f>VLOOKUP($A21,[10]HISTOJANV22!$A$7:$AU$38,29,0)</f>
        <v>0</v>
      </c>
      <c r="S21" s="21">
        <f t="shared" si="2"/>
        <v>0</v>
      </c>
    </row>
    <row r="22" spans="1:19" x14ac:dyDescent="0.25">
      <c r="A22" s="1" t="s">
        <v>22</v>
      </c>
      <c r="B22" s="7">
        <f>IF(D22=0,0,VLOOKUP($A22,[8]HISTOJANV22!$A$6:$AZ$36,9,0))</f>
        <v>1</v>
      </c>
      <c r="C22" s="1" t="str">
        <f>VLOOKUP(A22,[9]LISTADHERENT!A$5:H$60,3,0)</f>
        <v>NGONDIEP CLAUDE</v>
      </c>
      <c r="D22" s="7">
        <f t="shared" si="1"/>
        <v>23000</v>
      </c>
      <c r="E22" s="7">
        <f>D22+VLOOKUP($A22,[10]HISTOJANV22!$A$7:$AU$38,45,0)+F22</f>
        <v>35000</v>
      </c>
      <c r="F22" s="7">
        <f>VLOOKUP($A22,[10]HISTOJANV22!$A$7:$AU$38,7,0)</f>
        <v>0</v>
      </c>
      <c r="G22" s="7" t="str">
        <f>VLOOKUP($A22,[10]HISTOJANV22!$A$7:$AU$38,8,0)</f>
        <v>BANQUE</v>
      </c>
      <c r="H22" s="7">
        <f>VLOOKUP($A22,[10]HISTOJANV22!$A$7:$AU$38,35,0)</f>
        <v>0</v>
      </c>
      <c r="I22" s="7">
        <f>VLOOKUP($A22,[10]HISTOJANV22!$A$7:$AU$38,38,0)</f>
        <v>0</v>
      </c>
      <c r="J22" s="7">
        <f>IF(I22=0,0,VLOOKUP($A22,[10]HISTOJANV22!$A$7:$AU$38,42,0))</f>
        <v>0</v>
      </c>
      <c r="K22" s="7">
        <f>VLOOKUP($A22,[10]HISTOJANV22!$A$7:$AU$38,41,0)</f>
        <v>0</v>
      </c>
      <c r="L22"/>
      <c r="M22" s="7">
        <f>VLOOKUP($A22,[10]HISTOJANV22!$A$7:$AU$38,16,0)</f>
        <v>0</v>
      </c>
      <c r="N22" s="7" t="str">
        <f>IF(M22&lt;&gt;0,VLOOKUP($A22,[10]HISTOJANV22!$A$7:$AU$38,8,0),"ECHEC")</f>
        <v>ECHEC</v>
      </c>
      <c r="O22" s="7">
        <f>IF(R22=0,0,VLOOKUP($A22,[10]HISTOJANV22!$A$7:$AU$38,32,0))</f>
        <v>0</v>
      </c>
      <c r="P22" s="7">
        <f>VLOOKUP($A22,[10]HISTOJANV22!$A$7:$AU$38,33,0)</f>
        <v>0</v>
      </c>
      <c r="Q22" s="7">
        <f t="shared" si="0"/>
        <v>0</v>
      </c>
      <c r="R22" s="7">
        <f>VLOOKUP($A22,[10]HISTOJANV22!$A$7:$AU$38,29,0)</f>
        <v>0</v>
      </c>
      <c r="S22" s="21">
        <f t="shared" si="2"/>
        <v>0</v>
      </c>
    </row>
    <row r="23" spans="1:19" x14ac:dyDescent="0.25">
      <c r="A23" s="1" t="s">
        <v>23</v>
      </c>
      <c r="B23" s="7">
        <f>IF(D23=0,0,VLOOKUP($A23,[8]HISTOJANV22!$A$6:$AZ$36,9,0))</f>
        <v>1</v>
      </c>
      <c r="C23" s="1" t="str">
        <f>VLOOKUP(A23,[9]LISTADHERENT!A$5:H$60,3,0)</f>
        <v>NGUIEMEGNI MATHIEU BLAISE</v>
      </c>
      <c r="D23" s="7">
        <f t="shared" si="1"/>
        <v>23000</v>
      </c>
      <c r="E23" s="7">
        <f>D23+VLOOKUP($A23,[10]HISTOJANV22!$A$7:$AU$38,45,0)+F23</f>
        <v>30000</v>
      </c>
      <c r="F23" s="7">
        <f>VLOOKUP($A23,[10]HISTOJANV22!$A$7:$AU$38,7,0)</f>
        <v>0</v>
      </c>
      <c r="G23" s="7" t="str">
        <f>VLOOKUP($A23,[10]HISTOJANV22!$A$7:$AU$38,8,0)</f>
        <v>BANQUE</v>
      </c>
      <c r="H23" s="7">
        <f>VLOOKUP($A23,[10]HISTOJANV22!$A$7:$AU$38,35,0)</f>
        <v>25000</v>
      </c>
      <c r="I23" s="7">
        <f>VLOOKUP($A23,[10]HISTOJANV22!$A$7:$AU$38,38,0)</f>
        <v>2000</v>
      </c>
      <c r="J23" s="7" t="str">
        <f>IF(I23=0,0,VLOOKUP($A23,[10]HISTOJANV22!$A$7:$AU$38,42,0))</f>
        <v>BANQUE</v>
      </c>
      <c r="K23" s="7">
        <f>VLOOKUP($A23,[10]HISTOJANV22!$A$7:$AU$38,41,0)</f>
        <v>0</v>
      </c>
      <c r="L23"/>
      <c r="M23" s="7">
        <f>VLOOKUP($A23,[10]HISTOJANV22!$A$7:$AU$38,16,0)</f>
        <v>0</v>
      </c>
      <c r="N23" s="7" t="str">
        <f>IF(M23&lt;&gt;0,VLOOKUP($A23,[10]HISTOJANV22!$A$7:$AU$38,8,0),"ECHEC")</f>
        <v>ECHEC</v>
      </c>
      <c r="O23" s="7" t="str">
        <f>IF(R23=0,0,VLOOKUP($A23,[10]HISTOJANV22!$A$7:$AU$38,32,0))</f>
        <v>BANQUE</v>
      </c>
      <c r="P23" s="7">
        <f>VLOOKUP($A23,[10]HISTOJANV22!$A$7:$AU$38,33,0)</f>
        <v>0</v>
      </c>
      <c r="Q23" s="7">
        <f t="shared" si="0"/>
        <v>261000</v>
      </c>
      <c r="R23" s="7">
        <f>VLOOKUP($A23,[10]HISTOJANV22!$A$7:$AU$38,29,0)</f>
        <v>39000</v>
      </c>
      <c r="S23" s="21">
        <f t="shared" si="2"/>
        <v>16000</v>
      </c>
    </row>
    <row r="24" spans="1:19" x14ac:dyDescent="0.25">
      <c r="A24" s="1" t="s">
        <v>24</v>
      </c>
      <c r="B24" s="7">
        <f>IF(D24=0,0,VLOOKUP($A24,[8]HISTOJANV22!$A$6:$AZ$36,9,0))</f>
        <v>1</v>
      </c>
      <c r="C24" s="1" t="str">
        <f>VLOOKUP(A24,[9]LISTADHERENT!A$5:H$60,3,0)</f>
        <v>NKAMGANG JUSTIN DEJOLIE</v>
      </c>
      <c r="D24" s="7">
        <f t="shared" si="1"/>
        <v>23000</v>
      </c>
      <c r="E24" s="7">
        <f>D24+VLOOKUP($A24,[10]HISTOJANV22!$A$7:$AU$38,45,0)+F24</f>
        <v>30000</v>
      </c>
      <c r="F24" s="7">
        <f>VLOOKUP($A24,[10]HISTOJANV22!$A$7:$AU$38,7,0)</f>
        <v>0</v>
      </c>
      <c r="G24" s="7" t="str">
        <f>VLOOKUP($A24,[10]HISTOJANV22!$A$7:$AU$38,8,0)</f>
        <v>BANQUE</v>
      </c>
      <c r="H24" s="7">
        <f>VLOOKUP($A24,[10]HISTOJANV22!$A$7:$AU$38,35,0)</f>
        <v>25000</v>
      </c>
      <c r="I24" s="7">
        <f>VLOOKUP($A24,[10]HISTOJANV22!$A$7:$AU$38,38,0)</f>
        <v>1000</v>
      </c>
      <c r="J24" s="7" t="str">
        <f>IF(I24=0,0,VLOOKUP($A24,[10]HISTOJANV22!$A$7:$AU$38,42,0))</f>
        <v>BANQUE</v>
      </c>
      <c r="K24" s="7">
        <f>VLOOKUP($A24,[10]HISTOJANV22!$A$7:$AU$38,41,0)</f>
        <v>0</v>
      </c>
      <c r="L24"/>
      <c r="M24" s="7">
        <f>VLOOKUP($A24,[10]HISTOJANV22!$A$7:$AU$38,16,0)</f>
        <v>0</v>
      </c>
      <c r="N24" s="7" t="str">
        <f>IF(M24&lt;&gt;0,VLOOKUP($A24,[10]HISTOJANV22!$A$7:$AU$38,8,0),"ECHEC")</f>
        <v>ECHEC</v>
      </c>
      <c r="O24" s="7">
        <f>IF(R24=0,0,VLOOKUP($A24,[10]HISTOJANV22!$A$7:$AU$38,32,0))</f>
        <v>0</v>
      </c>
      <c r="P24" s="7">
        <f>VLOOKUP($A24,[10]HISTOJANV22!$A$7:$AU$38,33,0)</f>
        <v>0</v>
      </c>
      <c r="Q24" s="7">
        <f t="shared" si="0"/>
        <v>0</v>
      </c>
      <c r="R24" s="7">
        <f>VLOOKUP($A24,[10]HISTOJANV22!$A$7:$AU$38,29,0)</f>
        <v>0</v>
      </c>
      <c r="S24" s="21">
        <f t="shared" si="2"/>
        <v>0</v>
      </c>
    </row>
    <row r="25" spans="1:19" x14ac:dyDescent="0.25">
      <c r="A25" s="1" t="s">
        <v>25</v>
      </c>
      <c r="B25" s="7">
        <f>IF(D25=0,0,VLOOKUP($A25,[8]HISTOJANV22!$A$6:$AZ$36,9,0))</f>
        <v>1</v>
      </c>
      <c r="C25" s="1" t="str">
        <f>VLOOKUP(A25,[9]LISTADHERENT!A$5:H$60,3,0)</f>
        <v>NKEPSEU DIEUDONNE</v>
      </c>
      <c r="D25" s="7">
        <f t="shared" si="1"/>
        <v>23000</v>
      </c>
      <c r="E25" s="7">
        <f>D25+VLOOKUP($A25,[10]HISTOJANV22!$A$7:$AU$38,45,0)+F25</f>
        <v>40000</v>
      </c>
      <c r="F25" s="7">
        <f>VLOOKUP($A25,[10]HISTOJANV22!$A$7:$AU$38,7,0)</f>
        <v>0</v>
      </c>
      <c r="G25" s="7" t="str">
        <f>VLOOKUP($A25,[10]HISTOJANV22!$A$7:$AU$38,8,0)</f>
        <v>BANQUE</v>
      </c>
      <c r="H25" s="7">
        <f>VLOOKUP($A25,[10]HISTOJANV22!$A$7:$AU$38,35,0)</f>
        <v>0</v>
      </c>
      <c r="I25" s="7">
        <f>VLOOKUP($A25,[10]HISTOJANV22!$A$7:$AU$38,38,0)</f>
        <v>0</v>
      </c>
      <c r="J25" s="7">
        <f>IF(I25=0,0,VLOOKUP($A25,[10]HISTOJANV22!$A$7:$AU$38,42,0))</f>
        <v>0</v>
      </c>
      <c r="K25" s="7">
        <f>VLOOKUP($A25,[10]HISTOJANV22!$A$7:$AU$38,41,0)</f>
        <v>0</v>
      </c>
      <c r="L25"/>
      <c r="M25" s="7">
        <f>VLOOKUP($A25,[10]HISTOJANV22!$A$7:$AU$38,16,0)</f>
        <v>0</v>
      </c>
      <c r="N25" s="7" t="str">
        <f>IF(M25&lt;&gt;0,VLOOKUP($A25,[10]HISTOJANV22!$A$7:$AU$38,8,0),"ECHEC")</f>
        <v>ECHEC</v>
      </c>
      <c r="O25" s="7">
        <f>IF(R25=0,0,VLOOKUP($A25,[10]HISTOJANV22!$A$7:$AU$38,32,0))</f>
        <v>0</v>
      </c>
      <c r="P25" s="7">
        <f>VLOOKUP($A25,[10]HISTOJANV22!$A$7:$AU$38,33,0)</f>
        <v>0</v>
      </c>
      <c r="Q25" s="7">
        <f t="shared" si="0"/>
        <v>0</v>
      </c>
      <c r="R25" s="7">
        <f>VLOOKUP($A25,[10]HISTOJANV22!$A$7:$AU$38,29,0)</f>
        <v>0</v>
      </c>
      <c r="S25" s="21">
        <f t="shared" si="2"/>
        <v>0</v>
      </c>
    </row>
    <row r="26" spans="1:19" x14ac:dyDescent="0.25">
      <c r="A26" s="1" t="s">
        <v>26</v>
      </c>
      <c r="B26" s="7">
        <f>IF(D26=0,0,VLOOKUP($A26,[8]HISTOJANV22!$A$6:$AZ$36,9,0))</f>
        <v>1</v>
      </c>
      <c r="C26" s="1" t="str">
        <f>VLOOKUP(A26,[9]LISTADHERENT!A$5:H$60,3,0)</f>
        <v>PATEGO NJOSSU GUSTAVE</v>
      </c>
      <c r="D26" s="7">
        <f t="shared" si="1"/>
        <v>23000</v>
      </c>
      <c r="E26" s="7">
        <f>D26+VLOOKUP($A26,[10]HISTOJANV22!$A$7:$AU$38,45,0)+F26</f>
        <v>30000</v>
      </c>
      <c r="F26" s="7">
        <f>VLOOKUP($A26,[10]HISTOJANV22!$A$7:$AU$38,7,0)</f>
        <v>0</v>
      </c>
      <c r="G26" s="7" t="str">
        <f>VLOOKUP($A26,[10]HISTOJANV22!$A$7:$AU$38,8,0)</f>
        <v>BANQUE</v>
      </c>
      <c r="H26" s="7">
        <f>VLOOKUP($A26,[10]HISTOJANV22!$A$7:$AU$38,35,0)</f>
        <v>0</v>
      </c>
      <c r="I26" s="7">
        <f>VLOOKUP($A26,[10]HISTOJANV22!$A$7:$AU$38,38,0)</f>
        <v>0</v>
      </c>
      <c r="J26" s="7">
        <f>IF(I26=0,0,VLOOKUP($A26,[10]HISTOJANV22!$A$7:$AU$38,42,0))</f>
        <v>0</v>
      </c>
      <c r="K26" s="7">
        <f>VLOOKUP($A26,[10]HISTOJANV22!$A$7:$AU$38,41,0)</f>
        <v>0</v>
      </c>
      <c r="L26"/>
      <c r="M26" s="7">
        <f>VLOOKUP($A26,[10]HISTOJANV22!$A$7:$AU$38,16,0)</f>
        <v>0</v>
      </c>
      <c r="N26" s="7" t="str">
        <f>IF(M26&lt;&gt;0,VLOOKUP($A26,[10]HISTOJANV22!$A$7:$AU$38,8,0),"ECHEC")</f>
        <v>ECHEC</v>
      </c>
      <c r="O26" s="7">
        <f>IF(R26=0,0,VLOOKUP($A26,[10]HISTOJANV22!$A$7:$AU$38,32,0))</f>
        <v>0</v>
      </c>
      <c r="P26" s="7">
        <f>VLOOKUP($A26,[10]HISTOJANV22!$A$7:$AU$38,33,0)</f>
        <v>0</v>
      </c>
      <c r="Q26" s="7">
        <f t="shared" si="0"/>
        <v>0</v>
      </c>
      <c r="R26" s="7">
        <f>VLOOKUP($A26,[10]HISTOJANV22!$A$7:$AU$38,29,0)</f>
        <v>0</v>
      </c>
      <c r="S26" s="21">
        <f t="shared" si="2"/>
        <v>0</v>
      </c>
    </row>
    <row r="27" spans="1:19" x14ac:dyDescent="0.25">
      <c r="A27" s="1" t="s">
        <v>51</v>
      </c>
      <c r="B27" s="7">
        <f>IF(D27=0,0,VLOOKUP($A27,[8]HISTOJANV22!$A$6:$AZ$36,9,0))</f>
        <v>1</v>
      </c>
      <c r="C27" s="1" t="str">
        <f>VLOOKUP(A27,[9]LISTADHERENT!A$5:H$60,3,0)</f>
        <v>SIME BRICE</v>
      </c>
      <c r="D27" s="7">
        <f t="shared" si="1"/>
        <v>23000</v>
      </c>
      <c r="E27" s="7">
        <f>D27+VLOOKUP($A27,[10]HISTOJANV22!$A$7:$AU$38,45,0)+F27</f>
        <v>30000</v>
      </c>
      <c r="F27" s="7">
        <f>VLOOKUP($A27,[10]HISTOJANV22!$A$7:$AU$38,7,0)</f>
        <v>0</v>
      </c>
      <c r="G27" s="7" t="str">
        <f>VLOOKUP($A27,[10]HISTOJANV22!$A$7:$AU$38,8,0)</f>
        <v>BANQUE</v>
      </c>
      <c r="H27" s="7">
        <f>VLOOKUP($A27,[10]HISTOJANV22!$A$7:$AU$38,35,0)</f>
        <v>0</v>
      </c>
      <c r="I27" s="7">
        <f>VLOOKUP($A27,[10]HISTOJANV22!$A$7:$AU$38,38,0)</f>
        <v>0</v>
      </c>
      <c r="J27" s="7">
        <f>IF(I27=0,0,VLOOKUP($A27,[10]HISTOJANV22!$A$7:$AU$38,42,0))</f>
        <v>0</v>
      </c>
      <c r="K27" s="7">
        <f>VLOOKUP($A27,[10]HISTOJANV22!$A$7:$AU$38,41,0)</f>
        <v>0</v>
      </c>
      <c r="L27"/>
      <c r="M27" s="7">
        <f>VLOOKUP($A27,[10]HISTOJANV22!$A$7:$AU$38,16,0)</f>
        <v>0</v>
      </c>
      <c r="N27" s="7" t="str">
        <f>IF(M27&lt;&gt;0,VLOOKUP($A27,[10]HISTOJANV22!$A$7:$AU$38,8,0),"ECHEC")</f>
        <v>ECHEC</v>
      </c>
      <c r="O27" s="7">
        <f>IF(R27=0,0,VLOOKUP($A27,[10]HISTOJANV22!$A$7:$AU$38,32,0))</f>
        <v>0</v>
      </c>
      <c r="P27" s="7">
        <f>VLOOKUP($A27,[10]HISTOJANV22!$A$7:$AU$38,33,0)</f>
        <v>0</v>
      </c>
      <c r="Q27" s="7">
        <f t="shared" si="0"/>
        <v>0</v>
      </c>
      <c r="R27" s="7">
        <f>VLOOKUP($A27,[10]HISTOJANV22!$A$7:$AU$38,29,0)</f>
        <v>0</v>
      </c>
      <c r="S27" s="21">
        <f t="shared" si="2"/>
        <v>0</v>
      </c>
    </row>
    <row r="28" spans="1:19" x14ac:dyDescent="0.25">
      <c r="A28" s="1" t="s">
        <v>29</v>
      </c>
      <c r="B28" s="7">
        <f>IF(D28=0,0,VLOOKUP($A28,[8]HISTOJANV22!$A$6:$AZ$36,9,0))</f>
        <v>1</v>
      </c>
      <c r="C28" s="1" t="str">
        <f>VLOOKUP(A28,[9]LISTADHERENT!A$5:H$60,3,0)</f>
        <v>SIMO PIERRE</v>
      </c>
      <c r="D28" s="7">
        <f t="shared" si="1"/>
        <v>23000</v>
      </c>
      <c r="E28" s="7">
        <f>D28+VLOOKUP($A28,[10]HISTOJANV22!$A$7:$AU$38,45,0)+F28</f>
        <v>45000</v>
      </c>
      <c r="F28" s="7">
        <f>VLOOKUP($A28,[10]HISTOJANV22!$A$7:$AU$38,7,0)</f>
        <v>0</v>
      </c>
      <c r="G28" s="7" t="str">
        <f>VLOOKUP($A28,[10]HISTOJANV22!$A$7:$AU$38,8,0)</f>
        <v>BANQUE</v>
      </c>
      <c r="H28" s="7">
        <f>VLOOKUP($A28,[10]HISTOJANV22!$A$7:$AU$38,35,0)</f>
        <v>0</v>
      </c>
      <c r="I28" s="7">
        <f>VLOOKUP($A28,[10]HISTOJANV22!$A$7:$AU$38,38,0)</f>
        <v>0</v>
      </c>
      <c r="J28" s="7">
        <f>IF(I28=0,0,VLOOKUP($A28,[10]HISTOJANV22!$A$7:$AU$38,42,0))</f>
        <v>0</v>
      </c>
      <c r="K28" s="7">
        <f>VLOOKUP($A28,[10]HISTOJANV22!$A$7:$AU$38,41,0)</f>
        <v>0</v>
      </c>
      <c r="L28"/>
      <c r="M28" s="7">
        <f>VLOOKUP($A28,[10]HISTOJANV22!$A$7:$AU$38,16,0)</f>
        <v>0</v>
      </c>
      <c r="N28" s="7" t="str">
        <f>IF(M28&lt;&gt;0,VLOOKUP($A28,[10]HISTOJANV22!$A$7:$AU$38,8,0),"ECHEC")</f>
        <v>ECHEC</v>
      </c>
      <c r="O28" s="7">
        <f>IF(R28=0,0,VLOOKUP($A28,[10]HISTOJANV22!$A$7:$AU$38,32,0))</f>
        <v>0</v>
      </c>
      <c r="P28" s="7">
        <f>VLOOKUP($A28,[10]HISTOJANV22!$A$7:$AU$38,33,0)</f>
        <v>0</v>
      </c>
      <c r="Q28" s="7">
        <f t="shared" si="0"/>
        <v>0</v>
      </c>
      <c r="R28" s="7">
        <f>VLOOKUP($A28,[10]HISTOJANV22!$A$7:$AU$38,29,0)</f>
        <v>0</v>
      </c>
      <c r="S28" s="21">
        <f t="shared" si="2"/>
        <v>0</v>
      </c>
    </row>
    <row r="29" spans="1:19" x14ac:dyDescent="0.25">
      <c r="A29" s="1" t="s">
        <v>31</v>
      </c>
      <c r="B29" s="7">
        <f>IF(D29=0,0,VLOOKUP($A29,[8]HISTOJANV22!$A$6:$AZ$36,9,0))</f>
        <v>1</v>
      </c>
      <c r="C29" s="1" t="str">
        <f>VLOOKUP(A29,[9]LISTADHERENT!A$5:H$60,3,0)</f>
        <v>TCHOUAMOU MATHIEU</v>
      </c>
      <c r="D29" s="7">
        <f t="shared" si="1"/>
        <v>23000</v>
      </c>
      <c r="E29" s="7">
        <f>D29+VLOOKUP($A29,[10]HISTOJANV22!$A$7:$AU$38,45,0)+F29</f>
        <v>30000</v>
      </c>
      <c r="F29" s="7">
        <f>VLOOKUP($A29,[10]HISTOJANV22!$A$7:$AU$38,7,0)</f>
        <v>0</v>
      </c>
      <c r="G29" s="7" t="str">
        <f>VLOOKUP($A29,[10]HISTOJANV22!$A$7:$AU$38,8,0)</f>
        <v>BANQUE</v>
      </c>
      <c r="H29" s="7">
        <f>VLOOKUP($A29,[10]HISTOJANV22!$A$7:$AU$38,35,0)</f>
        <v>0</v>
      </c>
      <c r="I29" s="7">
        <f>VLOOKUP($A29,[10]HISTOJANV22!$A$7:$AU$38,38,0)</f>
        <v>0</v>
      </c>
      <c r="J29" s="7">
        <f>IF(I29=0,0,VLOOKUP($A29,[10]HISTOJANV22!$A$7:$AU$38,42,0))</f>
        <v>0</v>
      </c>
      <c r="K29" s="7">
        <f>VLOOKUP($A29,[10]HISTOJANV22!$A$7:$AU$38,41,0)</f>
        <v>0</v>
      </c>
      <c r="L29"/>
      <c r="M29" s="7">
        <f>VLOOKUP($A29,[10]HISTOJANV22!$A$7:$AU$38,16,0)</f>
        <v>0</v>
      </c>
      <c r="N29" s="7" t="str">
        <f>IF(M29&lt;&gt;0,VLOOKUP($A29,[10]HISTOJANV22!$A$7:$AU$38,8,0),"ECHEC")</f>
        <v>ECHEC</v>
      </c>
      <c r="O29" s="7">
        <f>IF(R29=0,0,VLOOKUP($A29,[10]HISTOJANV22!$A$7:$AU$38,32,0))</f>
        <v>0</v>
      </c>
      <c r="P29" s="7">
        <f>VLOOKUP($A29,[10]HISTOJANV22!$A$7:$AU$38,33,0)</f>
        <v>0</v>
      </c>
      <c r="Q29" s="7">
        <f t="shared" si="0"/>
        <v>0</v>
      </c>
      <c r="R29" s="7">
        <f>VLOOKUP($A29,[10]HISTOJANV22!$A$7:$AU$38,29,0)</f>
        <v>0</v>
      </c>
      <c r="S29" s="21">
        <f t="shared" si="2"/>
        <v>0</v>
      </c>
    </row>
    <row r="30" spans="1:19" x14ac:dyDescent="0.25">
      <c r="A30" s="1" t="s">
        <v>32</v>
      </c>
      <c r="B30" s="7">
        <f>IF(D30=0,0,VLOOKUP($A30,[8]HISTOJANV22!$A$6:$AZ$36,9,0))</f>
        <v>1</v>
      </c>
      <c r="C30" s="1" t="str">
        <f>VLOOKUP(A30,[9]LISTADHERENT!A$5:H$60,3,0)</f>
        <v>YEPMOU JEAN JACQUES</v>
      </c>
      <c r="D30" s="7">
        <f t="shared" si="1"/>
        <v>23000</v>
      </c>
      <c r="E30" s="7">
        <f>D30+VLOOKUP($A30,[10]HISTOJANV22!$A$7:$AU$38,45,0)+F30</f>
        <v>33000</v>
      </c>
      <c r="F30" s="7">
        <f>VLOOKUP($A30,[10]HISTOJANV22!$A$7:$AU$38,7,0)</f>
        <v>3000</v>
      </c>
      <c r="G30" s="7" t="str">
        <f>VLOOKUP($A30,[10]HISTOJANV22!$A$7:$AU$38,8,0)</f>
        <v>ESPECES</v>
      </c>
      <c r="H30" s="7">
        <f>VLOOKUP($A30,[10]HISTOJANV22!$A$7:$AU$38,35,0)</f>
        <v>0</v>
      </c>
      <c r="I30" s="7">
        <f>VLOOKUP($A30,[10]HISTOJANV22!$A$7:$AU$38,38,0)</f>
        <v>0</v>
      </c>
      <c r="J30" s="7">
        <f>IF(I30=0,0,VLOOKUP($A30,[10]HISTOJANV22!$A$7:$AU$38,42,0))</f>
        <v>0</v>
      </c>
      <c r="K30" s="7">
        <f>VLOOKUP($A30,[10]HISTOJANV22!$A$7:$AU$38,41,0)</f>
        <v>0</v>
      </c>
      <c r="L30"/>
      <c r="M30" s="7">
        <f>VLOOKUP($A30,[10]HISTOJANV22!$A$7:$AU$38,16,0)</f>
        <v>0</v>
      </c>
      <c r="N30" s="7" t="str">
        <f>IF(M30&lt;&gt;0,VLOOKUP($A30,[10]HISTOJANV22!$A$7:$AU$38,8,0),"ECHEC")</f>
        <v>ECHEC</v>
      </c>
      <c r="O30" s="7">
        <f>IF(R30=0,0,VLOOKUP($A30,[10]HISTOJANV22!$A$7:$AU$38,32,0))</f>
        <v>0</v>
      </c>
      <c r="P30" s="7">
        <f>VLOOKUP($A30,[10]HISTOJANV22!$A$7:$AU$38,33,0)</f>
        <v>0</v>
      </c>
      <c r="Q30" s="7">
        <f t="shared" si="0"/>
        <v>0</v>
      </c>
      <c r="R30" s="7">
        <f>VLOOKUP($A30,[10]HISTOJANV22!$A$7:$AU$38,29,0)</f>
        <v>0</v>
      </c>
      <c r="S30" s="21">
        <f t="shared" si="2"/>
        <v>0</v>
      </c>
    </row>
    <row r="31" spans="1:19" x14ac:dyDescent="0.25">
      <c r="A31" s="1" t="s">
        <v>33</v>
      </c>
      <c r="B31" s="7">
        <f>IF(D31=0,0,VLOOKUP($A31,[8]HISTOJANV22!$A$6:$AZ$36,9,0))</f>
        <v>1</v>
      </c>
      <c r="C31" s="1" t="str">
        <f>VLOOKUP(A31,[9]LISTADHERENT!A$5:H$60,3,0)</f>
        <v>YOUMBI EMMANUEL</v>
      </c>
      <c r="D31" s="7">
        <f t="shared" si="1"/>
        <v>23000</v>
      </c>
      <c r="E31" s="7">
        <f>D31+VLOOKUP($A31,[10]HISTOJANV22!$A$7:$AU$38,45,0)+F31</f>
        <v>30000</v>
      </c>
      <c r="F31" s="7">
        <f>VLOOKUP($A31,[10]HISTOJANV22!$A$7:$AU$38,7,0)</f>
        <v>0</v>
      </c>
      <c r="G31" s="7" t="str">
        <f>VLOOKUP($A31,[10]HISTOJANV22!$A$7:$AU$38,8,0)</f>
        <v>BANQUE</v>
      </c>
      <c r="H31" s="7">
        <f>VLOOKUP($A31,[10]HISTOJANV22!$A$7:$AU$38,35,0)</f>
        <v>0</v>
      </c>
      <c r="I31" s="7">
        <f>VLOOKUP($A31,[10]HISTOJANV22!$A$7:$AU$38,38,0)</f>
        <v>0</v>
      </c>
      <c r="J31" s="7">
        <f>IF(I31=0,0,VLOOKUP($A31,[10]HISTOJANV22!$A$7:$AU$38,42,0))</f>
        <v>0</v>
      </c>
      <c r="K31" s="7">
        <f>VLOOKUP($A31,[10]HISTOJANV22!$A$7:$AU$38,41,0)</f>
        <v>0</v>
      </c>
      <c r="L31"/>
      <c r="M31" s="7">
        <f>VLOOKUP($A31,[10]HISTOJANV22!$A$7:$AU$38,16,0)</f>
        <v>0</v>
      </c>
      <c r="N31" s="7" t="str">
        <f>IF(M31&lt;&gt;0,VLOOKUP($A31,[10]HISTOJANV22!$A$7:$AU$38,8,0),"ECHEC")</f>
        <v>ECHEC</v>
      </c>
      <c r="O31" s="7">
        <f>IF(R31=0,0,VLOOKUP($A31,[10]HISTOJANV22!$A$7:$AU$38,32,0))</f>
        <v>0</v>
      </c>
      <c r="P31" s="7">
        <f>VLOOKUP($A31,[10]HISTOJANV22!$A$7:$AU$38,33,0)</f>
        <v>0</v>
      </c>
      <c r="Q31" s="7">
        <f t="shared" si="0"/>
        <v>0</v>
      </c>
      <c r="R31" s="7">
        <f>VLOOKUP($A31,[10]HISTOJANV22!$A$7:$AU$38,29,0)</f>
        <v>0</v>
      </c>
      <c r="S31" s="21">
        <f t="shared" si="2"/>
        <v>0</v>
      </c>
    </row>
    <row r="32" spans="1:19" x14ac:dyDescent="0.25">
      <c r="A32" s="1"/>
    </row>
    <row r="33" spans="1:19" ht="18" x14ac:dyDescent="0.25">
      <c r="A33" s="1" t="s">
        <v>94</v>
      </c>
      <c r="B33" s="8">
        <f>SUM(B6:B32)</f>
        <v>26</v>
      </c>
      <c r="I33" s="9"/>
    </row>
    <row r="34" spans="1:19" ht="18" x14ac:dyDescent="0.25">
      <c r="A34" s="1" t="s">
        <v>93</v>
      </c>
      <c r="B34" s="19">
        <f>COUNT(D6:D31)</f>
        <v>26</v>
      </c>
      <c r="C34" s="8"/>
      <c r="D34" s="8">
        <f>SUM(D6:D33)</f>
        <v>598000</v>
      </c>
      <c r="E34" s="8">
        <f>SUM(E6:E33)</f>
        <v>933000</v>
      </c>
      <c r="F34" s="8">
        <f>SUM(F6:F33)</f>
        <v>3000</v>
      </c>
      <c r="G34" s="8"/>
      <c r="H34" s="8">
        <f t="shared" ref="H34:S34" si="3">SUM(H6:H33)</f>
        <v>76000</v>
      </c>
      <c r="I34" s="8">
        <f t="shared" si="3"/>
        <v>4500</v>
      </c>
      <c r="J34" s="8">
        <f t="shared" si="3"/>
        <v>0</v>
      </c>
      <c r="K34" s="8">
        <f t="shared" si="3"/>
        <v>0</v>
      </c>
      <c r="L34" s="8">
        <f t="shared" si="3"/>
        <v>0</v>
      </c>
      <c r="M34" s="8">
        <f t="shared" si="3"/>
        <v>0</v>
      </c>
      <c r="N34" s="8">
        <f t="shared" si="3"/>
        <v>0</v>
      </c>
      <c r="O34" s="8">
        <f t="shared" si="3"/>
        <v>0</v>
      </c>
      <c r="P34" s="8">
        <f t="shared" si="3"/>
        <v>0</v>
      </c>
      <c r="Q34" s="8">
        <f t="shared" si="3"/>
        <v>522000</v>
      </c>
      <c r="R34" s="8">
        <f t="shared" si="3"/>
        <v>78000</v>
      </c>
      <c r="S34" s="8">
        <f t="shared" si="3"/>
        <v>32000</v>
      </c>
    </row>
    <row r="35" spans="1:19" s="2" customFormat="1" ht="29.25" x14ac:dyDescent="0.25">
      <c r="B35"/>
      <c r="C35"/>
      <c r="D35"/>
      <c r="E35"/>
      <c r="F35"/>
      <c r="G35"/>
      <c r="H35"/>
      <c r="I35" s="9"/>
      <c r="J35" s="3"/>
      <c r="K35" s="3"/>
      <c r="L35" s="3"/>
      <c r="N35" s="4" t="s">
        <v>80</v>
      </c>
      <c r="O35" s="4" t="s">
        <v>95</v>
      </c>
      <c r="P35" s="3"/>
    </row>
    <row r="36" spans="1:19" s="2" customFormat="1" ht="29.25" x14ac:dyDescent="0.25">
      <c r="D36" s="4" t="s">
        <v>5</v>
      </c>
      <c r="E36" s="4" t="s">
        <v>7</v>
      </c>
      <c r="F36"/>
      <c r="G36" s="4" t="s">
        <v>40</v>
      </c>
      <c r="H36" s="4" t="s">
        <v>44</v>
      </c>
      <c r="I36" s="4" t="s">
        <v>46</v>
      </c>
      <c r="J36" s="4" t="s">
        <v>47</v>
      </c>
      <c r="K36" s="4"/>
      <c r="L36" s="8" t="s">
        <v>53</v>
      </c>
      <c r="M36" s="8">
        <f>D40+G40+R34</f>
        <v>676000</v>
      </c>
      <c r="N36" s="4"/>
      <c r="O36"/>
      <c r="P36" s="4"/>
    </row>
    <row r="37" spans="1:19" s="2" customFormat="1" ht="18" x14ac:dyDescent="0.25">
      <c r="D37" s="8">
        <f>SUMIFS(D6:D33,G6:G33,"ESPECES")</f>
        <v>23000</v>
      </c>
      <c r="E37" s="8">
        <f>SUMIFS(E6:E33,G6:G33,"ESPECES")</f>
        <v>33000</v>
      </c>
      <c r="F37" s="8" t="s">
        <v>36</v>
      </c>
      <c r="G37" s="8">
        <f>SUMIFS(M6:M31,N6:N31,"ESPECES")</f>
        <v>0</v>
      </c>
      <c r="H37" s="8">
        <f>SUMIFS(H6:H33,J6:J33,"ESPECES")</f>
        <v>0</v>
      </c>
      <c r="I37" s="8">
        <f>SUMIFS(Q6:Q33,O6:O33,"ESPECES")</f>
        <v>0</v>
      </c>
      <c r="J37" s="8">
        <f>D37+G37-H37-I37</f>
        <v>23000</v>
      </c>
      <c r="K37" s="8"/>
      <c r="L37" s="8" t="s">
        <v>84</v>
      </c>
      <c r="M37" s="8">
        <f>C3*COUNTIF(Q6:Q33,"&gt;0")</f>
        <v>600000</v>
      </c>
      <c r="N37" s="8">
        <f>D3</f>
        <v>2</v>
      </c>
      <c r="O37" s="8">
        <f>COUNTIF(Q6:Q31,"&gt;0")</f>
        <v>2</v>
      </c>
      <c r="P37" s="8"/>
    </row>
    <row r="38" spans="1:19" s="2" customFormat="1" ht="18" x14ac:dyDescent="0.25">
      <c r="D38" s="8">
        <f>SUMIFS(D6:D33,G6:G33,"BANQUE")</f>
        <v>575000</v>
      </c>
      <c r="E38" s="8">
        <f>SUMIFS(E6:E34,G6:G34,"BANQUE")</f>
        <v>900000</v>
      </c>
      <c r="F38" s="8" t="s">
        <v>37</v>
      </c>
      <c r="G38" s="8">
        <f>SUMIFS(M6:M31,N6:N31,"BANQUE")</f>
        <v>0</v>
      </c>
      <c r="H38" s="8">
        <f>SUMIFS(H6:H33,J6:J33,"BANQUE")</f>
        <v>76000</v>
      </c>
      <c r="I38" s="8">
        <f>SUMIFS(Q6:Q33,O6:O33,"BANQUE")</f>
        <v>522000</v>
      </c>
      <c r="J38" s="8">
        <f>D38+G38-H38-I38</f>
        <v>-23000</v>
      </c>
      <c r="K38" s="8"/>
      <c r="M38" s="8"/>
      <c r="N38" s="8"/>
      <c r="O38" s="8"/>
      <c r="P38" s="8"/>
    </row>
    <row r="39" spans="1:19" s="2" customFormat="1" ht="18" x14ac:dyDescent="0.25">
      <c r="D39" s="8"/>
      <c r="E39" s="8"/>
      <c r="F39" s="8"/>
      <c r="G39" s="8"/>
      <c r="H39" s="8"/>
      <c r="I39" s="8"/>
      <c r="K39" s="8"/>
      <c r="L39" s="8" t="s">
        <v>52</v>
      </c>
      <c r="M39" s="8">
        <f>M36-M37</f>
        <v>76000</v>
      </c>
      <c r="N39" s="8"/>
      <c r="O39" s="8"/>
      <c r="P39" s="8"/>
    </row>
    <row r="40" spans="1:19" s="2" customFormat="1" ht="18" x14ac:dyDescent="0.25">
      <c r="D40" s="8">
        <f>D37+D38</f>
        <v>598000</v>
      </c>
      <c r="E40" s="8">
        <f>E37+E38</f>
        <v>933000</v>
      </c>
      <c r="F40" s="8" t="s">
        <v>34</v>
      </c>
      <c r="G40" s="8">
        <f>G37+G38</f>
        <v>0</v>
      </c>
      <c r="H40" s="8">
        <f>H37+H38</f>
        <v>76000</v>
      </c>
      <c r="I40" s="8">
        <f t="shared" ref="I40:J40" si="4">I37+I38</f>
        <v>522000</v>
      </c>
      <c r="J40" s="8">
        <f t="shared" si="4"/>
        <v>0</v>
      </c>
      <c r="K40" s="8"/>
      <c r="M40" s="8"/>
      <c r="N40" s="8"/>
      <c r="O40" s="8"/>
      <c r="P40" s="8"/>
    </row>
    <row r="41" spans="1:19" s="2" customFormat="1" ht="18" x14ac:dyDescent="0.25">
      <c r="D41" s="8"/>
      <c r="E41" s="8"/>
      <c r="F41" s="8" t="s">
        <v>56</v>
      </c>
      <c r="G41"/>
      <c r="H41"/>
      <c r="I41" s="3"/>
      <c r="J41" s="3"/>
      <c r="K41" s="3"/>
      <c r="L41" s="8" t="s">
        <v>55</v>
      </c>
      <c r="M41" s="8">
        <f>M39-H34</f>
        <v>0</v>
      </c>
      <c r="N41"/>
      <c r="O41" s="8">
        <f>M41</f>
        <v>0</v>
      </c>
      <c r="P41" s="8" t="s">
        <v>58</v>
      </c>
    </row>
    <row r="42" spans="1:19" s="2" customFormat="1" ht="18" x14ac:dyDescent="0.25">
      <c r="D42" s="4"/>
      <c r="E42" s="4"/>
      <c r="F42" s="8"/>
      <c r="G42"/>
      <c r="H42"/>
      <c r="I42" s="3"/>
      <c r="J42" s="3"/>
      <c r="K42" s="3"/>
      <c r="N42"/>
      <c r="O42" s="3"/>
      <c r="P42" s="3"/>
    </row>
    <row r="43" spans="1:19" ht="18" x14ac:dyDescent="0.25">
      <c r="L43" s="8" t="s">
        <v>60</v>
      </c>
      <c r="M43" s="8">
        <f>COUNTIFS(G6:G32,"ECHEC")*23000</f>
        <v>0</v>
      </c>
      <c r="O43" s="8"/>
      <c r="P43" s="8" t="s">
        <v>58</v>
      </c>
    </row>
    <row r="44" spans="1:19" ht="18" x14ac:dyDescent="0.25">
      <c r="F44" s="2"/>
      <c r="L44" s="8" t="s">
        <v>59</v>
      </c>
      <c r="M44" s="8">
        <f>L34-G40</f>
        <v>0</v>
      </c>
      <c r="O44" s="8"/>
      <c r="P44" s="8" t="s">
        <v>58</v>
      </c>
    </row>
  </sheetData>
  <autoFilter ref="A5:R24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>
      <pane xSplit="3" ySplit="5" topLeftCell="I6" activePane="bottomRight" state="frozen"/>
      <selection activeCell="G6" sqref="G6:G39"/>
      <selection pane="topRight" activeCell="G6" sqref="G6:G39"/>
      <selection pane="bottomLeft" activeCell="G6" sqref="G6:G39"/>
      <selection pane="bottomRight" activeCell="L6" sqref="L6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5" width="13" customWidth="1"/>
    <col min="16" max="16" width="15.5703125" style="3" customWidth="1"/>
    <col min="17" max="18" width="18.140625" style="2" customWidth="1"/>
  </cols>
  <sheetData>
    <row r="1" spans="1:19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25">
      <c r="A2" s="1" t="s">
        <v>2</v>
      </c>
      <c r="B2" s="1">
        <v>2022</v>
      </c>
      <c r="C2" s="1" t="s">
        <v>85</v>
      </c>
      <c r="D2" s="1" t="s">
        <v>80</v>
      </c>
      <c r="E2" s="1"/>
      <c r="F2" s="1"/>
      <c r="G2" s="1"/>
      <c r="N2" s="1"/>
      <c r="O2" s="1"/>
    </row>
    <row r="3" spans="1:19" x14ac:dyDescent="0.25">
      <c r="A3" s="1" t="s">
        <v>86</v>
      </c>
      <c r="B3" s="6">
        <v>23000</v>
      </c>
      <c r="C3" s="6">
        <f>B3*13+1000</f>
        <v>300000</v>
      </c>
      <c r="D3" s="1">
        <f>ROUNDDOWN(M36/C3,0)</f>
        <v>2</v>
      </c>
      <c r="E3" s="1"/>
      <c r="F3" s="1"/>
      <c r="G3" s="1"/>
      <c r="N3" s="1"/>
      <c r="O3" s="1"/>
    </row>
    <row r="4" spans="1:19" s="16" customFormat="1" ht="18" x14ac:dyDescent="0.25">
      <c r="B4" s="17"/>
      <c r="C4" s="28">
        <v>44605</v>
      </c>
      <c r="D4" s="29"/>
      <c r="E4" s="29"/>
      <c r="F4" s="29"/>
      <c r="G4" s="29"/>
      <c r="H4" s="29"/>
      <c r="I4" s="29"/>
      <c r="J4" s="29"/>
      <c r="K4" s="29"/>
      <c r="L4" s="29"/>
      <c r="N4" s="18"/>
      <c r="O4" s="18"/>
      <c r="P4" s="18"/>
      <c r="Q4" s="18"/>
    </row>
    <row r="5" spans="1:19" ht="58.5" x14ac:dyDescent="0.3">
      <c r="A5" s="1" t="s">
        <v>3</v>
      </c>
      <c r="B5" s="13" t="s">
        <v>81</v>
      </c>
      <c r="C5" s="1" t="s">
        <v>4</v>
      </c>
      <c r="D5" s="4" t="s">
        <v>5</v>
      </c>
      <c r="E5" s="4" t="s">
        <v>7</v>
      </c>
      <c r="F5" s="1" t="s">
        <v>48</v>
      </c>
      <c r="G5" s="5" t="s">
        <v>6</v>
      </c>
      <c r="H5" s="6" t="s">
        <v>44</v>
      </c>
      <c r="I5" s="4" t="s">
        <v>41</v>
      </c>
      <c r="J5" s="4" t="s">
        <v>45</v>
      </c>
      <c r="K5" s="11" t="s">
        <v>54</v>
      </c>
      <c r="L5" s="4" t="s">
        <v>82</v>
      </c>
      <c r="M5" s="4" t="s">
        <v>40</v>
      </c>
      <c r="N5" s="4" t="s">
        <v>39</v>
      </c>
      <c r="O5" s="4" t="s">
        <v>42</v>
      </c>
      <c r="P5" s="4" t="s">
        <v>54</v>
      </c>
      <c r="Q5" s="4" t="s">
        <v>83</v>
      </c>
      <c r="R5" s="4" t="s">
        <v>43</v>
      </c>
      <c r="S5" s="4" t="s">
        <v>98</v>
      </c>
    </row>
    <row r="6" spans="1:19" x14ac:dyDescent="0.25">
      <c r="A6" s="1" t="s">
        <v>9</v>
      </c>
      <c r="B6" s="7">
        <f>IF(D6=0,0,VLOOKUP($A6,[8]HISTOFEV22!$A$6:$AZ$36,9,0))</f>
        <v>1</v>
      </c>
      <c r="C6" s="1" t="str">
        <f>VLOOKUP(A6,[9]LISTADHERENT!A$5:H$60,3,0)</f>
        <v>BOUTCHOUANG WILLIAM</v>
      </c>
      <c r="D6" s="7">
        <f>IF(G6="ECHEC",0,B$3)</f>
        <v>23000</v>
      </c>
      <c r="E6" s="7">
        <f>D6+VLOOKUP($A6,[10]HISTOFEV22!$A$7:$AU$38,45,0)+F6</f>
        <v>30000</v>
      </c>
      <c r="F6" s="7">
        <f>VLOOKUP($A6,[10]HISTOFEV22!$A$7:$AU$38,7,0)</f>
        <v>0</v>
      </c>
      <c r="G6" s="7" t="str">
        <f>VLOOKUP($A6,[10]HISTOFEV22!$A$7:$AU$38,8,0)</f>
        <v>BANQUE</v>
      </c>
      <c r="H6" s="7">
        <f>VLOOKUP($A6,[10]HISTOFEV22!$A$7:$AU$38,35,0)</f>
        <v>0</v>
      </c>
      <c r="I6" s="7">
        <f>VLOOKUP($A6,[10]HISTOFEV22!$A$7:$AU$38,38,0)</f>
        <v>0</v>
      </c>
      <c r="J6" s="7">
        <f>IF(I6=0,0,VLOOKUP($A6,[10]HISTOFEV22!$A$7:$AU$38,42,0))</f>
        <v>0</v>
      </c>
      <c r="K6" s="7">
        <f>VLOOKUP($A6,[10]HISTOFEV22!$A$7:$AU$38,41,0)</f>
        <v>0</v>
      </c>
      <c r="L6" s="7">
        <f>TONTJANV22!H6+TONTJANV22!I6</f>
        <v>0</v>
      </c>
      <c r="M6" s="7">
        <f>VLOOKUP($A6,[10]HISTOFEV22!$A$7:$AU$38,16,0)</f>
        <v>0</v>
      </c>
      <c r="N6" s="7" t="str">
        <f>IF(M6&lt;&gt;0,VLOOKUP($A6,[10]HISTOFEV22!$A$7:$AU$38,8,0),"ECHEC")</f>
        <v>ECHEC</v>
      </c>
      <c r="O6" s="7">
        <f>IF(R6=0,0,VLOOKUP($A6,[10]HISTOFEV22!$A$7:$AU$38,32,0))</f>
        <v>0</v>
      </c>
      <c r="P6" s="7">
        <f>VLOOKUP($A6,[10]HISTOFEV22!$A$7:$AU$38,33,0)</f>
        <v>0</v>
      </c>
      <c r="Q6" s="7">
        <f t="shared" ref="Q6:Q31" si="0">IF(R6=0,0,($C$3-R6))</f>
        <v>0</v>
      </c>
      <c r="R6" s="7">
        <f>VLOOKUP($A6,[10]HISTOFEV22!$A$7:$AU$38,29,0)</f>
        <v>0</v>
      </c>
      <c r="S6" s="21">
        <f>IF(R6=0,0,(R6-23000))</f>
        <v>0</v>
      </c>
    </row>
    <row r="7" spans="1:19" x14ac:dyDescent="0.25">
      <c r="A7" s="1" t="s">
        <v>10</v>
      </c>
      <c r="B7" s="7">
        <f>IF(D7=0,0,VLOOKUP($A7,[8]HISTOFEV22!$A$6:$AZ$36,9,0))</f>
        <v>1</v>
      </c>
      <c r="C7" s="1" t="str">
        <f>VLOOKUP(A7,[9]LISTADHERENT!A$5:H$60,3,0)</f>
        <v xml:space="preserve">DJOMO JEAN PAUL </v>
      </c>
      <c r="D7" s="7">
        <f t="shared" ref="D7:D31" si="1">IF(G7="ECHEC",0,B$3)</f>
        <v>23000</v>
      </c>
      <c r="E7" s="7">
        <f>D7+VLOOKUP($A7,[10]HISTOFEV22!$A$7:$AU$38,45,0)+F7</f>
        <v>34000</v>
      </c>
      <c r="F7" s="7">
        <f>VLOOKUP($A7,[10]HISTOFEV22!$A$7:$AU$38,7,0)</f>
        <v>0</v>
      </c>
      <c r="G7" s="7" t="str">
        <f>VLOOKUP($A7,[10]HISTOFEV22!$A$7:$AU$38,8,0)</f>
        <v>BANQUE</v>
      </c>
      <c r="H7" s="7">
        <f>VLOOKUP($A7,[10]HISTOFEV22!$A$7:$AU$38,35,0)</f>
        <v>0</v>
      </c>
      <c r="I7" s="7">
        <f>VLOOKUP($A7,[10]HISTOFEV22!$A$7:$AU$38,38,0)</f>
        <v>0</v>
      </c>
      <c r="J7" s="7">
        <f>IF(I7=0,0,VLOOKUP($A7,[10]HISTOFEV22!$A$7:$AU$38,42,0))</f>
        <v>0</v>
      </c>
      <c r="K7" s="7">
        <f>VLOOKUP($A7,[10]HISTOFEV22!$A$7:$AU$38,41,0)</f>
        <v>0</v>
      </c>
      <c r="L7" s="7">
        <f>TONTJANV22!H7+TONTJANV22!I7</f>
        <v>0</v>
      </c>
      <c r="M7" s="7">
        <f>VLOOKUP($A7,[10]HISTOFEV22!$A$7:$AU$38,16,0)</f>
        <v>0</v>
      </c>
      <c r="N7" s="7" t="str">
        <f>IF(M7&lt;&gt;0,VLOOKUP($A7,[10]HISTOFEV22!$A$7:$AU$38,8,0),"ECHEC")</f>
        <v>ECHEC</v>
      </c>
      <c r="O7" s="7" t="str">
        <f>IF(R7=0,0,VLOOKUP($A7,[10]HISTOFEV22!$A$7:$AU$38,32,0))</f>
        <v>BANQUE</v>
      </c>
      <c r="P7" s="7">
        <f>VLOOKUP($A7,[10]HISTOFEV22!$A$7:$AU$38,33,0)</f>
        <v>0</v>
      </c>
      <c r="Q7" s="7">
        <f t="shared" si="0"/>
        <v>263000</v>
      </c>
      <c r="R7" s="7">
        <f>VLOOKUP($A7,[10]HISTOFEV22!$A$7:$AU$38,29,0)</f>
        <v>37000</v>
      </c>
      <c r="S7" s="21">
        <f t="shared" ref="S7:S31" si="2">IF(R7=0,0,(R7-23000))</f>
        <v>14000</v>
      </c>
    </row>
    <row r="8" spans="1:19" x14ac:dyDescent="0.25">
      <c r="A8" s="1" t="s">
        <v>57</v>
      </c>
      <c r="B8" s="7">
        <f>IF(D8=0,0,VLOOKUP($A8,[8]HISTOFEV22!$A$6:$AZ$36,9,0))</f>
        <v>1</v>
      </c>
      <c r="C8" s="1" t="str">
        <f>VLOOKUP(A8,[9]LISTADHERENT!A$5:H$60,3,0)</f>
        <v>DJOMOU TCHANDA</v>
      </c>
      <c r="D8" s="7">
        <f t="shared" si="1"/>
        <v>23000</v>
      </c>
      <c r="E8" s="7">
        <f>D8+VLOOKUP($A8,[10]HISTOFEV22!$A$7:$AU$38,45,0)+F8</f>
        <v>30000</v>
      </c>
      <c r="F8" s="7">
        <f>VLOOKUP($A8,[10]HISTOFEV22!$A$7:$AU$38,7,0)</f>
        <v>0</v>
      </c>
      <c r="G8" s="7" t="str">
        <f>VLOOKUP($A8,[10]HISTOFEV22!$A$7:$AU$38,8,0)</f>
        <v>BANQUE</v>
      </c>
      <c r="H8" s="7">
        <f>VLOOKUP($A8,[10]HISTOFEV22!$A$7:$AU$38,35,0)</f>
        <v>0</v>
      </c>
      <c r="I8" s="7">
        <f>VLOOKUP($A8,[10]HISTOFEV22!$A$7:$AU$38,38,0)</f>
        <v>0</v>
      </c>
      <c r="J8" s="7">
        <f>IF(I8=0,0,VLOOKUP($A8,[10]HISTOFEV22!$A$7:$AU$38,42,0))</f>
        <v>0</v>
      </c>
      <c r="K8" s="7">
        <f>VLOOKUP($A8,[10]HISTOFEV22!$A$7:$AU$38,41,0)</f>
        <v>0</v>
      </c>
      <c r="L8" s="7">
        <f>TONTJANV22!H8+TONTJANV22!I8</f>
        <v>0</v>
      </c>
      <c r="M8" s="7">
        <f>VLOOKUP($A8,[10]HISTOFEV22!$A$7:$AU$38,16,0)</f>
        <v>0</v>
      </c>
      <c r="N8" s="7" t="str">
        <f>IF(M8&lt;&gt;0,VLOOKUP($A8,[10]HISTOFEV22!$A$7:$AU$38,8,0),"ECHEC")</f>
        <v>ECHEC</v>
      </c>
      <c r="O8" s="7">
        <f>IF(R8=0,0,VLOOKUP($A8,[10]HISTOFEV22!$A$7:$AU$38,32,0))</f>
        <v>0</v>
      </c>
      <c r="P8" s="7">
        <f>VLOOKUP($A8,[10]HISTOFEV22!$A$7:$AU$38,33,0)</f>
        <v>0</v>
      </c>
      <c r="Q8" s="7">
        <f t="shared" si="0"/>
        <v>0</v>
      </c>
      <c r="R8" s="7">
        <f>VLOOKUP($A8,[10]HISTOFEV22!$A$7:$AU$38,29,0)</f>
        <v>0</v>
      </c>
      <c r="S8" s="21">
        <f t="shared" si="2"/>
        <v>0</v>
      </c>
    </row>
    <row r="9" spans="1:19" x14ac:dyDescent="0.25">
      <c r="A9" s="1" t="s">
        <v>11</v>
      </c>
      <c r="B9" s="7">
        <f>IF(D9=0,0,VLOOKUP($A9,[8]HISTOFEV22!$A$6:$AZ$36,9,0))</f>
        <v>1</v>
      </c>
      <c r="C9" s="1" t="str">
        <f>VLOOKUP(A9,[9]LISTADHERENT!A$5:H$60,3,0)</f>
        <v>DJOUKWE NANGUEN GUY BLAISE</v>
      </c>
      <c r="D9" s="7">
        <f t="shared" si="1"/>
        <v>23000</v>
      </c>
      <c r="E9" s="7">
        <f>D9+VLOOKUP($A9,[10]HISTOFEV22!$A$7:$AU$38,45,0)+F9</f>
        <v>30000</v>
      </c>
      <c r="F9" s="7">
        <f>VLOOKUP($A9,[10]HISTOFEV22!$A$7:$AU$38,7,0)</f>
        <v>0</v>
      </c>
      <c r="G9" s="7" t="str">
        <f>VLOOKUP($A9,[10]HISTOFEV22!$A$7:$AU$38,8,0)</f>
        <v>BANQUE</v>
      </c>
      <c r="H9" s="7">
        <f>VLOOKUP($A9,[10]HISTOFEV22!$A$7:$AU$38,35,0)</f>
        <v>0</v>
      </c>
      <c r="I9" s="7">
        <f>VLOOKUP($A9,[10]HISTOFEV22!$A$7:$AU$38,38,0)</f>
        <v>0</v>
      </c>
      <c r="J9" s="7">
        <f>IF(I9=0,0,VLOOKUP($A9,[10]HISTOFEV22!$A$7:$AU$38,42,0))</f>
        <v>0</v>
      </c>
      <c r="K9" s="7">
        <f>VLOOKUP($A9,[10]HISTOFEV22!$A$7:$AU$38,41,0)</f>
        <v>0</v>
      </c>
      <c r="L9" s="7">
        <f>TONTJANV22!H9+TONTJANV22!I9</f>
        <v>0</v>
      </c>
      <c r="M9" s="7">
        <f>VLOOKUP($A9,[10]HISTOFEV22!$A$7:$AU$38,16,0)</f>
        <v>0</v>
      </c>
      <c r="N9" s="7" t="str">
        <f>IF(M9&lt;&gt;0,VLOOKUP($A9,[10]HISTOFEV22!$A$7:$AU$38,8,0),"ECHEC")</f>
        <v>ECHEC</v>
      </c>
      <c r="O9" s="7">
        <f>IF(R9=0,0,VLOOKUP($A9,[10]HISTOFEV22!$A$7:$AU$38,32,0))</f>
        <v>0</v>
      </c>
      <c r="P9" s="7">
        <f>VLOOKUP($A9,[10]HISTOFEV22!$A$7:$AU$38,33,0)</f>
        <v>0</v>
      </c>
      <c r="Q9" s="7">
        <f t="shared" si="0"/>
        <v>0</v>
      </c>
      <c r="R9" s="7">
        <f>VLOOKUP($A9,[10]HISTOFEV22!$A$7:$AU$38,29,0)</f>
        <v>0</v>
      </c>
      <c r="S9" s="21">
        <f t="shared" si="2"/>
        <v>0</v>
      </c>
    </row>
    <row r="10" spans="1:19" x14ac:dyDescent="0.25">
      <c r="A10" s="1" t="s">
        <v>12</v>
      </c>
      <c r="B10" s="7">
        <f>IF(D10=0,0,VLOOKUP($A10,[8]HISTOFEV22!$A$6:$AZ$36,9,0))</f>
        <v>1</v>
      </c>
      <c r="C10" s="1" t="str">
        <f>VLOOKUP(A10,[9]LISTADHERENT!A$5:H$60,3,0)</f>
        <v>DJUOMBESSY ANTOINE</v>
      </c>
      <c r="D10" s="7">
        <f t="shared" si="1"/>
        <v>23000</v>
      </c>
      <c r="E10" s="7">
        <f>D10+VLOOKUP($A10,[10]HISTOFEV22!$A$7:$AU$38,45,0)+F10</f>
        <v>33000</v>
      </c>
      <c r="F10" s="7">
        <f>VLOOKUP($A10,[10]HISTOFEV22!$A$7:$AU$38,7,0)</f>
        <v>3000</v>
      </c>
      <c r="G10" s="7" t="str">
        <f>VLOOKUP($A10,[10]HISTOFEV22!$A$7:$AU$38,8,0)</f>
        <v>BANQUE</v>
      </c>
      <c r="H10" s="7">
        <f>VLOOKUP($A10,[10]HISTOFEV22!$A$7:$AU$38,35,0)</f>
        <v>0</v>
      </c>
      <c r="I10" s="7">
        <f>VLOOKUP($A10,[10]HISTOFEV22!$A$7:$AU$38,38,0)</f>
        <v>0</v>
      </c>
      <c r="J10" s="7">
        <f>IF(I10=0,0,VLOOKUP($A10,[10]HISTOFEV22!$A$7:$AU$38,42,0))</f>
        <v>0</v>
      </c>
      <c r="K10" s="7">
        <f>VLOOKUP($A10,[10]HISTOFEV22!$A$7:$AU$38,41,0)</f>
        <v>0</v>
      </c>
      <c r="L10" s="7">
        <f>TONTJANV22!H10+TONTJANV22!I10</f>
        <v>0</v>
      </c>
      <c r="M10" s="7">
        <f>VLOOKUP($A10,[10]HISTOFEV22!$A$7:$AU$38,16,0)</f>
        <v>0</v>
      </c>
      <c r="N10" s="7" t="str">
        <f>IF(M10&lt;&gt;0,VLOOKUP($A10,[10]HISTOFEV22!$A$7:$AU$38,8,0),"ECHEC")</f>
        <v>ECHEC</v>
      </c>
      <c r="O10" s="7">
        <f>IF(R10=0,0,VLOOKUP($A10,[10]HISTOFEV22!$A$7:$AU$38,32,0))</f>
        <v>0</v>
      </c>
      <c r="P10" s="7">
        <f>VLOOKUP($A10,[10]HISTOFEV22!$A$7:$AU$38,33,0)</f>
        <v>0</v>
      </c>
      <c r="Q10" s="7">
        <f t="shared" si="0"/>
        <v>0</v>
      </c>
      <c r="R10" s="7">
        <f>VLOOKUP($A10,[10]HISTOFEV22!$A$7:$AU$38,29,0)</f>
        <v>0</v>
      </c>
      <c r="S10" s="21">
        <f t="shared" si="2"/>
        <v>0</v>
      </c>
    </row>
    <row r="11" spans="1:19" x14ac:dyDescent="0.25">
      <c r="A11" s="1" t="s">
        <v>50</v>
      </c>
      <c r="B11" s="7">
        <f>IF(D11=0,0,VLOOKUP($A11,[8]HISTOFEV22!$A$6:$AZ$36,9,0))</f>
        <v>1</v>
      </c>
      <c r="C11" s="1" t="str">
        <f>VLOOKUP(A11,[9]LISTADHERENT!A$5:H$60,3,0)</f>
        <v>DOMOU FABIEN</v>
      </c>
      <c r="D11" s="7">
        <f t="shared" si="1"/>
        <v>23000</v>
      </c>
      <c r="E11" s="7">
        <f>D11+VLOOKUP($A11,[10]HISTOFEV22!$A$7:$AU$38,45,0)+F11</f>
        <v>35000</v>
      </c>
      <c r="F11" s="7">
        <f>VLOOKUP($A11,[10]HISTOFEV22!$A$7:$AU$38,7,0)</f>
        <v>0</v>
      </c>
      <c r="G11" s="7" t="str">
        <f>VLOOKUP($A11,[10]HISTOFEV22!$A$7:$AU$38,8,0)</f>
        <v>BANQUE</v>
      </c>
      <c r="H11" s="7">
        <f>VLOOKUP($A11,[10]HISTOFEV22!$A$7:$AU$38,35,0)</f>
        <v>0</v>
      </c>
      <c r="I11" s="7">
        <f>VLOOKUP($A11,[10]HISTOFEV22!$A$7:$AU$38,38,0)</f>
        <v>0</v>
      </c>
      <c r="J11" s="7">
        <f>IF(I11=0,0,VLOOKUP($A11,[10]HISTOFEV22!$A$7:$AU$38,42,0))</f>
        <v>0</v>
      </c>
      <c r="K11" s="7">
        <f>VLOOKUP($A11,[10]HISTOFEV22!$A$7:$AU$38,41,0)</f>
        <v>0</v>
      </c>
      <c r="L11" s="7">
        <f>TONTJANV22!H11+TONTJANV22!I11</f>
        <v>0</v>
      </c>
      <c r="M11" s="7">
        <f>VLOOKUP($A11,[10]HISTOFEV22!$A$7:$AU$38,16,0)</f>
        <v>0</v>
      </c>
      <c r="N11" s="7" t="str">
        <f>IF(M11&lt;&gt;0,VLOOKUP($A11,[10]HISTOFEV22!$A$7:$AU$38,8,0),"ECHEC")</f>
        <v>ECHEC</v>
      </c>
      <c r="O11" s="7">
        <f>IF(R11=0,0,VLOOKUP($A11,[10]HISTOFEV22!$A$7:$AU$38,32,0))</f>
        <v>0</v>
      </c>
      <c r="P11" s="7">
        <f>VLOOKUP($A11,[10]HISTOFEV22!$A$7:$AU$38,33,0)</f>
        <v>0</v>
      </c>
      <c r="Q11" s="7">
        <f t="shared" si="0"/>
        <v>0</v>
      </c>
      <c r="R11" s="7">
        <f>VLOOKUP($A11,[10]HISTOFEV22!$A$7:$AU$38,29,0)</f>
        <v>0</v>
      </c>
      <c r="S11" s="21">
        <f t="shared" si="2"/>
        <v>0</v>
      </c>
    </row>
    <row r="12" spans="1:19" x14ac:dyDescent="0.25">
      <c r="A12" s="1" t="s">
        <v>13</v>
      </c>
      <c r="B12" s="7">
        <f>IF(D12=0,0,VLOOKUP($A12,[8]HISTOFEV22!$A$6:$AZ$36,9,0))</f>
        <v>1</v>
      </c>
      <c r="C12" s="1" t="str">
        <f>VLOOKUP(A12,[9]LISTADHERENT!A$5:H$60,3,0)</f>
        <v>DONHOU DAVID</v>
      </c>
      <c r="D12" s="7">
        <f t="shared" si="1"/>
        <v>23000</v>
      </c>
      <c r="E12" s="7">
        <f>D12+VLOOKUP($A12,[10]HISTOFEV22!$A$7:$AU$38,45,0)+F12</f>
        <v>35000</v>
      </c>
      <c r="F12" s="7">
        <f>VLOOKUP($A12,[10]HISTOFEV22!$A$7:$AU$38,7,0)</f>
        <v>0</v>
      </c>
      <c r="G12" s="7" t="str">
        <f>VLOOKUP($A12,[10]HISTOFEV22!$A$7:$AU$38,8,0)</f>
        <v>BANQUE</v>
      </c>
      <c r="H12" s="7">
        <f>VLOOKUP($A12,[10]HISTOFEV22!$A$7:$AU$38,35,0)</f>
        <v>0</v>
      </c>
      <c r="I12" s="7">
        <f>VLOOKUP($A12,[10]HISTOFEV22!$A$7:$AU$38,38,0)</f>
        <v>0</v>
      </c>
      <c r="J12" s="7">
        <f>IF(I12=0,0,VLOOKUP($A12,[10]HISTOFEV22!$A$7:$AU$38,42,0))</f>
        <v>0</v>
      </c>
      <c r="K12" s="7">
        <f>VLOOKUP($A12,[10]HISTOFEV22!$A$7:$AU$38,41,0)</f>
        <v>0</v>
      </c>
      <c r="L12" s="7">
        <f>TONTJANV22!H12+TONTJANV22!I12</f>
        <v>0</v>
      </c>
      <c r="M12" s="7">
        <f>VLOOKUP($A12,[10]HISTOFEV22!$A$7:$AU$38,16,0)</f>
        <v>0</v>
      </c>
      <c r="N12" s="7" t="str">
        <f>IF(M12&lt;&gt;0,VLOOKUP($A12,[10]HISTOFEV22!$A$7:$AU$38,8,0),"ECHEC")</f>
        <v>ECHEC</v>
      </c>
      <c r="O12" s="7">
        <f>IF(R12=0,0,VLOOKUP($A12,[10]HISTOFEV22!$A$7:$AU$38,32,0))</f>
        <v>0</v>
      </c>
      <c r="P12" s="7">
        <f>VLOOKUP($A12,[10]HISTOFEV22!$A$7:$AU$38,33,0)</f>
        <v>0</v>
      </c>
      <c r="Q12" s="7">
        <f t="shared" si="0"/>
        <v>0</v>
      </c>
      <c r="R12" s="7">
        <f>VLOOKUP($A12,[10]HISTOFEV22!$A$7:$AU$38,29,0)</f>
        <v>0</v>
      </c>
      <c r="S12" s="21">
        <f t="shared" si="2"/>
        <v>0</v>
      </c>
    </row>
    <row r="13" spans="1:19" x14ac:dyDescent="0.25">
      <c r="A13" s="1" t="s">
        <v>15</v>
      </c>
      <c r="B13" s="7">
        <f>IF(D13=0,0,VLOOKUP($A13,[8]HISTOFEV22!$A$6:$AZ$36,9,0))</f>
        <v>1</v>
      </c>
      <c r="C13" s="1" t="str">
        <f>VLOOKUP(A13,[9]LISTADHERENT!A$5:H$60,3,0)</f>
        <v>HENGUE PAUL OMER</v>
      </c>
      <c r="D13" s="7">
        <f t="shared" si="1"/>
        <v>23000</v>
      </c>
      <c r="E13" s="7">
        <f>D13+VLOOKUP($A13,[10]HISTOFEV22!$A$7:$AU$38,45,0)+F13</f>
        <v>30000</v>
      </c>
      <c r="F13" s="7">
        <f>VLOOKUP($A13,[10]HISTOFEV22!$A$7:$AU$38,7,0)</f>
        <v>0</v>
      </c>
      <c r="G13" s="7" t="str">
        <f>VLOOKUP($A13,[10]HISTOFEV22!$A$7:$AU$38,8,0)</f>
        <v>BANQUE</v>
      </c>
      <c r="H13" s="7">
        <f>VLOOKUP($A13,[10]HISTOFEV22!$A$7:$AU$38,35,0)</f>
        <v>0</v>
      </c>
      <c r="I13" s="7">
        <f>VLOOKUP($A13,[10]HISTOFEV22!$A$7:$AU$38,38,0)</f>
        <v>0</v>
      </c>
      <c r="J13" s="7">
        <f>IF(I13=0,0,VLOOKUP($A13,[10]HISTOFEV22!$A$7:$AU$38,42,0))</f>
        <v>0</v>
      </c>
      <c r="K13" s="7">
        <f>VLOOKUP($A13,[10]HISTOFEV22!$A$7:$AU$38,41,0)</f>
        <v>0</v>
      </c>
      <c r="L13" s="7">
        <f>TONTJANV22!H13+TONTJANV22!I13</f>
        <v>0</v>
      </c>
      <c r="M13" s="7">
        <f>VLOOKUP($A13,[10]HISTOFEV22!$A$7:$AU$38,16,0)</f>
        <v>0</v>
      </c>
      <c r="N13" s="7" t="str">
        <f>IF(M13&lt;&gt;0,VLOOKUP($A13,[10]HISTOFEV22!$A$7:$AU$38,8,0),"ECHEC")</f>
        <v>ECHEC</v>
      </c>
      <c r="O13" s="7">
        <f>IF(R13=0,0,VLOOKUP($A13,[10]HISTOFEV22!$A$7:$AU$38,32,0))</f>
        <v>0</v>
      </c>
      <c r="P13" s="7">
        <f>VLOOKUP($A13,[10]HISTOFEV22!$A$7:$AU$38,33,0)</f>
        <v>0</v>
      </c>
      <c r="Q13" s="7">
        <f t="shared" si="0"/>
        <v>0</v>
      </c>
      <c r="R13" s="7">
        <f>VLOOKUP($A13,[10]HISTOFEV22!$A$7:$AU$38,29,0)</f>
        <v>0</v>
      </c>
      <c r="S13" s="21">
        <f t="shared" si="2"/>
        <v>0</v>
      </c>
    </row>
    <row r="14" spans="1:19" x14ac:dyDescent="0.25">
      <c r="A14" s="1" t="s">
        <v>16</v>
      </c>
      <c r="B14" s="7">
        <f>IF(D14=0,0,VLOOKUP($A14,[8]HISTOFEV22!$A$6:$AZ$36,9,0))</f>
        <v>1</v>
      </c>
      <c r="C14" s="1" t="str">
        <f>VLOOKUP(A14,[9]LISTADHERENT!A$5:H$60,3,0)</f>
        <v>HOTCHO BENJAMIN</v>
      </c>
      <c r="D14" s="7">
        <f t="shared" si="1"/>
        <v>23000</v>
      </c>
      <c r="E14" s="7">
        <f>D14+VLOOKUP($A14,[10]HISTOFEV22!$A$7:$AU$38,45,0)+F14</f>
        <v>75000</v>
      </c>
      <c r="F14" s="7">
        <f>VLOOKUP($A14,[10]HISTOFEV22!$A$7:$AU$38,7,0)</f>
        <v>0</v>
      </c>
      <c r="G14" s="7" t="str">
        <f>VLOOKUP($A14,[10]HISTOFEV22!$A$7:$AU$38,8,0)</f>
        <v>BANQUE</v>
      </c>
      <c r="H14" s="7">
        <f>VLOOKUP($A14,[10]HISTOFEV22!$A$7:$AU$38,35,0)</f>
        <v>0</v>
      </c>
      <c r="I14" s="7">
        <f>VLOOKUP($A14,[10]HISTOFEV22!$A$7:$AU$38,38,0)</f>
        <v>0</v>
      </c>
      <c r="J14" s="7">
        <f>IF(I14=0,0,VLOOKUP($A14,[10]HISTOFEV22!$A$7:$AU$38,42,0))</f>
        <v>0</v>
      </c>
      <c r="K14" s="7">
        <f>VLOOKUP($A14,[10]HISTOFEV22!$A$7:$AU$38,41,0)</f>
        <v>0</v>
      </c>
      <c r="L14" s="7">
        <f>TONTJANV22!H14+TONTJANV22!I14</f>
        <v>0</v>
      </c>
      <c r="M14" s="7">
        <f>VLOOKUP($A14,[10]HISTOFEV22!$A$7:$AU$38,16,0)</f>
        <v>0</v>
      </c>
      <c r="N14" s="7" t="str">
        <f>IF(M14&lt;&gt;0,VLOOKUP($A14,[10]HISTOFEV22!$A$7:$AU$38,8,0),"ECHEC")</f>
        <v>ECHEC</v>
      </c>
      <c r="O14" s="7">
        <f>IF(R14=0,0,VLOOKUP($A14,[10]HISTOFEV22!$A$7:$AU$38,32,0))</f>
        <v>0</v>
      </c>
      <c r="P14" s="7">
        <f>VLOOKUP($A14,[10]HISTOFEV22!$A$7:$AU$38,33,0)</f>
        <v>0</v>
      </c>
      <c r="Q14" s="7">
        <f t="shared" si="0"/>
        <v>0</v>
      </c>
      <c r="R14" s="7">
        <f>VLOOKUP($A14,[10]HISTOFEV22!$A$7:$AU$38,29,0)</f>
        <v>0</v>
      </c>
      <c r="S14" s="21">
        <f t="shared" si="2"/>
        <v>0</v>
      </c>
    </row>
    <row r="15" spans="1:19" x14ac:dyDescent="0.25">
      <c r="A15" s="1" t="s">
        <v>17</v>
      </c>
      <c r="B15" s="7">
        <f>IF(D15=0,0,VLOOKUP($A15,[8]HISTOFEV22!$A$6:$AZ$36,9,0))</f>
        <v>1</v>
      </c>
      <c r="C15" s="1" t="str">
        <f>VLOOKUP(A15,[9]LISTADHERENT!A$5:H$60,3,0)</f>
        <v>KOUAMOU MOISE</v>
      </c>
      <c r="D15" s="7">
        <f t="shared" si="1"/>
        <v>23000</v>
      </c>
      <c r="E15" s="7">
        <f>D15+VLOOKUP($A15,[10]HISTOFEV22!$A$7:$AU$38,45,0)+F15</f>
        <v>30000</v>
      </c>
      <c r="F15" s="7">
        <f>VLOOKUP($A15,[10]HISTOFEV22!$A$7:$AU$38,7,0)</f>
        <v>0</v>
      </c>
      <c r="G15" s="7" t="str">
        <f>VLOOKUP($A15,[10]HISTOFEV22!$A$7:$AU$38,8,0)</f>
        <v>BANQUE</v>
      </c>
      <c r="H15" s="7">
        <f>VLOOKUP($A15,[10]HISTOFEV22!$A$7:$AU$38,35,0)</f>
        <v>0</v>
      </c>
      <c r="I15" s="7">
        <f>VLOOKUP($A15,[10]HISTOFEV22!$A$7:$AU$38,38,0)</f>
        <v>0</v>
      </c>
      <c r="J15" s="7">
        <f>IF(I15=0,0,VLOOKUP($A15,[10]HISTOFEV22!$A$7:$AU$38,42,0))</f>
        <v>0</v>
      </c>
      <c r="K15" s="7">
        <f>VLOOKUP($A15,[10]HISTOFEV22!$A$7:$AU$38,41,0)</f>
        <v>0</v>
      </c>
      <c r="L15" s="7">
        <f>TONTJANV22!H15+TONTJANV22!I15</f>
        <v>0</v>
      </c>
      <c r="M15" s="7">
        <f>VLOOKUP($A15,[10]HISTOFEV22!$A$7:$AU$38,16,0)</f>
        <v>0</v>
      </c>
      <c r="N15" s="7" t="str">
        <f>IF(M15&lt;&gt;0,VLOOKUP($A15,[10]HISTOFEV22!$A$7:$AU$38,8,0),"ECHEC")</f>
        <v>ECHEC</v>
      </c>
      <c r="O15" s="7">
        <f>IF(R15=0,0,VLOOKUP($A15,[10]HISTOFEV22!$A$7:$AU$38,32,0))</f>
        <v>0</v>
      </c>
      <c r="P15" s="7">
        <f>VLOOKUP($A15,[10]HISTOFEV22!$A$7:$AU$38,33,0)</f>
        <v>0</v>
      </c>
      <c r="Q15" s="7">
        <f t="shared" si="0"/>
        <v>0</v>
      </c>
      <c r="R15" s="7">
        <f>VLOOKUP($A15,[10]HISTOFEV22!$A$7:$AU$38,29,0)</f>
        <v>0</v>
      </c>
      <c r="S15" s="21">
        <f t="shared" si="2"/>
        <v>0</v>
      </c>
    </row>
    <row r="16" spans="1:19" x14ac:dyDescent="0.25">
      <c r="A16" s="1" t="s">
        <v>18</v>
      </c>
      <c r="B16" s="7">
        <f>IF(D16=0,0,VLOOKUP($A16,[8]HISTOFEV22!$A$6:$AZ$36,9,0))</f>
        <v>1</v>
      </c>
      <c r="C16" s="1" t="str">
        <f>VLOOKUP(A16,[9]LISTADHERENT!A$5:H$60,3,0)</f>
        <v>KOUATCHO MESSACK</v>
      </c>
      <c r="D16" s="7">
        <f t="shared" si="1"/>
        <v>23000</v>
      </c>
      <c r="E16" s="7">
        <f>D16+VLOOKUP($A16,[10]HISTOFEV22!$A$7:$AU$38,45,0)+F16</f>
        <v>33000</v>
      </c>
      <c r="F16" s="7">
        <f>VLOOKUP($A16,[10]HISTOFEV22!$A$7:$AU$38,7,0)</f>
        <v>3000</v>
      </c>
      <c r="G16" s="7" t="str">
        <f>VLOOKUP($A16,[10]HISTOFEV22!$A$7:$AU$38,8,0)</f>
        <v>BANQUE</v>
      </c>
      <c r="H16" s="7">
        <f>VLOOKUP($A16,[10]HISTOFEV22!$A$7:$AU$38,35,0)</f>
        <v>0</v>
      </c>
      <c r="I16" s="7">
        <f>VLOOKUP($A16,[10]HISTOFEV22!$A$7:$AU$38,38,0)</f>
        <v>0</v>
      </c>
      <c r="J16" s="7">
        <f>IF(I16=0,0,VLOOKUP($A16,[10]HISTOFEV22!$A$7:$AU$38,42,0))</f>
        <v>0</v>
      </c>
      <c r="K16" s="7">
        <f>VLOOKUP($A16,[10]HISTOFEV22!$A$7:$AU$38,41,0)</f>
        <v>0</v>
      </c>
      <c r="L16" s="7">
        <f>TONTJANV22!H16+TONTJANV22!I16</f>
        <v>27500</v>
      </c>
      <c r="M16" s="7">
        <f>VLOOKUP($A16,[10]HISTOFEV22!$A$7:$AU$38,16,0)</f>
        <v>27500</v>
      </c>
      <c r="N16" s="7" t="str">
        <f>IF(M16&lt;&gt;0,VLOOKUP($A16,[10]HISTOFEV22!$A$7:$AU$38,8,0),"ECHEC")</f>
        <v>BANQUE</v>
      </c>
      <c r="O16" s="7" t="str">
        <f>IF(R16=0,0,VLOOKUP($A16,[10]HISTOFEV22!$A$7:$AU$38,32,0))</f>
        <v>BANQUE</v>
      </c>
      <c r="P16" s="7">
        <f>VLOOKUP($A16,[10]HISTOFEV22!$A$7:$AU$38,33,0)</f>
        <v>0</v>
      </c>
      <c r="Q16" s="7">
        <f t="shared" si="0"/>
        <v>264000</v>
      </c>
      <c r="R16" s="7">
        <f>VLOOKUP($A16,[10]HISTOFEV22!$A$7:$AU$38,29,0)</f>
        <v>36000</v>
      </c>
      <c r="S16" s="21">
        <f t="shared" si="2"/>
        <v>13000</v>
      </c>
    </row>
    <row r="17" spans="1:19" x14ac:dyDescent="0.25">
      <c r="A17" s="1" t="s">
        <v>19</v>
      </c>
      <c r="B17" s="7">
        <f>IF(D17=0,0,VLOOKUP($A17,[8]HISTOFEV22!$A$6:$AZ$36,9,0))</f>
        <v>1</v>
      </c>
      <c r="C17" s="1" t="str">
        <f>VLOOKUP(A17,[9]LISTADHERENT!A$5:H$60,3,0)</f>
        <v>LOWE JEAN</v>
      </c>
      <c r="D17" s="7">
        <f t="shared" si="1"/>
        <v>23000</v>
      </c>
      <c r="E17" s="7">
        <f>D17+VLOOKUP($A17,[10]HISTOFEV22!$A$7:$AU$38,45,0)+F17</f>
        <v>30000</v>
      </c>
      <c r="F17" s="7">
        <f>VLOOKUP($A17,[10]HISTOFEV22!$A$7:$AU$38,7,0)</f>
        <v>0</v>
      </c>
      <c r="G17" s="7" t="str">
        <f>VLOOKUP($A17,[10]HISTOFEV22!$A$7:$AU$38,8,0)</f>
        <v>BANQUE</v>
      </c>
      <c r="H17" s="7">
        <f>VLOOKUP($A17,[10]HISTOFEV22!$A$7:$AU$38,35,0)</f>
        <v>0</v>
      </c>
      <c r="I17" s="7">
        <f>VLOOKUP($A17,[10]HISTOFEV22!$A$7:$AU$38,38,0)</f>
        <v>0</v>
      </c>
      <c r="J17" s="7">
        <f>IF(I17=0,0,VLOOKUP($A17,[10]HISTOFEV22!$A$7:$AU$38,42,0))</f>
        <v>0</v>
      </c>
      <c r="K17" s="7">
        <f>VLOOKUP($A17,[10]HISTOFEV22!$A$7:$AU$38,41,0)</f>
        <v>0</v>
      </c>
      <c r="L17" s="7">
        <f>TONTJANV22!H17+TONTJANV22!I17</f>
        <v>0</v>
      </c>
      <c r="M17" s="7">
        <f>VLOOKUP($A17,[10]HISTOFEV22!$A$7:$AU$38,16,0)</f>
        <v>0</v>
      </c>
      <c r="N17" s="7" t="str">
        <f>IF(M17&lt;&gt;0,VLOOKUP($A17,[10]HISTOFEV22!$A$7:$AU$38,8,0),"ECHEC")</f>
        <v>ECHEC</v>
      </c>
      <c r="O17" s="7">
        <f>IF(R17=0,0,VLOOKUP($A17,[10]HISTOFEV22!$A$7:$AU$38,32,0))</f>
        <v>0</v>
      </c>
      <c r="P17" s="7">
        <f>VLOOKUP($A17,[10]HISTOFEV22!$A$7:$AU$38,33,0)</f>
        <v>0</v>
      </c>
      <c r="Q17" s="7">
        <f t="shared" si="0"/>
        <v>0</v>
      </c>
      <c r="R17" s="7">
        <f>VLOOKUP($A17,[10]HISTOFEV22!$A$7:$AU$38,29,0)</f>
        <v>0</v>
      </c>
      <c r="S17" s="21">
        <f t="shared" si="2"/>
        <v>0</v>
      </c>
    </row>
    <row r="18" spans="1:19" x14ac:dyDescent="0.25">
      <c r="A18" s="1" t="s">
        <v>49</v>
      </c>
      <c r="B18" s="7">
        <f>IF(D18=0,0,VLOOKUP($A18,[8]HISTOFEV22!$A$6:$AZ$36,9,0))</f>
        <v>1</v>
      </c>
      <c r="C18" s="1" t="str">
        <f>VLOOKUP(A18,[9]LISTADHERENT!A$5:H$60,3,0)</f>
        <v>MBOGNING TUGMA GUY</v>
      </c>
      <c r="D18" s="7">
        <f t="shared" si="1"/>
        <v>23000</v>
      </c>
      <c r="E18" s="7">
        <f>D18+VLOOKUP($A18,[10]HISTOFEV22!$A$7:$AU$38,45,0)+F18</f>
        <v>30000</v>
      </c>
      <c r="F18" s="7">
        <f>VLOOKUP($A18,[10]HISTOFEV22!$A$7:$AU$38,7,0)</f>
        <v>0</v>
      </c>
      <c r="G18" s="7" t="str">
        <f>VLOOKUP($A18,[10]HISTOFEV22!$A$7:$AU$38,8,0)</f>
        <v>BANQUE</v>
      </c>
      <c r="H18" s="7">
        <f>VLOOKUP($A18,[10]HISTOFEV22!$A$7:$AU$38,35,0)</f>
        <v>0</v>
      </c>
      <c r="I18" s="7">
        <f>VLOOKUP($A18,[10]HISTOFEV22!$A$7:$AU$38,38,0)</f>
        <v>0</v>
      </c>
      <c r="J18" s="7">
        <f>IF(I18=0,0,VLOOKUP($A18,[10]HISTOFEV22!$A$7:$AU$38,42,0))</f>
        <v>0</v>
      </c>
      <c r="K18" s="7">
        <f>VLOOKUP($A18,[10]HISTOFEV22!$A$7:$AU$38,41,0)</f>
        <v>0</v>
      </c>
      <c r="L18" s="7">
        <f>TONTJANV22!H18+TONTJANV22!I18</f>
        <v>0</v>
      </c>
      <c r="M18" s="7">
        <f>VLOOKUP($A18,[10]HISTOFEV22!$A$7:$AU$38,16,0)</f>
        <v>0</v>
      </c>
      <c r="N18" s="7" t="str">
        <f>IF(M18&lt;&gt;0,VLOOKUP($A18,[10]HISTOFEV22!$A$7:$AU$38,8,0),"ECHEC")</f>
        <v>ECHEC</v>
      </c>
      <c r="O18" s="7">
        <f>IF(R18=0,0,VLOOKUP($A18,[10]HISTOFEV22!$A$7:$AU$38,32,0))</f>
        <v>0</v>
      </c>
      <c r="P18" s="7">
        <f>VLOOKUP($A18,[10]HISTOFEV22!$A$7:$AU$38,33,0)</f>
        <v>0</v>
      </c>
      <c r="Q18" s="7">
        <f t="shared" si="0"/>
        <v>0</v>
      </c>
      <c r="R18" s="7">
        <f>VLOOKUP($A18,[10]HISTOFEV22!$A$7:$AU$38,29,0)</f>
        <v>0</v>
      </c>
      <c r="S18" s="21">
        <f t="shared" si="2"/>
        <v>0</v>
      </c>
    </row>
    <row r="19" spans="1:19" x14ac:dyDescent="0.25">
      <c r="A19" s="1" t="s">
        <v>30</v>
      </c>
      <c r="B19" s="7">
        <f>IF(D19=0,0,VLOOKUP($A19,[8]HISTOFEV22!$A$6:$AZ$36,9,0))</f>
        <v>1</v>
      </c>
      <c r="C19" s="1" t="str">
        <f>VLOOKUP(A19,[9]LISTADHERENT!A$5:H$60,3,0)</f>
        <v>NANGUEN MARTIN</v>
      </c>
      <c r="D19" s="7">
        <f t="shared" si="1"/>
        <v>23000</v>
      </c>
      <c r="E19" s="7">
        <f>D19+VLOOKUP($A19,[10]HISTOFEV22!$A$7:$AU$38,45,0)+F19</f>
        <v>30000</v>
      </c>
      <c r="F19" s="7">
        <f>VLOOKUP($A19,[10]HISTOFEV22!$A$7:$AU$38,7,0)</f>
        <v>0</v>
      </c>
      <c r="G19" s="7" t="str">
        <f>VLOOKUP($A19,[10]HISTOFEV22!$A$7:$AU$38,8,0)</f>
        <v>BANQUE</v>
      </c>
      <c r="H19" s="7">
        <f>VLOOKUP($A19,[10]HISTOFEV22!$A$7:$AU$38,35,0)</f>
        <v>0</v>
      </c>
      <c r="I19" s="7">
        <f>VLOOKUP($A19,[10]HISTOFEV22!$A$7:$AU$38,38,0)</f>
        <v>0</v>
      </c>
      <c r="J19" s="7">
        <f>IF(I19=0,0,VLOOKUP($A19,[10]HISTOFEV22!$A$7:$AU$38,42,0))</f>
        <v>0</v>
      </c>
      <c r="K19" s="7">
        <f>VLOOKUP($A19,[10]HISTOFEV22!$A$7:$AU$38,41,0)</f>
        <v>0</v>
      </c>
      <c r="L19" s="7">
        <f>TONTJANV22!H19+TONTJANV22!I19</f>
        <v>0</v>
      </c>
      <c r="M19" s="7">
        <f>VLOOKUP($A19,[10]HISTOFEV22!$A$7:$AU$38,16,0)</f>
        <v>0</v>
      </c>
      <c r="N19" s="7" t="str">
        <f>IF(M19&lt;&gt;0,VLOOKUP($A19,[10]HISTOFEV22!$A$7:$AU$38,8,0),"ECHEC")</f>
        <v>ECHEC</v>
      </c>
      <c r="O19" s="7">
        <f>IF(R19=0,0,VLOOKUP($A19,[10]HISTOFEV22!$A$7:$AU$38,32,0))</f>
        <v>0</v>
      </c>
      <c r="P19" s="7">
        <f>VLOOKUP($A19,[10]HISTOFEV22!$A$7:$AU$38,33,0)</f>
        <v>0</v>
      </c>
      <c r="Q19" s="7">
        <f t="shared" si="0"/>
        <v>0</v>
      </c>
      <c r="R19" s="7">
        <f>VLOOKUP($A19,[10]HISTOFEV22!$A$7:$AU$38,29,0)</f>
        <v>0</v>
      </c>
      <c r="S19" s="21">
        <f t="shared" si="2"/>
        <v>0</v>
      </c>
    </row>
    <row r="20" spans="1:19" x14ac:dyDescent="0.25">
      <c r="A20" s="1" t="s">
        <v>20</v>
      </c>
      <c r="B20" s="7">
        <f>IF(D20=0,0,VLOOKUP($A20,[8]HISTOFEV22!$A$6:$AZ$36,9,0))</f>
        <v>1</v>
      </c>
      <c r="C20" s="1" t="str">
        <f>VLOOKUP(A20,[9]LISTADHERENT!A$5:H$60,3,0)</f>
        <v>NANKAM APPOLINAIRE</v>
      </c>
      <c r="D20" s="7">
        <f t="shared" si="1"/>
        <v>23000</v>
      </c>
      <c r="E20" s="7">
        <f>D20+VLOOKUP($A20,[10]HISTOFEV22!$A$7:$AU$38,45,0)+F20</f>
        <v>30000</v>
      </c>
      <c r="F20" s="7">
        <f>VLOOKUP($A20,[10]HISTOFEV22!$A$7:$AU$38,7,0)</f>
        <v>0</v>
      </c>
      <c r="G20" s="7" t="str">
        <f>VLOOKUP($A21,[10]HISTOFEV22!$A$7:$AU$38,8,0)</f>
        <v>BANQUE</v>
      </c>
      <c r="H20" s="7">
        <f>VLOOKUP($A21,[10]HISTOFEV22!$A$7:$AU$38,35,0)</f>
        <v>0</v>
      </c>
      <c r="I20" s="7">
        <f>VLOOKUP($A21,[10]HISTOFEV22!$A$7:$AU$38,38,0)</f>
        <v>0</v>
      </c>
      <c r="J20" s="7">
        <f>IF(I21=0,0,VLOOKUP($A21,[10]HISTOFEV22!$A$7:$AU$38,42,0))</f>
        <v>0</v>
      </c>
      <c r="K20" s="7">
        <f>VLOOKUP($A21,[10]HISTOFEV22!$A$7:$AU$38,41,0)</f>
        <v>0</v>
      </c>
      <c r="L20" s="7">
        <f>TONTJANV22!H20+TONTJANV22!I20</f>
        <v>0</v>
      </c>
      <c r="M20" s="7">
        <f>VLOOKUP($A21,[10]HISTOFEV22!$A$7:$AU$38,16,0)</f>
        <v>0</v>
      </c>
      <c r="N20" s="7" t="str">
        <f>IF(M21&lt;&gt;0,VLOOKUP($A21,[10]HISTOFEV22!$A$7:$AU$38,8,0),"ECHEC")</f>
        <v>ECHEC</v>
      </c>
      <c r="O20" s="7">
        <f>IF(R21=0,0,VLOOKUP($A21,[10]HISTOFEV22!$A$7:$AU$38,32,0))</f>
        <v>0</v>
      </c>
      <c r="P20" s="7">
        <f>VLOOKUP($A21,[10]HISTOFEV22!$A$7:$AU$38,33,0)</f>
        <v>0</v>
      </c>
      <c r="Q20" s="7">
        <f>IF(R21=0,0,($C$3-R21))</f>
        <v>0</v>
      </c>
      <c r="R20" s="7">
        <f>VLOOKUP($A21,[10]HISTOFEV22!$A$7:$AU$38,29,0)</f>
        <v>0</v>
      </c>
      <c r="S20" s="21">
        <f t="shared" si="2"/>
        <v>0</v>
      </c>
    </row>
    <row r="21" spans="1:19" x14ac:dyDescent="0.25">
      <c r="A21" s="1" t="s">
        <v>21</v>
      </c>
      <c r="B21" s="7">
        <f>IF(D21=0,0,VLOOKUP($A21,[8]HISTOFEV22!$A$6:$AZ$36,9,0))</f>
        <v>1</v>
      </c>
      <c r="C21" s="1" t="str">
        <f>VLOOKUP(A21,[9]LISTADHERENT!A$5:H$60,3,0)</f>
        <v>NDJOMO ETIENNE</v>
      </c>
      <c r="D21" s="7">
        <f t="shared" si="1"/>
        <v>23000</v>
      </c>
      <c r="E21" s="7">
        <f>D21+VLOOKUP($A21,[10]HISTOFEV22!$A$7:$AU$38,45,0)+F21</f>
        <v>50000</v>
      </c>
      <c r="F21" s="7">
        <f>VLOOKUP($A21,[10]HISTOFEV22!$A$7:$AU$38,7,0)</f>
        <v>0</v>
      </c>
      <c r="G21" s="7" t="str">
        <f>VLOOKUP($A21,[10]HISTOFEV22!$A$7:$AU$38,8,0)</f>
        <v>BANQUE</v>
      </c>
      <c r="H21" s="7">
        <f>VLOOKUP($A21,[10]HISTOFEV22!$A$7:$AU$38,35,0)</f>
        <v>0</v>
      </c>
      <c r="I21" s="7">
        <f>VLOOKUP($A21,[10]HISTOFEV22!$A$7:$AU$38,38,0)</f>
        <v>0</v>
      </c>
      <c r="J21" s="7">
        <f>IF(I21=0,0,VLOOKUP($A21,[10]HISTOFEV22!$A$7:$AU$38,42,0))</f>
        <v>0</v>
      </c>
      <c r="K21" s="7">
        <f>VLOOKUP($A21,[10]HISTOFEV22!$A$7:$AU$38,41,0)</f>
        <v>0</v>
      </c>
      <c r="L21" s="7">
        <f>TONTJANV22!H21+TONTJANV22!I21</f>
        <v>0</v>
      </c>
      <c r="M21" s="7">
        <f>VLOOKUP($A21,[10]HISTOFEV22!$A$7:$AU$38,16,0)</f>
        <v>0</v>
      </c>
      <c r="N21" s="7" t="str">
        <f>IF(M21&lt;&gt;0,VLOOKUP($A21,[10]HISTOFEV22!$A$7:$AU$38,8,0),"ECHEC")</f>
        <v>ECHEC</v>
      </c>
      <c r="O21" s="7">
        <f>IF(R21=0,0,VLOOKUP($A21,[10]HISTOFEV22!$A$7:$AU$38,32,0))</f>
        <v>0</v>
      </c>
      <c r="P21" s="7">
        <f>VLOOKUP($A21,[10]HISTOFEV22!$A$7:$AU$38,33,0)</f>
        <v>0</v>
      </c>
      <c r="Q21" s="7">
        <f t="shared" si="0"/>
        <v>0</v>
      </c>
      <c r="R21" s="7">
        <f>VLOOKUP($A21,[10]HISTOFEV22!$A$7:$AU$38,29,0)</f>
        <v>0</v>
      </c>
      <c r="S21" s="21">
        <f t="shared" si="2"/>
        <v>0</v>
      </c>
    </row>
    <row r="22" spans="1:19" x14ac:dyDescent="0.25">
      <c r="A22" s="1" t="s">
        <v>22</v>
      </c>
      <c r="B22" s="7">
        <f>IF(D22=0,0,VLOOKUP($A22,[8]HISTOFEV22!$A$6:$AZ$36,9,0))</f>
        <v>1</v>
      </c>
      <c r="C22" s="1" t="str">
        <f>VLOOKUP(A22,[9]LISTADHERENT!A$5:H$60,3,0)</f>
        <v>NGONDIEP CLAUDE</v>
      </c>
      <c r="D22" s="7">
        <f t="shared" si="1"/>
        <v>23000</v>
      </c>
      <c r="E22" s="7">
        <f>D22+VLOOKUP($A22,[10]HISTOFEV22!$A$7:$AU$38,45,0)+F22</f>
        <v>48000</v>
      </c>
      <c r="F22" s="7">
        <f>VLOOKUP($A22,[10]HISTOFEV22!$A$7:$AU$38,7,0)</f>
        <v>3000</v>
      </c>
      <c r="G22" s="7" t="str">
        <f>VLOOKUP($A22,[10]HISTOFEV22!$A$7:$AU$38,8,0)</f>
        <v>BANQUE</v>
      </c>
      <c r="H22" s="7">
        <f>VLOOKUP($A22,[10]HISTOFEV22!$A$7:$AU$38,35,0)</f>
        <v>60000</v>
      </c>
      <c r="I22" s="7">
        <f>VLOOKUP($A22,[10]HISTOFEV22!$A$7:$AU$38,38,0)</f>
        <v>1000</v>
      </c>
      <c r="J22" s="7" t="str">
        <f>IF(I22=0,0,VLOOKUP($A22,[10]HISTOFEV22!$A$7:$AU$38,42,0))</f>
        <v>BANQUE</v>
      </c>
      <c r="K22" s="7">
        <f>VLOOKUP($A22,[10]HISTOFEV22!$A$7:$AU$38,41,0)</f>
        <v>0</v>
      </c>
      <c r="L22" s="7">
        <f>TONTJANV22!H22+TONTJANV22!I22</f>
        <v>0</v>
      </c>
      <c r="M22" s="7">
        <f>VLOOKUP($A22,[10]HISTOFEV22!$A$7:$AU$38,16,0)</f>
        <v>0</v>
      </c>
      <c r="N22" s="7" t="str">
        <f>IF(M22&lt;&gt;0,VLOOKUP($A22,[10]HISTOFEV22!$A$7:$AU$38,8,0),"ECHEC")</f>
        <v>ECHEC</v>
      </c>
      <c r="O22" s="7">
        <f>IF(R22=0,0,VLOOKUP($A22,[10]HISTOFEV22!$A$7:$AU$38,32,0))</f>
        <v>0</v>
      </c>
      <c r="P22" s="7">
        <f>VLOOKUP($A22,[10]HISTOFEV22!$A$7:$AU$38,33,0)</f>
        <v>0</v>
      </c>
      <c r="Q22" s="7">
        <f t="shared" si="0"/>
        <v>0</v>
      </c>
      <c r="R22" s="7">
        <f>VLOOKUP($A22,[10]HISTOFEV22!$A$7:$AU$38,29,0)</f>
        <v>0</v>
      </c>
      <c r="S22" s="21">
        <f t="shared" si="2"/>
        <v>0</v>
      </c>
    </row>
    <row r="23" spans="1:19" x14ac:dyDescent="0.25">
      <c r="A23" s="1" t="s">
        <v>23</v>
      </c>
      <c r="B23" s="7">
        <f>IF(D23=0,0,VLOOKUP($A23,[8]HISTOFEV22!$A$6:$AZ$36,9,0))</f>
        <v>1</v>
      </c>
      <c r="C23" s="1" t="str">
        <f>VLOOKUP(A23,[9]LISTADHERENT!A$5:H$60,3,0)</f>
        <v>NGUIEMEGNI MATHIEU BLAISE</v>
      </c>
      <c r="D23" s="7">
        <f t="shared" si="1"/>
        <v>23000</v>
      </c>
      <c r="E23" s="7">
        <f>D23+VLOOKUP($A23,[10]HISTOFEV22!$A$7:$AU$38,45,0)+F23</f>
        <v>30000</v>
      </c>
      <c r="F23" s="7">
        <f>VLOOKUP($A23,[10]HISTOFEV22!$A$7:$AU$38,7,0)</f>
        <v>0</v>
      </c>
      <c r="G23" s="7" t="str">
        <f>VLOOKUP($A23,[10]HISTOFEV22!$A$7:$AU$38,8,0)</f>
        <v>BANQUE</v>
      </c>
      <c r="H23" s="7">
        <f>VLOOKUP($A23,[10]HISTOFEV22!$A$7:$AU$38,35,0)</f>
        <v>0</v>
      </c>
      <c r="I23" s="7">
        <f>VLOOKUP($A23,[10]HISTOFEV22!$A$7:$AU$38,38,0)</f>
        <v>0</v>
      </c>
      <c r="J23" s="7">
        <f>IF(I23=0,0,VLOOKUP($A23,[10]HISTOFEV22!$A$7:$AU$38,42,0))</f>
        <v>0</v>
      </c>
      <c r="K23" s="7">
        <f>VLOOKUP($A23,[10]HISTOFEV22!$A$7:$AU$38,41,0)</f>
        <v>0</v>
      </c>
      <c r="L23" s="7">
        <f>TONTJANV22!H23+TONTJANV22!I23</f>
        <v>27000</v>
      </c>
      <c r="M23" s="7">
        <f>VLOOKUP($A23,[10]HISTOFEV22!$A$7:$AU$38,16,0)</f>
        <v>27000</v>
      </c>
      <c r="N23" s="7" t="str">
        <f>IF(M23&lt;&gt;0,VLOOKUP($A23,[10]HISTOFEV22!$A$7:$AU$38,8,0),"ECHEC")</f>
        <v>BANQUE</v>
      </c>
      <c r="O23" s="7">
        <f>IF(R23=0,0,VLOOKUP($A23,[10]HISTOFEV22!$A$7:$AU$38,32,0))</f>
        <v>0</v>
      </c>
      <c r="P23" s="7">
        <f>VLOOKUP($A23,[10]HISTOFEV22!$A$7:$AU$38,33,0)</f>
        <v>0</v>
      </c>
      <c r="Q23" s="7">
        <f t="shared" si="0"/>
        <v>0</v>
      </c>
      <c r="R23" s="7">
        <f>VLOOKUP($A23,[10]HISTOFEV22!$A$7:$AU$38,29,0)</f>
        <v>0</v>
      </c>
      <c r="S23" s="21">
        <f t="shared" si="2"/>
        <v>0</v>
      </c>
    </row>
    <row r="24" spans="1:19" x14ac:dyDescent="0.25">
      <c r="A24" s="1" t="s">
        <v>24</v>
      </c>
      <c r="B24" s="7">
        <f>IF(D24=0,0,VLOOKUP($A24,[8]HISTOFEV22!$A$6:$AZ$36,9,0))</f>
        <v>1</v>
      </c>
      <c r="C24" s="1" t="str">
        <f>VLOOKUP(A24,[9]LISTADHERENT!A$5:H$60,3,0)</f>
        <v>NKAMGANG JUSTIN DEJOLIE</v>
      </c>
      <c r="D24" s="7">
        <f t="shared" si="1"/>
        <v>23000</v>
      </c>
      <c r="E24" s="7">
        <f>D24+VLOOKUP($A24,[10]HISTOFEV22!$A$7:$AU$38,45,0)+F24</f>
        <v>33000</v>
      </c>
      <c r="F24" s="7">
        <f>VLOOKUP($A24,[10]HISTOFEV22!$A$7:$AU$38,7,0)</f>
        <v>3000</v>
      </c>
      <c r="G24" s="7" t="str">
        <f>VLOOKUP($A24,[10]HISTOFEV22!$A$7:$AU$38,8,0)</f>
        <v>BANQUE</v>
      </c>
      <c r="H24" s="7">
        <f>VLOOKUP($A24,[10]HISTOFEV22!$A$7:$AU$38,35,0)</f>
        <v>60000</v>
      </c>
      <c r="I24" s="7">
        <f>VLOOKUP($A24,[10]HISTOFEV22!$A$7:$AU$38,38,0)</f>
        <v>1000</v>
      </c>
      <c r="J24" s="7" t="str">
        <f>IF(I24=0,0,VLOOKUP($A24,[10]HISTOFEV22!$A$7:$AU$38,42,0))</f>
        <v>BANQUE</v>
      </c>
      <c r="K24" s="7">
        <f>VLOOKUP($A24,[10]HISTOFEV22!$A$7:$AU$38,41,0)</f>
        <v>0</v>
      </c>
      <c r="L24" s="7">
        <f>TONTJANV22!H24+TONTJANV22!I24</f>
        <v>26000</v>
      </c>
      <c r="M24" s="7">
        <f>VLOOKUP($A24,[10]HISTOFEV22!$A$7:$AU$38,16,0)</f>
        <v>26000</v>
      </c>
      <c r="N24" s="7" t="str">
        <f>IF(M24&lt;&gt;0,VLOOKUP($A24,[10]HISTOFEV22!$A$7:$AU$38,8,0),"ECHEC")</f>
        <v>BANQUE</v>
      </c>
      <c r="O24" s="7">
        <f>IF(R24=0,0,VLOOKUP($A24,[10]HISTOFEV22!$A$7:$AU$38,32,0))</f>
        <v>0</v>
      </c>
      <c r="P24" s="7">
        <f>VLOOKUP($A24,[10]HISTOFEV22!$A$7:$AU$38,33,0)</f>
        <v>0</v>
      </c>
      <c r="Q24" s="7">
        <f t="shared" si="0"/>
        <v>0</v>
      </c>
      <c r="R24" s="7">
        <f>VLOOKUP($A24,[10]HISTOFEV22!$A$7:$AU$38,29,0)</f>
        <v>0</v>
      </c>
      <c r="S24" s="21">
        <f t="shared" si="2"/>
        <v>0</v>
      </c>
    </row>
    <row r="25" spans="1:19" x14ac:dyDescent="0.25">
      <c r="A25" s="1" t="s">
        <v>25</v>
      </c>
      <c r="B25" s="7">
        <f>IF(D25=0,0,VLOOKUP($A25,[8]HISTOFEV22!$A$6:$AZ$36,9,0))</f>
        <v>1</v>
      </c>
      <c r="C25" s="1" t="str">
        <f>VLOOKUP(A25,[9]LISTADHERENT!A$5:H$60,3,0)</f>
        <v>NKEPSEU DIEUDONNE</v>
      </c>
      <c r="D25" s="7">
        <f t="shared" si="1"/>
        <v>23000</v>
      </c>
      <c r="E25" s="7">
        <f>D25+VLOOKUP($A25,[10]HISTOFEV22!$A$7:$AU$38,45,0)+F25</f>
        <v>30000</v>
      </c>
      <c r="F25" s="7">
        <f>VLOOKUP($A25,[10]HISTOFEV22!$A$7:$AU$38,7,0)</f>
        <v>0</v>
      </c>
      <c r="G25" s="7" t="str">
        <f>VLOOKUP($A25,[10]HISTOFEV22!$A$7:$AU$38,8,0)</f>
        <v>BANQUE</v>
      </c>
      <c r="H25" s="7">
        <f>VLOOKUP($A25,[10]HISTOFEV22!$A$7:$AU$38,35,0)</f>
        <v>0</v>
      </c>
      <c r="I25" s="7">
        <f>VLOOKUP($A25,[10]HISTOFEV22!$A$7:$AU$38,38,0)</f>
        <v>0</v>
      </c>
      <c r="J25" s="7">
        <f>IF(I25=0,0,VLOOKUP($A25,[10]HISTOFEV22!$A$7:$AU$38,42,0))</f>
        <v>0</v>
      </c>
      <c r="K25" s="7">
        <f>VLOOKUP($A25,[10]HISTOFEV22!$A$7:$AU$38,41,0)</f>
        <v>0</v>
      </c>
      <c r="L25" s="7">
        <f>TONTJANV22!H25+TONTJANV22!I25</f>
        <v>0</v>
      </c>
      <c r="M25" s="7">
        <f>VLOOKUP($A25,[10]HISTOFEV22!$A$7:$AU$38,16,0)</f>
        <v>0</v>
      </c>
      <c r="N25" s="7" t="str">
        <f>IF(M25&lt;&gt;0,VLOOKUP($A25,[10]HISTOFEV22!$A$7:$AU$38,8,0),"ECHEC")</f>
        <v>ECHEC</v>
      </c>
      <c r="O25" s="7">
        <f>IF(R25=0,0,VLOOKUP($A25,[10]HISTOFEV22!$A$7:$AU$38,32,0))</f>
        <v>0</v>
      </c>
      <c r="P25" s="7">
        <f>VLOOKUP($A25,[10]HISTOFEV22!$A$7:$AU$38,33,0)</f>
        <v>0</v>
      </c>
      <c r="Q25" s="7">
        <f t="shared" si="0"/>
        <v>0</v>
      </c>
      <c r="R25" s="7">
        <f>VLOOKUP($A25,[10]HISTOFEV22!$A$7:$AU$38,29,0)</f>
        <v>0</v>
      </c>
      <c r="S25" s="21">
        <f t="shared" si="2"/>
        <v>0</v>
      </c>
    </row>
    <row r="26" spans="1:19" x14ac:dyDescent="0.25">
      <c r="A26" s="1" t="s">
        <v>26</v>
      </c>
      <c r="B26" s="7">
        <f>IF(D26=0,0,VLOOKUP($A26,[8]HISTOFEV22!$A$6:$AZ$36,9,0))</f>
        <v>1</v>
      </c>
      <c r="C26" s="1" t="str">
        <f>VLOOKUP(A26,[9]LISTADHERENT!A$5:H$60,3,0)</f>
        <v>PATEGO NJOSSU GUSTAVE</v>
      </c>
      <c r="D26" s="7">
        <f t="shared" si="1"/>
        <v>23000</v>
      </c>
      <c r="E26" s="7">
        <f>D26+VLOOKUP($A26,[10]HISTOFEV22!$A$7:$AU$38,45,0)+F26</f>
        <v>30000</v>
      </c>
      <c r="F26" s="7">
        <f>VLOOKUP($A26,[10]HISTOFEV22!$A$7:$AU$38,7,0)</f>
        <v>0</v>
      </c>
      <c r="G26" s="7" t="str">
        <f>VLOOKUP($A26,[10]HISTOFEV22!$A$7:$AU$38,8,0)</f>
        <v>BANQUE</v>
      </c>
      <c r="H26" s="7">
        <f>VLOOKUP($A26,[10]HISTOFEV22!$A$7:$AU$38,35,0)</f>
        <v>0</v>
      </c>
      <c r="I26" s="7">
        <f>VLOOKUP($A26,[10]HISTOFEV22!$A$7:$AU$38,38,0)</f>
        <v>0</v>
      </c>
      <c r="J26" s="7">
        <f>IF(I26=0,0,VLOOKUP($A26,[10]HISTOFEV22!$A$7:$AU$38,42,0))</f>
        <v>0</v>
      </c>
      <c r="K26" s="7">
        <f>VLOOKUP($A26,[10]HISTOFEV22!$A$7:$AU$38,41,0)</f>
        <v>0</v>
      </c>
      <c r="L26" s="7">
        <f>TONTJANV22!H26+TONTJANV22!I26</f>
        <v>0</v>
      </c>
      <c r="M26" s="7">
        <f>VLOOKUP($A26,[10]HISTOFEV22!$A$7:$AU$38,16,0)</f>
        <v>0</v>
      </c>
      <c r="N26" s="7" t="str">
        <f>IF(M26&lt;&gt;0,VLOOKUP($A26,[10]HISTOFEV22!$A$7:$AU$38,8,0),"ECHEC")</f>
        <v>ECHEC</v>
      </c>
      <c r="O26" s="7">
        <f>IF(R26=0,0,VLOOKUP($A26,[10]HISTOFEV22!$A$7:$AU$38,32,0))</f>
        <v>0</v>
      </c>
      <c r="P26" s="7">
        <f>VLOOKUP($A26,[10]HISTOFEV22!$A$7:$AU$38,33,0)</f>
        <v>0</v>
      </c>
      <c r="Q26" s="7">
        <f t="shared" si="0"/>
        <v>0</v>
      </c>
      <c r="R26" s="7">
        <f>VLOOKUP($A26,[10]HISTOFEV22!$A$7:$AU$38,29,0)</f>
        <v>0</v>
      </c>
      <c r="S26" s="21">
        <f t="shared" si="2"/>
        <v>0</v>
      </c>
    </row>
    <row r="27" spans="1:19" x14ac:dyDescent="0.25">
      <c r="A27" s="1" t="s">
        <v>51</v>
      </c>
      <c r="B27" s="7">
        <f>IF(D27=0,0,VLOOKUP($A27,[8]HISTOFEV22!$A$6:$AZ$36,9,0))</f>
        <v>1</v>
      </c>
      <c r="C27" s="1" t="str">
        <f>VLOOKUP(A27,[9]LISTADHERENT!A$5:H$60,3,0)</f>
        <v>SIME BRICE</v>
      </c>
      <c r="D27" s="7">
        <f t="shared" si="1"/>
        <v>23000</v>
      </c>
      <c r="E27" s="7">
        <f>D27+VLOOKUP($A27,[10]HISTOFEV22!$A$7:$AU$38,45,0)+F27</f>
        <v>30000</v>
      </c>
      <c r="F27" s="7">
        <f>VLOOKUP($A27,[10]HISTOFEV22!$A$7:$AU$38,7,0)</f>
        <v>0</v>
      </c>
      <c r="G27" s="7" t="str">
        <f>VLOOKUP($A27,[10]HISTOFEV22!$A$7:$AU$38,8,0)</f>
        <v>BANQUE</v>
      </c>
      <c r="H27" s="7">
        <f>VLOOKUP($A27,[10]HISTOFEV22!$A$7:$AU$38,35,0)</f>
        <v>0</v>
      </c>
      <c r="I27" s="7">
        <f>VLOOKUP($A27,[10]HISTOFEV22!$A$7:$AU$38,38,0)</f>
        <v>0</v>
      </c>
      <c r="J27" s="7">
        <f>IF(I27=0,0,VLOOKUP($A27,[10]HISTOFEV22!$A$7:$AU$38,42,0))</f>
        <v>0</v>
      </c>
      <c r="K27" s="7">
        <f>VLOOKUP($A27,[10]HISTOFEV22!$A$7:$AU$38,41,0)</f>
        <v>0</v>
      </c>
      <c r="L27" s="7">
        <f>TONTJANV22!H27+TONTJANV22!I27</f>
        <v>0</v>
      </c>
      <c r="M27" s="7">
        <f>VLOOKUP($A27,[10]HISTOFEV22!$A$7:$AU$38,16,0)</f>
        <v>0</v>
      </c>
      <c r="N27" s="7" t="str">
        <f>IF(M27&lt;&gt;0,VLOOKUP($A27,[10]HISTOFEV22!$A$7:$AU$38,8,0),"ECHEC")</f>
        <v>ECHEC</v>
      </c>
      <c r="O27" s="7">
        <f>IF(R27=0,0,VLOOKUP($A27,[10]HISTOFEV22!$A$7:$AU$38,32,0))</f>
        <v>0</v>
      </c>
      <c r="P27" s="7">
        <f>VLOOKUP($A27,[10]HISTOFEV22!$A$7:$AU$38,33,0)</f>
        <v>0</v>
      </c>
      <c r="Q27" s="7">
        <f t="shared" si="0"/>
        <v>0</v>
      </c>
      <c r="R27" s="7">
        <f>VLOOKUP($A27,[10]HISTOFEV22!$A$7:$AU$38,29,0)</f>
        <v>0</v>
      </c>
      <c r="S27" s="21">
        <f t="shared" si="2"/>
        <v>0</v>
      </c>
    </row>
    <row r="28" spans="1:19" x14ac:dyDescent="0.25">
      <c r="A28" s="1" t="s">
        <v>29</v>
      </c>
      <c r="B28" s="7">
        <f>IF(D28=0,0,VLOOKUP($A28,[8]HISTOFEV22!$A$6:$AZ$36,9,0))</f>
        <v>1</v>
      </c>
      <c r="C28" s="1" t="str">
        <f>VLOOKUP(A28,[9]LISTADHERENT!A$5:H$60,3,0)</f>
        <v>SIMO PIERRE</v>
      </c>
      <c r="D28" s="7">
        <f t="shared" si="1"/>
        <v>23000</v>
      </c>
      <c r="E28" s="7">
        <f>D28+VLOOKUP($A28,[10]HISTOFEV22!$A$7:$AU$38,45,0)+F28</f>
        <v>55000</v>
      </c>
      <c r="F28" s="7">
        <f>VLOOKUP($A28,[10]HISTOFEV22!$A$7:$AU$38,7,0)</f>
        <v>0</v>
      </c>
      <c r="G28" s="7" t="str">
        <f>VLOOKUP($A28,[10]HISTOFEV22!$A$7:$AU$38,8,0)</f>
        <v>BANQUE</v>
      </c>
      <c r="H28" s="7">
        <f>VLOOKUP($A28,[10]HISTOFEV22!$A$7:$AU$38,35,0)</f>
        <v>0</v>
      </c>
      <c r="I28" s="7">
        <f>VLOOKUP($A28,[10]HISTOFEV22!$A$7:$AU$38,38,0)</f>
        <v>0</v>
      </c>
      <c r="J28" s="7">
        <f>IF(I28=0,0,VLOOKUP($A28,[10]HISTOFEV22!$A$7:$AU$38,42,0))</f>
        <v>0</v>
      </c>
      <c r="K28" s="7">
        <f>VLOOKUP($A28,[10]HISTOFEV22!$A$7:$AU$38,41,0)</f>
        <v>0</v>
      </c>
      <c r="L28" s="7">
        <f>TONTJANV22!H28+TONTJANV22!I28</f>
        <v>0</v>
      </c>
      <c r="M28" s="7">
        <f>VLOOKUP($A28,[10]HISTOFEV22!$A$7:$AU$38,16,0)</f>
        <v>0</v>
      </c>
      <c r="N28" s="7" t="str">
        <f>IF(M28&lt;&gt;0,VLOOKUP($A28,[10]HISTOFEV22!$A$7:$AU$38,8,0),"ECHEC")</f>
        <v>ECHEC</v>
      </c>
      <c r="O28" s="7">
        <f>IF(R28=0,0,VLOOKUP($A28,[10]HISTOFEV22!$A$7:$AU$38,32,0))</f>
        <v>0</v>
      </c>
      <c r="P28" s="7">
        <f>VLOOKUP($A28,[10]HISTOFEV22!$A$7:$AU$38,33,0)</f>
        <v>0</v>
      </c>
      <c r="Q28" s="7">
        <f t="shared" si="0"/>
        <v>0</v>
      </c>
      <c r="R28" s="7">
        <f>VLOOKUP($A28,[10]HISTOFEV22!$A$7:$AU$38,29,0)</f>
        <v>0</v>
      </c>
      <c r="S28" s="21">
        <f t="shared" si="2"/>
        <v>0</v>
      </c>
    </row>
    <row r="29" spans="1:19" x14ac:dyDescent="0.25">
      <c r="A29" s="1" t="s">
        <v>31</v>
      </c>
      <c r="B29" s="7">
        <f>IF(D29=0,0,VLOOKUP($A29,[8]HISTOFEV22!$A$6:$AZ$36,9,0))</f>
        <v>1</v>
      </c>
      <c r="C29" s="1" t="str">
        <f>VLOOKUP(A29,[9]LISTADHERENT!A$5:H$60,3,0)</f>
        <v>TCHOUAMOU MATHIEU</v>
      </c>
      <c r="D29" s="7">
        <f t="shared" si="1"/>
        <v>23000</v>
      </c>
      <c r="E29" s="7">
        <f>D29+VLOOKUP($A29,[10]HISTOFEV22!$A$7:$AU$38,45,0)+F29</f>
        <v>30000</v>
      </c>
      <c r="F29" s="7">
        <f>VLOOKUP($A29,[10]HISTOFEV22!$A$7:$AU$38,7,0)</f>
        <v>0</v>
      </c>
      <c r="G29" s="7" t="str">
        <f>VLOOKUP($A29,[10]HISTOFEV22!$A$7:$AU$38,8,0)</f>
        <v>BANQUE</v>
      </c>
      <c r="H29" s="7">
        <f>VLOOKUP($A29,[10]HISTOFEV22!$A$7:$AU$38,35,0)</f>
        <v>31500</v>
      </c>
      <c r="I29" s="7">
        <f>VLOOKUP($A29,[10]HISTOFEV22!$A$7:$AU$38,38,0)</f>
        <v>500</v>
      </c>
      <c r="J29" s="7" t="str">
        <f>IF(I29=0,0,VLOOKUP($A29,[10]HISTOFEV22!$A$7:$AU$38,42,0))</f>
        <v>BANQUE</v>
      </c>
      <c r="K29" s="7">
        <f>VLOOKUP($A29,[10]HISTOFEV22!$A$7:$AU$38,41,0)</f>
        <v>0</v>
      </c>
      <c r="L29" s="7">
        <f>TONTJANV22!H29+TONTJANV22!I29</f>
        <v>0</v>
      </c>
      <c r="M29" s="7">
        <f>VLOOKUP($A29,[10]HISTOFEV22!$A$7:$AU$38,16,0)</f>
        <v>0</v>
      </c>
      <c r="N29" s="7" t="str">
        <f>IF(M29&lt;&gt;0,VLOOKUP($A29,[10]HISTOFEV22!$A$7:$AU$38,8,0),"ECHEC")</f>
        <v>ECHEC</v>
      </c>
      <c r="O29" s="7">
        <f>IF(R29=0,0,VLOOKUP($A29,[10]HISTOFEV22!$A$7:$AU$38,32,0))</f>
        <v>0</v>
      </c>
      <c r="P29" s="7">
        <f>VLOOKUP($A29,[10]HISTOFEV22!$A$7:$AU$38,33,0)</f>
        <v>0</v>
      </c>
      <c r="Q29" s="7">
        <f t="shared" si="0"/>
        <v>0</v>
      </c>
      <c r="R29" s="7">
        <f>VLOOKUP($A29,[10]HISTOFEV22!$A$7:$AU$38,29,0)</f>
        <v>0</v>
      </c>
      <c r="S29" s="21">
        <f t="shared" si="2"/>
        <v>0</v>
      </c>
    </row>
    <row r="30" spans="1:19" x14ac:dyDescent="0.25">
      <c r="A30" s="1" t="s">
        <v>32</v>
      </c>
      <c r="B30" s="7">
        <f>IF(D30=0,0,VLOOKUP($A30,[8]HISTOFEV22!$A$6:$AZ$36,9,0))</f>
        <v>1</v>
      </c>
      <c r="C30" s="1" t="str">
        <f>VLOOKUP(A30,[9]LISTADHERENT!A$5:H$60,3,0)</f>
        <v>YEPMOU JEAN JACQUES</v>
      </c>
      <c r="D30" s="7">
        <f t="shared" si="1"/>
        <v>23000</v>
      </c>
      <c r="E30" s="7">
        <f>D30+VLOOKUP($A30,[10]HISTOFEV22!$A$7:$AU$38,45,0)+F30</f>
        <v>30000</v>
      </c>
      <c r="F30" s="7">
        <f>VLOOKUP($A30,[10]HISTOFEV22!$A$7:$AU$38,7,0)</f>
        <v>0</v>
      </c>
      <c r="G30" s="7" t="str">
        <f>VLOOKUP($A30,[10]HISTOFEV22!$A$7:$AU$38,8,0)</f>
        <v>BANQUE</v>
      </c>
      <c r="H30" s="7">
        <f>VLOOKUP($A30,[10]HISTOFEV22!$A$7:$AU$38,35,0)</f>
        <v>0</v>
      </c>
      <c r="I30" s="7">
        <f>VLOOKUP($A30,[10]HISTOFEV22!$A$7:$AU$38,38,0)</f>
        <v>0</v>
      </c>
      <c r="J30" s="7">
        <f>IF(I30=0,0,VLOOKUP($A30,[10]HISTOFEV22!$A$7:$AU$38,42,0))</f>
        <v>0</v>
      </c>
      <c r="K30" s="7">
        <f>VLOOKUP($A30,[10]HISTOFEV22!$A$7:$AU$38,41,0)</f>
        <v>0</v>
      </c>
      <c r="L30" s="7">
        <f>TONTJANV22!H30+TONTJANV22!I30</f>
        <v>0</v>
      </c>
      <c r="M30" s="7">
        <f>VLOOKUP($A30,[10]HISTOFEV22!$A$7:$AU$38,16,0)</f>
        <v>0</v>
      </c>
      <c r="N30" s="7" t="str">
        <f>IF(M30&lt;&gt;0,VLOOKUP($A30,[10]HISTOFEV22!$A$7:$AU$38,8,0),"ECHEC")</f>
        <v>ECHEC</v>
      </c>
      <c r="O30" s="7">
        <f>IF(R30=0,0,VLOOKUP($A30,[10]HISTOFEV22!$A$7:$AU$38,32,0))</f>
        <v>0</v>
      </c>
      <c r="P30" s="7">
        <f>VLOOKUP($A30,[10]HISTOFEV22!$A$7:$AU$38,33,0)</f>
        <v>0</v>
      </c>
      <c r="Q30" s="7">
        <f t="shared" si="0"/>
        <v>0</v>
      </c>
      <c r="R30" s="7">
        <f>VLOOKUP($A30,[10]HISTOFEV22!$A$7:$AU$38,29,0)</f>
        <v>0</v>
      </c>
      <c r="S30" s="21">
        <f t="shared" si="2"/>
        <v>0</v>
      </c>
    </row>
    <row r="31" spans="1:19" x14ac:dyDescent="0.25">
      <c r="A31" s="1" t="s">
        <v>33</v>
      </c>
      <c r="B31" s="7">
        <f>IF(D31=0,0,VLOOKUP($A31,[8]HISTOFEV22!$A$6:$AZ$36,9,0))</f>
        <v>1</v>
      </c>
      <c r="C31" s="1" t="str">
        <f>VLOOKUP(A31,[9]LISTADHERENT!A$5:H$60,3,0)</f>
        <v>YOUMBI EMMANUEL</v>
      </c>
      <c r="D31" s="7">
        <f t="shared" si="1"/>
        <v>23000</v>
      </c>
      <c r="E31" s="7">
        <f>D31+VLOOKUP($A31,[10]HISTOFEV22!$A$7:$AU$38,45,0)+F31</f>
        <v>30000</v>
      </c>
      <c r="F31" s="7">
        <f>VLOOKUP($A31,[10]HISTOFEV22!$A$7:$AU$38,7,0)</f>
        <v>0</v>
      </c>
      <c r="G31" s="7" t="str">
        <f>VLOOKUP($A31,[10]HISTOFEV22!$A$7:$AU$38,8,0)</f>
        <v>BANQUE</v>
      </c>
      <c r="H31" s="7">
        <f>VLOOKUP($A31,[10]HISTOFEV22!$A$7:$AU$38,35,0)</f>
        <v>0</v>
      </c>
      <c r="I31" s="7">
        <f>VLOOKUP($A31,[10]HISTOFEV22!$A$7:$AU$38,38,0)</f>
        <v>0</v>
      </c>
      <c r="J31" s="7">
        <f>IF(I31=0,0,VLOOKUP($A31,[10]HISTOFEV22!$A$7:$AU$38,42,0))</f>
        <v>0</v>
      </c>
      <c r="K31" s="7">
        <f>VLOOKUP($A31,[10]HISTOFEV22!$A$7:$AU$38,41,0)</f>
        <v>0</v>
      </c>
      <c r="L31" s="7">
        <f>TONTJANV22!H31+TONTJANV22!I31</f>
        <v>0</v>
      </c>
      <c r="M31" s="7">
        <f>VLOOKUP($A31,[10]HISTOFEV22!$A$7:$AU$38,16,0)</f>
        <v>0</v>
      </c>
      <c r="N31" s="7" t="str">
        <f>IF(M31&lt;&gt;0,VLOOKUP($A31,[10]HISTOFEV22!$A$7:$AU$38,8,0),"ECHEC")</f>
        <v>ECHEC</v>
      </c>
      <c r="O31" s="7">
        <f>IF(R31=0,0,VLOOKUP($A31,[10]HISTOFEV22!$A$7:$AU$38,32,0))</f>
        <v>0</v>
      </c>
      <c r="P31" s="7">
        <f>VLOOKUP($A31,[10]HISTOFEV22!$A$7:$AU$38,33,0)</f>
        <v>0</v>
      </c>
      <c r="Q31" s="7">
        <f t="shared" si="0"/>
        <v>0</v>
      </c>
      <c r="R31" s="7">
        <f>VLOOKUP($A31,[10]HISTOFEV22!$A$7:$AU$38,29,0)</f>
        <v>0</v>
      </c>
      <c r="S31" s="21">
        <f t="shared" si="2"/>
        <v>0</v>
      </c>
    </row>
    <row r="32" spans="1:19" x14ac:dyDescent="0.25">
      <c r="A32" s="1"/>
    </row>
    <row r="33" spans="1:19" ht="18" x14ac:dyDescent="0.25">
      <c r="A33" s="1" t="s">
        <v>94</v>
      </c>
      <c r="B33" s="8">
        <f>SUM(B6:B32)</f>
        <v>26</v>
      </c>
      <c r="I33" s="9"/>
    </row>
    <row r="34" spans="1:19" ht="18" x14ac:dyDescent="0.25">
      <c r="A34" s="1" t="s">
        <v>93</v>
      </c>
      <c r="B34" s="19">
        <f>COUNT(D6:D31)</f>
        <v>26</v>
      </c>
      <c r="C34" s="8"/>
      <c r="D34" s="8">
        <f>SUM(D6:D33)</f>
        <v>598000</v>
      </c>
      <c r="E34" s="8">
        <f>SUM(E6:E33)</f>
        <v>911000</v>
      </c>
      <c r="F34" s="8">
        <f>SUM(F6:F33)</f>
        <v>12000</v>
      </c>
      <c r="G34" s="8"/>
      <c r="H34" s="8">
        <f t="shared" ref="H34:S34" si="3">SUM(H6:H33)</f>
        <v>151500</v>
      </c>
      <c r="I34" s="8">
        <f t="shared" si="3"/>
        <v>2500</v>
      </c>
      <c r="J34" s="8">
        <f t="shared" si="3"/>
        <v>0</v>
      </c>
      <c r="K34" s="8">
        <f t="shared" si="3"/>
        <v>0</v>
      </c>
      <c r="L34" s="8">
        <f t="shared" si="3"/>
        <v>80500</v>
      </c>
      <c r="M34" s="8">
        <f t="shared" si="3"/>
        <v>80500</v>
      </c>
      <c r="N34" s="8">
        <f t="shared" si="3"/>
        <v>0</v>
      </c>
      <c r="O34" s="8">
        <f t="shared" si="3"/>
        <v>0</v>
      </c>
      <c r="P34" s="8">
        <f t="shared" si="3"/>
        <v>0</v>
      </c>
      <c r="Q34" s="8">
        <f t="shared" si="3"/>
        <v>527000</v>
      </c>
      <c r="R34" s="8">
        <f t="shared" si="3"/>
        <v>73000</v>
      </c>
      <c r="S34" s="8">
        <f t="shared" si="3"/>
        <v>27000</v>
      </c>
    </row>
    <row r="35" spans="1:19" s="2" customFormat="1" ht="29.25" x14ac:dyDescent="0.25">
      <c r="B35"/>
      <c r="C35"/>
      <c r="D35"/>
      <c r="E35"/>
      <c r="F35"/>
      <c r="G35"/>
      <c r="H35"/>
      <c r="I35" s="9"/>
      <c r="J35" s="3"/>
      <c r="K35" s="3"/>
      <c r="L35" s="3"/>
      <c r="N35" s="4" t="s">
        <v>80</v>
      </c>
      <c r="O35" s="4" t="s">
        <v>95</v>
      </c>
      <c r="P35" s="3"/>
    </row>
    <row r="36" spans="1:19" s="2" customFormat="1" ht="29.25" x14ac:dyDescent="0.25">
      <c r="D36" s="4" t="s">
        <v>5</v>
      </c>
      <c r="E36" s="4" t="s">
        <v>7</v>
      </c>
      <c r="F36"/>
      <c r="G36" s="4" t="s">
        <v>40</v>
      </c>
      <c r="H36" s="4" t="s">
        <v>44</v>
      </c>
      <c r="I36" s="4" t="s">
        <v>46</v>
      </c>
      <c r="J36" s="4" t="s">
        <v>47</v>
      </c>
      <c r="K36" s="4"/>
      <c r="L36" s="8" t="s">
        <v>97</v>
      </c>
      <c r="M36" s="8">
        <f>D40+G40+R34+TONTJANV22!O41</f>
        <v>751500</v>
      </c>
      <c r="N36" s="4"/>
      <c r="O36"/>
      <c r="P36" s="4"/>
    </row>
    <row r="37" spans="1:19" s="2" customFormat="1" ht="18" x14ac:dyDescent="0.25">
      <c r="D37" s="8">
        <f>SUMIFS(D6:D33,G6:G33,"ESPECES")</f>
        <v>0</v>
      </c>
      <c r="E37" s="8">
        <f>SUMIFS(E6:E33,G6:G33,"ESPECES")</f>
        <v>0</v>
      </c>
      <c r="F37" s="8" t="s">
        <v>36</v>
      </c>
      <c r="G37" s="8">
        <f>SUMIFS(M6:M27,N6:N27,"ESPECES")</f>
        <v>0</v>
      </c>
      <c r="H37" s="8">
        <f>SUMIFS(H6:H33,J6:J33,"ESPECES")</f>
        <v>0</v>
      </c>
      <c r="I37" s="8">
        <f>SUMIFS(Q6:Q33,O6:O33,"ESPECES")</f>
        <v>0</v>
      </c>
      <c r="J37" s="8">
        <f>D37+G37-H37-I37</f>
        <v>0</v>
      </c>
      <c r="K37" s="8"/>
      <c r="L37" s="8" t="s">
        <v>84</v>
      </c>
      <c r="M37" s="8">
        <f>C3*COUNTIF(Q6:Q33,"&gt;0")</f>
        <v>600000</v>
      </c>
      <c r="N37" s="8">
        <f>D3</f>
        <v>2</v>
      </c>
      <c r="O37" s="8">
        <f>COUNTIF(Q6:Q31,"&gt;0")</f>
        <v>2</v>
      </c>
      <c r="P37" s="8"/>
    </row>
    <row r="38" spans="1:19" s="2" customFormat="1" ht="18" x14ac:dyDescent="0.25">
      <c r="D38" s="8">
        <f>SUMIFS(D6:D33,G6:G33,"BANQUE")</f>
        <v>598000</v>
      </c>
      <c r="E38" s="8">
        <f>SUMIFS(E6:E34,G6:G34,"BANQUE")</f>
        <v>911000</v>
      </c>
      <c r="F38" s="8" t="s">
        <v>37</v>
      </c>
      <c r="G38" s="8">
        <f>SUMIFS(M6:M27,N6:N27,"BANQUE")</f>
        <v>80500</v>
      </c>
      <c r="H38" s="8">
        <f>SUMIFS(H6:H33,J6:J33,"BANQUE")</f>
        <v>151500</v>
      </c>
      <c r="I38" s="8">
        <f>SUMIFS(Q6:Q33,O6:O33,"BANQUE")</f>
        <v>527000</v>
      </c>
      <c r="J38" s="8">
        <f>D38+G38-H38-I38</f>
        <v>0</v>
      </c>
      <c r="K38" s="8"/>
      <c r="M38" s="8"/>
      <c r="N38" s="8"/>
      <c r="O38" s="8"/>
      <c r="P38" s="8"/>
    </row>
    <row r="39" spans="1:19" s="2" customFormat="1" ht="18" x14ac:dyDescent="0.25">
      <c r="D39" s="8"/>
      <c r="E39" s="8"/>
      <c r="F39" s="8"/>
      <c r="G39" s="8"/>
      <c r="H39" s="8"/>
      <c r="I39" s="8"/>
      <c r="K39" s="8"/>
      <c r="L39" s="8" t="s">
        <v>52</v>
      </c>
      <c r="M39" s="8">
        <f>M36-M37</f>
        <v>151500</v>
      </c>
      <c r="N39" s="8"/>
      <c r="O39" s="8"/>
      <c r="P39" s="8"/>
    </row>
    <row r="40" spans="1:19" s="2" customFormat="1" ht="18" x14ac:dyDescent="0.25">
      <c r="D40" s="8">
        <f>D37+D38</f>
        <v>598000</v>
      </c>
      <c r="E40" s="8">
        <f>E37+E38</f>
        <v>911000</v>
      </c>
      <c r="F40" s="8" t="s">
        <v>34</v>
      </c>
      <c r="G40" s="8">
        <f>G37+G38</f>
        <v>80500</v>
      </c>
      <c r="H40" s="8">
        <f>H37+H38</f>
        <v>151500</v>
      </c>
      <c r="I40" s="8">
        <f t="shared" ref="I40:J40" si="4">I37+I38</f>
        <v>527000</v>
      </c>
      <c r="J40" s="8">
        <f t="shared" si="4"/>
        <v>0</v>
      </c>
      <c r="K40" s="8"/>
      <c r="M40" s="8"/>
      <c r="N40" s="8"/>
      <c r="O40" s="8"/>
      <c r="P40" s="8"/>
    </row>
    <row r="41" spans="1:19" s="2" customFormat="1" ht="18" x14ac:dyDescent="0.25">
      <c r="D41" s="8"/>
      <c r="E41" s="8"/>
      <c r="F41" s="8" t="s">
        <v>56</v>
      </c>
      <c r="G41"/>
      <c r="H41"/>
      <c r="I41" s="3"/>
      <c r="J41" s="3"/>
      <c r="K41" s="3"/>
      <c r="L41" s="8" t="s">
        <v>55</v>
      </c>
      <c r="M41" s="8">
        <f>M39-H34</f>
        <v>0</v>
      </c>
      <c r="N41"/>
      <c r="O41" s="8">
        <f>M41</f>
        <v>0</v>
      </c>
      <c r="P41" s="8" t="s">
        <v>58</v>
      </c>
    </row>
    <row r="42" spans="1:19" s="2" customFormat="1" ht="18" x14ac:dyDescent="0.25">
      <c r="D42" s="4"/>
      <c r="E42" s="4"/>
      <c r="F42" s="8"/>
      <c r="G42"/>
      <c r="H42"/>
      <c r="I42" s="3"/>
      <c r="J42" s="3"/>
      <c r="K42" s="3"/>
      <c r="N42"/>
      <c r="O42" s="3"/>
      <c r="P42" s="3"/>
    </row>
    <row r="43" spans="1:19" ht="18" x14ac:dyDescent="0.25">
      <c r="L43" s="8" t="s">
        <v>60</v>
      </c>
      <c r="M43" s="8">
        <f>COUNTIFS(G6:G32,"ECHEC")*23000</f>
        <v>0</v>
      </c>
      <c r="O43" s="8">
        <f>M43+TONTJANV22!O43</f>
        <v>0</v>
      </c>
      <c r="P43" s="8" t="s">
        <v>58</v>
      </c>
    </row>
    <row r="44" spans="1:19" ht="18" x14ac:dyDescent="0.25">
      <c r="F44" s="2"/>
      <c r="L44" s="8" t="s">
        <v>59</v>
      </c>
      <c r="M44" s="8">
        <f>L34-G40</f>
        <v>0</v>
      </c>
      <c r="O44" s="8">
        <f>M44+TONTJANV22!O44</f>
        <v>0</v>
      </c>
      <c r="P44" s="8" t="s">
        <v>58</v>
      </c>
    </row>
  </sheetData>
  <autoFilter ref="A5:R24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>
      <pane xSplit="3" ySplit="5" topLeftCell="H36" activePane="bottomRight" state="frozen"/>
      <selection activeCell="G6" sqref="G6:G39"/>
      <selection pane="topRight" activeCell="G6" sqref="G6:G39"/>
      <selection pane="bottomLeft" activeCell="G6" sqref="G6:G39"/>
      <selection pane="bottomRight" activeCell="J40" sqref="J40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5" width="13" customWidth="1"/>
    <col min="16" max="16" width="15.5703125" style="3" customWidth="1"/>
    <col min="17" max="18" width="18.140625" style="2" customWidth="1"/>
  </cols>
  <sheetData>
    <row r="1" spans="1:19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25">
      <c r="A2" s="1" t="s">
        <v>2</v>
      </c>
      <c r="B2" s="1">
        <v>2022</v>
      </c>
      <c r="C2" s="1" t="s">
        <v>85</v>
      </c>
      <c r="D2" s="1" t="s">
        <v>80</v>
      </c>
      <c r="E2" s="1"/>
      <c r="F2" s="1"/>
      <c r="G2" s="1"/>
      <c r="N2" s="1"/>
      <c r="O2" s="1"/>
    </row>
    <row r="3" spans="1:19" x14ac:dyDescent="0.25">
      <c r="A3" s="1" t="s">
        <v>86</v>
      </c>
      <c r="B3" s="6">
        <v>23000</v>
      </c>
      <c r="C3" s="6">
        <f>B3*13+1000</f>
        <v>300000</v>
      </c>
      <c r="D3" s="1">
        <f>ROUNDDOWN(M36/C3,0)</f>
        <v>2</v>
      </c>
      <c r="E3" s="1"/>
      <c r="F3" s="1"/>
      <c r="G3" s="1"/>
      <c r="N3" s="1"/>
      <c r="O3" s="1"/>
    </row>
    <row r="4" spans="1:19" s="16" customFormat="1" ht="18" x14ac:dyDescent="0.25">
      <c r="B4" s="17"/>
      <c r="C4" s="28">
        <v>44633</v>
      </c>
      <c r="D4" s="29"/>
      <c r="E4" s="29"/>
      <c r="F4" s="29"/>
      <c r="G4" s="29"/>
      <c r="H4" s="29"/>
      <c r="I4" s="29"/>
      <c r="J4" s="29"/>
      <c r="K4" s="29"/>
      <c r="L4" s="29"/>
      <c r="N4" s="18"/>
      <c r="O4" s="18"/>
      <c r="P4" s="18"/>
      <c r="Q4" s="18"/>
    </row>
    <row r="5" spans="1:19" ht="58.5" x14ac:dyDescent="0.3">
      <c r="A5" s="1" t="s">
        <v>3</v>
      </c>
      <c r="B5" s="13" t="s">
        <v>81</v>
      </c>
      <c r="C5" s="1" t="s">
        <v>4</v>
      </c>
      <c r="D5" s="4" t="s">
        <v>5</v>
      </c>
      <c r="E5" s="4" t="s">
        <v>7</v>
      </c>
      <c r="F5" s="1" t="s">
        <v>48</v>
      </c>
      <c r="G5" s="5" t="s">
        <v>6</v>
      </c>
      <c r="H5" s="6" t="s">
        <v>44</v>
      </c>
      <c r="I5" s="4" t="s">
        <v>41</v>
      </c>
      <c r="J5" s="4" t="s">
        <v>45</v>
      </c>
      <c r="K5" s="11" t="s">
        <v>54</v>
      </c>
      <c r="L5" s="4" t="s">
        <v>82</v>
      </c>
      <c r="M5" s="4" t="s">
        <v>40</v>
      </c>
      <c r="N5" s="4" t="s">
        <v>39</v>
      </c>
      <c r="O5" s="4" t="s">
        <v>42</v>
      </c>
      <c r="P5" s="4" t="s">
        <v>54</v>
      </c>
      <c r="Q5" s="4" t="s">
        <v>83</v>
      </c>
      <c r="R5" s="4" t="s">
        <v>43</v>
      </c>
      <c r="S5" s="4" t="s">
        <v>98</v>
      </c>
    </row>
    <row r="6" spans="1:19" x14ac:dyDescent="0.25">
      <c r="A6" s="1" t="s">
        <v>9</v>
      </c>
      <c r="B6" s="7">
        <f>IF(D6=0,0,VLOOKUP($A6,[8]HISTOMARS22!$A$6:$AZ$36,9,0))</f>
        <v>1</v>
      </c>
      <c r="C6" s="1" t="str">
        <f>VLOOKUP(A6,[9]LISTADHERENT!A$5:H$60,3,0)</f>
        <v>BOUTCHOUANG WILLIAM</v>
      </c>
      <c r="D6" s="7">
        <f>IF(G6="ECHEC",0,B$3)</f>
        <v>23000</v>
      </c>
      <c r="E6" s="7">
        <f>D6+VLOOKUP($A6,[10]HISTOMARS22!$A$7:$AU$38,45,0)+F6</f>
        <v>30000</v>
      </c>
      <c r="F6" s="7">
        <f>VLOOKUP($A6,[10]HISTOMARS22!$A$7:$AU$38,7,0)</f>
        <v>0</v>
      </c>
      <c r="G6" s="7" t="str">
        <f>VLOOKUP($A6,[10]HISTOMARS22!$A$7:$AU$38,8,0)</f>
        <v>BANQUE</v>
      </c>
      <c r="H6" s="7">
        <f>VLOOKUP($A6,[10]HISTOMARS22!$A$7:$AU$38,35,0)</f>
        <v>0</v>
      </c>
      <c r="I6" s="7">
        <f>VLOOKUP($A6,[10]HISTOMARS22!$A$7:$AU$38,38,0)</f>
        <v>0</v>
      </c>
      <c r="J6" s="7">
        <f>IF(I6=0,0,VLOOKUP($A6,[10]HISTOMARS22!$A$7:$AU$38,42,0))</f>
        <v>0</v>
      </c>
      <c r="K6" s="7">
        <f>VLOOKUP($A6,[10]HISTOMARS22!$A$7:$AU$38,41,0)</f>
        <v>0</v>
      </c>
      <c r="L6" s="7">
        <f>TONTFEV22!H6+TONTFEV22!I6</f>
        <v>0</v>
      </c>
      <c r="M6" s="7">
        <f>VLOOKUP($A6,[10]HISTOMARS22!$A$7:$AU$38,16,0)</f>
        <v>0</v>
      </c>
      <c r="N6" s="7" t="str">
        <f>IF(M6&lt;&gt;0,VLOOKUP($A6,[10]HISTOMARS22!$A$7:$AU$38,8,0),"ECHEC")</f>
        <v>ECHEC</v>
      </c>
      <c r="O6" s="7">
        <f>IF(R6=0,0,VLOOKUP($A6,[10]HISTOMARS22!$A$7:$AU$38,32,0))</f>
        <v>0</v>
      </c>
      <c r="P6" s="7">
        <f>VLOOKUP($A6,[10]HISTOMARS22!$A$7:$AU$38,33,0)</f>
        <v>0</v>
      </c>
      <c r="Q6" s="7">
        <f t="shared" ref="Q6:Q31" si="0">IF(R6=0,0,($C$3-R6))</f>
        <v>0</v>
      </c>
      <c r="R6" s="7">
        <f>VLOOKUP($A6,[10]HISTOMARS22!$A$7:$AU$38,29,0)</f>
        <v>0</v>
      </c>
      <c r="S6" s="21">
        <f>IF(R6=0,0,(R6-23000))</f>
        <v>0</v>
      </c>
    </row>
    <row r="7" spans="1:19" x14ac:dyDescent="0.25">
      <c r="A7" s="1" t="s">
        <v>10</v>
      </c>
      <c r="B7" s="7">
        <f>IF(D7=0,0,VLOOKUP($A7,[8]HISTOMARS22!$A$6:$AZ$36,9,0))</f>
        <v>1</v>
      </c>
      <c r="C7" s="1" t="str">
        <f>VLOOKUP(A7,[9]LISTADHERENT!A$5:H$60,3,0)</f>
        <v xml:space="preserve">DJOMO JEAN PAUL </v>
      </c>
      <c r="D7" s="7">
        <f t="shared" ref="D7:D31" si="1">IF(G7="ECHEC",0,B$3)</f>
        <v>23000</v>
      </c>
      <c r="E7" s="7">
        <f>D7+VLOOKUP($A7,[10]HISTOMARS22!$A$7:$AU$38,45,0)+F7</f>
        <v>43000</v>
      </c>
      <c r="F7" s="7">
        <f>VLOOKUP($A7,[10]HISTOMARS22!$A$7:$AU$38,7,0)</f>
        <v>3000</v>
      </c>
      <c r="G7" s="7" t="str">
        <f>VLOOKUP($A7,[10]HISTOMARS22!$A$7:$AU$38,8,0)</f>
        <v>ESPECES</v>
      </c>
      <c r="H7" s="7">
        <f>VLOOKUP($A7,[10]HISTOMARS22!$A$7:$AU$38,35,0)</f>
        <v>100000</v>
      </c>
      <c r="I7" s="7">
        <f>VLOOKUP($A7,[10]HISTOMARS22!$A$7:$AU$38,38,0)</f>
        <v>2000</v>
      </c>
      <c r="J7" s="7" t="str">
        <f>IF(I7=0,0,VLOOKUP($A7,[10]HISTOMARS22!$A$7:$AU$38,42,0))</f>
        <v>BANQUE</v>
      </c>
      <c r="K7" s="7">
        <f>VLOOKUP($A7,[10]HISTOMARS22!$A$7:$AU$38,41,0)</f>
        <v>0</v>
      </c>
      <c r="L7" s="7">
        <f>TONTFEV22!H7+TONTFEV22!I7</f>
        <v>0</v>
      </c>
      <c r="M7" s="7">
        <f>VLOOKUP($A7,[10]HISTOMARS22!$A$7:$AU$38,16,0)</f>
        <v>0</v>
      </c>
      <c r="N7" s="7" t="str">
        <f>IF(M7&lt;&gt;0,VLOOKUP($A7,[10]HISTOMARS22!$A$7:$AU$38,8,0),"ECHEC")</f>
        <v>ECHEC</v>
      </c>
      <c r="O7" s="7">
        <f>IF(R7=0,0,VLOOKUP($A7,[10]HISTOMARS22!$A$7:$AU$38,32,0))</f>
        <v>0</v>
      </c>
      <c r="P7" s="7">
        <f>VLOOKUP($A7,[10]HISTOMARS22!$A$7:$AU$38,33,0)</f>
        <v>0</v>
      </c>
      <c r="Q7" s="7">
        <f t="shared" si="0"/>
        <v>0</v>
      </c>
      <c r="R7" s="7">
        <f>VLOOKUP($A7,[10]HISTOMARS22!$A$7:$AU$38,29,0)</f>
        <v>0</v>
      </c>
      <c r="S7" s="21">
        <f t="shared" ref="S7:S31" si="2">IF(R7=0,0,(R7-23000))</f>
        <v>0</v>
      </c>
    </row>
    <row r="8" spans="1:19" x14ac:dyDescent="0.25">
      <c r="A8" s="1" t="s">
        <v>57</v>
      </c>
      <c r="B8" s="7">
        <f>IF(D8=0,0,VLOOKUP($A8,[8]HISTOMARS22!$A$6:$AZ$36,9,0))</f>
        <v>1</v>
      </c>
      <c r="C8" s="1" t="str">
        <f>VLOOKUP(A8,[9]LISTADHERENT!A$5:H$60,3,0)</f>
        <v>DJOMOU TCHANDA</v>
      </c>
      <c r="D8" s="7">
        <f t="shared" si="1"/>
        <v>23000</v>
      </c>
      <c r="E8" s="7">
        <f>D8+VLOOKUP($A8,[10]HISTOMARS22!$A$7:$AU$38,45,0)+F8</f>
        <v>33000</v>
      </c>
      <c r="F8" s="7">
        <f>VLOOKUP($A8,[10]HISTOMARS22!$A$7:$AU$38,7,0)</f>
        <v>3000</v>
      </c>
      <c r="G8" s="7" t="str">
        <f>VLOOKUP($A8,[10]HISTOMARS22!$A$7:$AU$38,8,0)</f>
        <v>ESPECES</v>
      </c>
      <c r="H8" s="7">
        <f>VLOOKUP($A8,[10]HISTOMARS22!$A$7:$AU$38,35,0)</f>
        <v>0</v>
      </c>
      <c r="I8" s="7">
        <f>VLOOKUP($A8,[10]HISTOMARS22!$A$7:$AU$38,38,0)</f>
        <v>0</v>
      </c>
      <c r="J8" s="7">
        <f>IF(I8=0,0,VLOOKUP($A8,[10]HISTOMARS22!$A$7:$AU$38,42,0))</f>
        <v>0</v>
      </c>
      <c r="K8" s="7">
        <f>VLOOKUP($A8,[10]HISTOMARS22!$A$7:$AU$38,41,0)</f>
        <v>0</v>
      </c>
      <c r="L8" s="7">
        <f>TONTFEV22!H8+TONTFEV22!I8</f>
        <v>0</v>
      </c>
      <c r="M8" s="7">
        <f>VLOOKUP($A8,[10]HISTOMARS22!$A$7:$AU$38,16,0)</f>
        <v>0</v>
      </c>
      <c r="N8" s="7" t="str">
        <f>IF(M8&lt;&gt;0,VLOOKUP($A8,[10]HISTOMARS22!$A$7:$AU$38,8,0),"ECHEC")</f>
        <v>ECHEC</v>
      </c>
      <c r="O8" s="7">
        <f>IF(R8=0,0,VLOOKUP($A8,[10]HISTOMARS22!$A$7:$AU$38,32,0))</f>
        <v>0</v>
      </c>
      <c r="P8" s="7">
        <f>VLOOKUP($A8,[10]HISTOMARS22!$A$7:$AU$38,33,0)</f>
        <v>0</v>
      </c>
      <c r="Q8" s="7">
        <f t="shared" si="0"/>
        <v>0</v>
      </c>
      <c r="R8" s="7">
        <f>VLOOKUP($A8,[10]HISTOMARS22!$A$7:$AU$38,29,0)</f>
        <v>0</v>
      </c>
      <c r="S8" s="21">
        <f t="shared" si="2"/>
        <v>0</v>
      </c>
    </row>
    <row r="9" spans="1:19" x14ac:dyDescent="0.25">
      <c r="A9" s="1" t="s">
        <v>11</v>
      </c>
      <c r="B9" s="7">
        <f>IF(D9=0,0,VLOOKUP($A9,[8]HISTOMARS22!$A$6:$AZ$36,9,0))</f>
        <v>1</v>
      </c>
      <c r="C9" s="1" t="str">
        <f>VLOOKUP(A9,[9]LISTADHERENT!A$5:H$60,3,0)</f>
        <v>DJOUKWE NANGUEN GUY BLAISE</v>
      </c>
      <c r="D9" s="7">
        <f t="shared" si="1"/>
        <v>23000</v>
      </c>
      <c r="E9" s="7">
        <f>D9+VLOOKUP($A9,[10]HISTOMARS22!$A$7:$AU$38,45,0)+F9</f>
        <v>30000</v>
      </c>
      <c r="F9" s="7">
        <f>VLOOKUP($A9,[10]HISTOMARS22!$A$7:$AU$38,7,0)</f>
        <v>0</v>
      </c>
      <c r="G9" s="7" t="str">
        <f>VLOOKUP($A9,[10]HISTOMARS22!$A$7:$AU$38,8,0)</f>
        <v>BANQUE</v>
      </c>
      <c r="H9" s="7">
        <f>VLOOKUP($A9,[10]HISTOMARS22!$A$7:$AU$38,35,0)</f>
        <v>0</v>
      </c>
      <c r="I9" s="7">
        <f>VLOOKUP($A9,[10]HISTOMARS22!$A$7:$AU$38,38,0)</f>
        <v>0</v>
      </c>
      <c r="J9" s="7">
        <f>IF(I9=0,0,VLOOKUP($A9,[10]HISTOMARS22!$A$7:$AU$38,42,0))</f>
        <v>0</v>
      </c>
      <c r="K9" s="7">
        <f>VLOOKUP($A9,[10]HISTOMARS22!$A$7:$AU$38,41,0)</f>
        <v>0</v>
      </c>
      <c r="L9" s="7">
        <f>TONTFEV22!H9+TONTFEV22!I9</f>
        <v>0</v>
      </c>
      <c r="M9" s="7">
        <f>VLOOKUP($A9,[10]HISTOMARS22!$A$7:$AU$38,16,0)</f>
        <v>0</v>
      </c>
      <c r="N9" s="7" t="str">
        <f>IF(M9&lt;&gt;0,VLOOKUP($A9,[10]HISTOMARS22!$A$7:$AU$38,8,0),"ECHEC")</f>
        <v>ECHEC</v>
      </c>
      <c r="O9" s="7">
        <f>IF(R9=0,0,VLOOKUP($A9,[10]HISTOMARS22!$A$7:$AU$38,32,0))</f>
        <v>0</v>
      </c>
      <c r="P9" s="7">
        <f>VLOOKUP($A9,[10]HISTOMARS22!$A$7:$AU$38,33,0)</f>
        <v>0</v>
      </c>
      <c r="Q9" s="7">
        <f t="shared" si="0"/>
        <v>0</v>
      </c>
      <c r="R9" s="7">
        <f>VLOOKUP($A9,[10]HISTOMARS22!$A$7:$AU$38,29,0)</f>
        <v>0</v>
      </c>
      <c r="S9" s="21">
        <f t="shared" si="2"/>
        <v>0</v>
      </c>
    </row>
    <row r="10" spans="1:19" x14ac:dyDescent="0.25">
      <c r="A10" s="1" t="s">
        <v>12</v>
      </c>
      <c r="B10" s="7">
        <f>IF(D10=0,0,VLOOKUP($A10,[8]HISTOMARS22!$A$6:$AZ$36,9,0))</f>
        <v>1</v>
      </c>
      <c r="C10" s="1" t="str">
        <f>VLOOKUP(A10,[9]LISTADHERENT!A$5:H$60,3,0)</f>
        <v>DJUOMBESSY ANTOINE</v>
      </c>
      <c r="D10" s="7">
        <f t="shared" si="1"/>
        <v>23000</v>
      </c>
      <c r="E10" s="7">
        <f>D10+VLOOKUP($A10,[10]HISTOMARS22!$A$7:$AU$38,45,0)+F10</f>
        <v>30000</v>
      </c>
      <c r="F10" s="7">
        <f>VLOOKUP($A10,[10]HISTOMARS22!$A$7:$AU$38,7,0)</f>
        <v>0</v>
      </c>
      <c r="G10" s="7" t="str">
        <f>VLOOKUP($A10,[10]HISTOMARS22!$A$7:$AU$38,8,0)</f>
        <v>BANQUE</v>
      </c>
      <c r="H10" s="7">
        <f>VLOOKUP($A10,[10]HISTOMARS22!$A$7:$AU$38,35,0)</f>
        <v>0</v>
      </c>
      <c r="I10" s="7">
        <f>VLOOKUP($A10,[10]HISTOMARS22!$A$7:$AU$38,38,0)</f>
        <v>0</v>
      </c>
      <c r="J10" s="7">
        <f>IF(I10=0,0,VLOOKUP($A10,[10]HISTOMARS22!$A$7:$AU$38,42,0))</f>
        <v>0</v>
      </c>
      <c r="K10" s="7">
        <f>VLOOKUP($A10,[10]HISTOMARS22!$A$7:$AU$38,41,0)</f>
        <v>0</v>
      </c>
      <c r="L10" s="7">
        <f>TONTFEV22!H10+TONTFEV22!I10</f>
        <v>0</v>
      </c>
      <c r="M10" s="7">
        <f>VLOOKUP($A10,[10]HISTOMARS22!$A$7:$AU$38,16,0)</f>
        <v>0</v>
      </c>
      <c r="N10" s="7" t="str">
        <f>IF(M10&lt;&gt;0,VLOOKUP($A10,[10]HISTOMARS22!$A$7:$AU$38,8,0),"ECHEC")</f>
        <v>ECHEC</v>
      </c>
      <c r="O10" s="7">
        <f>IF(R10=0,0,VLOOKUP($A10,[10]HISTOMARS22!$A$7:$AU$38,32,0))</f>
        <v>0</v>
      </c>
      <c r="P10" s="7">
        <f>VLOOKUP($A10,[10]HISTOMARS22!$A$7:$AU$38,33,0)</f>
        <v>0</v>
      </c>
      <c r="Q10" s="7">
        <f t="shared" si="0"/>
        <v>0</v>
      </c>
      <c r="R10" s="7">
        <f>VLOOKUP($A10,[10]HISTOMARS22!$A$7:$AU$38,29,0)</f>
        <v>0</v>
      </c>
      <c r="S10" s="21">
        <f t="shared" si="2"/>
        <v>0</v>
      </c>
    </row>
    <row r="11" spans="1:19" x14ac:dyDescent="0.25">
      <c r="A11" s="1" t="s">
        <v>50</v>
      </c>
      <c r="B11" s="7">
        <f>IF(D11=0,0,VLOOKUP($A11,[8]HISTOMARS22!$A$6:$AZ$36,9,0))</f>
        <v>1</v>
      </c>
      <c r="C11" s="1" t="str">
        <f>VLOOKUP(A11,[9]LISTADHERENT!A$5:H$60,3,0)</f>
        <v>DOMOU FABIEN</v>
      </c>
      <c r="D11" s="7">
        <f t="shared" si="1"/>
        <v>23000</v>
      </c>
      <c r="E11" s="7">
        <f>D11+VLOOKUP($A11,[10]HISTOMARS22!$A$7:$AU$38,45,0)+F11</f>
        <v>35000</v>
      </c>
      <c r="F11" s="7">
        <f>VLOOKUP($A11,[10]HISTOMARS22!$A$7:$AU$38,7,0)</f>
        <v>0</v>
      </c>
      <c r="G11" s="7" t="str">
        <f>VLOOKUP($A11,[10]HISTOMARS22!$A$7:$AU$38,8,0)</f>
        <v>BANQUE</v>
      </c>
      <c r="H11" s="7">
        <f>VLOOKUP($A11,[10]HISTOMARS22!$A$7:$AU$38,35,0)</f>
        <v>0</v>
      </c>
      <c r="I11" s="7">
        <f>VLOOKUP($A11,[10]HISTOMARS22!$A$7:$AU$38,38,0)</f>
        <v>0</v>
      </c>
      <c r="J11" s="7">
        <f>IF(I11=0,0,VLOOKUP($A11,[10]HISTOMARS22!$A$7:$AU$38,42,0))</f>
        <v>0</v>
      </c>
      <c r="K11" s="7">
        <f>VLOOKUP($A11,[10]HISTOMARS22!$A$7:$AU$38,41,0)</f>
        <v>0</v>
      </c>
      <c r="L11" s="7">
        <f>TONTFEV22!H11+TONTFEV22!I11</f>
        <v>0</v>
      </c>
      <c r="M11" s="7">
        <f>VLOOKUP($A11,[10]HISTOMARS22!$A$7:$AU$38,16,0)</f>
        <v>0</v>
      </c>
      <c r="N11" s="7" t="str">
        <f>IF(M11&lt;&gt;0,VLOOKUP($A11,[10]HISTOMARS22!$A$7:$AU$38,8,0),"ECHEC")</f>
        <v>ECHEC</v>
      </c>
      <c r="O11" s="7">
        <f>IF(R11=0,0,VLOOKUP($A11,[10]HISTOMARS22!$A$7:$AU$38,32,0))</f>
        <v>0</v>
      </c>
      <c r="P11" s="7">
        <f>VLOOKUP($A11,[10]HISTOMARS22!$A$7:$AU$38,33,0)</f>
        <v>0</v>
      </c>
      <c r="Q11" s="7">
        <f t="shared" si="0"/>
        <v>0</v>
      </c>
      <c r="R11" s="7">
        <f>VLOOKUP($A11,[10]HISTOMARS22!$A$7:$AU$38,29,0)</f>
        <v>0</v>
      </c>
      <c r="S11" s="21">
        <f t="shared" si="2"/>
        <v>0</v>
      </c>
    </row>
    <row r="12" spans="1:19" x14ac:dyDescent="0.25">
      <c r="A12" s="1" t="s">
        <v>13</v>
      </c>
      <c r="B12" s="7">
        <f>IF(D12=0,0,VLOOKUP($A12,[8]HISTOMARS22!$A$6:$AZ$36,9,0))</f>
        <v>1</v>
      </c>
      <c r="C12" s="1" t="str">
        <f>VLOOKUP(A12,[9]LISTADHERENT!A$5:H$60,3,0)</f>
        <v>DONHOU DAVID</v>
      </c>
      <c r="D12" s="7">
        <f t="shared" si="1"/>
        <v>23000</v>
      </c>
      <c r="E12" s="7">
        <f>D12+VLOOKUP($A12,[10]HISTOMARS22!$A$7:$AU$38,45,0)+F12</f>
        <v>38000</v>
      </c>
      <c r="F12" s="7">
        <f>VLOOKUP($A12,[10]HISTOMARS22!$A$7:$AU$38,7,0)</f>
        <v>3000</v>
      </c>
      <c r="G12" s="7" t="str">
        <f>VLOOKUP($A12,[10]HISTOMARS22!$A$7:$AU$38,8,0)</f>
        <v>ESPECES</v>
      </c>
      <c r="H12" s="7">
        <f>VLOOKUP($A12,[10]HISTOMARS22!$A$7:$AU$38,35,0)</f>
        <v>0</v>
      </c>
      <c r="I12" s="7">
        <f>VLOOKUP($A12,[10]HISTOMARS22!$A$7:$AU$38,38,0)</f>
        <v>0</v>
      </c>
      <c r="J12" s="7">
        <f>IF(I12=0,0,VLOOKUP($A12,[10]HISTOMARS22!$A$7:$AU$38,42,0))</f>
        <v>0</v>
      </c>
      <c r="K12" s="7">
        <f>VLOOKUP($A12,[10]HISTOMARS22!$A$7:$AU$38,41,0)</f>
        <v>0</v>
      </c>
      <c r="L12" s="7">
        <f>TONTFEV22!H12+TONTFEV22!I12</f>
        <v>0</v>
      </c>
      <c r="M12" s="7">
        <f>VLOOKUP($A12,[10]HISTOMARS22!$A$7:$AU$38,16,0)</f>
        <v>0</v>
      </c>
      <c r="N12" s="7" t="str">
        <f>IF(M12&lt;&gt;0,VLOOKUP($A12,[10]HISTOMARS22!$A$7:$AU$38,8,0),"ECHEC")</f>
        <v>ECHEC</v>
      </c>
      <c r="O12" s="7">
        <f>IF(R12=0,0,VLOOKUP($A12,[10]HISTOMARS22!$A$7:$AU$38,32,0))</f>
        <v>0</v>
      </c>
      <c r="P12" s="7">
        <f>VLOOKUP($A12,[10]HISTOMARS22!$A$7:$AU$38,33,0)</f>
        <v>0</v>
      </c>
      <c r="Q12" s="7">
        <f t="shared" si="0"/>
        <v>0</v>
      </c>
      <c r="R12" s="7">
        <f>VLOOKUP($A12,[10]HISTOMARS22!$A$7:$AU$38,29,0)</f>
        <v>0</v>
      </c>
      <c r="S12" s="21">
        <f t="shared" si="2"/>
        <v>0</v>
      </c>
    </row>
    <row r="13" spans="1:19" x14ac:dyDescent="0.25">
      <c r="A13" s="1" t="s">
        <v>15</v>
      </c>
      <c r="B13" s="7">
        <f>IF(D13=0,0,VLOOKUP($A13,[8]HISTOMARS22!$A$6:$AZ$36,9,0))</f>
        <v>1</v>
      </c>
      <c r="C13" s="1" t="str">
        <f>VLOOKUP(A13,[9]LISTADHERENT!A$5:H$60,3,0)</f>
        <v>HENGUE PAUL OMER</v>
      </c>
      <c r="D13" s="7">
        <f t="shared" si="1"/>
        <v>23000</v>
      </c>
      <c r="E13" s="7">
        <f>D13+VLOOKUP($A13,[10]HISTOMARS22!$A$7:$AU$38,45,0)+F13</f>
        <v>30000</v>
      </c>
      <c r="F13" s="7">
        <f>VLOOKUP($A13,[10]HISTOMARS22!$A$7:$AU$38,7,0)</f>
        <v>0</v>
      </c>
      <c r="G13" s="7" t="str">
        <f>VLOOKUP($A13,[10]HISTOMARS22!$A$7:$AU$38,8,0)</f>
        <v>BANQUE</v>
      </c>
      <c r="H13" s="7">
        <f>VLOOKUP($A13,[10]HISTOMARS22!$A$7:$AU$38,35,0)</f>
        <v>0</v>
      </c>
      <c r="I13" s="7">
        <f>VLOOKUP($A13,[10]HISTOMARS22!$A$7:$AU$38,38,0)</f>
        <v>0</v>
      </c>
      <c r="J13" s="7">
        <f>IF(I13=0,0,VLOOKUP($A13,[10]HISTOMARS22!$A$7:$AU$38,42,0))</f>
        <v>0</v>
      </c>
      <c r="K13" s="7">
        <f>VLOOKUP($A13,[10]HISTOMARS22!$A$7:$AU$38,41,0)</f>
        <v>0</v>
      </c>
      <c r="L13" s="7">
        <f>TONTFEV22!H13+TONTFEV22!I13</f>
        <v>0</v>
      </c>
      <c r="M13" s="7">
        <f>VLOOKUP($A13,[10]HISTOMARS22!$A$7:$AU$38,16,0)</f>
        <v>0</v>
      </c>
      <c r="N13" s="7" t="str">
        <f>IF(M13&lt;&gt;0,VLOOKUP($A13,[10]HISTOMARS22!$A$7:$AU$38,8,0),"ECHEC")</f>
        <v>ECHEC</v>
      </c>
      <c r="O13" s="7">
        <f>IF(R13=0,0,VLOOKUP($A13,[10]HISTOMARS22!$A$7:$AU$38,32,0))</f>
        <v>0</v>
      </c>
      <c r="P13" s="7">
        <f>VLOOKUP($A13,[10]HISTOMARS22!$A$7:$AU$38,33,0)</f>
        <v>0</v>
      </c>
      <c r="Q13" s="7">
        <f t="shared" si="0"/>
        <v>0</v>
      </c>
      <c r="R13" s="7">
        <f>VLOOKUP($A13,[10]HISTOMARS22!$A$7:$AU$38,29,0)</f>
        <v>0</v>
      </c>
      <c r="S13" s="21">
        <f t="shared" si="2"/>
        <v>0</v>
      </c>
    </row>
    <row r="14" spans="1:19" x14ac:dyDescent="0.25">
      <c r="A14" s="1" t="s">
        <v>16</v>
      </c>
      <c r="B14" s="7">
        <f>IF(D14=0,0,VLOOKUP($A14,[8]HISTOMARS22!$A$6:$AZ$36,9,0))</f>
        <v>1</v>
      </c>
      <c r="C14" s="1" t="str">
        <f>VLOOKUP(A14,[9]LISTADHERENT!A$5:H$60,3,0)</f>
        <v>HOTCHO BENJAMIN</v>
      </c>
      <c r="D14" s="7">
        <f t="shared" si="1"/>
        <v>23000</v>
      </c>
      <c r="E14" s="7">
        <f>D14+VLOOKUP($A14,[10]HISTOMARS22!$A$7:$AU$38,45,0)+F14</f>
        <v>75000</v>
      </c>
      <c r="F14" s="7">
        <f>VLOOKUP($A14,[10]HISTOMARS22!$A$7:$AU$38,7,0)</f>
        <v>0</v>
      </c>
      <c r="G14" s="7" t="str">
        <f>VLOOKUP($A14,[10]HISTOMARS22!$A$7:$AU$38,8,0)</f>
        <v>BANQUE</v>
      </c>
      <c r="H14" s="7">
        <f>VLOOKUP($A14,[10]HISTOMARS22!$A$7:$AU$38,35,0)</f>
        <v>0</v>
      </c>
      <c r="I14" s="7">
        <f>VLOOKUP($A14,[10]HISTOMARS22!$A$7:$AU$38,38,0)</f>
        <v>0</v>
      </c>
      <c r="J14" s="7">
        <f>IF(I14=0,0,VLOOKUP($A14,[10]HISTOMARS22!$A$7:$AU$38,42,0))</f>
        <v>0</v>
      </c>
      <c r="K14" s="7">
        <f>VLOOKUP($A14,[10]HISTOMARS22!$A$7:$AU$38,41,0)</f>
        <v>0</v>
      </c>
      <c r="L14" s="7">
        <f>TONTFEV22!H14+TONTFEV22!I14</f>
        <v>0</v>
      </c>
      <c r="M14" s="7">
        <f>VLOOKUP($A14,[10]HISTOMARS22!$A$7:$AU$38,16,0)</f>
        <v>0</v>
      </c>
      <c r="N14" s="7" t="str">
        <f>IF(M14&lt;&gt;0,VLOOKUP($A14,[10]HISTOMARS22!$A$7:$AU$38,8,0),"ECHEC")</f>
        <v>ECHEC</v>
      </c>
      <c r="O14" s="7">
        <f>IF(R14=0,0,VLOOKUP($A14,[10]HISTOMARS22!$A$7:$AU$38,32,0))</f>
        <v>0</v>
      </c>
      <c r="P14" s="7">
        <f>VLOOKUP($A14,[10]HISTOMARS22!$A$7:$AU$38,33,0)</f>
        <v>0</v>
      </c>
      <c r="Q14" s="7">
        <f t="shared" si="0"/>
        <v>0</v>
      </c>
      <c r="R14" s="7">
        <f>VLOOKUP($A14,[10]HISTOMARS22!$A$7:$AU$38,29,0)</f>
        <v>0</v>
      </c>
      <c r="S14" s="21">
        <f t="shared" si="2"/>
        <v>0</v>
      </c>
    </row>
    <row r="15" spans="1:19" x14ac:dyDescent="0.25">
      <c r="A15" s="1" t="s">
        <v>17</v>
      </c>
      <c r="B15" s="7">
        <f>IF(D15=0,0,VLOOKUP($A15,[8]HISTOMARS22!$A$6:$AZ$36,9,0))</f>
        <v>1</v>
      </c>
      <c r="C15" s="1" t="str">
        <f>VLOOKUP(A15,[9]LISTADHERENT!A$5:H$60,3,0)</f>
        <v>KOUAMOU MOISE</v>
      </c>
      <c r="D15" s="7">
        <f t="shared" si="1"/>
        <v>23000</v>
      </c>
      <c r="E15" s="7">
        <f>D15+VLOOKUP($A15,[10]HISTOMARS22!$A$7:$AU$38,45,0)+F15</f>
        <v>30000</v>
      </c>
      <c r="F15" s="7">
        <f>VLOOKUP($A15,[10]HISTOMARS22!$A$7:$AU$38,7,0)</f>
        <v>0</v>
      </c>
      <c r="G15" s="7" t="str">
        <f>VLOOKUP($A15,[10]HISTOMARS22!$A$7:$AU$38,8,0)</f>
        <v>BANQUE</v>
      </c>
      <c r="H15" s="7">
        <f>VLOOKUP($A15,[10]HISTOMARS22!$A$7:$AU$38,35,0)</f>
        <v>0</v>
      </c>
      <c r="I15" s="7">
        <f>VLOOKUP($A15,[10]HISTOMARS22!$A$7:$AU$38,38,0)</f>
        <v>0</v>
      </c>
      <c r="J15" s="7">
        <f>IF(I15=0,0,VLOOKUP($A15,[10]HISTOMARS22!$A$7:$AU$38,42,0))</f>
        <v>0</v>
      </c>
      <c r="K15" s="7">
        <f>VLOOKUP($A15,[10]HISTOMARS22!$A$7:$AU$38,41,0)</f>
        <v>0</v>
      </c>
      <c r="L15" s="7">
        <f>TONTFEV22!H15+TONTFEV22!I15</f>
        <v>0</v>
      </c>
      <c r="M15" s="7">
        <f>VLOOKUP($A15,[10]HISTOMARS22!$A$7:$AU$38,16,0)</f>
        <v>0</v>
      </c>
      <c r="N15" s="7" t="str">
        <f>IF(M15&lt;&gt;0,VLOOKUP($A15,[10]HISTOMARS22!$A$7:$AU$38,8,0),"ECHEC")</f>
        <v>ECHEC</v>
      </c>
      <c r="O15" s="7">
        <f>IF(R15=0,0,VLOOKUP($A15,[10]HISTOMARS22!$A$7:$AU$38,32,0))</f>
        <v>0</v>
      </c>
      <c r="P15" s="7">
        <f>VLOOKUP($A15,[10]HISTOMARS22!$A$7:$AU$38,33,0)</f>
        <v>0</v>
      </c>
      <c r="Q15" s="7">
        <f t="shared" si="0"/>
        <v>0</v>
      </c>
      <c r="R15" s="7">
        <f>VLOOKUP($A15,[10]HISTOMARS22!$A$7:$AU$38,29,0)</f>
        <v>0</v>
      </c>
      <c r="S15" s="21">
        <f t="shared" si="2"/>
        <v>0</v>
      </c>
    </row>
    <row r="16" spans="1:19" x14ac:dyDescent="0.25">
      <c r="A16" s="1" t="s">
        <v>18</v>
      </c>
      <c r="B16" s="7">
        <f>IF(D16=0,0,VLOOKUP($A16,[8]HISTOMARS22!$A$6:$AZ$36,9,0))</f>
        <v>1</v>
      </c>
      <c r="C16" s="1" t="str">
        <f>VLOOKUP(A16,[9]LISTADHERENT!A$5:H$60,3,0)</f>
        <v>KOUATCHO MESSACK</v>
      </c>
      <c r="D16" s="7">
        <f t="shared" si="1"/>
        <v>23000</v>
      </c>
      <c r="E16" s="7">
        <f>D16+VLOOKUP($A16,[10]HISTOMARS22!$A$7:$AU$38,45,0)+F16</f>
        <v>30000</v>
      </c>
      <c r="F16" s="7">
        <f>VLOOKUP($A16,[10]HISTOMARS22!$A$7:$AU$38,7,0)</f>
        <v>0</v>
      </c>
      <c r="G16" s="7" t="str">
        <f>VLOOKUP($A16,[10]HISTOMARS22!$A$7:$AU$38,8,0)</f>
        <v>BANQUE</v>
      </c>
      <c r="H16" s="7">
        <f>VLOOKUP($A16,[10]HISTOMARS22!$A$7:$AU$38,35,0)</f>
        <v>0</v>
      </c>
      <c r="I16" s="7">
        <f>VLOOKUP($A16,[10]HISTOMARS22!$A$7:$AU$38,38,0)</f>
        <v>0</v>
      </c>
      <c r="J16" s="7">
        <f>IF(I16=0,0,VLOOKUP($A16,[10]HISTOMARS22!$A$7:$AU$38,42,0))</f>
        <v>0</v>
      </c>
      <c r="K16" s="7">
        <f>VLOOKUP($A16,[10]HISTOMARS22!$A$7:$AU$38,41,0)</f>
        <v>0</v>
      </c>
      <c r="L16" s="7">
        <f>TONTFEV22!H16+TONTFEV22!I16</f>
        <v>0</v>
      </c>
      <c r="M16" s="7">
        <f>VLOOKUP($A16,[10]HISTOMARS22!$A$7:$AU$38,16,0)</f>
        <v>0</v>
      </c>
      <c r="N16" s="7" t="str">
        <f>IF(M16&lt;&gt;0,VLOOKUP($A16,[10]HISTOMARS22!$A$7:$AU$38,8,0),"ECHEC")</f>
        <v>ECHEC</v>
      </c>
      <c r="O16" s="7">
        <f>IF(R16=0,0,VLOOKUP($A16,[10]HISTOMARS22!$A$7:$AU$38,32,0))</f>
        <v>0</v>
      </c>
      <c r="P16" s="7">
        <f>VLOOKUP($A16,[10]HISTOMARS22!$A$7:$AU$38,33,0)</f>
        <v>0</v>
      </c>
      <c r="Q16" s="7">
        <f t="shared" si="0"/>
        <v>0</v>
      </c>
      <c r="R16" s="7">
        <f>VLOOKUP($A16,[10]HISTOMARS22!$A$7:$AU$38,29,0)</f>
        <v>0</v>
      </c>
      <c r="S16" s="21">
        <f t="shared" si="2"/>
        <v>0</v>
      </c>
    </row>
    <row r="17" spans="1:19" x14ac:dyDescent="0.25">
      <c r="A17" s="1" t="s">
        <v>19</v>
      </c>
      <c r="B17" s="7">
        <f>IF(D17=0,0,VLOOKUP($A17,[8]HISTOMARS22!$A$6:$AZ$36,9,0))</f>
        <v>1</v>
      </c>
      <c r="C17" s="1" t="str">
        <f>VLOOKUP(A17,[9]LISTADHERENT!A$5:H$60,3,0)</f>
        <v>LOWE JEAN</v>
      </c>
      <c r="D17" s="7">
        <f t="shared" si="1"/>
        <v>23000</v>
      </c>
      <c r="E17" s="7">
        <f>D17+VLOOKUP($A17,[10]HISTOMARS22!$A$7:$AU$38,45,0)+F17</f>
        <v>30000</v>
      </c>
      <c r="F17" s="7">
        <f>VLOOKUP($A17,[10]HISTOMARS22!$A$7:$AU$38,7,0)</f>
        <v>0</v>
      </c>
      <c r="G17" s="7" t="str">
        <f>VLOOKUP($A17,[10]HISTOMARS22!$A$7:$AU$38,8,0)</f>
        <v>BANQUE</v>
      </c>
      <c r="H17" s="7">
        <f>VLOOKUP($A17,[10]HISTOMARS22!$A$7:$AU$38,35,0)</f>
        <v>0</v>
      </c>
      <c r="I17" s="7">
        <f>VLOOKUP($A17,[10]HISTOMARS22!$A$7:$AU$38,38,0)</f>
        <v>0</v>
      </c>
      <c r="J17" s="7">
        <f>IF(I17=0,0,VLOOKUP($A17,[10]HISTOMARS22!$A$7:$AU$38,42,0))</f>
        <v>0</v>
      </c>
      <c r="K17" s="7">
        <f>VLOOKUP($A17,[10]HISTOMARS22!$A$7:$AU$38,41,0)</f>
        <v>0</v>
      </c>
      <c r="L17" s="7">
        <f>TONTFEV22!H17+TONTFEV22!I17</f>
        <v>0</v>
      </c>
      <c r="M17" s="7">
        <f>VLOOKUP($A17,[10]HISTOMARS22!$A$7:$AU$38,16,0)</f>
        <v>0</v>
      </c>
      <c r="N17" s="7" t="str">
        <f>IF(M17&lt;&gt;0,VLOOKUP($A17,[10]HISTOMARS22!$A$7:$AU$38,8,0),"ECHEC")</f>
        <v>ECHEC</v>
      </c>
      <c r="O17" s="7" t="str">
        <f>IF(R17=0,0,VLOOKUP($A17,[10]HISTOMARS22!$A$7:$AU$38,32,0))</f>
        <v>BANQUE</v>
      </c>
      <c r="P17" s="7">
        <f>VLOOKUP($A17,[10]HISTOMARS22!$A$7:$AU$38,33,0)</f>
        <v>0</v>
      </c>
      <c r="Q17" s="7">
        <f t="shared" si="0"/>
        <v>266000</v>
      </c>
      <c r="R17" s="7">
        <f>VLOOKUP($A17,[10]HISTOMARS22!$A$7:$AU$38,29,0)</f>
        <v>34000</v>
      </c>
      <c r="S17" s="21">
        <f t="shared" si="2"/>
        <v>11000</v>
      </c>
    </row>
    <row r="18" spans="1:19" x14ac:dyDescent="0.25">
      <c r="A18" s="1" t="s">
        <v>49</v>
      </c>
      <c r="B18" s="7">
        <f>IF(D18=0,0,VLOOKUP($A18,[8]HISTOMARS22!$A$6:$AZ$36,9,0))</f>
        <v>1</v>
      </c>
      <c r="C18" s="1" t="str">
        <f>VLOOKUP(A18,[9]LISTADHERENT!A$5:H$60,3,0)</f>
        <v>MBOGNING TUGMA GUY</v>
      </c>
      <c r="D18" s="7">
        <f t="shared" si="1"/>
        <v>23000</v>
      </c>
      <c r="E18" s="7">
        <f>D18+VLOOKUP($A18,[10]HISTOMARS22!$A$7:$AU$38,45,0)+F18</f>
        <v>30000</v>
      </c>
      <c r="F18" s="7">
        <f>VLOOKUP($A18,[10]HISTOMARS22!$A$7:$AU$38,7,0)</f>
        <v>0</v>
      </c>
      <c r="G18" s="7" t="str">
        <f>VLOOKUP($A18,[10]HISTOMARS22!$A$7:$AU$38,8,0)</f>
        <v>BANQUE</v>
      </c>
      <c r="H18" s="7">
        <f>VLOOKUP($A18,[10]HISTOMARS22!$A$7:$AU$38,35,0)</f>
        <v>0</v>
      </c>
      <c r="I18" s="7">
        <f>VLOOKUP($A18,[10]HISTOMARS22!$A$7:$AU$38,38,0)</f>
        <v>0</v>
      </c>
      <c r="J18" s="7">
        <f>IF(I18=0,0,VLOOKUP($A18,[10]HISTOMARS22!$A$7:$AU$38,42,0))</f>
        <v>0</v>
      </c>
      <c r="K18" s="7">
        <f>VLOOKUP($A18,[10]HISTOMARS22!$A$7:$AU$38,41,0)</f>
        <v>0</v>
      </c>
      <c r="L18" s="7">
        <f>TONTFEV22!H18+TONTFEV22!I18</f>
        <v>0</v>
      </c>
      <c r="M18" s="7">
        <f>VLOOKUP($A18,[10]HISTOMARS22!$A$7:$AU$38,16,0)</f>
        <v>0</v>
      </c>
      <c r="N18" s="7" t="str">
        <f>IF(M18&lt;&gt;0,VLOOKUP($A18,[10]HISTOMARS22!$A$7:$AU$38,8,0),"ECHEC")</f>
        <v>ECHEC</v>
      </c>
      <c r="O18" s="7">
        <f>IF(R18=0,0,VLOOKUP($A18,[10]HISTOMARS22!$A$7:$AU$38,32,0))</f>
        <v>0</v>
      </c>
      <c r="P18" s="7">
        <f>VLOOKUP($A18,[10]HISTOMARS22!$A$7:$AU$38,33,0)</f>
        <v>0</v>
      </c>
      <c r="Q18" s="7">
        <f t="shared" si="0"/>
        <v>0</v>
      </c>
      <c r="R18" s="7">
        <f>VLOOKUP($A18,[10]HISTOMARS22!$A$7:$AU$38,29,0)</f>
        <v>0</v>
      </c>
      <c r="S18" s="21">
        <f t="shared" si="2"/>
        <v>0</v>
      </c>
    </row>
    <row r="19" spans="1:19" x14ac:dyDescent="0.25">
      <c r="A19" s="1" t="s">
        <v>30</v>
      </c>
      <c r="B19" s="7">
        <f>IF(D19=0,0,VLOOKUP($A19,[8]HISTOMARS22!$A$6:$AZ$36,9,0))</f>
        <v>1</v>
      </c>
      <c r="C19" s="1" t="str">
        <f>VLOOKUP(A19,[9]LISTADHERENT!A$5:H$60,3,0)</f>
        <v>NANGUEN MARTIN</v>
      </c>
      <c r="D19" s="7">
        <f t="shared" si="1"/>
        <v>23000</v>
      </c>
      <c r="E19" s="7">
        <f>D19+VLOOKUP($A19,[10]HISTOMARS22!$A$7:$AU$38,45,0)+F19</f>
        <v>30000</v>
      </c>
      <c r="F19" s="7">
        <f>VLOOKUP($A19,[10]HISTOMARS22!$A$7:$AU$38,7,0)</f>
        <v>0</v>
      </c>
      <c r="G19" s="7" t="str">
        <f>VLOOKUP($A19,[10]HISTOMARS22!$A$7:$AU$38,8,0)</f>
        <v>BANQUE</v>
      </c>
      <c r="H19" s="7">
        <f>VLOOKUP($A19,[10]HISTOMARS22!$A$7:$AU$38,35,0)</f>
        <v>0</v>
      </c>
      <c r="I19" s="7">
        <f>VLOOKUP($A19,[10]HISTOMARS22!$A$7:$AU$38,38,0)</f>
        <v>0</v>
      </c>
      <c r="J19" s="7">
        <f>IF(I19=0,0,VLOOKUP($A19,[10]HISTOMARS22!$A$7:$AU$38,42,0))</f>
        <v>0</v>
      </c>
      <c r="K19" s="7">
        <f>VLOOKUP($A19,[10]HISTOMARS22!$A$7:$AU$38,41,0)</f>
        <v>0</v>
      </c>
      <c r="L19" s="7">
        <f>TONTFEV22!H19+TONTFEV22!I19</f>
        <v>0</v>
      </c>
      <c r="M19" s="7">
        <f>VLOOKUP($A19,[10]HISTOMARS22!$A$7:$AU$38,16,0)</f>
        <v>0</v>
      </c>
      <c r="N19" s="7" t="str">
        <f>IF(M19&lt;&gt;0,VLOOKUP($A19,[10]HISTOMARS22!$A$7:$AU$38,8,0),"ECHEC")</f>
        <v>ECHEC</v>
      </c>
      <c r="O19" s="7">
        <f>IF(R19=0,0,VLOOKUP($A19,[10]HISTOMARS22!$A$7:$AU$38,32,0))</f>
        <v>0</v>
      </c>
      <c r="P19" s="7">
        <f>VLOOKUP($A19,[10]HISTOMARS22!$A$7:$AU$38,33,0)</f>
        <v>0</v>
      </c>
      <c r="Q19" s="7">
        <f t="shared" si="0"/>
        <v>0</v>
      </c>
      <c r="R19" s="7">
        <f>VLOOKUP($A19,[10]HISTOMARS22!$A$7:$AU$38,29,0)</f>
        <v>0</v>
      </c>
      <c r="S19" s="21">
        <f t="shared" si="2"/>
        <v>0</v>
      </c>
    </row>
    <row r="20" spans="1:19" x14ac:dyDescent="0.25">
      <c r="A20" s="1" t="s">
        <v>20</v>
      </c>
      <c r="B20" s="7">
        <f>IF(D20=0,0,VLOOKUP($A20,[8]HISTOMARS22!$A$6:$AZ$36,9,0))</f>
        <v>1</v>
      </c>
      <c r="C20" s="1" t="str">
        <f>VLOOKUP(A20,[9]LISTADHERENT!A$5:H$60,3,0)</f>
        <v>NANKAM APPOLINAIRE</v>
      </c>
      <c r="D20" s="7">
        <f t="shared" si="1"/>
        <v>23000</v>
      </c>
      <c r="E20" s="7">
        <f>D21+VLOOKUP($A21,[10]HISTOMARS22!$A$7:$AU$38,45,0)+F21</f>
        <v>50000</v>
      </c>
      <c r="F20" s="7">
        <f>VLOOKUP($A21,[10]HISTOMARS22!$A$7:$AU$38,7,0)</f>
        <v>0</v>
      </c>
      <c r="G20" s="7" t="str">
        <f>VLOOKUP($A21,[10]HISTOMARS22!$A$7:$AU$38,8,0)</f>
        <v>BANQUE</v>
      </c>
      <c r="H20" s="7">
        <f>VLOOKUP($A21,[10]HISTOMARS22!$A$7:$AU$38,35,0)</f>
        <v>0</v>
      </c>
      <c r="I20" s="7">
        <f>VLOOKUP($A21,[10]HISTOMARS22!$A$7:$AU$38,38,0)</f>
        <v>0</v>
      </c>
      <c r="J20" s="7">
        <f>IF(I21=0,0,VLOOKUP($A21,[10]HISTOMARS22!$A$7:$AU$38,42,0))</f>
        <v>0</v>
      </c>
      <c r="K20" s="7">
        <f>VLOOKUP($A21,[10]HISTOMARS22!$A$7:$AU$38,41,0)</f>
        <v>0</v>
      </c>
      <c r="L20" s="7">
        <f>TONTFEV22!H20+TONTFEV22!I20</f>
        <v>0</v>
      </c>
      <c r="M20" s="7">
        <f>VLOOKUP($A21,[10]HISTOMARS22!$A$7:$AU$38,16,0)</f>
        <v>0</v>
      </c>
      <c r="N20" s="7" t="str">
        <f>IF(M21&lt;&gt;0,VLOOKUP($A21,[10]HISTOMARS22!$A$7:$AU$38,8,0),"ECHEC")</f>
        <v>ECHEC</v>
      </c>
      <c r="O20" s="7">
        <f>IF(R21=0,0,VLOOKUP($A21,[10]HISTOMARS22!$A$7:$AU$38,32,0))</f>
        <v>0</v>
      </c>
      <c r="P20" s="7">
        <f>VLOOKUP($A21,[10]HISTOMARS22!$A$7:$AU$38,33,0)</f>
        <v>0</v>
      </c>
      <c r="Q20" s="7">
        <f>IF(R21=0,0,($C$3-R21))</f>
        <v>0</v>
      </c>
      <c r="R20" s="7">
        <f>VLOOKUP($A21,[10]HISTOMARS22!$A$7:$AU$38,29,0)</f>
        <v>0</v>
      </c>
      <c r="S20" s="21">
        <f t="shared" si="2"/>
        <v>0</v>
      </c>
    </row>
    <row r="21" spans="1:19" x14ac:dyDescent="0.25">
      <c r="A21" s="1" t="s">
        <v>21</v>
      </c>
      <c r="B21" s="7">
        <f>IF(D21=0,0,VLOOKUP($A21,[8]HISTOMARS22!$A$6:$AZ$36,9,0))</f>
        <v>1</v>
      </c>
      <c r="C21" s="1" t="str">
        <f>VLOOKUP(A21,[9]LISTADHERENT!A$5:H$60,3,0)</f>
        <v>NDJOMO ETIENNE</v>
      </c>
      <c r="D21" s="7">
        <f t="shared" si="1"/>
        <v>23000</v>
      </c>
      <c r="E21" s="7">
        <f>D21+VLOOKUP($A21,[10]HISTOMARS22!$A$7:$AU$38,45,0)+F21</f>
        <v>50000</v>
      </c>
      <c r="F21" s="7">
        <f>VLOOKUP($A21,[10]HISTOMARS22!$A$7:$AU$38,7,0)</f>
        <v>0</v>
      </c>
      <c r="G21" s="7" t="str">
        <f>VLOOKUP($A21,[10]HISTOMARS22!$A$7:$AU$38,8,0)</f>
        <v>BANQUE</v>
      </c>
      <c r="H21" s="7">
        <f>VLOOKUP($A21,[10]HISTOMARS22!$A$7:$AU$38,35,0)</f>
        <v>0</v>
      </c>
      <c r="I21" s="7">
        <f>VLOOKUP($A21,[10]HISTOMARS22!$A$7:$AU$38,38,0)</f>
        <v>0</v>
      </c>
      <c r="J21" s="7">
        <f>IF(I21=0,0,VLOOKUP($A21,[10]HISTOMARS22!$A$7:$AU$38,42,0))</f>
        <v>0</v>
      </c>
      <c r="K21" s="7">
        <f>VLOOKUP($A21,[10]HISTOMARS22!$A$7:$AU$38,41,0)</f>
        <v>0</v>
      </c>
      <c r="L21" s="7">
        <f>TONTFEV22!H21+TONTFEV22!I21</f>
        <v>0</v>
      </c>
      <c r="M21" s="7">
        <f>VLOOKUP($A21,[10]HISTOMARS22!$A$7:$AU$38,16,0)</f>
        <v>0</v>
      </c>
      <c r="N21" s="7" t="str">
        <f>IF(M21&lt;&gt;0,VLOOKUP($A21,[10]HISTOMARS22!$A$7:$AU$38,8,0),"ECHEC")</f>
        <v>ECHEC</v>
      </c>
      <c r="O21" s="7">
        <f>IF(R21=0,0,VLOOKUP($A21,[10]HISTOMARS22!$A$7:$AU$38,32,0))</f>
        <v>0</v>
      </c>
      <c r="P21" s="7">
        <f>VLOOKUP($A21,[10]HISTOMARS22!$A$7:$AU$38,33,0)</f>
        <v>0</v>
      </c>
      <c r="Q21" s="7">
        <f t="shared" si="0"/>
        <v>0</v>
      </c>
      <c r="R21" s="7">
        <f>VLOOKUP($A21,[10]HISTOMARS22!$A$7:$AU$38,29,0)</f>
        <v>0</v>
      </c>
      <c r="S21" s="21">
        <f t="shared" si="2"/>
        <v>0</v>
      </c>
    </row>
    <row r="22" spans="1:19" x14ac:dyDescent="0.25">
      <c r="A22" s="1" t="s">
        <v>22</v>
      </c>
      <c r="B22" s="7">
        <f>IF(D22=0,0,VLOOKUP($A22,[8]HISTOMARS22!$A$6:$AZ$36,9,0))</f>
        <v>1</v>
      </c>
      <c r="C22" s="1" t="str">
        <f>VLOOKUP(A22,[9]LISTADHERENT!A$5:H$60,3,0)</f>
        <v>NGONDIEP CLAUDE</v>
      </c>
      <c r="D22" s="7">
        <f t="shared" si="1"/>
        <v>23000</v>
      </c>
      <c r="E22" s="7">
        <f>D22+VLOOKUP($A22,[10]HISTOMARS22!$A$7:$AU$38,45,0)+F22</f>
        <v>68000</v>
      </c>
      <c r="F22" s="7">
        <f>VLOOKUP($A22,[10]HISTOMARS22!$A$7:$AU$38,7,0)</f>
        <v>3000</v>
      </c>
      <c r="G22" s="7" t="str">
        <f>VLOOKUP($A22,[10]HISTOMARS22!$A$7:$AU$38,8,0)</f>
        <v>BANQUE</v>
      </c>
      <c r="H22" s="7">
        <f>VLOOKUP($A22,[10]HISTOMARS22!$A$7:$AU$38,35,0)</f>
        <v>0</v>
      </c>
      <c r="I22" s="7">
        <f>VLOOKUP($A22,[10]HISTOMARS22!$A$7:$AU$38,38,0)</f>
        <v>0</v>
      </c>
      <c r="J22" s="7">
        <f>IF(I22=0,0,VLOOKUP($A22,[10]HISTOMARS22!$A$7:$AU$38,42,0))</f>
        <v>0</v>
      </c>
      <c r="K22" s="7">
        <f>VLOOKUP($A22,[10]HISTOMARS22!$A$7:$AU$38,41,0)</f>
        <v>0</v>
      </c>
      <c r="L22" s="7">
        <f>TONTFEV22!H22+TONTFEV22!I22</f>
        <v>61000</v>
      </c>
      <c r="M22" s="7">
        <f>VLOOKUP($A22,[10]HISTOMARS22!$A$7:$AU$38,16,0)</f>
        <v>61000</v>
      </c>
      <c r="N22" s="7" t="str">
        <f>IF(M22&lt;&gt;0,VLOOKUP($A22,[10]HISTOMARS22!$A$7:$AU$38,8,0),"ECHEC")</f>
        <v>BANQUE</v>
      </c>
      <c r="O22" s="7">
        <f>IF(R22=0,0,VLOOKUP($A22,[10]HISTOMARS22!$A$7:$AU$38,32,0))</f>
        <v>0</v>
      </c>
      <c r="P22" s="7">
        <f>VLOOKUP($A22,[10]HISTOMARS22!$A$7:$AU$38,33,0)</f>
        <v>0</v>
      </c>
      <c r="Q22" s="7">
        <f t="shared" si="0"/>
        <v>0</v>
      </c>
      <c r="R22" s="7">
        <f>VLOOKUP($A22,[10]HISTOMARS22!$A$7:$AU$38,29,0)</f>
        <v>0</v>
      </c>
      <c r="S22" s="21">
        <f t="shared" si="2"/>
        <v>0</v>
      </c>
    </row>
    <row r="23" spans="1:19" x14ac:dyDescent="0.25">
      <c r="A23" s="1" t="s">
        <v>23</v>
      </c>
      <c r="B23" s="7">
        <f>IF(D23=0,0,VLOOKUP($A23,[8]HISTOMARS22!$A$6:$AZ$36,9,0))</f>
        <v>1</v>
      </c>
      <c r="C23" s="1" t="str">
        <f>VLOOKUP(A23,[9]LISTADHERENT!A$5:H$60,3,0)</f>
        <v>NGUIEMEGNI MATHIEU BLAISE</v>
      </c>
      <c r="D23" s="7">
        <f t="shared" si="1"/>
        <v>23000</v>
      </c>
      <c r="E23" s="7">
        <f>D23+VLOOKUP($A23,[10]HISTOMARS22!$A$7:$AU$38,45,0)+F23</f>
        <v>30000</v>
      </c>
      <c r="F23" s="7">
        <f>VLOOKUP($A23,[10]HISTOMARS22!$A$7:$AU$38,7,0)</f>
        <v>0</v>
      </c>
      <c r="G23" s="7" t="str">
        <f>VLOOKUP($A23,[10]HISTOMARS22!$A$7:$AU$38,8,0)</f>
        <v>BANQUE</v>
      </c>
      <c r="H23" s="7">
        <f>VLOOKUP($A23,[10]HISTOMARS22!$A$7:$AU$38,35,0)</f>
        <v>0</v>
      </c>
      <c r="I23" s="7">
        <f>VLOOKUP($A23,[10]HISTOMARS22!$A$7:$AU$38,38,0)</f>
        <v>0</v>
      </c>
      <c r="J23" s="7">
        <f>IF(I23=0,0,VLOOKUP($A23,[10]HISTOMARS22!$A$7:$AU$38,42,0))</f>
        <v>0</v>
      </c>
      <c r="K23" s="7">
        <f>VLOOKUP($A23,[10]HISTOMARS22!$A$7:$AU$38,41,0)</f>
        <v>0</v>
      </c>
      <c r="L23" s="7">
        <f>TONTFEV22!H23+TONTFEV22!I23</f>
        <v>0</v>
      </c>
      <c r="M23" s="7">
        <f>VLOOKUP($A23,[10]HISTOMARS22!$A$7:$AU$38,16,0)</f>
        <v>0</v>
      </c>
      <c r="N23" s="7" t="str">
        <f>IF(M23&lt;&gt;0,VLOOKUP($A23,[10]HISTOMARS22!$A$7:$AU$38,8,0),"ECHEC")</f>
        <v>ECHEC</v>
      </c>
      <c r="O23" s="7">
        <f>IF(R23=0,0,VLOOKUP($A23,[10]HISTOMARS22!$A$7:$AU$38,32,0))</f>
        <v>0</v>
      </c>
      <c r="P23" s="7">
        <f>VLOOKUP($A23,[10]HISTOMARS22!$A$7:$AU$38,33,0)</f>
        <v>0</v>
      </c>
      <c r="Q23" s="7">
        <f t="shared" si="0"/>
        <v>0</v>
      </c>
      <c r="R23" s="7">
        <f>VLOOKUP($A23,[10]HISTOMARS22!$A$7:$AU$38,29,0)</f>
        <v>0</v>
      </c>
      <c r="S23" s="21">
        <f t="shared" si="2"/>
        <v>0</v>
      </c>
    </row>
    <row r="24" spans="1:19" x14ac:dyDescent="0.25">
      <c r="A24" s="1" t="s">
        <v>24</v>
      </c>
      <c r="B24" s="7">
        <f>IF(D24=0,0,VLOOKUP($A24,[8]HISTOMARS22!$A$6:$AZ$36,9,0))</f>
        <v>1</v>
      </c>
      <c r="C24" s="1" t="str">
        <f>VLOOKUP(A24,[9]LISTADHERENT!A$5:H$60,3,0)</f>
        <v>NKAMGANG JUSTIN DEJOLIE</v>
      </c>
      <c r="D24" s="7">
        <f t="shared" si="1"/>
        <v>23000</v>
      </c>
      <c r="E24" s="7">
        <f>D24+VLOOKUP($A24,[10]HISTOMARS22!$A$7:$AU$38,45,0)+F24</f>
        <v>33000</v>
      </c>
      <c r="F24" s="7">
        <f>VLOOKUP($A24,[10]HISTOMARS22!$A$7:$AU$38,7,0)</f>
        <v>3000</v>
      </c>
      <c r="G24" s="7" t="str">
        <f>VLOOKUP($A24,[10]HISTOMARS22!$A$7:$AU$38,8,0)</f>
        <v>BANQUE</v>
      </c>
      <c r="H24" s="7">
        <f>VLOOKUP($A24,[10]HISTOMARS22!$A$7:$AU$38,35,0)</f>
        <v>0</v>
      </c>
      <c r="I24" s="7">
        <f>VLOOKUP($A24,[10]HISTOMARS22!$A$7:$AU$38,38,0)</f>
        <v>0</v>
      </c>
      <c r="J24" s="7">
        <f>IF(I24=0,0,VLOOKUP($A24,[10]HISTOMARS22!$A$7:$AU$38,42,0))</f>
        <v>0</v>
      </c>
      <c r="K24" s="7">
        <f>VLOOKUP($A24,[10]HISTOMARS22!$A$7:$AU$38,41,0)</f>
        <v>0</v>
      </c>
      <c r="L24" s="7">
        <f>TONTFEV22!H24+TONTFEV22!I24</f>
        <v>61000</v>
      </c>
      <c r="M24" s="7">
        <f>VLOOKUP($A24,[10]HISTOMARS22!$A$7:$AU$38,16,0)</f>
        <v>61000</v>
      </c>
      <c r="N24" s="7" t="str">
        <f>IF(M24&lt;&gt;0,VLOOKUP($A24,[10]HISTOMARS22!$A$7:$AU$38,8,0),"ECHEC")</f>
        <v>BANQUE</v>
      </c>
      <c r="O24" s="7">
        <f>IF(R24=0,0,VLOOKUP($A24,[10]HISTOMARS22!$A$7:$AU$38,32,0))</f>
        <v>0</v>
      </c>
      <c r="P24" s="7">
        <f>VLOOKUP($A24,[10]HISTOMARS22!$A$7:$AU$38,33,0)</f>
        <v>0</v>
      </c>
      <c r="Q24" s="7">
        <f t="shared" si="0"/>
        <v>0</v>
      </c>
      <c r="R24" s="7">
        <f>VLOOKUP($A24,[10]HISTOMARS22!$A$7:$AU$38,29,0)</f>
        <v>0</v>
      </c>
      <c r="S24" s="21">
        <f t="shared" si="2"/>
        <v>0</v>
      </c>
    </row>
    <row r="25" spans="1:19" x14ac:dyDescent="0.25">
      <c r="A25" s="1" t="s">
        <v>25</v>
      </c>
      <c r="B25" s="7">
        <f>IF(D25=0,0,VLOOKUP($A25,[8]HISTOMARS22!$A$6:$AZ$36,9,0))</f>
        <v>1</v>
      </c>
      <c r="C25" s="1" t="str">
        <f>VLOOKUP(A25,[9]LISTADHERENT!A$5:H$60,3,0)</f>
        <v>NKEPSEU DIEUDONNE</v>
      </c>
      <c r="D25" s="7">
        <f t="shared" si="1"/>
        <v>23000</v>
      </c>
      <c r="E25" s="7">
        <f>D25+VLOOKUP($A25,[10]HISTOMARS22!$A$7:$AU$38,45,0)+F25</f>
        <v>33000</v>
      </c>
      <c r="F25" s="7">
        <f>VLOOKUP($A25,[10]HISTOMARS22!$A$7:$AU$38,7,0)</f>
        <v>0</v>
      </c>
      <c r="G25" s="7" t="str">
        <f>VLOOKUP($A25,[10]HISTOMARS22!$A$7:$AU$38,8,0)</f>
        <v>BANQUE</v>
      </c>
      <c r="H25" s="7">
        <f>VLOOKUP($A25,[10]HISTOMARS22!$A$7:$AU$38,35,0)</f>
        <v>0</v>
      </c>
      <c r="I25" s="7">
        <f>VLOOKUP($A25,[10]HISTOMARS22!$A$7:$AU$38,38,0)</f>
        <v>0</v>
      </c>
      <c r="J25" s="7">
        <f>IF(I25=0,0,VLOOKUP($A25,[10]HISTOMARS22!$A$7:$AU$38,42,0))</f>
        <v>0</v>
      </c>
      <c r="K25" s="7">
        <f>VLOOKUP($A25,[10]HISTOMARS22!$A$7:$AU$38,41,0)</f>
        <v>0</v>
      </c>
      <c r="L25" s="7">
        <f>TONTFEV22!H25+TONTFEV22!I25</f>
        <v>0</v>
      </c>
      <c r="M25" s="7">
        <f>VLOOKUP($A25,[10]HISTOMARS22!$A$7:$AU$38,16,0)</f>
        <v>0</v>
      </c>
      <c r="N25" s="7" t="str">
        <f>IF(M25&lt;&gt;0,VLOOKUP($A25,[10]HISTOMARS22!$A$7:$AU$38,8,0),"ECHEC")</f>
        <v>ECHEC</v>
      </c>
      <c r="O25" s="7" t="str">
        <f>IF(R25=0,0,VLOOKUP($A25,[10]HISTOMARS22!$A$7:$AU$38,32,0))</f>
        <v>BANQUE</v>
      </c>
      <c r="P25" s="7">
        <f>VLOOKUP($A25,[10]HISTOMARS22!$A$7:$AU$38,33,0)</f>
        <v>0</v>
      </c>
      <c r="Q25" s="7">
        <f t="shared" si="0"/>
        <v>272000</v>
      </c>
      <c r="R25" s="7">
        <f>VLOOKUP($A25,[10]HISTOMARS22!$A$7:$AU$38,29,0)</f>
        <v>28000</v>
      </c>
      <c r="S25" s="21">
        <f t="shared" si="2"/>
        <v>5000</v>
      </c>
    </row>
    <row r="26" spans="1:19" x14ac:dyDescent="0.25">
      <c r="A26" s="1" t="s">
        <v>26</v>
      </c>
      <c r="B26" s="7">
        <f>IF(D26=0,0,VLOOKUP($A26,[8]HISTOMARS22!$A$6:$AZ$36,9,0))</f>
        <v>1</v>
      </c>
      <c r="C26" s="1" t="str">
        <f>VLOOKUP(A26,[9]LISTADHERENT!A$5:H$60,3,0)</f>
        <v>PATEGO NJOSSU GUSTAVE</v>
      </c>
      <c r="D26" s="7">
        <f t="shared" si="1"/>
        <v>23000</v>
      </c>
      <c r="E26" s="7">
        <f>D26+VLOOKUP($A26,[10]HISTOMARS22!$A$7:$AU$38,45,0)+F26</f>
        <v>30000</v>
      </c>
      <c r="F26" s="7">
        <f>VLOOKUP($A26,[10]HISTOMARS22!$A$7:$AU$38,7,0)</f>
        <v>0</v>
      </c>
      <c r="G26" s="7" t="str">
        <f>VLOOKUP($A26,[10]HISTOMARS22!$A$7:$AU$38,8,0)</f>
        <v>BANQUE</v>
      </c>
      <c r="H26" s="7">
        <f>VLOOKUP($A26,[10]HISTOMARS22!$A$7:$AU$38,35,0)</f>
        <v>0</v>
      </c>
      <c r="I26" s="7">
        <f>VLOOKUP($A26,[10]HISTOMARS22!$A$7:$AU$38,38,0)</f>
        <v>0</v>
      </c>
      <c r="J26" s="7">
        <f>IF(I26=0,0,VLOOKUP($A26,[10]HISTOMARS22!$A$7:$AU$38,42,0))</f>
        <v>0</v>
      </c>
      <c r="K26" s="7">
        <f>VLOOKUP($A26,[10]HISTOMARS22!$A$7:$AU$38,41,0)</f>
        <v>0</v>
      </c>
      <c r="L26" s="7">
        <f>TONTFEV22!H26+TONTFEV22!I26</f>
        <v>0</v>
      </c>
      <c r="M26" s="7">
        <f>VLOOKUP($A26,[10]HISTOMARS22!$A$7:$AU$38,16,0)</f>
        <v>0</v>
      </c>
      <c r="N26" s="7" t="str">
        <f>IF(M26&lt;&gt;0,VLOOKUP($A26,[10]HISTOMARS22!$A$7:$AU$38,8,0),"ECHEC")</f>
        <v>ECHEC</v>
      </c>
      <c r="O26" s="7">
        <f>IF(R26=0,0,VLOOKUP($A26,[10]HISTOMARS22!$A$7:$AU$38,32,0))</f>
        <v>0</v>
      </c>
      <c r="P26" s="7">
        <f>VLOOKUP($A26,[10]HISTOMARS22!$A$7:$AU$38,33,0)</f>
        <v>0</v>
      </c>
      <c r="Q26" s="7">
        <f t="shared" si="0"/>
        <v>0</v>
      </c>
      <c r="R26" s="7">
        <f>VLOOKUP($A26,[10]HISTOMARS22!$A$7:$AU$38,29,0)</f>
        <v>0</v>
      </c>
      <c r="S26" s="21">
        <f t="shared" si="2"/>
        <v>0</v>
      </c>
    </row>
    <row r="27" spans="1:19" x14ac:dyDescent="0.25">
      <c r="A27" s="1" t="s">
        <v>51</v>
      </c>
      <c r="B27" s="7">
        <f>IF(D27=0,0,VLOOKUP($A27,[8]HISTOMARS22!$A$6:$AZ$36,9,0))</f>
        <v>1</v>
      </c>
      <c r="C27" s="1" t="str">
        <f>VLOOKUP(A27,[9]LISTADHERENT!A$5:H$60,3,0)</f>
        <v>SIME BRICE</v>
      </c>
      <c r="D27" s="7">
        <f t="shared" si="1"/>
        <v>23000</v>
      </c>
      <c r="E27" s="7">
        <f>D27+VLOOKUP($A27,[10]HISTOMARS22!$A$7:$AU$38,45,0)+F27</f>
        <v>33000</v>
      </c>
      <c r="F27" s="7">
        <f>VLOOKUP($A27,[10]HISTOMARS22!$A$7:$AU$38,7,0)</f>
        <v>3000</v>
      </c>
      <c r="G27" s="7" t="str">
        <f>VLOOKUP($A27,[10]HISTOMARS22!$A$7:$AU$38,8,0)</f>
        <v>ESPECES</v>
      </c>
      <c r="H27" s="7">
        <f>VLOOKUP($A27,[10]HISTOMARS22!$A$7:$AU$38,35,0)</f>
        <v>0</v>
      </c>
      <c r="I27" s="7">
        <f>VLOOKUP($A27,[10]HISTOMARS22!$A$7:$AU$38,38,0)</f>
        <v>0</v>
      </c>
      <c r="J27" s="7">
        <f>IF(I27=0,0,VLOOKUP($A27,[10]HISTOMARS22!$A$7:$AU$38,42,0))</f>
        <v>0</v>
      </c>
      <c r="K27" s="7">
        <f>VLOOKUP($A27,[10]HISTOMARS22!$A$7:$AU$38,41,0)</f>
        <v>0</v>
      </c>
      <c r="L27" s="7">
        <f>TONTFEV22!H27+TONTFEV22!I27</f>
        <v>0</v>
      </c>
      <c r="M27" s="7">
        <f>VLOOKUP($A27,[10]HISTOMARS22!$A$7:$AU$38,16,0)</f>
        <v>0</v>
      </c>
      <c r="N27" s="7" t="str">
        <f>IF(M27&lt;&gt;0,VLOOKUP($A27,[10]HISTOMARS22!$A$7:$AU$38,8,0),"ECHEC")</f>
        <v>ECHEC</v>
      </c>
      <c r="O27" s="7">
        <f>IF(R27=0,0,VLOOKUP($A27,[10]HISTOMARS22!$A$7:$AU$38,32,0))</f>
        <v>0</v>
      </c>
      <c r="P27" s="7">
        <f>VLOOKUP($A27,[10]HISTOMARS22!$A$7:$AU$38,33,0)</f>
        <v>0</v>
      </c>
      <c r="Q27" s="7">
        <f t="shared" si="0"/>
        <v>0</v>
      </c>
      <c r="R27" s="7">
        <f>VLOOKUP($A27,[10]HISTOMARS22!$A$7:$AU$38,29,0)</f>
        <v>0</v>
      </c>
      <c r="S27" s="21">
        <f t="shared" si="2"/>
        <v>0</v>
      </c>
    </row>
    <row r="28" spans="1:19" x14ac:dyDescent="0.25">
      <c r="A28" s="1" t="s">
        <v>29</v>
      </c>
      <c r="B28" s="7">
        <f>IF(D28=0,0,VLOOKUP($A28,[8]HISTOMARS22!$A$6:$AZ$36,9,0))</f>
        <v>1</v>
      </c>
      <c r="C28" s="1" t="str">
        <f>VLOOKUP(A28,[9]LISTADHERENT!A$5:H$60,3,0)</f>
        <v>SIMO PIERRE</v>
      </c>
      <c r="D28" s="7">
        <f t="shared" si="1"/>
        <v>23000</v>
      </c>
      <c r="E28" s="7">
        <f>D28+VLOOKUP($A28,[10]HISTOMARS22!$A$7:$AU$38,45,0)+F28</f>
        <v>75000</v>
      </c>
      <c r="F28" s="7">
        <f>VLOOKUP($A28,[10]HISTOMARS22!$A$7:$AU$38,7,0)</f>
        <v>0</v>
      </c>
      <c r="G28" s="7" t="str">
        <f>VLOOKUP($A28,[10]HISTOMARS22!$A$7:$AU$38,8,0)</f>
        <v>BANQUE</v>
      </c>
      <c r="H28" s="7">
        <f>VLOOKUP($A28,[10]HISTOMARS22!$A$7:$AU$38,35,0)</f>
        <v>0</v>
      </c>
      <c r="I28" s="7">
        <f>VLOOKUP($A28,[10]HISTOMARS22!$A$7:$AU$38,38,0)</f>
        <v>0</v>
      </c>
      <c r="J28" s="7">
        <f>IF(I28=0,0,VLOOKUP($A28,[10]HISTOMARS22!$A$7:$AU$38,42,0))</f>
        <v>0</v>
      </c>
      <c r="K28" s="7">
        <f>VLOOKUP($A28,[10]HISTOMARS22!$A$7:$AU$38,41,0)</f>
        <v>0</v>
      </c>
      <c r="L28" s="7">
        <f>TONTFEV22!H28+TONTFEV22!I28</f>
        <v>0</v>
      </c>
      <c r="M28" s="7">
        <f>VLOOKUP($A28,[10]HISTOMARS22!$A$7:$AU$38,16,0)</f>
        <v>0</v>
      </c>
      <c r="N28" s="7" t="str">
        <f>IF(M28&lt;&gt;0,VLOOKUP($A28,[10]HISTOMARS22!$A$7:$AU$38,8,0),"ECHEC")</f>
        <v>ECHEC</v>
      </c>
      <c r="O28" s="7">
        <f>IF(R28=0,0,VLOOKUP($A28,[10]HISTOMARS22!$A$7:$AU$38,32,0))</f>
        <v>0</v>
      </c>
      <c r="P28" s="7">
        <f>VLOOKUP($A28,[10]HISTOMARS22!$A$7:$AU$38,33,0)</f>
        <v>0</v>
      </c>
      <c r="Q28" s="7">
        <f t="shared" si="0"/>
        <v>0</v>
      </c>
      <c r="R28" s="7">
        <f>VLOOKUP($A28,[10]HISTOMARS22!$A$7:$AU$38,29,0)</f>
        <v>0</v>
      </c>
      <c r="S28" s="21">
        <f t="shared" si="2"/>
        <v>0</v>
      </c>
    </row>
    <row r="29" spans="1:19" x14ac:dyDescent="0.25">
      <c r="A29" s="1" t="s">
        <v>31</v>
      </c>
      <c r="B29" s="7">
        <f>IF(D29=0,0,VLOOKUP($A29,[8]HISTOMARS22!$A$6:$AZ$36,9,0))</f>
        <v>1</v>
      </c>
      <c r="C29" s="1" t="str">
        <f>VLOOKUP(A29,[9]LISTADHERENT!A$5:H$60,3,0)</f>
        <v>TCHOUAMOU MATHIEU</v>
      </c>
      <c r="D29" s="7">
        <f t="shared" si="1"/>
        <v>23000</v>
      </c>
      <c r="E29" s="7">
        <f>D29+VLOOKUP($A29,[10]HISTOMARS22!$A$7:$AU$38,45,0)+F29</f>
        <v>30000</v>
      </c>
      <c r="F29" s="7">
        <f>VLOOKUP($A29,[10]HISTOMARS22!$A$7:$AU$38,7,0)</f>
        <v>0</v>
      </c>
      <c r="G29" s="7" t="str">
        <f>VLOOKUP($A29,[10]HISTOMARS22!$A$7:$AU$38,8,0)</f>
        <v>BANQUE</v>
      </c>
      <c r="H29" s="7">
        <f>VLOOKUP($A29,[10]HISTOMARS22!$A$7:$AU$38,35,0)</f>
        <v>0</v>
      </c>
      <c r="I29" s="7">
        <f>VLOOKUP($A29,[10]HISTOMARS22!$A$7:$AU$38,38,0)</f>
        <v>0</v>
      </c>
      <c r="J29" s="7">
        <f>IF(I29=0,0,VLOOKUP($A29,[10]HISTOMARS22!$A$7:$AU$38,42,0))</f>
        <v>0</v>
      </c>
      <c r="K29" s="7">
        <f>VLOOKUP($A29,[10]HISTOMARS22!$A$7:$AU$38,41,0)</f>
        <v>0</v>
      </c>
      <c r="L29" s="7">
        <f>TONTFEV22!H29+TONTFEV22!I29</f>
        <v>32000</v>
      </c>
      <c r="M29" s="7">
        <f>VLOOKUP($A29,[10]HISTOMARS22!$A$7:$AU$38,16,0)</f>
        <v>32000</v>
      </c>
      <c r="N29" s="7" t="str">
        <f>IF(M29&lt;&gt;0,VLOOKUP($A29,[10]HISTOMARS22!$A$7:$AU$38,8,0),"ECHEC")</f>
        <v>BANQUE</v>
      </c>
      <c r="O29" s="7">
        <f>IF(R29=0,0,VLOOKUP($A29,[10]HISTOMARS22!$A$7:$AU$38,32,0))</f>
        <v>0</v>
      </c>
      <c r="P29" s="7">
        <f>VLOOKUP($A29,[10]HISTOMARS22!$A$7:$AU$38,33,0)</f>
        <v>0</v>
      </c>
      <c r="Q29" s="7">
        <f t="shared" si="0"/>
        <v>0</v>
      </c>
      <c r="R29" s="7">
        <f>VLOOKUP($A29,[10]HISTOMARS22!$A$7:$AU$38,29,0)</f>
        <v>0</v>
      </c>
      <c r="S29" s="21">
        <f t="shared" si="2"/>
        <v>0</v>
      </c>
    </row>
    <row r="30" spans="1:19" x14ac:dyDescent="0.25">
      <c r="A30" s="1" t="s">
        <v>32</v>
      </c>
      <c r="B30" s="7">
        <f>IF(D30=0,0,VLOOKUP($A30,[8]HISTOMARS22!$A$6:$AZ$36,9,0))</f>
        <v>1</v>
      </c>
      <c r="C30" s="1" t="str">
        <f>VLOOKUP(A30,[9]LISTADHERENT!A$5:H$60,3,0)</f>
        <v>YEPMOU JEAN JACQUES</v>
      </c>
      <c r="D30" s="7">
        <f t="shared" si="1"/>
        <v>23000</v>
      </c>
      <c r="E30" s="7">
        <f>D30+VLOOKUP($A30,[10]HISTOMARS22!$A$7:$AU$38,45,0)+F30</f>
        <v>30000</v>
      </c>
      <c r="F30" s="7">
        <f>VLOOKUP($A30,[10]HISTOMARS22!$A$7:$AU$38,7,0)</f>
        <v>0</v>
      </c>
      <c r="G30" s="7" t="str">
        <f>VLOOKUP($A30,[10]HISTOMARS22!$A$7:$AU$38,8,0)</f>
        <v>BANQUE</v>
      </c>
      <c r="H30" s="7">
        <f>VLOOKUP($A30,[10]HISTOMARS22!$A$7:$AU$38,35,0)</f>
        <v>0</v>
      </c>
      <c r="I30" s="7">
        <f>VLOOKUP($A30,[10]HISTOMARS22!$A$7:$AU$38,38,0)</f>
        <v>0</v>
      </c>
      <c r="J30" s="7">
        <f>IF(I30=0,0,VLOOKUP($A30,[10]HISTOMARS22!$A$7:$AU$38,42,0))</f>
        <v>0</v>
      </c>
      <c r="K30" s="7">
        <f>VLOOKUP($A30,[10]HISTOMARS22!$A$7:$AU$38,41,0)</f>
        <v>0</v>
      </c>
      <c r="L30" s="7">
        <f>TONTFEV22!H30+TONTFEV22!I30</f>
        <v>0</v>
      </c>
      <c r="M30" s="7">
        <f>VLOOKUP($A30,[10]HISTOMARS22!$A$7:$AU$38,16,0)</f>
        <v>0</v>
      </c>
      <c r="N30" s="7" t="str">
        <f>IF(M30&lt;&gt;0,VLOOKUP($A30,[10]HISTOMARS22!$A$7:$AU$38,8,0),"ECHEC")</f>
        <v>ECHEC</v>
      </c>
      <c r="O30" s="7">
        <f>IF(R30=0,0,VLOOKUP($A30,[10]HISTOMARS22!$A$7:$AU$38,32,0))</f>
        <v>0</v>
      </c>
      <c r="P30" s="7">
        <f>VLOOKUP($A30,[10]HISTOMARS22!$A$7:$AU$38,33,0)</f>
        <v>0</v>
      </c>
      <c r="Q30" s="7">
        <f t="shared" si="0"/>
        <v>0</v>
      </c>
      <c r="R30" s="7">
        <f>VLOOKUP($A30,[10]HISTOMARS22!$A$7:$AU$38,29,0)</f>
        <v>0</v>
      </c>
      <c r="S30" s="21">
        <f t="shared" si="2"/>
        <v>0</v>
      </c>
    </row>
    <row r="31" spans="1:19" x14ac:dyDescent="0.25">
      <c r="A31" s="1" t="s">
        <v>33</v>
      </c>
      <c r="B31" s="7">
        <f>IF(D31=0,0,VLOOKUP($A31,[8]HISTOMARS22!$A$6:$AZ$36,9,0))</f>
        <v>1</v>
      </c>
      <c r="C31" s="1" t="str">
        <f>VLOOKUP(A31,[9]LISTADHERENT!A$5:H$60,3,0)</f>
        <v>YOUMBI EMMANUEL</v>
      </c>
      <c r="D31" s="7">
        <f t="shared" si="1"/>
        <v>23000</v>
      </c>
      <c r="E31" s="7">
        <f>D31+VLOOKUP($A31,[10]HISTOMARS22!$A$7:$AU$38,45,0)+F31</f>
        <v>30000</v>
      </c>
      <c r="F31" s="7">
        <f>VLOOKUP($A31,[10]HISTOMARS22!$A$7:$AU$38,7,0)</f>
        <v>0</v>
      </c>
      <c r="G31" s="7" t="str">
        <f>VLOOKUP($A31,[10]HISTOMARS22!$A$7:$AU$38,8,0)</f>
        <v>BANQUE</v>
      </c>
      <c r="H31" s="7">
        <f>VLOOKUP($A31,[10]HISTOMARS22!$A$7:$AU$38,35,0)</f>
        <v>0</v>
      </c>
      <c r="I31" s="7">
        <f>VLOOKUP($A31,[10]HISTOMARS22!$A$7:$AU$38,38,0)</f>
        <v>0</v>
      </c>
      <c r="J31" s="7">
        <f>IF(I31=0,0,VLOOKUP($A31,[10]HISTOMARS22!$A$7:$AU$38,42,0))</f>
        <v>0</v>
      </c>
      <c r="K31" s="7">
        <f>VLOOKUP($A31,[10]HISTOMARS22!$A$7:$AU$38,41,0)</f>
        <v>0</v>
      </c>
      <c r="L31" s="7">
        <f>TONTFEV22!H31+TONTFEV22!I31</f>
        <v>0</v>
      </c>
      <c r="M31" s="7">
        <f>VLOOKUP($A31,[10]HISTOMARS22!$A$7:$AU$38,16,0)</f>
        <v>0</v>
      </c>
      <c r="N31" s="7" t="str">
        <f>IF(M31&lt;&gt;0,VLOOKUP($A31,[10]HISTOMARS22!$A$7:$AU$38,8,0),"ECHEC")</f>
        <v>ECHEC</v>
      </c>
      <c r="O31" s="7">
        <f>IF(R31=0,0,VLOOKUP($A31,[10]HISTOMARS22!$A$7:$AU$38,32,0))</f>
        <v>0</v>
      </c>
      <c r="P31" s="7">
        <f>VLOOKUP($A31,[10]HISTOMARS22!$A$7:$AU$38,33,0)</f>
        <v>0</v>
      </c>
      <c r="Q31" s="7">
        <f t="shared" si="0"/>
        <v>0</v>
      </c>
      <c r="R31" s="7">
        <f>VLOOKUP($A31,[10]HISTOMARS22!$A$7:$AU$38,29,0)</f>
        <v>0</v>
      </c>
      <c r="S31" s="21">
        <f t="shared" si="2"/>
        <v>0</v>
      </c>
    </row>
    <row r="32" spans="1:19" x14ac:dyDescent="0.25">
      <c r="A32" s="1"/>
    </row>
    <row r="33" spans="1:19" ht="18" x14ac:dyDescent="0.25">
      <c r="A33" s="1" t="s">
        <v>94</v>
      </c>
      <c r="B33" s="8">
        <f>SUM(B6:B32)</f>
        <v>26</v>
      </c>
      <c r="I33" s="9"/>
    </row>
    <row r="34" spans="1:19" ht="18" x14ac:dyDescent="0.25">
      <c r="A34" s="1" t="s">
        <v>93</v>
      </c>
      <c r="B34" s="19">
        <f>COUNT(D6:D31)</f>
        <v>26</v>
      </c>
      <c r="C34" s="8"/>
      <c r="D34" s="8">
        <f>SUM(D6:D33)</f>
        <v>598000</v>
      </c>
      <c r="E34" s="8">
        <f>SUM(E6:E33)</f>
        <v>986000</v>
      </c>
      <c r="F34" s="8">
        <f>SUM(F6:F33)</f>
        <v>18000</v>
      </c>
      <c r="G34" s="8"/>
      <c r="H34" s="8">
        <f t="shared" ref="H34:S34" si="3">SUM(H6:H33)</f>
        <v>100000</v>
      </c>
      <c r="I34" s="8">
        <f t="shared" si="3"/>
        <v>2000</v>
      </c>
      <c r="J34" s="8">
        <f t="shared" si="3"/>
        <v>0</v>
      </c>
      <c r="K34" s="8">
        <f t="shared" si="3"/>
        <v>0</v>
      </c>
      <c r="L34" s="8">
        <f t="shared" si="3"/>
        <v>154000</v>
      </c>
      <c r="M34" s="8">
        <f t="shared" si="3"/>
        <v>154000</v>
      </c>
      <c r="N34" s="8">
        <f t="shared" si="3"/>
        <v>0</v>
      </c>
      <c r="O34" s="8">
        <f t="shared" si="3"/>
        <v>0</v>
      </c>
      <c r="P34" s="8">
        <f t="shared" si="3"/>
        <v>0</v>
      </c>
      <c r="Q34" s="8">
        <f t="shared" si="3"/>
        <v>538000</v>
      </c>
      <c r="R34" s="8">
        <f t="shared" si="3"/>
        <v>62000</v>
      </c>
      <c r="S34" s="8">
        <f t="shared" si="3"/>
        <v>16000</v>
      </c>
    </row>
    <row r="35" spans="1:19" s="2" customFormat="1" ht="29.25" x14ac:dyDescent="0.25">
      <c r="B35"/>
      <c r="C35"/>
      <c r="D35"/>
      <c r="E35"/>
      <c r="F35"/>
      <c r="G35"/>
      <c r="H35"/>
      <c r="I35" s="9"/>
      <c r="J35" s="3"/>
      <c r="K35" s="3"/>
      <c r="L35" s="3"/>
      <c r="N35" s="4" t="s">
        <v>80</v>
      </c>
      <c r="O35" s="4" t="s">
        <v>95</v>
      </c>
      <c r="P35" s="3"/>
    </row>
    <row r="36" spans="1:19" s="2" customFormat="1" ht="29.25" x14ac:dyDescent="0.25">
      <c r="D36" s="4" t="s">
        <v>5</v>
      </c>
      <c r="E36" s="4" t="s">
        <v>7</v>
      </c>
      <c r="F36"/>
      <c r="G36" s="4" t="s">
        <v>40</v>
      </c>
      <c r="H36" s="4" t="s">
        <v>44</v>
      </c>
      <c r="I36" s="4" t="s">
        <v>46</v>
      </c>
      <c r="J36" s="4" t="s">
        <v>47</v>
      </c>
      <c r="K36" s="4"/>
      <c r="L36" s="8" t="s">
        <v>97</v>
      </c>
      <c r="M36" s="8">
        <f>D40+G40+R34+TONTFEV22!O41</f>
        <v>814000</v>
      </c>
      <c r="N36" s="4"/>
      <c r="O36"/>
      <c r="P36" s="4"/>
    </row>
    <row r="37" spans="1:19" s="2" customFormat="1" ht="18" x14ac:dyDescent="0.25">
      <c r="D37" s="8">
        <f>SUMIFS(D6:D33,G6:G33,"ESPECES")</f>
        <v>92000</v>
      </c>
      <c r="E37" s="8">
        <f>SUMIFS(E6:E33,G6:G33,"ESPECES")</f>
        <v>147000</v>
      </c>
      <c r="F37" s="8" t="s">
        <v>36</v>
      </c>
      <c r="G37" s="8">
        <f>SUMIFS(M6:M31,N6:N31,"ESPECES")</f>
        <v>0</v>
      </c>
      <c r="H37" s="8">
        <f>SUMIFS(H6:H33,J6:J33,"ESPECES")</f>
        <v>0</v>
      </c>
      <c r="I37" s="8">
        <f>SUMIFS(Q6:Q33,O6:O33,"ESPECES")</f>
        <v>0</v>
      </c>
      <c r="J37" s="8">
        <f>D37+G37-H37-I37</f>
        <v>92000</v>
      </c>
      <c r="K37" s="8"/>
      <c r="L37" s="8" t="s">
        <v>84</v>
      </c>
      <c r="M37" s="8">
        <f>C3*COUNTIF(Q6:Q33,"&gt;0")</f>
        <v>600000</v>
      </c>
      <c r="N37" s="8">
        <f>D3</f>
        <v>2</v>
      </c>
      <c r="O37" s="8">
        <f>COUNTIF(Q6:Q31,"&gt;0")</f>
        <v>2</v>
      </c>
      <c r="P37" s="8"/>
    </row>
    <row r="38" spans="1:19" s="2" customFormat="1" ht="18" x14ac:dyDescent="0.25">
      <c r="D38" s="8">
        <f>SUMIFS(D6:D33,G6:G33,"BANQUE")</f>
        <v>506000</v>
      </c>
      <c r="E38" s="8">
        <f>SUMIFS(E6:E34,G6:G34,"BANQUE")</f>
        <v>839000</v>
      </c>
      <c r="F38" s="8" t="s">
        <v>37</v>
      </c>
      <c r="G38" s="8">
        <f>SUMIFS(M6:M31,N6:N31,"BANQUE")</f>
        <v>154000</v>
      </c>
      <c r="H38" s="8">
        <f>SUMIFS(H6:H33,J6:J33,"BANQUE")</f>
        <v>100000</v>
      </c>
      <c r="I38" s="8">
        <f>SUMIFS(Q6:Q33,O6:O33,"BANQUE")</f>
        <v>538000</v>
      </c>
      <c r="J38" s="8">
        <f>D38+G38-H38-I38</f>
        <v>22000</v>
      </c>
      <c r="K38" s="8"/>
      <c r="M38" s="8"/>
      <c r="N38" s="8"/>
      <c r="O38" s="8"/>
      <c r="P38" s="8"/>
    </row>
    <row r="39" spans="1:19" s="2" customFormat="1" ht="18" x14ac:dyDescent="0.25">
      <c r="D39" s="8"/>
      <c r="E39" s="8"/>
      <c r="F39" s="8"/>
      <c r="G39" s="8"/>
      <c r="H39" s="8"/>
      <c r="I39" s="8"/>
      <c r="K39" s="8"/>
      <c r="L39" s="8" t="s">
        <v>52</v>
      </c>
      <c r="M39" s="8">
        <f>M36-M37</f>
        <v>214000</v>
      </c>
      <c r="N39" s="8"/>
      <c r="O39" s="8"/>
      <c r="P39" s="8"/>
    </row>
    <row r="40" spans="1:19" s="2" customFormat="1" ht="18" x14ac:dyDescent="0.25">
      <c r="D40" s="8">
        <f>D37+D38</f>
        <v>598000</v>
      </c>
      <c r="E40" s="8">
        <f>E37+E38</f>
        <v>986000</v>
      </c>
      <c r="F40" s="8" t="s">
        <v>34</v>
      </c>
      <c r="G40" s="8">
        <f>G37+G38</f>
        <v>154000</v>
      </c>
      <c r="H40" s="8">
        <f>H37+H38</f>
        <v>100000</v>
      </c>
      <c r="I40" s="8">
        <f t="shared" ref="I40" si="4">I37+I38</f>
        <v>538000</v>
      </c>
      <c r="J40" s="8">
        <f>J37+J38+TONTFEV22!O41</f>
        <v>114000</v>
      </c>
      <c r="K40" s="8"/>
      <c r="M40" s="8"/>
      <c r="N40" s="8"/>
      <c r="O40" s="8"/>
      <c r="P40" s="8"/>
    </row>
    <row r="41" spans="1:19" s="2" customFormat="1" ht="18" x14ac:dyDescent="0.25">
      <c r="D41" s="8"/>
      <c r="E41" s="8"/>
      <c r="F41" s="8" t="s">
        <v>56</v>
      </c>
      <c r="G41"/>
      <c r="H41"/>
      <c r="I41" s="3"/>
      <c r="J41" s="3"/>
      <c r="K41" s="3"/>
      <c r="L41" s="8" t="s">
        <v>55</v>
      </c>
      <c r="M41" s="8">
        <f>M39-H34</f>
        <v>114000</v>
      </c>
      <c r="N41"/>
      <c r="O41" s="8">
        <f>M41</f>
        <v>114000</v>
      </c>
      <c r="P41" s="8" t="s">
        <v>58</v>
      </c>
    </row>
    <row r="42" spans="1:19" s="2" customFormat="1" ht="18" x14ac:dyDescent="0.25">
      <c r="D42" s="4"/>
      <c r="E42" s="4"/>
      <c r="F42" s="8"/>
      <c r="G42"/>
      <c r="H42"/>
      <c r="I42" s="3"/>
      <c r="J42" s="3"/>
      <c r="K42" s="3"/>
      <c r="N42"/>
      <c r="O42" s="3"/>
      <c r="P42" s="3"/>
    </row>
    <row r="43" spans="1:19" ht="18" x14ac:dyDescent="0.25">
      <c r="L43" s="8" t="s">
        <v>60</v>
      </c>
      <c r="M43" s="8">
        <f>COUNTIFS(G6:G32,"ECHEC")*23000</f>
        <v>0</v>
      </c>
      <c r="O43" s="8">
        <f>M43+TONTFEV22!O43</f>
        <v>0</v>
      </c>
      <c r="P43" s="8" t="s">
        <v>58</v>
      </c>
    </row>
    <row r="44" spans="1:19" ht="18" x14ac:dyDescent="0.25">
      <c r="F44" s="2"/>
      <c r="L44" s="8" t="s">
        <v>59</v>
      </c>
      <c r="M44" s="8">
        <f>L34-G40</f>
        <v>0</v>
      </c>
      <c r="O44" s="8">
        <f>M44+TONTFEV22!O44</f>
        <v>0</v>
      </c>
      <c r="P44" s="8" t="s">
        <v>58</v>
      </c>
    </row>
  </sheetData>
  <autoFilter ref="A5:R24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>
      <pane xSplit="3" ySplit="5" topLeftCell="I35" activePane="bottomRight" state="frozen"/>
      <selection activeCell="G6" sqref="G6:G39"/>
      <selection pane="topRight" activeCell="G6" sqref="G6:G39"/>
      <selection pane="bottomLeft" activeCell="G6" sqref="G6:G39"/>
      <selection pane="bottomRight" activeCell="J40" sqref="J40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5" width="13" customWidth="1"/>
    <col min="16" max="16" width="15.5703125" style="3" customWidth="1"/>
    <col min="17" max="18" width="18.140625" style="2" customWidth="1"/>
  </cols>
  <sheetData>
    <row r="1" spans="1:19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25">
      <c r="A2" s="1" t="s">
        <v>2</v>
      </c>
      <c r="B2" s="1">
        <v>2022</v>
      </c>
      <c r="C2" s="1" t="s">
        <v>85</v>
      </c>
      <c r="D2" s="1" t="s">
        <v>80</v>
      </c>
      <c r="E2" s="1"/>
      <c r="F2" s="1"/>
      <c r="G2" s="1"/>
      <c r="N2" s="1"/>
      <c r="O2" s="1"/>
    </row>
    <row r="3" spans="1:19" x14ac:dyDescent="0.25">
      <c r="A3" s="1" t="s">
        <v>86</v>
      </c>
      <c r="B3" s="6">
        <v>23000</v>
      </c>
      <c r="C3" s="6">
        <f>B3*13+1000</f>
        <v>300000</v>
      </c>
      <c r="D3" s="1">
        <f>ROUNDDOWN(M36/C3,0)</f>
        <v>2</v>
      </c>
      <c r="E3" s="1"/>
      <c r="F3" s="1"/>
      <c r="G3" s="1"/>
      <c r="N3" s="1"/>
      <c r="O3" s="1"/>
    </row>
    <row r="4" spans="1:19" s="16" customFormat="1" ht="18" x14ac:dyDescent="0.25">
      <c r="B4" s="17"/>
      <c r="C4" s="28">
        <v>44633</v>
      </c>
      <c r="D4" s="29"/>
      <c r="E4" s="29"/>
      <c r="F4" s="29"/>
      <c r="G4" s="29"/>
      <c r="H4" s="29"/>
      <c r="I4" s="29"/>
      <c r="J4" s="29"/>
      <c r="K4" s="29"/>
      <c r="L4" s="29"/>
      <c r="N4" s="18"/>
      <c r="O4" s="18"/>
      <c r="P4" s="18"/>
      <c r="Q4" s="18"/>
    </row>
    <row r="5" spans="1:19" ht="58.5" x14ac:dyDescent="0.3">
      <c r="A5" s="1" t="s">
        <v>3</v>
      </c>
      <c r="B5" s="13" t="s">
        <v>81</v>
      </c>
      <c r="C5" s="1" t="s">
        <v>4</v>
      </c>
      <c r="D5" s="4" t="s">
        <v>5</v>
      </c>
      <c r="E5" s="4" t="s">
        <v>7</v>
      </c>
      <c r="F5" s="1" t="s">
        <v>48</v>
      </c>
      <c r="G5" s="5" t="s">
        <v>6</v>
      </c>
      <c r="H5" s="6" t="s">
        <v>44</v>
      </c>
      <c r="I5" s="4" t="s">
        <v>41</v>
      </c>
      <c r="J5" s="4" t="s">
        <v>45</v>
      </c>
      <c r="K5" s="11" t="s">
        <v>54</v>
      </c>
      <c r="L5" s="4" t="s">
        <v>82</v>
      </c>
      <c r="M5" s="4" t="s">
        <v>40</v>
      </c>
      <c r="N5" s="4" t="s">
        <v>39</v>
      </c>
      <c r="O5" s="4" t="s">
        <v>42</v>
      </c>
      <c r="P5" s="4" t="s">
        <v>54</v>
      </c>
      <c r="Q5" s="4" t="s">
        <v>83</v>
      </c>
      <c r="R5" s="4" t="s">
        <v>43</v>
      </c>
      <c r="S5" s="4" t="s">
        <v>98</v>
      </c>
    </row>
    <row r="6" spans="1:19" x14ac:dyDescent="0.25">
      <c r="A6" s="1" t="s">
        <v>9</v>
      </c>
      <c r="B6" s="7">
        <f>IF(D6=0,0,VLOOKUP($A6,[8]HISTOJANV22!$A$6:$AZ$36,9,0))</f>
        <v>1</v>
      </c>
      <c r="C6" s="1" t="str">
        <f>VLOOKUP(A6,[9]LISTADHERENT!A$5:H$60,3,0)</f>
        <v>BOUTCHOUANG WILLIAM</v>
      </c>
      <c r="D6" s="7">
        <f>IF(G6="ECHEC",0,B$3)</f>
        <v>23000</v>
      </c>
      <c r="E6" s="7">
        <f>D6+VLOOKUP($A6,[10]HISTOAVRIL22!$A$7:$AU$38,45,0)+F6</f>
        <v>30000</v>
      </c>
      <c r="F6" s="7">
        <f>VLOOKUP($A6,[10]HISTOAVRIL22!$A$7:$AU$38,7,0)</f>
        <v>0</v>
      </c>
      <c r="G6" s="7" t="str">
        <f>VLOOKUP($A6,[10]HISTOAVRIL22!$A$7:$AU$38,8,0)</f>
        <v>BANQUE</v>
      </c>
      <c r="H6" s="7">
        <f>VLOOKUP($A6,[10]HISTOAVRIL22!$A$7:$AU$38,35,0)</f>
        <v>0</v>
      </c>
      <c r="I6" s="7">
        <f>VLOOKUP($A6,[10]HISTOAVRIL22!$A$7:$AU$38,38,0)</f>
        <v>0</v>
      </c>
      <c r="J6" s="7">
        <f>IF(I6=0,0,VLOOKUP($A6,[10]HISTOAVRIL22!$A$7:$AU$38,42,0))</f>
        <v>0</v>
      </c>
      <c r="K6" s="7">
        <f>VLOOKUP($A6,[10]HISTOAVRIL22!$A$7:$AU$38,41,0)</f>
        <v>0</v>
      </c>
      <c r="L6" s="7">
        <f>TONTMARS22!H6+TONTMARS22!I6</f>
        <v>0</v>
      </c>
      <c r="M6" s="7">
        <f>VLOOKUP($A6,[10]HISTOAVRIL22!$A$7:$AU$38,16,0)</f>
        <v>0</v>
      </c>
      <c r="N6" s="7" t="str">
        <f>IF(M6&lt;&gt;0,VLOOKUP($A6,[10]HISTOAVRIL22!$A$7:$AU$38,8,0),"ECHEC")</f>
        <v>ECHEC</v>
      </c>
      <c r="O6" s="7">
        <f>IF(R6=0,0,VLOOKUP($A6,[10]HISTOAVRIL22!$A$7:$AU$38,32,0))</f>
        <v>0</v>
      </c>
      <c r="P6" s="7">
        <f>VLOOKUP($A6,[10]HISTOAVRIL22!$A$7:$AU$38,33,0)</f>
        <v>0</v>
      </c>
      <c r="Q6" s="7">
        <f t="shared" ref="Q6:Q19" si="0">IF(R6=0,0,($C$3-R6))</f>
        <v>0</v>
      </c>
      <c r="R6" s="7">
        <f>VLOOKUP($A6,[10]HISTOAVRIL22!$A$7:$AU$38,29,0)</f>
        <v>0</v>
      </c>
      <c r="S6" s="21">
        <f>IF(R6=0,0,(R6-23000))</f>
        <v>0</v>
      </c>
    </row>
    <row r="7" spans="1:19" x14ac:dyDescent="0.25">
      <c r="A7" s="1" t="s">
        <v>10</v>
      </c>
      <c r="B7" s="7">
        <f>IF(D7=0,0,VLOOKUP($A7,[8]HISTOJANV22!$A$6:$AZ$36,9,0))</f>
        <v>1</v>
      </c>
      <c r="C7" s="1" t="str">
        <f>VLOOKUP(A7,[9]LISTADHERENT!A$5:H$60,3,0)</f>
        <v xml:space="preserve">DJOMO JEAN PAUL </v>
      </c>
      <c r="D7" s="7">
        <f t="shared" ref="D7:D31" si="1">IF(G7="ECHEC",0,B$3)</f>
        <v>23000</v>
      </c>
      <c r="E7" s="7">
        <f>D7+VLOOKUP($A7,[10]HISTOAVRIL22!$A$7:$AU$38,45,0)+F7</f>
        <v>34000</v>
      </c>
      <c r="F7" s="7">
        <f>VLOOKUP($A7,[10]HISTOAVRIL22!$A$7:$AU$38,7,0)</f>
        <v>0</v>
      </c>
      <c r="G7" s="7" t="str">
        <f>VLOOKUP($A7,[10]HISTOAVRIL22!$A$7:$AU$38,8,0)</f>
        <v>BANQUE</v>
      </c>
      <c r="H7" s="7">
        <f>VLOOKUP($A7,[10]HISTOAVRIL22!$A$7:$AU$38,35,0)</f>
        <v>0</v>
      </c>
      <c r="I7" s="7">
        <f>VLOOKUP($A7,[10]HISTOAVRIL22!$A$7:$AU$38,38,0)</f>
        <v>0</v>
      </c>
      <c r="J7" s="7">
        <f>IF(I7=0,0,VLOOKUP($A7,[10]HISTOAVRIL22!$A$7:$AU$38,42,0))</f>
        <v>0</v>
      </c>
      <c r="K7" s="7">
        <f>VLOOKUP($A7,[10]HISTOAVRIL22!$A$7:$AU$38,41,0)</f>
        <v>0</v>
      </c>
      <c r="L7" s="7">
        <f>TONTMARS22!H7+TONTMARS22!I7</f>
        <v>102000</v>
      </c>
      <c r="M7" s="7">
        <f>VLOOKUP($A7,[10]HISTOAVRIL22!$A$7:$AU$38,16,0)</f>
        <v>102000</v>
      </c>
      <c r="N7" s="7" t="str">
        <f>IF(M7&lt;&gt;0,VLOOKUP($A7,[10]HISTOAVRIL22!$A$7:$AU$38,8,0),"ECHEC")</f>
        <v>BANQUE</v>
      </c>
      <c r="O7" s="7">
        <f>IF(R7=0,0,VLOOKUP($A7,[10]HISTOAVRIL22!$A$7:$AU$38,32,0))</f>
        <v>0</v>
      </c>
      <c r="P7" s="7">
        <f>VLOOKUP($A7,[10]HISTOAVRIL22!$A$7:$AU$38,33,0)</f>
        <v>0</v>
      </c>
      <c r="Q7" s="7">
        <f t="shared" si="0"/>
        <v>0</v>
      </c>
      <c r="R7" s="7">
        <f>VLOOKUP($A7,[10]HISTOAVRIL22!$A$7:$AU$38,29,0)</f>
        <v>0</v>
      </c>
      <c r="S7" s="21">
        <f t="shared" ref="S7:S31" si="2">IF(R7=0,0,(R7-23000))</f>
        <v>0</v>
      </c>
    </row>
    <row r="8" spans="1:19" x14ac:dyDescent="0.25">
      <c r="A8" s="1" t="s">
        <v>57</v>
      </c>
      <c r="B8" s="7">
        <f>IF(D8=0,0,VLOOKUP($A8,[8]HISTOJANV22!$A$6:$AZ$36,9,0))</f>
        <v>1</v>
      </c>
      <c r="C8" s="1" t="str">
        <f>VLOOKUP(A8,[9]LISTADHERENT!A$5:H$60,3,0)</f>
        <v>DJOMOU TCHANDA</v>
      </c>
      <c r="D8" s="7">
        <f t="shared" si="1"/>
        <v>23000</v>
      </c>
      <c r="E8" s="7">
        <f>D8+VLOOKUP($A8,[10]HISTOAVRIL22!$A$7:$AU$38,45,0)+F8</f>
        <v>30000</v>
      </c>
      <c r="F8" s="7">
        <f>VLOOKUP($A8,[10]HISTOAVRIL22!$A$7:$AU$38,7,0)</f>
        <v>0</v>
      </c>
      <c r="G8" s="7" t="str">
        <f>VLOOKUP($A8,[10]HISTOAVRIL22!$A$7:$AU$38,8,0)</f>
        <v>BANQUE</v>
      </c>
      <c r="H8" s="7">
        <f>VLOOKUP($A8,[10]HISTOAVRIL22!$A$7:$AU$38,35,0)</f>
        <v>0</v>
      </c>
      <c r="I8" s="7">
        <f>VLOOKUP($A8,[10]HISTOAVRIL22!$A$7:$AU$38,38,0)</f>
        <v>0</v>
      </c>
      <c r="J8" s="7">
        <f>IF(I8=0,0,VLOOKUP($A8,[10]HISTOAVRIL22!$A$7:$AU$38,42,0))</f>
        <v>0</v>
      </c>
      <c r="K8" s="7">
        <f>VLOOKUP($A8,[10]HISTOAVRIL22!$A$7:$AU$38,41,0)</f>
        <v>0</v>
      </c>
      <c r="L8" s="7">
        <f>TONTMARS22!H8+TONTMARS22!I8</f>
        <v>0</v>
      </c>
      <c r="M8" s="7">
        <f>VLOOKUP($A8,[10]HISTOAVRIL22!$A$7:$AU$38,16,0)</f>
        <v>0</v>
      </c>
      <c r="N8" s="7" t="str">
        <f>IF(M8&lt;&gt;0,VLOOKUP($A8,[10]HISTOAVRIL22!$A$7:$AU$38,8,0),"ECHEC")</f>
        <v>ECHEC</v>
      </c>
      <c r="O8" s="7">
        <f>IF(R8=0,0,VLOOKUP($A8,[10]HISTOAVRIL22!$A$7:$AU$38,32,0))</f>
        <v>0</v>
      </c>
      <c r="P8" s="7">
        <f>VLOOKUP($A8,[10]HISTOAVRIL22!$A$7:$AU$38,33,0)</f>
        <v>0</v>
      </c>
      <c r="Q8" s="7">
        <f t="shared" si="0"/>
        <v>0</v>
      </c>
      <c r="R8" s="7">
        <f>VLOOKUP($A8,[10]HISTOAVRIL22!$A$7:$AU$38,29,0)</f>
        <v>0</v>
      </c>
      <c r="S8" s="21">
        <f t="shared" si="2"/>
        <v>0</v>
      </c>
    </row>
    <row r="9" spans="1:19" x14ac:dyDescent="0.25">
      <c r="A9" s="1" t="s">
        <v>11</v>
      </c>
      <c r="B9" s="7">
        <f>IF(D9=0,0,VLOOKUP($A9,[8]HISTOJANV22!$A$6:$AZ$36,9,0))</f>
        <v>1</v>
      </c>
      <c r="C9" s="1" t="str">
        <f>VLOOKUP(A9,[9]LISTADHERENT!A$5:H$60,3,0)</f>
        <v>DJOUKWE NANGUEN GUY BLAISE</v>
      </c>
      <c r="D9" s="7">
        <f t="shared" si="1"/>
        <v>23000</v>
      </c>
      <c r="E9" s="7">
        <f>D9+VLOOKUP($A9,[10]HISTOAVRIL22!$A$7:$AU$38,45,0)+F9</f>
        <v>30000</v>
      </c>
      <c r="F9" s="7">
        <f>VLOOKUP($A9,[10]HISTOAVRIL22!$A$7:$AU$38,7,0)</f>
        <v>0</v>
      </c>
      <c r="G9" s="7" t="str">
        <f>VLOOKUP($A9,[10]HISTOAVRIL22!$A$7:$AU$38,8,0)</f>
        <v>BANQUE</v>
      </c>
      <c r="H9" s="7">
        <f>VLOOKUP($A9,[10]HISTOAVRIL22!$A$7:$AU$38,35,0)</f>
        <v>0</v>
      </c>
      <c r="I9" s="7">
        <f>VLOOKUP($A9,[10]HISTOAVRIL22!$A$7:$AU$38,38,0)</f>
        <v>0</v>
      </c>
      <c r="J9" s="7">
        <f>IF(I9=0,0,VLOOKUP($A9,[10]HISTOAVRIL22!$A$7:$AU$38,42,0))</f>
        <v>0</v>
      </c>
      <c r="K9" s="7">
        <f>VLOOKUP($A9,[10]HISTOAVRIL22!$A$7:$AU$38,41,0)</f>
        <v>0</v>
      </c>
      <c r="L9" s="7">
        <f>TONTMARS22!H9+TONTMARS22!I9</f>
        <v>0</v>
      </c>
      <c r="M9" s="7">
        <f>VLOOKUP($A9,[10]HISTOAVRIL22!$A$7:$AU$38,16,0)</f>
        <v>0</v>
      </c>
      <c r="N9" s="7" t="str">
        <f>IF(M9&lt;&gt;0,VLOOKUP($A9,[10]HISTOAVRIL22!$A$7:$AU$38,8,0),"ECHEC")</f>
        <v>ECHEC</v>
      </c>
      <c r="O9" s="7">
        <f>IF(R9=0,0,VLOOKUP($A9,[10]HISTOAVRIL22!$A$7:$AU$38,32,0))</f>
        <v>0</v>
      </c>
      <c r="P9" s="7">
        <f>VLOOKUP($A9,[10]HISTOAVRIL22!$A$7:$AU$38,33,0)</f>
        <v>0</v>
      </c>
      <c r="Q9" s="7">
        <f t="shared" si="0"/>
        <v>0</v>
      </c>
      <c r="R9" s="7">
        <f>VLOOKUP($A9,[10]HISTOAVRIL22!$A$7:$AU$38,29,0)</f>
        <v>0</v>
      </c>
      <c r="S9" s="21">
        <f t="shared" si="2"/>
        <v>0</v>
      </c>
    </row>
    <row r="10" spans="1:19" x14ac:dyDescent="0.25">
      <c r="A10" s="1" t="s">
        <v>12</v>
      </c>
      <c r="B10" s="7">
        <f>IF(D10=0,0,VLOOKUP($A10,[8]HISTOJANV22!$A$6:$AZ$36,9,0))</f>
        <v>1</v>
      </c>
      <c r="C10" s="1" t="str">
        <f>VLOOKUP(A10,[9]LISTADHERENT!A$5:H$60,3,0)</f>
        <v>DJUOMBESSY ANTOINE</v>
      </c>
      <c r="D10" s="7">
        <f t="shared" si="1"/>
        <v>23000</v>
      </c>
      <c r="E10" s="7">
        <f>D10+VLOOKUP($A10,[10]HISTOAVRIL22!$A$7:$AU$38,45,0)+F10</f>
        <v>27000</v>
      </c>
      <c r="F10" s="7">
        <f>VLOOKUP($A10,[10]HISTOAVRIL22!$A$7:$AU$38,7,0)</f>
        <v>0</v>
      </c>
      <c r="G10" s="7" t="str">
        <f>VLOOKUP($A10,[10]HISTOAVRIL22!$A$7:$AU$38,8,0)</f>
        <v>BANQUE</v>
      </c>
      <c r="H10" s="7">
        <f>VLOOKUP($A10,[10]HISTOAVRIL22!$A$7:$AU$38,35,0)</f>
        <v>0</v>
      </c>
      <c r="I10" s="7">
        <f>VLOOKUP($A10,[10]HISTOAVRIL22!$A$7:$AU$38,38,0)</f>
        <v>0</v>
      </c>
      <c r="J10" s="7">
        <f>IF(I10=0,0,VLOOKUP($A10,[10]HISTOAVRIL22!$A$7:$AU$38,42,0))</f>
        <v>0</v>
      </c>
      <c r="K10" s="7">
        <f>VLOOKUP($A10,[10]HISTOAVRIL22!$A$7:$AU$38,41,0)</f>
        <v>0</v>
      </c>
      <c r="L10" s="7">
        <f>TONTMARS22!H10+TONTMARS22!I10</f>
        <v>0</v>
      </c>
      <c r="M10" s="7">
        <f>VLOOKUP($A10,[10]HISTOAVRIL22!$A$7:$AU$38,16,0)</f>
        <v>0</v>
      </c>
      <c r="N10" s="7" t="str">
        <f>IF(M10&lt;&gt;0,VLOOKUP($A10,[10]HISTOAVRIL22!$A$7:$AU$38,8,0),"ECHEC")</f>
        <v>ECHEC</v>
      </c>
      <c r="O10" s="7">
        <f>IF(R10=0,0,VLOOKUP($A10,[10]HISTOAVRIL22!$A$7:$AU$38,32,0))</f>
        <v>0</v>
      </c>
      <c r="P10" s="7">
        <f>VLOOKUP($A10,[10]HISTOAVRIL22!$A$7:$AU$38,33,0)</f>
        <v>0</v>
      </c>
      <c r="Q10" s="7">
        <f t="shared" si="0"/>
        <v>0</v>
      </c>
      <c r="R10" s="7">
        <f>VLOOKUP($A10,[10]HISTOAVRIL22!$A$7:$AU$38,29,0)</f>
        <v>0</v>
      </c>
      <c r="S10" s="21">
        <f t="shared" si="2"/>
        <v>0</v>
      </c>
    </row>
    <row r="11" spans="1:19" x14ac:dyDescent="0.25">
      <c r="A11" s="1" t="s">
        <v>50</v>
      </c>
      <c r="B11" s="7">
        <f>IF(D11=0,0,VLOOKUP($A11,[8]HISTOJANV22!$A$6:$AZ$36,9,0))</f>
        <v>1</v>
      </c>
      <c r="C11" s="1" t="str">
        <f>VLOOKUP(A11,[9]LISTADHERENT!A$5:H$60,3,0)</f>
        <v>DOMOU FABIEN</v>
      </c>
      <c r="D11" s="7">
        <f t="shared" si="1"/>
        <v>23000</v>
      </c>
      <c r="E11" s="7">
        <f>D11+VLOOKUP($A11,[10]HISTOAVRIL22!$A$7:$AU$38,45,0)+F11</f>
        <v>35000</v>
      </c>
      <c r="F11" s="7">
        <f>VLOOKUP($A11,[10]HISTOAVRIL22!$A$7:$AU$38,7,0)</f>
        <v>0</v>
      </c>
      <c r="G11" s="7" t="str">
        <f>VLOOKUP($A11,[10]HISTOAVRIL22!$A$7:$AU$38,8,0)</f>
        <v>BANQUE</v>
      </c>
      <c r="H11" s="7">
        <f>VLOOKUP($A11,[10]HISTOAVRIL22!$A$7:$AU$38,35,0)</f>
        <v>0</v>
      </c>
      <c r="I11" s="7">
        <f>VLOOKUP($A11,[10]HISTOAVRIL22!$A$7:$AU$38,38,0)</f>
        <v>0</v>
      </c>
      <c r="J11" s="7">
        <f>IF(I11=0,0,VLOOKUP($A11,[10]HISTOAVRIL22!$A$7:$AU$38,42,0))</f>
        <v>0</v>
      </c>
      <c r="K11" s="7">
        <f>VLOOKUP($A11,[10]HISTOAVRIL22!$A$7:$AU$38,41,0)</f>
        <v>0</v>
      </c>
      <c r="L11" s="7">
        <f>TONTMARS22!H11+TONTMARS22!I11</f>
        <v>0</v>
      </c>
      <c r="M11" s="7">
        <f>VLOOKUP($A11,[10]HISTOAVRIL22!$A$7:$AU$38,16,0)</f>
        <v>0</v>
      </c>
      <c r="N11" s="7" t="str">
        <f>IF(M11&lt;&gt;0,VLOOKUP($A11,[10]HISTOAVRIL22!$A$7:$AU$38,8,0),"ECHEC")</f>
        <v>ECHEC</v>
      </c>
      <c r="O11" s="7">
        <f>IF(R11=0,0,VLOOKUP($A11,[10]HISTOAVRIL22!$A$7:$AU$38,32,0))</f>
        <v>0</v>
      </c>
      <c r="P11" s="7">
        <f>VLOOKUP($A11,[10]HISTOAVRIL22!$A$7:$AU$38,33,0)</f>
        <v>0</v>
      </c>
      <c r="Q11" s="7">
        <f t="shared" si="0"/>
        <v>0</v>
      </c>
      <c r="R11" s="7">
        <f>VLOOKUP($A11,[10]HISTOAVRIL22!$A$7:$AU$38,29,0)</f>
        <v>0</v>
      </c>
      <c r="S11" s="21">
        <f t="shared" si="2"/>
        <v>0</v>
      </c>
    </row>
    <row r="12" spans="1:19" x14ac:dyDescent="0.25">
      <c r="A12" s="1" t="s">
        <v>13</v>
      </c>
      <c r="B12" s="7">
        <f>IF(D12=0,0,VLOOKUP($A12,[8]HISTOJANV22!$A$6:$AZ$36,9,0))</f>
        <v>1</v>
      </c>
      <c r="C12" s="1" t="str">
        <f>VLOOKUP(A12,[9]LISTADHERENT!A$5:H$60,3,0)</f>
        <v>DONHOU DAVID</v>
      </c>
      <c r="D12" s="7">
        <f t="shared" si="1"/>
        <v>23000</v>
      </c>
      <c r="E12" s="7">
        <f>D12+VLOOKUP($A12,[10]HISTOAVRIL22!$A$7:$AU$38,45,0)+F12</f>
        <v>35000</v>
      </c>
      <c r="F12" s="7">
        <f>VLOOKUP($A12,[10]HISTOAVRIL22!$A$7:$AU$38,7,0)</f>
        <v>0</v>
      </c>
      <c r="G12" s="7" t="str">
        <f>VLOOKUP($A12,[10]HISTOAVRIL22!$A$7:$AU$38,8,0)</f>
        <v>BANQUE</v>
      </c>
      <c r="H12" s="7">
        <f>VLOOKUP($A12,[10]HISTOAVRIL22!$A$7:$AU$38,35,0)</f>
        <v>0</v>
      </c>
      <c r="I12" s="7">
        <f>VLOOKUP($A12,[10]HISTOAVRIL22!$A$7:$AU$38,38,0)</f>
        <v>0</v>
      </c>
      <c r="J12" s="7">
        <f>IF(I12=0,0,VLOOKUP($A12,[10]HISTOAVRIL22!$A$7:$AU$38,42,0))</f>
        <v>0</v>
      </c>
      <c r="K12" s="7">
        <f>VLOOKUP($A12,[10]HISTOAVRIL22!$A$7:$AU$38,41,0)</f>
        <v>0</v>
      </c>
      <c r="L12" s="7">
        <f>TONTMARS22!H12+TONTMARS22!I12</f>
        <v>0</v>
      </c>
      <c r="M12" s="7">
        <f>VLOOKUP($A12,[10]HISTOAVRIL22!$A$7:$AU$38,16,0)</f>
        <v>0</v>
      </c>
      <c r="N12" s="7" t="str">
        <f>IF(M12&lt;&gt;0,VLOOKUP($A12,[10]HISTOAVRIL22!$A$7:$AU$38,8,0),"ECHEC")</f>
        <v>ECHEC</v>
      </c>
      <c r="O12" s="7">
        <f>IF(R12=0,0,VLOOKUP($A12,[10]HISTOAVRIL22!$A$7:$AU$38,32,0))</f>
        <v>0</v>
      </c>
      <c r="P12" s="7">
        <f>VLOOKUP($A12,[10]HISTOAVRIL22!$A$7:$AU$38,33,0)</f>
        <v>0</v>
      </c>
      <c r="Q12" s="7">
        <f t="shared" si="0"/>
        <v>0</v>
      </c>
      <c r="R12" s="7">
        <f>VLOOKUP($A12,[10]HISTOAVRIL22!$A$7:$AU$38,29,0)</f>
        <v>0</v>
      </c>
      <c r="S12" s="21">
        <f t="shared" si="2"/>
        <v>0</v>
      </c>
    </row>
    <row r="13" spans="1:19" x14ac:dyDescent="0.25">
      <c r="A13" s="1" t="s">
        <v>15</v>
      </c>
      <c r="B13" s="7">
        <f>IF(D13=0,0,VLOOKUP($A13,[8]HISTOJANV22!$A$6:$AZ$36,9,0))</f>
        <v>1</v>
      </c>
      <c r="C13" s="1" t="str">
        <f>VLOOKUP(A13,[9]LISTADHERENT!A$5:H$60,3,0)</f>
        <v>HENGUE PAUL OMER</v>
      </c>
      <c r="D13" s="7">
        <f t="shared" si="1"/>
        <v>23000</v>
      </c>
      <c r="E13" s="7">
        <f>D13+VLOOKUP($A13,[10]HISTOAVRIL22!$A$7:$AU$38,45,0)+F13</f>
        <v>30000</v>
      </c>
      <c r="F13" s="7">
        <f>VLOOKUP($A13,[10]HISTOAVRIL22!$A$7:$AU$38,7,0)</f>
        <v>0</v>
      </c>
      <c r="G13" s="7" t="str">
        <f>VLOOKUP($A13,[10]HISTOAVRIL22!$A$7:$AU$38,8,0)</f>
        <v>BANQUE</v>
      </c>
      <c r="H13" s="7">
        <f>VLOOKUP($A13,[10]HISTOAVRIL22!$A$7:$AU$38,35,0)</f>
        <v>0</v>
      </c>
      <c r="I13" s="7">
        <f>VLOOKUP($A13,[10]HISTOAVRIL22!$A$7:$AU$38,38,0)</f>
        <v>0</v>
      </c>
      <c r="J13" s="7">
        <f>IF(I13=0,0,VLOOKUP($A13,[10]HISTOAVRIL22!$A$7:$AU$38,42,0))</f>
        <v>0</v>
      </c>
      <c r="K13" s="7">
        <f>VLOOKUP($A13,[10]HISTOAVRIL22!$A$7:$AU$38,41,0)</f>
        <v>0</v>
      </c>
      <c r="L13" s="7">
        <f>TONTMARS22!H13+TONTMARS22!I13</f>
        <v>0</v>
      </c>
      <c r="M13" s="7">
        <f>VLOOKUP($A13,[10]HISTOAVRIL22!$A$7:$AU$38,16,0)</f>
        <v>0</v>
      </c>
      <c r="N13" s="7" t="str">
        <f>IF(M13&lt;&gt;0,VLOOKUP($A13,[10]HISTOAVRIL22!$A$7:$AU$38,8,0),"ECHEC")</f>
        <v>ECHEC</v>
      </c>
      <c r="O13" s="7">
        <f>IF(R13=0,0,VLOOKUP($A13,[10]HISTOAVRIL22!$A$7:$AU$38,32,0))</f>
        <v>0</v>
      </c>
      <c r="P13" s="7">
        <f>VLOOKUP($A13,[10]HISTOAVRIL22!$A$7:$AU$38,33,0)</f>
        <v>0</v>
      </c>
      <c r="Q13" s="7">
        <f t="shared" si="0"/>
        <v>0</v>
      </c>
      <c r="R13" s="7">
        <f>VLOOKUP($A13,[10]HISTOAVRIL22!$A$7:$AU$38,29,0)</f>
        <v>0</v>
      </c>
      <c r="S13" s="21">
        <f t="shared" si="2"/>
        <v>0</v>
      </c>
    </row>
    <row r="14" spans="1:19" x14ac:dyDescent="0.25">
      <c r="A14" s="1" t="s">
        <v>16</v>
      </c>
      <c r="B14" s="7">
        <f>IF(D14=0,0,VLOOKUP($A14,[8]HISTOJANV22!$A$6:$AZ$36,9,0))</f>
        <v>1</v>
      </c>
      <c r="C14" s="1" t="str">
        <f>VLOOKUP(A14,[9]LISTADHERENT!A$5:H$60,3,0)</f>
        <v>HOTCHO BENJAMIN</v>
      </c>
      <c r="D14" s="7">
        <f t="shared" si="1"/>
        <v>23000</v>
      </c>
      <c r="E14" s="7">
        <f>D14+VLOOKUP($A14,[10]HISTOAVRIL22!$A$7:$AU$38,45,0)+F14</f>
        <v>75000</v>
      </c>
      <c r="F14" s="7">
        <f>VLOOKUP($A14,[10]HISTOAVRIL22!$A$7:$AU$38,7,0)</f>
        <v>0</v>
      </c>
      <c r="G14" s="7" t="str">
        <f>VLOOKUP($A14,[10]HISTOAVRIL22!$A$7:$AU$38,8,0)</f>
        <v>BANQUE</v>
      </c>
      <c r="H14" s="7">
        <f>VLOOKUP($A14,[10]HISTOAVRIL22!$A$7:$AU$38,35,0)</f>
        <v>0</v>
      </c>
      <c r="I14" s="7">
        <f>VLOOKUP($A14,[10]HISTOAVRIL22!$A$7:$AU$38,38,0)</f>
        <v>0</v>
      </c>
      <c r="J14" s="7">
        <f>IF(I14=0,0,VLOOKUP($A14,[10]HISTOAVRIL22!$A$7:$AU$38,42,0))</f>
        <v>0</v>
      </c>
      <c r="K14" s="7">
        <f>VLOOKUP($A14,[10]HISTOAVRIL22!$A$7:$AU$38,41,0)</f>
        <v>0</v>
      </c>
      <c r="L14" s="7">
        <f>TONTMARS22!H14+TONTMARS22!I14</f>
        <v>0</v>
      </c>
      <c r="M14" s="7">
        <f>VLOOKUP($A14,[10]HISTOAVRIL22!$A$7:$AU$38,16,0)</f>
        <v>0</v>
      </c>
      <c r="N14" s="7" t="str">
        <f>IF(M14&lt;&gt;0,VLOOKUP($A14,[10]HISTOAVRIL22!$A$7:$AU$38,8,0),"ECHEC")</f>
        <v>ECHEC</v>
      </c>
      <c r="O14" s="7">
        <f>IF(R14=0,0,VLOOKUP($A14,[10]HISTOAVRIL22!$A$7:$AU$38,32,0))</f>
        <v>0</v>
      </c>
      <c r="P14" s="7">
        <f>VLOOKUP($A14,[10]HISTOAVRIL22!$A$7:$AU$38,33,0)</f>
        <v>0</v>
      </c>
      <c r="Q14" s="7">
        <f t="shared" si="0"/>
        <v>0</v>
      </c>
      <c r="R14" s="7">
        <f>VLOOKUP($A14,[10]HISTOAVRIL22!$A$7:$AU$38,29,0)</f>
        <v>0</v>
      </c>
      <c r="S14" s="21">
        <f t="shared" si="2"/>
        <v>0</v>
      </c>
    </row>
    <row r="15" spans="1:19" x14ac:dyDescent="0.25">
      <c r="A15" s="1" t="s">
        <v>17</v>
      </c>
      <c r="B15" s="7">
        <f>IF(D15=0,0,VLOOKUP($A15,[8]HISTOJANV22!$A$6:$AZ$36,9,0))</f>
        <v>1</v>
      </c>
      <c r="C15" s="1" t="str">
        <f>VLOOKUP(A15,[9]LISTADHERENT!A$5:H$60,3,0)</f>
        <v>KOUAMOU MOISE</v>
      </c>
      <c r="D15" s="7">
        <f t="shared" si="1"/>
        <v>23000</v>
      </c>
      <c r="E15" s="7">
        <f>D15+VLOOKUP($A15,[10]HISTOAVRIL22!$A$7:$AU$38,45,0)+F15</f>
        <v>29000</v>
      </c>
      <c r="F15" s="7">
        <f>VLOOKUP($A15,[10]HISTOAVRIL22!$A$7:$AU$38,7,0)</f>
        <v>0</v>
      </c>
      <c r="G15" s="7" t="str">
        <f>VLOOKUP($A15,[10]HISTOAVRIL22!$A$7:$AU$38,8,0)</f>
        <v>BANQUE</v>
      </c>
      <c r="H15" s="7">
        <f>VLOOKUP($A15,[10]HISTOAVRIL22!$A$7:$AU$38,35,0)</f>
        <v>0</v>
      </c>
      <c r="I15" s="7">
        <f>VLOOKUP($A15,[10]HISTOAVRIL22!$A$7:$AU$38,38,0)</f>
        <v>0</v>
      </c>
      <c r="J15" s="7">
        <f>IF(I15=0,0,VLOOKUP($A15,[10]HISTOAVRIL22!$A$7:$AU$38,42,0))</f>
        <v>0</v>
      </c>
      <c r="K15" s="7">
        <f>VLOOKUP($A15,[10]HISTOAVRIL22!$A$7:$AU$38,41,0)</f>
        <v>0</v>
      </c>
      <c r="L15" s="7">
        <f>TONTMARS22!H15+TONTMARS22!I15</f>
        <v>0</v>
      </c>
      <c r="M15" s="7">
        <f>VLOOKUP($A15,[10]HISTOAVRIL22!$A$7:$AU$38,16,0)</f>
        <v>0</v>
      </c>
      <c r="N15" s="7" t="str">
        <f>IF(M15&lt;&gt;0,VLOOKUP($A15,[10]HISTOAVRIL22!$A$7:$AU$38,8,0),"ECHEC")</f>
        <v>ECHEC</v>
      </c>
      <c r="O15" s="7">
        <f>IF(R15=0,0,VLOOKUP($A15,[10]HISTOAVRIL22!$A$7:$AU$38,32,0))</f>
        <v>0</v>
      </c>
      <c r="P15" s="7">
        <f>VLOOKUP($A15,[10]HISTOAVRIL22!$A$7:$AU$38,33,0)</f>
        <v>0</v>
      </c>
      <c r="Q15" s="7">
        <f t="shared" si="0"/>
        <v>0</v>
      </c>
      <c r="R15" s="7">
        <f>VLOOKUP($A15,[10]HISTOAVRIL22!$A$7:$AU$38,29,0)</f>
        <v>0</v>
      </c>
      <c r="S15" s="21">
        <f t="shared" si="2"/>
        <v>0</v>
      </c>
    </row>
    <row r="16" spans="1:19" x14ac:dyDescent="0.25">
      <c r="A16" s="1" t="s">
        <v>18</v>
      </c>
      <c r="B16" s="7">
        <f>IF(D16=0,0,VLOOKUP($A16,[8]HISTOJANV22!$A$6:$AZ$36,9,0))</f>
        <v>1</v>
      </c>
      <c r="C16" s="1" t="str">
        <f>VLOOKUP(A16,[9]LISTADHERENT!A$5:H$60,3,0)</f>
        <v>KOUATCHO MESSACK</v>
      </c>
      <c r="D16" s="7">
        <f t="shared" si="1"/>
        <v>23000</v>
      </c>
      <c r="E16" s="7">
        <f>D16+VLOOKUP($A16,[10]HISTOAVRIL22!$A$7:$AU$38,45,0)+F16</f>
        <v>34500</v>
      </c>
      <c r="F16" s="7">
        <f>VLOOKUP($A16,[10]HISTOAVRIL22!$A$7:$AU$38,7,0)</f>
        <v>3000</v>
      </c>
      <c r="G16" s="7" t="str">
        <f>VLOOKUP($A16,[10]HISTOAVRIL22!$A$7:$AU$38,8,0)</f>
        <v>BANQUE</v>
      </c>
      <c r="H16" s="7">
        <f>VLOOKUP($A16,[10]HISTOAVRIL22!$A$7:$AU$38,35,0)</f>
        <v>0</v>
      </c>
      <c r="I16" s="7">
        <f>VLOOKUP($A16,[10]HISTOAVRIL22!$A$7:$AU$38,38,0)</f>
        <v>0</v>
      </c>
      <c r="J16" s="7">
        <f>IF(I16=0,0,VLOOKUP($A16,[10]HISTOAVRIL22!$A$7:$AU$38,42,0))</f>
        <v>0</v>
      </c>
      <c r="K16" s="7">
        <f>VLOOKUP($A16,[10]HISTOAVRIL22!$A$7:$AU$38,41,0)</f>
        <v>0</v>
      </c>
      <c r="L16" s="7">
        <f>TONTMARS22!H16+TONTMARS22!I16</f>
        <v>0</v>
      </c>
      <c r="M16" s="7">
        <f>VLOOKUP($A16,[10]HISTOAVRIL22!$A$7:$AU$38,16,0)</f>
        <v>0</v>
      </c>
      <c r="N16" s="7" t="str">
        <f>IF(M16&lt;&gt;0,VLOOKUP($A16,[10]HISTOAVRIL22!$A$7:$AU$38,8,0),"ECHEC")</f>
        <v>ECHEC</v>
      </c>
      <c r="O16" s="7">
        <f>IF(R16=0,0,VLOOKUP($A16,[10]HISTOAVRIL22!$A$7:$AU$38,32,0))</f>
        <v>0</v>
      </c>
      <c r="P16" s="7">
        <f>VLOOKUP($A16,[10]HISTOAVRIL22!$A$7:$AU$38,33,0)</f>
        <v>0</v>
      </c>
      <c r="Q16" s="7">
        <f t="shared" si="0"/>
        <v>0</v>
      </c>
      <c r="R16" s="7">
        <f>VLOOKUP($A16,[10]HISTOAVRIL22!$A$7:$AU$38,29,0)</f>
        <v>0</v>
      </c>
      <c r="S16" s="21">
        <f t="shared" si="2"/>
        <v>0</v>
      </c>
    </row>
    <row r="17" spans="1:19" x14ac:dyDescent="0.25">
      <c r="A17" s="1" t="s">
        <v>19</v>
      </c>
      <c r="B17" s="7">
        <f>IF(D17=0,0,VLOOKUP($A17,[8]HISTOJANV22!$A$6:$AZ$36,9,0))</f>
        <v>1</v>
      </c>
      <c r="C17" s="1" t="str">
        <f>VLOOKUP(A17,[9]LISTADHERENT!A$5:H$60,3,0)</f>
        <v>LOWE JEAN</v>
      </c>
      <c r="D17" s="7">
        <f t="shared" si="1"/>
        <v>23000</v>
      </c>
      <c r="E17" s="7">
        <f>D17+VLOOKUP($A17,[10]HISTOAVRIL22!$A$7:$AU$38,45,0)+F17</f>
        <v>30000</v>
      </c>
      <c r="F17" s="7">
        <f>VLOOKUP($A17,[10]HISTOAVRIL22!$A$7:$AU$38,7,0)</f>
        <v>0</v>
      </c>
      <c r="G17" s="7" t="str">
        <f>VLOOKUP($A17,[10]HISTOAVRIL22!$A$7:$AU$38,8,0)</f>
        <v>BANQUE</v>
      </c>
      <c r="H17" s="7">
        <f>VLOOKUP($A17,[10]HISTOAVRIL22!$A$7:$AU$38,35,0)</f>
        <v>0</v>
      </c>
      <c r="I17" s="7">
        <f>VLOOKUP($A17,[10]HISTOAVRIL22!$A$7:$AU$38,38,0)</f>
        <v>0</v>
      </c>
      <c r="J17" s="7">
        <f>IF(I17=0,0,VLOOKUP($A17,[10]HISTOAVRIL22!$A$7:$AU$38,42,0))</f>
        <v>0</v>
      </c>
      <c r="K17" s="7">
        <f>VLOOKUP($A17,[10]HISTOAVRIL22!$A$7:$AU$38,41,0)</f>
        <v>0</v>
      </c>
      <c r="L17" s="7">
        <f>TONTMARS22!H17+TONTMARS22!I17</f>
        <v>0</v>
      </c>
      <c r="M17" s="7">
        <f>VLOOKUP($A17,[10]HISTOAVRIL22!$A$7:$AU$38,16,0)</f>
        <v>0</v>
      </c>
      <c r="N17" s="7" t="str">
        <f>IF(M17&lt;&gt;0,VLOOKUP($A17,[10]HISTOAVRIL22!$A$7:$AU$38,8,0),"ECHEC")</f>
        <v>ECHEC</v>
      </c>
      <c r="O17" s="7">
        <f>IF(R17=0,0,VLOOKUP($A17,[10]HISTOAVRIL22!$A$7:$AU$38,32,0))</f>
        <v>0</v>
      </c>
      <c r="P17" s="7">
        <f>VLOOKUP($A17,[10]HISTOAVRIL22!$A$7:$AU$38,33,0)</f>
        <v>0</v>
      </c>
      <c r="Q17" s="7">
        <f t="shared" si="0"/>
        <v>0</v>
      </c>
      <c r="R17" s="7">
        <f>VLOOKUP($A17,[10]HISTOAVRIL22!$A$7:$AU$38,29,0)</f>
        <v>0</v>
      </c>
      <c r="S17" s="21">
        <f t="shared" si="2"/>
        <v>0</v>
      </c>
    </row>
    <row r="18" spans="1:19" x14ac:dyDescent="0.25">
      <c r="A18" s="1" t="s">
        <v>49</v>
      </c>
      <c r="B18" s="7">
        <f>IF(D18=0,0,VLOOKUP($A18,[8]HISTOJANV22!$A$6:$AZ$36,9,0))</f>
        <v>1</v>
      </c>
      <c r="C18" s="1" t="str">
        <f>VLOOKUP(A18,[9]LISTADHERENT!A$5:H$60,3,0)</f>
        <v>MBOGNING TUGMA GUY</v>
      </c>
      <c r="D18" s="7">
        <f t="shared" si="1"/>
        <v>23000</v>
      </c>
      <c r="E18" s="7">
        <f>D18+VLOOKUP($A18,[10]HISTOAVRIL22!$A$7:$AU$38,45,0)+F18</f>
        <v>30000</v>
      </c>
      <c r="F18" s="7">
        <f>VLOOKUP($A18,[10]HISTOAVRIL22!$A$7:$AU$38,7,0)</f>
        <v>0</v>
      </c>
      <c r="G18" s="7" t="str">
        <f>VLOOKUP($A18,[10]HISTOAVRIL22!$A$7:$AU$38,8,0)</f>
        <v>BANQUE</v>
      </c>
      <c r="H18" s="7">
        <f>VLOOKUP($A18,[10]HISTOAVRIL22!$A$7:$AU$38,35,0)</f>
        <v>0</v>
      </c>
      <c r="I18" s="7">
        <f>VLOOKUP($A18,[10]HISTOAVRIL22!$A$7:$AU$38,38,0)</f>
        <v>0</v>
      </c>
      <c r="J18" s="7">
        <f>IF(I18=0,0,VLOOKUP($A18,[10]HISTOAVRIL22!$A$7:$AU$38,42,0))</f>
        <v>0</v>
      </c>
      <c r="K18" s="7">
        <f>VLOOKUP($A18,[10]HISTOAVRIL22!$A$7:$AU$38,41,0)</f>
        <v>0</v>
      </c>
      <c r="L18" s="7">
        <f>TONTMARS22!H18+TONTMARS22!I18</f>
        <v>0</v>
      </c>
      <c r="M18" s="7">
        <f>VLOOKUP($A18,[10]HISTOAVRIL22!$A$7:$AU$38,16,0)</f>
        <v>0</v>
      </c>
      <c r="N18" s="7" t="str">
        <f>IF(M18&lt;&gt;0,VLOOKUP($A18,[10]HISTOAVRIL22!$A$7:$AU$38,8,0),"ECHEC")</f>
        <v>ECHEC</v>
      </c>
      <c r="O18" s="7">
        <f>IF(R18=0,0,VLOOKUP($A18,[10]HISTOAVRIL22!$A$7:$AU$38,32,0))</f>
        <v>0</v>
      </c>
      <c r="P18" s="7">
        <f>VLOOKUP($A18,[10]HISTOAVRIL22!$A$7:$AU$38,33,0)</f>
        <v>0</v>
      </c>
      <c r="Q18" s="7">
        <f t="shared" si="0"/>
        <v>0</v>
      </c>
      <c r="R18" s="7">
        <f>VLOOKUP($A18,[10]HISTOAVRIL22!$A$7:$AU$38,29,0)</f>
        <v>0</v>
      </c>
      <c r="S18" s="21">
        <f t="shared" si="2"/>
        <v>0</v>
      </c>
    </row>
    <row r="19" spans="1:19" x14ac:dyDescent="0.25">
      <c r="A19" s="1" t="s">
        <v>30</v>
      </c>
      <c r="B19" s="7">
        <f>IF(D19=0,0,VLOOKUP($A19,[8]HISTOJANV22!$A$6:$AZ$36,9,0))</f>
        <v>1</v>
      </c>
      <c r="C19" s="1" t="str">
        <f>VLOOKUP(A19,[9]LISTADHERENT!A$5:H$60,3,0)</f>
        <v>NANGUEN MARTIN</v>
      </c>
      <c r="D19" s="7">
        <f t="shared" si="1"/>
        <v>23000</v>
      </c>
      <c r="E19" s="7">
        <f>D19+VLOOKUP($A19,[10]HISTOAVRIL22!$A$7:$AU$38,45,0)+F19</f>
        <v>30000</v>
      </c>
      <c r="F19" s="7">
        <f>VLOOKUP($A19,[10]HISTOAVRIL22!$A$7:$AU$38,7,0)</f>
        <v>0</v>
      </c>
      <c r="G19" s="7" t="str">
        <f>VLOOKUP($A19,[10]HISTOAVRIL22!$A$7:$AU$38,8,0)</f>
        <v>BANQUE</v>
      </c>
      <c r="H19" s="7">
        <f>VLOOKUP($A19,[10]HISTOAVRIL22!$A$7:$AU$38,35,0)</f>
        <v>0</v>
      </c>
      <c r="I19" s="7">
        <f>VLOOKUP($A19,[10]HISTOAVRIL22!$A$7:$AU$38,38,0)</f>
        <v>0</v>
      </c>
      <c r="J19" s="7">
        <f>IF(I19=0,0,VLOOKUP($A19,[10]HISTOAVRIL22!$A$7:$AU$38,42,0))</f>
        <v>0</v>
      </c>
      <c r="K19" s="7">
        <f>VLOOKUP($A19,[10]HISTOAVRIL22!$A$7:$AU$38,41,0)</f>
        <v>0</v>
      </c>
      <c r="L19" s="7">
        <f>TONTMARS22!H19+TONTMARS22!I19</f>
        <v>0</v>
      </c>
      <c r="M19" s="7">
        <f>VLOOKUP($A19,[10]HISTOAVRIL22!$A$7:$AU$38,16,0)</f>
        <v>0</v>
      </c>
      <c r="N19" s="7" t="str">
        <f>IF(M19&lt;&gt;0,VLOOKUP($A19,[10]HISTOAVRIL22!$A$7:$AU$38,8,0),"ECHEC")</f>
        <v>ECHEC</v>
      </c>
      <c r="O19" s="7">
        <f>IF(R19=0,0,VLOOKUP($A19,[10]HISTOAVRIL22!$A$7:$AU$38,32,0))</f>
        <v>0</v>
      </c>
      <c r="P19" s="7">
        <f>VLOOKUP($A19,[10]HISTOAVRIL22!$A$7:$AU$38,33,0)</f>
        <v>0</v>
      </c>
      <c r="Q19" s="7">
        <f t="shared" si="0"/>
        <v>0</v>
      </c>
      <c r="R19" s="7">
        <f>VLOOKUP($A19,[10]HISTOAVRIL22!$A$7:$AU$38,29,0)</f>
        <v>0</v>
      </c>
      <c r="S19" s="21">
        <f t="shared" si="2"/>
        <v>0</v>
      </c>
    </row>
    <row r="20" spans="1:19" x14ac:dyDescent="0.25">
      <c r="A20" s="1" t="s">
        <v>20</v>
      </c>
      <c r="B20" s="7">
        <f>IF(D20=0,0,VLOOKUP($A20,[8]HISTOJANV22!$A$6:$AZ$36,9,0))</f>
        <v>1</v>
      </c>
      <c r="C20" s="1" t="str">
        <f>VLOOKUP(A20,[9]LISTADHERENT!A$5:H$60,3,0)</f>
        <v>NANKAM APPOLINAIRE</v>
      </c>
      <c r="D20" s="7">
        <f t="shared" si="1"/>
        <v>23000</v>
      </c>
      <c r="E20" s="7">
        <f>D20+VLOOKUP($A20,[10]HISTOAVRIL22!$A$7:$AU$38,45,0)+F20</f>
        <v>30000</v>
      </c>
      <c r="F20" s="7">
        <f>VLOOKUP($A20,[10]HISTOAVRIL22!$A$7:$AU$38,7,0)</f>
        <v>0</v>
      </c>
      <c r="G20" s="7" t="str">
        <f>VLOOKUP($A20,[10]HISTOAVRIL22!$A$7:$AU$38,8,0)</f>
        <v>BANQUE</v>
      </c>
      <c r="H20" s="7">
        <f>VLOOKUP($A20,[10]HISTOAVRIL22!$A$7:$AU$38,35,0)</f>
        <v>0</v>
      </c>
      <c r="I20" s="7">
        <f>VLOOKUP($A20,[10]HISTOAVRIL22!$A$7:$AU$38,38,0)</f>
        <v>0</v>
      </c>
      <c r="J20" s="7">
        <f>IF(I20=0,0,VLOOKUP($A20,[10]HISTOAVRIL22!$A$7:$AU$38,42,0))</f>
        <v>0</v>
      </c>
      <c r="K20" s="7">
        <f>VLOOKUP($A20,[10]HISTOAVRIL22!$A$7:$AU$38,41,0)</f>
        <v>0</v>
      </c>
      <c r="L20" s="7">
        <f>TONTMARS22!H20+TONTMARS22!I20</f>
        <v>0</v>
      </c>
      <c r="M20" s="7">
        <f>VLOOKUP($A20,[10]HISTOAVRIL22!$A$7:$AU$38,16,0)</f>
        <v>0</v>
      </c>
      <c r="N20" s="7" t="str">
        <f>IF(M20&lt;&gt;0,VLOOKUP($A20,[10]HISTOAVRIL22!$A$7:$AU$38,8,0),"ECHEC")</f>
        <v>ECHEC</v>
      </c>
      <c r="O20" s="7">
        <f>IF(R20=0,0,VLOOKUP($A20,[10]HISTOAVRIL22!$A$7:$AU$38,32,0))</f>
        <v>0</v>
      </c>
      <c r="P20" s="7">
        <f>VLOOKUP($A20,[10]HISTOAVRIL22!$A$7:$AU$38,33,0)</f>
        <v>0</v>
      </c>
      <c r="Q20" s="7">
        <f t="shared" ref="Q20:Q31" si="3">IF(R20=0,0,($C$3-R20))</f>
        <v>0</v>
      </c>
      <c r="R20" s="7">
        <f>VLOOKUP($A20,[10]HISTOAVRIL22!$A$7:$AU$38,29,0)</f>
        <v>0</v>
      </c>
      <c r="S20" s="21">
        <f t="shared" si="2"/>
        <v>0</v>
      </c>
    </row>
    <row r="21" spans="1:19" x14ac:dyDescent="0.25">
      <c r="A21" s="1" t="s">
        <v>21</v>
      </c>
      <c r="B21" s="7">
        <f>IF(D21=0,0,VLOOKUP($A21,[8]HISTOJANV22!$A$6:$AZ$36,9,0))</f>
        <v>1</v>
      </c>
      <c r="C21" s="1" t="str">
        <f>VLOOKUP(A21,[9]LISTADHERENT!A$5:H$60,3,0)</f>
        <v>NDJOMO ETIENNE</v>
      </c>
      <c r="D21" s="7">
        <f t="shared" si="1"/>
        <v>23000</v>
      </c>
      <c r="E21" s="7">
        <f>D21+VLOOKUP($A21,[10]HISTOAVRIL22!$A$7:$AU$38,45,0)+F21</f>
        <v>50000</v>
      </c>
      <c r="F21" s="7">
        <f>VLOOKUP($A21,[10]HISTOAVRIL22!$A$7:$AU$38,7,0)</f>
        <v>0</v>
      </c>
      <c r="G21" s="7" t="str">
        <f>VLOOKUP($A21,[10]HISTOAVRIL22!$A$7:$AU$38,8,0)</f>
        <v>BANQUE</v>
      </c>
      <c r="H21" s="7">
        <f>VLOOKUP($A21,[10]HISTOAVRIL22!$A$7:$AU$38,35,0)</f>
        <v>0</v>
      </c>
      <c r="I21" s="7">
        <f>VLOOKUP($A21,[10]HISTOAVRIL22!$A$7:$AU$38,38,0)</f>
        <v>0</v>
      </c>
      <c r="J21" s="7">
        <f>IF(I21=0,0,VLOOKUP($A21,[10]HISTOAVRIL22!$A$7:$AU$38,42,0))</f>
        <v>0</v>
      </c>
      <c r="K21" s="7">
        <f>VLOOKUP($A21,[10]HISTOAVRIL22!$A$7:$AU$38,41,0)</f>
        <v>0</v>
      </c>
      <c r="L21" s="7">
        <f>TONTMARS22!H21+TONTMARS22!I21</f>
        <v>0</v>
      </c>
      <c r="M21" s="7">
        <f>VLOOKUP($A21,[10]HISTOAVRIL22!$A$7:$AU$38,16,0)</f>
        <v>0</v>
      </c>
      <c r="N21" s="7" t="str">
        <f>IF(M21&lt;&gt;0,VLOOKUP($A21,[10]HISTOAVRIL22!$A$7:$AU$38,8,0),"ECHEC")</f>
        <v>ECHEC</v>
      </c>
      <c r="O21" s="7">
        <f>IF(R21=0,0,VLOOKUP($A21,[10]HISTOAVRIL22!$A$7:$AU$38,32,0))</f>
        <v>0</v>
      </c>
      <c r="P21" s="7">
        <f>VLOOKUP($A21,[10]HISTOAVRIL22!$A$7:$AU$38,33,0)</f>
        <v>0</v>
      </c>
      <c r="Q21" s="7">
        <f t="shared" si="3"/>
        <v>0</v>
      </c>
      <c r="R21" s="7">
        <f>VLOOKUP($A21,[10]HISTOAVRIL22!$A$7:$AU$38,29,0)</f>
        <v>0</v>
      </c>
      <c r="S21" s="21">
        <f t="shared" si="2"/>
        <v>0</v>
      </c>
    </row>
    <row r="22" spans="1:19" x14ac:dyDescent="0.25">
      <c r="A22" s="1" t="s">
        <v>22</v>
      </c>
      <c r="B22" s="7">
        <f>IF(D22=0,0,VLOOKUP($A22,[8]HISTOJANV22!$A$6:$AZ$36,9,0))</f>
        <v>1</v>
      </c>
      <c r="C22" s="1" t="str">
        <f>VLOOKUP(A22,[9]LISTADHERENT!A$5:H$60,3,0)</f>
        <v>NGONDIEP CLAUDE</v>
      </c>
      <c r="D22" s="7">
        <f t="shared" si="1"/>
        <v>23000</v>
      </c>
      <c r="E22" s="7">
        <f>D22+VLOOKUP($A22,[10]HISTOAVRIL22!$A$7:$AU$38,45,0)+F22</f>
        <v>38000</v>
      </c>
      <c r="F22" s="7">
        <f>VLOOKUP($A22,[10]HISTOAVRIL22!$A$7:$AU$38,7,0)</f>
        <v>3000</v>
      </c>
      <c r="G22" s="7" t="str">
        <f>VLOOKUP($A22,[10]HISTOAVRIL22!$A$7:$AU$38,8,0)</f>
        <v>BANQUE</v>
      </c>
      <c r="H22" s="7">
        <f>VLOOKUP($A22,[10]HISTOAVRIL22!$A$7:$AU$38,35,0)</f>
        <v>0</v>
      </c>
      <c r="I22" s="7">
        <f>VLOOKUP($A22,[10]HISTOAVRIL22!$A$7:$AU$38,38,0)</f>
        <v>0</v>
      </c>
      <c r="J22" s="7">
        <f>IF(I22=0,0,VLOOKUP($A22,[10]HISTOAVRIL22!$A$7:$AU$38,42,0))</f>
        <v>0</v>
      </c>
      <c r="K22" s="7">
        <f>VLOOKUP($A22,[10]HISTOAVRIL22!$A$7:$AU$38,41,0)</f>
        <v>0</v>
      </c>
      <c r="L22" s="7">
        <f>TONTMARS22!H22+TONTMARS22!I22</f>
        <v>0</v>
      </c>
      <c r="M22" s="7">
        <f>VLOOKUP($A22,[10]HISTOAVRIL22!$A$7:$AU$38,16,0)</f>
        <v>0</v>
      </c>
      <c r="N22" s="7" t="str">
        <f>IF(M22&lt;&gt;0,VLOOKUP($A22,[10]HISTOAVRIL22!$A$7:$AU$38,8,0),"ECHEC")</f>
        <v>ECHEC</v>
      </c>
      <c r="O22" s="7" t="str">
        <f>IF(R22=0,0,VLOOKUP($A22,[10]HISTOAVRIL22!$A$7:$AU$38,32,0))</f>
        <v>BANQUE</v>
      </c>
      <c r="P22" s="7">
        <f>VLOOKUP($A22,[10]HISTOAVRIL22!$A$7:$AU$38,33,0)</f>
        <v>0</v>
      </c>
      <c r="Q22" s="7">
        <f t="shared" si="3"/>
        <v>275000</v>
      </c>
      <c r="R22" s="7">
        <f>VLOOKUP($A22,[10]HISTOAVRIL22!$A$7:$AU$38,29,0)</f>
        <v>25000</v>
      </c>
      <c r="S22" s="21">
        <f t="shared" si="2"/>
        <v>2000</v>
      </c>
    </row>
    <row r="23" spans="1:19" x14ac:dyDescent="0.25">
      <c r="A23" s="1" t="s">
        <v>23</v>
      </c>
      <c r="B23" s="7">
        <f>IF(D23=0,0,VLOOKUP($A23,[8]HISTOJANV22!$A$6:$AZ$36,9,0))</f>
        <v>1</v>
      </c>
      <c r="C23" s="1" t="str">
        <f>VLOOKUP(A23,[9]LISTADHERENT!A$5:H$60,3,0)</f>
        <v>NGUIEMEGNI MATHIEU BLAISE</v>
      </c>
      <c r="D23" s="7">
        <f t="shared" si="1"/>
        <v>23000</v>
      </c>
      <c r="E23" s="7">
        <f>D23+VLOOKUP($A23,[10]HISTOAVRIL22!$A$7:$AU$38,45,0)+F23</f>
        <v>30000</v>
      </c>
      <c r="F23" s="7">
        <f>VLOOKUP($A23,[10]HISTOAVRIL22!$A$7:$AU$38,7,0)</f>
        <v>0</v>
      </c>
      <c r="G23" s="7" t="str">
        <f>VLOOKUP($A23,[10]HISTOAVRIL22!$A$7:$AU$38,8,0)</f>
        <v>BANQUE</v>
      </c>
      <c r="H23" s="7">
        <f>VLOOKUP($A23,[10]HISTOAVRIL22!$A$7:$AU$38,35,0)</f>
        <v>0</v>
      </c>
      <c r="I23" s="7">
        <f>VLOOKUP($A23,[10]HISTOAVRIL22!$A$7:$AU$38,38,0)</f>
        <v>0</v>
      </c>
      <c r="J23" s="7">
        <f>IF(I23=0,0,VLOOKUP($A23,[10]HISTOAVRIL22!$A$7:$AU$38,42,0))</f>
        <v>0</v>
      </c>
      <c r="K23" s="7">
        <f>VLOOKUP($A23,[10]HISTOAVRIL22!$A$7:$AU$38,41,0)</f>
        <v>0</v>
      </c>
      <c r="L23" s="7">
        <f>TONTMARS22!H23+TONTMARS22!I23</f>
        <v>0</v>
      </c>
      <c r="M23" s="7">
        <f>VLOOKUP($A23,[10]HISTOAVRIL22!$A$7:$AU$38,16,0)</f>
        <v>0</v>
      </c>
      <c r="N23" s="7" t="str">
        <f>IF(M23&lt;&gt;0,VLOOKUP($A23,[10]HISTOAVRIL22!$A$7:$AU$38,8,0),"ECHEC")</f>
        <v>ECHEC</v>
      </c>
      <c r="O23" s="7">
        <f>IF(R23=0,0,VLOOKUP($A23,[10]HISTOAVRIL22!$A$7:$AU$38,32,0))</f>
        <v>0</v>
      </c>
      <c r="P23" s="7">
        <f>VLOOKUP($A23,[10]HISTOAVRIL22!$A$7:$AU$38,33,0)</f>
        <v>0</v>
      </c>
      <c r="Q23" s="7">
        <f t="shared" si="3"/>
        <v>0</v>
      </c>
      <c r="R23" s="7">
        <f>VLOOKUP($A23,[10]HISTOAVRIL22!$A$7:$AU$38,29,0)</f>
        <v>0</v>
      </c>
      <c r="S23" s="21">
        <f t="shared" si="2"/>
        <v>0</v>
      </c>
    </row>
    <row r="24" spans="1:19" x14ac:dyDescent="0.25">
      <c r="A24" s="1" t="s">
        <v>24</v>
      </c>
      <c r="B24" s="7">
        <f>IF(D24=0,0,VLOOKUP($A24,[8]HISTOJANV22!$A$6:$AZ$36,9,0))</f>
        <v>1</v>
      </c>
      <c r="C24" s="1" t="str">
        <f>VLOOKUP(A24,[9]LISTADHERENT!A$5:H$60,3,0)</f>
        <v>NKAMGANG JUSTIN DEJOLIE</v>
      </c>
      <c r="D24" s="7">
        <f t="shared" si="1"/>
        <v>23000</v>
      </c>
      <c r="E24" s="7">
        <f>D24+VLOOKUP($A24,[10]HISTOAVRIL22!$A$7:$AU$38,45,0)+F24</f>
        <v>33000</v>
      </c>
      <c r="F24" s="7">
        <f>VLOOKUP($A24,[10]HISTOAVRIL22!$A$7:$AU$38,7,0)</f>
        <v>3000</v>
      </c>
      <c r="G24" s="7" t="str">
        <f>VLOOKUP($A24,[10]HISTOAVRIL22!$A$7:$AU$38,8,0)</f>
        <v>BANQUE</v>
      </c>
      <c r="H24" s="7">
        <f>VLOOKUP($A24,[10]HISTOAVRIL22!$A$7:$AU$38,35,0)</f>
        <v>0</v>
      </c>
      <c r="I24" s="7">
        <f>VLOOKUP($A24,[10]HISTOAVRIL22!$A$7:$AU$38,38,0)</f>
        <v>0</v>
      </c>
      <c r="J24" s="7">
        <f>IF(I24=0,0,VLOOKUP($A24,[10]HISTOAVRIL22!$A$7:$AU$38,42,0))</f>
        <v>0</v>
      </c>
      <c r="K24" s="7">
        <f>VLOOKUP($A24,[10]HISTOAVRIL22!$A$7:$AU$38,41,0)</f>
        <v>0</v>
      </c>
      <c r="L24" s="7">
        <f>TONTMARS22!H24+TONTMARS22!I24</f>
        <v>0</v>
      </c>
      <c r="M24" s="7">
        <f>VLOOKUP($A24,[10]HISTOAVRIL22!$A$7:$AU$38,16,0)</f>
        <v>0</v>
      </c>
      <c r="N24" s="7" t="str">
        <f>IF(M24&lt;&gt;0,VLOOKUP($A24,[10]HISTOAVRIL22!$A$7:$AU$38,8,0),"ECHEC")</f>
        <v>ECHEC</v>
      </c>
      <c r="O24" s="7">
        <f>IF(R24=0,0,VLOOKUP($A24,[10]HISTOAVRIL22!$A$7:$AU$38,32,0))</f>
        <v>0</v>
      </c>
      <c r="P24" s="7">
        <f>VLOOKUP($A24,[10]HISTOAVRIL22!$A$7:$AU$38,33,0)</f>
        <v>0</v>
      </c>
      <c r="Q24" s="7">
        <f t="shared" si="3"/>
        <v>0</v>
      </c>
      <c r="R24" s="7">
        <f>VLOOKUP($A24,[10]HISTOAVRIL22!$A$7:$AU$38,29,0)</f>
        <v>0</v>
      </c>
      <c r="S24" s="21">
        <f t="shared" si="2"/>
        <v>0</v>
      </c>
    </row>
    <row r="25" spans="1:19" x14ac:dyDescent="0.25">
      <c r="A25" s="1" t="s">
        <v>25</v>
      </c>
      <c r="B25" s="7">
        <f>IF(D25=0,0,VLOOKUP($A25,[8]HISTOJANV22!$A$6:$AZ$36,9,0))</f>
        <v>1</v>
      </c>
      <c r="C25" s="1" t="str">
        <f>VLOOKUP(A25,[9]LISTADHERENT!A$5:H$60,3,0)</f>
        <v>NKEPSEU DIEUDONNE</v>
      </c>
      <c r="D25" s="7">
        <f t="shared" si="1"/>
        <v>23000</v>
      </c>
      <c r="E25" s="7">
        <f>D25+VLOOKUP($A25,[10]HISTOAVRIL22!$A$7:$AU$38,45,0)+F25</f>
        <v>40000</v>
      </c>
      <c r="F25" s="7">
        <f>VLOOKUP($A25,[10]HISTOAVRIL22!$A$7:$AU$38,7,0)</f>
        <v>0</v>
      </c>
      <c r="G25" s="7" t="str">
        <f>VLOOKUP($A25,[10]HISTOAVRIL22!$A$7:$AU$38,8,0)</f>
        <v>BANQUE</v>
      </c>
      <c r="H25" s="7">
        <f>VLOOKUP($A25,[10]HISTOAVRIL22!$A$7:$AU$38,35,0)</f>
        <v>0</v>
      </c>
      <c r="I25" s="7">
        <f>VLOOKUP($A25,[10]HISTOAVRIL22!$A$7:$AU$38,38,0)</f>
        <v>0</v>
      </c>
      <c r="J25" s="7">
        <f>IF(I25=0,0,VLOOKUP($A25,[10]HISTOAVRIL22!$A$7:$AU$38,42,0))</f>
        <v>0</v>
      </c>
      <c r="K25" s="7">
        <f>VLOOKUP($A25,[10]HISTOAVRIL22!$A$7:$AU$38,41,0)</f>
        <v>0</v>
      </c>
      <c r="L25" s="7">
        <f>TONTMARS22!H25+TONTMARS22!I25</f>
        <v>0</v>
      </c>
      <c r="M25" s="7">
        <f>VLOOKUP($A25,[10]HISTOAVRIL22!$A$7:$AU$38,16,0)</f>
        <v>0</v>
      </c>
      <c r="N25" s="7" t="str">
        <f>IF(M25&lt;&gt;0,VLOOKUP($A25,[10]HISTOAVRIL22!$A$7:$AU$38,8,0),"ECHEC")</f>
        <v>ECHEC</v>
      </c>
      <c r="O25" s="7">
        <f>IF(R25=0,0,VLOOKUP($A25,[10]HISTOAVRIL22!$A$7:$AU$38,32,0))</f>
        <v>0</v>
      </c>
      <c r="P25" s="7">
        <f>VLOOKUP($A25,[10]HISTOAVRIL22!$A$7:$AU$38,33,0)</f>
        <v>0</v>
      </c>
      <c r="Q25" s="7">
        <f t="shared" si="3"/>
        <v>0</v>
      </c>
      <c r="R25" s="7">
        <f>VLOOKUP($A25,[10]HISTOAVRIL22!$A$7:$AU$38,29,0)</f>
        <v>0</v>
      </c>
      <c r="S25" s="21">
        <f t="shared" si="2"/>
        <v>0</v>
      </c>
    </row>
    <row r="26" spans="1:19" x14ac:dyDescent="0.25">
      <c r="A26" s="1" t="s">
        <v>26</v>
      </c>
      <c r="B26" s="7">
        <f>IF(D26=0,0,VLOOKUP($A26,[8]HISTOJANV22!$A$6:$AZ$36,9,0))</f>
        <v>1</v>
      </c>
      <c r="C26" s="1" t="str">
        <f>VLOOKUP(A26,[9]LISTADHERENT!A$5:H$60,3,0)</f>
        <v>PATEGO NJOSSU GUSTAVE</v>
      </c>
      <c r="D26" s="7">
        <f t="shared" si="1"/>
        <v>23000</v>
      </c>
      <c r="E26" s="7">
        <f>D26+VLOOKUP($A26,[10]HISTOAVRIL22!$A$7:$AU$38,45,0)+F26</f>
        <v>30000</v>
      </c>
      <c r="F26" s="7">
        <f>VLOOKUP($A26,[10]HISTOAVRIL22!$A$7:$AU$38,7,0)</f>
        <v>0</v>
      </c>
      <c r="G26" s="7" t="str">
        <f>VLOOKUP($A26,[10]HISTOAVRIL22!$A$7:$AU$38,8,0)</f>
        <v>BANQUE</v>
      </c>
      <c r="H26" s="7">
        <f>VLOOKUP($A26,[10]HISTOAVRIL22!$A$7:$AU$38,35,0)</f>
        <v>0</v>
      </c>
      <c r="I26" s="7">
        <f>VLOOKUP($A26,[10]HISTOAVRIL22!$A$7:$AU$38,38,0)</f>
        <v>0</v>
      </c>
      <c r="J26" s="7">
        <f>IF(I26=0,0,VLOOKUP($A26,[10]HISTOAVRIL22!$A$7:$AU$38,42,0))</f>
        <v>0</v>
      </c>
      <c r="K26" s="7">
        <f>VLOOKUP($A26,[10]HISTOAVRIL22!$A$7:$AU$38,41,0)</f>
        <v>0</v>
      </c>
      <c r="L26" s="7">
        <f>TONTMARS22!H26+TONTMARS22!I26</f>
        <v>0</v>
      </c>
      <c r="M26" s="7">
        <f>VLOOKUP($A26,[10]HISTOAVRIL22!$A$7:$AU$38,16,0)</f>
        <v>0</v>
      </c>
      <c r="N26" s="7" t="str">
        <f>IF(M26&lt;&gt;0,VLOOKUP($A26,[10]HISTOAVRIL22!$A$7:$AU$38,8,0),"ECHEC")</f>
        <v>ECHEC</v>
      </c>
      <c r="O26" s="7">
        <f>IF(R26=0,0,VLOOKUP($A26,[10]HISTOAVRIL22!$A$7:$AU$38,32,0))</f>
        <v>0</v>
      </c>
      <c r="P26" s="7">
        <f>VLOOKUP($A26,[10]HISTOAVRIL22!$A$7:$AU$38,33,0)</f>
        <v>0</v>
      </c>
      <c r="Q26" s="7">
        <f t="shared" si="3"/>
        <v>0</v>
      </c>
      <c r="R26" s="7">
        <f>VLOOKUP($A26,[10]HISTOAVRIL22!$A$7:$AU$38,29,0)</f>
        <v>0</v>
      </c>
      <c r="S26" s="21">
        <f t="shared" si="2"/>
        <v>0</v>
      </c>
    </row>
    <row r="27" spans="1:19" x14ac:dyDescent="0.25">
      <c r="A27" s="1" t="s">
        <v>51</v>
      </c>
      <c r="B27" s="7">
        <f>IF(D27=0,0,VLOOKUP($A27,[8]HISTOJANV22!$A$6:$AZ$36,9,0))</f>
        <v>1</v>
      </c>
      <c r="C27" s="1" t="str">
        <f>VLOOKUP(A27,[9]LISTADHERENT!A$5:H$60,3,0)</f>
        <v>SIME BRICE</v>
      </c>
      <c r="D27" s="7">
        <f t="shared" si="1"/>
        <v>23000</v>
      </c>
      <c r="E27" s="7">
        <f>D27+VLOOKUP($A27,[10]HISTOAVRIL22!$A$7:$AU$38,45,0)+F27</f>
        <v>30000</v>
      </c>
      <c r="F27" s="7">
        <f>VLOOKUP($A27,[10]HISTOAVRIL22!$A$7:$AU$38,7,0)</f>
        <v>0</v>
      </c>
      <c r="G27" s="7" t="str">
        <f>VLOOKUP($A27,[10]HISTOAVRIL22!$A$7:$AU$38,8,0)</f>
        <v>BANQUE</v>
      </c>
      <c r="H27" s="7">
        <f>VLOOKUP($A27,[10]HISTOAVRIL22!$A$7:$AU$38,35,0)</f>
        <v>0</v>
      </c>
      <c r="I27" s="7">
        <f>VLOOKUP($A27,[10]HISTOAVRIL22!$A$7:$AU$38,38,0)</f>
        <v>0</v>
      </c>
      <c r="J27" s="7">
        <f>IF(I27=0,0,VLOOKUP($A27,[10]HISTOAVRIL22!$A$7:$AU$38,42,0))</f>
        <v>0</v>
      </c>
      <c r="K27" s="7">
        <f>VLOOKUP($A27,[10]HISTOAVRIL22!$A$7:$AU$38,41,0)</f>
        <v>0</v>
      </c>
      <c r="L27" s="7">
        <f>TONTMARS22!H27+TONTMARS22!I27</f>
        <v>0</v>
      </c>
      <c r="M27" s="7">
        <f>VLOOKUP($A27,[10]HISTOAVRIL22!$A$7:$AU$38,16,0)</f>
        <v>0</v>
      </c>
      <c r="N27" s="7" t="str">
        <f>IF(M27&lt;&gt;0,VLOOKUP($A27,[10]HISTOAVRIL22!$A$7:$AU$38,8,0),"ECHEC")</f>
        <v>ECHEC</v>
      </c>
      <c r="O27" s="7">
        <f>IF(R27=0,0,VLOOKUP($A27,[10]HISTOAVRIL22!$A$7:$AU$38,32,0))</f>
        <v>0</v>
      </c>
      <c r="P27" s="7">
        <f>VLOOKUP($A27,[10]HISTOAVRIL22!$A$7:$AU$38,33,0)</f>
        <v>0</v>
      </c>
      <c r="Q27" s="7">
        <f t="shared" si="3"/>
        <v>0</v>
      </c>
      <c r="R27" s="7">
        <f>VLOOKUP($A27,[10]HISTOAVRIL22!$A$7:$AU$38,29,0)</f>
        <v>0</v>
      </c>
      <c r="S27" s="21">
        <f t="shared" si="2"/>
        <v>0</v>
      </c>
    </row>
    <row r="28" spans="1:19" x14ac:dyDescent="0.25">
      <c r="A28" s="1" t="s">
        <v>29</v>
      </c>
      <c r="B28" s="7">
        <f>IF(D28=0,0,VLOOKUP($A28,[8]HISTOJANV22!$A$6:$AZ$36,9,0))</f>
        <v>1</v>
      </c>
      <c r="C28" s="1" t="str">
        <f>VLOOKUP(A28,[9]LISTADHERENT!A$5:H$60,3,0)</f>
        <v>SIMO PIERRE</v>
      </c>
      <c r="D28" s="7">
        <f t="shared" si="1"/>
        <v>23000</v>
      </c>
      <c r="E28" s="7">
        <f>D28+VLOOKUP($A28,[10]HISTOAVRIL22!$A$7:$AU$38,45,0)+F28</f>
        <v>37500</v>
      </c>
      <c r="F28" s="7">
        <f>VLOOKUP($A28,[10]HISTOAVRIL22!$A$7:$AU$38,7,0)</f>
        <v>0</v>
      </c>
      <c r="G28" s="7" t="str">
        <f>VLOOKUP($A28,[10]HISTOAVRIL22!$A$7:$AU$38,8,0)</f>
        <v>BANQUE</v>
      </c>
      <c r="H28" s="7">
        <f>VLOOKUP($A28,[10]HISTOAVRIL22!$A$7:$AU$38,35,0)</f>
        <v>0</v>
      </c>
      <c r="I28" s="7">
        <f>VLOOKUP($A28,[10]HISTOAVRIL22!$A$7:$AU$38,38,0)</f>
        <v>0</v>
      </c>
      <c r="J28" s="7">
        <f>IF(I28=0,0,VLOOKUP($A28,[10]HISTOAVRIL22!$A$7:$AU$38,42,0))</f>
        <v>0</v>
      </c>
      <c r="K28" s="7">
        <f>VLOOKUP($A28,[10]HISTOAVRIL22!$A$7:$AU$38,41,0)</f>
        <v>0</v>
      </c>
      <c r="L28" s="7">
        <f>TONTMARS22!H28+TONTMARS22!I28</f>
        <v>0</v>
      </c>
      <c r="M28" s="7">
        <f>VLOOKUP($A28,[10]HISTOAVRIL22!$A$7:$AU$38,16,0)</f>
        <v>0</v>
      </c>
      <c r="N28" s="7" t="str">
        <f>IF(M28&lt;&gt;0,VLOOKUP($A28,[10]HISTOAVRIL22!$A$7:$AU$38,8,0),"ECHEC")</f>
        <v>ECHEC</v>
      </c>
      <c r="O28" s="7" t="str">
        <f>IF(R28=0,0,VLOOKUP($A28,[10]HISTOAVRIL22!$A$7:$AU$38,32,0))</f>
        <v>BANQUE</v>
      </c>
      <c r="P28" s="7">
        <f>VLOOKUP($A28,[10]HISTOAVRIL22!$A$7:$AU$38,33,0)</f>
        <v>0</v>
      </c>
      <c r="Q28" s="7">
        <f t="shared" si="3"/>
        <v>273000</v>
      </c>
      <c r="R28" s="7">
        <f>VLOOKUP($A28,[10]HISTOAVRIL22!$A$7:$AU$38,29,0)</f>
        <v>27000</v>
      </c>
      <c r="S28" s="21">
        <f t="shared" si="2"/>
        <v>4000</v>
      </c>
    </row>
    <row r="29" spans="1:19" x14ac:dyDescent="0.25">
      <c r="A29" s="1" t="s">
        <v>31</v>
      </c>
      <c r="B29" s="7">
        <f>IF(D29=0,0,VLOOKUP($A29,[8]HISTOJANV22!$A$6:$AZ$36,9,0))</f>
        <v>1</v>
      </c>
      <c r="C29" s="1" t="str">
        <f>VLOOKUP(A29,[9]LISTADHERENT!A$5:H$60,3,0)</f>
        <v>TCHOUAMOU MATHIEU</v>
      </c>
      <c r="D29" s="7">
        <f t="shared" si="1"/>
        <v>23000</v>
      </c>
      <c r="E29" s="7">
        <f>D29+VLOOKUP($A29,[10]HISTOAVRIL22!$A$7:$AU$38,45,0)+F29</f>
        <v>30000</v>
      </c>
      <c r="F29" s="7">
        <f>VLOOKUP($A29,[10]HISTOAVRIL22!$A$7:$AU$38,7,0)</f>
        <v>0</v>
      </c>
      <c r="G29" s="7" t="str">
        <f>VLOOKUP($A29,[10]HISTOAVRIL22!$A$7:$AU$38,8,0)</f>
        <v>BANQUE</v>
      </c>
      <c r="H29" s="7">
        <f>VLOOKUP($A29,[10]HISTOAVRIL22!$A$7:$AU$38,35,0)</f>
        <v>0</v>
      </c>
      <c r="I29" s="7">
        <f>VLOOKUP($A29,[10]HISTOAVRIL22!$A$7:$AU$38,38,0)</f>
        <v>0</v>
      </c>
      <c r="J29" s="7">
        <f>IF(I29=0,0,VLOOKUP($A29,[10]HISTOAVRIL22!$A$7:$AU$38,42,0))</f>
        <v>0</v>
      </c>
      <c r="K29" s="7">
        <f>VLOOKUP($A29,[10]HISTOAVRIL22!$A$7:$AU$38,41,0)</f>
        <v>0</v>
      </c>
      <c r="L29" s="7">
        <f>TONTMARS22!H29+TONTMARS22!I29</f>
        <v>0</v>
      </c>
      <c r="M29" s="7">
        <f>VLOOKUP($A29,[10]HISTOAVRIL22!$A$7:$AU$38,16,0)</f>
        <v>0</v>
      </c>
      <c r="N29" s="7" t="str">
        <f>IF(M29&lt;&gt;0,VLOOKUP($A29,[10]HISTOAVRIL22!$A$7:$AU$38,8,0),"ECHEC")</f>
        <v>ECHEC</v>
      </c>
      <c r="O29" s="7" t="str">
        <f>IF(R29=0,0,VLOOKUP($A29,[10]HISTOAVRIL22!$A$7:$AU$38,32,0))</f>
        <v>BANQUE</v>
      </c>
      <c r="P29" s="7">
        <f>VLOOKUP($A29,[10]HISTOAVRIL22!$A$7:$AU$38,33,0)</f>
        <v>0</v>
      </c>
      <c r="Q29" s="7">
        <f t="shared" si="3"/>
        <v>276000</v>
      </c>
      <c r="R29" s="7">
        <f>VLOOKUP($A29,[10]HISTOAVRIL22!$A$7:$AU$38,29,0)</f>
        <v>24000</v>
      </c>
      <c r="S29" s="21">
        <f t="shared" si="2"/>
        <v>1000</v>
      </c>
    </row>
    <row r="30" spans="1:19" x14ac:dyDescent="0.25">
      <c r="A30" s="1" t="s">
        <v>32</v>
      </c>
      <c r="B30" s="7">
        <f>IF(D30=0,0,VLOOKUP($A30,[8]HISTOJANV22!$A$6:$AZ$36,9,0))</f>
        <v>1</v>
      </c>
      <c r="C30" s="1" t="str">
        <f>VLOOKUP(A30,[9]LISTADHERENT!A$5:H$60,3,0)</f>
        <v>YEPMOU JEAN JACQUES</v>
      </c>
      <c r="D30" s="7">
        <f t="shared" si="1"/>
        <v>23000</v>
      </c>
      <c r="E30" s="7">
        <f>D30+VLOOKUP($A30,[10]HISTOAVRIL22!$A$7:$AU$38,45,0)+F30</f>
        <v>33000</v>
      </c>
      <c r="F30" s="7">
        <f>VLOOKUP($A30,[10]HISTOAVRIL22!$A$7:$AU$38,7,0)</f>
        <v>3000</v>
      </c>
      <c r="G30" s="7" t="str">
        <f>VLOOKUP($A30,[10]HISTOAVRIL22!$A$7:$AU$38,8,0)</f>
        <v>ESPECES</v>
      </c>
      <c r="H30" s="7">
        <f>VLOOKUP($A30,[10]HISTOAVRIL22!$A$7:$AU$38,35,0)</f>
        <v>0</v>
      </c>
      <c r="I30" s="7">
        <f>VLOOKUP($A30,[10]HISTOAVRIL22!$A$7:$AU$38,38,0)</f>
        <v>0</v>
      </c>
      <c r="J30" s="7">
        <f>IF(I30=0,0,VLOOKUP($A30,[10]HISTOAVRIL22!$A$7:$AU$38,42,0))</f>
        <v>0</v>
      </c>
      <c r="K30" s="7">
        <f>VLOOKUP($A30,[10]HISTOAVRIL22!$A$7:$AU$38,41,0)</f>
        <v>0</v>
      </c>
      <c r="L30" s="7">
        <f>TONTMARS22!H30+TONTMARS22!I30</f>
        <v>0</v>
      </c>
      <c r="M30" s="7">
        <f>VLOOKUP($A30,[10]HISTOAVRIL22!$A$7:$AU$38,16,0)</f>
        <v>0</v>
      </c>
      <c r="N30" s="7" t="str">
        <f>IF(M30&lt;&gt;0,VLOOKUP($A30,[10]HISTOAVRIL22!$A$7:$AU$38,8,0),"ECHEC")</f>
        <v>ECHEC</v>
      </c>
      <c r="O30" s="7">
        <f>IF(R30=0,0,VLOOKUP($A30,[10]HISTOAVRIL22!$A$7:$AU$38,32,0))</f>
        <v>0</v>
      </c>
      <c r="P30" s="7">
        <f>VLOOKUP($A30,[10]HISTOAVRIL22!$A$7:$AU$38,33,0)</f>
        <v>0</v>
      </c>
      <c r="Q30" s="7">
        <f t="shared" si="3"/>
        <v>0</v>
      </c>
      <c r="R30" s="7">
        <f>VLOOKUP($A30,[10]HISTOAVRIL22!$A$7:$AU$38,29,0)</f>
        <v>0</v>
      </c>
      <c r="S30" s="21">
        <f t="shared" si="2"/>
        <v>0</v>
      </c>
    </row>
    <row r="31" spans="1:19" x14ac:dyDescent="0.25">
      <c r="A31" s="1" t="s">
        <v>33</v>
      </c>
      <c r="B31" s="7">
        <f>IF(D31=0,0,VLOOKUP($A31,[8]HISTOJANV22!$A$6:$AZ$36,9,0))</f>
        <v>1</v>
      </c>
      <c r="C31" s="1" t="str">
        <f>VLOOKUP(A31,[9]LISTADHERENT!A$5:H$60,3,0)</f>
        <v>YOUMBI EMMANUEL</v>
      </c>
      <c r="D31" s="7">
        <f t="shared" si="1"/>
        <v>23000</v>
      </c>
      <c r="E31" s="7">
        <f>D31+VLOOKUP($A31,[10]HISTOAVRIL22!$A$7:$AU$38,45,0)+F31</f>
        <v>30000</v>
      </c>
      <c r="F31" s="7">
        <f>VLOOKUP($A31,[10]HISTOAVRIL22!$A$7:$AU$38,7,0)</f>
        <v>0</v>
      </c>
      <c r="G31" s="7" t="str">
        <f>VLOOKUP($A31,[10]HISTOAVRIL22!$A$7:$AU$38,8,0)</f>
        <v>BANQUE</v>
      </c>
      <c r="H31" s="7">
        <f>VLOOKUP($A31,[10]HISTOAVRIL22!$A$7:$AU$38,35,0)</f>
        <v>0</v>
      </c>
      <c r="I31" s="7">
        <f>VLOOKUP($A31,[10]HISTOAVRIL22!$A$7:$AU$38,38,0)</f>
        <v>0</v>
      </c>
      <c r="J31" s="7">
        <f>IF(I31=0,0,VLOOKUP($A31,[10]HISTOAVRIL22!$A$7:$AU$38,42,0))</f>
        <v>0</v>
      </c>
      <c r="K31" s="7">
        <f>VLOOKUP($A31,[10]HISTOAVRIL22!$A$7:$AU$38,41,0)</f>
        <v>0</v>
      </c>
      <c r="L31" s="7">
        <f>TONTMARS22!H31+TONTMARS22!I31</f>
        <v>0</v>
      </c>
      <c r="M31" s="7">
        <f>VLOOKUP($A31,[10]HISTOAVRIL22!$A$7:$AU$38,16,0)</f>
        <v>0</v>
      </c>
      <c r="N31" s="7" t="str">
        <f>IF(M31&lt;&gt;0,VLOOKUP($A31,[10]HISTOAVRIL22!$A$7:$AU$38,8,0),"ECHEC")</f>
        <v>ECHEC</v>
      </c>
      <c r="O31" s="7">
        <f>IF(R31=0,0,VLOOKUP($A31,[10]HISTOAVRIL22!$A$7:$AU$38,32,0))</f>
        <v>0</v>
      </c>
      <c r="P31" s="7">
        <f>VLOOKUP($A31,[10]HISTOAVRIL22!$A$7:$AU$38,33,0)</f>
        <v>0</v>
      </c>
      <c r="Q31" s="7">
        <f t="shared" si="3"/>
        <v>0</v>
      </c>
      <c r="R31" s="7">
        <f>VLOOKUP($A31,[10]HISTOAVRIL22!$A$7:$AU$38,29,0)</f>
        <v>0</v>
      </c>
      <c r="S31" s="21">
        <f t="shared" si="2"/>
        <v>0</v>
      </c>
    </row>
    <row r="32" spans="1:19" x14ac:dyDescent="0.25">
      <c r="A32" s="1"/>
    </row>
    <row r="33" spans="1:19" ht="18" x14ac:dyDescent="0.25">
      <c r="A33" s="1" t="s">
        <v>94</v>
      </c>
      <c r="B33" s="8">
        <f>SUM(B6:B32)</f>
        <v>26</v>
      </c>
      <c r="I33" s="9"/>
    </row>
    <row r="34" spans="1:19" ht="18" x14ac:dyDescent="0.25">
      <c r="A34" s="1" t="s">
        <v>93</v>
      </c>
      <c r="B34" s="19">
        <f>COUNT(D6:D31)</f>
        <v>26</v>
      </c>
      <c r="C34" s="8"/>
      <c r="D34" s="8">
        <f>SUM(D6:D33)</f>
        <v>598000</v>
      </c>
      <c r="E34" s="8">
        <f>SUM(E6:E33)</f>
        <v>891000</v>
      </c>
      <c r="F34" s="8">
        <f>SUM(F6:F33)</f>
        <v>12000</v>
      </c>
      <c r="G34" s="8"/>
      <c r="H34" s="8">
        <f t="shared" ref="H34:S34" si="4">SUM(H6:H33)</f>
        <v>0</v>
      </c>
      <c r="I34" s="8">
        <f t="shared" si="4"/>
        <v>0</v>
      </c>
      <c r="J34" s="8">
        <f t="shared" si="4"/>
        <v>0</v>
      </c>
      <c r="K34" s="8">
        <f t="shared" si="4"/>
        <v>0</v>
      </c>
      <c r="L34" s="8">
        <f t="shared" si="4"/>
        <v>102000</v>
      </c>
      <c r="M34" s="8">
        <f t="shared" si="4"/>
        <v>102000</v>
      </c>
      <c r="N34" s="8">
        <f t="shared" si="4"/>
        <v>0</v>
      </c>
      <c r="O34" s="8">
        <f t="shared" si="4"/>
        <v>0</v>
      </c>
      <c r="P34" s="8">
        <f t="shared" si="4"/>
        <v>0</v>
      </c>
      <c r="Q34" s="8">
        <f t="shared" si="4"/>
        <v>824000</v>
      </c>
      <c r="R34" s="8">
        <f t="shared" si="4"/>
        <v>76000</v>
      </c>
      <c r="S34" s="8">
        <f t="shared" si="4"/>
        <v>7000</v>
      </c>
    </row>
    <row r="35" spans="1:19" s="2" customFormat="1" ht="29.25" x14ac:dyDescent="0.25">
      <c r="B35"/>
      <c r="C35"/>
      <c r="D35"/>
      <c r="E35"/>
      <c r="F35"/>
      <c r="G35"/>
      <c r="H35"/>
      <c r="I35" s="9"/>
      <c r="J35" s="3"/>
      <c r="K35" s="3"/>
      <c r="L35" s="3"/>
      <c r="N35" s="4" t="s">
        <v>80</v>
      </c>
      <c r="O35" s="4" t="s">
        <v>95</v>
      </c>
      <c r="P35" s="3"/>
    </row>
    <row r="36" spans="1:19" s="2" customFormat="1" ht="29.25" x14ac:dyDescent="0.25">
      <c r="D36" s="4" t="s">
        <v>5</v>
      </c>
      <c r="E36" s="4" t="s">
        <v>7</v>
      </c>
      <c r="F36"/>
      <c r="G36" s="4" t="s">
        <v>40</v>
      </c>
      <c r="H36" s="4" t="s">
        <v>44</v>
      </c>
      <c r="I36" s="4" t="s">
        <v>46</v>
      </c>
      <c r="J36" s="4" t="s">
        <v>47</v>
      </c>
      <c r="K36" s="4"/>
      <c r="L36" s="8" t="s">
        <v>97</v>
      </c>
      <c r="M36" s="8">
        <f>D40+G40+R34+TONTMARS22!O41</f>
        <v>890000</v>
      </c>
      <c r="N36" s="4"/>
      <c r="O36"/>
      <c r="P36" s="4"/>
    </row>
    <row r="37" spans="1:19" s="2" customFormat="1" ht="18" x14ac:dyDescent="0.25">
      <c r="D37" s="8">
        <f>SUMIFS(D6:D33,G6:G33,"ESPECES")</f>
        <v>23000</v>
      </c>
      <c r="E37" s="8">
        <f>SUMIFS(E6:E33,G6:G33,"ESPECES")</f>
        <v>33000</v>
      </c>
      <c r="F37" s="8" t="s">
        <v>36</v>
      </c>
      <c r="G37" s="8">
        <f>SUMIFS(M6:M27,N6:N27,"ESPECES")</f>
        <v>0</v>
      </c>
      <c r="H37" s="8">
        <f>SUMIFS(H6:H33,J6:J33,"ESPECES")</f>
        <v>0</v>
      </c>
      <c r="I37" s="8">
        <f>SUMIFS(Q6:Q33,O6:O33,"ESPECES")</f>
        <v>0</v>
      </c>
      <c r="J37" s="8">
        <f>D37+G37-H37-I37</f>
        <v>23000</v>
      </c>
      <c r="K37" s="8"/>
      <c r="L37" s="8" t="s">
        <v>84</v>
      </c>
      <c r="M37" s="8">
        <f>C3*COUNTIF(Q6:Q33,"&gt;0")</f>
        <v>900000</v>
      </c>
      <c r="N37" s="8">
        <f>D3</f>
        <v>2</v>
      </c>
      <c r="O37" s="8">
        <f>COUNTIF(Q6:Q31,"&gt;0")</f>
        <v>3</v>
      </c>
      <c r="P37" s="8"/>
    </row>
    <row r="38" spans="1:19" s="2" customFormat="1" ht="18" x14ac:dyDescent="0.25">
      <c r="D38" s="8">
        <f>SUMIFS(D6:D33,G6:G33,"BANQUE")</f>
        <v>575000</v>
      </c>
      <c r="E38" s="8">
        <f>SUMIFS(E6:E34,G6:G34,"BANQUE")</f>
        <v>858000</v>
      </c>
      <c r="F38" s="8" t="s">
        <v>37</v>
      </c>
      <c r="G38" s="8">
        <f>SUMIFS(M6:M27,N6:N27,"BANQUE")</f>
        <v>102000</v>
      </c>
      <c r="H38" s="8">
        <f>SUMIFS(H6:H33,J6:J33,"BANQUE")</f>
        <v>0</v>
      </c>
      <c r="I38" s="8">
        <f>SUMIFS(Q6:Q33,O6:O33,"BANQUE")</f>
        <v>824000</v>
      </c>
      <c r="J38" s="8">
        <f>D38+G38-H38-I38</f>
        <v>-147000</v>
      </c>
      <c r="K38" s="8"/>
      <c r="M38" s="8"/>
      <c r="N38" s="8"/>
      <c r="O38" s="8"/>
      <c r="P38" s="8"/>
    </row>
    <row r="39" spans="1:19" s="2" customFormat="1" ht="18" x14ac:dyDescent="0.25">
      <c r="D39" s="8"/>
      <c r="E39" s="8"/>
      <c r="F39" s="8"/>
      <c r="G39" s="8"/>
      <c r="H39" s="8"/>
      <c r="I39" s="8"/>
      <c r="K39" s="8"/>
      <c r="L39" s="8" t="s">
        <v>52</v>
      </c>
      <c r="M39" s="8">
        <f>M36-M37</f>
        <v>-10000</v>
      </c>
      <c r="N39" s="8"/>
      <c r="O39" s="8"/>
      <c r="P39" s="8"/>
    </row>
    <row r="40" spans="1:19" s="2" customFormat="1" ht="18" x14ac:dyDescent="0.25">
      <c r="D40" s="8">
        <f>D37+D38</f>
        <v>598000</v>
      </c>
      <c r="E40" s="8">
        <f>E37+E38</f>
        <v>891000</v>
      </c>
      <c r="F40" s="8" t="s">
        <v>34</v>
      </c>
      <c r="G40" s="8">
        <f>G37+G38</f>
        <v>102000</v>
      </c>
      <c r="H40" s="8">
        <f>H37+H38</f>
        <v>0</v>
      </c>
      <c r="I40" s="8">
        <f t="shared" ref="I40" si="5">I37+I38</f>
        <v>824000</v>
      </c>
      <c r="J40" s="8">
        <f>J37+J38+TONTMARS22!O41</f>
        <v>-10000</v>
      </c>
      <c r="K40" s="8"/>
      <c r="M40" s="8"/>
      <c r="N40" s="8"/>
      <c r="O40" s="8"/>
      <c r="P40" s="8"/>
    </row>
    <row r="41" spans="1:19" s="2" customFormat="1" ht="18" x14ac:dyDescent="0.25">
      <c r="D41" s="8"/>
      <c r="E41" s="8"/>
      <c r="F41" s="8" t="s">
        <v>56</v>
      </c>
      <c r="G41"/>
      <c r="H41"/>
      <c r="I41" s="3"/>
      <c r="J41" s="3"/>
      <c r="K41" s="3"/>
      <c r="L41" s="8" t="s">
        <v>55</v>
      </c>
      <c r="M41" s="8">
        <f>M39-H34</f>
        <v>-10000</v>
      </c>
      <c r="N41"/>
      <c r="O41" s="8">
        <f>M41</f>
        <v>-10000</v>
      </c>
      <c r="P41" s="8" t="s">
        <v>58</v>
      </c>
    </row>
    <row r="42" spans="1:19" s="2" customFormat="1" ht="18" x14ac:dyDescent="0.25">
      <c r="D42" s="4"/>
      <c r="E42" s="4"/>
      <c r="F42" s="8"/>
      <c r="G42"/>
      <c r="H42"/>
      <c r="I42" s="3"/>
      <c r="J42" s="3"/>
      <c r="K42" s="3"/>
      <c r="N42"/>
      <c r="O42" s="3"/>
      <c r="P42" s="3"/>
    </row>
    <row r="43" spans="1:19" ht="18" x14ac:dyDescent="0.25">
      <c r="L43" s="8" t="s">
        <v>60</v>
      </c>
      <c r="M43" s="8">
        <f>COUNTIFS(G6:G32,"ECHEC")*23000</f>
        <v>0</v>
      </c>
      <c r="O43" s="8">
        <f>+M43+TONTMARS22!O43</f>
        <v>0</v>
      </c>
      <c r="P43" s="8" t="s">
        <v>58</v>
      </c>
    </row>
    <row r="44" spans="1:19" ht="18" x14ac:dyDescent="0.25">
      <c r="F44" s="2"/>
      <c r="L44" s="8" t="s">
        <v>59</v>
      </c>
      <c r="M44" s="8">
        <f>L34-G40</f>
        <v>0</v>
      </c>
      <c r="O44" s="8">
        <f>+M44+TONTMARS22!O44</f>
        <v>0</v>
      </c>
      <c r="P44" s="8" t="s">
        <v>58</v>
      </c>
    </row>
  </sheetData>
  <autoFilter ref="A5:R24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>
      <pane xSplit="3" ySplit="5" topLeftCell="I36" activePane="bottomRight" state="frozen"/>
      <selection activeCell="G6" sqref="G6:G39"/>
      <selection pane="topRight" activeCell="G6" sqref="G6:G39"/>
      <selection pane="bottomLeft" activeCell="G6" sqref="G6:G39"/>
      <selection pane="bottomRight" activeCell="J40" sqref="J40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5" width="13" customWidth="1"/>
    <col min="16" max="16" width="15.5703125" style="3" customWidth="1"/>
    <col min="17" max="18" width="18.140625" style="2" customWidth="1"/>
  </cols>
  <sheetData>
    <row r="1" spans="1:19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25">
      <c r="A2" s="1" t="s">
        <v>2</v>
      </c>
      <c r="B2" s="1">
        <v>2022</v>
      </c>
      <c r="C2" s="1" t="s">
        <v>85</v>
      </c>
      <c r="D2" s="1" t="s">
        <v>80</v>
      </c>
      <c r="E2" s="1"/>
      <c r="F2" s="1"/>
      <c r="G2" s="1"/>
      <c r="N2" s="1"/>
      <c r="O2" s="1"/>
    </row>
    <row r="3" spans="1:19" x14ac:dyDescent="0.25">
      <c r="A3" s="1" t="s">
        <v>86</v>
      </c>
      <c r="B3" s="6">
        <v>23000</v>
      </c>
      <c r="C3" s="6">
        <f>B3*13+1000</f>
        <v>300000</v>
      </c>
      <c r="D3" s="1">
        <f>ROUNDDOWN(M36/C3,0)</f>
        <v>2</v>
      </c>
      <c r="E3" s="1"/>
      <c r="F3" s="1"/>
      <c r="G3" s="1"/>
      <c r="N3" s="1"/>
      <c r="O3" s="1"/>
    </row>
    <row r="4" spans="1:19" s="16" customFormat="1" ht="18" x14ac:dyDescent="0.25">
      <c r="B4" s="17"/>
      <c r="C4" s="28">
        <v>44633</v>
      </c>
      <c r="D4" s="29"/>
      <c r="E4" s="29"/>
      <c r="F4" s="29"/>
      <c r="G4" s="29"/>
      <c r="H4" s="29"/>
      <c r="I4" s="29"/>
      <c r="J4" s="29"/>
      <c r="K4" s="29"/>
      <c r="L4" s="29"/>
      <c r="N4" s="18"/>
      <c r="O4" s="18"/>
      <c r="P4" s="18"/>
      <c r="Q4" s="18"/>
    </row>
    <row r="5" spans="1:19" ht="58.5" x14ac:dyDescent="0.3">
      <c r="A5" s="1" t="s">
        <v>3</v>
      </c>
      <c r="B5" s="13" t="s">
        <v>81</v>
      </c>
      <c r="C5" s="1" t="s">
        <v>4</v>
      </c>
      <c r="D5" s="4" t="s">
        <v>5</v>
      </c>
      <c r="E5" s="4" t="s">
        <v>7</v>
      </c>
      <c r="F5" s="1" t="s">
        <v>48</v>
      </c>
      <c r="G5" s="5" t="s">
        <v>6</v>
      </c>
      <c r="H5" s="6" t="s">
        <v>44</v>
      </c>
      <c r="I5" s="4" t="s">
        <v>41</v>
      </c>
      <c r="J5" s="4" t="s">
        <v>45</v>
      </c>
      <c r="K5" s="11" t="s">
        <v>54</v>
      </c>
      <c r="L5" s="4" t="s">
        <v>82</v>
      </c>
      <c r="M5" s="4" t="s">
        <v>40</v>
      </c>
      <c r="N5" s="4" t="s">
        <v>39</v>
      </c>
      <c r="O5" s="4" t="s">
        <v>42</v>
      </c>
      <c r="P5" s="4" t="s">
        <v>54</v>
      </c>
      <c r="Q5" s="4" t="s">
        <v>83</v>
      </c>
      <c r="R5" s="4" t="s">
        <v>43</v>
      </c>
      <c r="S5" s="4" t="s">
        <v>98</v>
      </c>
    </row>
    <row r="6" spans="1:19" x14ac:dyDescent="0.25">
      <c r="A6" s="1" t="s">
        <v>9</v>
      </c>
      <c r="B6" s="7">
        <f>IF(D6=0,0,VLOOKUP($A6,[8]HISTOJANV22!$A$6:$AZ$36,9,0))</f>
        <v>1</v>
      </c>
      <c r="C6" s="1" t="str">
        <f>VLOOKUP(A6,[9]LISTADHERENT!A$5:H$60,3,0)</f>
        <v>BOUTCHOUANG WILLIAM</v>
      </c>
      <c r="D6" s="7">
        <f>IF(G6="ECHEC",0,B$3)</f>
        <v>23000</v>
      </c>
      <c r="E6" s="7">
        <f>D6+VLOOKUP($A6,[10]HISTOMAI22!$A$7:$AU$38,45,0)+F6</f>
        <v>33000</v>
      </c>
      <c r="F6" s="7">
        <f>VLOOKUP($A6,[10]HISTOMAI22!$A$7:$AU$38,7,0)</f>
        <v>3000</v>
      </c>
      <c r="G6" s="7" t="str">
        <f>VLOOKUP($A6,[10]HISTOMAI22!$A$7:$AU$38,8,0)</f>
        <v>ESPECES</v>
      </c>
      <c r="H6" s="7">
        <f>VLOOKUP($A6,[10]HISTOMAI22!$A$7:$AU$38,35,0)</f>
        <v>0</v>
      </c>
      <c r="I6" s="7">
        <f>VLOOKUP($A6,[10]HISTOMAI22!$A$7:$AU$38,38,0)</f>
        <v>0</v>
      </c>
      <c r="J6" s="7">
        <f>IF(I6=0,0,VLOOKUP($A6,[10]HISTOMAI22!$A$7:$AU$38,42,0))</f>
        <v>0</v>
      </c>
      <c r="K6" s="7">
        <f>VLOOKUP($A6,[10]HISTOMAI22!$A$7:$AU$38,41,0)</f>
        <v>0</v>
      </c>
      <c r="L6" s="7">
        <f>+TONTAVRIL22!H6+TONTAVRIL22!I6</f>
        <v>0</v>
      </c>
      <c r="M6" s="7">
        <f>VLOOKUP($A6,[10]HISTOMAI22!$A$7:$AU$38,16,0)</f>
        <v>0</v>
      </c>
      <c r="N6" s="7" t="str">
        <f>IF(M6&lt;&gt;0,VLOOKUP($A6,[10]HISTOMAI22!$A$7:$AU$38,8,0),"ECHEC")</f>
        <v>ECHEC</v>
      </c>
      <c r="O6" s="7">
        <f>IF(R6=0,0,VLOOKUP($A6,[10]HISTOMAI22!$A$7:$AU$38,32,0))</f>
        <v>0</v>
      </c>
      <c r="P6" s="7">
        <f>VLOOKUP($A6,[10]HISTOMAI22!$A$7:$AU$38,33,0)</f>
        <v>0</v>
      </c>
      <c r="Q6" s="7">
        <f t="shared" ref="Q6:Q31" si="0">IF(R6=0,0,($C$3-R6))</f>
        <v>0</v>
      </c>
      <c r="R6" s="7">
        <f>VLOOKUP($A6,[10]HISTOMAI22!$A$7:$AU$38,29,0)</f>
        <v>0</v>
      </c>
      <c r="S6" s="21">
        <f>IF(R6=0,0,(R6-23000))</f>
        <v>0</v>
      </c>
    </row>
    <row r="7" spans="1:19" x14ac:dyDescent="0.25">
      <c r="A7" s="1" t="s">
        <v>10</v>
      </c>
      <c r="B7" s="7">
        <f>IF(D7=0,0,VLOOKUP($A7,[8]HISTOJANV22!$A$6:$AZ$36,9,0))</f>
        <v>1</v>
      </c>
      <c r="C7" s="1" t="str">
        <f>VLOOKUP(A7,[9]LISTADHERENT!A$5:H$60,3,0)</f>
        <v xml:space="preserve">DJOMO JEAN PAUL </v>
      </c>
      <c r="D7" s="7">
        <f t="shared" ref="D7:D31" si="1">IF(G7="ECHEC",0,B$3)</f>
        <v>23000</v>
      </c>
      <c r="E7" s="7">
        <f>D7+VLOOKUP($A7,[10]HISTOMAI22!$A$7:$AU$38,45,0)+F7</f>
        <v>27000</v>
      </c>
      <c r="F7" s="7">
        <f>VLOOKUP($A7,[10]HISTOMAI22!$A$7:$AU$38,7,0)</f>
        <v>0</v>
      </c>
      <c r="G7" s="7" t="str">
        <f>VLOOKUP($A7,[10]HISTOMAI22!$A$7:$AU$38,8,0)</f>
        <v>BANQUE</v>
      </c>
      <c r="H7" s="7">
        <f>VLOOKUP($A7,[10]HISTOMAI22!$A$7:$AU$38,35,0)</f>
        <v>0</v>
      </c>
      <c r="I7" s="7">
        <f>VLOOKUP($A7,[10]HISTOMAI22!$A$7:$AU$38,38,0)</f>
        <v>0</v>
      </c>
      <c r="J7" s="7">
        <f>IF(I7=0,0,VLOOKUP($A7,[10]HISTOMAI22!$A$7:$AU$38,42,0))</f>
        <v>0</v>
      </c>
      <c r="K7" s="7">
        <f>VLOOKUP($A7,[10]HISTOMAI22!$A$7:$AU$38,41,0)</f>
        <v>0</v>
      </c>
      <c r="L7" s="7">
        <f>+TONTAVRIL22!H7+TONTAVRIL22!I7</f>
        <v>0</v>
      </c>
      <c r="M7" s="7">
        <f>VLOOKUP($A7,[10]HISTOMAI22!$A$7:$AU$38,16,0)</f>
        <v>0</v>
      </c>
      <c r="N7" s="7" t="str">
        <f>IF(M7&lt;&gt;0,VLOOKUP($A7,[10]HISTOMAI22!$A$7:$AU$38,8,0),"ECHEC")</f>
        <v>ECHEC</v>
      </c>
      <c r="O7" s="7">
        <f>IF(R7=0,0,VLOOKUP($A7,[10]HISTOMAI22!$A$7:$AU$38,32,0))</f>
        <v>0</v>
      </c>
      <c r="P7" s="7">
        <f>VLOOKUP($A7,[10]HISTOMAI22!$A$7:$AU$38,33,0)</f>
        <v>0</v>
      </c>
      <c r="Q7" s="7">
        <f t="shared" si="0"/>
        <v>0</v>
      </c>
      <c r="R7" s="7">
        <f>VLOOKUP($A7,[10]HISTOMAI22!$A$7:$AU$38,29,0)</f>
        <v>0</v>
      </c>
      <c r="S7" s="21">
        <f t="shared" ref="S7:S31" si="2">IF(R7=0,0,(R7-23000))</f>
        <v>0</v>
      </c>
    </row>
    <row r="8" spans="1:19" x14ac:dyDescent="0.25">
      <c r="A8" s="1" t="s">
        <v>57</v>
      </c>
      <c r="B8" s="7">
        <f>IF(D8=0,0,VLOOKUP($A8,[8]HISTOJANV22!$A$6:$AZ$36,9,0))</f>
        <v>1</v>
      </c>
      <c r="C8" s="1" t="str">
        <f>VLOOKUP(A8,[9]LISTADHERENT!A$5:H$60,3,0)</f>
        <v>DJOMOU TCHANDA</v>
      </c>
      <c r="D8" s="7">
        <f t="shared" si="1"/>
        <v>23000</v>
      </c>
      <c r="E8" s="7">
        <f>D8+VLOOKUP($A8,[10]HISTOMAI22!$A$7:$AU$38,45,0)+F8</f>
        <v>30000</v>
      </c>
      <c r="F8" s="7">
        <f>VLOOKUP($A8,[10]HISTOMAI22!$A$7:$AU$38,7,0)</f>
        <v>0</v>
      </c>
      <c r="G8" s="7" t="str">
        <f>VLOOKUP($A8,[10]HISTOMAI22!$A$7:$AU$38,8,0)</f>
        <v>BANQUE</v>
      </c>
      <c r="H8" s="7">
        <f>VLOOKUP($A8,[10]HISTOMAI22!$A$7:$AU$38,35,0)</f>
        <v>0</v>
      </c>
      <c r="I8" s="7">
        <f>VLOOKUP($A8,[10]HISTOMAI22!$A$7:$AU$38,38,0)</f>
        <v>0</v>
      </c>
      <c r="J8" s="7">
        <f>IF(I8=0,0,VLOOKUP($A8,[10]HISTOMAI22!$A$7:$AU$38,42,0))</f>
        <v>0</v>
      </c>
      <c r="K8" s="7">
        <f>VLOOKUP($A8,[10]HISTOMAI22!$A$7:$AU$38,41,0)</f>
        <v>0</v>
      </c>
      <c r="L8" s="7">
        <f>+TONTAVRIL22!H8+TONTAVRIL22!I8</f>
        <v>0</v>
      </c>
      <c r="M8" s="7">
        <f>VLOOKUP($A8,[10]HISTOMAI22!$A$7:$AU$38,16,0)</f>
        <v>0</v>
      </c>
      <c r="N8" s="7" t="str">
        <f>IF(M8&lt;&gt;0,VLOOKUP($A8,[10]HISTOMAI22!$A$7:$AU$38,8,0),"ECHEC")</f>
        <v>ECHEC</v>
      </c>
      <c r="O8" s="7">
        <f>IF(R8=0,0,VLOOKUP($A8,[10]HISTOMAI22!$A$7:$AU$38,32,0))</f>
        <v>0</v>
      </c>
      <c r="P8" s="7">
        <f>VLOOKUP($A8,[10]HISTOMAI22!$A$7:$AU$38,33,0)</f>
        <v>0</v>
      </c>
      <c r="Q8" s="7">
        <f t="shared" si="0"/>
        <v>0</v>
      </c>
      <c r="R8" s="7">
        <f>VLOOKUP($A8,[10]HISTOMAI22!$A$7:$AU$38,29,0)</f>
        <v>0</v>
      </c>
      <c r="S8" s="21">
        <f t="shared" si="2"/>
        <v>0</v>
      </c>
    </row>
    <row r="9" spans="1:19" x14ac:dyDescent="0.25">
      <c r="A9" s="1" t="s">
        <v>11</v>
      </c>
      <c r="B9" s="7">
        <f>IF(D9=0,0,VLOOKUP($A9,[8]HISTOJANV22!$A$6:$AZ$36,9,0))</f>
        <v>1</v>
      </c>
      <c r="C9" s="1" t="str">
        <f>VLOOKUP(A9,[9]LISTADHERENT!A$5:H$60,3,0)</f>
        <v>DJOUKWE NANGUEN GUY BLAISE</v>
      </c>
      <c r="D9" s="7">
        <f t="shared" si="1"/>
        <v>23000</v>
      </c>
      <c r="E9" s="7">
        <f>D9+VLOOKUP($A9,[10]HISTOMAI22!$A$7:$AU$38,45,0)+F9</f>
        <v>30000</v>
      </c>
      <c r="F9" s="7">
        <f>VLOOKUP($A9,[10]HISTOMAI22!$A$7:$AU$38,7,0)</f>
        <v>0</v>
      </c>
      <c r="G9" s="7" t="str">
        <f>VLOOKUP($A9,[10]HISTOMAI22!$A$7:$AU$38,8,0)</f>
        <v>BANQUE</v>
      </c>
      <c r="H9" s="7">
        <f>VLOOKUP($A9,[10]HISTOMAI22!$A$7:$AU$38,35,0)</f>
        <v>0</v>
      </c>
      <c r="I9" s="7">
        <f>VLOOKUP($A9,[10]HISTOMAI22!$A$7:$AU$38,38,0)</f>
        <v>0</v>
      </c>
      <c r="J9" s="7">
        <f>IF(I9=0,0,VLOOKUP($A9,[10]HISTOMAI22!$A$7:$AU$38,42,0))</f>
        <v>0</v>
      </c>
      <c r="K9" s="7">
        <f>VLOOKUP($A9,[10]HISTOMAI22!$A$7:$AU$38,41,0)</f>
        <v>0</v>
      </c>
      <c r="L9" s="7">
        <f>+TONTAVRIL22!H9+TONTAVRIL22!I9</f>
        <v>0</v>
      </c>
      <c r="M9" s="7">
        <f>VLOOKUP($A9,[10]HISTOMAI22!$A$7:$AU$38,16,0)</f>
        <v>0</v>
      </c>
      <c r="N9" s="7" t="str">
        <f>IF(M9&lt;&gt;0,VLOOKUP($A9,[10]HISTOMAI22!$A$7:$AU$38,8,0),"ECHEC")</f>
        <v>ECHEC</v>
      </c>
      <c r="O9" s="7">
        <f>IF(R9=0,0,VLOOKUP($A9,[10]HISTOMAI22!$A$7:$AU$38,32,0))</f>
        <v>0</v>
      </c>
      <c r="P9" s="7">
        <f>VLOOKUP($A9,[10]HISTOMAI22!$A$7:$AU$38,33,0)</f>
        <v>0</v>
      </c>
      <c r="Q9" s="7">
        <f t="shared" si="0"/>
        <v>0</v>
      </c>
      <c r="R9" s="7">
        <f>VLOOKUP($A9,[10]HISTOMAI22!$A$7:$AU$38,29,0)</f>
        <v>0</v>
      </c>
      <c r="S9" s="21">
        <f t="shared" si="2"/>
        <v>0</v>
      </c>
    </row>
    <row r="10" spans="1:19" x14ac:dyDescent="0.25">
      <c r="A10" s="1" t="s">
        <v>12</v>
      </c>
      <c r="B10" s="7">
        <f>IF(D10=0,0,VLOOKUP($A10,[8]HISTOJANV22!$A$6:$AZ$36,9,0))</f>
        <v>1</v>
      </c>
      <c r="C10" s="1" t="str">
        <f>VLOOKUP(A10,[9]LISTADHERENT!A$5:H$60,3,0)</f>
        <v>DJUOMBESSY ANTOINE</v>
      </c>
      <c r="D10" s="7">
        <f t="shared" si="1"/>
        <v>23000</v>
      </c>
      <c r="E10" s="7">
        <f>D10+VLOOKUP($A10,[10]HISTOMAI22!$A$7:$AU$38,45,0)+F10</f>
        <v>30000</v>
      </c>
      <c r="F10" s="7">
        <f>VLOOKUP($A10,[10]HISTOMAI22!$A$7:$AU$38,7,0)</f>
        <v>0</v>
      </c>
      <c r="G10" s="7" t="str">
        <f>VLOOKUP($A10,[10]HISTOMAI22!$A$7:$AU$38,8,0)</f>
        <v>BANQUE</v>
      </c>
      <c r="H10" s="7">
        <f>VLOOKUP($A10,[10]HISTOMAI22!$A$7:$AU$38,35,0)</f>
        <v>0</v>
      </c>
      <c r="I10" s="7">
        <f>VLOOKUP($A10,[10]HISTOMAI22!$A$7:$AU$38,38,0)</f>
        <v>0</v>
      </c>
      <c r="J10" s="7">
        <f>IF(I10=0,0,VLOOKUP($A10,[10]HISTOMAI22!$A$7:$AU$38,42,0))</f>
        <v>0</v>
      </c>
      <c r="K10" s="7">
        <f>VLOOKUP($A10,[10]HISTOMAI22!$A$7:$AU$38,41,0)</f>
        <v>0</v>
      </c>
      <c r="L10" s="7">
        <f>+TONTAVRIL22!H10+TONTAVRIL22!I10</f>
        <v>0</v>
      </c>
      <c r="M10" s="7">
        <f>VLOOKUP($A10,[10]HISTOMAI22!$A$7:$AU$38,16,0)</f>
        <v>0</v>
      </c>
      <c r="N10" s="7" t="str">
        <f>IF(M10&lt;&gt;0,VLOOKUP($A10,[10]HISTOMAI22!$A$7:$AU$38,8,0),"ECHEC")</f>
        <v>ECHEC</v>
      </c>
      <c r="O10" s="7">
        <f>IF(R10=0,0,VLOOKUP($A10,[10]HISTOMAI22!$A$7:$AU$38,32,0))</f>
        <v>0</v>
      </c>
      <c r="P10" s="7">
        <f>VLOOKUP($A10,[10]HISTOMAI22!$A$7:$AU$38,33,0)</f>
        <v>0</v>
      </c>
      <c r="Q10" s="7">
        <f t="shared" si="0"/>
        <v>0</v>
      </c>
      <c r="R10" s="7">
        <f>VLOOKUP($A10,[10]HISTOMAI22!$A$7:$AU$38,29,0)</f>
        <v>0</v>
      </c>
      <c r="S10" s="21">
        <f t="shared" si="2"/>
        <v>0</v>
      </c>
    </row>
    <row r="11" spans="1:19" x14ac:dyDescent="0.25">
      <c r="A11" s="1" t="s">
        <v>50</v>
      </c>
      <c r="B11" s="7">
        <f>IF(D11=0,0,VLOOKUP($A11,[8]HISTOJANV22!$A$6:$AZ$36,9,0))</f>
        <v>1</v>
      </c>
      <c r="C11" s="1" t="str">
        <f>VLOOKUP(A11,[9]LISTADHERENT!A$5:H$60,3,0)</f>
        <v>DOMOU FABIEN</v>
      </c>
      <c r="D11" s="7">
        <f t="shared" si="1"/>
        <v>23000</v>
      </c>
      <c r="E11" s="7">
        <f>D11+VLOOKUP($A11,[10]HISTOMAI22!$A$7:$AU$38,45,0)+F11</f>
        <v>35000</v>
      </c>
      <c r="F11" s="7">
        <f>VLOOKUP($A11,[10]HISTOMAI22!$A$7:$AU$38,7,0)</f>
        <v>0</v>
      </c>
      <c r="G11" s="7" t="str">
        <f>VLOOKUP($A11,[10]HISTOMAI22!$A$7:$AU$38,8,0)</f>
        <v>BANQUE</v>
      </c>
      <c r="H11" s="7">
        <f>VLOOKUP($A11,[10]HISTOMAI22!$A$7:$AU$38,35,0)</f>
        <v>0</v>
      </c>
      <c r="I11" s="7">
        <f>VLOOKUP($A11,[10]HISTOMAI22!$A$7:$AU$38,38,0)</f>
        <v>0</v>
      </c>
      <c r="J11" s="7">
        <f>IF(I11=0,0,VLOOKUP($A11,[10]HISTOMAI22!$A$7:$AU$38,42,0))</f>
        <v>0</v>
      </c>
      <c r="K11" s="7">
        <f>VLOOKUP($A11,[10]HISTOMAI22!$A$7:$AU$38,41,0)</f>
        <v>0</v>
      </c>
      <c r="L11" s="7">
        <f>+TONTAVRIL22!H11+TONTAVRIL22!I11</f>
        <v>0</v>
      </c>
      <c r="M11" s="7">
        <f>VLOOKUP($A11,[10]HISTOMAI22!$A$7:$AU$38,16,0)</f>
        <v>0</v>
      </c>
      <c r="N11" s="7" t="str">
        <f>IF(M11&lt;&gt;0,VLOOKUP($A11,[10]HISTOMAI22!$A$7:$AU$38,8,0),"ECHEC")</f>
        <v>ECHEC</v>
      </c>
      <c r="O11" s="7">
        <f>IF(R11=0,0,VLOOKUP($A11,[10]HISTOMAI22!$A$7:$AU$38,32,0))</f>
        <v>0</v>
      </c>
      <c r="P11" s="7">
        <f>VLOOKUP($A11,[10]HISTOMAI22!$A$7:$AU$38,33,0)</f>
        <v>0</v>
      </c>
      <c r="Q11" s="7">
        <f t="shared" si="0"/>
        <v>0</v>
      </c>
      <c r="R11" s="7">
        <f>VLOOKUP($A11,[10]HISTOMAI22!$A$7:$AU$38,29,0)</f>
        <v>0</v>
      </c>
      <c r="S11" s="21">
        <f t="shared" si="2"/>
        <v>0</v>
      </c>
    </row>
    <row r="12" spans="1:19" x14ac:dyDescent="0.25">
      <c r="A12" s="1" t="s">
        <v>13</v>
      </c>
      <c r="B12" s="7">
        <f>IF(D12=0,0,VLOOKUP($A12,[8]HISTOJANV22!$A$6:$AZ$36,9,0))</f>
        <v>1</v>
      </c>
      <c r="C12" s="1" t="str">
        <f>VLOOKUP(A12,[9]LISTADHERENT!A$5:H$60,3,0)</f>
        <v>DONHOU DAVID</v>
      </c>
      <c r="D12" s="7">
        <f t="shared" si="1"/>
        <v>23000</v>
      </c>
      <c r="E12" s="7">
        <f>D12+VLOOKUP($A12,[10]HISTOMAI22!$A$7:$AU$38,45,0)+F12</f>
        <v>35000</v>
      </c>
      <c r="F12" s="7">
        <f>VLOOKUP($A12,[10]HISTOMAI22!$A$7:$AU$38,7,0)</f>
        <v>0</v>
      </c>
      <c r="G12" s="7" t="str">
        <f>VLOOKUP($A12,[10]HISTOMAI22!$A$7:$AU$38,8,0)</f>
        <v>BANQUE</v>
      </c>
      <c r="H12" s="7">
        <f>VLOOKUP($A12,[10]HISTOMAI22!$A$7:$AU$38,35,0)</f>
        <v>0</v>
      </c>
      <c r="I12" s="7">
        <f>VLOOKUP($A12,[10]HISTOMAI22!$A$7:$AU$38,38,0)</f>
        <v>0</v>
      </c>
      <c r="J12" s="7">
        <f>IF(I12=0,0,VLOOKUP($A12,[10]HISTOMAI22!$A$7:$AU$38,42,0))</f>
        <v>0</v>
      </c>
      <c r="K12" s="7">
        <f>VLOOKUP($A12,[10]HISTOMAI22!$A$7:$AU$38,41,0)</f>
        <v>0</v>
      </c>
      <c r="L12" s="7">
        <f>+TONTAVRIL22!H12+TONTAVRIL22!I12</f>
        <v>0</v>
      </c>
      <c r="M12" s="7">
        <f>VLOOKUP($A12,[10]HISTOMAI22!$A$7:$AU$38,16,0)</f>
        <v>0</v>
      </c>
      <c r="N12" s="7" t="str">
        <f>IF(M12&lt;&gt;0,VLOOKUP($A12,[10]HISTOMAI22!$A$7:$AU$38,8,0),"ECHEC")</f>
        <v>ECHEC</v>
      </c>
      <c r="O12" s="7">
        <f>IF(R12=0,0,VLOOKUP($A12,[10]HISTOMAI22!$A$7:$AU$38,32,0))</f>
        <v>0</v>
      </c>
      <c r="P12" s="7">
        <f>VLOOKUP($A12,[10]HISTOMAI22!$A$7:$AU$38,33,0)</f>
        <v>0</v>
      </c>
      <c r="Q12" s="7">
        <f t="shared" si="0"/>
        <v>0</v>
      </c>
      <c r="R12" s="7">
        <f>VLOOKUP($A12,[10]HISTOMAI22!$A$7:$AU$38,29,0)</f>
        <v>0</v>
      </c>
      <c r="S12" s="21">
        <f t="shared" si="2"/>
        <v>0</v>
      </c>
    </row>
    <row r="13" spans="1:19" x14ac:dyDescent="0.25">
      <c r="A13" s="1" t="s">
        <v>15</v>
      </c>
      <c r="B13" s="7">
        <f>IF(D13=0,0,VLOOKUP($A13,[8]HISTOJANV22!$A$6:$AZ$36,9,0))</f>
        <v>1</v>
      </c>
      <c r="C13" s="1" t="str">
        <f>VLOOKUP(A13,[9]LISTADHERENT!A$5:H$60,3,0)</f>
        <v>HENGUE PAUL OMER</v>
      </c>
      <c r="D13" s="7">
        <f t="shared" si="1"/>
        <v>23000</v>
      </c>
      <c r="E13" s="7">
        <f>D13+VLOOKUP($A13,[10]HISTOMAI22!$A$7:$AU$38,45,0)+F13</f>
        <v>30000</v>
      </c>
      <c r="F13" s="7">
        <f>VLOOKUP($A13,[10]HISTOMAI22!$A$7:$AU$38,7,0)</f>
        <v>0</v>
      </c>
      <c r="G13" s="7" t="str">
        <f>VLOOKUP($A13,[10]HISTOMAI22!$A$7:$AU$38,8,0)</f>
        <v>BANQUE</v>
      </c>
      <c r="H13" s="7">
        <f>VLOOKUP($A13,[10]HISTOMAI22!$A$7:$AU$38,35,0)</f>
        <v>0</v>
      </c>
      <c r="I13" s="7">
        <f>VLOOKUP($A13,[10]HISTOMAI22!$A$7:$AU$38,38,0)</f>
        <v>0</v>
      </c>
      <c r="J13" s="7">
        <f>IF(I13=0,0,VLOOKUP($A13,[10]HISTOMAI22!$A$7:$AU$38,42,0))</f>
        <v>0</v>
      </c>
      <c r="K13" s="7">
        <f>VLOOKUP($A13,[10]HISTOMAI22!$A$7:$AU$38,41,0)</f>
        <v>0</v>
      </c>
      <c r="L13" s="7">
        <f>+TONTAVRIL22!H13+TONTAVRIL22!I13</f>
        <v>0</v>
      </c>
      <c r="M13" s="7">
        <f>VLOOKUP($A13,[10]HISTOMAI22!$A$7:$AU$38,16,0)</f>
        <v>0</v>
      </c>
      <c r="N13" s="7" t="str">
        <f>IF(M13&lt;&gt;0,VLOOKUP($A13,[10]HISTOMAI22!$A$7:$AU$38,8,0),"ECHEC")</f>
        <v>ECHEC</v>
      </c>
      <c r="O13" s="7">
        <f>IF(R13=0,0,VLOOKUP($A13,[10]HISTOMAI22!$A$7:$AU$38,32,0))</f>
        <v>0</v>
      </c>
      <c r="P13" s="7">
        <f>VLOOKUP($A13,[10]HISTOMAI22!$A$7:$AU$38,33,0)</f>
        <v>0</v>
      </c>
      <c r="Q13" s="7">
        <f t="shared" si="0"/>
        <v>0</v>
      </c>
      <c r="R13" s="7">
        <f>VLOOKUP($A13,[10]HISTOMAI22!$A$7:$AU$38,29,0)</f>
        <v>0</v>
      </c>
      <c r="S13" s="21">
        <f t="shared" si="2"/>
        <v>0</v>
      </c>
    </row>
    <row r="14" spans="1:19" x14ac:dyDescent="0.25">
      <c r="A14" s="1" t="s">
        <v>16</v>
      </c>
      <c r="B14" s="7">
        <f>IF(D14=0,0,VLOOKUP($A14,[8]HISTOJANV22!$A$6:$AZ$36,9,0))</f>
        <v>1</v>
      </c>
      <c r="C14" s="1" t="str">
        <f>VLOOKUP(A14,[9]LISTADHERENT!A$5:H$60,3,0)</f>
        <v>HOTCHO BENJAMIN</v>
      </c>
      <c r="D14" s="7">
        <f t="shared" si="1"/>
        <v>23000</v>
      </c>
      <c r="E14" s="7">
        <f>D14+VLOOKUP($A14,[10]HISTOMAI22!$A$7:$AU$38,45,0)+F14</f>
        <v>75000</v>
      </c>
      <c r="F14" s="7">
        <f>VLOOKUP($A14,[10]HISTOMAI22!$A$7:$AU$38,7,0)</f>
        <v>0</v>
      </c>
      <c r="G14" s="7" t="str">
        <f>VLOOKUP($A14,[10]HISTOMAI22!$A$7:$AU$38,8,0)</f>
        <v>BANQUE</v>
      </c>
      <c r="H14" s="7">
        <f>VLOOKUP($A14,[10]HISTOMAI22!$A$7:$AU$38,35,0)</f>
        <v>0</v>
      </c>
      <c r="I14" s="7">
        <f>VLOOKUP($A14,[10]HISTOMAI22!$A$7:$AU$38,38,0)</f>
        <v>0</v>
      </c>
      <c r="J14" s="7">
        <f>IF(I14=0,0,VLOOKUP($A14,[10]HISTOMAI22!$A$7:$AU$38,42,0))</f>
        <v>0</v>
      </c>
      <c r="K14" s="7">
        <f>VLOOKUP($A14,[10]HISTOMAI22!$A$7:$AU$38,41,0)</f>
        <v>0</v>
      </c>
      <c r="L14" s="7">
        <f>+TONTAVRIL22!H14+TONTAVRIL22!I14</f>
        <v>0</v>
      </c>
      <c r="M14" s="7">
        <f>VLOOKUP($A14,[10]HISTOMAI22!$A$7:$AU$38,16,0)</f>
        <v>0</v>
      </c>
      <c r="N14" s="7" t="str">
        <f>IF(M14&lt;&gt;0,VLOOKUP($A14,[10]HISTOMAI22!$A$7:$AU$38,8,0),"ECHEC")</f>
        <v>ECHEC</v>
      </c>
      <c r="O14" s="7" t="str">
        <f>IF(R14=0,0,VLOOKUP($A14,[10]HISTOMAI22!$A$7:$AU$38,32,0))</f>
        <v>BANQUE</v>
      </c>
      <c r="P14" s="7">
        <f>VLOOKUP($A14,[10]HISTOMAI22!$A$7:$AU$38,33,0)</f>
        <v>0</v>
      </c>
      <c r="Q14" s="7">
        <f t="shared" si="0"/>
        <v>277000</v>
      </c>
      <c r="R14" s="7">
        <f>VLOOKUP($A14,[10]HISTOMAI22!$A$7:$AU$38,29,0)</f>
        <v>23000</v>
      </c>
      <c r="S14" s="21">
        <f t="shared" si="2"/>
        <v>0</v>
      </c>
    </row>
    <row r="15" spans="1:19" x14ac:dyDescent="0.25">
      <c r="A15" s="1" t="s">
        <v>17</v>
      </c>
      <c r="B15" s="7">
        <f>IF(D15=0,0,VLOOKUP($A15,[8]HISTOJANV22!$A$6:$AZ$36,9,0))</f>
        <v>1</v>
      </c>
      <c r="C15" s="1" t="str">
        <f>VLOOKUP(A15,[9]LISTADHERENT!A$5:H$60,3,0)</f>
        <v>KOUAMOU MOISE</v>
      </c>
      <c r="D15" s="7">
        <f t="shared" si="1"/>
        <v>23000</v>
      </c>
      <c r="E15" s="7">
        <f>D15+VLOOKUP($A15,[10]HISTOMAI22!$A$7:$AU$38,45,0)+F15</f>
        <v>30000</v>
      </c>
      <c r="F15" s="7">
        <f>VLOOKUP($A15,[10]HISTOMAI22!$A$7:$AU$38,7,0)</f>
        <v>0</v>
      </c>
      <c r="G15" s="7" t="str">
        <f>VLOOKUP($A15,[10]HISTOMAI22!$A$7:$AU$38,8,0)</f>
        <v>BANQUE</v>
      </c>
      <c r="H15" s="7">
        <f>VLOOKUP($A15,[10]HISTOMAI22!$A$7:$AU$38,35,0)</f>
        <v>0</v>
      </c>
      <c r="I15" s="7">
        <f>VLOOKUP($A15,[10]HISTOMAI22!$A$7:$AU$38,38,0)</f>
        <v>0</v>
      </c>
      <c r="J15" s="7">
        <f>IF(I15=0,0,VLOOKUP($A15,[10]HISTOMAI22!$A$7:$AU$38,42,0))</f>
        <v>0</v>
      </c>
      <c r="K15" s="7">
        <f>VLOOKUP($A15,[10]HISTOMAI22!$A$7:$AU$38,41,0)</f>
        <v>0</v>
      </c>
      <c r="L15" s="7">
        <f>+TONTAVRIL22!H15+TONTAVRIL22!I15</f>
        <v>0</v>
      </c>
      <c r="M15" s="7">
        <f>VLOOKUP($A15,[10]HISTOMAI22!$A$7:$AU$38,16,0)</f>
        <v>0</v>
      </c>
      <c r="N15" s="7" t="str">
        <f>IF(M15&lt;&gt;0,VLOOKUP($A15,[10]HISTOMAI22!$A$7:$AU$38,8,0),"ECHEC")</f>
        <v>ECHEC</v>
      </c>
      <c r="O15" s="7">
        <f>IF(R15=0,0,VLOOKUP($A15,[10]HISTOMAI22!$A$7:$AU$38,32,0))</f>
        <v>0</v>
      </c>
      <c r="P15" s="7">
        <f>VLOOKUP($A15,[10]HISTOMAI22!$A$7:$AU$38,33,0)</f>
        <v>0</v>
      </c>
      <c r="Q15" s="7">
        <f t="shared" si="0"/>
        <v>0</v>
      </c>
      <c r="R15" s="7">
        <f>VLOOKUP($A15,[10]HISTOMAI22!$A$7:$AU$38,29,0)</f>
        <v>0</v>
      </c>
      <c r="S15" s="21">
        <f t="shared" si="2"/>
        <v>0</v>
      </c>
    </row>
    <row r="16" spans="1:19" x14ac:dyDescent="0.25">
      <c r="A16" s="1" t="s">
        <v>18</v>
      </c>
      <c r="B16" s="7">
        <f>IF(D16=0,0,VLOOKUP($A16,[8]HISTOJANV22!$A$6:$AZ$36,9,0))</f>
        <v>1</v>
      </c>
      <c r="C16" s="1" t="str">
        <f>VLOOKUP(A16,[9]LISTADHERENT!A$5:H$60,3,0)</f>
        <v>KOUATCHO MESSACK</v>
      </c>
      <c r="D16" s="7">
        <f t="shared" si="1"/>
        <v>23000</v>
      </c>
      <c r="E16" s="7">
        <f>D16+VLOOKUP($A16,[10]HISTOMAI22!$A$7:$AU$38,45,0)+F16</f>
        <v>30000</v>
      </c>
      <c r="F16" s="7">
        <f>VLOOKUP($A16,[10]HISTOMAI22!$A$7:$AU$38,7,0)</f>
        <v>0</v>
      </c>
      <c r="G16" s="7" t="str">
        <f>VLOOKUP($A16,[10]HISTOMAI22!$A$7:$AU$38,8,0)</f>
        <v>BANQUE</v>
      </c>
      <c r="H16" s="7">
        <f>VLOOKUP($A16,[10]HISTOMAI22!$A$7:$AU$38,35,0)</f>
        <v>0</v>
      </c>
      <c r="I16" s="7">
        <f>VLOOKUP($A16,[10]HISTOMAI22!$A$7:$AU$38,38,0)</f>
        <v>0</v>
      </c>
      <c r="J16" s="7">
        <f>IF(I16=0,0,VLOOKUP($A16,[10]HISTOMAI22!$A$7:$AU$38,42,0))</f>
        <v>0</v>
      </c>
      <c r="K16" s="7">
        <f>VLOOKUP($A16,[10]HISTOMAI22!$A$7:$AU$38,41,0)</f>
        <v>0</v>
      </c>
      <c r="L16" s="7">
        <f>+TONTAVRIL22!H16+TONTAVRIL22!I16</f>
        <v>0</v>
      </c>
      <c r="M16" s="7">
        <f>VLOOKUP($A16,[10]HISTOMAI22!$A$7:$AU$38,16,0)</f>
        <v>0</v>
      </c>
      <c r="N16" s="7" t="str">
        <f>IF(M16&lt;&gt;0,VLOOKUP($A16,[10]HISTOMAI22!$A$7:$AU$38,8,0),"ECHEC")</f>
        <v>ECHEC</v>
      </c>
      <c r="O16" s="7">
        <f>IF(R16=0,0,VLOOKUP($A16,[10]HISTOMAI22!$A$7:$AU$38,32,0))</f>
        <v>0</v>
      </c>
      <c r="P16" s="7">
        <f>VLOOKUP($A16,[10]HISTOMAI22!$A$7:$AU$38,33,0)</f>
        <v>0</v>
      </c>
      <c r="Q16" s="7">
        <f t="shared" si="0"/>
        <v>0</v>
      </c>
      <c r="R16" s="7">
        <f>VLOOKUP($A16,[10]HISTOMAI22!$A$7:$AU$38,29,0)</f>
        <v>0</v>
      </c>
      <c r="S16" s="21">
        <f t="shared" si="2"/>
        <v>0</v>
      </c>
    </row>
    <row r="17" spans="1:19" x14ac:dyDescent="0.25">
      <c r="A17" s="1" t="s">
        <v>19</v>
      </c>
      <c r="B17" s="7">
        <f>IF(D17=0,0,VLOOKUP($A17,[8]HISTOJANV22!$A$6:$AZ$36,9,0))</f>
        <v>1</v>
      </c>
      <c r="C17" s="1" t="str">
        <f>VLOOKUP(A17,[9]LISTADHERENT!A$5:H$60,3,0)</f>
        <v>LOWE JEAN</v>
      </c>
      <c r="D17" s="7">
        <f t="shared" si="1"/>
        <v>23000</v>
      </c>
      <c r="E17" s="7">
        <f>D17+VLOOKUP($A17,[10]HISTOMAI22!$A$7:$AU$38,45,0)+F17</f>
        <v>30000</v>
      </c>
      <c r="F17" s="7">
        <f>VLOOKUP($A17,[10]HISTOMAI22!$A$7:$AU$38,7,0)</f>
        <v>0</v>
      </c>
      <c r="G17" s="7" t="str">
        <f>VLOOKUP($A17,[10]HISTOMAI22!$A$7:$AU$38,8,0)</f>
        <v>BANQUE</v>
      </c>
      <c r="H17" s="7">
        <f>VLOOKUP($A17,[10]HISTOMAI22!$A$7:$AU$38,35,0)</f>
        <v>0</v>
      </c>
      <c r="I17" s="7">
        <f>VLOOKUP($A17,[10]HISTOMAI22!$A$7:$AU$38,38,0)</f>
        <v>0</v>
      </c>
      <c r="J17" s="7">
        <f>IF(I17=0,0,VLOOKUP($A17,[10]HISTOMAI22!$A$7:$AU$38,42,0))</f>
        <v>0</v>
      </c>
      <c r="K17" s="7">
        <f>VLOOKUP($A17,[10]HISTOMAI22!$A$7:$AU$38,41,0)</f>
        <v>0</v>
      </c>
      <c r="L17" s="7">
        <f>+TONTAVRIL22!H17+TONTAVRIL22!I17</f>
        <v>0</v>
      </c>
      <c r="M17" s="7">
        <f>VLOOKUP($A17,[10]HISTOMAI22!$A$7:$AU$38,16,0)</f>
        <v>0</v>
      </c>
      <c r="N17" s="7" t="str">
        <f>IF(M17&lt;&gt;0,VLOOKUP($A17,[10]HISTOMAI22!$A$7:$AU$38,8,0),"ECHEC")</f>
        <v>ECHEC</v>
      </c>
      <c r="O17" s="7">
        <f>IF(R17=0,0,VLOOKUP($A17,[10]HISTOMAI22!$A$7:$AU$38,32,0))</f>
        <v>0</v>
      </c>
      <c r="P17" s="7">
        <f>VLOOKUP($A17,[10]HISTOMAI22!$A$7:$AU$38,33,0)</f>
        <v>0</v>
      </c>
      <c r="Q17" s="7">
        <f t="shared" si="0"/>
        <v>0</v>
      </c>
      <c r="R17" s="7">
        <f>VLOOKUP($A17,[10]HISTOMAI22!$A$7:$AU$38,29,0)</f>
        <v>0</v>
      </c>
      <c r="S17" s="21">
        <f t="shared" si="2"/>
        <v>0</v>
      </c>
    </row>
    <row r="18" spans="1:19" x14ac:dyDescent="0.25">
      <c r="A18" s="1" t="s">
        <v>49</v>
      </c>
      <c r="B18" s="7">
        <f>IF(D18=0,0,VLOOKUP($A18,[8]HISTOJANV22!$A$6:$AZ$36,9,0))</f>
        <v>1</v>
      </c>
      <c r="C18" s="1" t="str">
        <f>VLOOKUP(A18,[9]LISTADHERENT!A$5:H$60,3,0)</f>
        <v>MBOGNING TUGMA GUY</v>
      </c>
      <c r="D18" s="7">
        <f t="shared" si="1"/>
        <v>23000</v>
      </c>
      <c r="E18" s="7">
        <f>D18+VLOOKUP($A18,[10]HISTOMAI22!$A$7:$AU$38,45,0)+F18</f>
        <v>33000</v>
      </c>
      <c r="F18" s="7">
        <f>VLOOKUP($A18,[10]HISTOMAI22!$A$7:$AU$38,7,0)</f>
        <v>3000</v>
      </c>
      <c r="G18" s="7" t="str">
        <f>VLOOKUP($A18,[10]HISTOMAI22!$A$7:$AU$38,8,0)</f>
        <v>BANQUE</v>
      </c>
      <c r="H18" s="7">
        <f>VLOOKUP($A18,[10]HISTOMAI22!$A$7:$AU$38,35,0)</f>
        <v>0</v>
      </c>
      <c r="I18" s="7">
        <f>VLOOKUP($A18,[10]HISTOMAI22!$A$7:$AU$38,38,0)</f>
        <v>0</v>
      </c>
      <c r="J18" s="7">
        <f>IF(I18=0,0,VLOOKUP($A18,[10]HISTOMAI22!$A$7:$AU$38,42,0))</f>
        <v>0</v>
      </c>
      <c r="K18" s="7">
        <f>VLOOKUP($A18,[10]HISTOMAI22!$A$7:$AU$38,41,0)</f>
        <v>0</v>
      </c>
      <c r="L18" s="7">
        <f>+TONTAVRIL22!H18+TONTAVRIL22!I18</f>
        <v>0</v>
      </c>
      <c r="M18" s="7">
        <f>VLOOKUP($A18,[10]HISTOMAI22!$A$7:$AU$38,16,0)</f>
        <v>0</v>
      </c>
      <c r="N18" s="7" t="str">
        <f>IF(M18&lt;&gt;0,VLOOKUP($A18,[10]HISTOMAI22!$A$7:$AU$38,8,0),"ECHEC")</f>
        <v>ECHEC</v>
      </c>
      <c r="O18" s="7">
        <f>IF(R18=0,0,VLOOKUP($A18,[10]HISTOMAI22!$A$7:$AU$38,32,0))</f>
        <v>0</v>
      </c>
      <c r="P18" s="7">
        <f>VLOOKUP($A18,[10]HISTOMAI22!$A$7:$AU$38,33,0)</f>
        <v>0</v>
      </c>
      <c r="Q18" s="7">
        <f t="shared" si="0"/>
        <v>0</v>
      </c>
      <c r="R18" s="7">
        <f>VLOOKUP($A18,[10]HISTOMAI22!$A$7:$AU$38,29,0)</f>
        <v>0</v>
      </c>
      <c r="S18" s="21">
        <f t="shared" si="2"/>
        <v>0</v>
      </c>
    </row>
    <row r="19" spans="1:19" x14ac:dyDescent="0.25">
      <c r="A19" s="1" t="s">
        <v>30</v>
      </c>
      <c r="B19" s="7">
        <f>IF(D19=0,0,VLOOKUP($A19,[8]HISTOJANV22!$A$6:$AZ$36,9,0))</f>
        <v>1</v>
      </c>
      <c r="C19" s="1" t="str">
        <f>VLOOKUP(A19,[9]LISTADHERENT!A$5:H$60,3,0)</f>
        <v>NANGUEN MARTIN</v>
      </c>
      <c r="D19" s="7">
        <f t="shared" ref="D19:D22" si="3">IF(G19="ECHEC",0,B$3)</f>
        <v>23000</v>
      </c>
      <c r="E19" s="7">
        <f>D19+VLOOKUP($A19,[10]HISTOMAI22!$A$7:$AU$38,45,0)+F19</f>
        <v>30000</v>
      </c>
      <c r="F19" s="7">
        <f>VLOOKUP($A19,[10]HISTOMAI22!$A$7:$AU$38,7,0)</f>
        <v>0</v>
      </c>
      <c r="G19" s="7" t="str">
        <f>VLOOKUP($A19,[10]HISTOMAI22!$A$7:$AU$38,8,0)</f>
        <v>BANQUE</v>
      </c>
      <c r="H19" s="7">
        <f>VLOOKUP($A19,[10]HISTOMAI22!$A$7:$AU$38,35,0)</f>
        <v>0</v>
      </c>
      <c r="I19" s="7">
        <f>VLOOKUP($A19,[10]HISTOMAI22!$A$7:$AU$38,38,0)</f>
        <v>0</v>
      </c>
      <c r="J19" s="7">
        <f>IF(I19=0,0,VLOOKUP($A19,[10]HISTOMAI22!$A$7:$AU$38,42,0))</f>
        <v>0</v>
      </c>
      <c r="K19" s="7">
        <f>VLOOKUP($A19,[10]HISTOMAI22!$A$7:$AU$38,41,0)</f>
        <v>0</v>
      </c>
      <c r="L19" s="7">
        <f>+TONTAVRIL22!H19+TONTAVRIL22!I19</f>
        <v>0</v>
      </c>
      <c r="M19" s="7">
        <f>VLOOKUP($A19,[10]HISTOMAI22!$A$7:$AU$38,16,0)</f>
        <v>0</v>
      </c>
      <c r="N19" s="7" t="str">
        <f>IF(M19&lt;&gt;0,VLOOKUP($A19,[10]HISTOMAI22!$A$7:$AU$38,8,0),"ECHEC")</f>
        <v>ECHEC</v>
      </c>
      <c r="O19" s="7">
        <f>IF(R19=0,0,VLOOKUP($A19,[10]HISTOMAI22!$A$7:$AU$38,32,0))</f>
        <v>0</v>
      </c>
      <c r="P19" s="7">
        <f>VLOOKUP($A19,[10]HISTOMAI22!$A$7:$AU$38,33,0)</f>
        <v>0</v>
      </c>
      <c r="Q19" s="7">
        <f t="shared" ref="Q19:Q22" si="4">IF(R19=0,0,($C$3-R19))</f>
        <v>0</v>
      </c>
      <c r="R19" s="7">
        <f>VLOOKUP($A19,[10]HISTOMAI22!$A$7:$AU$38,29,0)</f>
        <v>0</v>
      </c>
      <c r="S19" s="21">
        <f t="shared" si="2"/>
        <v>0</v>
      </c>
    </row>
    <row r="20" spans="1:19" x14ac:dyDescent="0.25">
      <c r="A20" s="1" t="s">
        <v>20</v>
      </c>
      <c r="B20" s="7">
        <f>IF(D20=0,0,VLOOKUP($A20,[8]HISTOJANV22!$A$6:$AZ$36,9,0))</f>
        <v>1</v>
      </c>
      <c r="C20" s="1" t="str">
        <f>VLOOKUP(A20,[9]LISTADHERENT!A$5:H$60,3,0)</f>
        <v>NANKAM APPOLINAIRE</v>
      </c>
      <c r="D20" s="7">
        <f t="shared" si="3"/>
        <v>23000</v>
      </c>
      <c r="E20" s="7">
        <f>D20+VLOOKUP($A20,[10]HISTOMAI22!$A$7:$AU$38,45,0)+F20</f>
        <v>30000</v>
      </c>
      <c r="F20" s="7">
        <f>VLOOKUP($A20,[10]HISTOMAI22!$A$7:$AU$38,7,0)</f>
        <v>0</v>
      </c>
      <c r="G20" s="7" t="str">
        <f>VLOOKUP($A20,[10]HISTOMAI22!$A$7:$AU$38,8,0)</f>
        <v>BANQUE</v>
      </c>
      <c r="H20" s="7">
        <f>VLOOKUP($A20,[10]HISTOMAI22!$A$7:$AU$38,35,0)</f>
        <v>0</v>
      </c>
      <c r="I20" s="7">
        <f>VLOOKUP($A20,[10]HISTOMAI22!$A$7:$AU$38,38,0)</f>
        <v>0</v>
      </c>
      <c r="J20" s="7">
        <f>IF(I20=0,0,VLOOKUP($A20,[10]HISTOMAI22!$A$7:$AU$38,42,0))</f>
        <v>0</v>
      </c>
      <c r="K20" s="7">
        <f>VLOOKUP($A20,[10]HISTOMAI22!$A$7:$AU$38,41,0)</f>
        <v>0</v>
      </c>
      <c r="L20" s="7">
        <f>+TONTAVRIL22!H20+TONTAVRIL22!I20</f>
        <v>0</v>
      </c>
      <c r="M20" s="7">
        <f>VLOOKUP($A20,[10]HISTOMAI22!$A$7:$AU$38,16,0)</f>
        <v>0</v>
      </c>
      <c r="N20" s="7" t="str">
        <f>IF(M20&lt;&gt;0,VLOOKUP($A20,[10]HISTOMAI22!$A$7:$AU$38,8,0),"ECHEC")</f>
        <v>ECHEC</v>
      </c>
      <c r="O20" s="7">
        <f>IF(R20=0,0,VLOOKUP($A20,[10]HISTOMAI22!$A$7:$AU$38,32,0))</f>
        <v>0</v>
      </c>
      <c r="P20" s="7">
        <f>VLOOKUP($A20,[10]HISTOMAI22!$A$7:$AU$38,33,0)</f>
        <v>0</v>
      </c>
      <c r="Q20" s="7">
        <f t="shared" si="4"/>
        <v>0</v>
      </c>
      <c r="R20" s="7">
        <f>VLOOKUP($A20,[10]HISTOMAI22!$A$7:$AU$38,29,0)</f>
        <v>0</v>
      </c>
      <c r="S20" s="21">
        <f t="shared" si="2"/>
        <v>0</v>
      </c>
    </row>
    <row r="21" spans="1:19" x14ac:dyDescent="0.25">
      <c r="A21" s="1" t="s">
        <v>21</v>
      </c>
      <c r="B21" s="7">
        <f>IF(D21=0,0,VLOOKUP($A21,[8]HISTOJANV22!$A$6:$AZ$36,9,0))</f>
        <v>1</v>
      </c>
      <c r="C21" s="1" t="str">
        <f>VLOOKUP(A21,[9]LISTADHERENT!A$5:H$60,3,0)</f>
        <v>NDJOMO ETIENNE</v>
      </c>
      <c r="D21" s="7">
        <f t="shared" si="3"/>
        <v>23000</v>
      </c>
      <c r="E21" s="7">
        <f>D21+VLOOKUP($A21,[10]HISTOMAI22!$A$7:$AU$38,45,0)+F21</f>
        <v>50000</v>
      </c>
      <c r="F21" s="7">
        <f>VLOOKUP($A21,[10]HISTOMAI22!$A$7:$AU$38,7,0)</f>
        <v>0</v>
      </c>
      <c r="G21" s="7" t="str">
        <f>VLOOKUP($A21,[10]HISTOMAI22!$A$7:$AU$38,8,0)</f>
        <v>BANQUE</v>
      </c>
      <c r="H21" s="7">
        <f>VLOOKUP($A21,[10]HISTOMAI22!$A$7:$AU$38,35,0)</f>
        <v>0</v>
      </c>
      <c r="I21" s="7">
        <f>VLOOKUP($A21,[10]HISTOMAI22!$A$7:$AU$38,38,0)</f>
        <v>0</v>
      </c>
      <c r="J21" s="7">
        <f>IF(I21=0,0,VLOOKUP($A21,[10]HISTOMAI22!$A$7:$AU$38,42,0))</f>
        <v>0</v>
      </c>
      <c r="K21" s="7">
        <f>VLOOKUP($A21,[10]HISTOMAI22!$A$7:$AU$38,41,0)</f>
        <v>0</v>
      </c>
      <c r="L21" s="7">
        <f>+TONTAVRIL22!H21+TONTAVRIL22!I21</f>
        <v>0</v>
      </c>
      <c r="M21" s="7">
        <f>VLOOKUP($A21,[10]HISTOMAI22!$A$7:$AU$38,16,0)</f>
        <v>0</v>
      </c>
      <c r="N21" s="7" t="str">
        <f>IF(M21&lt;&gt;0,VLOOKUP($A21,[10]HISTOMAI22!$A$7:$AU$38,8,0),"ECHEC")</f>
        <v>ECHEC</v>
      </c>
      <c r="O21" s="7" t="str">
        <f>IF(R21=0,0,VLOOKUP($A21,[10]HISTOMAI22!$A$7:$AU$38,32,0))</f>
        <v>BANQUE</v>
      </c>
      <c r="P21" s="7">
        <f>VLOOKUP($A21,[10]HISTOMAI22!$A$7:$AU$38,33,0)</f>
        <v>0</v>
      </c>
      <c r="Q21" s="7">
        <f t="shared" si="4"/>
        <v>277000</v>
      </c>
      <c r="R21" s="7">
        <f>VLOOKUP($A21,[10]HISTOMAI22!$A$7:$AU$38,29,0)</f>
        <v>23000</v>
      </c>
      <c r="S21" s="21">
        <f t="shared" si="2"/>
        <v>0</v>
      </c>
    </row>
    <row r="22" spans="1:19" x14ac:dyDescent="0.25">
      <c r="A22" s="1" t="s">
        <v>22</v>
      </c>
      <c r="B22" s="7">
        <f>IF(D22=0,0,VLOOKUP($A22,[8]HISTOJANV22!$A$6:$AZ$36,9,0))</f>
        <v>1</v>
      </c>
      <c r="C22" s="1" t="str">
        <f>VLOOKUP(A22,[9]LISTADHERENT!A$5:H$60,3,0)</f>
        <v>NGONDIEP CLAUDE</v>
      </c>
      <c r="D22" s="7">
        <f t="shared" si="3"/>
        <v>23000</v>
      </c>
      <c r="E22" s="7">
        <f>D22+VLOOKUP($A22,[10]HISTOMAI22!$A$7:$AU$38,45,0)+F22</f>
        <v>33000</v>
      </c>
      <c r="F22" s="7">
        <f>VLOOKUP($A22,[10]HISTOMAI22!$A$7:$AU$38,7,0)</f>
        <v>3000</v>
      </c>
      <c r="G22" s="7" t="str">
        <f>VLOOKUP($A22,[10]HISTOMAI22!$A$7:$AU$38,8,0)</f>
        <v>ESPECES</v>
      </c>
      <c r="H22" s="7">
        <f>VLOOKUP($A22,[10]HISTOMAI22!$A$7:$AU$38,35,0)</f>
        <v>0</v>
      </c>
      <c r="I22" s="7">
        <f>VLOOKUP($A22,[10]HISTOMAI22!$A$7:$AU$38,38,0)</f>
        <v>0</v>
      </c>
      <c r="J22" s="7">
        <f>IF(I22=0,0,VLOOKUP($A22,[10]HISTOMAI22!$A$7:$AU$38,42,0))</f>
        <v>0</v>
      </c>
      <c r="K22" s="7">
        <f>VLOOKUP($A22,[10]HISTOMAI22!$A$7:$AU$38,41,0)</f>
        <v>0</v>
      </c>
      <c r="L22" s="7">
        <f>+TONTAVRIL22!H22+TONTAVRIL22!I22</f>
        <v>0</v>
      </c>
      <c r="M22" s="7">
        <f>VLOOKUP($A22,[10]HISTOMAI22!$A$7:$AU$38,16,0)</f>
        <v>0</v>
      </c>
      <c r="N22" s="7" t="str">
        <f>IF(M22&lt;&gt;0,VLOOKUP($A22,[10]HISTOMAI22!$A$7:$AU$38,8,0),"ECHEC")</f>
        <v>ECHEC</v>
      </c>
      <c r="O22" s="7">
        <f>IF(R22=0,0,VLOOKUP($A22,[10]HISTOMAI22!$A$7:$AU$38,32,0))</f>
        <v>0</v>
      </c>
      <c r="P22" s="7">
        <f>VLOOKUP($A22,[10]HISTOMAI22!$A$7:$AU$38,33,0)</f>
        <v>0</v>
      </c>
      <c r="Q22" s="7">
        <f t="shared" si="4"/>
        <v>0</v>
      </c>
      <c r="R22" s="7">
        <f>VLOOKUP($A22,[10]HISTOMAI22!$A$7:$AU$38,29,0)</f>
        <v>0</v>
      </c>
      <c r="S22" s="21">
        <f t="shared" si="2"/>
        <v>0</v>
      </c>
    </row>
    <row r="23" spans="1:19" x14ac:dyDescent="0.25">
      <c r="A23" s="1" t="s">
        <v>23</v>
      </c>
      <c r="B23" s="7">
        <f>IF(D23=0,0,VLOOKUP($A23,[8]HISTOJANV22!$A$6:$AZ$36,9,0))</f>
        <v>1</v>
      </c>
      <c r="C23" s="1" t="str">
        <f>VLOOKUP(A23,[9]LISTADHERENT!A$5:H$60,3,0)</f>
        <v>NGUIEMEGNI MATHIEU BLAISE</v>
      </c>
      <c r="D23" s="7">
        <f t="shared" si="1"/>
        <v>23000</v>
      </c>
      <c r="E23" s="7">
        <f>D23+VLOOKUP($A23,[10]HISTOMAI22!$A$7:$AU$38,45,0)+F23</f>
        <v>28000</v>
      </c>
      <c r="F23" s="7">
        <f>VLOOKUP($A23,[10]HISTOMAI22!$A$7:$AU$38,7,0)</f>
        <v>0</v>
      </c>
      <c r="G23" s="7" t="str">
        <f>VLOOKUP($A23,[10]HISTOMAI22!$A$7:$AU$38,8,0)</f>
        <v>BANQUE</v>
      </c>
      <c r="H23" s="7">
        <f>VLOOKUP($A23,[10]HISTOMAI22!$A$7:$AU$38,35,0)</f>
        <v>0</v>
      </c>
      <c r="I23" s="7">
        <f>VLOOKUP($A23,[10]HISTOMAI22!$A$7:$AU$38,38,0)</f>
        <v>0</v>
      </c>
      <c r="J23" s="7">
        <f>IF(I23=0,0,VLOOKUP($A23,[10]HISTOMAI22!$A$7:$AU$38,42,0))</f>
        <v>0</v>
      </c>
      <c r="K23" s="7">
        <f>VLOOKUP($A23,[10]HISTOMAI22!$A$7:$AU$38,41,0)</f>
        <v>0</v>
      </c>
      <c r="L23" s="7">
        <f>+TONTAVRIL22!H23+TONTAVRIL22!I23</f>
        <v>0</v>
      </c>
      <c r="M23" s="7">
        <f>VLOOKUP($A23,[10]HISTOMAI22!$A$7:$AU$38,16,0)</f>
        <v>0</v>
      </c>
      <c r="N23" s="7" t="str">
        <f>IF(M23&lt;&gt;0,VLOOKUP($A23,[10]HISTOMAI22!$A$7:$AU$38,8,0),"ECHEC")</f>
        <v>ECHEC</v>
      </c>
      <c r="O23" s="7">
        <f>IF(R23=0,0,VLOOKUP($A23,[10]HISTOMAI22!$A$7:$AU$38,32,0))</f>
        <v>0</v>
      </c>
      <c r="P23" s="7">
        <f>VLOOKUP($A23,[10]HISTOMAI22!$A$7:$AU$38,33,0)</f>
        <v>0</v>
      </c>
      <c r="Q23" s="7">
        <f t="shared" si="0"/>
        <v>0</v>
      </c>
      <c r="R23" s="7">
        <f>VLOOKUP($A23,[10]HISTOMAI22!$A$7:$AU$38,29,0)</f>
        <v>0</v>
      </c>
      <c r="S23" s="21">
        <f t="shared" si="2"/>
        <v>0</v>
      </c>
    </row>
    <row r="24" spans="1:19" x14ac:dyDescent="0.25">
      <c r="A24" s="1" t="s">
        <v>24</v>
      </c>
      <c r="B24" s="7">
        <f>IF(D24=0,0,VLOOKUP($A24,[8]HISTOJANV22!$A$6:$AZ$36,9,0))</f>
        <v>1</v>
      </c>
      <c r="C24" s="1" t="str">
        <f>VLOOKUP(A24,[9]LISTADHERENT!A$5:H$60,3,0)</f>
        <v>NKAMGANG JUSTIN DEJOLIE</v>
      </c>
      <c r="D24" s="7">
        <f t="shared" si="1"/>
        <v>23000</v>
      </c>
      <c r="E24" s="7">
        <f>D24+VLOOKUP($A24,[10]HISTOMAI22!$A$7:$AU$38,45,0)+F24</f>
        <v>30000</v>
      </c>
      <c r="F24" s="7">
        <f>VLOOKUP($A24,[10]HISTOMAI22!$A$7:$AU$38,7,0)</f>
        <v>0</v>
      </c>
      <c r="G24" s="7" t="str">
        <f>VLOOKUP($A24,[10]HISTOMAI22!$A$7:$AU$38,8,0)</f>
        <v>BANQUE</v>
      </c>
      <c r="H24" s="7">
        <f>VLOOKUP($A24,[10]HISTOMAI22!$A$7:$AU$38,35,0)</f>
        <v>34000</v>
      </c>
      <c r="I24" s="7">
        <f>VLOOKUP($A24,[10]HISTOMAI22!$A$7:$AU$38,38,0)</f>
        <v>500</v>
      </c>
      <c r="J24" s="7" t="str">
        <f>IF(I24=0,0,VLOOKUP($A24,[10]HISTOMAI22!$A$7:$AU$38,42,0))</f>
        <v>BANQUE</v>
      </c>
      <c r="K24" s="7">
        <f>VLOOKUP($A24,[10]HISTOMAI22!$A$7:$AU$38,41,0)</f>
        <v>0</v>
      </c>
      <c r="L24" s="7">
        <f>+TONTAVRIL22!H24+TONTAVRIL22!I24</f>
        <v>0</v>
      </c>
      <c r="M24" s="7">
        <f>VLOOKUP($A24,[10]HISTOMAI22!$A$7:$AU$38,16,0)</f>
        <v>0</v>
      </c>
      <c r="N24" s="7" t="str">
        <f>IF(M24&lt;&gt;0,VLOOKUP($A24,[10]HISTOMAI22!$A$7:$AU$38,8,0),"ECHEC")</f>
        <v>ECHEC</v>
      </c>
      <c r="O24" s="7">
        <f>IF(R24=0,0,VLOOKUP($A24,[10]HISTOMAI22!$A$7:$AU$38,32,0))</f>
        <v>0</v>
      </c>
      <c r="P24" s="7">
        <f>VLOOKUP($A24,[10]HISTOMAI22!$A$7:$AU$38,33,0)</f>
        <v>0</v>
      </c>
      <c r="Q24" s="7">
        <f t="shared" si="0"/>
        <v>0</v>
      </c>
      <c r="R24" s="7">
        <f>VLOOKUP($A24,[10]HISTOMAI22!$A$7:$AU$38,29,0)</f>
        <v>0</v>
      </c>
      <c r="S24" s="21">
        <f t="shared" si="2"/>
        <v>0</v>
      </c>
    </row>
    <row r="25" spans="1:19" x14ac:dyDescent="0.25">
      <c r="A25" s="1" t="s">
        <v>25</v>
      </c>
      <c r="B25" s="7">
        <f>IF(D25=0,0,VLOOKUP($A25,[8]HISTOJANV22!$A$6:$AZ$36,9,0))</f>
        <v>1</v>
      </c>
      <c r="C25" s="1" t="str">
        <f>VLOOKUP(A25,[9]LISTADHERENT!A$5:H$60,3,0)</f>
        <v>NKEPSEU DIEUDONNE</v>
      </c>
      <c r="D25" s="7">
        <f t="shared" si="1"/>
        <v>23000</v>
      </c>
      <c r="E25" s="7">
        <f>D25+VLOOKUP($A25,[10]HISTOMAI22!$A$7:$AU$38,45,0)+F25</f>
        <v>40000</v>
      </c>
      <c r="F25" s="7">
        <f>VLOOKUP($A25,[10]HISTOMAI22!$A$7:$AU$38,7,0)</f>
        <v>0</v>
      </c>
      <c r="G25" s="7" t="str">
        <f>VLOOKUP($A25,[10]HISTOMAI22!$A$7:$AU$38,8,0)</f>
        <v>BANQUE</v>
      </c>
      <c r="H25" s="7">
        <f>VLOOKUP($A25,[10]HISTOMAI22!$A$7:$AU$38,35,0)</f>
        <v>0</v>
      </c>
      <c r="I25" s="7">
        <f>VLOOKUP($A25,[10]HISTOMAI22!$A$7:$AU$38,38,0)</f>
        <v>0</v>
      </c>
      <c r="J25" s="7">
        <f>IF(I25=0,0,VLOOKUP($A25,[10]HISTOMAI22!$A$7:$AU$38,42,0))</f>
        <v>0</v>
      </c>
      <c r="K25" s="7">
        <f>VLOOKUP($A25,[10]HISTOMAI22!$A$7:$AU$38,41,0)</f>
        <v>0</v>
      </c>
      <c r="L25" s="7">
        <f>+TONTAVRIL22!H25+TONTAVRIL22!I25</f>
        <v>0</v>
      </c>
      <c r="M25" s="7">
        <f>VLOOKUP($A25,[10]HISTOMAI22!$A$7:$AU$38,16,0)</f>
        <v>0</v>
      </c>
      <c r="N25" s="7" t="str">
        <f>IF(M25&lt;&gt;0,VLOOKUP($A25,[10]HISTOMAI22!$A$7:$AU$38,8,0),"ECHEC")</f>
        <v>ECHEC</v>
      </c>
      <c r="O25" s="7">
        <f>IF(R25=0,0,VLOOKUP($A25,[10]HISTOMAI22!$A$7:$AU$38,32,0))</f>
        <v>0</v>
      </c>
      <c r="P25" s="7">
        <f>VLOOKUP($A25,[10]HISTOMAI22!$A$7:$AU$38,33,0)</f>
        <v>0</v>
      </c>
      <c r="Q25" s="7">
        <f t="shared" si="0"/>
        <v>0</v>
      </c>
      <c r="R25" s="7">
        <f>VLOOKUP($A25,[10]HISTOMAI22!$A$7:$AU$38,29,0)</f>
        <v>0</v>
      </c>
      <c r="S25" s="21">
        <f t="shared" si="2"/>
        <v>0</v>
      </c>
    </row>
    <row r="26" spans="1:19" x14ac:dyDescent="0.25">
      <c r="A26" s="1" t="s">
        <v>26</v>
      </c>
      <c r="B26" s="7">
        <f>IF(D26=0,0,VLOOKUP($A26,[8]HISTOJANV22!$A$6:$AZ$36,9,0))</f>
        <v>1</v>
      </c>
      <c r="C26" s="1" t="str">
        <f>VLOOKUP(A26,[9]LISTADHERENT!A$5:H$60,3,0)</f>
        <v>PATEGO NJOSSU GUSTAVE</v>
      </c>
      <c r="D26" s="7">
        <f t="shared" si="1"/>
        <v>23000</v>
      </c>
      <c r="E26" s="7">
        <f>D26+VLOOKUP($A26,[10]HISTOMAI22!$A$7:$AU$38,45,0)+F26</f>
        <v>30000</v>
      </c>
      <c r="F26" s="7">
        <f>VLOOKUP($A26,[10]HISTOMAI22!$A$7:$AU$38,7,0)</f>
        <v>0</v>
      </c>
      <c r="G26" s="7" t="str">
        <f>VLOOKUP($A26,[10]HISTOMAI22!$A$7:$AU$38,8,0)</f>
        <v>BANQUE</v>
      </c>
      <c r="H26" s="7">
        <f>VLOOKUP($A26,[10]HISTOMAI22!$A$7:$AU$38,35,0)</f>
        <v>0</v>
      </c>
      <c r="I26" s="7">
        <f>VLOOKUP($A26,[10]HISTOMAI22!$A$7:$AU$38,38,0)</f>
        <v>0</v>
      </c>
      <c r="J26" s="7">
        <f>IF(I26=0,0,VLOOKUP($A26,[10]HISTOMAI22!$A$7:$AU$38,42,0))</f>
        <v>0</v>
      </c>
      <c r="K26" s="7">
        <f>VLOOKUP($A26,[10]HISTOMAI22!$A$7:$AU$38,41,0)</f>
        <v>0</v>
      </c>
      <c r="L26" s="7">
        <f>+TONTAVRIL22!H26+TONTAVRIL22!I26</f>
        <v>0</v>
      </c>
      <c r="M26" s="7">
        <f>VLOOKUP($A26,[10]HISTOMAI22!$A$7:$AU$38,16,0)</f>
        <v>0</v>
      </c>
      <c r="N26" s="7" t="str">
        <f>IF(M26&lt;&gt;0,VLOOKUP($A26,[10]HISTOMAI22!$A$7:$AU$38,8,0),"ECHEC")</f>
        <v>ECHEC</v>
      </c>
      <c r="O26" s="7">
        <f>IF(R26=0,0,VLOOKUP($A26,[10]HISTOMAI22!$A$7:$AU$38,32,0))</f>
        <v>0</v>
      </c>
      <c r="P26" s="7">
        <f>VLOOKUP($A26,[10]HISTOMAI22!$A$7:$AU$38,33,0)</f>
        <v>0</v>
      </c>
      <c r="Q26" s="7">
        <f t="shared" si="0"/>
        <v>0</v>
      </c>
      <c r="R26" s="7">
        <f>VLOOKUP($A26,[10]HISTOMAI22!$A$7:$AU$38,29,0)</f>
        <v>0</v>
      </c>
      <c r="S26" s="21">
        <f t="shared" si="2"/>
        <v>0</v>
      </c>
    </row>
    <row r="27" spans="1:19" x14ac:dyDescent="0.25">
      <c r="A27" s="1" t="s">
        <v>51</v>
      </c>
      <c r="B27" s="7">
        <f>IF(D27=0,0,VLOOKUP($A27,[8]HISTOJANV22!$A$6:$AZ$36,9,0))</f>
        <v>1</v>
      </c>
      <c r="C27" s="1" t="str">
        <f>VLOOKUP(A27,[9]LISTADHERENT!A$5:H$60,3,0)</f>
        <v>SIME BRICE</v>
      </c>
      <c r="D27" s="7">
        <f t="shared" si="1"/>
        <v>23000</v>
      </c>
      <c r="E27" s="7">
        <f>D27+VLOOKUP($A27,[10]HISTOMAI22!$A$7:$AU$38,45,0)+F27</f>
        <v>30000</v>
      </c>
      <c r="F27" s="7">
        <f>VLOOKUP($A27,[10]HISTOMAI22!$A$7:$AU$38,7,0)</f>
        <v>3000</v>
      </c>
      <c r="G27" s="7" t="str">
        <f>VLOOKUP($A27,[10]HISTOMAI22!$A$7:$AU$38,8,0)</f>
        <v>ESPECES</v>
      </c>
      <c r="H27" s="7">
        <f>VLOOKUP($A27,[10]HISTOMAI22!$A$7:$AU$38,35,0)</f>
        <v>0</v>
      </c>
      <c r="I27" s="7">
        <f>VLOOKUP($A27,[10]HISTOMAI22!$A$7:$AU$38,38,0)</f>
        <v>0</v>
      </c>
      <c r="J27" s="7">
        <f>IF(I27=0,0,VLOOKUP($A27,[10]HISTOMAI22!$A$7:$AU$38,42,0))</f>
        <v>0</v>
      </c>
      <c r="K27" s="7">
        <f>VLOOKUP($A27,[10]HISTOMAI22!$A$7:$AU$38,41,0)</f>
        <v>0</v>
      </c>
      <c r="L27" s="7">
        <f>+TONTAVRIL22!H27+TONTAVRIL22!I27</f>
        <v>0</v>
      </c>
      <c r="M27" s="7">
        <f>VLOOKUP($A27,[10]HISTOMAI22!$A$7:$AU$38,16,0)</f>
        <v>0</v>
      </c>
      <c r="N27" s="7" t="str">
        <f>IF(M27&lt;&gt;0,VLOOKUP($A27,[10]HISTOMAI22!$A$7:$AU$38,8,0),"ECHEC")</f>
        <v>ECHEC</v>
      </c>
      <c r="O27" s="7">
        <f>IF(R27=0,0,VLOOKUP($A27,[10]HISTOMAI22!$A$7:$AU$38,32,0))</f>
        <v>0</v>
      </c>
      <c r="P27" s="7">
        <f>VLOOKUP($A27,[10]HISTOMAI22!$A$7:$AU$38,33,0)</f>
        <v>0</v>
      </c>
      <c r="Q27" s="7">
        <f t="shared" si="0"/>
        <v>0</v>
      </c>
      <c r="R27" s="7">
        <f>VLOOKUP($A27,[10]HISTOMAI22!$A$7:$AU$38,29,0)</f>
        <v>0</v>
      </c>
      <c r="S27" s="21">
        <f t="shared" si="2"/>
        <v>0</v>
      </c>
    </row>
    <row r="28" spans="1:19" x14ac:dyDescent="0.25">
      <c r="A28" s="1" t="s">
        <v>29</v>
      </c>
      <c r="B28" s="7">
        <f>IF(D28=0,0,VLOOKUP($A28,[8]HISTOJANV22!$A$6:$AZ$36,9,0))</f>
        <v>1</v>
      </c>
      <c r="C28" s="1" t="str">
        <f>VLOOKUP(A28,[9]LISTADHERENT!A$5:H$60,3,0)</f>
        <v>SIMO PIERRE</v>
      </c>
      <c r="D28" s="7">
        <f t="shared" si="1"/>
        <v>23000</v>
      </c>
      <c r="E28" s="7">
        <f>D28+VLOOKUP($A28,[10]HISTOMAI22!$A$7:$AU$38,45,0)+F28</f>
        <v>35000</v>
      </c>
      <c r="F28" s="7">
        <f>VLOOKUP($A28,[10]HISTOMAI22!$A$7:$AU$38,7,0)</f>
        <v>0</v>
      </c>
      <c r="G28" s="7" t="str">
        <f>VLOOKUP($A28,[10]HISTOMAI22!$A$7:$AU$38,8,0)</f>
        <v>BANQUE</v>
      </c>
      <c r="H28" s="7">
        <f>VLOOKUP($A28,[10]HISTOMAI22!$A$7:$AU$38,35,0)</f>
        <v>0</v>
      </c>
      <c r="I28" s="7">
        <f>VLOOKUP($A28,[10]HISTOMAI22!$A$7:$AU$38,38,0)</f>
        <v>0</v>
      </c>
      <c r="J28" s="7">
        <f>IF(I28=0,0,VLOOKUP($A28,[10]HISTOMAI22!$A$7:$AU$38,42,0))</f>
        <v>0</v>
      </c>
      <c r="K28" s="7">
        <f>VLOOKUP($A28,[10]HISTOMAI22!$A$7:$AU$38,41,0)</f>
        <v>0</v>
      </c>
      <c r="L28" s="7">
        <f>+TONTAVRIL22!H28+TONTAVRIL22!I28</f>
        <v>0</v>
      </c>
      <c r="M28" s="7">
        <f>VLOOKUP($A28,[10]HISTOMAI22!$A$7:$AU$38,16,0)</f>
        <v>0</v>
      </c>
      <c r="N28" s="7" t="str">
        <f>IF(M28&lt;&gt;0,VLOOKUP($A28,[10]HISTOMAI22!$A$7:$AU$38,8,0),"ECHEC")</f>
        <v>ECHEC</v>
      </c>
      <c r="O28" s="7">
        <f>IF(R28=0,0,VLOOKUP($A28,[10]HISTOMAI22!$A$7:$AU$38,32,0))</f>
        <v>0</v>
      </c>
      <c r="P28" s="7">
        <f>VLOOKUP($A28,[10]HISTOMAI22!$A$7:$AU$38,33,0)</f>
        <v>0</v>
      </c>
      <c r="Q28" s="7">
        <f t="shared" si="0"/>
        <v>0</v>
      </c>
      <c r="R28" s="7">
        <f>VLOOKUP($A28,[10]HISTOMAI22!$A$7:$AU$38,29,0)</f>
        <v>0</v>
      </c>
      <c r="S28" s="21">
        <f t="shared" si="2"/>
        <v>0</v>
      </c>
    </row>
    <row r="29" spans="1:19" x14ac:dyDescent="0.25">
      <c r="A29" s="1" t="s">
        <v>31</v>
      </c>
      <c r="B29" s="7">
        <f>IF(D29=0,0,VLOOKUP($A29,[8]HISTOJANV22!$A$6:$AZ$36,9,0))</f>
        <v>1</v>
      </c>
      <c r="C29" s="1" t="str">
        <f>VLOOKUP(A29,[9]LISTADHERENT!A$5:H$60,3,0)</f>
        <v>TCHOUAMOU MATHIEU</v>
      </c>
      <c r="D29" s="7">
        <f t="shared" si="1"/>
        <v>23000</v>
      </c>
      <c r="E29" s="7">
        <f>D29+VLOOKUP($A29,[10]HISTOMAI22!$A$7:$AU$38,45,0)+F29</f>
        <v>30000</v>
      </c>
      <c r="F29" s="7">
        <f>VLOOKUP($A29,[10]HISTOMAI22!$A$7:$AU$38,7,0)</f>
        <v>0</v>
      </c>
      <c r="G29" s="7" t="str">
        <f>VLOOKUP($A29,[10]HISTOMAI22!$A$7:$AU$38,8,0)</f>
        <v>BANQUE</v>
      </c>
      <c r="H29" s="7">
        <f>VLOOKUP($A29,[10]HISTOMAI22!$A$7:$AU$38,35,0)</f>
        <v>0</v>
      </c>
      <c r="I29" s="7">
        <f>VLOOKUP($A29,[10]HISTOMAI22!$A$7:$AU$38,38,0)</f>
        <v>0</v>
      </c>
      <c r="J29" s="7">
        <f>IF(I29=0,0,VLOOKUP($A29,[10]HISTOMAI22!$A$7:$AU$38,42,0))</f>
        <v>0</v>
      </c>
      <c r="K29" s="7">
        <f>VLOOKUP($A29,[10]HISTOMAI22!$A$7:$AU$38,41,0)</f>
        <v>0</v>
      </c>
      <c r="L29" s="7">
        <f>+TONTAVRIL22!H29+TONTAVRIL22!I29</f>
        <v>0</v>
      </c>
      <c r="M29" s="7">
        <f>VLOOKUP($A29,[10]HISTOMAI22!$A$7:$AU$38,16,0)</f>
        <v>0</v>
      </c>
      <c r="N29" s="7" t="str">
        <f>IF(M29&lt;&gt;0,VLOOKUP($A29,[10]HISTOMAI22!$A$7:$AU$38,8,0),"ECHEC")</f>
        <v>ECHEC</v>
      </c>
      <c r="O29" s="7">
        <f>IF(R29=0,0,VLOOKUP($A29,[10]HISTOMAI22!$A$7:$AU$38,32,0))</f>
        <v>0</v>
      </c>
      <c r="P29" s="7">
        <f>VLOOKUP($A29,[10]HISTOMAI22!$A$7:$AU$38,33,0)</f>
        <v>0</v>
      </c>
      <c r="Q29" s="7">
        <f t="shared" si="0"/>
        <v>0</v>
      </c>
      <c r="R29" s="7">
        <f>VLOOKUP($A29,[10]HISTOMAI22!$A$7:$AU$38,29,0)</f>
        <v>0</v>
      </c>
      <c r="S29" s="21">
        <f t="shared" si="2"/>
        <v>0</v>
      </c>
    </row>
    <row r="30" spans="1:19" x14ac:dyDescent="0.25">
      <c r="A30" s="1" t="s">
        <v>32</v>
      </c>
      <c r="B30" s="7">
        <f>IF(D30=0,0,VLOOKUP($A30,[8]HISTOJANV22!$A$6:$AZ$36,9,0))</f>
        <v>1</v>
      </c>
      <c r="C30" s="1" t="str">
        <f>VLOOKUP(A30,[9]LISTADHERENT!A$5:H$60,3,0)</f>
        <v>YEPMOU JEAN JACQUES</v>
      </c>
      <c r="D30" s="7">
        <f t="shared" si="1"/>
        <v>23000</v>
      </c>
      <c r="E30" s="7">
        <f>D30+VLOOKUP($A30,[10]HISTOMAI22!$A$7:$AU$38,45,0)+F30</f>
        <v>30000</v>
      </c>
      <c r="F30" s="7">
        <f>VLOOKUP($A30,[10]HISTOMAI22!$A$7:$AU$38,7,0)</f>
        <v>0</v>
      </c>
      <c r="G30" s="7" t="str">
        <f>VLOOKUP($A30,[10]HISTOMAI22!$A$7:$AU$38,8,0)</f>
        <v>BANQUE</v>
      </c>
      <c r="H30" s="7">
        <f>VLOOKUP($A30,[10]HISTOMAI22!$A$7:$AU$38,35,0)</f>
        <v>0</v>
      </c>
      <c r="I30" s="7">
        <f>VLOOKUP($A30,[10]HISTOMAI22!$A$7:$AU$38,38,0)</f>
        <v>0</v>
      </c>
      <c r="J30" s="7">
        <f>IF(I30=0,0,VLOOKUP($A30,[10]HISTOMAI22!$A$7:$AU$38,42,0))</f>
        <v>0</v>
      </c>
      <c r="K30" s="7">
        <f>VLOOKUP($A30,[10]HISTOMAI22!$A$7:$AU$38,41,0)</f>
        <v>0</v>
      </c>
      <c r="L30" s="7">
        <f>+TONTAVRIL22!H30+TONTAVRIL22!I30</f>
        <v>0</v>
      </c>
      <c r="M30" s="7">
        <f>VLOOKUP($A30,[10]HISTOMAI22!$A$7:$AU$38,16,0)</f>
        <v>0</v>
      </c>
      <c r="N30" s="7" t="str">
        <f>IF(M30&lt;&gt;0,VLOOKUP($A30,[10]HISTOMAI22!$A$7:$AU$38,8,0),"ECHEC")</f>
        <v>ECHEC</v>
      </c>
      <c r="O30" s="7">
        <f>IF(R30=0,0,VLOOKUP($A30,[10]HISTOMAI22!$A$7:$AU$38,32,0))</f>
        <v>0</v>
      </c>
      <c r="P30" s="7">
        <f>VLOOKUP($A30,[10]HISTOMAI22!$A$7:$AU$38,33,0)</f>
        <v>0</v>
      </c>
      <c r="Q30" s="7">
        <f t="shared" si="0"/>
        <v>0</v>
      </c>
      <c r="R30" s="7">
        <f>VLOOKUP($A30,[10]HISTOMAI22!$A$7:$AU$38,29,0)</f>
        <v>0</v>
      </c>
      <c r="S30" s="21">
        <f t="shared" si="2"/>
        <v>0</v>
      </c>
    </row>
    <row r="31" spans="1:19" x14ac:dyDescent="0.25">
      <c r="A31" s="1" t="s">
        <v>33</v>
      </c>
      <c r="B31" s="7">
        <f>IF(D31=0,0,VLOOKUP($A31,[8]HISTOJANV22!$A$6:$AZ$36,9,0))</f>
        <v>1</v>
      </c>
      <c r="C31" s="1" t="str">
        <f>VLOOKUP(A31,[9]LISTADHERENT!A$5:H$60,3,0)</f>
        <v>YOUMBI EMMANUEL</v>
      </c>
      <c r="D31" s="7">
        <f t="shared" si="1"/>
        <v>23000</v>
      </c>
      <c r="E31" s="7">
        <f>D31+VLOOKUP($A31,[10]HISTOMAI22!$A$7:$AU$38,45,0)+F31</f>
        <v>30000</v>
      </c>
      <c r="F31" s="7">
        <f>VLOOKUP($A31,[10]HISTOMAI22!$A$7:$AU$38,7,0)</f>
        <v>0</v>
      </c>
      <c r="G31" s="7" t="str">
        <f>VLOOKUP($A31,[10]HISTOMAI22!$A$7:$AU$38,8,0)</f>
        <v>BANQUE</v>
      </c>
      <c r="H31" s="7">
        <f>VLOOKUP($A31,[10]HISTOMAI22!$A$7:$AU$38,35,0)</f>
        <v>0</v>
      </c>
      <c r="I31" s="7">
        <f>VLOOKUP($A31,[10]HISTOMAI22!$A$7:$AU$38,38,0)</f>
        <v>0</v>
      </c>
      <c r="J31" s="7">
        <f>IF(I31=0,0,VLOOKUP($A31,[10]HISTOMAI22!$A$7:$AU$38,42,0))</f>
        <v>0</v>
      </c>
      <c r="K31" s="7">
        <f>VLOOKUP($A31,[10]HISTOMAI22!$A$7:$AU$38,41,0)</f>
        <v>0</v>
      </c>
      <c r="L31" s="7">
        <f>+TONTAVRIL22!H31+TONTAVRIL22!I31</f>
        <v>0</v>
      </c>
      <c r="M31" s="7">
        <f>VLOOKUP($A31,[10]HISTOMAI22!$A$7:$AU$38,16,0)</f>
        <v>0</v>
      </c>
      <c r="N31" s="7" t="str">
        <f>IF(M31&lt;&gt;0,VLOOKUP($A31,[10]HISTOMAI22!$A$7:$AU$38,8,0),"ECHEC")</f>
        <v>ECHEC</v>
      </c>
      <c r="O31" s="7">
        <f>IF(R31=0,0,VLOOKUP($A31,[10]HISTOMAI22!$A$7:$AU$38,32,0))</f>
        <v>0</v>
      </c>
      <c r="P31" s="7">
        <f>VLOOKUP($A31,[10]HISTOMAI22!$A$7:$AU$38,33,0)</f>
        <v>0</v>
      </c>
      <c r="Q31" s="7">
        <f t="shared" si="0"/>
        <v>0</v>
      </c>
      <c r="R31" s="7">
        <f>VLOOKUP($A31,[10]HISTOMAI22!$A$7:$AU$38,29,0)</f>
        <v>0</v>
      </c>
      <c r="S31" s="21">
        <f t="shared" si="2"/>
        <v>0</v>
      </c>
    </row>
    <row r="32" spans="1:19" x14ac:dyDescent="0.25">
      <c r="A32" s="1"/>
    </row>
    <row r="33" spans="1:19" ht="18" x14ac:dyDescent="0.25">
      <c r="A33" s="1" t="s">
        <v>94</v>
      </c>
      <c r="B33" s="8">
        <f>SUM(B6:B32)</f>
        <v>26</v>
      </c>
      <c r="I33" s="9"/>
    </row>
    <row r="34" spans="1:19" ht="18" x14ac:dyDescent="0.25">
      <c r="A34" s="1" t="s">
        <v>93</v>
      </c>
      <c r="B34" s="19">
        <f>COUNT(D6:D31)</f>
        <v>26</v>
      </c>
      <c r="C34" s="8"/>
      <c r="D34" s="8">
        <f>SUM(D6:D33)</f>
        <v>598000</v>
      </c>
      <c r="E34" s="8">
        <f>SUM(E6:E33)</f>
        <v>874000</v>
      </c>
      <c r="F34" s="8">
        <f>SUM(F6:F33)</f>
        <v>12000</v>
      </c>
      <c r="G34" s="8"/>
      <c r="H34" s="8">
        <f t="shared" ref="H34:S34" si="5">SUM(H6:H33)</f>
        <v>34000</v>
      </c>
      <c r="I34" s="8">
        <f t="shared" si="5"/>
        <v>500</v>
      </c>
      <c r="J34" s="8">
        <f t="shared" si="5"/>
        <v>0</v>
      </c>
      <c r="K34" s="8">
        <f t="shared" si="5"/>
        <v>0</v>
      </c>
      <c r="L34" s="8">
        <f t="shared" si="5"/>
        <v>0</v>
      </c>
      <c r="M34" s="8">
        <f t="shared" si="5"/>
        <v>0</v>
      </c>
      <c r="N34" s="8">
        <f t="shared" si="5"/>
        <v>0</v>
      </c>
      <c r="O34" s="8">
        <f t="shared" si="5"/>
        <v>0</v>
      </c>
      <c r="P34" s="8">
        <f t="shared" si="5"/>
        <v>0</v>
      </c>
      <c r="Q34" s="8">
        <f t="shared" si="5"/>
        <v>554000</v>
      </c>
      <c r="R34" s="8">
        <f t="shared" si="5"/>
        <v>46000</v>
      </c>
      <c r="S34" s="8">
        <f t="shared" si="5"/>
        <v>0</v>
      </c>
    </row>
    <row r="35" spans="1:19" s="2" customFormat="1" ht="29.25" x14ac:dyDescent="0.25">
      <c r="B35"/>
      <c r="C35"/>
      <c r="D35"/>
      <c r="E35"/>
      <c r="F35"/>
      <c r="G35"/>
      <c r="H35"/>
      <c r="I35" s="9"/>
      <c r="J35" s="3"/>
      <c r="K35" s="3"/>
      <c r="L35" s="3"/>
      <c r="N35" s="4" t="s">
        <v>80</v>
      </c>
      <c r="O35" s="4" t="s">
        <v>95</v>
      </c>
      <c r="P35" s="3"/>
    </row>
    <row r="36" spans="1:19" s="2" customFormat="1" ht="29.25" x14ac:dyDescent="0.25">
      <c r="D36" s="4" t="s">
        <v>5</v>
      </c>
      <c r="E36" s="4" t="s">
        <v>7</v>
      </c>
      <c r="F36"/>
      <c r="G36" s="4" t="s">
        <v>40</v>
      </c>
      <c r="H36" s="4" t="s">
        <v>44</v>
      </c>
      <c r="I36" s="4" t="s">
        <v>46</v>
      </c>
      <c r="J36" s="4" t="s">
        <v>47</v>
      </c>
      <c r="K36" s="4"/>
      <c r="L36" s="8" t="s">
        <v>97</v>
      </c>
      <c r="M36" s="8">
        <f>D40+G40+R34+TONTAVRIL22!O41</f>
        <v>634000</v>
      </c>
      <c r="N36" s="4"/>
      <c r="O36"/>
      <c r="P36" s="4"/>
    </row>
    <row r="37" spans="1:19" s="2" customFormat="1" ht="18" x14ac:dyDescent="0.25">
      <c r="D37" s="8">
        <f>SUMIFS(D6:D33,G6:G33,"ESPECES")</f>
        <v>69000</v>
      </c>
      <c r="E37" s="8">
        <f>SUMIFS(E6:E33,G6:G33,"ESPECES")</f>
        <v>96000</v>
      </c>
      <c r="F37" s="8" t="s">
        <v>36</v>
      </c>
      <c r="G37" s="8">
        <f>SUMIFS(M6:M27,N6:N27,"ESPECES")</f>
        <v>0</v>
      </c>
      <c r="H37" s="8">
        <f>SUMIFS(H6:H33,J6:J33,"ESPECES")</f>
        <v>0</v>
      </c>
      <c r="I37" s="8">
        <f>SUMIFS(Q6:Q33,O6:O33,"ESPECES")</f>
        <v>0</v>
      </c>
      <c r="J37" s="8">
        <f>D37+G37-H37-I37</f>
        <v>69000</v>
      </c>
      <c r="K37" s="8"/>
      <c r="L37" s="8" t="s">
        <v>84</v>
      </c>
      <c r="M37" s="8">
        <f>C3*COUNTIF(Q6:Q33,"&gt;0")</f>
        <v>600000</v>
      </c>
      <c r="N37" s="8">
        <f>D3</f>
        <v>2</v>
      </c>
      <c r="O37" s="8">
        <f>COUNTIF(Q6:Q31,"&gt;0")</f>
        <v>2</v>
      </c>
      <c r="P37" s="8"/>
    </row>
    <row r="38" spans="1:19" s="2" customFormat="1" ht="18" x14ac:dyDescent="0.25">
      <c r="D38" s="8">
        <f>SUMIFS(D6:D33,G6:G33,"BANQUE")</f>
        <v>529000</v>
      </c>
      <c r="E38" s="8">
        <f>SUMIFS(E6:E34,G6:G34,"BANQUE")</f>
        <v>778000</v>
      </c>
      <c r="F38" s="8" t="s">
        <v>37</v>
      </c>
      <c r="G38" s="8">
        <f>SUMIFS(M6:M27,N6:N27,"BANQUE")</f>
        <v>0</v>
      </c>
      <c r="H38" s="8">
        <f>SUMIFS(H6:H33,J6:J33,"BANQUE")</f>
        <v>34000</v>
      </c>
      <c r="I38" s="8">
        <f>SUMIFS(Q6:Q33,O6:O33,"BANQUE")</f>
        <v>554000</v>
      </c>
      <c r="J38" s="8">
        <f>D38+G38-H38-I38</f>
        <v>-59000</v>
      </c>
      <c r="K38" s="8"/>
      <c r="M38" s="8"/>
      <c r="N38" s="8"/>
      <c r="O38" s="8"/>
      <c r="P38" s="8"/>
    </row>
    <row r="39" spans="1:19" s="2" customFormat="1" ht="18" x14ac:dyDescent="0.25">
      <c r="D39" s="8"/>
      <c r="E39" s="8"/>
      <c r="F39" s="8"/>
      <c r="G39" s="8"/>
      <c r="H39" s="8"/>
      <c r="I39" s="8"/>
      <c r="K39" s="8"/>
      <c r="L39" s="8" t="s">
        <v>52</v>
      </c>
      <c r="M39" s="8">
        <f>M36-M37</f>
        <v>34000</v>
      </c>
      <c r="N39" s="8"/>
      <c r="O39" s="8"/>
      <c r="P39" s="8"/>
    </row>
    <row r="40" spans="1:19" s="2" customFormat="1" ht="18" x14ac:dyDescent="0.25">
      <c r="D40" s="8">
        <f>D37+D38</f>
        <v>598000</v>
      </c>
      <c r="E40" s="8">
        <f>E37+E38</f>
        <v>874000</v>
      </c>
      <c r="F40" s="8" t="s">
        <v>34</v>
      </c>
      <c r="G40" s="8">
        <f>G37+G38</f>
        <v>0</v>
      </c>
      <c r="H40" s="8">
        <f>H37+H38</f>
        <v>34000</v>
      </c>
      <c r="I40" s="8">
        <f t="shared" ref="I40" si="6">I37+I38</f>
        <v>554000</v>
      </c>
      <c r="J40" s="8">
        <f>J37+J38+TONTAVRIL22!O41</f>
        <v>0</v>
      </c>
      <c r="K40" s="8"/>
      <c r="M40" s="8"/>
      <c r="N40" s="8"/>
      <c r="O40" s="8"/>
      <c r="P40" s="8"/>
    </row>
    <row r="41" spans="1:19" s="2" customFormat="1" ht="18" x14ac:dyDescent="0.25">
      <c r="D41" s="8"/>
      <c r="E41" s="8"/>
      <c r="F41" s="8" t="s">
        <v>56</v>
      </c>
      <c r="G41"/>
      <c r="H41"/>
      <c r="I41" s="3"/>
      <c r="J41" s="3"/>
      <c r="K41" s="3"/>
      <c r="L41" s="8" t="s">
        <v>55</v>
      </c>
      <c r="M41" s="8">
        <f>M39-H34</f>
        <v>0</v>
      </c>
      <c r="N41"/>
      <c r="O41" s="8">
        <f>M41</f>
        <v>0</v>
      </c>
      <c r="P41" s="8" t="s">
        <v>58</v>
      </c>
    </row>
    <row r="42" spans="1:19" s="2" customFormat="1" ht="18" x14ac:dyDescent="0.25">
      <c r="D42" s="4"/>
      <c r="E42" s="4"/>
      <c r="F42" s="8"/>
      <c r="G42"/>
      <c r="H42"/>
      <c r="I42" s="3"/>
      <c r="J42" s="3"/>
      <c r="K42" s="3"/>
      <c r="N42"/>
      <c r="O42" s="3"/>
      <c r="P42" s="3"/>
    </row>
    <row r="43" spans="1:19" ht="18" x14ac:dyDescent="0.25">
      <c r="L43" s="8" t="s">
        <v>60</v>
      </c>
      <c r="M43" s="8">
        <f>COUNTIFS(G6:G32,"ECHEC")*23000</f>
        <v>0</v>
      </c>
      <c r="O43" s="8">
        <f>+M43+TONTAVRIL22!O43</f>
        <v>0</v>
      </c>
      <c r="P43" s="8" t="s">
        <v>58</v>
      </c>
    </row>
    <row r="44" spans="1:19" ht="18" x14ac:dyDescent="0.25">
      <c r="F44" s="2"/>
      <c r="L44" s="8" t="s">
        <v>59</v>
      </c>
      <c r="M44" s="8">
        <f>L34-G40</f>
        <v>0</v>
      </c>
      <c r="O44" s="8">
        <f>+M44+TONTAVRIL22!O44</f>
        <v>0</v>
      </c>
      <c r="P44" s="8" t="s">
        <v>58</v>
      </c>
    </row>
  </sheetData>
  <autoFilter ref="A5:R24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>
      <pane xSplit="3" ySplit="5" topLeftCell="I36" activePane="bottomRight" state="frozen"/>
      <selection activeCell="G6" sqref="G6:G39"/>
      <selection pane="topRight" activeCell="G6" sqref="G6:G39"/>
      <selection pane="bottomLeft" activeCell="G6" sqref="G6:G39"/>
      <selection pane="bottomRight" activeCell="J40" sqref="J40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5" width="13" customWidth="1"/>
    <col min="16" max="16" width="15.5703125" style="3" customWidth="1"/>
    <col min="17" max="18" width="18.140625" style="2" customWidth="1"/>
  </cols>
  <sheetData>
    <row r="1" spans="1:19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25">
      <c r="A2" s="1" t="s">
        <v>2</v>
      </c>
      <c r="B2" s="1">
        <v>2022</v>
      </c>
      <c r="C2" s="1" t="s">
        <v>85</v>
      </c>
      <c r="D2" s="1" t="s">
        <v>80</v>
      </c>
      <c r="E2" s="1"/>
      <c r="F2" s="1"/>
      <c r="G2" s="1"/>
      <c r="N2" s="1"/>
      <c r="O2" s="1"/>
    </row>
    <row r="3" spans="1:19" x14ac:dyDescent="0.25">
      <c r="A3" s="1" t="s">
        <v>86</v>
      </c>
      <c r="B3" s="6">
        <v>23000</v>
      </c>
      <c r="C3" s="6">
        <f>B3*13+1000</f>
        <v>300000</v>
      </c>
      <c r="D3" s="1">
        <f>ROUNDDOWN(M36/C3,0)</f>
        <v>2</v>
      </c>
      <c r="E3" s="1"/>
      <c r="F3" s="1"/>
      <c r="G3" s="1"/>
      <c r="N3" s="1"/>
      <c r="O3" s="1"/>
    </row>
    <row r="4" spans="1:19" s="16" customFormat="1" ht="18" x14ac:dyDescent="0.25">
      <c r="B4" s="17"/>
      <c r="C4" s="28">
        <v>44633</v>
      </c>
      <c r="D4" s="29"/>
      <c r="E4" s="29"/>
      <c r="F4" s="29"/>
      <c r="G4" s="29"/>
      <c r="H4" s="29"/>
      <c r="I4" s="29"/>
      <c r="J4" s="29"/>
      <c r="K4" s="29"/>
      <c r="L4" s="29"/>
      <c r="N4" s="18"/>
      <c r="O4" s="18"/>
      <c r="P4" s="18"/>
      <c r="Q4" s="18"/>
    </row>
    <row r="5" spans="1:19" ht="58.5" x14ac:dyDescent="0.3">
      <c r="A5" s="1" t="s">
        <v>3</v>
      </c>
      <c r="B5" s="13" t="s">
        <v>81</v>
      </c>
      <c r="C5" s="1" t="s">
        <v>4</v>
      </c>
      <c r="D5" s="4" t="s">
        <v>5</v>
      </c>
      <c r="E5" s="4" t="s">
        <v>7</v>
      </c>
      <c r="F5" s="1" t="s">
        <v>48</v>
      </c>
      <c r="G5" s="5" t="s">
        <v>6</v>
      </c>
      <c r="H5" s="6" t="s">
        <v>44</v>
      </c>
      <c r="I5" s="4" t="s">
        <v>41</v>
      </c>
      <c r="J5" s="4" t="s">
        <v>45</v>
      </c>
      <c r="K5" s="11" t="s">
        <v>54</v>
      </c>
      <c r="L5" s="4" t="s">
        <v>82</v>
      </c>
      <c r="M5" s="4" t="s">
        <v>40</v>
      </c>
      <c r="N5" s="4" t="s">
        <v>39</v>
      </c>
      <c r="O5" s="4" t="s">
        <v>42</v>
      </c>
      <c r="P5" s="4" t="s">
        <v>54</v>
      </c>
      <c r="Q5" s="4" t="s">
        <v>83</v>
      </c>
      <c r="R5" s="4" t="s">
        <v>43</v>
      </c>
      <c r="S5" s="4" t="s">
        <v>98</v>
      </c>
    </row>
    <row r="6" spans="1:19" x14ac:dyDescent="0.25">
      <c r="A6" s="1" t="s">
        <v>9</v>
      </c>
      <c r="B6" s="7">
        <f>IF(D6=0,0,VLOOKUP($A6,[8]HISTOJANV22!$A$6:$AZ$36,9,0))</f>
        <v>1</v>
      </c>
      <c r="C6" s="1" t="str">
        <f>VLOOKUP(A6,[9]LISTADHERENT!A$5:H$60,3,0)</f>
        <v>BOUTCHOUANG WILLIAM</v>
      </c>
      <c r="D6" s="7">
        <f>IF(G6="ECHEC",0,B$3)</f>
        <v>23000</v>
      </c>
      <c r="E6" s="7">
        <f>D6+VLOOKUP($A6,[10]HISTOJUIN22!$A$7:$AU$38,45,0)+F6</f>
        <v>30000</v>
      </c>
      <c r="F6" s="7">
        <f>VLOOKUP($A6,[10]HISTOJUIN22!$A$7:$AU$38,7,0)</f>
        <v>0</v>
      </c>
      <c r="G6" s="7" t="str">
        <f>VLOOKUP($A6,[10]HISTOJUIN22!$A$7:$AU$38,8,0)</f>
        <v>BANQUE</v>
      </c>
      <c r="H6" s="7">
        <f>VLOOKUP($A6,[10]HISTOJUIN22!$A$7:$AU$38,35,0)</f>
        <v>0</v>
      </c>
      <c r="I6" s="7">
        <f>VLOOKUP($A6,[10]HISTOJUIN22!$A$7:$AU$38,38,0)</f>
        <v>0</v>
      </c>
      <c r="J6" s="7">
        <f>IF(I6=0,0,VLOOKUP($A6,[10]HISTOJUIN22!$A$7:$AU$38,42,0))</f>
        <v>0</v>
      </c>
      <c r="K6" s="7">
        <f>VLOOKUP($A6,[10]HISTOJUIN22!$A$7:$AU$38,41,0)</f>
        <v>0</v>
      </c>
      <c r="L6" s="7">
        <f>+TONTMAI22!H6+TONTMAI22!I6</f>
        <v>0</v>
      </c>
      <c r="M6" s="7">
        <f>VLOOKUP($A6,[10]HISTOJUIN22!$A$7:$AU$38,16,0)</f>
        <v>0</v>
      </c>
      <c r="N6" s="7" t="str">
        <f>IF(M6&lt;&gt;0,VLOOKUP($A6,[10]HISTOJUIN22!$A$7:$AU$38,8,0),"ECHEC")</f>
        <v>ECHEC</v>
      </c>
      <c r="O6" s="7">
        <f>IF(R6=0,0,VLOOKUP($A6,[10]HISTOJUIN22!$A$7:$AU$38,32,0))</f>
        <v>0</v>
      </c>
      <c r="P6" s="7">
        <f>VLOOKUP($A6,[10]HISTOJUIN22!$A$7:$AU$38,33,0)</f>
        <v>0</v>
      </c>
      <c r="Q6" s="7">
        <f t="shared" ref="Q6:Q31" si="0">IF(R6=0,0,($C$3-R6))</f>
        <v>0</v>
      </c>
      <c r="R6" s="7">
        <f>VLOOKUP($A6,[10]HISTOJUIN22!$A$7:$AU$38,29,0)</f>
        <v>0</v>
      </c>
      <c r="S6" s="21">
        <f>IF(R6=0,0,(R6-23000))</f>
        <v>0</v>
      </c>
    </row>
    <row r="7" spans="1:19" x14ac:dyDescent="0.25">
      <c r="A7" s="1" t="s">
        <v>10</v>
      </c>
      <c r="B7" s="7">
        <f>IF(D7=0,0,VLOOKUP($A7,[8]HISTOJANV22!$A$6:$AZ$36,9,0))</f>
        <v>1</v>
      </c>
      <c r="C7" s="1" t="str">
        <f>VLOOKUP(A7,[9]LISTADHERENT!A$5:H$60,3,0)</f>
        <v xml:space="preserve">DJOMO JEAN PAUL </v>
      </c>
      <c r="D7" s="7">
        <f t="shared" ref="D7:D31" si="1">IF(G7="ECHEC",0,B$3)</f>
        <v>23000</v>
      </c>
      <c r="E7" s="7">
        <f>D7+VLOOKUP($A7,[10]HISTOJUIN22!$A$7:$AU$38,45,0)+F7</f>
        <v>35000</v>
      </c>
      <c r="F7" s="7">
        <f>VLOOKUP($A7,[10]HISTOJUIN22!$A$7:$AU$38,7,0)</f>
        <v>0</v>
      </c>
      <c r="G7" s="7" t="str">
        <f>VLOOKUP($A7,[10]HISTOJUIN22!$A$7:$AU$38,8,0)</f>
        <v>BANQUE</v>
      </c>
      <c r="H7" s="7">
        <f>VLOOKUP($A7,[10]HISTOJUIN22!$A$7:$AU$38,35,0)</f>
        <v>0</v>
      </c>
      <c r="I7" s="7">
        <f>VLOOKUP($A7,[10]HISTOJUIN22!$A$7:$AU$38,38,0)</f>
        <v>0</v>
      </c>
      <c r="J7" s="7">
        <f>IF(I7=0,0,VLOOKUP($A7,[10]HISTOJUIN22!$A$7:$AU$38,42,0))</f>
        <v>0</v>
      </c>
      <c r="K7" s="7">
        <f>VLOOKUP($A7,[10]HISTOJUIN22!$A$7:$AU$38,41,0)</f>
        <v>0</v>
      </c>
      <c r="L7" s="7">
        <f>+TONTMAI22!H7+TONTMAI22!I7</f>
        <v>0</v>
      </c>
      <c r="M7" s="7">
        <f>VLOOKUP($A7,[10]HISTOJUIN22!$A$7:$AU$38,16,0)</f>
        <v>0</v>
      </c>
      <c r="N7" s="7" t="str">
        <f>IF(M7&lt;&gt;0,VLOOKUP($A7,[10]HISTOJUIN22!$A$7:$AU$38,8,0),"ECHEC")</f>
        <v>ECHEC</v>
      </c>
      <c r="O7" s="7">
        <f>IF(R7=0,0,VLOOKUP($A7,[10]HISTOJUIN22!$A$7:$AU$38,32,0))</f>
        <v>0</v>
      </c>
      <c r="P7" s="7">
        <f>VLOOKUP($A7,[10]HISTOJUIN22!$A$7:$AU$38,33,0)</f>
        <v>0</v>
      </c>
      <c r="Q7" s="7">
        <f t="shared" si="0"/>
        <v>0</v>
      </c>
      <c r="R7" s="7">
        <f>VLOOKUP($A7,[10]HISTOJUIN22!$A$7:$AU$38,29,0)</f>
        <v>0</v>
      </c>
      <c r="S7" s="21">
        <f t="shared" ref="S7:S31" si="2">IF(R7=0,0,(R7-23000))</f>
        <v>0</v>
      </c>
    </row>
    <row r="8" spans="1:19" x14ac:dyDescent="0.25">
      <c r="A8" s="1" t="s">
        <v>57</v>
      </c>
      <c r="B8" s="7">
        <f>IF(D8=0,0,VLOOKUP($A8,[8]HISTOJANV22!$A$6:$AZ$36,9,0))</f>
        <v>1</v>
      </c>
      <c r="C8" s="1" t="str">
        <f>VLOOKUP(A8,[9]LISTADHERENT!A$5:H$60,3,0)</f>
        <v>DJOMOU TCHANDA</v>
      </c>
      <c r="D8" s="7">
        <f t="shared" si="1"/>
        <v>23000</v>
      </c>
      <c r="E8" s="7">
        <f>D8+VLOOKUP($A8,[10]HISTOJUIN22!$A$7:$AU$38,45,0)+F8</f>
        <v>30000</v>
      </c>
      <c r="F8" s="7">
        <f>VLOOKUP($A8,[10]HISTOJUIN22!$A$7:$AU$38,7,0)</f>
        <v>0</v>
      </c>
      <c r="G8" s="7" t="str">
        <f>VLOOKUP($A8,[10]HISTOJUIN22!$A$7:$AU$38,8,0)</f>
        <v>BANQUE</v>
      </c>
      <c r="H8" s="7">
        <f>VLOOKUP($A8,[10]HISTOJUIN22!$A$7:$AU$38,35,0)</f>
        <v>0</v>
      </c>
      <c r="I8" s="7">
        <f>VLOOKUP($A8,[10]HISTOJUIN22!$A$7:$AU$38,38,0)</f>
        <v>0</v>
      </c>
      <c r="J8" s="7">
        <f>IF(I8=0,0,VLOOKUP($A8,[10]HISTOJUIN22!$A$7:$AU$38,42,0))</f>
        <v>0</v>
      </c>
      <c r="K8" s="7">
        <f>VLOOKUP($A8,[10]HISTOJUIN22!$A$7:$AU$38,41,0)</f>
        <v>0</v>
      </c>
      <c r="L8" s="7">
        <f>+TONTMAI22!H8+TONTMAI22!I8</f>
        <v>0</v>
      </c>
      <c r="M8" s="7">
        <f>VLOOKUP($A8,[10]HISTOJUIN22!$A$7:$AU$38,16,0)</f>
        <v>0</v>
      </c>
      <c r="N8" s="7" t="str">
        <f>IF(M8&lt;&gt;0,VLOOKUP($A8,[10]HISTOJUIN22!$A$7:$AU$38,8,0),"ECHEC")</f>
        <v>ECHEC</v>
      </c>
      <c r="O8" s="7">
        <f>IF(R8=0,0,VLOOKUP($A8,[10]HISTOJUIN22!$A$7:$AU$38,32,0))</f>
        <v>0</v>
      </c>
      <c r="P8" s="7">
        <f>VLOOKUP($A8,[10]HISTOJUIN22!$A$7:$AU$38,33,0)</f>
        <v>0</v>
      </c>
      <c r="Q8" s="7">
        <f t="shared" si="0"/>
        <v>0</v>
      </c>
      <c r="R8" s="7">
        <f>VLOOKUP($A8,[10]HISTOJUIN22!$A$7:$AU$38,29,0)</f>
        <v>0</v>
      </c>
      <c r="S8" s="21">
        <f t="shared" si="2"/>
        <v>0</v>
      </c>
    </row>
    <row r="9" spans="1:19" x14ac:dyDescent="0.25">
      <c r="A9" s="1" t="s">
        <v>11</v>
      </c>
      <c r="B9" s="7">
        <f>IF(D9=0,0,VLOOKUP($A9,[8]HISTOJANV22!$A$6:$AZ$36,9,0))</f>
        <v>1</v>
      </c>
      <c r="C9" s="1" t="str">
        <f>VLOOKUP(A9,[9]LISTADHERENT!A$5:H$60,3,0)</f>
        <v>DJOUKWE NANGUEN GUY BLAISE</v>
      </c>
      <c r="D9" s="7">
        <f t="shared" si="1"/>
        <v>23000</v>
      </c>
      <c r="E9" s="7">
        <f>D9+VLOOKUP($A9,[10]HISTOJUIN22!$A$7:$AU$38,45,0)+F9</f>
        <v>30000</v>
      </c>
      <c r="F9" s="7">
        <f>VLOOKUP($A9,[10]HISTOJUIN22!$A$7:$AU$38,7,0)</f>
        <v>0</v>
      </c>
      <c r="G9" s="7" t="str">
        <f>VLOOKUP($A9,[10]HISTOJUIN22!$A$7:$AU$38,8,0)</f>
        <v>BANQUE</v>
      </c>
      <c r="H9" s="7">
        <f>VLOOKUP($A9,[10]HISTOJUIN22!$A$7:$AU$38,35,0)</f>
        <v>0</v>
      </c>
      <c r="I9" s="7">
        <f>VLOOKUP($A9,[10]HISTOJUIN22!$A$7:$AU$38,38,0)</f>
        <v>0</v>
      </c>
      <c r="J9" s="7">
        <f>IF(I9=0,0,VLOOKUP($A9,[10]HISTOJUIN22!$A$7:$AU$38,42,0))</f>
        <v>0</v>
      </c>
      <c r="K9" s="7">
        <f>VLOOKUP($A9,[10]HISTOJUIN22!$A$7:$AU$38,41,0)</f>
        <v>0</v>
      </c>
      <c r="L9" s="7">
        <f>+TONTMAI22!H9+TONTMAI22!I9</f>
        <v>0</v>
      </c>
      <c r="M9" s="7">
        <f>VLOOKUP($A9,[10]HISTOJUIN22!$A$7:$AU$38,16,0)</f>
        <v>0</v>
      </c>
      <c r="N9" s="7" t="str">
        <f>IF(M9&lt;&gt;0,VLOOKUP($A9,[10]HISTOJUIN22!$A$7:$AU$38,8,0),"ECHEC")</f>
        <v>ECHEC</v>
      </c>
      <c r="O9" s="7">
        <f>IF(R9=0,0,VLOOKUP($A9,[10]HISTOJUIN22!$A$7:$AU$38,32,0))</f>
        <v>0</v>
      </c>
      <c r="P9" s="7">
        <f>VLOOKUP($A9,[10]HISTOJUIN22!$A$7:$AU$38,33,0)</f>
        <v>0</v>
      </c>
      <c r="Q9" s="7">
        <f t="shared" si="0"/>
        <v>0</v>
      </c>
      <c r="R9" s="7">
        <f>VLOOKUP($A9,[10]HISTOJUIN22!$A$7:$AU$38,29,0)</f>
        <v>0</v>
      </c>
      <c r="S9" s="21">
        <f t="shared" si="2"/>
        <v>0</v>
      </c>
    </row>
    <row r="10" spans="1:19" x14ac:dyDescent="0.25">
      <c r="A10" s="1" t="s">
        <v>12</v>
      </c>
      <c r="B10" s="7">
        <f>IF(D10=0,0,VLOOKUP($A10,[8]HISTOJANV22!$A$6:$AZ$36,9,0))</f>
        <v>1</v>
      </c>
      <c r="C10" s="1" t="str">
        <f>VLOOKUP(A10,[9]LISTADHERENT!A$5:H$60,3,0)</f>
        <v>DJUOMBESSY ANTOINE</v>
      </c>
      <c r="D10" s="7">
        <f t="shared" si="1"/>
        <v>23000</v>
      </c>
      <c r="E10" s="7">
        <f>D10+VLOOKUP($A10,[10]HISTOJUIN22!$A$7:$AU$38,45,0)+F10</f>
        <v>30000</v>
      </c>
      <c r="F10" s="7">
        <f>VLOOKUP($A10,[10]HISTOJUIN22!$A$7:$AU$38,7,0)</f>
        <v>0</v>
      </c>
      <c r="G10" s="7" t="str">
        <f>VLOOKUP($A10,[10]HISTOJUIN22!$A$7:$AU$38,8,0)</f>
        <v>BANQUE</v>
      </c>
      <c r="H10" s="7">
        <f>VLOOKUP($A10,[10]HISTOJUIN22!$A$7:$AU$38,35,0)</f>
        <v>0</v>
      </c>
      <c r="I10" s="7">
        <f>VLOOKUP($A10,[10]HISTOJUIN22!$A$7:$AU$38,38,0)</f>
        <v>0</v>
      </c>
      <c r="J10" s="7">
        <f>IF(I10=0,0,VLOOKUP($A10,[10]HISTOJUIN22!$A$7:$AU$38,42,0))</f>
        <v>0</v>
      </c>
      <c r="K10" s="7">
        <f>VLOOKUP($A10,[10]HISTOJUIN22!$A$7:$AU$38,41,0)</f>
        <v>0</v>
      </c>
      <c r="L10" s="7">
        <f>+TONTMAI22!H10+TONTMAI22!I10</f>
        <v>0</v>
      </c>
      <c r="M10" s="7">
        <f>VLOOKUP($A10,[10]HISTOJUIN22!$A$7:$AU$38,16,0)</f>
        <v>0</v>
      </c>
      <c r="N10" s="7" t="str">
        <f>IF(M10&lt;&gt;0,VLOOKUP($A10,[10]HISTOJUIN22!$A$7:$AU$38,8,0),"ECHEC")</f>
        <v>ECHEC</v>
      </c>
      <c r="O10" s="7">
        <f>IF(R10=0,0,VLOOKUP($A10,[10]HISTOJUIN22!$A$7:$AU$38,32,0))</f>
        <v>0</v>
      </c>
      <c r="P10" s="7">
        <f>VLOOKUP($A10,[10]HISTOJUIN22!$A$7:$AU$38,33,0)</f>
        <v>0</v>
      </c>
      <c r="Q10" s="7">
        <f t="shared" si="0"/>
        <v>0</v>
      </c>
      <c r="R10" s="7">
        <f>VLOOKUP($A10,[10]HISTOJUIN22!$A$7:$AU$38,29,0)</f>
        <v>0</v>
      </c>
      <c r="S10" s="21">
        <f t="shared" si="2"/>
        <v>0</v>
      </c>
    </row>
    <row r="11" spans="1:19" x14ac:dyDescent="0.25">
      <c r="A11" s="1" t="s">
        <v>50</v>
      </c>
      <c r="B11" s="7">
        <f>IF(D11=0,0,VLOOKUP($A11,[8]HISTOJANV22!$A$6:$AZ$36,9,0))</f>
        <v>1</v>
      </c>
      <c r="C11" s="1" t="str">
        <f>VLOOKUP(A11,[9]LISTADHERENT!A$5:H$60,3,0)</f>
        <v>DOMOU FABIEN</v>
      </c>
      <c r="D11" s="7">
        <f t="shared" si="1"/>
        <v>23000</v>
      </c>
      <c r="E11" s="7">
        <f>D11+VLOOKUP($A11,[10]HISTOJUIN22!$A$7:$AU$38,45,0)+F11</f>
        <v>35000</v>
      </c>
      <c r="F11" s="7">
        <f>VLOOKUP($A11,[10]HISTOJUIN22!$A$7:$AU$38,7,0)</f>
        <v>0</v>
      </c>
      <c r="G11" s="7" t="str">
        <f>VLOOKUP($A11,[10]HISTOJUIN22!$A$7:$AU$38,8,0)</f>
        <v>BANQUE</v>
      </c>
      <c r="H11" s="7">
        <f>VLOOKUP($A11,[10]HISTOJUIN22!$A$7:$AU$38,35,0)</f>
        <v>0</v>
      </c>
      <c r="I11" s="7">
        <f>VLOOKUP($A11,[10]HISTOJUIN22!$A$7:$AU$38,38,0)</f>
        <v>0</v>
      </c>
      <c r="J11" s="7">
        <f>IF(I11=0,0,VLOOKUP($A11,[10]HISTOJUIN22!$A$7:$AU$38,42,0))</f>
        <v>0</v>
      </c>
      <c r="K11" s="7">
        <f>VLOOKUP($A11,[10]HISTOJUIN22!$A$7:$AU$38,41,0)</f>
        <v>0</v>
      </c>
      <c r="L11" s="7">
        <f>+TONTMAI22!H11+TONTMAI22!I11</f>
        <v>0</v>
      </c>
      <c r="M11" s="7">
        <f>VLOOKUP($A11,[10]HISTOJUIN22!$A$7:$AU$38,16,0)</f>
        <v>0</v>
      </c>
      <c r="N11" s="7" t="str">
        <f>IF(M11&lt;&gt;0,VLOOKUP($A11,[10]HISTOJUIN22!$A$7:$AU$38,8,0),"ECHEC")</f>
        <v>ECHEC</v>
      </c>
      <c r="O11" s="7" t="str">
        <f>IF(R11=0,0,VLOOKUP($A11,[10]HISTOJUIN22!$A$7:$AU$38,32,0))</f>
        <v>BANQUE</v>
      </c>
      <c r="P11" s="7">
        <f>VLOOKUP($A11,[10]HISTOJUIN22!$A$7:$AU$38,33,0)</f>
        <v>0</v>
      </c>
      <c r="Q11" s="7">
        <f t="shared" si="0"/>
        <v>277000</v>
      </c>
      <c r="R11" s="7">
        <f>VLOOKUP($A11,[10]HISTOJUIN22!$A$7:$AU$38,29,0)</f>
        <v>23000</v>
      </c>
      <c r="S11" s="21">
        <f t="shared" si="2"/>
        <v>0</v>
      </c>
    </row>
    <row r="12" spans="1:19" x14ac:dyDescent="0.25">
      <c r="A12" s="1" t="s">
        <v>13</v>
      </c>
      <c r="B12" s="7">
        <f>IF(D12=0,0,VLOOKUP($A12,[8]HISTOJANV22!$A$6:$AZ$36,9,0))</f>
        <v>1</v>
      </c>
      <c r="C12" s="1" t="str">
        <f>VLOOKUP(A12,[9]LISTADHERENT!A$5:H$60,3,0)</f>
        <v>DONHOU DAVID</v>
      </c>
      <c r="D12" s="7">
        <f t="shared" si="1"/>
        <v>23000</v>
      </c>
      <c r="E12" s="7">
        <f>D12+VLOOKUP($A12,[10]HISTOJUIN22!$A$7:$AU$38,45,0)+F12</f>
        <v>35000</v>
      </c>
      <c r="F12" s="7">
        <f>VLOOKUP($A12,[10]HISTOJUIN22!$A$7:$AU$38,7,0)</f>
        <v>0</v>
      </c>
      <c r="G12" s="7" t="str">
        <f>VLOOKUP($A12,[10]HISTOJUIN22!$A$7:$AU$38,8,0)</f>
        <v>BANQUE</v>
      </c>
      <c r="H12" s="7">
        <f>VLOOKUP($A12,[10]HISTOJUIN22!$A$7:$AU$38,35,0)</f>
        <v>0</v>
      </c>
      <c r="I12" s="7">
        <f>VLOOKUP($A12,[10]HISTOJUIN22!$A$7:$AU$38,38,0)</f>
        <v>0</v>
      </c>
      <c r="J12" s="7">
        <f>IF(I12=0,0,VLOOKUP($A12,[10]HISTOJUIN22!$A$7:$AU$38,42,0))</f>
        <v>0</v>
      </c>
      <c r="K12" s="7">
        <f>VLOOKUP($A12,[10]HISTOJUIN22!$A$7:$AU$38,41,0)</f>
        <v>0</v>
      </c>
      <c r="L12" s="7">
        <f>+TONTMAI22!H12+TONTMAI22!I12</f>
        <v>0</v>
      </c>
      <c r="M12" s="7">
        <f>VLOOKUP($A12,[10]HISTOJUIN22!$A$7:$AU$38,16,0)</f>
        <v>0</v>
      </c>
      <c r="N12" s="7" t="str">
        <f>IF(M12&lt;&gt;0,VLOOKUP($A12,[10]HISTOJUIN22!$A$7:$AU$38,8,0),"ECHEC")</f>
        <v>ECHEC</v>
      </c>
      <c r="O12" s="7">
        <f>IF(R12=0,0,VLOOKUP($A12,[10]HISTOJUIN22!$A$7:$AU$38,32,0))</f>
        <v>0</v>
      </c>
      <c r="P12" s="7">
        <f>VLOOKUP($A12,[10]HISTOJUIN22!$A$7:$AU$38,33,0)</f>
        <v>0</v>
      </c>
      <c r="Q12" s="7">
        <f t="shared" si="0"/>
        <v>0</v>
      </c>
      <c r="R12" s="7">
        <f>VLOOKUP($A12,[10]HISTOJUIN22!$A$7:$AU$38,29,0)</f>
        <v>0</v>
      </c>
      <c r="S12" s="21">
        <f t="shared" si="2"/>
        <v>0</v>
      </c>
    </row>
    <row r="13" spans="1:19" x14ac:dyDescent="0.25">
      <c r="A13" s="1" t="s">
        <v>15</v>
      </c>
      <c r="B13" s="7">
        <f>IF(D13=0,0,VLOOKUP($A13,[8]HISTOJANV22!$A$6:$AZ$36,9,0))</f>
        <v>1</v>
      </c>
      <c r="C13" s="1" t="str">
        <f>VLOOKUP(A13,[9]LISTADHERENT!A$5:H$60,3,0)</f>
        <v>HENGUE PAUL OMER</v>
      </c>
      <c r="D13" s="7">
        <f t="shared" si="1"/>
        <v>23000</v>
      </c>
      <c r="E13" s="7">
        <f>D13+VLOOKUP($A13,[10]HISTOJUIN22!$A$7:$AU$38,45,0)+F13</f>
        <v>30000</v>
      </c>
      <c r="F13" s="7">
        <f>VLOOKUP($A13,[10]HISTOJUIN22!$A$7:$AU$38,7,0)</f>
        <v>0</v>
      </c>
      <c r="G13" s="7" t="str">
        <f>VLOOKUP($A13,[10]HISTOJUIN22!$A$7:$AU$38,8,0)</f>
        <v>BANQUE</v>
      </c>
      <c r="H13" s="7">
        <f>VLOOKUP($A13,[10]HISTOJUIN22!$A$7:$AU$38,35,0)</f>
        <v>0</v>
      </c>
      <c r="I13" s="7">
        <f>VLOOKUP($A13,[10]HISTOJUIN22!$A$7:$AU$38,38,0)</f>
        <v>0</v>
      </c>
      <c r="J13" s="7">
        <f>IF(I13=0,0,VLOOKUP($A13,[10]HISTOJUIN22!$A$7:$AU$38,42,0))</f>
        <v>0</v>
      </c>
      <c r="K13" s="7">
        <f>VLOOKUP($A13,[10]HISTOJUIN22!$A$7:$AU$38,41,0)</f>
        <v>0</v>
      </c>
      <c r="L13" s="7">
        <f>+TONTMAI22!H13+TONTMAI22!I13</f>
        <v>0</v>
      </c>
      <c r="M13" s="7">
        <f>VLOOKUP($A13,[10]HISTOJUIN22!$A$7:$AU$38,16,0)</f>
        <v>0</v>
      </c>
      <c r="N13" s="7" t="str">
        <f>IF(M13&lt;&gt;0,VLOOKUP($A13,[10]HISTOJUIN22!$A$7:$AU$38,8,0),"ECHEC")</f>
        <v>ECHEC</v>
      </c>
      <c r="O13" s="7">
        <f>IF(R13=0,0,VLOOKUP($A13,[10]HISTOJUIN22!$A$7:$AU$38,32,0))</f>
        <v>0</v>
      </c>
      <c r="P13" s="7">
        <f>VLOOKUP($A13,[10]HISTOJUIN22!$A$7:$AU$38,33,0)</f>
        <v>0</v>
      </c>
      <c r="Q13" s="7">
        <f t="shared" si="0"/>
        <v>0</v>
      </c>
      <c r="R13" s="7">
        <f>VLOOKUP($A13,[10]HISTOJUIN22!$A$7:$AU$38,29,0)</f>
        <v>0</v>
      </c>
      <c r="S13" s="21">
        <f t="shared" si="2"/>
        <v>0</v>
      </c>
    </row>
    <row r="14" spans="1:19" x14ac:dyDescent="0.25">
      <c r="A14" s="1" t="s">
        <v>16</v>
      </c>
      <c r="B14" s="7">
        <f>IF(D14=0,0,VLOOKUP($A14,[8]HISTOJANV22!$A$6:$AZ$36,9,0))</f>
        <v>1</v>
      </c>
      <c r="C14" s="1" t="str">
        <f>VLOOKUP(A14,[9]LISTADHERENT!A$5:H$60,3,0)</f>
        <v>HOTCHO BENJAMIN</v>
      </c>
      <c r="D14" s="7">
        <f t="shared" si="1"/>
        <v>23000</v>
      </c>
      <c r="E14" s="7">
        <f>D14+VLOOKUP($A14,[10]HISTOJUIN22!$A$7:$AU$38,45,0)+F14</f>
        <v>75000</v>
      </c>
      <c r="F14" s="7">
        <f>VLOOKUP($A14,[10]HISTOJUIN22!$A$7:$AU$38,7,0)</f>
        <v>0</v>
      </c>
      <c r="G14" s="7" t="str">
        <f>VLOOKUP($A14,[10]HISTOJUIN22!$A$7:$AU$38,8,0)</f>
        <v>BANQUE</v>
      </c>
      <c r="H14" s="7">
        <f>VLOOKUP($A14,[10]HISTOJUIN22!$A$7:$AU$38,35,0)</f>
        <v>0</v>
      </c>
      <c r="I14" s="7">
        <f>VLOOKUP($A14,[10]HISTOJUIN22!$A$7:$AU$38,38,0)</f>
        <v>0</v>
      </c>
      <c r="J14" s="7">
        <f>IF(I14=0,0,VLOOKUP($A14,[10]HISTOJUIN22!$A$7:$AU$38,42,0))</f>
        <v>0</v>
      </c>
      <c r="K14" s="7">
        <f>VLOOKUP($A14,[10]HISTOJUIN22!$A$7:$AU$38,41,0)</f>
        <v>0</v>
      </c>
      <c r="L14" s="7">
        <f>+TONTMAI22!H14+TONTMAI22!I14</f>
        <v>0</v>
      </c>
      <c r="M14" s="7">
        <f>VLOOKUP($A14,[10]HISTOJUIN22!$A$7:$AU$38,16,0)</f>
        <v>0</v>
      </c>
      <c r="N14" s="7" t="str">
        <f>IF(M14&lt;&gt;0,VLOOKUP($A14,[10]HISTOJUIN22!$A$7:$AU$38,8,0),"ECHEC")</f>
        <v>ECHEC</v>
      </c>
      <c r="O14" s="7">
        <f>IF(R14=0,0,VLOOKUP($A14,[10]HISTOJUIN22!$A$7:$AU$38,32,0))</f>
        <v>0</v>
      </c>
      <c r="P14" s="7">
        <f>VLOOKUP($A14,[10]HISTOJUIN22!$A$7:$AU$38,33,0)</f>
        <v>0</v>
      </c>
      <c r="Q14" s="7">
        <f t="shared" si="0"/>
        <v>0</v>
      </c>
      <c r="R14" s="7">
        <f>VLOOKUP($A14,[10]HISTOJUIN22!$A$7:$AU$38,29,0)</f>
        <v>0</v>
      </c>
      <c r="S14" s="21">
        <f t="shared" si="2"/>
        <v>0</v>
      </c>
    </row>
    <row r="15" spans="1:19" x14ac:dyDescent="0.25">
      <c r="A15" s="1" t="s">
        <v>17</v>
      </c>
      <c r="B15" s="7">
        <f>IF(D15=0,0,VLOOKUP($A15,[8]HISTOJANV22!$A$6:$AZ$36,9,0))</f>
        <v>1</v>
      </c>
      <c r="C15" s="1" t="str">
        <f>VLOOKUP(A15,[9]LISTADHERENT!A$5:H$60,3,0)</f>
        <v>KOUAMOU MOISE</v>
      </c>
      <c r="D15" s="7">
        <f t="shared" si="1"/>
        <v>23000</v>
      </c>
      <c r="E15" s="7">
        <f>D15+VLOOKUP($A15,[10]HISTOJUIN22!$A$7:$AU$38,45,0)+F15</f>
        <v>31000</v>
      </c>
      <c r="F15" s="7">
        <f>VLOOKUP($A15,[10]HISTOJUIN22!$A$7:$AU$38,7,0)</f>
        <v>0</v>
      </c>
      <c r="G15" s="7" t="str">
        <f>VLOOKUP($A15,[10]HISTOJUIN22!$A$7:$AU$38,8,0)</f>
        <v>BANQUE</v>
      </c>
      <c r="H15" s="7">
        <f>VLOOKUP($A15,[10]HISTOJUIN22!$A$7:$AU$38,35,0)</f>
        <v>0</v>
      </c>
      <c r="I15" s="7">
        <f>VLOOKUP($A15,[10]HISTOJUIN22!$A$7:$AU$38,38,0)</f>
        <v>0</v>
      </c>
      <c r="J15" s="7">
        <f>IF(I15=0,0,VLOOKUP($A15,[10]HISTOJUIN22!$A$7:$AU$38,42,0))</f>
        <v>0</v>
      </c>
      <c r="K15" s="7">
        <f>VLOOKUP($A15,[10]HISTOJUIN22!$A$7:$AU$38,41,0)</f>
        <v>0</v>
      </c>
      <c r="L15" s="7">
        <f>+TONTMAI22!H15+TONTMAI22!I15</f>
        <v>0</v>
      </c>
      <c r="M15" s="7">
        <f>VLOOKUP($A15,[10]HISTOJUIN22!$A$7:$AU$38,16,0)</f>
        <v>0</v>
      </c>
      <c r="N15" s="7" t="str">
        <f>IF(M15&lt;&gt;0,VLOOKUP($A15,[10]HISTOJUIN22!$A$7:$AU$38,8,0),"ECHEC")</f>
        <v>ECHEC</v>
      </c>
      <c r="O15" s="7">
        <f>IF(R15=0,0,VLOOKUP($A15,[10]HISTOJUIN22!$A$7:$AU$38,32,0))</f>
        <v>0</v>
      </c>
      <c r="P15" s="7">
        <f>VLOOKUP($A15,[10]HISTOJUIN22!$A$7:$AU$38,33,0)</f>
        <v>0</v>
      </c>
      <c r="Q15" s="7">
        <f t="shared" si="0"/>
        <v>0</v>
      </c>
      <c r="R15" s="7">
        <f>VLOOKUP($A15,[10]HISTOJUIN22!$A$7:$AU$38,29,0)</f>
        <v>0</v>
      </c>
      <c r="S15" s="21">
        <f t="shared" si="2"/>
        <v>0</v>
      </c>
    </row>
    <row r="16" spans="1:19" x14ac:dyDescent="0.25">
      <c r="A16" s="1" t="s">
        <v>18</v>
      </c>
      <c r="B16" s="7">
        <f>IF(D16=0,0,VLOOKUP($A16,[8]HISTOJANV22!$A$6:$AZ$36,9,0))</f>
        <v>1</v>
      </c>
      <c r="C16" s="1" t="str">
        <f>VLOOKUP(A16,[9]LISTADHERENT!A$5:H$60,3,0)</f>
        <v>KOUATCHO MESSACK</v>
      </c>
      <c r="D16" s="7">
        <f t="shared" si="1"/>
        <v>23000</v>
      </c>
      <c r="E16" s="7">
        <f>D16+VLOOKUP($A16,[10]HISTOJUIN22!$A$7:$AU$38,45,0)+F16</f>
        <v>30000</v>
      </c>
      <c r="F16" s="7">
        <f>VLOOKUP($A16,[10]HISTOJUIN22!$A$7:$AU$38,7,0)</f>
        <v>0</v>
      </c>
      <c r="G16" s="7" t="str">
        <f>VLOOKUP($A16,[10]HISTOJUIN22!$A$7:$AU$38,8,0)</f>
        <v>BANQUE</v>
      </c>
      <c r="H16" s="7">
        <f>VLOOKUP($A16,[10]HISTOJUIN22!$A$7:$AU$38,35,0)</f>
        <v>48500</v>
      </c>
      <c r="I16" s="7">
        <f>VLOOKUP($A16,[10]HISTOJUIN22!$A$7:$AU$38,38,0)</f>
        <v>1000</v>
      </c>
      <c r="J16" s="7" t="str">
        <f>IF(I16=0,0,VLOOKUP($A16,[10]HISTOJUIN22!$A$7:$AU$38,42,0))</f>
        <v>BANQUE</v>
      </c>
      <c r="K16" s="7">
        <f>VLOOKUP($A16,[10]HISTOJUIN22!$A$7:$AU$38,41,0)</f>
        <v>0</v>
      </c>
      <c r="L16" s="7">
        <f>+TONTMAI22!H16+TONTMAI22!I16</f>
        <v>0</v>
      </c>
      <c r="M16" s="7">
        <f>VLOOKUP($A16,[10]HISTOJUIN22!$A$7:$AU$38,16,0)</f>
        <v>0</v>
      </c>
      <c r="N16" s="7" t="str">
        <f>IF(M16&lt;&gt;0,VLOOKUP($A16,[10]HISTOJUIN22!$A$7:$AU$38,8,0),"ECHEC")</f>
        <v>ECHEC</v>
      </c>
      <c r="O16" s="7">
        <f>IF(R16=0,0,VLOOKUP($A16,[10]HISTOJUIN22!$A$7:$AU$38,32,0))</f>
        <v>0</v>
      </c>
      <c r="P16" s="7">
        <f>VLOOKUP($A16,[10]HISTOJUIN22!$A$7:$AU$38,33,0)</f>
        <v>0</v>
      </c>
      <c r="Q16" s="7">
        <f t="shared" si="0"/>
        <v>0</v>
      </c>
      <c r="R16" s="7">
        <f>VLOOKUP($A16,[10]HISTOJUIN22!$A$7:$AU$38,29,0)</f>
        <v>0</v>
      </c>
      <c r="S16" s="21">
        <f t="shared" si="2"/>
        <v>0</v>
      </c>
    </row>
    <row r="17" spans="1:19" x14ac:dyDescent="0.25">
      <c r="A17" s="1" t="s">
        <v>19</v>
      </c>
      <c r="B17" s="7">
        <f>IF(D17=0,0,VLOOKUP($A17,[8]HISTOJANV22!$A$6:$AZ$36,9,0))</f>
        <v>1</v>
      </c>
      <c r="C17" s="1" t="str">
        <f>VLOOKUP(A17,[9]LISTADHERENT!A$5:H$60,3,0)</f>
        <v>LOWE JEAN</v>
      </c>
      <c r="D17" s="7">
        <f t="shared" si="1"/>
        <v>23000</v>
      </c>
      <c r="E17" s="7">
        <f>D17+VLOOKUP($A17,[10]HISTOJUIN22!$A$7:$AU$38,45,0)+F17</f>
        <v>30000</v>
      </c>
      <c r="F17" s="7">
        <f>VLOOKUP($A17,[10]HISTOJUIN22!$A$7:$AU$38,7,0)</f>
        <v>0</v>
      </c>
      <c r="G17" s="7" t="str">
        <f>VLOOKUP($A17,[10]HISTOJUIN22!$A$7:$AU$38,8,0)</f>
        <v>BANQUE</v>
      </c>
      <c r="H17" s="7">
        <f>VLOOKUP($A17,[10]HISTOJUIN22!$A$7:$AU$38,35,0)</f>
        <v>0</v>
      </c>
      <c r="I17" s="7">
        <f>VLOOKUP($A17,[10]HISTOJUIN22!$A$7:$AU$38,38,0)</f>
        <v>0</v>
      </c>
      <c r="J17" s="7">
        <f>IF(I17=0,0,VLOOKUP($A17,[10]HISTOJUIN22!$A$7:$AU$38,42,0))</f>
        <v>0</v>
      </c>
      <c r="K17" s="7">
        <f>VLOOKUP($A17,[10]HISTOJUIN22!$A$7:$AU$38,41,0)</f>
        <v>0</v>
      </c>
      <c r="L17" s="7">
        <f>+TONTMAI22!H17+TONTMAI22!I17</f>
        <v>0</v>
      </c>
      <c r="M17" s="7">
        <f>VLOOKUP($A17,[10]HISTOJUIN22!$A$7:$AU$38,16,0)</f>
        <v>0</v>
      </c>
      <c r="N17" s="7" t="str">
        <f>IF(M17&lt;&gt;0,VLOOKUP($A17,[10]HISTOJUIN22!$A$7:$AU$38,8,0),"ECHEC")</f>
        <v>ECHEC</v>
      </c>
      <c r="O17" s="7">
        <f>IF(R17=0,0,VLOOKUP($A17,[10]HISTOJUIN22!$A$7:$AU$38,32,0))</f>
        <v>0</v>
      </c>
      <c r="P17" s="7">
        <f>VLOOKUP($A17,[10]HISTOJUIN22!$A$7:$AU$38,33,0)</f>
        <v>0</v>
      </c>
      <c r="Q17" s="7">
        <f t="shared" si="0"/>
        <v>0</v>
      </c>
      <c r="R17" s="7">
        <f>VLOOKUP($A17,[10]HISTOJUIN22!$A$7:$AU$38,29,0)</f>
        <v>0</v>
      </c>
      <c r="S17" s="21">
        <f t="shared" si="2"/>
        <v>0</v>
      </c>
    </row>
    <row r="18" spans="1:19" x14ac:dyDescent="0.25">
      <c r="A18" s="1" t="s">
        <v>49</v>
      </c>
      <c r="B18" s="7">
        <f>IF(D18=0,0,VLOOKUP($A18,[8]HISTOJANV22!$A$6:$AZ$36,9,0))</f>
        <v>1</v>
      </c>
      <c r="C18" s="1" t="str">
        <f>VLOOKUP(A18,[9]LISTADHERENT!A$5:H$60,3,0)</f>
        <v>MBOGNING TUGMA GUY</v>
      </c>
      <c r="D18" s="7">
        <f t="shared" si="1"/>
        <v>23000</v>
      </c>
      <c r="E18" s="7">
        <f>D18+VLOOKUP($A18,[10]HISTOJUIN22!$A$7:$AU$38,45,0)+F18</f>
        <v>30000</v>
      </c>
      <c r="F18" s="7">
        <f>VLOOKUP($A18,[10]HISTOJUIN22!$A$7:$AU$38,7,0)</f>
        <v>0</v>
      </c>
      <c r="G18" s="7" t="str">
        <f>VLOOKUP($A18,[10]HISTOJUIN22!$A$7:$AU$38,8,0)</f>
        <v>BANQUE</v>
      </c>
      <c r="H18" s="7">
        <f>VLOOKUP($A18,[10]HISTOJUIN22!$A$7:$AU$38,35,0)</f>
        <v>0</v>
      </c>
      <c r="I18" s="7">
        <f>VLOOKUP($A18,[10]HISTOJUIN22!$A$7:$AU$38,38,0)</f>
        <v>0</v>
      </c>
      <c r="J18" s="7">
        <f>IF(I18=0,0,VLOOKUP($A18,[10]HISTOJUIN22!$A$7:$AU$38,42,0))</f>
        <v>0</v>
      </c>
      <c r="K18" s="7">
        <f>VLOOKUP($A18,[10]HISTOJUIN22!$A$7:$AU$38,41,0)</f>
        <v>0</v>
      </c>
      <c r="L18" s="7">
        <f>+TONTMAI22!H18+TONTMAI22!I18</f>
        <v>0</v>
      </c>
      <c r="M18" s="7">
        <f>VLOOKUP($A18,[10]HISTOJUIN22!$A$7:$AU$38,16,0)</f>
        <v>0</v>
      </c>
      <c r="N18" s="7" t="str">
        <f>IF(M18&lt;&gt;0,VLOOKUP($A18,[10]HISTOJUIN22!$A$7:$AU$38,8,0),"ECHEC")</f>
        <v>ECHEC</v>
      </c>
      <c r="O18" s="7">
        <f>IF(R18=0,0,VLOOKUP($A18,[10]HISTOJUIN22!$A$7:$AU$38,32,0))</f>
        <v>0</v>
      </c>
      <c r="P18" s="7">
        <f>VLOOKUP($A18,[10]HISTOJUIN22!$A$7:$AU$38,33,0)</f>
        <v>0</v>
      </c>
      <c r="Q18" s="7">
        <f t="shared" si="0"/>
        <v>0</v>
      </c>
      <c r="R18" s="7">
        <f>VLOOKUP($A18,[10]HISTOJUIN22!$A$7:$AU$38,29,0)</f>
        <v>0</v>
      </c>
      <c r="S18" s="21">
        <f t="shared" si="2"/>
        <v>0</v>
      </c>
    </row>
    <row r="19" spans="1:19" x14ac:dyDescent="0.25">
      <c r="A19" s="1" t="s">
        <v>30</v>
      </c>
      <c r="B19" s="7">
        <f>IF(D19=0,0,VLOOKUP($A19,[8]HISTOJANV22!$A$6:$AZ$36,9,0))</f>
        <v>1</v>
      </c>
      <c r="C19" s="1" t="str">
        <f>VLOOKUP(A19,[9]LISTADHERENT!A$5:H$60,3,0)</f>
        <v>NANGUEN MARTIN</v>
      </c>
      <c r="D19" s="7">
        <f t="shared" si="1"/>
        <v>23000</v>
      </c>
      <c r="E19" s="7">
        <f>D19+VLOOKUP($A19,[10]HISTOJUIN22!$A$7:$AU$38,45,0)+F19</f>
        <v>30000</v>
      </c>
      <c r="F19" s="7">
        <f>VLOOKUP($A19,[10]HISTOJUIN22!$A$7:$AU$38,7,0)</f>
        <v>0</v>
      </c>
      <c r="G19" s="7" t="str">
        <f>VLOOKUP($A19,[10]HISTOJUIN22!$A$7:$AU$38,8,0)</f>
        <v>BANQUE</v>
      </c>
      <c r="H19" s="7">
        <f>VLOOKUP($A19,[10]HISTOJUIN22!$A$7:$AU$38,35,0)</f>
        <v>0</v>
      </c>
      <c r="I19" s="7">
        <f>VLOOKUP($A19,[10]HISTOJUIN22!$A$7:$AU$38,38,0)</f>
        <v>0</v>
      </c>
      <c r="J19" s="7">
        <f>IF(I19=0,0,VLOOKUP($A19,[10]HISTOJUIN22!$A$7:$AU$38,42,0))</f>
        <v>0</v>
      </c>
      <c r="K19" s="7">
        <f>VLOOKUP($A19,[10]HISTOJUIN22!$A$7:$AU$38,41,0)</f>
        <v>0</v>
      </c>
      <c r="L19" s="7">
        <f>+TONTMAI22!H19+TONTMAI22!I19</f>
        <v>0</v>
      </c>
      <c r="M19" s="7">
        <f>VLOOKUP($A19,[10]HISTOJUIN22!$A$7:$AU$38,16,0)</f>
        <v>0</v>
      </c>
      <c r="N19" s="7" t="str">
        <f>IF(M19&lt;&gt;0,VLOOKUP($A19,[10]HISTOJUIN22!$A$7:$AU$38,8,0),"ECHEC")</f>
        <v>ECHEC</v>
      </c>
      <c r="O19" s="7">
        <f>IF(R19=0,0,VLOOKUP($A19,[10]HISTOJUIN22!$A$7:$AU$38,32,0))</f>
        <v>0</v>
      </c>
      <c r="P19" s="7">
        <f>VLOOKUP($A19,[10]HISTOJUIN22!$A$7:$AU$38,33,0)</f>
        <v>0</v>
      </c>
      <c r="Q19" s="7">
        <f t="shared" si="0"/>
        <v>0</v>
      </c>
      <c r="R19" s="7">
        <f>VLOOKUP($A19,[10]HISTOJUIN22!$A$7:$AU$38,29,0)</f>
        <v>0</v>
      </c>
      <c r="S19" s="21">
        <f t="shared" si="2"/>
        <v>0</v>
      </c>
    </row>
    <row r="20" spans="1:19" x14ac:dyDescent="0.25">
      <c r="A20" s="1" t="s">
        <v>20</v>
      </c>
      <c r="B20" s="7">
        <f>IF(D20=0,0,VLOOKUP($A20,[8]HISTOJANV22!$A$6:$AZ$36,9,0))</f>
        <v>1</v>
      </c>
      <c r="C20" s="1" t="str">
        <f>VLOOKUP(A20,[9]LISTADHERENT!A$5:H$60,3,0)</f>
        <v>NANKAM APPOLINAIRE</v>
      </c>
      <c r="D20" s="7">
        <f t="shared" si="1"/>
        <v>23000</v>
      </c>
      <c r="E20" s="7">
        <f>D21+VLOOKUP($A21,[10]HISTOJUIN22!$A$7:$AU$38,45,0)+F21</f>
        <v>50000</v>
      </c>
      <c r="F20" s="7">
        <f>VLOOKUP($A21,[10]HISTOJUIN22!$A$7:$AU$38,7,0)</f>
        <v>0</v>
      </c>
      <c r="G20" s="7" t="str">
        <f>VLOOKUP($A21,[10]HISTOJUIN22!$A$7:$AU$38,8,0)</f>
        <v>BANQUE</v>
      </c>
      <c r="H20" s="7">
        <f>VLOOKUP($A21,[10]HISTOJUIN22!$A$7:$AU$38,35,0)</f>
        <v>0</v>
      </c>
      <c r="I20" s="7">
        <f>VLOOKUP($A21,[10]HISTOJUIN22!$A$7:$AU$38,38,0)</f>
        <v>0</v>
      </c>
      <c r="J20" s="7">
        <f>IF(I21=0,0,VLOOKUP($A21,[10]HISTOJUIN22!$A$7:$AU$38,42,0))</f>
        <v>0</v>
      </c>
      <c r="K20" s="7">
        <f>VLOOKUP($A21,[10]HISTOJUIN22!$A$7:$AU$38,41,0)</f>
        <v>0</v>
      </c>
      <c r="L20" s="7">
        <f>+TONTMAI22!H20+TONTMAI22!I20</f>
        <v>0</v>
      </c>
      <c r="M20" s="7">
        <f>VLOOKUP($A21,[10]HISTOJUIN22!$A$7:$AU$38,16,0)</f>
        <v>0</v>
      </c>
      <c r="N20" s="7" t="str">
        <f>IF(M21&lt;&gt;0,VLOOKUP($A21,[10]HISTOJUIN22!$A$7:$AU$38,8,0),"ECHEC")</f>
        <v>ECHEC</v>
      </c>
      <c r="O20" s="7">
        <f>IF(R21=0,0,VLOOKUP($A21,[10]HISTOJUIN22!$A$7:$AU$38,32,0))</f>
        <v>0</v>
      </c>
      <c r="P20" s="7">
        <f>VLOOKUP($A21,[10]HISTOJUIN22!$A$7:$AU$38,33,0)</f>
        <v>0</v>
      </c>
      <c r="Q20" s="7">
        <f>IF(R21=0,0,($C$3-R21))</f>
        <v>0</v>
      </c>
      <c r="R20" s="7">
        <f>VLOOKUP($A21,[10]HISTOJUIN22!$A$7:$AU$38,29,0)</f>
        <v>0</v>
      </c>
      <c r="S20" s="21">
        <f t="shared" si="2"/>
        <v>0</v>
      </c>
    </row>
    <row r="21" spans="1:19" x14ac:dyDescent="0.25">
      <c r="A21" s="1" t="s">
        <v>21</v>
      </c>
      <c r="B21" s="7">
        <f>IF(D21=0,0,VLOOKUP($A21,[8]HISTOJANV22!$A$6:$AZ$36,9,0))</f>
        <v>1</v>
      </c>
      <c r="C21" s="1" t="str">
        <f>VLOOKUP(A21,[9]LISTADHERENT!A$5:H$60,3,0)</f>
        <v>NDJOMO ETIENNE</v>
      </c>
      <c r="D21" s="7">
        <f t="shared" si="1"/>
        <v>23000</v>
      </c>
      <c r="E21" s="7">
        <f>D21+VLOOKUP($A21,[10]HISTOJUIN22!$A$7:$AU$38,45,0)+F21</f>
        <v>50000</v>
      </c>
      <c r="F21" s="7">
        <f>VLOOKUP($A21,[10]HISTOJUIN22!$A$7:$AU$38,7,0)</f>
        <v>0</v>
      </c>
      <c r="G21" s="7" t="str">
        <f>VLOOKUP($A21,[10]HISTOJUIN22!$A$7:$AU$38,8,0)</f>
        <v>BANQUE</v>
      </c>
      <c r="H21" s="7">
        <f>VLOOKUP($A21,[10]HISTOJUIN22!$A$7:$AU$38,35,0)</f>
        <v>0</v>
      </c>
      <c r="I21" s="7">
        <f>VLOOKUP($A21,[10]HISTOJUIN22!$A$7:$AU$38,38,0)</f>
        <v>0</v>
      </c>
      <c r="J21" s="7">
        <f>IF(I21=0,0,VLOOKUP($A21,[10]HISTOJUIN22!$A$7:$AU$38,42,0))</f>
        <v>0</v>
      </c>
      <c r="K21" s="7">
        <f>VLOOKUP($A21,[10]HISTOJUIN22!$A$7:$AU$38,41,0)</f>
        <v>0</v>
      </c>
      <c r="L21" s="7">
        <f>+TONTMAI22!H21+TONTMAI22!I21</f>
        <v>0</v>
      </c>
      <c r="M21" s="7">
        <f>VLOOKUP($A21,[10]HISTOJUIN22!$A$7:$AU$38,16,0)</f>
        <v>0</v>
      </c>
      <c r="N21" s="7" t="str">
        <f>IF(M21&lt;&gt;0,VLOOKUP($A21,[10]HISTOJUIN22!$A$7:$AU$38,8,0),"ECHEC")</f>
        <v>ECHEC</v>
      </c>
      <c r="O21" s="7">
        <f>IF(R21=0,0,VLOOKUP($A21,[10]HISTOJUIN22!$A$7:$AU$38,32,0))</f>
        <v>0</v>
      </c>
      <c r="P21" s="7">
        <f>VLOOKUP($A21,[10]HISTOJUIN22!$A$7:$AU$38,33,0)</f>
        <v>0</v>
      </c>
      <c r="Q21" s="7">
        <f t="shared" si="0"/>
        <v>0</v>
      </c>
      <c r="R21" s="7">
        <f>VLOOKUP($A21,[10]HISTOJUIN22!$A$7:$AU$38,29,0)</f>
        <v>0</v>
      </c>
      <c r="S21" s="21">
        <f t="shared" si="2"/>
        <v>0</v>
      </c>
    </row>
    <row r="22" spans="1:19" x14ac:dyDescent="0.25">
      <c r="A22" s="1" t="s">
        <v>22</v>
      </c>
      <c r="B22" s="7">
        <f>IF(D22=0,0,VLOOKUP($A22,[8]HISTOJANV22!$A$6:$AZ$36,9,0))</f>
        <v>1</v>
      </c>
      <c r="C22" s="1" t="str">
        <f>VLOOKUP(A22,[9]LISTADHERENT!A$5:H$60,3,0)</f>
        <v>NGONDIEP CLAUDE</v>
      </c>
      <c r="D22" s="7">
        <f t="shared" si="1"/>
        <v>23000</v>
      </c>
      <c r="E22" s="7">
        <f>D22+VLOOKUP($A22,[10]HISTOJUIN22!$A$7:$AU$38,45,0)+F22</f>
        <v>37000</v>
      </c>
      <c r="F22" s="7">
        <f>VLOOKUP($A22,[10]HISTOJUIN22!$A$7:$AU$38,7,0)</f>
        <v>3000</v>
      </c>
      <c r="G22" s="7" t="str">
        <f>VLOOKUP($A22,[10]HISTOJUIN22!$A$7:$AU$38,8,0)</f>
        <v>BANQUE</v>
      </c>
      <c r="H22" s="7">
        <f>VLOOKUP($A22,[10]HISTOJUIN22!$A$7:$AU$38,35,0)</f>
        <v>0</v>
      </c>
      <c r="I22" s="7">
        <f>VLOOKUP($A22,[10]HISTOJUIN22!$A$7:$AU$38,38,0)</f>
        <v>0</v>
      </c>
      <c r="J22" s="7">
        <f>IF(I22=0,0,VLOOKUP($A22,[10]HISTOJUIN22!$A$7:$AU$38,42,0))</f>
        <v>0</v>
      </c>
      <c r="K22" s="7">
        <f>VLOOKUP($A22,[10]HISTOJUIN22!$A$7:$AU$38,41,0)</f>
        <v>0</v>
      </c>
      <c r="L22" s="7">
        <f>+TONTMAI22!H22+TONTMAI22!I22</f>
        <v>0</v>
      </c>
      <c r="M22" s="7">
        <f>VLOOKUP($A22,[10]HISTOJUIN22!$A$7:$AU$38,16,0)</f>
        <v>0</v>
      </c>
      <c r="N22" s="7" t="str">
        <f>IF(M22&lt;&gt;0,VLOOKUP($A22,[10]HISTOJUIN22!$A$7:$AU$38,8,0),"ECHEC")</f>
        <v>ECHEC</v>
      </c>
      <c r="O22" s="7">
        <f>IF(R22=0,0,VLOOKUP($A22,[10]HISTOJUIN22!$A$7:$AU$38,32,0))</f>
        <v>0</v>
      </c>
      <c r="P22" s="7">
        <f>VLOOKUP($A22,[10]HISTOJUIN22!$A$7:$AU$38,33,0)</f>
        <v>0</v>
      </c>
      <c r="Q22" s="7">
        <f t="shared" si="0"/>
        <v>0</v>
      </c>
      <c r="R22" s="7">
        <f>VLOOKUP($A22,[10]HISTOJUIN22!$A$7:$AU$38,29,0)</f>
        <v>0</v>
      </c>
      <c r="S22" s="21">
        <f t="shared" si="2"/>
        <v>0</v>
      </c>
    </row>
    <row r="23" spans="1:19" x14ac:dyDescent="0.25">
      <c r="A23" s="1" t="s">
        <v>23</v>
      </c>
      <c r="B23" s="7">
        <f>IF(D23=0,0,VLOOKUP($A23,[8]HISTOJANV22!$A$6:$AZ$36,9,0))</f>
        <v>1</v>
      </c>
      <c r="C23" s="1" t="str">
        <f>VLOOKUP(A23,[9]LISTADHERENT!A$5:H$60,3,0)</f>
        <v>NGUIEMEGNI MATHIEU BLAISE</v>
      </c>
      <c r="D23" s="7">
        <f t="shared" si="1"/>
        <v>23000</v>
      </c>
      <c r="E23" s="7">
        <f>D23+VLOOKUP($A23,[10]HISTOJUIN22!$A$7:$AU$38,45,0)+F23</f>
        <v>34000</v>
      </c>
      <c r="F23" s="7">
        <f>VLOOKUP($A23,[10]HISTOJUIN22!$A$7:$AU$38,7,0)</f>
        <v>0</v>
      </c>
      <c r="G23" s="7" t="str">
        <f>VLOOKUP($A23,[10]HISTOJUIN22!$A$7:$AU$38,8,0)</f>
        <v>BANQUE</v>
      </c>
      <c r="H23" s="7">
        <f>VLOOKUP($A23,[10]HISTOJUIN22!$A$7:$AU$38,35,0)</f>
        <v>0</v>
      </c>
      <c r="I23" s="7">
        <f>VLOOKUP($A23,[10]HISTOJUIN22!$A$7:$AU$38,38,0)</f>
        <v>0</v>
      </c>
      <c r="J23" s="7">
        <f>IF(I23=0,0,VLOOKUP($A23,[10]HISTOJUIN22!$A$7:$AU$38,42,0))</f>
        <v>0</v>
      </c>
      <c r="K23" s="7">
        <f>VLOOKUP($A23,[10]HISTOJUIN22!$A$7:$AU$38,41,0)</f>
        <v>0</v>
      </c>
      <c r="L23" s="7">
        <f>+TONTMAI22!H23+TONTMAI22!I23</f>
        <v>0</v>
      </c>
      <c r="M23" s="7">
        <f>VLOOKUP($A23,[10]HISTOJUIN22!$A$7:$AU$38,16,0)</f>
        <v>0</v>
      </c>
      <c r="N23" s="7" t="str">
        <f>IF(M23&lt;&gt;0,VLOOKUP($A23,[10]HISTOJUIN22!$A$7:$AU$38,8,0),"ECHEC")</f>
        <v>ECHEC</v>
      </c>
      <c r="O23" s="7">
        <f>IF(R23=0,0,VLOOKUP($A23,[10]HISTOJUIN22!$A$7:$AU$38,32,0))</f>
        <v>0</v>
      </c>
      <c r="P23" s="7">
        <f>VLOOKUP($A23,[10]HISTOJUIN22!$A$7:$AU$38,33,0)</f>
        <v>0</v>
      </c>
      <c r="Q23" s="7">
        <f t="shared" si="0"/>
        <v>0</v>
      </c>
      <c r="R23" s="7">
        <f>VLOOKUP($A23,[10]HISTOJUIN22!$A$7:$AU$38,29,0)</f>
        <v>0</v>
      </c>
      <c r="S23" s="21">
        <f t="shared" si="2"/>
        <v>0</v>
      </c>
    </row>
    <row r="24" spans="1:19" x14ac:dyDescent="0.25">
      <c r="A24" s="1" t="s">
        <v>24</v>
      </c>
      <c r="B24" s="7">
        <f>IF(D24=0,0,VLOOKUP($A24,[8]HISTOJANV22!$A$6:$AZ$36,9,0))</f>
        <v>1</v>
      </c>
      <c r="C24" s="1" t="str">
        <f>VLOOKUP(A24,[9]LISTADHERENT!A$5:H$60,3,0)</f>
        <v>NKAMGANG JUSTIN DEJOLIE</v>
      </c>
      <c r="D24" s="7">
        <f t="shared" si="1"/>
        <v>23000</v>
      </c>
      <c r="E24" s="7">
        <f>D24+VLOOKUP($A24,[10]HISTOJUIN22!$A$7:$AU$38,45,0)+F24</f>
        <v>30000</v>
      </c>
      <c r="F24" s="7">
        <f>VLOOKUP($A24,[10]HISTOJUIN22!$A$7:$AU$38,7,0)</f>
        <v>0</v>
      </c>
      <c r="G24" s="7" t="str">
        <f>VLOOKUP($A24,[10]HISTOJUIN22!$A$7:$AU$38,8,0)</f>
        <v>BANQUE</v>
      </c>
      <c r="H24" s="7">
        <f>VLOOKUP($A24,[10]HISTOJUIN22!$A$7:$AU$38,35,0)</f>
        <v>30000</v>
      </c>
      <c r="I24" s="7">
        <f>VLOOKUP($A24,[10]HISTOJUIN22!$A$7:$AU$38,38,0)</f>
        <v>500</v>
      </c>
      <c r="J24" s="7" t="str">
        <f>IF(I24=0,0,VLOOKUP($A24,[10]HISTOJUIN22!$A$7:$AU$38,42,0))</f>
        <v>BANQUE</v>
      </c>
      <c r="K24" s="7">
        <f>VLOOKUP($A24,[10]HISTOJUIN22!$A$7:$AU$38,41,0)</f>
        <v>0</v>
      </c>
      <c r="L24" s="7">
        <f>+TONTMAI22!H24+TONTMAI22!I24</f>
        <v>34500</v>
      </c>
      <c r="M24" s="7">
        <f>VLOOKUP($A24,[10]HISTOJUIN22!$A$7:$AU$38,16,0)</f>
        <v>34500</v>
      </c>
      <c r="N24" s="7" t="str">
        <f>IF(M24&lt;&gt;0,VLOOKUP($A24,[10]HISTOJUIN22!$A$7:$AU$38,8,0),"ECHEC")</f>
        <v>BANQUE</v>
      </c>
      <c r="O24" s="7" t="str">
        <f>IF(R24=0,0,VLOOKUP($A24,[10]HISTOJUIN22!$A$7:$AU$38,32,0))</f>
        <v>BANQUE</v>
      </c>
      <c r="P24" s="7">
        <f>VLOOKUP($A24,[10]HISTOJUIN22!$A$7:$AU$38,33,0)</f>
        <v>0</v>
      </c>
      <c r="Q24" s="7">
        <f t="shared" si="0"/>
        <v>277000</v>
      </c>
      <c r="R24" s="7">
        <f>VLOOKUP($A24,[10]HISTOJUIN22!$A$7:$AU$38,29,0)</f>
        <v>23000</v>
      </c>
      <c r="S24" s="21">
        <f t="shared" si="2"/>
        <v>0</v>
      </c>
    </row>
    <row r="25" spans="1:19" x14ac:dyDescent="0.25">
      <c r="A25" s="1" t="s">
        <v>25</v>
      </c>
      <c r="B25" s="7">
        <f>IF(D25=0,0,VLOOKUP($A25,[8]HISTOJANV22!$A$6:$AZ$36,9,0))</f>
        <v>1</v>
      </c>
      <c r="C25" s="1" t="str">
        <f>VLOOKUP(A25,[9]LISTADHERENT!A$5:H$60,3,0)</f>
        <v>NKEPSEU DIEUDONNE</v>
      </c>
      <c r="D25" s="7">
        <f t="shared" si="1"/>
        <v>23000</v>
      </c>
      <c r="E25" s="7">
        <f>D25+VLOOKUP($A25,[10]HISTOJUIN22!$A$7:$AU$38,45,0)+F25</f>
        <v>330000</v>
      </c>
      <c r="F25" s="7">
        <f>VLOOKUP($A25,[10]HISTOJUIN22!$A$7:$AU$38,7,0)</f>
        <v>0</v>
      </c>
      <c r="G25" s="7" t="str">
        <f>VLOOKUP($A25,[10]HISTOJUIN22!$A$7:$AU$38,8,0)</f>
        <v>BANQUE</v>
      </c>
      <c r="H25" s="7">
        <f>VLOOKUP($A25,[10]HISTOJUIN22!$A$7:$AU$38,35,0)</f>
        <v>0</v>
      </c>
      <c r="I25" s="7">
        <f>VLOOKUP($A25,[10]HISTOJUIN22!$A$7:$AU$38,38,0)</f>
        <v>0</v>
      </c>
      <c r="J25" s="7">
        <f>IF(I25=0,0,VLOOKUP($A25,[10]HISTOJUIN22!$A$7:$AU$38,42,0))</f>
        <v>0</v>
      </c>
      <c r="K25" s="7">
        <f>VLOOKUP($A25,[10]HISTOJUIN22!$A$7:$AU$38,41,0)</f>
        <v>0</v>
      </c>
      <c r="L25" s="7">
        <f>+TONTMAI22!H25+TONTMAI22!I25</f>
        <v>0</v>
      </c>
      <c r="M25" s="7">
        <f>VLOOKUP($A25,[10]HISTOJUIN22!$A$7:$AU$38,16,0)</f>
        <v>0</v>
      </c>
      <c r="N25" s="7" t="str">
        <f>IF(M25&lt;&gt;0,VLOOKUP($A25,[10]HISTOJUIN22!$A$7:$AU$38,8,0),"ECHEC")</f>
        <v>ECHEC</v>
      </c>
      <c r="O25" s="7">
        <f>IF(R25=0,0,VLOOKUP($A25,[10]HISTOJUIN22!$A$7:$AU$38,32,0))</f>
        <v>0</v>
      </c>
      <c r="P25" s="7">
        <f>VLOOKUP($A25,[10]HISTOJUIN22!$A$7:$AU$38,33,0)</f>
        <v>0</v>
      </c>
      <c r="Q25" s="7">
        <f t="shared" si="0"/>
        <v>0</v>
      </c>
      <c r="R25" s="7">
        <f>VLOOKUP($A25,[10]HISTOJUIN22!$A$7:$AU$38,29,0)</f>
        <v>0</v>
      </c>
      <c r="S25" s="21">
        <f t="shared" si="2"/>
        <v>0</v>
      </c>
    </row>
    <row r="26" spans="1:19" x14ac:dyDescent="0.25">
      <c r="A26" s="1" t="s">
        <v>26</v>
      </c>
      <c r="B26" s="7">
        <f>IF(D26=0,0,VLOOKUP($A26,[8]HISTOJANV22!$A$6:$AZ$36,9,0))</f>
        <v>1</v>
      </c>
      <c r="C26" s="1" t="str">
        <f>VLOOKUP(A26,[9]LISTADHERENT!A$5:H$60,3,0)</f>
        <v>PATEGO NJOSSU GUSTAVE</v>
      </c>
      <c r="D26" s="7">
        <f t="shared" si="1"/>
        <v>23000</v>
      </c>
      <c r="E26" s="7">
        <f>D26+VLOOKUP($A26,[10]HISTOJUIN22!$A$7:$AU$38,45,0)+F26</f>
        <v>30000</v>
      </c>
      <c r="F26" s="7">
        <f>VLOOKUP($A26,[10]HISTOJUIN22!$A$7:$AU$38,7,0)</f>
        <v>0</v>
      </c>
      <c r="G26" s="7" t="str">
        <f>VLOOKUP($A26,[10]HISTOJUIN22!$A$7:$AU$38,8,0)</f>
        <v>BANQUE</v>
      </c>
      <c r="H26" s="7">
        <f>VLOOKUP($A26,[10]HISTOJUIN22!$A$7:$AU$38,35,0)</f>
        <v>0</v>
      </c>
      <c r="I26" s="7">
        <f>VLOOKUP($A26,[10]HISTOJUIN22!$A$7:$AU$38,38,0)</f>
        <v>0</v>
      </c>
      <c r="J26" s="7">
        <f>IF(I26=0,0,VLOOKUP($A26,[10]HISTOJUIN22!$A$7:$AU$38,42,0))</f>
        <v>0</v>
      </c>
      <c r="K26" s="7">
        <f>VLOOKUP($A26,[10]HISTOJUIN22!$A$7:$AU$38,41,0)</f>
        <v>0</v>
      </c>
      <c r="L26" s="7">
        <f>+TONTMAI22!H26+TONTMAI22!I26</f>
        <v>0</v>
      </c>
      <c r="M26" s="7">
        <f>VLOOKUP($A26,[10]HISTOJUIN22!$A$7:$AU$38,16,0)</f>
        <v>0</v>
      </c>
      <c r="N26" s="7" t="str">
        <f>IF(M26&lt;&gt;0,VLOOKUP($A26,[10]HISTOJUIN22!$A$7:$AU$38,8,0),"ECHEC")</f>
        <v>ECHEC</v>
      </c>
      <c r="O26" s="7">
        <f>IF(R26=0,0,VLOOKUP($A26,[10]HISTOJUIN22!$A$7:$AU$38,32,0))</f>
        <v>0</v>
      </c>
      <c r="P26" s="7">
        <f>VLOOKUP($A26,[10]HISTOJUIN22!$A$7:$AU$38,33,0)</f>
        <v>0</v>
      </c>
      <c r="Q26" s="7">
        <f t="shared" si="0"/>
        <v>0</v>
      </c>
      <c r="R26" s="7">
        <f>VLOOKUP($A26,[10]HISTOJUIN22!$A$7:$AU$38,29,0)</f>
        <v>0</v>
      </c>
      <c r="S26" s="21">
        <f t="shared" si="2"/>
        <v>0</v>
      </c>
    </row>
    <row r="27" spans="1:19" x14ac:dyDescent="0.25">
      <c r="A27" s="1" t="s">
        <v>51</v>
      </c>
      <c r="B27" s="7">
        <f>IF(D27=0,0,VLOOKUP($A27,[8]HISTOJANV22!$A$6:$AZ$36,9,0))</f>
        <v>1</v>
      </c>
      <c r="C27" s="1" t="str">
        <f>VLOOKUP(A27,[9]LISTADHERENT!A$5:H$60,3,0)</f>
        <v>SIME BRICE</v>
      </c>
      <c r="D27" s="7">
        <f t="shared" si="1"/>
        <v>23000</v>
      </c>
      <c r="E27" s="7">
        <f>D27+VLOOKUP($A27,[10]HISTOJUIN22!$A$7:$AU$38,45,0)+F27</f>
        <v>30000</v>
      </c>
      <c r="F27" s="7">
        <f>VLOOKUP($A27,[10]HISTOJUIN22!$A$7:$AU$38,7,0)</f>
        <v>0</v>
      </c>
      <c r="G27" s="7" t="str">
        <f>VLOOKUP($A27,[10]HISTOJUIN22!$A$7:$AU$38,8,0)</f>
        <v>BANQUE</v>
      </c>
      <c r="H27" s="7">
        <f>VLOOKUP($A27,[10]HISTOJUIN22!$A$7:$AU$38,35,0)</f>
        <v>0</v>
      </c>
      <c r="I27" s="7">
        <f>VLOOKUP($A27,[10]HISTOJUIN22!$A$7:$AU$38,38,0)</f>
        <v>0</v>
      </c>
      <c r="J27" s="7">
        <f>IF(I27=0,0,VLOOKUP($A27,[10]HISTOJUIN22!$A$7:$AU$38,42,0))</f>
        <v>0</v>
      </c>
      <c r="K27" s="7">
        <f>VLOOKUP($A27,[10]HISTOJUIN22!$A$7:$AU$38,41,0)</f>
        <v>0</v>
      </c>
      <c r="L27" s="7">
        <f>+TONTMAI22!H27+TONTMAI22!I27</f>
        <v>0</v>
      </c>
      <c r="M27" s="7">
        <f>VLOOKUP($A27,[10]HISTOJUIN22!$A$7:$AU$38,16,0)</f>
        <v>0</v>
      </c>
      <c r="N27" s="7" t="str">
        <f>IF(M27&lt;&gt;0,VLOOKUP($A27,[10]HISTOJUIN22!$A$7:$AU$38,8,0),"ECHEC")</f>
        <v>ECHEC</v>
      </c>
      <c r="O27" s="7">
        <f>IF(R27=0,0,VLOOKUP($A27,[10]HISTOJUIN22!$A$7:$AU$38,32,0))</f>
        <v>0</v>
      </c>
      <c r="P27" s="7">
        <f>VLOOKUP($A27,[10]HISTOJUIN22!$A$7:$AU$38,33,0)</f>
        <v>0</v>
      </c>
      <c r="Q27" s="7">
        <f t="shared" si="0"/>
        <v>0</v>
      </c>
      <c r="R27" s="7">
        <f>VLOOKUP($A27,[10]HISTOJUIN22!$A$7:$AU$38,29,0)</f>
        <v>0</v>
      </c>
      <c r="S27" s="21">
        <f t="shared" si="2"/>
        <v>0</v>
      </c>
    </row>
    <row r="28" spans="1:19" x14ac:dyDescent="0.25">
      <c r="A28" s="1" t="s">
        <v>29</v>
      </c>
      <c r="B28" s="7">
        <f>IF(D28=0,0,VLOOKUP($A28,[8]HISTOJANV22!$A$6:$AZ$36,9,0))</f>
        <v>1</v>
      </c>
      <c r="C28" s="1" t="str">
        <f>VLOOKUP(A28,[9]LISTADHERENT!A$5:H$60,3,0)</f>
        <v>SIMO PIERRE</v>
      </c>
      <c r="D28" s="7">
        <f t="shared" si="1"/>
        <v>23000</v>
      </c>
      <c r="E28" s="7">
        <f>D28+VLOOKUP($A28,[10]HISTOJUIN22!$A$7:$AU$38,45,0)+F28</f>
        <v>35000</v>
      </c>
      <c r="F28" s="7">
        <f>VLOOKUP($A28,[10]HISTOJUIN22!$A$7:$AU$38,7,0)</f>
        <v>0</v>
      </c>
      <c r="G28" s="7" t="str">
        <f>VLOOKUP($A28,[10]HISTOJUIN22!$A$7:$AU$38,8,0)</f>
        <v>BANQUE</v>
      </c>
      <c r="H28" s="7">
        <f>VLOOKUP($A28,[10]HISTOJUIN22!$A$7:$AU$38,35,0)</f>
        <v>0</v>
      </c>
      <c r="I28" s="7">
        <f>VLOOKUP($A28,[10]HISTOJUIN22!$A$7:$AU$38,38,0)</f>
        <v>0</v>
      </c>
      <c r="J28" s="7">
        <f>IF(I28=0,0,VLOOKUP($A28,[10]HISTOJUIN22!$A$7:$AU$38,42,0))</f>
        <v>0</v>
      </c>
      <c r="K28" s="7">
        <f>VLOOKUP($A28,[10]HISTOJUIN22!$A$7:$AU$38,41,0)</f>
        <v>0</v>
      </c>
      <c r="L28" s="7">
        <f>+TONTMAI22!H28+TONTMAI22!I28</f>
        <v>0</v>
      </c>
      <c r="M28" s="7">
        <f>VLOOKUP($A28,[10]HISTOJUIN22!$A$7:$AU$38,16,0)</f>
        <v>0</v>
      </c>
      <c r="N28" s="7" t="str">
        <f>IF(M28&lt;&gt;0,VLOOKUP($A28,[10]HISTOJUIN22!$A$7:$AU$38,8,0),"ECHEC")</f>
        <v>ECHEC</v>
      </c>
      <c r="O28" s="7">
        <f>IF(R28=0,0,VLOOKUP($A28,[10]HISTOJUIN22!$A$7:$AU$38,32,0))</f>
        <v>0</v>
      </c>
      <c r="P28" s="7">
        <f>VLOOKUP($A28,[10]HISTOJUIN22!$A$7:$AU$38,33,0)</f>
        <v>0</v>
      </c>
      <c r="Q28" s="7">
        <f t="shared" si="0"/>
        <v>0</v>
      </c>
      <c r="R28" s="7">
        <f>VLOOKUP($A28,[10]HISTOJUIN22!$A$7:$AU$38,29,0)</f>
        <v>0</v>
      </c>
      <c r="S28" s="21">
        <f t="shared" si="2"/>
        <v>0</v>
      </c>
    </row>
    <row r="29" spans="1:19" x14ac:dyDescent="0.25">
      <c r="A29" s="1" t="s">
        <v>31</v>
      </c>
      <c r="B29" s="7">
        <f>IF(D29=0,0,VLOOKUP($A29,[8]HISTOJANV22!$A$6:$AZ$36,9,0))</f>
        <v>1</v>
      </c>
      <c r="C29" s="1" t="str">
        <f>VLOOKUP(A29,[9]LISTADHERENT!A$5:H$60,3,0)</f>
        <v>TCHOUAMOU MATHIEU</v>
      </c>
      <c r="D29" s="7">
        <f t="shared" si="1"/>
        <v>23000</v>
      </c>
      <c r="E29" s="7">
        <f>D29+VLOOKUP($A29,[10]HISTOJUIN22!$A$7:$AU$38,45,0)+F29</f>
        <v>30000</v>
      </c>
      <c r="F29" s="7">
        <f>VLOOKUP($A29,[10]HISTOJUIN22!$A$7:$AU$38,7,0)</f>
        <v>0</v>
      </c>
      <c r="G29" s="7" t="str">
        <f>VLOOKUP($A29,[10]HISTOJUIN22!$A$7:$AU$38,8,0)</f>
        <v>BANQUE</v>
      </c>
      <c r="H29" s="7">
        <f>VLOOKUP($A29,[10]HISTOJUIN22!$A$7:$AU$38,35,0)</f>
        <v>0</v>
      </c>
      <c r="I29" s="7">
        <f>VLOOKUP($A29,[10]HISTOJUIN22!$A$7:$AU$38,38,0)</f>
        <v>0</v>
      </c>
      <c r="J29" s="7">
        <f>IF(I29=0,0,VLOOKUP($A29,[10]HISTOJUIN22!$A$7:$AU$38,42,0))</f>
        <v>0</v>
      </c>
      <c r="K29" s="7">
        <f>VLOOKUP($A29,[10]HISTOJUIN22!$A$7:$AU$38,41,0)</f>
        <v>0</v>
      </c>
      <c r="L29" s="7">
        <f>+TONTMAI22!H29+TONTMAI22!I29</f>
        <v>0</v>
      </c>
      <c r="M29" s="7">
        <f>VLOOKUP($A29,[10]HISTOJUIN22!$A$7:$AU$38,16,0)</f>
        <v>0</v>
      </c>
      <c r="N29" s="7" t="str">
        <f>IF(M29&lt;&gt;0,VLOOKUP($A29,[10]HISTOJUIN22!$A$7:$AU$38,8,0),"ECHEC")</f>
        <v>ECHEC</v>
      </c>
      <c r="O29" s="7">
        <f>IF(R29=0,0,VLOOKUP($A29,[10]HISTOJUIN22!$A$7:$AU$38,32,0))</f>
        <v>0</v>
      </c>
      <c r="P29" s="7">
        <f>VLOOKUP($A29,[10]HISTOJUIN22!$A$7:$AU$38,33,0)</f>
        <v>0</v>
      </c>
      <c r="Q29" s="7">
        <f t="shared" si="0"/>
        <v>0</v>
      </c>
      <c r="R29" s="7">
        <f>VLOOKUP($A29,[10]HISTOJUIN22!$A$7:$AU$38,29,0)</f>
        <v>0</v>
      </c>
      <c r="S29" s="21">
        <f t="shared" si="2"/>
        <v>0</v>
      </c>
    </row>
    <row r="30" spans="1:19" x14ac:dyDescent="0.25">
      <c r="A30" s="1" t="s">
        <v>32</v>
      </c>
      <c r="B30" s="7">
        <f>IF(D30=0,0,VLOOKUP($A30,[8]HISTOJANV22!$A$6:$AZ$36,9,0))</f>
        <v>1</v>
      </c>
      <c r="C30" s="1" t="str">
        <f>VLOOKUP(A30,[9]LISTADHERENT!A$5:H$60,3,0)</f>
        <v>YEPMOU JEAN JACQUES</v>
      </c>
      <c r="D30" s="7">
        <f t="shared" si="1"/>
        <v>23000</v>
      </c>
      <c r="E30" s="7">
        <f>D30+VLOOKUP($A30,[10]HISTOJUIN22!$A$7:$AU$38,45,0)+F30</f>
        <v>33000</v>
      </c>
      <c r="F30" s="7">
        <f>VLOOKUP($A30,[10]HISTOJUIN22!$A$7:$AU$38,7,0)</f>
        <v>3000</v>
      </c>
      <c r="G30" s="7" t="str">
        <f>VLOOKUP($A30,[10]HISTOJUIN22!$A$7:$AU$38,8,0)</f>
        <v>ESPECES</v>
      </c>
      <c r="H30" s="7">
        <f>VLOOKUP($A30,[10]HISTOJUIN22!$A$7:$AU$38,35,0)</f>
        <v>0</v>
      </c>
      <c r="I30" s="7">
        <f>VLOOKUP($A30,[10]HISTOJUIN22!$A$7:$AU$38,38,0)</f>
        <v>0</v>
      </c>
      <c r="J30" s="7">
        <f>IF(I30=0,0,VLOOKUP($A30,[10]HISTOJUIN22!$A$7:$AU$38,42,0))</f>
        <v>0</v>
      </c>
      <c r="K30" s="7">
        <f>VLOOKUP($A30,[10]HISTOJUIN22!$A$7:$AU$38,41,0)</f>
        <v>0</v>
      </c>
      <c r="L30" s="7">
        <f>+TONTMAI22!H30+TONTMAI22!I30</f>
        <v>0</v>
      </c>
      <c r="M30" s="7">
        <f>VLOOKUP($A30,[10]HISTOJUIN22!$A$7:$AU$38,16,0)</f>
        <v>0</v>
      </c>
      <c r="N30" s="7" t="str">
        <f>IF(M30&lt;&gt;0,VLOOKUP($A30,[10]HISTOJUIN22!$A$7:$AU$38,8,0),"ECHEC")</f>
        <v>ECHEC</v>
      </c>
      <c r="O30" s="7">
        <f>IF(R30=0,0,VLOOKUP($A30,[10]HISTOJUIN22!$A$7:$AU$38,32,0))</f>
        <v>0</v>
      </c>
      <c r="P30" s="7">
        <f>VLOOKUP($A30,[10]HISTOJUIN22!$A$7:$AU$38,33,0)</f>
        <v>0</v>
      </c>
      <c r="Q30" s="7">
        <f t="shared" si="0"/>
        <v>0</v>
      </c>
      <c r="R30" s="7">
        <f>VLOOKUP($A30,[10]HISTOJUIN22!$A$7:$AU$38,29,0)</f>
        <v>0</v>
      </c>
      <c r="S30" s="21">
        <f t="shared" si="2"/>
        <v>0</v>
      </c>
    </row>
    <row r="31" spans="1:19" x14ac:dyDescent="0.25">
      <c r="A31" s="1" t="s">
        <v>33</v>
      </c>
      <c r="B31" s="7">
        <f>IF(D31=0,0,VLOOKUP($A31,[8]HISTOJANV22!$A$6:$AZ$36,9,0))</f>
        <v>1</v>
      </c>
      <c r="C31" s="1" t="str">
        <f>VLOOKUP(A31,[9]LISTADHERENT!A$5:H$60,3,0)</f>
        <v>YOUMBI EMMANUEL</v>
      </c>
      <c r="D31" s="7">
        <f t="shared" si="1"/>
        <v>23000</v>
      </c>
      <c r="E31" s="7">
        <f>D31+VLOOKUP($A31,[10]HISTOJUIN22!$A$7:$AU$38,45,0)+F31</f>
        <v>30000</v>
      </c>
      <c r="F31" s="7">
        <f>VLOOKUP($A31,[10]HISTOJUIN22!$A$7:$AU$38,7,0)</f>
        <v>0</v>
      </c>
      <c r="G31" s="7" t="str">
        <f>VLOOKUP($A31,[10]HISTOJUIN22!$A$7:$AU$38,8,0)</f>
        <v>BANQUE</v>
      </c>
      <c r="H31" s="7">
        <f>VLOOKUP($A31,[10]HISTOJUIN22!$A$7:$AU$38,35,0)</f>
        <v>0</v>
      </c>
      <c r="I31" s="7">
        <f>VLOOKUP($A31,[10]HISTOJUIN22!$A$7:$AU$38,38,0)</f>
        <v>0</v>
      </c>
      <c r="J31" s="7">
        <f>IF(I31=0,0,VLOOKUP($A31,[10]HISTOJUIN22!$A$7:$AU$38,42,0))</f>
        <v>0</v>
      </c>
      <c r="K31" s="7">
        <f>VLOOKUP($A31,[10]HISTOJUIN22!$A$7:$AU$38,41,0)</f>
        <v>0</v>
      </c>
      <c r="L31" s="7">
        <f>+TONTMAI22!H31+TONTMAI22!I31</f>
        <v>0</v>
      </c>
      <c r="M31" s="7">
        <f>VLOOKUP($A31,[10]HISTOJUIN22!$A$7:$AU$38,16,0)</f>
        <v>0</v>
      </c>
      <c r="N31" s="7" t="str">
        <f>IF(M31&lt;&gt;0,VLOOKUP($A31,[10]HISTOJUIN22!$A$7:$AU$38,8,0),"ECHEC")</f>
        <v>ECHEC</v>
      </c>
      <c r="O31" s="7">
        <f>IF(R31=0,0,VLOOKUP($A31,[10]HISTOJUIN22!$A$7:$AU$38,32,0))</f>
        <v>0</v>
      </c>
      <c r="P31" s="7">
        <f>VLOOKUP($A31,[10]HISTOJUIN22!$A$7:$AU$38,33,0)</f>
        <v>0</v>
      </c>
      <c r="Q31" s="7">
        <f t="shared" si="0"/>
        <v>0</v>
      </c>
      <c r="R31" s="7">
        <f>VLOOKUP($A31,[10]HISTOJUIN22!$A$7:$AU$38,29,0)</f>
        <v>0</v>
      </c>
      <c r="S31" s="21">
        <f t="shared" si="2"/>
        <v>0</v>
      </c>
    </row>
    <row r="32" spans="1:19" x14ac:dyDescent="0.25">
      <c r="A32" s="1"/>
    </row>
    <row r="33" spans="1:19" ht="18" x14ac:dyDescent="0.25">
      <c r="A33" s="1" t="s">
        <v>94</v>
      </c>
      <c r="B33" s="8">
        <f>SUM(B6:B32)</f>
        <v>26</v>
      </c>
      <c r="I33" s="9"/>
    </row>
    <row r="34" spans="1:19" ht="18" x14ac:dyDescent="0.25">
      <c r="A34" s="1" t="s">
        <v>93</v>
      </c>
      <c r="B34" s="19">
        <f>COUNT(D6:D31)</f>
        <v>26</v>
      </c>
      <c r="C34" s="8"/>
      <c r="D34" s="8">
        <f>SUM(D6:D33)</f>
        <v>598000</v>
      </c>
      <c r="E34" s="8">
        <f>SUM(E6:E33)</f>
        <v>1200000</v>
      </c>
      <c r="F34" s="8">
        <f>SUM(F6:F33)</f>
        <v>6000</v>
      </c>
      <c r="G34" s="8"/>
      <c r="H34" s="8">
        <f t="shared" ref="H34:S34" si="3">SUM(H6:H33)</f>
        <v>78500</v>
      </c>
      <c r="I34" s="8">
        <f t="shared" si="3"/>
        <v>1500</v>
      </c>
      <c r="J34" s="8">
        <f t="shared" si="3"/>
        <v>0</v>
      </c>
      <c r="K34" s="8">
        <f t="shared" si="3"/>
        <v>0</v>
      </c>
      <c r="L34" s="8">
        <f t="shared" si="3"/>
        <v>34500</v>
      </c>
      <c r="M34" s="8">
        <f t="shared" si="3"/>
        <v>34500</v>
      </c>
      <c r="N34" s="8">
        <f t="shared" si="3"/>
        <v>0</v>
      </c>
      <c r="O34" s="8">
        <f t="shared" si="3"/>
        <v>0</v>
      </c>
      <c r="P34" s="8">
        <f t="shared" si="3"/>
        <v>0</v>
      </c>
      <c r="Q34" s="8">
        <f t="shared" si="3"/>
        <v>554000</v>
      </c>
      <c r="R34" s="8">
        <f t="shared" si="3"/>
        <v>46000</v>
      </c>
      <c r="S34" s="8">
        <f t="shared" si="3"/>
        <v>0</v>
      </c>
    </row>
    <row r="35" spans="1:19" s="2" customFormat="1" ht="29.25" x14ac:dyDescent="0.25">
      <c r="B35"/>
      <c r="C35"/>
      <c r="D35"/>
      <c r="E35"/>
      <c r="F35"/>
      <c r="G35"/>
      <c r="H35"/>
      <c r="I35" s="9"/>
      <c r="J35" s="3"/>
      <c r="K35" s="3"/>
      <c r="L35" s="3"/>
      <c r="N35" s="4" t="s">
        <v>80</v>
      </c>
      <c r="O35" s="4" t="s">
        <v>95</v>
      </c>
      <c r="P35" s="3"/>
    </row>
    <row r="36" spans="1:19" s="2" customFormat="1" ht="29.25" x14ac:dyDescent="0.25">
      <c r="D36" s="4" t="s">
        <v>5</v>
      </c>
      <c r="E36" s="4" t="s">
        <v>7</v>
      </c>
      <c r="F36"/>
      <c r="G36" s="4" t="s">
        <v>40</v>
      </c>
      <c r="H36" s="4" t="s">
        <v>44</v>
      </c>
      <c r="I36" s="4" t="s">
        <v>46</v>
      </c>
      <c r="J36" s="4" t="s">
        <v>47</v>
      </c>
      <c r="K36" s="4"/>
      <c r="L36" s="8" t="s">
        <v>97</v>
      </c>
      <c r="M36" s="8">
        <f>D40+G40+R34+TONTMAI22!O41</f>
        <v>678500</v>
      </c>
      <c r="N36" s="4"/>
      <c r="O36"/>
      <c r="P36" s="4"/>
    </row>
    <row r="37" spans="1:19" s="2" customFormat="1" ht="18" x14ac:dyDescent="0.25">
      <c r="D37" s="8">
        <f>SUMIFS(D6:D33,G6:G33,"ESPECES")</f>
        <v>23000</v>
      </c>
      <c r="E37" s="8">
        <f>SUMIFS(E6:E33,G6:G33,"ESPECES")</f>
        <v>33000</v>
      </c>
      <c r="F37" s="8" t="s">
        <v>36</v>
      </c>
      <c r="G37" s="8">
        <f>SUMIFS(M6:M27,N6:N27,"ESPECES")</f>
        <v>0</v>
      </c>
      <c r="H37" s="8">
        <f>SUMIFS(H6:H33,J6:J33,"ESPECES")</f>
        <v>0</v>
      </c>
      <c r="I37" s="8">
        <f>SUMIFS(Q6:Q33,O6:O33,"ESPECES")</f>
        <v>0</v>
      </c>
      <c r="J37" s="8">
        <f>D37+G37-H37-I37</f>
        <v>23000</v>
      </c>
      <c r="K37" s="8"/>
      <c r="L37" s="8" t="s">
        <v>84</v>
      </c>
      <c r="M37" s="8">
        <f>C3*COUNTIF(Q6:Q33,"&gt;0")</f>
        <v>600000</v>
      </c>
      <c r="N37" s="8">
        <f>D3</f>
        <v>2</v>
      </c>
      <c r="O37" s="8">
        <f>COUNTIF(Q6:Q31,"&gt;0")</f>
        <v>2</v>
      </c>
      <c r="P37" s="8"/>
    </row>
    <row r="38" spans="1:19" s="2" customFormat="1" ht="18" x14ac:dyDescent="0.25">
      <c r="D38" s="8">
        <f>SUMIFS(D6:D33,G6:G33,"BANQUE")</f>
        <v>575000</v>
      </c>
      <c r="E38" s="8">
        <f>SUMIFS(E6:E34,G6:G34,"BANQUE")</f>
        <v>1167000</v>
      </c>
      <c r="F38" s="8" t="s">
        <v>37</v>
      </c>
      <c r="G38" s="8">
        <f>SUMIFS(M6:M27,N6:N27,"BANQUE")</f>
        <v>34500</v>
      </c>
      <c r="H38" s="8">
        <f>SUMIFS(H6:H33,J6:J33,"BANQUE")</f>
        <v>78500</v>
      </c>
      <c r="I38" s="8">
        <f>SUMIFS(Q6:Q33,O6:O33,"BANQUE")</f>
        <v>554000</v>
      </c>
      <c r="J38" s="8">
        <f>D38+G38-H38-I38</f>
        <v>-23000</v>
      </c>
      <c r="K38" s="8"/>
      <c r="M38" s="8"/>
      <c r="N38" s="8"/>
      <c r="O38" s="8"/>
      <c r="P38" s="8"/>
    </row>
    <row r="39" spans="1:19" s="2" customFormat="1" ht="18" x14ac:dyDescent="0.25">
      <c r="D39" s="8"/>
      <c r="E39" s="8"/>
      <c r="F39" s="8"/>
      <c r="G39" s="8"/>
      <c r="H39" s="8"/>
      <c r="I39" s="8"/>
      <c r="K39" s="8"/>
      <c r="L39" s="8" t="s">
        <v>52</v>
      </c>
      <c r="M39" s="8">
        <f>M36-M37</f>
        <v>78500</v>
      </c>
      <c r="N39" s="8"/>
      <c r="O39" s="8"/>
      <c r="P39" s="8"/>
    </row>
    <row r="40" spans="1:19" s="2" customFormat="1" ht="18" x14ac:dyDescent="0.25">
      <c r="D40" s="8">
        <f>D37+D38</f>
        <v>598000</v>
      </c>
      <c r="E40" s="8">
        <f>E37+E38</f>
        <v>1200000</v>
      </c>
      <c r="F40" s="8" t="s">
        <v>34</v>
      </c>
      <c r="G40" s="8">
        <f>G37+G38</f>
        <v>34500</v>
      </c>
      <c r="H40" s="8">
        <f>H37+H38</f>
        <v>78500</v>
      </c>
      <c r="I40" s="8">
        <f t="shared" ref="I40" si="4">I37+I38</f>
        <v>554000</v>
      </c>
      <c r="J40" s="8">
        <f>J37+J38+TONTMAI22!O41</f>
        <v>0</v>
      </c>
      <c r="K40" s="8"/>
      <c r="M40" s="8"/>
      <c r="N40" s="8"/>
      <c r="O40" s="8"/>
      <c r="P40" s="8"/>
    </row>
    <row r="41" spans="1:19" s="2" customFormat="1" ht="18" x14ac:dyDescent="0.25">
      <c r="D41" s="8"/>
      <c r="E41" s="8"/>
      <c r="F41" s="8" t="s">
        <v>56</v>
      </c>
      <c r="G41"/>
      <c r="H41"/>
      <c r="I41" s="3"/>
      <c r="J41" s="3"/>
      <c r="K41" s="3"/>
      <c r="L41" s="8" t="s">
        <v>55</v>
      </c>
      <c r="M41" s="8">
        <f>M39-H34</f>
        <v>0</v>
      </c>
      <c r="N41"/>
      <c r="O41" s="8">
        <f>M41</f>
        <v>0</v>
      </c>
      <c r="P41" s="8" t="s">
        <v>58</v>
      </c>
    </row>
    <row r="42" spans="1:19" s="2" customFormat="1" ht="18" x14ac:dyDescent="0.25">
      <c r="D42" s="4"/>
      <c r="E42" s="4"/>
      <c r="F42" s="8"/>
      <c r="G42"/>
      <c r="H42"/>
      <c r="I42" s="3"/>
      <c r="J42" s="3"/>
      <c r="K42" s="3"/>
      <c r="N42"/>
      <c r="O42" s="3"/>
      <c r="P42" s="3"/>
    </row>
    <row r="43" spans="1:19" ht="18" x14ac:dyDescent="0.25">
      <c r="L43" s="8" t="s">
        <v>60</v>
      </c>
      <c r="M43" s="8">
        <f>COUNTIFS(G6:G32,"ECHEC")*23000</f>
        <v>0</v>
      </c>
      <c r="O43" s="8">
        <f>+M43+TONTMAI22!O43</f>
        <v>0</v>
      </c>
      <c r="P43" s="8" t="s">
        <v>58</v>
      </c>
    </row>
    <row r="44" spans="1:19" ht="18" x14ac:dyDescent="0.25">
      <c r="F44" s="2"/>
      <c r="L44" s="8" t="s">
        <v>59</v>
      </c>
      <c r="M44" s="8">
        <f>L34-G40</f>
        <v>0</v>
      </c>
      <c r="O44" s="8">
        <f>+M44+TONTMAI22!O44</f>
        <v>0</v>
      </c>
      <c r="P44" s="8" t="s">
        <v>58</v>
      </c>
    </row>
  </sheetData>
  <autoFilter ref="A5:R24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>
      <pane xSplit="3" ySplit="5" topLeftCell="J37" activePane="bottomRight" state="frozen"/>
      <selection activeCell="G6" sqref="G6:G39"/>
      <selection pane="topRight" activeCell="G6" sqref="G6:G39"/>
      <selection pane="bottomLeft" activeCell="G6" sqref="G6:G39"/>
      <selection pane="bottomRight" activeCell="M41" sqref="M41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5" width="13" customWidth="1"/>
    <col min="16" max="16" width="15.5703125" style="3" customWidth="1"/>
    <col min="17" max="18" width="18.140625" style="2" customWidth="1"/>
  </cols>
  <sheetData>
    <row r="1" spans="1:19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25">
      <c r="A2" s="1" t="s">
        <v>2</v>
      </c>
      <c r="B2" s="1">
        <v>2022</v>
      </c>
      <c r="C2" s="1" t="s">
        <v>85</v>
      </c>
      <c r="D2" s="1" t="s">
        <v>80</v>
      </c>
      <c r="E2" s="1"/>
      <c r="F2" s="1"/>
      <c r="G2" s="1"/>
      <c r="N2" s="1"/>
      <c r="O2" s="1"/>
    </row>
    <row r="3" spans="1:19" x14ac:dyDescent="0.25">
      <c r="A3" s="1" t="s">
        <v>86</v>
      </c>
      <c r="B3" s="6">
        <v>23000</v>
      </c>
      <c r="C3" s="6">
        <f>B3*13+1000</f>
        <v>300000</v>
      </c>
      <c r="D3" s="1">
        <f>ROUNDDOWN(M36/C3,0)</f>
        <v>2</v>
      </c>
      <c r="E3" s="1"/>
      <c r="F3" s="1"/>
      <c r="G3" s="1"/>
      <c r="N3" s="1"/>
      <c r="O3" s="1"/>
    </row>
    <row r="4" spans="1:19" s="16" customFormat="1" ht="18" x14ac:dyDescent="0.25">
      <c r="B4" s="17"/>
      <c r="C4" s="28">
        <v>44633</v>
      </c>
      <c r="D4" s="29"/>
      <c r="E4" s="29"/>
      <c r="F4" s="29"/>
      <c r="G4" s="29"/>
      <c r="H4" s="29"/>
      <c r="I4" s="29"/>
      <c r="J4" s="29"/>
      <c r="K4" s="29"/>
      <c r="L4" s="29"/>
      <c r="N4" s="18"/>
      <c r="O4" s="18"/>
      <c r="P4" s="18"/>
      <c r="Q4" s="18"/>
    </row>
    <row r="5" spans="1:19" ht="58.5" x14ac:dyDescent="0.3">
      <c r="A5" s="1" t="s">
        <v>3</v>
      </c>
      <c r="B5" s="13" t="s">
        <v>81</v>
      </c>
      <c r="C5" s="1" t="s">
        <v>4</v>
      </c>
      <c r="D5" s="4" t="s">
        <v>5</v>
      </c>
      <c r="E5" s="4" t="s">
        <v>7</v>
      </c>
      <c r="F5" s="1" t="s">
        <v>48</v>
      </c>
      <c r="G5" s="5" t="s">
        <v>6</v>
      </c>
      <c r="H5" s="6" t="s">
        <v>44</v>
      </c>
      <c r="I5" s="4" t="s">
        <v>41</v>
      </c>
      <c r="J5" s="4" t="s">
        <v>45</v>
      </c>
      <c r="K5" s="11" t="s">
        <v>54</v>
      </c>
      <c r="L5" s="4" t="s">
        <v>82</v>
      </c>
      <c r="M5" s="4" t="s">
        <v>40</v>
      </c>
      <c r="N5" s="4" t="s">
        <v>39</v>
      </c>
      <c r="O5" s="4" t="s">
        <v>42</v>
      </c>
      <c r="P5" s="4" t="s">
        <v>54</v>
      </c>
      <c r="Q5" s="4" t="s">
        <v>83</v>
      </c>
      <c r="R5" s="4" t="s">
        <v>43</v>
      </c>
      <c r="S5" s="4" t="s">
        <v>98</v>
      </c>
    </row>
    <row r="6" spans="1:19" x14ac:dyDescent="0.25">
      <c r="A6" s="1" t="s">
        <v>9</v>
      </c>
      <c r="B6" s="7">
        <f>IF(D6=0,0,VLOOKUP($A6,[8]HISTOJANV22!$A$6:$AZ$36,9,0))</f>
        <v>1</v>
      </c>
      <c r="C6" s="1" t="str">
        <f>VLOOKUP(A6,[9]LISTADHERENT!A$5:H$60,3,0)</f>
        <v>BOUTCHOUANG WILLIAM</v>
      </c>
      <c r="D6" s="7">
        <f>IF(G6="ECHEC",0,B$3)</f>
        <v>23000</v>
      </c>
      <c r="E6" s="7">
        <f>D6+VLOOKUP($A6,[10]HISTOJUIL22!$A$7:$AU$38,45,0)+F6</f>
        <v>30000</v>
      </c>
      <c r="F6" s="7">
        <f>VLOOKUP($A6,[10]HISTOJUIL22!$A$7:$AU$38,7,0)</f>
        <v>0</v>
      </c>
      <c r="G6" s="7" t="str">
        <f>VLOOKUP($A6,[10]HISTOJUIL22!$A$7:$AU$38,8,0)</f>
        <v>BANQUE</v>
      </c>
      <c r="H6" s="7">
        <f>VLOOKUP($A6,[10]HISTOJUIL22!$A$7:$AU$38,35,0)</f>
        <v>0</v>
      </c>
      <c r="I6" s="7">
        <f>VLOOKUP($A6,[10]HISTOJUIL22!$A$7:$AU$38,38,0)</f>
        <v>0</v>
      </c>
      <c r="J6" s="7">
        <f>IF(I6=0,0,VLOOKUP($A6,[10]HISTOJUIL22!$A$7:$AU$38,42,0))</f>
        <v>0</v>
      </c>
      <c r="K6" s="7">
        <f>VLOOKUP($A6,[10]HISTOJUIL22!$A$7:$AU$38,41,0)</f>
        <v>0</v>
      </c>
      <c r="L6" s="7">
        <f>+TONTJUIN22!H6+TONTJUIN22!I6</f>
        <v>0</v>
      </c>
      <c r="M6" s="7">
        <f>VLOOKUP($A6,[10]HISTOJUIL22!$A$7:$AU$38,16,0)</f>
        <v>0</v>
      </c>
      <c r="N6" s="7" t="str">
        <f>IF(M6&lt;&gt;0,VLOOKUP($A6,[10]HISTOJUIL22!$A$7:$AU$38,8,0),"ECHEC")</f>
        <v>ECHEC</v>
      </c>
      <c r="O6" s="7" t="str">
        <f>IF(R6=0,0,VLOOKUP($A6,[10]HISTOJUIL22!$A$7:$AU$38,32,0))</f>
        <v>BANQUE</v>
      </c>
      <c r="P6" s="7">
        <f>VLOOKUP($A6,[10]HISTOJUIL22!$A$7:$AU$38,33,0)</f>
        <v>0</v>
      </c>
      <c r="Q6" s="7">
        <f t="shared" ref="Q6:Q31" si="0">IF(R6=0,0,($C$3-R6))</f>
        <v>277000</v>
      </c>
      <c r="R6" s="7">
        <f>VLOOKUP($A6,[10]HISTOJUIL22!$A$7:$AU$38,29,0)</f>
        <v>23000</v>
      </c>
      <c r="S6" s="21">
        <f>IF(R6=0,0,(R6-23000))</f>
        <v>0</v>
      </c>
    </row>
    <row r="7" spans="1:19" x14ac:dyDescent="0.25">
      <c r="A7" s="1" t="s">
        <v>10</v>
      </c>
      <c r="B7" s="7">
        <f>IF(D7=0,0,VLOOKUP($A7,[8]HISTOJANV22!$A$6:$AZ$36,9,0))</f>
        <v>1</v>
      </c>
      <c r="C7" s="1" t="str">
        <f>VLOOKUP(A7,[9]LISTADHERENT!A$5:H$60,3,0)</f>
        <v xml:space="preserve">DJOMO JEAN PAUL </v>
      </c>
      <c r="D7" s="7">
        <f t="shared" ref="D7:D31" si="1">IF(G7="ECHEC",0,B$3)</f>
        <v>23000</v>
      </c>
      <c r="E7" s="7">
        <f>D7+VLOOKUP($A7,[10]HISTOJUIL22!$A$7:$AU$38,45,0)+F7</f>
        <v>30000</v>
      </c>
      <c r="F7" s="7">
        <f>VLOOKUP($A7,[10]HISTOJUIL22!$A$7:$AU$38,7,0)</f>
        <v>0</v>
      </c>
      <c r="G7" s="7" t="str">
        <f>VLOOKUP($A7,[10]HISTOJUIL22!$A$7:$AU$38,8,0)</f>
        <v>BANQUE</v>
      </c>
      <c r="H7" s="7">
        <f>VLOOKUP($A7,[10]HISTOJUIL22!$A$7:$AU$38,35,0)</f>
        <v>0</v>
      </c>
      <c r="I7" s="7">
        <f>VLOOKUP($A7,[10]HISTOJUIL22!$A$7:$AU$38,38,0)</f>
        <v>0</v>
      </c>
      <c r="J7" s="7">
        <f>IF(I7=0,0,VLOOKUP($A7,[10]HISTOJUIL22!$A$7:$AU$38,42,0))</f>
        <v>0</v>
      </c>
      <c r="K7" s="7">
        <f>VLOOKUP($A7,[10]HISTOJUIL22!$A$7:$AU$38,41,0)</f>
        <v>0</v>
      </c>
      <c r="L7" s="7">
        <f>+TONTJUIN22!H7+TONTJUIN22!I7</f>
        <v>0</v>
      </c>
      <c r="M7" s="7">
        <f>VLOOKUP($A7,[10]HISTOJUIL22!$A$7:$AU$38,16,0)</f>
        <v>0</v>
      </c>
      <c r="N7" s="7" t="str">
        <f>IF(M7&lt;&gt;0,VLOOKUP($A7,[10]HISTOJUIL22!$A$7:$AU$38,8,0),"ECHEC")</f>
        <v>ECHEC</v>
      </c>
      <c r="O7" s="7">
        <f>IF(R7=0,0,VLOOKUP($A7,[10]HISTOJUIL22!$A$7:$AU$38,32,0))</f>
        <v>0</v>
      </c>
      <c r="P7" s="7">
        <f>VLOOKUP($A7,[10]HISTOJUIL22!$A$7:$AU$38,33,0)</f>
        <v>0</v>
      </c>
      <c r="Q7" s="7">
        <f t="shared" si="0"/>
        <v>0</v>
      </c>
      <c r="R7" s="7">
        <f>VLOOKUP($A7,[10]HISTOJUIL22!$A$7:$AU$38,29,0)</f>
        <v>0</v>
      </c>
      <c r="S7" s="21">
        <f t="shared" ref="S7:S31" si="2">IF(R7=0,0,(R7-23000))</f>
        <v>0</v>
      </c>
    </row>
    <row r="8" spans="1:19" x14ac:dyDescent="0.25">
      <c r="A8" s="1" t="s">
        <v>57</v>
      </c>
      <c r="B8" s="7">
        <f>IF(D8=0,0,VLOOKUP($A8,[8]HISTOJANV22!$A$6:$AZ$36,9,0))</f>
        <v>1</v>
      </c>
      <c r="C8" s="1" t="str">
        <f>VLOOKUP(A8,[9]LISTADHERENT!A$5:H$60,3,0)</f>
        <v>DJOMOU TCHANDA</v>
      </c>
      <c r="D8" s="7">
        <f t="shared" si="1"/>
        <v>23000</v>
      </c>
      <c r="E8" s="7">
        <f>D8+VLOOKUP($A8,[10]HISTOJUIL22!$A$7:$AU$38,45,0)+F8</f>
        <v>34000</v>
      </c>
      <c r="F8" s="7">
        <f>VLOOKUP($A8,[10]HISTOJUIL22!$A$7:$AU$38,7,0)</f>
        <v>3000</v>
      </c>
      <c r="G8" s="7" t="str">
        <f>VLOOKUP($A8,[10]HISTOJUIL22!$A$7:$AU$38,8,0)</f>
        <v>ESPECES</v>
      </c>
      <c r="H8" s="7">
        <f>VLOOKUP($A8,[10]HISTOJUIL22!$A$7:$AU$38,35,0)</f>
        <v>0</v>
      </c>
      <c r="I8" s="7">
        <f>VLOOKUP($A8,[10]HISTOJUIL22!$A$7:$AU$38,38,0)</f>
        <v>0</v>
      </c>
      <c r="J8" s="7">
        <f>IF(I8=0,0,VLOOKUP($A8,[10]HISTOJUIL22!$A$7:$AU$38,42,0))</f>
        <v>0</v>
      </c>
      <c r="K8" s="7">
        <f>VLOOKUP($A8,[10]HISTOJUIL22!$A$7:$AU$38,41,0)</f>
        <v>0</v>
      </c>
      <c r="L8" s="7">
        <f>+TONTJUIN22!H8+TONTJUIN22!I8</f>
        <v>0</v>
      </c>
      <c r="M8" s="7">
        <f>VLOOKUP($A8,[10]HISTOJUIL22!$A$7:$AU$38,16,0)</f>
        <v>0</v>
      </c>
      <c r="N8" s="7" t="str">
        <f>IF(M8&lt;&gt;0,VLOOKUP($A8,[10]HISTOJUIL22!$A$7:$AU$38,8,0),"ECHEC")</f>
        <v>ECHEC</v>
      </c>
      <c r="O8" s="7">
        <f>IF(R8=0,0,VLOOKUP($A8,[10]HISTOJUIL22!$A$7:$AU$38,32,0))</f>
        <v>0</v>
      </c>
      <c r="P8" s="7">
        <f>VLOOKUP($A8,[10]HISTOJUIL22!$A$7:$AU$38,33,0)</f>
        <v>0</v>
      </c>
      <c r="Q8" s="7">
        <f t="shared" si="0"/>
        <v>0</v>
      </c>
      <c r="R8" s="7">
        <f>VLOOKUP($A8,[10]HISTOJUIL22!$A$7:$AU$38,29,0)</f>
        <v>0</v>
      </c>
      <c r="S8" s="21">
        <f t="shared" si="2"/>
        <v>0</v>
      </c>
    </row>
    <row r="9" spans="1:19" x14ac:dyDescent="0.25">
      <c r="A9" s="1" t="s">
        <v>11</v>
      </c>
      <c r="B9" s="7">
        <f>IF(D9=0,0,VLOOKUP($A9,[8]HISTOJANV22!$A$6:$AZ$36,9,0))</f>
        <v>1</v>
      </c>
      <c r="C9" s="1" t="str">
        <f>VLOOKUP(A9,[9]LISTADHERENT!A$5:H$60,3,0)</f>
        <v>DJOUKWE NANGUEN GUY BLAISE</v>
      </c>
      <c r="D9" s="7">
        <f t="shared" si="1"/>
        <v>23000</v>
      </c>
      <c r="E9" s="7">
        <f>D9+VLOOKUP($A9,[10]HISTOJUIL22!$A$7:$AU$38,45,0)+F9</f>
        <v>30000</v>
      </c>
      <c r="F9" s="7">
        <f>VLOOKUP($A9,[10]HISTOJUIL22!$A$7:$AU$38,7,0)</f>
        <v>0</v>
      </c>
      <c r="G9" s="7" t="str">
        <f>VLOOKUP($A9,[10]HISTOJUIL22!$A$7:$AU$38,8,0)</f>
        <v>BANQUE</v>
      </c>
      <c r="H9" s="7">
        <f>VLOOKUP($A9,[10]HISTOJUIL22!$A$7:$AU$38,35,0)</f>
        <v>0</v>
      </c>
      <c r="I9" s="7">
        <f>VLOOKUP($A9,[10]HISTOJUIL22!$A$7:$AU$38,38,0)</f>
        <v>0</v>
      </c>
      <c r="J9" s="7">
        <f>IF(I9=0,0,VLOOKUP($A9,[10]HISTOJUIL22!$A$7:$AU$38,42,0))</f>
        <v>0</v>
      </c>
      <c r="K9" s="7">
        <f>VLOOKUP($A9,[10]HISTOJUIL22!$A$7:$AU$38,41,0)</f>
        <v>0</v>
      </c>
      <c r="L9" s="7">
        <f>+TONTJUIN22!H9+TONTJUIN22!I9</f>
        <v>0</v>
      </c>
      <c r="M9" s="7">
        <f>VLOOKUP($A9,[10]HISTOJUIL22!$A$7:$AU$38,16,0)</f>
        <v>0</v>
      </c>
      <c r="N9" s="7" t="str">
        <f>IF(M9&lt;&gt;0,VLOOKUP($A9,[10]HISTOJUIL22!$A$7:$AU$38,8,0),"ECHEC")</f>
        <v>ECHEC</v>
      </c>
      <c r="O9" s="7">
        <f>IF(R9=0,0,VLOOKUP($A9,[10]HISTOJUIL22!$A$7:$AU$38,32,0))</f>
        <v>0</v>
      </c>
      <c r="P9" s="7">
        <f>VLOOKUP($A9,[10]HISTOJUIL22!$A$7:$AU$38,33,0)</f>
        <v>0</v>
      </c>
      <c r="Q9" s="7">
        <f t="shared" si="0"/>
        <v>0</v>
      </c>
      <c r="R9" s="7">
        <f>VLOOKUP($A9,[10]HISTOJUIL22!$A$7:$AU$38,29,0)</f>
        <v>0</v>
      </c>
      <c r="S9" s="21">
        <f t="shared" si="2"/>
        <v>0</v>
      </c>
    </row>
    <row r="10" spans="1:19" x14ac:dyDescent="0.25">
      <c r="A10" s="1" t="s">
        <v>12</v>
      </c>
      <c r="B10" s="7">
        <f>IF(D10=0,0,VLOOKUP($A10,[8]HISTOJANV22!$A$6:$AZ$36,9,0))</f>
        <v>1</v>
      </c>
      <c r="C10" s="1" t="str">
        <f>VLOOKUP(A10,[9]LISTADHERENT!A$5:H$60,3,0)</f>
        <v>DJUOMBESSY ANTOINE</v>
      </c>
      <c r="D10" s="7">
        <f t="shared" si="1"/>
        <v>23000</v>
      </c>
      <c r="E10" s="7">
        <f>D10+VLOOKUP($A10,[10]HISTOJUIL22!$A$7:$AU$38,45,0)+F10</f>
        <v>33000</v>
      </c>
      <c r="F10" s="7">
        <f>VLOOKUP($A10,[10]HISTOJUIL22!$A$7:$AU$38,7,0)</f>
        <v>3000</v>
      </c>
      <c r="G10" s="7" t="str">
        <f>VLOOKUP($A10,[10]HISTOJUIL22!$A$7:$AU$38,8,0)</f>
        <v>ESPECES</v>
      </c>
      <c r="H10" s="7">
        <f>VLOOKUP($A10,[10]HISTOJUIL22!$A$7:$AU$38,35,0)</f>
        <v>0</v>
      </c>
      <c r="I10" s="7">
        <f>VLOOKUP($A10,[10]HISTOJUIL22!$A$7:$AU$38,38,0)</f>
        <v>0</v>
      </c>
      <c r="J10" s="7">
        <f>IF(I10=0,0,VLOOKUP($A10,[10]HISTOJUIL22!$A$7:$AU$38,42,0))</f>
        <v>0</v>
      </c>
      <c r="K10" s="7">
        <f>VLOOKUP($A10,[10]HISTOJUIL22!$A$7:$AU$38,41,0)</f>
        <v>0</v>
      </c>
      <c r="L10" s="7">
        <f>+TONTJUIN22!H10+TONTJUIN22!I10</f>
        <v>0</v>
      </c>
      <c r="M10" s="7">
        <f>VLOOKUP($A10,[10]HISTOJUIL22!$A$7:$AU$38,16,0)</f>
        <v>0</v>
      </c>
      <c r="N10" s="7" t="str">
        <f>IF(M10&lt;&gt;0,VLOOKUP($A10,[10]HISTOJUIL22!$A$7:$AU$38,8,0),"ECHEC")</f>
        <v>ECHEC</v>
      </c>
      <c r="O10" s="7">
        <f>IF(R10=0,0,VLOOKUP($A10,[10]HISTOJUIL22!$A$7:$AU$38,32,0))</f>
        <v>0</v>
      </c>
      <c r="P10" s="7">
        <f>VLOOKUP($A10,[10]HISTOJUIL22!$A$7:$AU$38,33,0)</f>
        <v>0</v>
      </c>
      <c r="Q10" s="7">
        <f t="shared" si="0"/>
        <v>0</v>
      </c>
      <c r="R10" s="7">
        <f>VLOOKUP($A10,[10]HISTOJUIL22!$A$7:$AU$38,29,0)</f>
        <v>0</v>
      </c>
      <c r="S10" s="21">
        <f t="shared" si="2"/>
        <v>0</v>
      </c>
    </row>
    <row r="11" spans="1:19" x14ac:dyDescent="0.25">
      <c r="A11" s="1" t="s">
        <v>50</v>
      </c>
      <c r="B11" s="7">
        <f>IF(D11=0,0,VLOOKUP($A11,[8]HISTOJANV22!$A$6:$AZ$36,9,0))</f>
        <v>1</v>
      </c>
      <c r="C11" s="1" t="str">
        <f>VLOOKUP(A11,[9]LISTADHERENT!A$5:H$60,3,0)</f>
        <v>DOMOU FABIEN</v>
      </c>
      <c r="D11" s="7">
        <f t="shared" si="1"/>
        <v>23000</v>
      </c>
      <c r="E11" s="7">
        <f>D11+VLOOKUP($A11,[10]HISTOJUIL22!$A$7:$AU$38,45,0)+F11</f>
        <v>35000</v>
      </c>
      <c r="F11" s="7">
        <f>VLOOKUP($A11,[10]HISTOJUIL22!$A$7:$AU$38,7,0)</f>
        <v>0</v>
      </c>
      <c r="G11" s="7" t="str">
        <f>VLOOKUP($A11,[10]HISTOJUIL22!$A$7:$AU$38,8,0)</f>
        <v>BANQUE</v>
      </c>
      <c r="H11" s="7">
        <f>VLOOKUP($A11,[10]HISTOJUIL22!$A$7:$AU$38,35,0)</f>
        <v>0</v>
      </c>
      <c r="I11" s="7">
        <f>VLOOKUP($A11,[10]HISTOJUIL22!$A$7:$AU$38,38,0)</f>
        <v>0</v>
      </c>
      <c r="J11" s="7">
        <f>IF(I11=0,0,VLOOKUP($A11,[10]HISTOJUIL22!$A$7:$AU$38,42,0))</f>
        <v>0</v>
      </c>
      <c r="K11" s="7">
        <f>VLOOKUP($A11,[10]HISTOJUIL22!$A$7:$AU$38,41,0)</f>
        <v>0</v>
      </c>
      <c r="L11" s="7">
        <f>+TONTJUIN22!H11+TONTJUIN22!I11</f>
        <v>0</v>
      </c>
      <c r="M11" s="7">
        <f>VLOOKUP($A11,[10]HISTOJUIL22!$A$7:$AU$38,16,0)</f>
        <v>0</v>
      </c>
      <c r="N11" s="7" t="str">
        <f>IF(M11&lt;&gt;0,VLOOKUP($A11,[10]HISTOJUIL22!$A$7:$AU$38,8,0),"ECHEC")</f>
        <v>ECHEC</v>
      </c>
      <c r="O11" s="7">
        <f>IF(R11=0,0,VLOOKUP($A11,[10]HISTOJUIL22!$A$7:$AU$38,32,0))</f>
        <v>0</v>
      </c>
      <c r="P11" s="7">
        <f>VLOOKUP($A11,[10]HISTOJUIL22!$A$7:$AU$38,33,0)</f>
        <v>0</v>
      </c>
      <c r="Q11" s="7">
        <f t="shared" si="0"/>
        <v>0</v>
      </c>
      <c r="R11" s="7">
        <f>VLOOKUP($A11,[10]HISTOJUIL22!$A$7:$AU$38,29,0)</f>
        <v>0</v>
      </c>
      <c r="S11" s="21">
        <f t="shared" si="2"/>
        <v>0</v>
      </c>
    </row>
    <row r="12" spans="1:19" x14ac:dyDescent="0.25">
      <c r="A12" s="1" t="s">
        <v>13</v>
      </c>
      <c r="B12" s="7">
        <f>IF(D12=0,0,VLOOKUP($A12,[8]HISTOJANV22!$A$6:$AZ$36,9,0))</f>
        <v>1</v>
      </c>
      <c r="C12" s="1" t="str">
        <f>VLOOKUP(A12,[9]LISTADHERENT!A$5:H$60,3,0)</f>
        <v>DONHOU DAVID</v>
      </c>
      <c r="D12" s="7">
        <f t="shared" si="1"/>
        <v>23000</v>
      </c>
      <c r="E12" s="7">
        <f>D12+VLOOKUP($A12,[10]HISTOJUIL22!$A$7:$AU$38,45,0)+F12</f>
        <v>35000</v>
      </c>
      <c r="F12" s="7">
        <f>VLOOKUP($A12,[10]HISTOJUIL22!$A$7:$AU$38,7,0)</f>
        <v>0</v>
      </c>
      <c r="G12" s="7" t="str">
        <f>VLOOKUP($A12,[10]HISTOJUIL22!$A$7:$AU$38,8,0)</f>
        <v>BANQUE</v>
      </c>
      <c r="H12" s="7">
        <f>VLOOKUP($A12,[10]HISTOJUIL22!$A$7:$AU$38,35,0)</f>
        <v>0</v>
      </c>
      <c r="I12" s="7">
        <f>VLOOKUP($A12,[10]HISTOJUIL22!$A$7:$AU$38,38,0)</f>
        <v>0</v>
      </c>
      <c r="J12" s="7">
        <f>IF(I12=0,0,VLOOKUP($A12,[10]HISTOJUIL22!$A$7:$AU$38,42,0))</f>
        <v>0</v>
      </c>
      <c r="K12" s="7">
        <f>VLOOKUP($A12,[10]HISTOJUIL22!$A$7:$AU$38,41,0)</f>
        <v>0</v>
      </c>
      <c r="L12" s="7">
        <f>+TONTJUIN22!H12+TONTJUIN22!I12</f>
        <v>0</v>
      </c>
      <c r="M12" s="7">
        <f>VLOOKUP($A12,[10]HISTOJUIL22!$A$7:$AU$38,16,0)</f>
        <v>0</v>
      </c>
      <c r="N12" s="7" t="str">
        <f>IF(M12&lt;&gt;0,VLOOKUP($A12,[10]HISTOJUIL22!$A$7:$AU$38,8,0),"ECHEC")</f>
        <v>ECHEC</v>
      </c>
      <c r="O12" s="7">
        <f>IF(R12=0,0,VLOOKUP($A12,[10]HISTOJUIL22!$A$7:$AU$38,32,0))</f>
        <v>0</v>
      </c>
      <c r="P12" s="7">
        <f>VLOOKUP($A12,[10]HISTOJUIL22!$A$7:$AU$38,33,0)</f>
        <v>0</v>
      </c>
      <c r="Q12" s="7">
        <f t="shared" si="0"/>
        <v>0</v>
      </c>
      <c r="R12" s="7">
        <f>VLOOKUP($A12,[10]HISTOJUIL22!$A$7:$AU$38,29,0)</f>
        <v>0</v>
      </c>
      <c r="S12" s="21">
        <f t="shared" si="2"/>
        <v>0</v>
      </c>
    </row>
    <row r="13" spans="1:19" x14ac:dyDescent="0.25">
      <c r="A13" s="1" t="s">
        <v>15</v>
      </c>
      <c r="B13" s="7">
        <f>IF(D13=0,0,VLOOKUP($A13,[8]HISTOJANV22!$A$6:$AZ$36,9,0))</f>
        <v>1</v>
      </c>
      <c r="C13" s="1" t="str">
        <f>VLOOKUP(A13,[9]LISTADHERENT!A$5:H$60,3,0)</f>
        <v>HENGUE PAUL OMER</v>
      </c>
      <c r="D13" s="7">
        <f t="shared" si="1"/>
        <v>23000</v>
      </c>
      <c r="E13" s="7">
        <f>D13+VLOOKUP($A13,[10]HISTOJUIL22!$A$7:$AU$38,45,0)+F13</f>
        <v>30000</v>
      </c>
      <c r="F13" s="7">
        <f>VLOOKUP($A13,[10]HISTOJUIL22!$A$7:$AU$38,7,0)</f>
        <v>0</v>
      </c>
      <c r="G13" s="7" t="str">
        <f>VLOOKUP($A13,[10]HISTOJUIL22!$A$7:$AU$38,8,0)</f>
        <v>BANQUE</v>
      </c>
      <c r="H13" s="7">
        <f>VLOOKUP($A13,[10]HISTOJUIL22!$A$7:$AU$38,35,0)</f>
        <v>0</v>
      </c>
      <c r="I13" s="7">
        <f>VLOOKUP($A13,[10]HISTOJUIL22!$A$7:$AU$38,38,0)</f>
        <v>0</v>
      </c>
      <c r="J13" s="7">
        <f>IF(I13=0,0,VLOOKUP($A13,[10]HISTOJUIL22!$A$7:$AU$38,42,0))</f>
        <v>0</v>
      </c>
      <c r="K13" s="7">
        <f>VLOOKUP($A13,[10]HISTOJUIL22!$A$7:$AU$38,41,0)</f>
        <v>0</v>
      </c>
      <c r="L13" s="7">
        <f>+TONTJUIN22!H13+TONTJUIN22!I13</f>
        <v>0</v>
      </c>
      <c r="M13" s="7">
        <f>VLOOKUP($A13,[10]HISTOJUIL22!$A$7:$AU$38,16,0)</f>
        <v>0</v>
      </c>
      <c r="N13" s="7" t="str">
        <f>IF(M13&lt;&gt;0,VLOOKUP($A13,[10]HISTOJUIL22!$A$7:$AU$38,8,0),"ECHEC")</f>
        <v>ECHEC</v>
      </c>
      <c r="O13" s="7">
        <f>IF(R13=0,0,VLOOKUP($A13,[10]HISTOJUIL22!$A$7:$AU$38,32,0))</f>
        <v>0</v>
      </c>
      <c r="P13" s="7">
        <f>VLOOKUP($A13,[10]HISTOJUIL22!$A$7:$AU$38,33,0)</f>
        <v>0</v>
      </c>
      <c r="Q13" s="7">
        <f t="shared" si="0"/>
        <v>0</v>
      </c>
      <c r="R13" s="7">
        <f>VLOOKUP($A13,[10]HISTOJUIL22!$A$7:$AU$38,29,0)</f>
        <v>0</v>
      </c>
      <c r="S13" s="21">
        <f t="shared" si="2"/>
        <v>0</v>
      </c>
    </row>
    <row r="14" spans="1:19" x14ac:dyDescent="0.25">
      <c r="A14" s="1" t="s">
        <v>16</v>
      </c>
      <c r="B14" s="7">
        <f>IF(D14=0,0,VLOOKUP($A14,[8]HISTOJANV22!$A$6:$AZ$36,9,0))</f>
        <v>1</v>
      </c>
      <c r="C14" s="1" t="str">
        <f>VLOOKUP(A14,[9]LISTADHERENT!A$5:H$60,3,0)</f>
        <v>HOTCHO BENJAMIN</v>
      </c>
      <c r="D14" s="7">
        <f t="shared" si="1"/>
        <v>23000</v>
      </c>
      <c r="E14" s="7">
        <f>D14+VLOOKUP($A14,[10]HISTOJUIL22!$A$7:$AU$38,45,0)+F14</f>
        <v>75000</v>
      </c>
      <c r="F14" s="7">
        <f>VLOOKUP($A14,[10]HISTOJUIL22!$A$7:$AU$38,7,0)</f>
        <v>0</v>
      </c>
      <c r="G14" s="7" t="str">
        <f>VLOOKUP($A14,[10]HISTOJUIL22!$A$7:$AU$38,8,0)</f>
        <v>BANQUE</v>
      </c>
      <c r="H14" s="7">
        <f>VLOOKUP($A14,[10]HISTOJUIL22!$A$7:$AU$38,35,0)</f>
        <v>0</v>
      </c>
      <c r="I14" s="7">
        <f>VLOOKUP($A14,[10]HISTOJUIL22!$A$7:$AU$38,38,0)</f>
        <v>0</v>
      </c>
      <c r="J14" s="7">
        <f>IF(I14=0,0,VLOOKUP($A14,[10]HISTOJUIL22!$A$7:$AU$38,42,0))</f>
        <v>0</v>
      </c>
      <c r="K14" s="7">
        <f>VLOOKUP($A14,[10]HISTOJUIL22!$A$7:$AU$38,41,0)</f>
        <v>0</v>
      </c>
      <c r="L14" s="7">
        <f>+TONTJUIN22!H14+TONTJUIN22!I14</f>
        <v>0</v>
      </c>
      <c r="M14" s="7">
        <f>VLOOKUP($A14,[10]HISTOJUIL22!$A$7:$AU$38,16,0)</f>
        <v>0</v>
      </c>
      <c r="N14" s="7" t="str">
        <f>IF(M14&lt;&gt;0,VLOOKUP($A14,[10]HISTOJUIL22!$A$7:$AU$38,8,0),"ECHEC")</f>
        <v>ECHEC</v>
      </c>
      <c r="O14" s="7">
        <f>IF(R14=0,0,VLOOKUP($A14,[10]HISTOJUIL22!$A$7:$AU$38,32,0))</f>
        <v>0</v>
      </c>
      <c r="P14" s="7">
        <f>VLOOKUP($A14,[10]HISTOJUIL22!$A$7:$AU$38,33,0)</f>
        <v>0</v>
      </c>
      <c r="Q14" s="7">
        <f t="shared" si="0"/>
        <v>0</v>
      </c>
      <c r="R14" s="7">
        <f>VLOOKUP($A14,[10]HISTOJUIL22!$A$7:$AU$38,29,0)</f>
        <v>0</v>
      </c>
      <c r="S14" s="21">
        <f t="shared" si="2"/>
        <v>0</v>
      </c>
    </row>
    <row r="15" spans="1:19" x14ac:dyDescent="0.25">
      <c r="A15" s="1" t="s">
        <v>17</v>
      </c>
      <c r="B15" s="7">
        <f>IF(D15=0,0,VLOOKUP($A15,[8]HISTOJANV22!$A$6:$AZ$36,9,0))</f>
        <v>1</v>
      </c>
      <c r="C15" s="1" t="str">
        <f>VLOOKUP(A15,[9]LISTADHERENT!A$5:H$60,3,0)</f>
        <v>KOUAMOU MOISE</v>
      </c>
      <c r="D15" s="7">
        <f t="shared" si="1"/>
        <v>23000</v>
      </c>
      <c r="E15" s="7">
        <f>D15+VLOOKUP($A15,[10]HISTOJUIL22!$A$7:$AU$38,45,0)+F15</f>
        <v>30000</v>
      </c>
      <c r="F15" s="7">
        <f>VLOOKUP($A15,[10]HISTOJUIL22!$A$7:$AU$38,7,0)</f>
        <v>0</v>
      </c>
      <c r="G15" s="7" t="str">
        <f>VLOOKUP($A15,[10]HISTOJUIL22!$A$7:$AU$38,8,0)</f>
        <v>BANQUE</v>
      </c>
      <c r="H15" s="7">
        <f>VLOOKUP($A15,[10]HISTOJUIL22!$A$7:$AU$38,35,0)</f>
        <v>0</v>
      </c>
      <c r="I15" s="7">
        <f>VLOOKUP($A15,[10]HISTOJUIL22!$A$7:$AU$38,38,0)</f>
        <v>0</v>
      </c>
      <c r="J15" s="7">
        <f>IF(I15=0,0,VLOOKUP($A15,[10]HISTOJUIL22!$A$7:$AU$38,42,0))</f>
        <v>0</v>
      </c>
      <c r="K15" s="7">
        <f>VLOOKUP($A15,[10]HISTOJUIL22!$A$7:$AU$38,41,0)</f>
        <v>0</v>
      </c>
      <c r="L15" s="7">
        <f>+TONTJUIN22!H15+TONTJUIN22!I15</f>
        <v>0</v>
      </c>
      <c r="M15" s="7">
        <f>VLOOKUP($A15,[10]HISTOJUIL22!$A$7:$AU$38,16,0)</f>
        <v>0</v>
      </c>
      <c r="N15" s="7" t="str">
        <f>IF(M15&lt;&gt;0,VLOOKUP($A15,[10]HISTOJUIL22!$A$7:$AU$38,8,0),"ECHEC")</f>
        <v>ECHEC</v>
      </c>
      <c r="O15" s="7">
        <f>IF(R15=0,0,VLOOKUP($A15,[10]HISTOJUIL22!$A$7:$AU$38,32,0))</f>
        <v>0</v>
      </c>
      <c r="P15" s="7">
        <f>VLOOKUP($A15,[10]HISTOJUIL22!$A$7:$AU$38,33,0)</f>
        <v>0</v>
      </c>
      <c r="Q15" s="7">
        <f t="shared" si="0"/>
        <v>0</v>
      </c>
      <c r="R15" s="7">
        <f>VLOOKUP($A15,[10]HISTOJUIL22!$A$7:$AU$38,29,0)</f>
        <v>0</v>
      </c>
      <c r="S15" s="21">
        <f t="shared" si="2"/>
        <v>0</v>
      </c>
    </row>
    <row r="16" spans="1:19" x14ac:dyDescent="0.25">
      <c r="A16" s="1" t="s">
        <v>18</v>
      </c>
      <c r="B16" s="7">
        <f>IF(D16=0,0,VLOOKUP($A16,[8]HISTOJANV22!$A$6:$AZ$36,9,0))</f>
        <v>1</v>
      </c>
      <c r="C16" s="1" t="str">
        <f>VLOOKUP(A16,[9]LISTADHERENT!A$5:H$60,3,0)</f>
        <v>KOUATCHO MESSACK</v>
      </c>
      <c r="D16" s="7">
        <f t="shared" si="1"/>
        <v>23000</v>
      </c>
      <c r="E16" s="7">
        <f>D16+VLOOKUP($A16,[10]HISTOJUIL22!$A$7:$AU$38,45,0)+F16</f>
        <v>27000</v>
      </c>
      <c r="F16" s="7">
        <f>VLOOKUP($A16,[10]HISTOJUIL22!$A$7:$AU$38,7,0)</f>
        <v>0</v>
      </c>
      <c r="G16" s="7" t="str">
        <f>VLOOKUP($A16,[10]HISTOJUIL22!$A$7:$AU$38,8,0)</f>
        <v>BANQUE</v>
      </c>
      <c r="H16" s="7">
        <f>VLOOKUP($A16,[10]HISTOJUIL22!$A$7:$AU$38,35,0)</f>
        <v>0</v>
      </c>
      <c r="I16" s="7">
        <f>VLOOKUP($A16,[10]HISTOJUIL22!$A$7:$AU$38,38,0)</f>
        <v>0</v>
      </c>
      <c r="J16" s="7">
        <f>IF(I16=0,0,VLOOKUP($A16,[10]HISTOJUIL22!$A$7:$AU$38,42,0))</f>
        <v>0</v>
      </c>
      <c r="K16" s="7">
        <f>VLOOKUP($A16,[10]HISTOJUIL22!$A$7:$AU$38,41,0)</f>
        <v>0</v>
      </c>
      <c r="L16" s="7">
        <f>+TONTJUIN22!H16+TONTJUIN22!I16</f>
        <v>49500</v>
      </c>
      <c r="M16" s="7">
        <f>VLOOKUP($A16,[10]HISTOJUIL22!$A$7:$AU$38,16,0)</f>
        <v>49500</v>
      </c>
      <c r="N16" s="7" t="str">
        <f>IF(M16&lt;&gt;0,VLOOKUP($A16,[10]HISTOJUIL22!$A$7:$AU$38,8,0),"ECHEC")</f>
        <v>BANQUE</v>
      </c>
      <c r="O16" s="7">
        <f>IF(R16=0,0,VLOOKUP($A16,[10]HISTOJUIL22!$A$7:$AU$38,32,0))</f>
        <v>0</v>
      </c>
      <c r="P16" s="7">
        <f>VLOOKUP($A16,[10]HISTOJUIL22!$A$7:$AU$38,33,0)</f>
        <v>0</v>
      </c>
      <c r="Q16" s="7">
        <f t="shared" si="0"/>
        <v>0</v>
      </c>
      <c r="R16" s="7">
        <f>VLOOKUP($A16,[10]HISTOJUIL22!$A$7:$AU$38,29,0)</f>
        <v>0</v>
      </c>
      <c r="S16" s="21">
        <f t="shared" si="2"/>
        <v>0</v>
      </c>
    </row>
    <row r="17" spans="1:19" x14ac:dyDescent="0.25">
      <c r="A17" s="1" t="s">
        <v>19</v>
      </c>
      <c r="B17" s="7">
        <f>IF(D17=0,0,VLOOKUP($A17,[8]HISTOJANV22!$A$6:$AZ$36,9,0))</f>
        <v>1</v>
      </c>
      <c r="C17" s="1" t="str">
        <f>VLOOKUP(A17,[9]LISTADHERENT!A$5:H$60,3,0)</f>
        <v>LOWE JEAN</v>
      </c>
      <c r="D17" s="7">
        <f t="shared" si="1"/>
        <v>23000</v>
      </c>
      <c r="E17" s="7">
        <f>D17+VLOOKUP($A17,[10]HISTOJUIL22!$A$7:$AU$38,45,0)+F17</f>
        <v>30000</v>
      </c>
      <c r="F17" s="7">
        <f>VLOOKUP($A17,[10]HISTOJUIL22!$A$7:$AU$38,7,0)</f>
        <v>0</v>
      </c>
      <c r="G17" s="7" t="str">
        <f>VLOOKUP($A17,[10]HISTOJUIL22!$A$7:$AU$38,8,0)</f>
        <v>BANQUE</v>
      </c>
      <c r="H17" s="7">
        <f>VLOOKUP($A17,[10]HISTOJUIL22!$A$7:$AU$38,35,0)</f>
        <v>0</v>
      </c>
      <c r="I17" s="7">
        <f>VLOOKUP($A17,[10]HISTOJUIL22!$A$7:$AU$38,38,0)</f>
        <v>0</v>
      </c>
      <c r="J17" s="7">
        <f>IF(I17=0,0,VLOOKUP($A17,[10]HISTOJUIL22!$A$7:$AU$38,42,0))</f>
        <v>0</v>
      </c>
      <c r="K17" s="7">
        <f>VLOOKUP($A17,[10]HISTOJUIL22!$A$7:$AU$38,41,0)</f>
        <v>0</v>
      </c>
      <c r="L17" s="7">
        <f>+TONTJUIN22!H17+TONTJUIN22!I17</f>
        <v>0</v>
      </c>
      <c r="M17" s="7">
        <f>VLOOKUP($A17,[10]HISTOJUIL22!$A$7:$AU$38,16,0)</f>
        <v>0</v>
      </c>
      <c r="N17" s="7" t="str">
        <f>IF(M17&lt;&gt;0,VLOOKUP($A17,[10]HISTOJUIL22!$A$7:$AU$38,8,0),"ECHEC")</f>
        <v>ECHEC</v>
      </c>
      <c r="O17" s="7">
        <f>IF(R17=0,0,VLOOKUP($A17,[10]HISTOJUIL22!$A$7:$AU$38,32,0))</f>
        <v>0</v>
      </c>
      <c r="P17" s="7">
        <f>VLOOKUP($A17,[10]HISTOJUIL22!$A$7:$AU$38,33,0)</f>
        <v>0</v>
      </c>
      <c r="Q17" s="7">
        <f t="shared" si="0"/>
        <v>0</v>
      </c>
      <c r="R17" s="7">
        <f>VLOOKUP($A17,[10]HISTOJUIL22!$A$7:$AU$38,29,0)</f>
        <v>0</v>
      </c>
      <c r="S17" s="21">
        <f t="shared" si="2"/>
        <v>0</v>
      </c>
    </row>
    <row r="18" spans="1:19" x14ac:dyDescent="0.25">
      <c r="A18" s="1" t="s">
        <v>49</v>
      </c>
      <c r="B18" s="7">
        <f>IF(D18=0,0,VLOOKUP($A18,[8]HISTOJANV22!$A$6:$AZ$36,9,0))</f>
        <v>1</v>
      </c>
      <c r="C18" s="1" t="str">
        <f>VLOOKUP(A18,[9]LISTADHERENT!A$5:H$60,3,0)</f>
        <v>MBOGNING TUGMA GUY</v>
      </c>
      <c r="D18" s="7">
        <f t="shared" si="1"/>
        <v>23000</v>
      </c>
      <c r="E18" s="7">
        <f>D18+VLOOKUP($A18,[10]HISTOJUIL22!$A$7:$AU$38,45,0)+F18</f>
        <v>30000</v>
      </c>
      <c r="F18" s="7">
        <f>VLOOKUP($A18,[10]HISTOJUIL22!$A$7:$AU$38,7,0)</f>
        <v>0</v>
      </c>
      <c r="G18" s="7" t="str">
        <f>VLOOKUP($A18,[10]HISTOJUIL22!$A$7:$AU$38,8,0)</f>
        <v>BANQUE</v>
      </c>
      <c r="H18" s="7">
        <f>VLOOKUP($A18,[10]HISTOJUIL22!$A$7:$AU$38,35,0)</f>
        <v>0</v>
      </c>
      <c r="I18" s="7">
        <f>VLOOKUP($A18,[10]HISTOJUIL22!$A$7:$AU$38,38,0)</f>
        <v>0</v>
      </c>
      <c r="J18" s="7">
        <f>IF(I18=0,0,VLOOKUP($A18,[10]HISTOJUIL22!$A$7:$AU$38,42,0))</f>
        <v>0</v>
      </c>
      <c r="K18" s="7">
        <f>VLOOKUP($A18,[10]HISTOJUIL22!$A$7:$AU$38,41,0)</f>
        <v>0</v>
      </c>
      <c r="L18" s="7">
        <f>+TONTJUIN22!H18+TONTJUIN22!I18</f>
        <v>0</v>
      </c>
      <c r="M18" s="7">
        <f>VLOOKUP($A18,[10]HISTOJUIL22!$A$7:$AU$38,16,0)</f>
        <v>0</v>
      </c>
      <c r="N18" s="7" t="str">
        <f>IF(M18&lt;&gt;0,VLOOKUP($A18,[10]HISTOJUIL22!$A$7:$AU$38,8,0),"ECHEC")</f>
        <v>ECHEC</v>
      </c>
      <c r="O18" s="7">
        <f>IF(R18=0,0,VLOOKUP($A18,[10]HISTOJUIL22!$A$7:$AU$38,32,0))</f>
        <v>0</v>
      </c>
      <c r="P18" s="7">
        <f>VLOOKUP($A18,[10]HISTOJUIL22!$A$7:$AU$38,33,0)</f>
        <v>0</v>
      </c>
      <c r="Q18" s="7">
        <f t="shared" si="0"/>
        <v>0</v>
      </c>
      <c r="R18" s="7">
        <f>VLOOKUP($A18,[10]HISTOJUIL22!$A$7:$AU$38,29,0)</f>
        <v>0</v>
      </c>
      <c r="S18" s="21">
        <f t="shared" si="2"/>
        <v>0</v>
      </c>
    </row>
    <row r="19" spans="1:19" x14ac:dyDescent="0.25">
      <c r="A19" s="1" t="s">
        <v>30</v>
      </c>
      <c r="B19" s="7">
        <f>IF(D19=0,0,VLOOKUP($A19,[8]HISTOJANV22!$A$6:$AZ$36,9,0))</f>
        <v>1</v>
      </c>
      <c r="C19" s="1" t="str">
        <f>VLOOKUP(A19,[9]LISTADHERENT!A$5:H$60,3,0)</f>
        <v>NANGUEN MARTIN</v>
      </c>
      <c r="D19" s="7">
        <f t="shared" si="1"/>
        <v>23000</v>
      </c>
      <c r="E19" s="7">
        <f>D19+VLOOKUP($A19,[10]HISTOJUIL22!$A$7:$AU$38,45,0)+F19</f>
        <v>30000</v>
      </c>
      <c r="F19" s="7">
        <f>VLOOKUP($A19,[10]HISTOJUIL22!$A$7:$AU$38,7,0)</f>
        <v>0</v>
      </c>
      <c r="G19" s="7" t="str">
        <f>VLOOKUP($A19,[10]HISTOJUIL22!$A$7:$AU$38,8,0)</f>
        <v>BANQUE</v>
      </c>
      <c r="H19" s="7">
        <f>VLOOKUP($A19,[10]HISTOJUIL22!$A$7:$AU$38,35,0)</f>
        <v>0</v>
      </c>
      <c r="I19" s="7">
        <f>VLOOKUP($A19,[10]HISTOJUIL22!$A$7:$AU$38,38,0)</f>
        <v>0</v>
      </c>
      <c r="J19" s="7">
        <f>IF(I19=0,0,VLOOKUP($A19,[10]HISTOJUIL22!$A$7:$AU$38,42,0))</f>
        <v>0</v>
      </c>
      <c r="K19" s="7">
        <f>VLOOKUP($A19,[10]HISTOJUIL22!$A$7:$AU$38,41,0)</f>
        <v>0</v>
      </c>
      <c r="L19" s="7">
        <f>+TONTJUIN22!H19+TONTJUIN22!I19</f>
        <v>0</v>
      </c>
      <c r="M19" s="7">
        <f>VLOOKUP($A19,[10]HISTOJUIL22!$A$7:$AU$38,16,0)</f>
        <v>0</v>
      </c>
      <c r="N19" s="7" t="str">
        <f>IF(M19&lt;&gt;0,VLOOKUP($A19,[10]HISTOJUIL22!$A$7:$AU$38,8,0),"ECHEC")</f>
        <v>ECHEC</v>
      </c>
      <c r="O19" s="7">
        <f>IF(R19=0,0,VLOOKUP($A19,[10]HISTOJUIL22!$A$7:$AU$38,32,0))</f>
        <v>0</v>
      </c>
      <c r="P19" s="7">
        <f>VLOOKUP($A19,[10]HISTOJUIL22!$A$7:$AU$38,33,0)</f>
        <v>0</v>
      </c>
      <c r="Q19" s="7">
        <f t="shared" si="0"/>
        <v>0</v>
      </c>
      <c r="R19" s="7">
        <f>VLOOKUP($A19,[10]HISTOJUIL22!$A$7:$AU$38,29,0)</f>
        <v>0</v>
      </c>
      <c r="S19" s="21">
        <f t="shared" si="2"/>
        <v>0</v>
      </c>
    </row>
    <row r="20" spans="1:19" x14ac:dyDescent="0.25">
      <c r="A20" s="1" t="s">
        <v>20</v>
      </c>
      <c r="B20" s="7">
        <f>IF(D20=0,0,VLOOKUP($A20,[8]HISTOJANV22!$A$6:$AZ$36,9,0))</f>
        <v>1</v>
      </c>
      <c r="C20" s="1" t="str">
        <f>VLOOKUP(A20,[9]LISTADHERENT!A$5:H$60,3,0)</f>
        <v>NANKAM APPOLINAIRE</v>
      </c>
      <c r="D20" s="7">
        <f t="shared" si="1"/>
        <v>23000</v>
      </c>
      <c r="E20" s="7">
        <f>D21+VLOOKUP($A21,[10]HISTOJUIL22!$A$7:$AU$38,45,0)+F21</f>
        <v>50000</v>
      </c>
      <c r="F20" s="7">
        <f>VLOOKUP($A21,[10]HISTOJUIL22!$A$7:$AU$38,7,0)</f>
        <v>0</v>
      </c>
      <c r="G20" s="7" t="str">
        <f>VLOOKUP($A21,[10]HISTOJUIL22!$A$7:$AU$38,8,0)</f>
        <v>BANQUE</v>
      </c>
      <c r="H20" s="7">
        <f>VLOOKUP($A21,[10]HISTOJUIL22!$A$7:$AU$38,35,0)</f>
        <v>0</v>
      </c>
      <c r="I20" s="7">
        <f>VLOOKUP($A21,[10]HISTOJUIL22!$A$7:$AU$38,38,0)</f>
        <v>0</v>
      </c>
      <c r="J20" s="7">
        <f>IF(I21=0,0,VLOOKUP($A21,[10]HISTOJUIL22!$A$7:$AU$38,42,0))</f>
        <v>0</v>
      </c>
      <c r="K20" s="7">
        <f>VLOOKUP($A21,[10]HISTOJUIL22!$A$7:$AU$38,41,0)</f>
        <v>0</v>
      </c>
      <c r="L20" s="7">
        <f>+TONTJUIN22!H20+TONTJUIN22!I20</f>
        <v>0</v>
      </c>
      <c r="M20" s="7">
        <f>VLOOKUP($A21,[10]HISTOJUIL22!$A$7:$AU$38,16,0)</f>
        <v>0</v>
      </c>
      <c r="N20" s="7" t="str">
        <f>IF(M21&lt;&gt;0,VLOOKUP($A21,[10]HISTOJUIL22!$A$7:$AU$38,8,0),"ECHEC")</f>
        <v>ECHEC</v>
      </c>
      <c r="O20" s="7">
        <f>IF(R21=0,0,VLOOKUP($A21,[10]HISTOJUIL22!$A$7:$AU$38,32,0))</f>
        <v>0</v>
      </c>
      <c r="P20" s="7">
        <f>VLOOKUP($A21,[10]HISTOJUIL22!$A$7:$AU$38,33,0)</f>
        <v>0</v>
      </c>
      <c r="Q20" s="7">
        <f>IF(R21=0,0,($C$3-R21))</f>
        <v>0</v>
      </c>
      <c r="R20" s="7">
        <f>VLOOKUP($A21,[10]HISTOJUIL22!$A$7:$AU$38,29,0)</f>
        <v>0</v>
      </c>
      <c r="S20" s="21">
        <f t="shared" si="2"/>
        <v>0</v>
      </c>
    </row>
    <row r="21" spans="1:19" x14ac:dyDescent="0.25">
      <c r="A21" s="1" t="s">
        <v>21</v>
      </c>
      <c r="B21" s="7">
        <f>IF(D21=0,0,VLOOKUP($A21,[8]HISTOJANV22!$A$6:$AZ$36,9,0))</f>
        <v>1</v>
      </c>
      <c r="C21" s="1" t="str">
        <f>VLOOKUP(A21,[9]LISTADHERENT!A$5:H$60,3,0)</f>
        <v>NDJOMO ETIENNE</v>
      </c>
      <c r="D21" s="7">
        <f t="shared" si="1"/>
        <v>23000</v>
      </c>
      <c r="E21" s="7">
        <f>D21+VLOOKUP($A21,[10]HISTOJUIL22!$A$7:$AU$38,45,0)+F21</f>
        <v>50000</v>
      </c>
      <c r="F21" s="7">
        <f>VLOOKUP($A21,[10]HISTOJUIL22!$A$7:$AU$38,7,0)</f>
        <v>0</v>
      </c>
      <c r="G21" s="7" t="str">
        <f>VLOOKUP($A21,[10]HISTOJUIL22!$A$7:$AU$38,8,0)</f>
        <v>BANQUE</v>
      </c>
      <c r="H21" s="7">
        <f>VLOOKUP($A21,[10]HISTOJUIL22!$A$7:$AU$38,35,0)</f>
        <v>0</v>
      </c>
      <c r="I21" s="7">
        <f>VLOOKUP($A21,[10]HISTOJUIL22!$A$7:$AU$38,38,0)</f>
        <v>0</v>
      </c>
      <c r="J21" s="7">
        <f>IF(I21=0,0,VLOOKUP($A21,[10]HISTOJUIL22!$A$7:$AU$38,42,0))</f>
        <v>0</v>
      </c>
      <c r="K21" s="7">
        <f>VLOOKUP($A21,[10]HISTOJUIL22!$A$7:$AU$38,41,0)</f>
        <v>0</v>
      </c>
      <c r="L21" s="7">
        <f>+TONTJUIN22!H21+TONTJUIN22!I21</f>
        <v>0</v>
      </c>
      <c r="M21" s="7">
        <f>VLOOKUP($A21,[10]HISTOJUIL22!$A$7:$AU$38,16,0)</f>
        <v>0</v>
      </c>
      <c r="N21" s="7" t="str">
        <f>IF(M21&lt;&gt;0,VLOOKUP($A21,[10]HISTOJUIL22!$A$7:$AU$38,8,0),"ECHEC")</f>
        <v>ECHEC</v>
      </c>
      <c r="O21" s="7">
        <f>IF(R21=0,0,VLOOKUP($A21,[10]HISTOJUIL22!$A$7:$AU$38,32,0))</f>
        <v>0</v>
      </c>
      <c r="P21" s="7">
        <f>VLOOKUP($A21,[10]HISTOJUIL22!$A$7:$AU$38,33,0)</f>
        <v>0</v>
      </c>
      <c r="Q21" s="7">
        <f t="shared" si="0"/>
        <v>0</v>
      </c>
      <c r="R21" s="7">
        <f>VLOOKUP($A21,[10]HISTOJUIL22!$A$7:$AU$38,29,0)</f>
        <v>0</v>
      </c>
      <c r="S21" s="21">
        <f t="shared" si="2"/>
        <v>0</v>
      </c>
    </row>
    <row r="22" spans="1:19" x14ac:dyDescent="0.25">
      <c r="A22" s="1" t="s">
        <v>22</v>
      </c>
      <c r="B22" s="7">
        <f>IF(D22=0,0,VLOOKUP($A22,[8]HISTOJANV22!$A$6:$AZ$36,9,0))</f>
        <v>1</v>
      </c>
      <c r="C22" s="1" t="str">
        <f>VLOOKUP(A22,[9]LISTADHERENT!A$5:H$60,3,0)</f>
        <v>NGONDIEP CLAUDE</v>
      </c>
      <c r="D22" s="7">
        <f t="shared" si="1"/>
        <v>23000</v>
      </c>
      <c r="E22" s="7">
        <f>D22+VLOOKUP($A22,[10]HISTOJUIL22!$A$7:$AU$38,45,0)+F22</f>
        <v>33000</v>
      </c>
      <c r="F22" s="7">
        <f>VLOOKUP($A22,[10]HISTOJUIL22!$A$7:$AU$38,7,0)</f>
        <v>0</v>
      </c>
      <c r="G22" s="7" t="str">
        <f>VLOOKUP($A22,[10]HISTOJUIL22!$A$7:$AU$38,8,0)</f>
        <v>BANQUE</v>
      </c>
      <c r="H22" s="7">
        <f>VLOOKUP($A22,[10]HISTOJUIL22!$A$7:$AU$38,35,0)</f>
        <v>0</v>
      </c>
      <c r="I22" s="7">
        <f>VLOOKUP($A22,[10]HISTOJUIL22!$A$7:$AU$38,38,0)</f>
        <v>0</v>
      </c>
      <c r="J22" s="7">
        <f>IF(I22=0,0,VLOOKUP($A22,[10]HISTOJUIL22!$A$7:$AU$38,42,0))</f>
        <v>0</v>
      </c>
      <c r="K22" s="7">
        <f>VLOOKUP($A22,[10]HISTOJUIL22!$A$7:$AU$38,41,0)</f>
        <v>0</v>
      </c>
      <c r="L22" s="7">
        <f>+TONTJUIN22!H22+TONTJUIN22!I22</f>
        <v>0</v>
      </c>
      <c r="M22" s="7">
        <f>VLOOKUP($A22,[10]HISTOJUIL22!$A$7:$AU$38,16,0)</f>
        <v>0</v>
      </c>
      <c r="N22" s="7" t="str">
        <f>IF(M22&lt;&gt;0,VLOOKUP($A22,[10]HISTOJUIL22!$A$7:$AU$38,8,0),"ECHEC")</f>
        <v>ECHEC</v>
      </c>
      <c r="O22" s="7">
        <f>IF(R22=0,0,VLOOKUP($A22,[10]HISTOJUIL22!$A$7:$AU$38,32,0))</f>
        <v>0</v>
      </c>
      <c r="P22" s="7">
        <f>VLOOKUP($A22,[10]HISTOJUIL22!$A$7:$AU$38,33,0)</f>
        <v>0</v>
      </c>
      <c r="Q22" s="7">
        <f t="shared" si="0"/>
        <v>0</v>
      </c>
      <c r="R22" s="7">
        <f>VLOOKUP($A22,[10]HISTOJUIL22!$A$7:$AU$38,29,0)</f>
        <v>0</v>
      </c>
      <c r="S22" s="21">
        <f t="shared" si="2"/>
        <v>0</v>
      </c>
    </row>
    <row r="23" spans="1:19" x14ac:dyDescent="0.25">
      <c r="A23" s="1" t="s">
        <v>23</v>
      </c>
      <c r="B23" s="7">
        <f>IF(D23=0,0,VLOOKUP($A23,[8]HISTOJANV22!$A$6:$AZ$36,9,0))</f>
        <v>1</v>
      </c>
      <c r="C23" s="1" t="str">
        <f>VLOOKUP(A23,[9]LISTADHERENT!A$5:H$60,3,0)</f>
        <v>NGUIEMEGNI MATHIEU BLAISE</v>
      </c>
      <c r="D23" s="7">
        <f t="shared" si="1"/>
        <v>23000</v>
      </c>
      <c r="E23" s="7">
        <f>D23+VLOOKUP($A23,[10]HISTOJUIL22!$A$7:$AU$38,45,0)+F23</f>
        <v>34000</v>
      </c>
      <c r="F23" s="7">
        <f>VLOOKUP($A23,[10]HISTOJUIL22!$A$7:$AU$38,7,0)</f>
        <v>0</v>
      </c>
      <c r="G23" s="7" t="str">
        <f>VLOOKUP($A23,[10]HISTOJUIL22!$A$7:$AU$38,8,0)</f>
        <v>BANQUE</v>
      </c>
      <c r="H23" s="7">
        <f>VLOOKUP($A23,[10]HISTOJUIL22!$A$7:$AU$38,35,0)</f>
        <v>0</v>
      </c>
      <c r="I23" s="7">
        <f>VLOOKUP($A23,[10]HISTOJUIL22!$A$7:$AU$38,38,0)</f>
        <v>0</v>
      </c>
      <c r="J23" s="7">
        <f>IF(I23=0,0,VLOOKUP($A23,[10]HISTOJUIL22!$A$7:$AU$38,42,0))</f>
        <v>0</v>
      </c>
      <c r="K23" s="7">
        <f>VLOOKUP($A23,[10]HISTOJUIL22!$A$7:$AU$38,41,0)</f>
        <v>0</v>
      </c>
      <c r="L23" s="7">
        <f>+TONTJUIN22!H23+TONTJUIN22!I23</f>
        <v>0</v>
      </c>
      <c r="M23" s="7">
        <f>VLOOKUP($A23,[10]HISTOJUIL22!$A$7:$AU$38,16,0)</f>
        <v>0</v>
      </c>
      <c r="N23" s="7" t="str">
        <f>IF(M23&lt;&gt;0,VLOOKUP($A23,[10]HISTOJUIL22!$A$7:$AU$38,8,0),"ECHEC")</f>
        <v>ECHEC</v>
      </c>
      <c r="O23" s="7">
        <f>IF(R23=0,0,VLOOKUP($A23,[10]HISTOJUIL22!$A$7:$AU$38,32,0))</f>
        <v>0</v>
      </c>
      <c r="P23" s="7">
        <f>VLOOKUP($A23,[10]HISTOJUIL22!$A$7:$AU$38,33,0)</f>
        <v>0</v>
      </c>
      <c r="Q23" s="7">
        <f t="shared" si="0"/>
        <v>0</v>
      </c>
      <c r="R23" s="7">
        <f>VLOOKUP($A23,[10]HISTOJUIL22!$A$7:$AU$38,29,0)</f>
        <v>0</v>
      </c>
      <c r="S23" s="21">
        <f t="shared" si="2"/>
        <v>0</v>
      </c>
    </row>
    <row r="24" spans="1:19" x14ac:dyDescent="0.25">
      <c r="A24" s="1" t="s">
        <v>24</v>
      </c>
      <c r="B24" s="7">
        <f>IF(D24=0,0,VLOOKUP($A24,[8]HISTOJANV22!$A$6:$AZ$36,9,0))</f>
        <v>1</v>
      </c>
      <c r="C24" s="1" t="str">
        <f>VLOOKUP(A24,[9]LISTADHERENT!A$5:H$60,3,0)</f>
        <v>NKAMGANG JUSTIN DEJOLIE</v>
      </c>
      <c r="D24" s="7">
        <f t="shared" si="1"/>
        <v>23000</v>
      </c>
      <c r="E24" s="7">
        <f>D24+VLOOKUP($A24,[10]HISTOJUIL22!$A$7:$AU$38,45,0)+F24</f>
        <v>33000</v>
      </c>
      <c r="F24" s="7">
        <f>VLOOKUP($A24,[10]HISTOJUIL22!$A$7:$AU$38,7,0)</f>
        <v>3000</v>
      </c>
      <c r="G24" s="7" t="str">
        <f>VLOOKUP($A24,[10]HISTOJUIL22!$A$7:$AU$38,8,0)</f>
        <v>BANQUE</v>
      </c>
      <c r="H24" s="7">
        <f>VLOOKUP($A24,[10]HISTOJUIL22!$A$7:$AU$38,35,0)</f>
        <v>0</v>
      </c>
      <c r="I24" s="7">
        <f>VLOOKUP($A24,[10]HISTOJUIL22!$A$7:$AU$38,38,0)</f>
        <v>0</v>
      </c>
      <c r="J24" s="7">
        <f>IF(I24=0,0,VLOOKUP($A24,[10]HISTOJUIL22!$A$7:$AU$38,42,0))</f>
        <v>0</v>
      </c>
      <c r="K24" s="7">
        <f>VLOOKUP($A24,[10]HISTOJUIL22!$A$7:$AU$38,41,0)</f>
        <v>0</v>
      </c>
      <c r="L24" s="7">
        <f>+TONTJUIN22!H24+TONTJUIN22!I24</f>
        <v>30500</v>
      </c>
      <c r="M24" s="7">
        <f>VLOOKUP($A24,[10]HISTOJUIL22!$A$7:$AU$38,16,0)</f>
        <v>30500</v>
      </c>
      <c r="N24" s="7" t="str">
        <f>IF(M24&lt;&gt;0,VLOOKUP($A24,[10]HISTOJUIL22!$A$7:$AU$38,8,0),"ECHEC")</f>
        <v>BANQUE</v>
      </c>
      <c r="O24" s="7">
        <f>IF(R24=0,0,VLOOKUP($A24,[10]HISTOJUIL22!$A$7:$AU$38,32,0))</f>
        <v>0</v>
      </c>
      <c r="P24" s="7">
        <f>VLOOKUP($A24,[10]HISTOJUIL22!$A$7:$AU$38,33,0)</f>
        <v>0</v>
      </c>
      <c r="Q24" s="7">
        <f t="shared" si="0"/>
        <v>0</v>
      </c>
      <c r="R24" s="7">
        <f>VLOOKUP($A24,[10]HISTOJUIL22!$A$7:$AU$38,29,0)</f>
        <v>0</v>
      </c>
      <c r="S24" s="21">
        <f t="shared" si="2"/>
        <v>0</v>
      </c>
    </row>
    <row r="25" spans="1:19" x14ac:dyDescent="0.25">
      <c r="A25" s="1" t="s">
        <v>25</v>
      </c>
      <c r="B25" s="7">
        <f>IF(D25=0,0,VLOOKUP($A25,[8]HISTOJANV22!$A$6:$AZ$36,9,0))</f>
        <v>1</v>
      </c>
      <c r="C25" s="1" t="str">
        <f>VLOOKUP(A25,[9]LISTADHERENT!A$5:H$60,3,0)</f>
        <v>NKEPSEU DIEUDONNE</v>
      </c>
      <c r="D25" s="7">
        <f t="shared" si="1"/>
        <v>23000</v>
      </c>
      <c r="E25" s="7">
        <f>D25+VLOOKUP($A25,[10]HISTOJUIL22!$A$7:$AU$38,45,0)+F25</f>
        <v>100000</v>
      </c>
      <c r="F25" s="7">
        <f>VLOOKUP($A25,[10]HISTOJUIL22!$A$7:$AU$38,7,0)</f>
        <v>0</v>
      </c>
      <c r="G25" s="7" t="str">
        <f>VLOOKUP($A25,[10]HISTOJUIL22!$A$7:$AU$38,8,0)</f>
        <v>BANQUE</v>
      </c>
      <c r="H25" s="7">
        <f>VLOOKUP($A25,[10]HISTOJUIL22!$A$7:$AU$38,35,0)</f>
        <v>0</v>
      </c>
      <c r="I25" s="7">
        <f>VLOOKUP($A25,[10]HISTOJUIL22!$A$7:$AU$38,38,0)</f>
        <v>0</v>
      </c>
      <c r="J25" s="7">
        <f>IF(I25=0,0,VLOOKUP($A25,[10]HISTOJUIL22!$A$7:$AU$38,42,0))</f>
        <v>0</v>
      </c>
      <c r="K25" s="7">
        <f>VLOOKUP($A25,[10]HISTOJUIL22!$A$7:$AU$38,41,0)</f>
        <v>0</v>
      </c>
      <c r="L25" s="7">
        <f>+TONTJUIN22!H25+TONTJUIN22!I25</f>
        <v>0</v>
      </c>
      <c r="M25" s="7">
        <f>VLOOKUP($A25,[10]HISTOJUIL22!$A$7:$AU$38,16,0)</f>
        <v>0</v>
      </c>
      <c r="N25" s="7" t="str">
        <f>IF(M25&lt;&gt;0,VLOOKUP($A25,[10]HISTOJUIL22!$A$7:$AU$38,8,0),"ECHEC")</f>
        <v>ECHEC</v>
      </c>
      <c r="O25" s="7">
        <f>IF(R25=0,0,VLOOKUP($A25,[10]HISTOJUIL22!$A$7:$AU$38,32,0))</f>
        <v>0</v>
      </c>
      <c r="P25" s="7">
        <f>VLOOKUP($A25,[10]HISTOJUIL22!$A$7:$AU$38,33,0)</f>
        <v>0</v>
      </c>
      <c r="Q25" s="7">
        <f t="shared" si="0"/>
        <v>0</v>
      </c>
      <c r="R25" s="7">
        <f>VLOOKUP($A25,[10]HISTOJUIL22!$A$7:$AU$38,29,0)</f>
        <v>0</v>
      </c>
      <c r="S25" s="21">
        <f t="shared" si="2"/>
        <v>0</v>
      </c>
    </row>
    <row r="26" spans="1:19" x14ac:dyDescent="0.25">
      <c r="A26" s="1" t="s">
        <v>26</v>
      </c>
      <c r="B26" s="7">
        <f>IF(D26=0,0,VLOOKUP($A26,[8]HISTOJANV22!$A$6:$AZ$36,9,0))</f>
        <v>1</v>
      </c>
      <c r="C26" s="1" t="str">
        <f>VLOOKUP(A26,[9]LISTADHERENT!A$5:H$60,3,0)</f>
        <v>PATEGO NJOSSU GUSTAVE</v>
      </c>
      <c r="D26" s="7">
        <f t="shared" si="1"/>
        <v>23000</v>
      </c>
      <c r="E26" s="7">
        <f>D26+VLOOKUP($A26,[10]HISTOJUIL22!$A$7:$AU$38,45,0)+F26</f>
        <v>30000</v>
      </c>
      <c r="F26" s="7">
        <f>VLOOKUP($A26,[10]HISTOJUIL22!$A$7:$AU$38,7,0)</f>
        <v>0</v>
      </c>
      <c r="G26" s="7" t="str">
        <f>VLOOKUP($A26,[10]HISTOJUIL22!$A$7:$AU$38,8,0)</f>
        <v>BANQUE</v>
      </c>
      <c r="H26" s="7">
        <f>VLOOKUP($A26,[10]HISTOJUIL22!$A$7:$AU$38,35,0)</f>
        <v>0</v>
      </c>
      <c r="I26" s="7">
        <f>VLOOKUP($A26,[10]HISTOJUIL22!$A$7:$AU$38,38,0)</f>
        <v>0</v>
      </c>
      <c r="J26" s="7">
        <f>IF(I26=0,0,VLOOKUP($A26,[10]HISTOJUIL22!$A$7:$AU$38,42,0))</f>
        <v>0</v>
      </c>
      <c r="K26" s="7">
        <f>VLOOKUP($A26,[10]HISTOJUIL22!$A$7:$AU$38,41,0)</f>
        <v>0</v>
      </c>
      <c r="L26" s="7">
        <f>+TONTJUIN22!H26+TONTJUIN22!I26</f>
        <v>0</v>
      </c>
      <c r="M26" s="7">
        <f>VLOOKUP($A26,[10]HISTOJUIL22!$A$7:$AU$38,16,0)</f>
        <v>0</v>
      </c>
      <c r="N26" s="7" t="str">
        <f>IF(M26&lt;&gt;0,VLOOKUP($A26,[10]HISTOJUIL22!$A$7:$AU$38,8,0),"ECHEC")</f>
        <v>ECHEC</v>
      </c>
      <c r="O26" s="7">
        <f>IF(R26=0,0,VLOOKUP($A26,[10]HISTOJUIL22!$A$7:$AU$38,32,0))</f>
        <v>0</v>
      </c>
      <c r="P26" s="7">
        <f>VLOOKUP($A26,[10]HISTOJUIL22!$A$7:$AU$38,33,0)</f>
        <v>0</v>
      </c>
      <c r="Q26" s="7">
        <f t="shared" si="0"/>
        <v>0</v>
      </c>
      <c r="R26" s="7">
        <f>VLOOKUP($A26,[10]HISTOJUIL22!$A$7:$AU$38,29,0)</f>
        <v>0</v>
      </c>
      <c r="S26" s="21">
        <f t="shared" si="2"/>
        <v>0</v>
      </c>
    </row>
    <row r="27" spans="1:19" x14ac:dyDescent="0.25">
      <c r="A27" s="1" t="s">
        <v>51</v>
      </c>
      <c r="B27" s="7">
        <f>IF(D27=0,0,VLOOKUP($A27,[8]HISTOJANV22!$A$6:$AZ$36,9,0))</f>
        <v>1</v>
      </c>
      <c r="C27" s="1" t="str">
        <f>VLOOKUP(A27,[9]LISTADHERENT!A$5:H$60,3,0)</f>
        <v>SIME BRICE</v>
      </c>
      <c r="D27" s="7">
        <f t="shared" si="1"/>
        <v>23000</v>
      </c>
      <c r="E27" s="7">
        <f>D27+VLOOKUP($A27,[10]HISTOJUIL22!$A$7:$AU$38,45,0)+F27</f>
        <v>33000</v>
      </c>
      <c r="F27" s="7">
        <f>VLOOKUP($A27,[10]HISTOJUIL22!$A$7:$AU$38,7,0)</f>
        <v>3000</v>
      </c>
      <c r="G27" s="7" t="str">
        <f>VLOOKUP($A27,[10]HISTOJUIL22!$A$7:$AU$38,8,0)</f>
        <v>ESPECES</v>
      </c>
      <c r="H27" s="7">
        <f>VLOOKUP($A27,[10]HISTOJUIL22!$A$7:$AU$38,35,0)</f>
        <v>0</v>
      </c>
      <c r="I27" s="7">
        <f>VLOOKUP($A27,[10]HISTOJUIL22!$A$7:$AU$38,38,0)</f>
        <v>0</v>
      </c>
      <c r="J27" s="7">
        <f>IF(I27=0,0,VLOOKUP($A27,[10]HISTOJUIL22!$A$7:$AU$38,42,0))</f>
        <v>0</v>
      </c>
      <c r="K27" s="7">
        <f>VLOOKUP($A27,[10]HISTOJUIL22!$A$7:$AU$38,41,0)</f>
        <v>0</v>
      </c>
      <c r="L27" s="7">
        <f>+TONTJUIN22!H27+TONTJUIN22!I27</f>
        <v>0</v>
      </c>
      <c r="M27" s="7">
        <f>VLOOKUP($A27,[10]HISTOJUIL22!$A$7:$AU$38,16,0)</f>
        <v>0</v>
      </c>
      <c r="N27" s="7" t="str">
        <f>IF(M27&lt;&gt;0,VLOOKUP($A27,[10]HISTOJUIL22!$A$7:$AU$38,8,0),"ECHEC")</f>
        <v>ECHEC</v>
      </c>
      <c r="O27" s="7">
        <f>IF(R27=0,0,VLOOKUP($A27,[10]HISTOJUIL22!$A$7:$AU$38,32,0))</f>
        <v>0</v>
      </c>
      <c r="P27" s="7">
        <f>VLOOKUP($A27,[10]HISTOJUIL22!$A$7:$AU$38,33,0)</f>
        <v>0</v>
      </c>
      <c r="Q27" s="7">
        <f t="shared" si="0"/>
        <v>0</v>
      </c>
      <c r="R27" s="7">
        <f>VLOOKUP($A27,[10]HISTOJUIL22!$A$7:$AU$38,29,0)</f>
        <v>0</v>
      </c>
      <c r="S27" s="21">
        <f t="shared" si="2"/>
        <v>0</v>
      </c>
    </row>
    <row r="28" spans="1:19" x14ac:dyDescent="0.25">
      <c r="A28" s="1" t="s">
        <v>29</v>
      </c>
      <c r="B28" s="7">
        <f>IF(D28=0,0,VLOOKUP($A28,[8]HISTOJANV22!$A$6:$AZ$36,9,0))</f>
        <v>1</v>
      </c>
      <c r="C28" s="1" t="str">
        <f>VLOOKUP(A28,[9]LISTADHERENT!A$5:H$60,3,0)</f>
        <v>SIMO PIERRE</v>
      </c>
      <c r="D28" s="7">
        <f t="shared" si="1"/>
        <v>23000</v>
      </c>
      <c r="E28" s="7">
        <f>D28+VLOOKUP($A28,[10]HISTOJUIL22!$A$7:$AU$38,45,0)+F28</f>
        <v>35000</v>
      </c>
      <c r="F28" s="7">
        <f>VLOOKUP($A28,[10]HISTOJUIL22!$A$7:$AU$38,7,0)</f>
        <v>0</v>
      </c>
      <c r="G28" s="7" t="str">
        <f>VLOOKUP($A28,[10]HISTOJUIL22!$A$7:$AU$38,8,0)</f>
        <v>BANQUE</v>
      </c>
      <c r="H28" s="7">
        <f>VLOOKUP($A28,[10]HISTOJUIL22!$A$7:$AU$38,35,0)</f>
        <v>20000</v>
      </c>
      <c r="I28" s="7">
        <f>VLOOKUP($A28,[10]HISTOJUIL22!$A$7:$AU$38,38,0)</f>
        <v>500</v>
      </c>
      <c r="J28" s="7" t="str">
        <f>IF(I28=0,0,VLOOKUP($A28,[10]HISTOJUIL22!$A$7:$AU$38,42,0))</f>
        <v>BANQUE</v>
      </c>
      <c r="K28" s="7">
        <f>VLOOKUP($A28,[10]HISTOJUIL22!$A$7:$AU$38,41,0)</f>
        <v>0</v>
      </c>
      <c r="L28" s="7">
        <f>+TONTJUIN22!H28+TONTJUIN22!I28</f>
        <v>0</v>
      </c>
      <c r="M28" s="7">
        <f>VLOOKUP($A28,[10]HISTOJUIL22!$A$7:$AU$38,16,0)</f>
        <v>0</v>
      </c>
      <c r="N28" s="7" t="str">
        <f>IF(M28&lt;&gt;0,VLOOKUP($A28,[10]HISTOJUIL22!$A$7:$AU$38,8,0),"ECHEC")</f>
        <v>ECHEC</v>
      </c>
      <c r="O28" s="7">
        <f>IF(R28=0,0,VLOOKUP($A28,[10]HISTOJUIL22!$A$7:$AU$38,32,0))</f>
        <v>0</v>
      </c>
      <c r="P28" s="7">
        <f>VLOOKUP($A28,[10]HISTOJUIL22!$A$7:$AU$38,33,0)</f>
        <v>0</v>
      </c>
      <c r="Q28" s="7">
        <f t="shared" si="0"/>
        <v>0</v>
      </c>
      <c r="R28" s="7">
        <f>VLOOKUP($A28,[10]HISTOJUIL22!$A$7:$AU$38,29,0)</f>
        <v>0</v>
      </c>
      <c r="S28" s="21">
        <f t="shared" si="2"/>
        <v>0</v>
      </c>
    </row>
    <row r="29" spans="1:19" x14ac:dyDescent="0.25">
      <c r="A29" s="1" t="s">
        <v>31</v>
      </c>
      <c r="B29" s="7">
        <f>IF(D29=0,0,VLOOKUP($A29,[8]HISTOJANV22!$A$6:$AZ$36,9,0))</f>
        <v>1</v>
      </c>
      <c r="C29" s="1" t="str">
        <f>VLOOKUP(A29,[9]LISTADHERENT!A$5:H$60,3,0)</f>
        <v>TCHOUAMOU MATHIEU</v>
      </c>
      <c r="D29" s="7">
        <f t="shared" si="1"/>
        <v>23000</v>
      </c>
      <c r="E29" s="7">
        <f>D29+VLOOKUP($A29,[10]HISTOJUIL22!$A$7:$AU$38,45,0)+F29</f>
        <v>30000</v>
      </c>
      <c r="F29" s="7">
        <f>VLOOKUP($A29,[10]HISTOJUIL22!$A$7:$AU$38,7,0)</f>
        <v>0</v>
      </c>
      <c r="G29" s="7" t="str">
        <f>VLOOKUP($A29,[10]HISTOJUIL22!$A$7:$AU$38,8,0)</f>
        <v>BANQUE</v>
      </c>
      <c r="H29" s="7">
        <f>VLOOKUP($A29,[10]HISTOJUIL22!$A$7:$AU$38,35,0)</f>
        <v>0</v>
      </c>
      <c r="I29" s="7">
        <f>VLOOKUP($A29,[10]HISTOJUIL22!$A$7:$AU$38,38,0)</f>
        <v>0</v>
      </c>
      <c r="J29" s="7">
        <f>IF(I29=0,0,VLOOKUP($A29,[10]HISTOJUIL22!$A$7:$AU$38,42,0))</f>
        <v>0</v>
      </c>
      <c r="K29" s="7">
        <f>VLOOKUP($A29,[10]HISTOJUIL22!$A$7:$AU$38,41,0)</f>
        <v>0</v>
      </c>
      <c r="L29" s="7">
        <f>+TONTJUIN22!H29+TONTJUIN22!I29</f>
        <v>0</v>
      </c>
      <c r="M29" s="7">
        <f>VLOOKUP($A29,[10]HISTOJUIL22!$A$7:$AU$38,16,0)</f>
        <v>0</v>
      </c>
      <c r="N29" s="7" t="str">
        <f>IF(M29&lt;&gt;0,VLOOKUP($A29,[10]HISTOJUIL22!$A$7:$AU$38,8,0),"ECHEC")</f>
        <v>ECHEC</v>
      </c>
      <c r="O29" s="7">
        <f>IF(R29=0,0,VLOOKUP($A29,[10]HISTOJUIL22!$A$7:$AU$38,32,0))</f>
        <v>0</v>
      </c>
      <c r="P29" s="7">
        <f>VLOOKUP($A29,[10]HISTOJUIL22!$A$7:$AU$38,33,0)</f>
        <v>0</v>
      </c>
      <c r="Q29" s="7">
        <f t="shared" si="0"/>
        <v>0</v>
      </c>
      <c r="R29" s="7">
        <f>VLOOKUP($A29,[10]HISTOJUIL22!$A$7:$AU$38,29,0)</f>
        <v>0</v>
      </c>
      <c r="S29" s="21">
        <f t="shared" si="2"/>
        <v>0</v>
      </c>
    </row>
    <row r="30" spans="1:19" x14ac:dyDescent="0.25">
      <c r="A30" s="1" t="s">
        <v>32</v>
      </c>
      <c r="B30" s="7">
        <f>IF(D30=0,0,VLOOKUP($A30,[8]HISTOJANV22!$A$6:$AZ$36,9,0))</f>
        <v>1</v>
      </c>
      <c r="C30" s="1" t="str">
        <f>VLOOKUP(A30,[9]LISTADHERENT!A$5:H$60,3,0)</f>
        <v>YEPMOU JEAN JACQUES</v>
      </c>
      <c r="D30" s="7">
        <f t="shared" si="1"/>
        <v>23000</v>
      </c>
      <c r="E30" s="7">
        <f>D30+VLOOKUP($A30,[10]HISTOJUIL22!$A$7:$AU$38,45,0)+F30</f>
        <v>33000</v>
      </c>
      <c r="F30" s="7">
        <f>VLOOKUP($A30,[10]HISTOJUIL22!$A$7:$AU$38,7,0)</f>
        <v>3000</v>
      </c>
      <c r="G30" s="7" t="str">
        <f>VLOOKUP($A30,[10]HISTOJUIL22!$A$7:$AU$38,8,0)</f>
        <v>ESPECES</v>
      </c>
      <c r="H30" s="7">
        <f>VLOOKUP($A30,[10]HISTOJUIL22!$A$7:$AU$38,35,0)</f>
        <v>0</v>
      </c>
      <c r="I30" s="7">
        <f>VLOOKUP($A30,[10]HISTOJUIL22!$A$7:$AU$38,38,0)</f>
        <v>0</v>
      </c>
      <c r="J30" s="7">
        <f>IF(I30=0,0,VLOOKUP($A30,[10]HISTOJUIL22!$A$7:$AU$38,42,0))</f>
        <v>0</v>
      </c>
      <c r="K30" s="7">
        <f>VLOOKUP($A30,[10]HISTOJUIL22!$A$7:$AU$38,41,0)</f>
        <v>0</v>
      </c>
      <c r="L30" s="7">
        <f>+TONTJUIN22!H30+TONTJUIN22!I30</f>
        <v>0</v>
      </c>
      <c r="M30" s="7">
        <f>VLOOKUP($A30,[10]HISTOJUIL22!$A$7:$AU$38,16,0)</f>
        <v>0</v>
      </c>
      <c r="N30" s="7" t="str">
        <f>IF(M30&lt;&gt;0,VLOOKUP($A30,[10]HISTOJUIL22!$A$7:$AU$38,8,0),"ECHEC")</f>
        <v>ECHEC</v>
      </c>
      <c r="O30" s="7">
        <f>IF(R30=0,0,VLOOKUP($A30,[10]HISTOJUIL22!$A$7:$AU$38,32,0))</f>
        <v>0</v>
      </c>
      <c r="P30" s="7">
        <f>VLOOKUP($A30,[10]HISTOJUIL22!$A$7:$AU$38,33,0)</f>
        <v>0</v>
      </c>
      <c r="Q30" s="7">
        <f t="shared" si="0"/>
        <v>0</v>
      </c>
      <c r="R30" s="7">
        <f>VLOOKUP($A30,[10]HISTOJUIL22!$A$7:$AU$38,29,0)</f>
        <v>0</v>
      </c>
      <c r="S30" s="21">
        <f t="shared" si="2"/>
        <v>0</v>
      </c>
    </row>
    <row r="31" spans="1:19" x14ac:dyDescent="0.25">
      <c r="A31" s="1" t="s">
        <v>33</v>
      </c>
      <c r="B31" s="7">
        <f>IF(D31=0,0,VLOOKUP($A31,[8]HISTOJANV22!$A$6:$AZ$36,9,0))</f>
        <v>1</v>
      </c>
      <c r="C31" s="1" t="str">
        <f>VLOOKUP(A31,[9]LISTADHERENT!A$5:H$60,3,0)</f>
        <v>YOUMBI EMMANUEL</v>
      </c>
      <c r="D31" s="7">
        <f t="shared" si="1"/>
        <v>23000</v>
      </c>
      <c r="E31" s="7">
        <f>D31+VLOOKUP($A31,[10]HISTOJUIL22!$A$7:$AU$38,45,0)+F31</f>
        <v>33000</v>
      </c>
      <c r="F31" s="7">
        <f>VLOOKUP($A31,[10]HISTOJUIL22!$A$7:$AU$38,7,0)</f>
        <v>3000</v>
      </c>
      <c r="G31" s="7" t="str">
        <f>VLOOKUP($A31,[10]HISTOJUIL22!$A$7:$AU$38,8,0)</f>
        <v>ESPECES</v>
      </c>
      <c r="H31" s="7">
        <f>VLOOKUP($A31,[10]HISTOJUIL22!$A$7:$AU$38,35,0)</f>
        <v>0</v>
      </c>
      <c r="I31" s="7">
        <f>VLOOKUP($A31,[10]HISTOJUIL22!$A$7:$AU$38,38,0)</f>
        <v>0</v>
      </c>
      <c r="J31" s="7">
        <f>IF(I31=0,0,VLOOKUP($A31,[10]HISTOJUIL22!$A$7:$AU$38,42,0))</f>
        <v>0</v>
      </c>
      <c r="K31" s="7">
        <f>VLOOKUP($A31,[10]HISTOJUIL22!$A$7:$AU$38,41,0)</f>
        <v>0</v>
      </c>
      <c r="L31" s="7">
        <f>+TONTJUIN22!H31+TONTJUIN22!I31</f>
        <v>0</v>
      </c>
      <c r="M31" s="7">
        <f>VLOOKUP($A31,[10]HISTOJUIL22!$A$7:$AU$38,16,0)</f>
        <v>0</v>
      </c>
      <c r="N31" s="7" t="str">
        <f>IF(M31&lt;&gt;0,VLOOKUP($A31,[10]HISTOJUIL22!$A$7:$AU$38,8,0),"ECHEC")</f>
        <v>ECHEC</v>
      </c>
      <c r="O31" s="7">
        <f>IF(R31=0,0,VLOOKUP($A31,[10]HISTOJUIL22!$A$7:$AU$38,32,0))</f>
        <v>0</v>
      </c>
      <c r="P31" s="7">
        <f>VLOOKUP($A31,[10]HISTOJUIL22!$A$7:$AU$38,33,0)</f>
        <v>0</v>
      </c>
      <c r="Q31" s="7">
        <f t="shared" si="0"/>
        <v>0</v>
      </c>
      <c r="R31" s="7">
        <f>VLOOKUP($A31,[10]HISTOJUIL22!$A$7:$AU$38,29,0)</f>
        <v>0</v>
      </c>
      <c r="S31" s="21">
        <f t="shared" si="2"/>
        <v>0</v>
      </c>
    </row>
    <row r="32" spans="1:19" x14ac:dyDescent="0.25">
      <c r="A32" s="1"/>
    </row>
    <row r="33" spans="1:19" ht="18" x14ac:dyDescent="0.25">
      <c r="A33" s="1" t="s">
        <v>94</v>
      </c>
      <c r="B33" s="8">
        <f>SUM(B6:B32)</f>
        <v>26</v>
      </c>
      <c r="I33" s="9"/>
    </row>
    <row r="34" spans="1:19" ht="18" x14ac:dyDescent="0.25">
      <c r="A34" s="1" t="s">
        <v>93</v>
      </c>
      <c r="B34" s="19">
        <f>COUNT(D6:D31)</f>
        <v>26</v>
      </c>
      <c r="C34" s="8"/>
      <c r="D34" s="8">
        <f>SUM(D6:D33)</f>
        <v>598000</v>
      </c>
      <c r="E34" s="8">
        <f>SUM(E6:E33)</f>
        <v>973000</v>
      </c>
      <c r="F34" s="8">
        <f>SUM(F6:F33)</f>
        <v>18000</v>
      </c>
      <c r="G34" s="8"/>
      <c r="H34" s="8">
        <f t="shared" ref="H34:S34" si="3">SUM(H6:H33)</f>
        <v>20000</v>
      </c>
      <c r="I34" s="8">
        <f t="shared" si="3"/>
        <v>500</v>
      </c>
      <c r="J34" s="8">
        <f t="shared" si="3"/>
        <v>0</v>
      </c>
      <c r="K34" s="8">
        <f t="shared" si="3"/>
        <v>0</v>
      </c>
      <c r="L34" s="8">
        <f t="shared" si="3"/>
        <v>80000</v>
      </c>
      <c r="M34" s="8">
        <f t="shared" si="3"/>
        <v>80000</v>
      </c>
      <c r="N34" s="8">
        <f t="shared" si="3"/>
        <v>0</v>
      </c>
      <c r="O34" s="8">
        <f t="shared" si="3"/>
        <v>0</v>
      </c>
      <c r="P34" s="8">
        <f t="shared" si="3"/>
        <v>0</v>
      </c>
      <c r="Q34" s="8">
        <f t="shared" si="3"/>
        <v>277000</v>
      </c>
      <c r="R34" s="8">
        <f t="shared" si="3"/>
        <v>23000</v>
      </c>
      <c r="S34" s="8">
        <f t="shared" si="3"/>
        <v>0</v>
      </c>
    </row>
    <row r="35" spans="1:19" s="2" customFormat="1" ht="29.25" x14ac:dyDescent="0.25">
      <c r="B35"/>
      <c r="C35"/>
      <c r="D35"/>
      <c r="E35"/>
      <c r="F35"/>
      <c r="G35"/>
      <c r="H35"/>
      <c r="I35" s="9"/>
      <c r="J35" s="3"/>
      <c r="K35" s="3"/>
      <c r="L35" s="3"/>
      <c r="N35" s="4" t="s">
        <v>80</v>
      </c>
      <c r="O35" s="4" t="s">
        <v>95</v>
      </c>
      <c r="P35" s="3"/>
    </row>
    <row r="36" spans="1:19" s="2" customFormat="1" ht="29.25" x14ac:dyDescent="0.25">
      <c r="D36" s="4" t="s">
        <v>5</v>
      </c>
      <c r="E36" s="4" t="s">
        <v>7</v>
      </c>
      <c r="F36"/>
      <c r="G36" s="4" t="s">
        <v>40</v>
      </c>
      <c r="H36" s="4" t="s">
        <v>44</v>
      </c>
      <c r="I36" s="4" t="s">
        <v>46</v>
      </c>
      <c r="J36" s="4" t="s">
        <v>47</v>
      </c>
      <c r="K36" s="4"/>
      <c r="L36" s="8" t="s">
        <v>97</v>
      </c>
      <c r="M36" s="8">
        <f>D40+G40+R34+TONTJUIN22!O41</f>
        <v>701000</v>
      </c>
      <c r="N36" s="4"/>
      <c r="O36"/>
      <c r="P36" s="4"/>
    </row>
    <row r="37" spans="1:19" s="2" customFormat="1" ht="18" x14ac:dyDescent="0.25">
      <c r="D37" s="8">
        <f>SUMIFS(D6:D33,G6:G33,"ESPECES")</f>
        <v>115000</v>
      </c>
      <c r="E37" s="8">
        <f>SUMIFS(E6:E33,G6:G33,"ESPECES")</f>
        <v>166000</v>
      </c>
      <c r="F37" s="8" t="s">
        <v>36</v>
      </c>
      <c r="G37" s="8">
        <f>SUMIFS(M6:M27,N6:N27,"ESPECES")</f>
        <v>0</v>
      </c>
      <c r="H37" s="8">
        <f>SUMIFS(H6:H33,J6:J33,"ESPECES")</f>
        <v>0</v>
      </c>
      <c r="I37" s="8">
        <f>SUMIFS(Q6:Q33,O6:O33,"ESPECES")</f>
        <v>0</v>
      </c>
      <c r="J37" s="8">
        <f>D37+G37-H37-I37</f>
        <v>115000</v>
      </c>
      <c r="K37" s="8"/>
      <c r="L37" s="8" t="s">
        <v>84</v>
      </c>
      <c r="M37" s="8">
        <f>C3*COUNTIF(Q6:Q33,"&gt;0")</f>
        <v>300000</v>
      </c>
      <c r="N37" s="8">
        <f>D3</f>
        <v>2</v>
      </c>
      <c r="O37" s="8">
        <f>COUNTIF(Q6:Q31,"&gt;0")</f>
        <v>1</v>
      </c>
      <c r="P37" s="8"/>
    </row>
    <row r="38" spans="1:19" s="2" customFormat="1" ht="18" x14ac:dyDescent="0.25">
      <c r="D38" s="8">
        <f>SUMIFS(D6:D33,G6:G33,"BANQUE")</f>
        <v>483000</v>
      </c>
      <c r="E38" s="8">
        <f>SUMIFS(E6:E34,G6:G34,"BANQUE")</f>
        <v>807000</v>
      </c>
      <c r="F38" s="8" t="s">
        <v>37</v>
      </c>
      <c r="G38" s="8">
        <f>SUMIFS(M6:M27,N6:N27,"BANQUE")</f>
        <v>80000</v>
      </c>
      <c r="H38" s="8">
        <f>SUMIFS(H6:H33,J6:J33,"BANQUE")</f>
        <v>20000</v>
      </c>
      <c r="I38" s="8">
        <f>SUMIFS(Q6:Q33,O6:O33,"BANQUE")</f>
        <v>277000</v>
      </c>
      <c r="J38" s="8">
        <f>D38+G38-H38-I38</f>
        <v>266000</v>
      </c>
      <c r="K38" s="8"/>
      <c r="M38" s="8"/>
      <c r="N38" s="8"/>
      <c r="O38" s="8"/>
      <c r="P38" s="8"/>
    </row>
    <row r="39" spans="1:19" s="2" customFormat="1" ht="18" x14ac:dyDescent="0.25">
      <c r="D39" s="8"/>
      <c r="E39" s="8"/>
      <c r="F39" s="8"/>
      <c r="G39" s="8"/>
      <c r="H39" s="8"/>
      <c r="I39" s="8"/>
      <c r="K39" s="8"/>
      <c r="L39" s="8" t="s">
        <v>52</v>
      </c>
      <c r="M39" s="8">
        <f>M36-M37</f>
        <v>401000</v>
      </c>
      <c r="N39" s="8"/>
      <c r="O39" s="8"/>
      <c r="P39" s="8"/>
    </row>
    <row r="40" spans="1:19" s="2" customFormat="1" ht="18" x14ac:dyDescent="0.25">
      <c r="D40" s="8">
        <f>D37+D38</f>
        <v>598000</v>
      </c>
      <c r="E40" s="8">
        <f>E37+E38</f>
        <v>973000</v>
      </c>
      <c r="F40" s="8" t="s">
        <v>34</v>
      </c>
      <c r="G40" s="8">
        <f>G37+G38</f>
        <v>80000</v>
      </c>
      <c r="H40" s="8">
        <f>H37+H38</f>
        <v>20000</v>
      </c>
      <c r="I40" s="8">
        <f t="shared" ref="I40" si="4">I37+I38</f>
        <v>277000</v>
      </c>
      <c r="J40" s="8">
        <f>J37+J38+TONTJUIN22!O41</f>
        <v>381000</v>
      </c>
      <c r="K40" s="8"/>
      <c r="M40" s="8"/>
      <c r="N40" s="8"/>
      <c r="O40" s="8"/>
      <c r="P40" s="8"/>
    </row>
    <row r="41" spans="1:19" s="2" customFormat="1" ht="18" x14ac:dyDescent="0.25">
      <c r="D41" s="8"/>
      <c r="E41" s="8"/>
      <c r="F41" s="8" t="s">
        <v>56</v>
      </c>
      <c r="G41"/>
      <c r="H41"/>
      <c r="I41" s="3"/>
      <c r="J41" s="3"/>
      <c r="K41" s="3"/>
      <c r="L41" s="8" t="s">
        <v>55</v>
      </c>
      <c r="M41" s="8">
        <f>M39-H34</f>
        <v>381000</v>
      </c>
      <c r="N41"/>
      <c r="O41" s="8">
        <f>M41</f>
        <v>381000</v>
      </c>
      <c r="P41" s="8" t="s">
        <v>58</v>
      </c>
    </row>
    <row r="42" spans="1:19" s="2" customFormat="1" ht="18" x14ac:dyDescent="0.25">
      <c r="D42" s="4"/>
      <c r="E42" s="4"/>
      <c r="F42" s="8"/>
      <c r="G42"/>
      <c r="H42"/>
      <c r="I42" s="3"/>
      <c r="J42" s="3"/>
      <c r="K42" s="3"/>
      <c r="N42"/>
      <c r="O42" s="3"/>
      <c r="P42" s="3"/>
    </row>
    <row r="43" spans="1:19" ht="18" x14ac:dyDescent="0.25">
      <c r="L43" s="8" t="s">
        <v>60</v>
      </c>
      <c r="M43" s="8">
        <f>COUNTIFS(G6:G32,"ECHEC")*23000</f>
        <v>0</v>
      </c>
      <c r="O43" s="8">
        <f>M43+TONTJUIN22!O43</f>
        <v>0</v>
      </c>
      <c r="P43" s="8" t="s">
        <v>58</v>
      </c>
    </row>
    <row r="44" spans="1:19" ht="18" x14ac:dyDescent="0.25">
      <c r="F44" s="2"/>
      <c r="L44" s="8" t="s">
        <v>59</v>
      </c>
      <c r="M44" s="8">
        <f>L34-G40</f>
        <v>0</v>
      </c>
      <c r="O44" s="8">
        <f>M44+TONTJUIN22!O44</f>
        <v>0</v>
      </c>
      <c r="P44" s="8" t="s">
        <v>58</v>
      </c>
    </row>
  </sheetData>
  <autoFilter ref="A5:R24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>
      <pane xSplit="3" ySplit="5" topLeftCell="I33" activePane="bottomRight" state="frozen"/>
      <selection activeCell="G6" sqref="G6:G39"/>
      <selection pane="topRight" activeCell="G6" sqref="G6:G39"/>
      <selection pane="bottomLeft" activeCell="G6" sqref="G6:G39"/>
      <selection pane="bottomRight" activeCell="S1" sqref="S1:S1048576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5" width="13" customWidth="1"/>
    <col min="16" max="16" width="15.5703125" style="3" customWidth="1"/>
    <col min="17" max="18" width="18.140625" style="2" customWidth="1"/>
  </cols>
  <sheetData>
    <row r="1" spans="1:19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25">
      <c r="A2" s="1" t="s">
        <v>2</v>
      </c>
      <c r="B2" s="1">
        <v>2022</v>
      </c>
      <c r="C2" s="1" t="s">
        <v>85</v>
      </c>
      <c r="D2" s="1" t="s">
        <v>80</v>
      </c>
      <c r="E2" s="1"/>
      <c r="F2" s="1"/>
      <c r="G2" s="1"/>
      <c r="N2" s="1"/>
      <c r="O2" s="1"/>
    </row>
    <row r="3" spans="1:19" x14ac:dyDescent="0.25">
      <c r="A3" s="1" t="s">
        <v>86</v>
      </c>
      <c r="B3" s="6">
        <v>23000</v>
      </c>
      <c r="C3" s="6">
        <f>B3*13+1000</f>
        <v>300000</v>
      </c>
      <c r="D3" s="1">
        <f>ROUNDDOWN(M36/C3,0)</f>
        <v>3</v>
      </c>
      <c r="E3" s="1"/>
      <c r="F3" s="1"/>
      <c r="G3" s="1"/>
      <c r="N3" s="1"/>
      <c r="O3" s="1"/>
    </row>
    <row r="4" spans="1:19" s="16" customFormat="1" ht="18" x14ac:dyDescent="0.25">
      <c r="B4" s="17"/>
      <c r="C4" s="28">
        <v>44633</v>
      </c>
      <c r="D4" s="29"/>
      <c r="E4" s="29"/>
      <c r="F4" s="29"/>
      <c r="G4" s="29"/>
      <c r="H4" s="29"/>
      <c r="I4" s="29"/>
      <c r="J4" s="29"/>
      <c r="K4" s="29"/>
      <c r="L4" s="29"/>
      <c r="N4" s="18"/>
      <c r="O4" s="18"/>
      <c r="P4" s="18"/>
      <c r="Q4" s="18"/>
    </row>
    <row r="5" spans="1:19" ht="58.5" x14ac:dyDescent="0.3">
      <c r="A5" s="1" t="s">
        <v>3</v>
      </c>
      <c r="B5" s="13" t="s">
        <v>81</v>
      </c>
      <c r="C5" s="1" t="s">
        <v>4</v>
      </c>
      <c r="D5" s="4" t="s">
        <v>5</v>
      </c>
      <c r="E5" s="4" t="s">
        <v>7</v>
      </c>
      <c r="F5" s="1" t="s">
        <v>48</v>
      </c>
      <c r="G5" s="5" t="s">
        <v>6</v>
      </c>
      <c r="H5" s="6" t="s">
        <v>44</v>
      </c>
      <c r="I5" s="4" t="s">
        <v>41</v>
      </c>
      <c r="J5" s="4" t="s">
        <v>45</v>
      </c>
      <c r="K5" s="11" t="s">
        <v>54</v>
      </c>
      <c r="L5" s="4" t="s">
        <v>82</v>
      </c>
      <c r="M5" s="4" t="s">
        <v>40</v>
      </c>
      <c r="N5" s="4" t="s">
        <v>39</v>
      </c>
      <c r="O5" s="4" t="s">
        <v>42</v>
      </c>
      <c r="P5" s="4" t="s">
        <v>54</v>
      </c>
      <c r="Q5" s="4" t="s">
        <v>83</v>
      </c>
      <c r="R5" s="4" t="s">
        <v>43</v>
      </c>
      <c r="S5" s="4" t="s">
        <v>98</v>
      </c>
    </row>
    <row r="6" spans="1:19" x14ac:dyDescent="0.25">
      <c r="A6" s="1" t="s">
        <v>9</v>
      </c>
      <c r="B6" s="7">
        <f>IF(D6=0,0,VLOOKUP($A6,[8]HISTOJANV22!$A$6:$AZ$36,9,0))</f>
        <v>1</v>
      </c>
      <c r="C6" s="1" t="str">
        <f>VLOOKUP(A6,[9]LISTADHERENT!A$5:H$60,3,0)</f>
        <v>BOUTCHOUANG WILLIAM</v>
      </c>
      <c r="D6" s="7">
        <f>IF(G6="ECHEC",0,B$3)</f>
        <v>23000</v>
      </c>
      <c r="E6" s="7">
        <f>D6+VLOOKUP($A6,[10]HISTOAOUT22!$A$7:$AU$38,45,0)+F6</f>
        <v>30000</v>
      </c>
      <c r="F6" s="7">
        <f>VLOOKUP($A6,[10]HISTOAOUT22!$A$7:$AU$38,7,0)</f>
        <v>0</v>
      </c>
      <c r="G6" s="7" t="str">
        <f>VLOOKUP($A6,[10]HISTOAOUT22!$A$7:$AU$38,8,0)</f>
        <v>BANQUE</v>
      </c>
      <c r="H6" s="7">
        <f>VLOOKUP($A6,[10]HISTOAOUT22!$A$7:$AU$38,35,0)</f>
        <v>0</v>
      </c>
      <c r="I6" s="7">
        <f>VLOOKUP($A6,[10]HISTOAOUT22!$A$7:$AU$38,38,0)</f>
        <v>0</v>
      </c>
      <c r="J6" s="7">
        <f>IF(I6=0,0,VLOOKUP($A6,[10]HISTOAOUT22!$A$7:$AU$38,42,0))</f>
        <v>0</v>
      </c>
      <c r="K6" s="7">
        <f>VLOOKUP($A6,[10]HISTOAOUT22!$A$7:$AU$38,41,0)</f>
        <v>0</v>
      </c>
      <c r="L6" s="7">
        <f>+TONTJUIL22!H6+TONTJUIL22!I6</f>
        <v>0</v>
      </c>
      <c r="M6" s="7">
        <f>VLOOKUP($A6,[10]HISTOAOUT22!$A$7:$AU$38,16,0)</f>
        <v>0</v>
      </c>
      <c r="N6" s="7" t="str">
        <f>IF(M6&lt;&gt;0,VLOOKUP($A6,[10]HISTOAOUT22!$A$7:$AU$38,8,0),"ECHEC")</f>
        <v>ECHEC</v>
      </c>
      <c r="O6" s="7">
        <f>IF(R6=0,0,VLOOKUP($A6,[10]HISTOAOUT22!$A$7:$AU$38,32,0))</f>
        <v>0</v>
      </c>
      <c r="P6" s="7">
        <f>VLOOKUP($A6,[10]HISTOAOUT22!$A$7:$AU$38,33,0)</f>
        <v>0</v>
      </c>
      <c r="Q6" s="7">
        <f t="shared" ref="Q6:Q31" si="0">IF(R6=0,0,($C$3-R6))</f>
        <v>0</v>
      </c>
      <c r="R6" s="7">
        <f>VLOOKUP($A6,[10]HISTOAOUT22!$A$7:$AU$38,29,0)</f>
        <v>0</v>
      </c>
      <c r="S6" s="21">
        <f>IF(R6=0,0,(R6-23000))</f>
        <v>0</v>
      </c>
    </row>
    <row r="7" spans="1:19" x14ac:dyDescent="0.25">
      <c r="A7" s="1" t="s">
        <v>10</v>
      </c>
      <c r="B7" s="7">
        <f>IF(D7=0,0,VLOOKUP($A7,[8]HISTOJANV22!$A$6:$AZ$36,9,0))</f>
        <v>1</v>
      </c>
      <c r="C7" s="1" t="str">
        <f>VLOOKUP(A7,[9]LISTADHERENT!A$5:H$60,3,0)</f>
        <v xml:space="preserve">DJOMO JEAN PAUL </v>
      </c>
      <c r="D7" s="7">
        <f t="shared" ref="D7:D31" si="1">IF(G7="ECHEC",0,B$3)</f>
        <v>23000</v>
      </c>
      <c r="E7" s="7">
        <f>D7+VLOOKUP($A7,[10]HISTOAOUT22!$A$7:$AU$38,45,0)+F7</f>
        <v>33000</v>
      </c>
      <c r="F7" s="7">
        <f>VLOOKUP($A7,[10]HISTOAOUT22!$A$7:$AU$38,7,0)</f>
        <v>0</v>
      </c>
      <c r="G7" s="7" t="str">
        <f>VLOOKUP($A7,[10]HISTOAOUT22!$A$7:$AU$38,8,0)</f>
        <v>BANQUE</v>
      </c>
      <c r="H7" s="7">
        <f>VLOOKUP($A7,[10]HISTOAOUT22!$A$7:$AU$38,35,0)</f>
        <v>0</v>
      </c>
      <c r="I7" s="7">
        <f>VLOOKUP($A7,[10]HISTOAOUT22!$A$7:$AU$38,38,0)</f>
        <v>0</v>
      </c>
      <c r="J7" s="7">
        <f>IF(I7=0,0,VLOOKUP($A7,[10]HISTOAOUT22!$A$7:$AU$38,42,0))</f>
        <v>0</v>
      </c>
      <c r="K7" s="7">
        <f>VLOOKUP($A7,[10]HISTOAOUT22!$A$7:$AU$38,41,0)</f>
        <v>0</v>
      </c>
      <c r="L7" s="7">
        <f>+TONTJUIL22!H7+TONTJUIL22!I7</f>
        <v>0</v>
      </c>
      <c r="M7" s="7">
        <f>VLOOKUP($A7,[10]HISTOAOUT22!$A$7:$AU$38,16,0)</f>
        <v>0</v>
      </c>
      <c r="N7" s="7" t="str">
        <f>IF(M7&lt;&gt;0,VLOOKUP($A7,[10]HISTOAOUT22!$A$7:$AU$38,8,0),"ECHEC")</f>
        <v>ECHEC</v>
      </c>
      <c r="O7" s="7">
        <f>IF(R7=0,0,VLOOKUP($A7,[10]HISTOAOUT22!$A$7:$AU$38,32,0))</f>
        <v>0</v>
      </c>
      <c r="P7" s="7">
        <f>VLOOKUP($A7,[10]HISTOAOUT22!$A$7:$AU$38,33,0)</f>
        <v>0</v>
      </c>
      <c r="Q7" s="7">
        <f t="shared" si="0"/>
        <v>0</v>
      </c>
      <c r="R7" s="7">
        <f>VLOOKUP($A7,[10]HISTOAOUT22!$A$7:$AU$38,29,0)</f>
        <v>0</v>
      </c>
      <c r="S7" s="21">
        <f t="shared" ref="S7:S31" si="2">IF(R7=0,0,(R7-23000))</f>
        <v>0</v>
      </c>
    </row>
    <row r="8" spans="1:19" x14ac:dyDescent="0.25">
      <c r="A8" s="1" t="s">
        <v>57</v>
      </c>
      <c r="B8" s="7">
        <f>IF(D8=0,0,VLOOKUP($A8,[8]HISTOJANV22!$A$6:$AZ$36,9,0))</f>
        <v>1</v>
      </c>
      <c r="C8" s="1" t="str">
        <f>VLOOKUP(A8,[9]LISTADHERENT!A$5:H$60,3,0)</f>
        <v>DJOMOU TCHANDA</v>
      </c>
      <c r="D8" s="7">
        <f t="shared" si="1"/>
        <v>23000</v>
      </c>
      <c r="E8" s="7">
        <f>D8+VLOOKUP($A8,[10]HISTOAOUT22!$A$7:$AU$38,45,0)+F8</f>
        <v>30000</v>
      </c>
      <c r="F8" s="7">
        <f>VLOOKUP($A8,[10]HISTOAOUT22!$A$7:$AU$38,7,0)</f>
        <v>0</v>
      </c>
      <c r="G8" s="7" t="str">
        <f>VLOOKUP($A8,[10]HISTOAOUT22!$A$7:$AU$38,8,0)</f>
        <v>BANQUE</v>
      </c>
      <c r="H8" s="7">
        <f>VLOOKUP($A8,[10]HISTOAOUT22!$A$7:$AU$38,35,0)</f>
        <v>0</v>
      </c>
      <c r="I8" s="7">
        <f>VLOOKUP($A8,[10]HISTOAOUT22!$A$7:$AU$38,38,0)</f>
        <v>0</v>
      </c>
      <c r="J8" s="7">
        <f>IF(I8=0,0,VLOOKUP($A8,[10]HISTOAOUT22!$A$7:$AU$38,42,0))</f>
        <v>0</v>
      </c>
      <c r="K8" s="7">
        <f>VLOOKUP($A8,[10]HISTOAOUT22!$A$7:$AU$38,41,0)</f>
        <v>0</v>
      </c>
      <c r="L8" s="7">
        <f>+TONTJUIL22!H8+TONTJUIL22!I8</f>
        <v>0</v>
      </c>
      <c r="M8" s="7">
        <f>VLOOKUP($A8,[10]HISTOAOUT22!$A$7:$AU$38,16,0)</f>
        <v>0</v>
      </c>
      <c r="N8" s="7" t="str">
        <f>IF(M8&lt;&gt;0,VLOOKUP($A8,[10]HISTOAOUT22!$A$7:$AU$38,8,0),"ECHEC")</f>
        <v>ECHEC</v>
      </c>
      <c r="O8" s="7">
        <f>IF(R8=0,0,VLOOKUP($A8,[10]HISTOAOUT22!$A$7:$AU$38,32,0))</f>
        <v>0</v>
      </c>
      <c r="P8" s="7">
        <f>VLOOKUP($A8,[10]HISTOAOUT22!$A$7:$AU$38,33,0)</f>
        <v>0</v>
      </c>
      <c r="Q8" s="7">
        <f t="shared" si="0"/>
        <v>0</v>
      </c>
      <c r="R8" s="7">
        <f>VLOOKUP($A8,[10]HISTOAOUT22!$A$7:$AU$38,29,0)</f>
        <v>0</v>
      </c>
      <c r="S8" s="21">
        <f t="shared" si="2"/>
        <v>0</v>
      </c>
    </row>
    <row r="9" spans="1:19" x14ac:dyDescent="0.25">
      <c r="A9" s="1" t="s">
        <v>11</v>
      </c>
      <c r="B9" s="7">
        <f>IF(D9=0,0,VLOOKUP($A9,[8]HISTOJANV22!$A$6:$AZ$36,9,0))</f>
        <v>1</v>
      </c>
      <c r="C9" s="1" t="str">
        <f>VLOOKUP(A9,[9]LISTADHERENT!A$5:H$60,3,0)</f>
        <v>DJOUKWE NANGUEN GUY BLAISE</v>
      </c>
      <c r="D9" s="7">
        <f t="shared" si="1"/>
        <v>23000</v>
      </c>
      <c r="E9" s="7">
        <f>D9+VLOOKUP($A9,[10]HISTOAOUT22!$A$7:$AU$38,45,0)+F9</f>
        <v>30000</v>
      </c>
      <c r="F9" s="7">
        <f>VLOOKUP($A9,[10]HISTOAOUT22!$A$7:$AU$38,7,0)</f>
        <v>0</v>
      </c>
      <c r="G9" s="7" t="str">
        <f>VLOOKUP($A9,[10]HISTOAOUT22!$A$7:$AU$38,8,0)</f>
        <v>BANQUE</v>
      </c>
      <c r="H9" s="7">
        <f>VLOOKUP($A9,[10]HISTOAOUT22!$A$7:$AU$38,35,0)</f>
        <v>50000</v>
      </c>
      <c r="I9" s="7">
        <f>VLOOKUP($A9,[10]HISTOAOUT22!$A$7:$AU$38,38,0)</f>
        <v>1000</v>
      </c>
      <c r="J9" s="7" t="str">
        <f>IF(I9=0,0,VLOOKUP($A9,[10]HISTOAOUT22!$A$7:$AU$38,42,0))</f>
        <v>BANQUE</v>
      </c>
      <c r="K9" s="7">
        <f>VLOOKUP($A9,[10]HISTOAOUT22!$A$7:$AU$38,41,0)</f>
        <v>0</v>
      </c>
      <c r="L9" s="7">
        <f>+TONTJUIL22!H9+TONTJUIL22!I9</f>
        <v>0</v>
      </c>
      <c r="M9" s="7">
        <f>VLOOKUP($A9,[10]HISTOAOUT22!$A$7:$AU$38,16,0)</f>
        <v>0</v>
      </c>
      <c r="N9" s="7" t="str">
        <f>IF(M9&lt;&gt;0,VLOOKUP($A9,[10]HISTOAOUT22!$A$7:$AU$38,8,0),"ECHEC")</f>
        <v>ECHEC</v>
      </c>
      <c r="O9" s="7">
        <f>IF(R9=0,0,VLOOKUP($A9,[10]HISTOAOUT22!$A$7:$AU$38,32,0))</f>
        <v>0</v>
      </c>
      <c r="P9" s="7">
        <f>VLOOKUP($A9,[10]HISTOAOUT22!$A$7:$AU$38,33,0)</f>
        <v>0</v>
      </c>
      <c r="Q9" s="7">
        <f t="shared" si="0"/>
        <v>0</v>
      </c>
      <c r="R9" s="7">
        <f>VLOOKUP($A9,[10]HISTOAOUT22!$A$7:$AU$38,29,0)</f>
        <v>0</v>
      </c>
      <c r="S9" s="21">
        <f t="shared" si="2"/>
        <v>0</v>
      </c>
    </row>
    <row r="10" spans="1:19" x14ac:dyDescent="0.25">
      <c r="A10" s="1" t="s">
        <v>12</v>
      </c>
      <c r="B10" s="7">
        <f>IF(D10=0,0,VLOOKUP($A10,[8]HISTOJANV22!$A$6:$AZ$36,9,0))</f>
        <v>1</v>
      </c>
      <c r="C10" s="1" t="str">
        <f>VLOOKUP(A10,[9]LISTADHERENT!A$5:H$60,3,0)</f>
        <v>DJUOMBESSY ANTOINE</v>
      </c>
      <c r="D10" s="7">
        <f t="shared" si="1"/>
        <v>23000</v>
      </c>
      <c r="E10" s="7">
        <f>D10+VLOOKUP($A10,[10]HISTOAOUT22!$A$7:$AU$38,45,0)+F10</f>
        <v>35000</v>
      </c>
      <c r="F10" s="7">
        <f>VLOOKUP($A10,[10]HISTOAOUT22!$A$7:$AU$38,7,0)</f>
        <v>0</v>
      </c>
      <c r="G10" s="7" t="str">
        <f>VLOOKUP($A10,[10]HISTOAOUT22!$A$7:$AU$38,8,0)</f>
        <v>BANQUE</v>
      </c>
      <c r="H10" s="7">
        <f>VLOOKUP($A10,[10]HISTOAOUT22!$A$7:$AU$38,35,0)</f>
        <v>68000</v>
      </c>
      <c r="I10" s="7">
        <f>VLOOKUP($A10,[10]HISTOAOUT22!$A$7:$AU$38,38,0)</f>
        <v>1000</v>
      </c>
      <c r="J10" s="7" t="str">
        <f>IF(I10=0,0,VLOOKUP($A10,[10]HISTOAOUT22!$A$7:$AU$38,42,0))</f>
        <v>BANQUE</v>
      </c>
      <c r="K10" s="7">
        <f>VLOOKUP($A10,[10]HISTOAOUT22!$A$7:$AU$38,41,0)</f>
        <v>0</v>
      </c>
      <c r="L10" s="7">
        <f>+TONTJUIL22!H10+TONTJUIL22!I10</f>
        <v>0</v>
      </c>
      <c r="M10" s="7">
        <f>VLOOKUP($A10,[10]HISTOAOUT22!$A$7:$AU$38,16,0)</f>
        <v>0</v>
      </c>
      <c r="N10" s="7" t="str">
        <f>IF(M10&lt;&gt;0,VLOOKUP($A10,[10]HISTOAOUT22!$A$7:$AU$38,8,0),"ECHEC")</f>
        <v>ECHEC</v>
      </c>
      <c r="O10" s="7" t="str">
        <f>IF(R10=0,0,VLOOKUP($A10,[10]HISTOAOUT22!$A$7:$AU$38,32,0))</f>
        <v>BANQUE</v>
      </c>
      <c r="P10" s="7">
        <f>VLOOKUP($A10,[10]HISTOAOUT22!$A$7:$AU$38,33,0)</f>
        <v>0</v>
      </c>
      <c r="Q10" s="7">
        <f t="shared" si="0"/>
        <v>277000</v>
      </c>
      <c r="R10" s="7">
        <f>VLOOKUP($A10,[10]HISTOAOUT22!$A$7:$AU$38,29,0)</f>
        <v>23000</v>
      </c>
      <c r="S10" s="21">
        <f t="shared" si="2"/>
        <v>0</v>
      </c>
    </row>
    <row r="11" spans="1:19" x14ac:dyDescent="0.25">
      <c r="A11" s="1" t="s">
        <v>50</v>
      </c>
      <c r="B11" s="7">
        <f>IF(D11=0,0,VLOOKUP($A11,[8]HISTOJANV22!$A$6:$AZ$36,9,0))</f>
        <v>1</v>
      </c>
      <c r="C11" s="1" t="str">
        <f>VLOOKUP(A11,[9]LISTADHERENT!A$5:H$60,3,0)</f>
        <v>DOMOU FABIEN</v>
      </c>
      <c r="D11" s="7">
        <f t="shared" si="1"/>
        <v>23000</v>
      </c>
      <c r="E11" s="7">
        <f>D11+VLOOKUP($A11,[10]HISTOAOUT22!$A$7:$AU$38,45,0)+F11</f>
        <v>35000</v>
      </c>
      <c r="F11" s="7">
        <f>VLOOKUP($A11,[10]HISTOAOUT22!$A$7:$AU$38,7,0)</f>
        <v>0</v>
      </c>
      <c r="G11" s="7" t="str">
        <f>VLOOKUP($A11,[10]HISTOAOUT22!$A$7:$AU$38,8,0)</f>
        <v>BANQUE</v>
      </c>
      <c r="H11" s="7">
        <f>VLOOKUP($A11,[10]HISTOAOUT22!$A$7:$AU$38,35,0)</f>
        <v>0</v>
      </c>
      <c r="I11" s="7">
        <f>VLOOKUP($A11,[10]HISTOAOUT22!$A$7:$AU$38,38,0)</f>
        <v>0</v>
      </c>
      <c r="J11" s="7">
        <f>IF(I11=0,0,VLOOKUP($A11,[10]HISTOAOUT22!$A$7:$AU$38,42,0))</f>
        <v>0</v>
      </c>
      <c r="K11" s="7">
        <f>VLOOKUP($A11,[10]HISTOAOUT22!$A$7:$AU$38,41,0)</f>
        <v>0</v>
      </c>
      <c r="L11" s="7">
        <f>+TONTJUIL22!H11+TONTJUIL22!I11</f>
        <v>0</v>
      </c>
      <c r="M11" s="7">
        <f>VLOOKUP($A11,[10]HISTOAOUT22!$A$7:$AU$38,16,0)</f>
        <v>0</v>
      </c>
      <c r="N11" s="7" t="str">
        <f>IF(M11&lt;&gt;0,VLOOKUP($A11,[10]HISTOAOUT22!$A$7:$AU$38,8,0),"ECHEC")</f>
        <v>ECHEC</v>
      </c>
      <c r="O11" s="7">
        <f>IF(R11=0,0,VLOOKUP($A11,[10]HISTOAOUT22!$A$7:$AU$38,32,0))</f>
        <v>0</v>
      </c>
      <c r="P11" s="7">
        <f>VLOOKUP($A11,[10]HISTOAOUT22!$A$7:$AU$38,33,0)</f>
        <v>0</v>
      </c>
      <c r="Q11" s="7">
        <f t="shared" si="0"/>
        <v>0</v>
      </c>
      <c r="R11" s="7">
        <f>VLOOKUP($A11,[10]HISTOAOUT22!$A$7:$AU$38,29,0)</f>
        <v>0</v>
      </c>
      <c r="S11" s="21">
        <f t="shared" si="2"/>
        <v>0</v>
      </c>
    </row>
    <row r="12" spans="1:19" x14ac:dyDescent="0.25">
      <c r="A12" s="1" t="s">
        <v>13</v>
      </c>
      <c r="B12" s="7">
        <f>IF(D12=0,0,VLOOKUP($A12,[8]HISTOJANV22!$A$6:$AZ$36,9,0))</f>
        <v>1</v>
      </c>
      <c r="C12" s="1" t="str">
        <f>VLOOKUP(A12,[9]LISTADHERENT!A$5:H$60,3,0)</f>
        <v>DONHOU DAVID</v>
      </c>
      <c r="D12" s="7">
        <f t="shared" si="1"/>
        <v>23000</v>
      </c>
      <c r="E12" s="7">
        <f>D12+VLOOKUP($A12,[10]HISTOAOUT22!$A$7:$AU$38,45,0)+F12</f>
        <v>35000</v>
      </c>
      <c r="F12" s="7">
        <f>VLOOKUP($A12,[10]HISTOAOUT22!$A$7:$AU$38,7,0)</f>
        <v>0</v>
      </c>
      <c r="G12" s="7" t="str">
        <f>VLOOKUP($A12,[10]HISTOAOUT22!$A$7:$AU$38,8,0)</f>
        <v>BANQUE</v>
      </c>
      <c r="H12" s="7">
        <f>VLOOKUP($A12,[10]HISTOAOUT22!$A$7:$AU$38,35,0)</f>
        <v>0</v>
      </c>
      <c r="I12" s="7">
        <f>VLOOKUP($A12,[10]HISTOAOUT22!$A$7:$AU$38,38,0)</f>
        <v>0</v>
      </c>
      <c r="J12" s="7">
        <f>IF(I12=0,0,VLOOKUP($A12,[10]HISTOAOUT22!$A$7:$AU$38,42,0))</f>
        <v>0</v>
      </c>
      <c r="K12" s="7">
        <f>VLOOKUP($A12,[10]HISTOAOUT22!$A$7:$AU$38,41,0)</f>
        <v>0</v>
      </c>
      <c r="L12" s="7">
        <f>+TONTJUIL22!H12+TONTJUIL22!I12</f>
        <v>0</v>
      </c>
      <c r="M12" s="7">
        <f>VLOOKUP($A12,[10]HISTOAOUT22!$A$7:$AU$38,16,0)</f>
        <v>0</v>
      </c>
      <c r="N12" s="7" t="str">
        <f>IF(M12&lt;&gt;0,VLOOKUP($A12,[10]HISTOAOUT22!$A$7:$AU$38,8,0),"ECHEC")</f>
        <v>ECHEC</v>
      </c>
      <c r="O12" s="7">
        <f>IF(R12=0,0,VLOOKUP($A12,[10]HISTOAOUT22!$A$7:$AU$38,32,0))</f>
        <v>0</v>
      </c>
      <c r="P12" s="7">
        <f>VLOOKUP($A12,[10]HISTOAOUT22!$A$7:$AU$38,33,0)</f>
        <v>0</v>
      </c>
      <c r="Q12" s="7">
        <f t="shared" si="0"/>
        <v>0</v>
      </c>
      <c r="R12" s="7">
        <f>VLOOKUP($A12,[10]HISTOAOUT22!$A$7:$AU$38,29,0)</f>
        <v>0</v>
      </c>
      <c r="S12" s="21">
        <f t="shared" si="2"/>
        <v>0</v>
      </c>
    </row>
    <row r="13" spans="1:19" x14ac:dyDescent="0.25">
      <c r="A13" s="1" t="s">
        <v>15</v>
      </c>
      <c r="B13" s="7">
        <f>IF(D13=0,0,VLOOKUP($A13,[8]HISTOJANV22!$A$6:$AZ$36,9,0))</f>
        <v>1</v>
      </c>
      <c r="C13" s="1" t="str">
        <f>VLOOKUP(A13,[9]LISTADHERENT!A$5:H$60,3,0)</f>
        <v>HENGUE PAUL OMER</v>
      </c>
      <c r="D13" s="7">
        <f t="shared" si="1"/>
        <v>23000</v>
      </c>
      <c r="E13" s="7">
        <f>D13+VLOOKUP($A13,[10]HISTOAOUT22!$A$7:$AU$38,45,0)+F13</f>
        <v>30000</v>
      </c>
      <c r="F13" s="7">
        <f>VLOOKUP($A13,[10]HISTOAOUT22!$A$7:$AU$38,7,0)</f>
        <v>0</v>
      </c>
      <c r="G13" s="7" t="str">
        <f>VLOOKUP($A13,[10]HISTOAOUT22!$A$7:$AU$38,8,0)</f>
        <v>BANQUE</v>
      </c>
      <c r="H13" s="7">
        <f>VLOOKUP($A13,[10]HISTOAOUT22!$A$7:$AU$38,35,0)</f>
        <v>0</v>
      </c>
      <c r="I13" s="7">
        <f>VLOOKUP($A13,[10]HISTOAOUT22!$A$7:$AU$38,38,0)</f>
        <v>0</v>
      </c>
      <c r="J13" s="7">
        <f>IF(I13=0,0,VLOOKUP($A13,[10]HISTOAOUT22!$A$7:$AU$38,42,0))</f>
        <v>0</v>
      </c>
      <c r="K13" s="7">
        <f>VLOOKUP($A13,[10]HISTOAOUT22!$A$7:$AU$38,41,0)</f>
        <v>0</v>
      </c>
      <c r="L13" s="7">
        <f>+TONTJUIL22!H13+TONTJUIL22!I13</f>
        <v>0</v>
      </c>
      <c r="M13" s="7">
        <f>VLOOKUP($A13,[10]HISTOAOUT22!$A$7:$AU$38,16,0)</f>
        <v>0</v>
      </c>
      <c r="N13" s="7" t="str">
        <f>IF(M13&lt;&gt;0,VLOOKUP($A13,[10]HISTOAOUT22!$A$7:$AU$38,8,0),"ECHEC")</f>
        <v>ECHEC</v>
      </c>
      <c r="O13" s="7" t="str">
        <f>IF(R13=0,0,VLOOKUP($A13,[10]HISTOAOUT22!$A$7:$AU$38,32,0))</f>
        <v>BANQUE</v>
      </c>
      <c r="P13" s="7">
        <f>VLOOKUP($A13,[10]HISTOAOUT22!$A$7:$AU$38,33,0)</f>
        <v>0</v>
      </c>
      <c r="Q13" s="7">
        <f t="shared" si="0"/>
        <v>277000</v>
      </c>
      <c r="R13" s="7">
        <f>VLOOKUP($A13,[10]HISTOAOUT22!$A$7:$AU$38,29,0)</f>
        <v>23000</v>
      </c>
      <c r="S13" s="21">
        <f t="shared" si="2"/>
        <v>0</v>
      </c>
    </row>
    <row r="14" spans="1:19" x14ac:dyDescent="0.25">
      <c r="A14" s="1" t="s">
        <v>16</v>
      </c>
      <c r="B14" s="7">
        <f>IF(D14=0,0,VLOOKUP($A14,[8]HISTOJANV22!$A$6:$AZ$36,9,0))</f>
        <v>1</v>
      </c>
      <c r="C14" s="1" t="str">
        <f>VLOOKUP(A14,[9]LISTADHERENT!A$5:H$60,3,0)</f>
        <v>HOTCHO BENJAMIN</v>
      </c>
      <c r="D14" s="7">
        <f t="shared" si="1"/>
        <v>23000</v>
      </c>
      <c r="E14" s="7">
        <f>D14+VLOOKUP($A14,[10]HISTOAOUT22!$A$7:$AU$38,45,0)+F14</f>
        <v>75000</v>
      </c>
      <c r="F14" s="7">
        <f>VLOOKUP($A14,[10]HISTOAOUT22!$A$7:$AU$38,7,0)</f>
        <v>0</v>
      </c>
      <c r="G14" s="7" t="str">
        <f>VLOOKUP($A14,[10]HISTOAOUT22!$A$7:$AU$38,8,0)</f>
        <v>BANQUE</v>
      </c>
      <c r="H14" s="7">
        <f>VLOOKUP($A14,[10]HISTOAOUT22!$A$7:$AU$38,35,0)</f>
        <v>0</v>
      </c>
      <c r="I14" s="7">
        <f>VLOOKUP($A14,[10]HISTOAOUT22!$A$7:$AU$38,38,0)</f>
        <v>0</v>
      </c>
      <c r="J14" s="7">
        <f>IF(I14=0,0,VLOOKUP($A14,[10]HISTOAOUT22!$A$7:$AU$38,42,0))</f>
        <v>0</v>
      </c>
      <c r="K14" s="7">
        <f>VLOOKUP($A14,[10]HISTOAOUT22!$A$7:$AU$38,41,0)</f>
        <v>0</v>
      </c>
      <c r="L14" s="7">
        <f>+TONTJUIL22!H14+TONTJUIL22!I14</f>
        <v>0</v>
      </c>
      <c r="M14" s="7">
        <f>VLOOKUP($A14,[10]HISTOAOUT22!$A$7:$AU$38,16,0)</f>
        <v>0</v>
      </c>
      <c r="N14" s="7" t="str">
        <f>IF(M14&lt;&gt;0,VLOOKUP($A14,[10]HISTOAOUT22!$A$7:$AU$38,8,0),"ECHEC")</f>
        <v>ECHEC</v>
      </c>
      <c r="O14" s="7">
        <f>IF(R14=0,0,VLOOKUP($A14,[10]HISTOAOUT22!$A$7:$AU$38,32,0))</f>
        <v>0</v>
      </c>
      <c r="P14" s="7">
        <f>VLOOKUP($A14,[10]HISTOAOUT22!$A$7:$AU$38,33,0)</f>
        <v>0</v>
      </c>
      <c r="Q14" s="7">
        <f t="shared" si="0"/>
        <v>0</v>
      </c>
      <c r="R14" s="7">
        <f>VLOOKUP($A14,[10]HISTOAOUT22!$A$7:$AU$38,29,0)</f>
        <v>0</v>
      </c>
      <c r="S14" s="21">
        <f t="shared" si="2"/>
        <v>0</v>
      </c>
    </row>
    <row r="15" spans="1:19" x14ac:dyDescent="0.25">
      <c r="A15" s="1" t="s">
        <v>17</v>
      </c>
      <c r="B15" s="7">
        <f>IF(D15=0,0,VLOOKUP($A15,[8]HISTOJANV22!$A$6:$AZ$36,9,0))</f>
        <v>1</v>
      </c>
      <c r="C15" s="1" t="str">
        <f>VLOOKUP(A15,[9]LISTADHERENT!A$5:H$60,3,0)</f>
        <v>KOUAMOU MOISE</v>
      </c>
      <c r="D15" s="7">
        <f t="shared" si="1"/>
        <v>23000</v>
      </c>
      <c r="E15" s="7">
        <f>D15+VLOOKUP($A15,[10]HISTOAOUT22!$A$7:$AU$38,45,0)+F15</f>
        <v>30000</v>
      </c>
      <c r="F15" s="7">
        <f>VLOOKUP($A15,[10]HISTOAOUT22!$A$7:$AU$38,7,0)</f>
        <v>0</v>
      </c>
      <c r="G15" s="7" t="str">
        <f>VLOOKUP($A15,[10]HISTOAOUT22!$A$7:$AU$38,8,0)</f>
        <v>BANQUE</v>
      </c>
      <c r="H15" s="7">
        <f>VLOOKUP($A15,[10]HISTOAOUT22!$A$7:$AU$38,35,0)</f>
        <v>0</v>
      </c>
      <c r="I15" s="7">
        <f>VLOOKUP($A15,[10]HISTOAOUT22!$A$7:$AU$38,38,0)</f>
        <v>0</v>
      </c>
      <c r="J15" s="7">
        <f>IF(I15=0,0,VLOOKUP($A15,[10]HISTOAOUT22!$A$7:$AU$38,42,0))</f>
        <v>0</v>
      </c>
      <c r="K15" s="7">
        <f>VLOOKUP($A15,[10]HISTOAOUT22!$A$7:$AU$38,41,0)</f>
        <v>0</v>
      </c>
      <c r="L15" s="7">
        <f>+TONTJUIL22!H15+TONTJUIL22!I15</f>
        <v>0</v>
      </c>
      <c r="M15" s="7">
        <f>VLOOKUP($A15,[10]HISTOAOUT22!$A$7:$AU$38,16,0)</f>
        <v>0</v>
      </c>
      <c r="N15" s="7" t="str">
        <f>IF(M15&lt;&gt;0,VLOOKUP($A15,[10]HISTOAOUT22!$A$7:$AU$38,8,0),"ECHEC")</f>
        <v>ECHEC</v>
      </c>
      <c r="O15" s="7">
        <f>IF(R15=0,0,VLOOKUP($A15,[10]HISTOAOUT22!$A$7:$AU$38,32,0))</f>
        <v>0</v>
      </c>
      <c r="P15" s="7">
        <f>VLOOKUP($A15,[10]HISTOAOUT22!$A$7:$AU$38,33,0)</f>
        <v>0</v>
      </c>
      <c r="Q15" s="7">
        <f t="shared" si="0"/>
        <v>0</v>
      </c>
      <c r="R15" s="7">
        <f>VLOOKUP($A15,[10]HISTOAOUT22!$A$7:$AU$38,29,0)</f>
        <v>0</v>
      </c>
      <c r="S15" s="21">
        <f t="shared" si="2"/>
        <v>0</v>
      </c>
    </row>
    <row r="16" spans="1:19" x14ac:dyDescent="0.25">
      <c r="A16" s="1" t="s">
        <v>18</v>
      </c>
      <c r="B16" s="7">
        <f>IF(D16=0,0,VLOOKUP($A16,[8]HISTOJANV22!$A$6:$AZ$36,9,0))</f>
        <v>1</v>
      </c>
      <c r="C16" s="1" t="str">
        <f>VLOOKUP(A16,[9]LISTADHERENT!A$5:H$60,3,0)</f>
        <v>KOUATCHO MESSACK</v>
      </c>
      <c r="D16" s="7">
        <f t="shared" si="1"/>
        <v>23000</v>
      </c>
      <c r="E16" s="7">
        <f>D16+VLOOKUP($A16,[10]HISTOAOUT22!$A$7:$AU$38,45,0)+F16</f>
        <v>33000</v>
      </c>
      <c r="F16" s="7">
        <f>VLOOKUP($A16,[10]HISTOAOUT22!$A$7:$AU$38,7,0)</f>
        <v>3000</v>
      </c>
      <c r="G16" s="7" t="str">
        <f>VLOOKUP($A16,[10]HISTOAOUT22!$A$7:$AU$38,8,0)</f>
        <v>BANQUE</v>
      </c>
      <c r="H16" s="7">
        <f>VLOOKUP($A16,[10]HISTOAOUT22!$A$7:$AU$38,35,0)</f>
        <v>0</v>
      </c>
      <c r="I16" s="7">
        <f>VLOOKUP($A16,[10]HISTOAOUT22!$A$7:$AU$38,38,0)</f>
        <v>0</v>
      </c>
      <c r="J16" s="7">
        <f>IF(I16=0,0,VLOOKUP($A16,[10]HISTOAOUT22!$A$7:$AU$38,42,0))</f>
        <v>0</v>
      </c>
      <c r="K16" s="7">
        <f>VLOOKUP($A16,[10]HISTOAOUT22!$A$7:$AU$38,41,0)</f>
        <v>0</v>
      </c>
      <c r="L16" s="7">
        <f>+TONTJUIL22!H16+TONTJUIL22!I16</f>
        <v>0</v>
      </c>
      <c r="M16" s="7">
        <f>VLOOKUP($A16,[10]HISTOAOUT22!$A$7:$AU$38,16,0)</f>
        <v>0</v>
      </c>
      <c r="N16" s="7" t="str">
        <f>IF(M16&lt;&gt;0,VLOOKUP($A16,[10]HISTOAOUT22!$A$7:$AU$38,8,0),"ECHEC")</f>
        <v>ECHEC</v>
      </c>
      <c r="O16" s="7">
        <f>IF(R16=0,0,VLOOKUP($A16,[10]HISTOAOUT22!$A$7:$AU$38,32,0))</f>
        <v>0</v>
      </c>
      <c r="P16" s="7">
        <f>VLOOKUP($A16,[10]HISTOAOUT22!$A$7:$AU$38,33,0)</f>
        <v>0</v>
      </c>
      <c r="Q16" s="7">
        <f t="shared" si="0"/>
        <v>0</v>
      </c>
      <c r="R16" s="7">
        <f>VLOOKUP($A16,[10]HISTOAOUT22!$A$7:$AU$38,29,0)</f>
        <v>0</v>
      </c>
      <c r="S16" s="21">
        <f t="shared" si="2"/>
        <v>0</v>
      </c>
    </row>
    <row r="17" spans="1:19" x14ac:dyDescent="0.25">
      <c r="A17" s="1" t="s">
        <v>19</v>
      </c>
      <c r="B17" s="7">
        <f>IF(D17=0,0,VLOOKUP($A17,[8]HISTOJANV22!$A$6:$AZ$36,9,0))</f>
        <v>1</v>
      </c>
      <c r="C17" s="1" t="str">
        <f>VLOOKUP(A17,[9]LISTADHERENT!A$5:H$60,3,0)</f>
        <v>LOWE JEAN</v>
      </c>
      <c r="D17" s="7">
        <f t="shared" si="1"/>
        <v>23000</v>
      </c>
      <c r="E17" s="7">
        <f>D17+VLOOKUP($A17,[10]HISTOAOUT22!$A$7:$AU$38,45,0)+F17</f>
        <v>30000</v>
      </c>
      <c r="F17" s="7">
        <f>VLOOKUP($A17,[10]HISTOAOUT22!$A$7:$AU$38,7,0)</f>
        <v>0</v>
      </c>
      <c r="G17" s="7" t="str">
        <f>VLOOKUP($A17,[10]HISTOAOUT22!$A$7:$AU$38,8,0)</f>
        <v>BANQUE</v>
      </c>
      <c r="H17" s="7">
        <f>VLOOKUP($A17,[10]HISTOAOUT22!$A$7:$AU$38,35,0)</f>
        <v>0</v>
      </c>
      <c r="I17" s="7">
        <f>VLOOKUP($A17,[10]HISTOAOUT22!$A$7:$AU$38,38,0)</f>
        <v>0</v>
      </c>
      <c r="J17" s="7">
        <f>IF(I17=0,0,VLOOKUP($A17,[10]HISTOAOUT22!$A$7:$AU$38,42,0))</f>
        <v>0</v>
      </c>
      <c r="K17" s="7">
        <f>VLOOKUP($A17,[10]HISTOAOUT22!$A$7:$AU$38,41,0)</f>
        <v>0</v>
      </c>
      <c r="L17" s="7">
        <f>+TONTJUIL22!H17+TONTJUIL22!I17</f>
        <v>0</v>
      </c>
      <c r="M17" s="7">
        <f>VLOOKUP($A17,[10]HISTOAOUT22!$A$7:$AU$38,16,0)</f>
        <v>0</v>
      </c>
      <c r="N17" s="7" t="str">
        <f>IF(M17&lt;&gt;0,VLOOKUP($A17,[10]HISTOAOUT22!$A$7:$AU$38,8,0),"ECHEC")</f>
        <v>ECHEC</v>
      </c>
      <c r="O17" s="7">
        <f>IF(R17=0,0,VLOOKUP($A17,[10]HISTOAOUT22!$A$7:$AU$38,32,0))</f>
        <v>0</v>
      </c>
      <c r="P17" s="7">
        <f>VLOOKUP($A17,[10]HISTOAOUT22!$A$7:$AU$38,33,0)</f>
        <v>0</v>
      </c>
      <c r="Q17" s="7">
        <f t="shared" si="0"/>
        <v>0</v>
      </c>
      <c r="R17" s="7">
        <f>VLOOKUP($A17,[10]HISTOAOUT22!$A$7:$AU$38,29,0)</f>
        <v>0</v>
      </c>
      <c r="S17" s="21">
        <f t="shared" si="2"/>
        <v>0</v>
      </c>
    </row>
    <row r="18" spans="1:19" x14ac:dyDescent="0.25">
      <c r="A18" s="1" t="s">
        <v>49</v>
      </c>
      <c r="B18" s="7">
        <f>IF(D18=0,0,VLOOKUP($A18,[8]HISTOJANV22!$A$6:$AZ$36,9,0))</f>
        <v>1</v>
      </c>
      <c r="C18" s="1" t="str">
        <f>VLOOKUP(A18,[9]LISTADHERENT!A$5:H$60,3,0)</f>
        <v>MBOGNING TUGMA GUY</v>
      </c>
      <c r="D18" s="7">
        <f t="shared" si="1"/>
        <v>23000</v>
      </c>
      <c r="E18" s="7">
        <f>D18+VLOOKUP($A18,[10]HISTOAOUT22!$A$7:$AU$38,45,0)+F18</f>
        <v>30000</v>
      </c>
      <c r="F18" s="7">
        <f>VLOOKUP($A18,[10]HISTOAOUT22!$A$7:$AU$38,7,0)</f>
        <v>0</v>
      </c>
      <c r="G18" s="7" t="str">
        <f>VLOOKUP($A18,[10]HISTOAOUT22!$A$7:$AU$38,8,0)</f>
        <v>BANQUE</v>
      </c>
      <c r="H18" s="7">
        <f>VLOOKUP($A18,[10]HISTOAOUT22!$A$7:$AU$38,35,0)</f>
        <v>0</v>
      </c>
      <c r="I18" s="7">
        <f>VLOOKUP($A18,[10]HISTOAOUT22!$A$7:$AU$38,38,0)</f>
        <v>0</v>
      </c>
      <c r="J18" s="7">
        <f>IF(I18=0,0,VLOOKUP($A18,[10]HISTOAOUT22!$A$7:$AU$38,42,0))</f>
        <v>0</v>
      </c>
      <c r="K18" s="7">
        <f>VLOOKUP($A18,[10]HISTOAOUT22!$A$7:$AU$38,41,0)</f>
        <v>0</v>
      </c>
      <c r="L18" s="7">
        <f>+TONTJUIL22!H18+TONTJUIL22!I18</f>
        <v>0</v>
      </c>
      <c r="M18" s="7">
        <f>VLOOKUP($A18,[10]HISTOAOUT22!$A$7:$AU$38,16,0)</f>
        <v>0</v>
      </c>
      <c r="N18" s="7" t="str">
        <f>IF(M18&lt;&gt;0,VLOOKUP($A18,[10]HISTOAOUT22!$A$7:$AU$38,8,0),"ECHEC")</f>
        <v>ECHEC</v>
      </c>
      <c r="O18" s="7">
        <f>IF(R18=0,0,VLOOKUP($A18,[10]HISTOAOUT22!$A$7:$AU$38,32,0))</f>
        <v>0</v>
      </c>
      <c r="P18" s="7">
        <f>VLOOKUP($A18,[10]HISTOAOUT22!$A$7:$AU$38,33,0)</f>
        <v>0</v>
      </c>
      <c r="Q18" s="7">
        <f t="shared" si="0"/>
        <v>0</v>
      </c>
      <c r="R18" s="7">
        <f>VLOOKUP($A18,[10]HISTOAOUT22!$A$7:$AU$38,29,0)</f>
        <v>0</v>
      </c>
      <c r="S18" s="21">
        <f t="shared" si="2"/>
        <v>0</v>
      </c>
    </row>
    <row r="19" spans="1:19" x14ac:dyDescent="0.25">
      <c r="A19" s="1" t="s">
        <v>30</v>
      </c>
      <c r="B19" s="7">
        <f>IF(D19=0,0,VLOOKUP($A19,[8]HISTOJANV22!$A$6:$AZ$36,9,0))</f>
        <v>1</v>
      </c>
      <c r="C19" s="1" t="str">
        <f>VLOOKUP(A19,[9]LISTADHERENT!A$5:H$60,3,0)</f>
        <v>NANGUEN MARTIN</v>
      </c>
      <c r="D19" s="7">
        <f t="shared" si="1"/>
        <v>23000</v>
      </c>
      <c r="E19" s="7">
        <f>D19+VLOOKUP($A19,[10]HISTOAOUT22!$A$7:$AU$38,45,0)+F19</f>
        <v>30000</v>
      </c>
      <c r="F19" s="7">
        <f>VLOOKUP($A19,[10]HISTOAOUT22!$A$7:$AU$38,7,0)</f>
        <v>0</v>
      </c>
      <c r="G19" s="7" t="str">
        <f>VLOOKUP($A19,[10]HISTOAOUT22!$A$7:$AU$38,8,0)</f>
        <v>BANQUE</v>
      </c>
      <c r="H19" s="7">
        <f>VLOOKUP($A19,[10]HISTOAOUT22!$A$7:$AU$38,35,0)</f>
        <v>0</v>
      </c>
      <c r="I19" s="7">
        <f>VLOOKUP($A19,[10]HISTOAOUT22!$A$7:$AU$38,38,0)</f>
        <v>0</v>
      </c>
      <c r="J19" s="7">
        <f>IF(I19=0,0,VLOOKUP($A19,[10]HISTOAOUT22!$A$7:$AU$38,42,0))</f>
        <v>0</v>
      </c>
      <c r="K19" s="7">
        <f>VLOOKUP($A19,[10]HISTOAOUT22!$A$7:$AU$38,41,0)</f>
        <v>0</v>
      </c>
      <c r="L19" s="7">
        <f>+TONTJUIL22!H19+TONTJUIL22!I19</f>
        <v>0</v>
      </c>
      <c r="M19" s="7">
        <f>VLOOKUP($A19,[10]HISTOAOUT22!$A$7:$AU$38,16,0)</f>
        <v>0</v>
      </c>
      <c r="N19" s="7" t="str">
        <f>IF(M19&lt;&gt;0,VLOOKUP($A19,[10]HISTOAOUT22!$A$7:$AU$38,8,0),"ECHEC")</f>
        <v>ECHEC</v>
      </c>
      <c r="O19" s="7">
        <f>IF(R19=0,0,VLOOKUP($A19,[10]HISTOAOUT22!$A$7:$AU$38,32,0))</f>
        <v>0</v>
      </c>
      <c r="P19" s="7">
        <f>VLOOKUP($A19,[10]HISTOAOUT22!$A$7:$AU$38,33,0)</f>
        <v>0</v>
      </c>
      <c r="Q19" s="7">
        <f t="shared" si="0"/>
        <v>0</v>
      </c>
      <c r="R19" s="7">
        <f>VLOOKUP($A19,[10]HISTOAOUT22!$A$7:$AU$38,29,0)</f>
        <v>0</v>
      </c>
      <c r="S19" s="21">
        <f t="shared" si="2"/>
        <v>0</v>
      </c>
    </row>
    <row r="20" spans="1:19" x14ac:dyDescent="0.25">
      <c r="A20" s="1" t="s">
        <v>20</v>
      </c>
      <c r="B20" s="7">
        <f>IF(D20=0,0,VLOOKUP($A20,[8]HISTOJANV22!$A$6:$AZ$36,9,0))</f>
        <v>1</v>
      </c>
      <c r="C20" s="1" t="str">
        <f>VLOOKUP(A20,[9]LISTADHERENT!A$5:H$60,3,0)</f>
        <v>NANKAM APPOLINAIRE</v>
      </c>
      <c r="D20" s="7">
        <f t="shared" si="1"/>
        <v>23000</v>
      </c>
      <c r="E20" s="7">
        <f>D20+VLOOKUP($A20,[10]HISTOAOUT22!$A$7:$AU$38,45,0)+F20</f>
        <v>30000</v>
      </c>
      <c r="F20" s="7">
        <f>VLOOKUP($A21,[10]HISTOAOUT22!$A$7:$AU$38,7,0)</f>
        <v>0</v>
      </c>
      <c r="G20" s="7" t="str">
        <f>VLOOKUP($A21,[10]HISTOAOUT22!$A$7:$AU$38,8,0)</f>
        <v>BANQUE</v>
      </c>
      <c r="H20" s="7">
        <f>VLOOKUP($A21,[10]HISTOAOUT22!$A$7:$AU$38,35,0)</f>
        <v>0</v>
      </c>
      <c r="I20" s="7">
        <f>VLOOKUP($A21,[10]HISTOAOUT22!$A$7:$AU$38,38,0)</f>
        <v>0</v>
      </c>
      <c r="J20" s="7">
        <f>IF(I21=0,0,VLOOKUP($A21,[10]HISTOAOUT22!$A$7:$AU$38,42,0))</f>
        <v>0</v>
      </c>
      <c r="K20" s="7">
        <f>VLOOKUP($A21,[10]HISTOAOUT22!$A$7:$AU$38,41,0)</f>
        <v>0</v>
      </c>
      <c r="L20" s="7">
        <f>+TONTJUIL22!H20+TONTJUIL22!I20</f>
        <v>0</v>
      </c>
      <c r="M20" s="7">
        <f>VLOOKUP($A21,[10]HISTOAOUT22!$A$7:$AU$38,16,0)</f>
        <v>0</v>
      </c>
      <c r="N20" s="7" t="str">
        <f>IF(M21&lt;&gt;0,VLOOKUP($A21,[10]HISTOAOUT22!$A$7:$AU$38,8,0),"ECHEC")</f>
        <v>ECHEC</v>
      </c>
      <c r="O20" s="7">
        <f>IF(R21=0,0,VLOOKUP($A21,[10]HISTOAOUT22!$A$7:$AU$38,32,0))</f>
        <v>0</v>
      </c>
      <c r="P20" s="7">
        <f>VLOOKUP($A21,[10]HISTOAOUT22!$A$7:$AU$38,33,0)</f>
        <v>0</v>
      </c>
      <c r="Q20" s="7">
        <f>IF(R21=0,0,($C$3-R21))</f>
        <v>0</v>
      </c>
      <c r="R20" s="7">
        <f>VLOOKUP($A21,[10]HISTOAOUT22!$A$7:$AU$38,29,0)</f>
        <v>0</v>
      </c>
      <c r="S20" s="21">
        <f t="shared" si="2"/>
        <v>0</v>
      </c>
    </row>
    <row r="21" spans="1:19" x14ac:dyDescent="0.25">
      <c r="A21" s="1" t="s">
        <v>21</v>
      </c>
      <c r="B21" s="7">
        <f>IF(D21=0,0,VLOOKUP($A21,[8]HISTOJANV22!$A$6:$AZ$36,9,0))</f>
        <v>1</v>
      </c>
      <c r="C21" s="1" t="str">
        <f>VLOOKUP(A21,[9]LISTADHERENT!A$5:H$60,3,0)</f>
        <v>NDJOMO ETIENNE</v>
      </c>
      <c r="D21" s="7">
        <f t="shared" si="1"/>
        <v>23000</v>
      </c>
      <c r="E21" s="7">
        <f>D21+VLOOKUP($A21,[10]HISTOAOUT22!$A$7:$AU$38,45,0)+F21</f>
        <v>50000</v>
      </c>
      <c r="F21" s="7">
        <f>VLOOKUP($A21,[10]HISTOAOUT22!$A$7:$AU$38,7,0)</f>
        <v>0</v>
      </c>
      <c r="G21" s="7" t="str">
        <f>VLOOKUP($A21,[10]HISTOAOUT22!$A$7:$AU$38,8,0)</f>
        <v>BANQUE</v>
      </c>
      <c r="H21" s="7">
        <f>VLOOKUP($A21,[10]HISTOAOUT22!$A$7:$AU$38,35,0)</f>
        <v>0</v>
      </c>
      <c r="I21" s="7">
        <f>VLOOKUP($A21,[10]HISTOAOUT22!$A$7:$AU$38,38,0)</f>
        <v>0</v>
      </c>
      <c r="J21" s="7">
        <f>IF(I21=0,0,VLOOKUP($A21,[10]HISTOAOUT22!$A$7:$AU$38,42,0))</f>
        <v>0</v>
      </c>
      <c r="K21" s="7">
        <f>VLOOKUP($A21,[10]HISTOAOUT22!$A$7:$AU$38,41,0)</f>
        <v>0</v>
      </c>
      <c r="L21" s="7">
        <f>+TONTJUIL22!H21+TONTJUIL22!I21</f>
        <v>0</v>
      </c>
      <c r="M21" s="7">
        <f>VLOOKUP($A21,[10]HISTOAOUT22!$A$7:$AU$38,16,0)</f>
        <v>0</v>
      </c>
      <c r="N21" s="7" t="str">
        <f>IF(M21&lt;&gt;0,VLOOKUP($A21,[10]HISTOAOUT22!$A$7:$AU$38,8,0),"ECHEC")</f>
        <v>ECHEC</v>
      </c>
      <c r="O21" s="7">
        <f>IF(R21=0,0,VLOOKUP($A21,[10]HISTOAOUT22!$A$7:$AU$38,32,0))</f>
        <v>0</v>
      </c>
      <c r="P21" s="7">
        <f>VLOOKUP($A21,[10]HISTOAOUT22!$A$7:$AU$38,33,0)</f>
        <v>0</v>
      </c>
      <c r="Q21" s="7">
        <f t="shared" si="0"/>
        <v>0</v>
      </c>
      <c r="R21" s="7">
        <f>VLOOKUP($A21,[10]HISTOAOUT22!$A$7:$AU$38,29,0)</f>
        <v>0</v>
      </c>
      <c r="S21" s="21">
        <f t="shared" si="2"/>
        <v>0</v>
      </c>
    </row>
    <row r="22" spans="1:19" x14ac:dyDescent="0.25">
      <c r="A22" s="1" t="s">
        <v>22</v>
      </c>
      <c r="B22" s="7">
        <f>IF(D22=0,0,VLOOKUP($A22,[8]HISTOJANV22!$A$6:$AZ$36,9,0))</f>
        <v>1</v>
      </c>
      <c r="C22" s="1" t="str">
        <f>VLOOKUP(A22,[9]LISTADHERENT!A$5:H$60,3,0)</f>
        <v>NGONDIEP CLAUDE</v>
      </c>
      <c r="D22" s="7">
        <f t="shared" si="1"/>
        <v>23000</v>
      </c>
      <c r="E22" s="7">
        <f>D22+VLOOKUP($A22,[10]HISTOAOUT22!$A$7:$AU$38,45,0)+F22</f>
        <v>65000</v>
      </c>
      <c r="F22" s="7">
        <f>VLOOKUP($A22,[10]HISTOAOUT22!$A$7:$AU$38,7,0)</f>
        <v>0</v>
      </c>
      <c r="G22" s="7" t="str">
        <f>VLOOKUP($A22,[10]HISTOAOUT22!$A$7:$AU$38,8,0)</f>
        <v>BANQUE</v>
      </c>
      <c r="H22" s="7">
        <f>VLOOKUP($A22,[10]HISTOAOUT22!$A$7:$AU$38,35,0)</f>
        <v>0</v>
      </c>
      <c r="I22" s="7">
        <f>VLOOKUP($A22,[10]HISTOAOUT22!$A$7:$AU$38,38,0)</f>
        <v>0</v>
      </c>
      <c r="J22" s="7">
        <f>IF(I22=0,0,VLOOKUP($A22,[10]HISTOAOUT22!$A$7:$AU$38,42,0))</f>
        <v>0</v>
      </c>
      <c r="K22" s="7">
        <f>VLOOKUP($A22,[10]HISTOAOUT22!$A$7:$AU$38,41,0)</f>
        <v>0</v>
      </c>
      <c r="L22" s="7">
        <f>+TONTJUIL22!H22+TONTJUIL22!I22</f>
        <v>0</v>
      </c>
      <c r="M22" s="7">
        <f>VLOOKUP($A22,[10]HISTOAOUT22!$A$7:$AU$38,16,0)</f>
        <v>0</v>
      </c>
      <c r="N22" s="7" t="str">
        <f>IF(M22&lt;&gt;0,VLOOKUP($A22,[10]HISTOAOUT22!$A$7:$AU$38,8,0),"ECHEC")</f>
        <v>ECHEC</v>
      </c>
      <c r="O22" s="7">
        <f>IF(R22=0,0,VLOOKUP($A22,[10]HISTOAOUT22!$A$7:$AU$38,32,0))</f>
        <v>0</v>
      </c>
      <c r="P22" s="7">
        <f>VLOOKUP($A22,[10]HISTOAOUT22!$A$7:$AU$38,33,0)</f>
        <v>0</v>
      </c>
      <c r="Q22" s="7">
        <f t="shared" si="0"/>
        <v>0</v>
      </c>
      <c r="R22" s="7">
        <f>VLOOKUP($A22,[10]HISTOAOUT22!$A$7:$AU$38,29,0)</f>
        <v>0</v>
      </c>
      <c r="S22" s="21">
        <f t="shared" si="2"/>
        <v>0</v>
      </c>
    </row>
    <row r="23" spans="1:19" x14ac:dyDescent="0.25">
      <c r="A23" s="1" t="s">
        <v>23</v>
      </c>
      <c r="B23" s="7">
        <f>IF(D23=0,0,VLOOKUP($A23,[8]HISTOJANV22!$A$6:$AZ$36,9,0))</f>
        <v>1</v>
      </c>
      <c r="C23" s="1" t="str">
        <f>VLOOKUP(A23,[9]LISTADHERENT!A$5:H$60,3,0)</f>
        <v>NGUIEMEGNI MATHIEU BLAISE</v>
      </c>
      <c r="D23" s="7">
        <f t="shared" si="1"/>
        <v>23000</v>
      </c>
      <c r="E23" s="7">
        <f>D23+VLOOKUP($A23,[10]HISTOAOUT22!$A$7:$AU$38,45,0)+F23</f>
        <v>30000</v>
      </c>
      <c r="F23" s="7">
        <f>VLOOKUP($A23,[10]HISTOAOUT22!$A$7:$AU$38,7,0)</f>
        <v>0</v>
      </c>
      <c r="G23" s="7" t="str">
        <f>VLOOKUP($A23,[10]HISTOAOUT22!$A$7:$AU$38,8,0)</f>
        <v>BANQUE</v>
      </c>
      <c r="H23" s="7">
        <f>VLOOKUP($A23,[10]HISTOAOUT22!$A$7:$AU$38,35,0)</f>
        <v>0</v>
      </c>
      <c r="I23" s="7">
        <f>VLOOKUP($A23,[10]HISTOAOUT22!$A$7:$AU$38,38,0)</f>
        <v>0</v>
      </c>
      <c r="J23" s="7">
        <f>IF(I23=0,0,VLOOKUP($A23,[10]HISTOAOUT22!$A$7:$AU$38,42,0))</f>
        <v>0</v>
      </c>
      <c r="K23" s="7">
        <f>VLOOKUP($A23,[10]HISTOAOUT22!$A$7:$AU$38,41,0)</f>
        <v>0</v>
      </c>
      <c r="L23" s="7">
        <f>+TONTJUIL22!H23+TONTJUIL22!I23</f>
        <v>0</v>
      </c>
      <c r="M23" s="7">
        <f>VLOOKUP($A23,[10]HISTOAOUT22!$A$7:$AU$38,16,0)</f>
        <v>0</v>
      </c>
      <c r="N23" s="7" t="str">
        <f>IF(M23&lt;&gt;0,VLOOKUP($A23,[10]HISTOAOUT22!$A$7:$AU$38,8,0),"ECHEC")</f>
        <v>ECHEC</v>
      </c>
      <c r="O23" s="7">
        <f>IF(R23=0,0,VLOOKUP($A23,[10]HISTOAOUT22!$A$7:$AU$38,32,0))</f>
        <v>0</v>
      </c>
      <c r="P23" s="7">
        <f>VLOOKUP($A23,[10]HISTOAOUT22!$A$7:$AU$38,33,0)</f>
        <v>0</v>
      </c>
      <c r="Q23" s="7">
        <f t="shared" si="0"/>
        <v>0</v>
      </c>
      <c r="R23" s="7">
        <f>VLOOKUP($A23,[10]HISTOAOUT22!$A$7:$AU$38,29,0)</f>
        <v>0</v>
      </c>
      <c r="S23" s="21">
        <f t="shared" si="2"/>
        <v>0</v>
      </c>
    </row>
    <row r="24" spans="1:19" x14ac:dyDescent="0.25">
      <c r="A24" s="1" t="s">
        <v>24</v>
      </c>
      <c r="B24" s="7">
        <f>IF(D24=0,0,VLOOKUP($A24,[8]HISTOJANV22!$A$6:$AZ$36,9,0))</f>
        <v>1</v>
      </c>
      <c r="C24" s="1" t="str">
        <f>VLOOKUP(A24,[9]LISTADHERENT!A$5:H$60,3,0)</f>
        <v>NKAMGANG JUSTIN DEJOLIE</v>
      </c>
      <c r="D24" s="7">
        <f t="shared" si="1"/>
        <v>23000</v>
      </c>
      <c r="E24" s="7">
        <f>D24+VLOOKUP($A24,[10]HISTOAOUT22!$A$7:$AU$38,45,0)+F24</f>
        <v>30000</v>
      </c>
      <c r="F24" s="7">
        <f>VLOOKUP($A24,[10]HISTOAOUT22!$A$7:$AU$38,7,0)</f>
        <v>0</v>
      </c>
      <c r="G24" s="7" t="str">
        <f>VLOOKUP($A24,[10]HISTOAOUT22!$A$7:$AU$38,8,0)</f>
        <v>BANQUE</v>
      </c>
      <c r="H24" s="7">
        <f>VLOOKUP($A24,[10]HISTOAOUT22!$A$7:$AU$38,35,0)</f>
        <v>50000</v>
      </c>
      <c r="I24" s="7">
        <f>VLOOKUP($A24,[10]HISTOAOUT22!$A$7:$AU$38,38,0)</f>
        <v>1000</v>
      </c>
      <c r="J24" s="7" t="str">
        <f>IF(I24=0,0,VLOOKUP($A24,[10]HISTOAOUT22!$A$7:$AU$38,42,0))</f>
        <v>BANQUE</v>
      </c>
      <c r="K24" s="7">
        <f>VLOOKUP($A24,[10]HISTOAOUT22!$A$7:$AU$38,41,0)</f>
        <v>0</v>
      </c>
      <c r="L24" s="7">
        <f>+TONTJUIL22!H24+TONTJUIL22!I24</f>
        <v>0</v>
      </c>
      <c r="M24" s="7">
        <f>VLOOKUP($A24,[10]HISTOAOUT22!$A$7:$AU$38,16,0)</f>
        <v>0</v>
      </c>
      <c r="N24" s="7" t="str">
        <f>IF(M24&lt;&gt;0,VLOOKUP($A24,[10]HISTOAOUT22!$A$7:$AU$38,8,0),"ECHEC")</f>
        <v>ECHEC</v>
      </c>
      <c r="O24" s="7">
        <f>IF(R24=0,0,VLOOKUP($A24,[10]HISTOAOUT22!$A$7:$AU$38,32,0))</f>
        <v>0</v>
      </c>
      <c r="P24" s="7">
        <f>VLOOKUP($A24,[10]HISTOAOUT22!$A$7:$AU$38,33,0)</f>
        <v>0</v>
      </c>
      <c r="Q24" s="7">
        <f t="shared" si="0"/>
        <v>0</v>
      </c>
      <c r="R24" s="7">
        <f>VLOOKUP($A24,[10]HISTOAOUT22!$A$7:$AU$38,29,0)</f>
        <v>0</v>
      </c>
      <c r="S24" s="21">
        <f t="shared" si="2"/>
        <v>0</v>
      </c>
    </row>
    <row r="25" spans="1:19" x14ac:dyDescent="0.25">
      <c r="A25" s="1" t="s">
        <v>25</v>
      </c>
      <c r="B25" s="7">
        <f>IF(D25=0,0,VLOOKUP($A25,[8]HISTOJANV22!$A$6:$AZ$36,9,0))</f>
        <v>1</v>
      </c>
      <c r="C25" s="1" t="str">
        <f>VLOOKUP(A25,[9]LISTADHERENT!A$5:H$60,3,0)</f>
        <v>NKEPSEU DIEUDONNE</v>
      </c>
      <c r="D25" s="7">
        <f t="shared" si="1"/>
        <v>23000</v>
      </c>
      <c r="E25" s="7">
        <f>D25+VLOOKUP($A25,[10]HISTOAOUT22!$A$7:$AU$38,45,0)+F25</f>
        <v>30000</v>
      </c>
      <c r="F25" s="7">
        <f>VLOOKUP($A25,[10]HISTOAOUT22!$A$7:$AU$38,7,0)</f>
        <v>0</v>
      </c>
      <c r="G25" s="7" t="str">
        <f>VLOOKUP($A25,[10]HISTOAOUT22!$A$7:$AU$38,8,0)</f>
        <v>BANQUE</v>
      </c>
      <c r="H25" s="7">
        <f>VLOOKUP($A25,[10]HISTOAOUT22!$A$7:$AU$38,35,0)</f>
        <v>0</v>
      </c>
      <c r="I25" s="7">
        <f>VLOOKUP($A25,[10]HISTOAOUT22!$A$7:$AU$38,38,0)</f>
        <v>0</v>
      </c>
      <c r="J25" s="7">
        <f>IF(I25=0,0,VLOOKUP($A25,[10]HISTOAOUT22!$A$7:$AU$38,42,0))</f>
        <v>0</v>
      </c>
      <c r="K25" s="7">
        <f>VLOOKUP($A25,[10]HISTOAOUT22!$A$7:$AU$38,41,0)</f>
        <v>0</v>
      </c>
      <c r="L25" s="7">
        <f>+TONTJUIL22!H25+TONTJUIL22!I25</f>
        <v>0</v>
      </c>
      <c r="M25" s="7">
        <f>VLOOKUP($A25,[10]HISTOAOUT22!$A$7:$AU$38,16,0)</f>
        <v>0</v>
      </c>
      <c r="N25" s="7" t="str">
        <f>IF(M25&lt;&gt;0,VLOOKUP($A25,[10]HISTOAOUT22!$A$7:$AU$38,8,0),"ECHEC")</f>
        <v>ECHEC</v>
      </c>
      <c r="O25" s="7">
        <f>IF(R25=0,0,VLOOKUP($A25,[10]HISTOAOUT22!$A$7:$AU$38,32,0))</f>
        <v>0</v>
      </c>
      <c r="P25" s="7">
        <f>VLOOKUP($A25,[10]HISTOAOUT22!$A$7:$AU$38,33,0)</f>
        <v>0</v>
      </c>
      <c r="Q25" s="7">
        <f t="shared" si="0"/>
        <v>0</v>
      </c>
      <c r="R25" s="7">
        <f>VLOOKUP($A25,[10]HISTOAOUT22!$A$7:$AU$38,29,0)</f>
        <v>0</v>
      </c>
      <c r="S25" s="21">
        <f t="shared" si="2"/>
        <v>0</v>
      </c>
    </row>
    <row r="26" spans="1:19" x14ac:dyDescent="0.25">
      <c r="A26" s="1" t="s">
        <v>26</v>
      </c>
      <c r="B26" s="7">
        <f>IF(D26=0,0,VLOOKUP($A26,[8]HISTOJANV22!$A$6:$AZ$36,9,0))</f>
        <v>1</v>
      </c>
      <c r="C26" s="1" t="str">
        <f>VLOOKUP(A26,[9]LISTADHERENT!A$5:H$60,3,0)</f>
        <v>PATEGO NJOSSU GUSTAVE</v>
      </c>
      <c r="D26" s="7">
        <f t="shared" si="1"/>
        <v>23000</v>
      </c>
      <c r="E26" s="7">
        <f>D26+VLOOKUP($A26,[10]HISTOAOUT22!$A$7:$AU$38,45,0)+F26</f>
        <v>30000</v>
      </c>
      <c r="F26" s="7">
        <f>VLOOKUP($A26,[10]HISTOAOUT22!$A$7:$AU$38,7,0)</f>
        <v>0</v>
      </c>
      <c r="G26" s="7" t="str">
        <f>VLOOKUP($A26,[10]HISTOAOUT22!$A$7:$AU$38,8,0)</f>
        <v>BANQUE</v>
      </c>
      <c r="H26" s="7">
        <f>VLOOKUP($A26,[10]HISTOAOUT22!$A$7:$AU$38,35,0)</f>
        <v>0</v>
      </c>
      <c r="I26" s="7">
        <f>VLOOKUP($A26,[10]HISTOAOUT22!$A$7:$AU$38,38,0)</f>
        <v>0</v>
      </c>
      <c r="J26" s="7">
        <f>IF(I26=0,0,VLOOKUP($A26,[10]HISTOAOUT22!$A$7:$AU$38,42,0))</f>
        <v>0</v>
      </c>
      <c r="K26" s="7">
        <f>VLOOKUP($A26,[10]HISTOAOUT22!$A$7:$AU$38,41,0)</f>
        <v>0</v>
      </c>
      <c r="L26" s="7">
        <f>+TONTJUIL22!H26+TONTJUIL22!I26</f>
        <v>0</v>
      </c>
      <c r="M26" s="7">
        <f>VLOOKUP($A26,[10]HISTOAOUT22!$A$7:$AU$38,16,0)</f>
        <v>0</v>
      </c>
      <c r="N26" s="7" t="str">
        <f>IF(M26&lt;&gt;0,VLOOKUP($A26,[10]HISTOAOUT22!$A$7:$AU$38,8,0),"ECHEC")</f>
        <v>ECHEC</v>
      </c>
      <c r="O26" s="7">
        <f>IF(R26=0,0,VLOOKUP($A26,[10]HISTOAOUT22!$A$7:$AU$38,32,0))</f>
        <v>0</v>
      </c>
      <c r="P26" s="7">
        <f>VLOOKUP($A26,[10]HISTOAOUT22!$A$7:$AU$38,33,0)</f>
        <v>0</v>
      </c>
      <c r="Q26" s="7">
        <f t="shared" si="0"/>
        <v>0</v>
      </c>
      <c r="R26" s="7">
        <f>VLOOKUP($A26,[10]HISTOAOUT22!$A$7:$AU$38,29,0)</f>
        <v>0</v>
      </c>
      <c r="S26" s="21">
        <f t="shared" si="2"/>
        <v>0</v>
      </c>
    </row>
    <row r="27" spans="1:19" x14ac:dyDescent="0.25">
      <c r="A27" s="1" t="s">
        <v>51</v>
      </c>
      <c r="B27" s="7">
        <f>IF(D27=0,0,VLOOKUP($A27,[8]HISTOJANV22!$A$6:$AZ$36,9,0))</f>
        <v>1</v>
      </c>
      <c r="C27" s="1" t="str">
        <f>VLOOKUP(A27,[9]LISTADHERENT!A$5:H$60,3,0)</f>
        <v>SIME BRICE</v>
      </c>
      <c r="D27" s="7">
        <f t="shared" si="1"/>
        <v>23000</v>
      </c>
      <c r="E27" s="7">
        <f>D27+VLOOKUP($A27,[10]HISTOAOUT22!$A$7:$AU$38,45,0)+F27</f>
        <v>30000</v>
      </c>
      <c r="F27" s="7">
        <f>VLOOKUP($A27,[10]HISTOAOUT22!$A$7:$AU$38,7,0)</f>
        <v>0</v>
      </c>
      <c r="G27" s="7" t="str">
        <f>VLOOKUP($A27,[10]HISTOAOUT22!$A$7:$AU$38,8,0)</f>
        <v>BANQUE</v>
      </c>
      <c r="H27" s="7">
        <f>VLOOKUP($A27,[10]HISTOAOUT22!$A$7:$AU$38,35,0)</f>
        <v>0</v>
      </c>
      <c r="I27" s="7">
        <f>VLOOKUP($A27,[10]HISTOAOUT22!$A$7:$AU$38,38,0)</f>
        <v>0</v>
      </c>
      <c r="J27" s="7">
        <f>IF(I27=0,0,VLOOKUP($A27,[10]HISTOAOUT22!$A$7:$AU$38,42,0))</f>
        <v>0</v>
      </c>
      <c r="K27" s="7">
        <f>VLOOKUP($A27,[10]HISTOAOUT22!$A$7:$AU$38,41,0)</f>
        <v>0</v>
      </c>
      <c r="L27" s="7">
        <f>+TONTJUIL22!H27+TONTJUIL22!I27</f>
        <v>0</v>
      </c>
      <c r="M27" s="7">
        <f>VLOOKUP($A27,[10]HISTOAOUT22!$A$7:$AU$38,16,0)</f>
        <v>0</v>
      </c>
      <c r="N27" s="7" t="str">
        <f>IF(M27&lt;&gt;0,VLOOKUP($A27,[10]HISTOAOUT22!$A$7:$AU$38,8,0),"ECHEC")</f>
        <v>ECHEC</v>
      </c>
      <c r="O27" s="7">
        <f>IF(R27=0,0,VLOOKUP($A27,[10]HISTOAOUT22!$A$7:$AU$38,32,0))</f>
        <v>0</v>
      </c>
      <c r="P27" s="7">
        <f>VLOOKUP($A27,[10]HISTOAOUT22!$A$7:$AU$38,33,0)</f>
        <v>0</v>
      </c>
      <c r="Q27" s="7">
        <f t="shared" si="0"/>
        <v>0</v>
      </c>
      <c r="R27" s="7">
        <f>VLOOKUP($A27,[10]HISTOAOUT22!$A$7:$AU$38,29,0)</f>
        <v>0</v>
      </c>
      <c r="S27" s="21">
        <f t="shared" si="2"/>
        <v>0</v>
      </c>
    </row>
    <row r="28" spans="1:19" x14ac:dyDescent="0.25">
      <c r="A28" s="1" t="s">
        <v>29</v>
      </c>
      <c r="B28" s="7">
        <f>IF(D28=0,0,VLOOKUP($A28,[8]HISTOJANV22!$A$6:$AZ$36,9,0))</f>
        <v>1</v>
      </c>
      <c r="C28" s="1" t="str">
        <f>VLOOKUP(A28,[9]LISTADHERENT!A$5:H$60,3,0)</f>
        <v>SIMO PIERRE</v>
      </c>
      <c r="D28" s="7">
        <f t="shared" si="1"/>
        <v>23000</v>
      </c>
      <c r="E28" s="7">
        <f>D28+VLOOKUP($A28,[10]HISTOAOUT22!$A$7:$AU$38,45,0)+F28</f>
        <v>34500</v>
      </c>
      <c r="F28" s="7">
        <f>VLOOKUP($A28,[10]HISTOAOUT22!$A$7:$AU$38,7,0)</f>
        <v>0</v>
      </c>
      <c r="G28" s="7" t="str">
        <f>VLOOKUP($A28,[10]HISTOAOUT22!$A$7:$AU$38,8,0)</f>
        <v>BANQUE</v>
      </c>
      <c r="H28" s="7">
        <f>VLOOKUP($A28,[10]HISTOAOUT22!$A$7:$AU$38,35,0)</f>
        <v>0</v>
      </c>
      <c r="I28" s="7">
        <f>VLOOKUP($A28,[10]HISTOAOUT22!$A$7:$AU$38,38,0)</f>
        <v>0</v>
      </c>
      <c r="J28" s="7">
        <f>IF(I28=0,0,VLOOKUP($A28,[10]HISTOAOUT22!$A$7:$AU$38,42,0))</f>
        <v>0</v>
      </c>
      <c r="K28" s="7">
        <f>VLOOKUP($A28,[10]HISTOAOUT22!$A$7:$AU$38,41,0)</f>
        <v>0</v>
      </c>
      <c r="L28" s="7">
        <f>+TONTJUIL22!H28+TONTJUIL22!I28</f>
        <v>20500</v>
      </c>
      <c r="M28" s="7">
        <f>VLOOKUP($A28,[10]HISTOAOUT22!$A$7:$AU$38,16,0)</f>
        <v>20500</v>
      </c>
      <c r="N28" s="7" t="str">
        <f>IF(M28&lt;&gt;0,VLOOKUP($A28,[10]HISTOAOUT22!$A$7:$AU$38,8,0),"ECHEC")</f>
        <v>BANQUE</v>
      </c>
      <c r="O28" s="7">
        <f>IF(R28=0,0,VLOOKUP($A28,[10]HISTOAOUT22!$A$7:$AU$38,32,0))</f>
        <v>0</v>
      </c>
      <c r="P28" s="7">
        <f>VLOOKUP($A28,[10]HISTOAOUT22!$A$7:$AU$38,33,0)</f>
        <v>0</v>
      </c>
      <c r="Q28" s="7">
        <f t="shared" si="0"/>
        <v>0</v>
      </c>
      <c r="R28" s="7">
        <f>VLOOKUP($A28,[10]HISTOAOUT22!$A$7:$AU$38,29,0)</f>
        <v>0</v>
      </c>
      <c r="S28" s="21">
        <f t="shared" si="2"/>
        <v>0</v>
      </c>
    </row>
    <row r="29" spans="1:19" x14ac:dyDescent="0.25">
      <c r="A29" s="1" t="s">
        <v>31</v>
      </c>
      <c r="B29" s="7">
        <f>IF(D29=0,0,VLOOKUP($A29,[8]HISTOJANV22!$A$6:$AZ$36,9,0))</f>
        <v>1</v>
      </c>
      <c r="C29" s="1" t="str">
        <f>VLOOKUP(A29,[9]LISTADHERENT!A$5:H$60,3,0)</f>
        <v>TCHOUAMOU MATHIEU</v>
      </c>
      <c r="D29" s="7">
        <f t="shared" si="1"/>
        <v>23000</v>
      </c>
      <c r="E29" s="7">
        <f>D29+VLOOKUP($A29,[10]HISTOAOUT22!$A$7:$AU$38,45,0)+F29</f>
        <v>30000</v>
      </c>
      <c r="F29" s="7">
        <f>VLOOKUP($A29,[10]HISTOAOUT22!$A$7:$AU$38,7,0)</f>
        <v>0</v>
      </c>
      <c r="G29" s="7" t="str">
        <f>VLOOKUP($A29,[10]HISTOAOUT22!$A$7:$AU$38,8,0)</f>
        <v>BANQUE</v>
      </c>
      <c r="H29" s="7">
        <f>VLOOKUP($A29,[10]HISTOAOUT22!$A$7:$AU$38,35,0)</f>
        <v>0</v>
      </c>
      <c r="I29" s="7">
        <f>VLOOKUP($A29,[10]HISTOAOUT22!$A$7:$AU$38,38,0)</f>
        <v>0</v>
      </c>
      <c r="J29" s="7">
        <f>IF(I29=0,0,VLOOKUP($A29,[10]HISTOAOUT22!$A$7:$AU$38,42,0))</f>
        <v>0</v>
      </c>
      <c r="K29" s="7">
        <f>VLOOKUP($A29,[10]HISTOAOUT22!$A$7:$AU$38,41,0)</f>
        <v>0</v>
      </c>
      <c r="L29" s="7">
        <f>+TONTJUIL22!H29+TONTJUIL22!I29</f>
        <v>0</v>
      </c>
      <c r="M29" s="7">
        <f>VLOOKUP($A29,[10]HISTOAOUT22!$A$7:$AU$38,16,0)</f>
        <v>0</v>
      </c>
      <c r="N29" s="7" t="str">
        <f>IF(M29&lt;&gt;0,VLOOKUP($A29,[10]HISTOAOUT22!$A$7:$AU$38,8,0),"ECHEC")</f>
        <v>ECHEC</v>
      </c>
      <c r="O29" s="7">
        <f>IF(R29=0,0,VLOOKUP($A29,[10]HISTOAOUT22!$A$7:$AU$38,32,0))</f>
        <v>0</v>
      </c>
      <c r="P29" s="7">
        <f>VLOOKUP($A29,[10]HISTOAOUT22!$A$7:$AU$38,33,0)</f>
        <v>0</v>
      </c>
      <c r="Q29" s="7">
        <f t="shared" si="0"/>
        <v>0</v>
      </c>
      <c r="R29" s="7">
        <f>VLOOKUP($A29,[10]HISTOAOUT22!$A$7:$AU$38,29,0)</f>
        <v>0</v>
      </c>
      <c r="S29" s="21">
        <f t="shared" si="2"/>
        <v>0</v>
      </c>
    </row>
    <row r="30" spans="1:19" x14ac:dyDescent="0.25">
      <c r="A30" s="1" t="s">
        <v>32</v>
      </c>
      <c r="B30" s="7">
        <f>IF(D30=0,0,VLOOKUP($A30,[8]HISTOJANV22!$A$6:$AZ$36,9,0))</f>
        <v>1</v>
      </c>
      <c r="C30" s="1" t="str">
        <f>VLOOKUP(A30,[9]LISTADHERENT!A$5:H$60,3,0)</f>
        <v>YEPMOU JEAN JACQUES</v>
      </c>
      <c r="D30" s="7">
        <f t="shared" si="1"/>
        <v>23000</v>
      </c>
      <c r="E30" s="7">
        <f>D30+VLOOKUP($A30,[10]HISTOAOUT22!$A$7:$AU$38,45,0)+F30</f>
        <v>30000</v>
      </c>
      <c r="F30" s="7">
        <f>VLOOKUP($A30,[10]HISTOAOUT22!$A$7:$AU$38,7,0)</f>
        <v>0</v>
      </c>
      <c r="G30" s="7" t="str">
        <f>VLOOKUP($A30,[10]HISTOAOUT22!$A$7:$AU$38,8,0)</f>
        <v>BANQUE</v>
      </c>
      <c r="H30" s="7">
        <f>VLOOKUP($A30,[10]HISTOAOUT22!$A$7:$AU$38,35,0)</f>
        <v>0</v>
      </c>
      <c r="I30" s="7">
        <f>VLOOKUP($A30,[10]HISTOAOUT22!$A$7:$AU$38,38,0)</f>
        <v>0</v>
      </c>
      <c r="J30" s="7">
        <f>IF(I30=0,0,VLOOKUP($A30,[10]HISTOAOUT22!$A$7:$AU$38,42,0))</f>
        <v>0</v>
      </c>
      <c r="K30" s="7">
        <f>VLOOKUP($A30,[10]HISTOAOUT22!$A$7:$AU$38,41,0)</f>
        <v>0</v>
      </c>
      <c r="L30" s="7">
        <f>+TONTJUIL22!H30+TONTJUIL22!I30</f>
        <v>0</v>
      </c>
      <c r="M30" s="7">
        <f>VLOOKUP($A30,[10]HISTOAOUT22!$A$7:$AU$38,16,0)</f>
        <v>0</v>
      </c>
      <c r="N30" s="7" t="str">
        <f>IF(M30&lt;&gt;0,VLOOKUP($A30,[10]HISTOAOUT22!$A$7:$AU$38,8,0),"ECHEC")</f>
        <v>ECHEC</v>
      </c>
      <c r="O30" s="7" t="str">
        <f>IF(R30=0,0,VLOOKUP($A30,[10]HISTOAOUT22!$A$7:$AU$38,32,0))</f>
        <v>BANQUE</v>
      </c>
      <c r="P30" s="7">
        <f>VLOOKUP($A30,[10]HISTOAOUT22!$A$7:$AU$38,33,0)</f>
        <v>0</v>
      </c>
      <c r="Q30" s="7">
        <f t="shared" si="0"/>
        <v>277000</v>
      </c>
      <c r="R30" s="7">
        <f>VLOOKUP($A30,[10]HISTOAOUT22!$A$7:$AU$38,29,0)</f>
        <v>23000</v>
      </c>
      <c r="S30" s="21">
        <f t="shared" si="2"/>
        <v>0</v>
      </c>
    </row>
    <row r="31" spans="1:19" x14ac:dyDescent="0.25">
      <c r="A31" s="1" t="s">
        <v>33</v>
      </c>
      <c r="B31" s="7">
        <f>IF(D31=0,0,VLOOKUP($A31,[8]HISTOJANV22!$A$6:$AZ$36,9,0))</f>
        <v>1</v>
      </c>
      <c r="C31" s="1" t="str">
        <f>VLOOKUP(A31,[9]LISTADHERENT!A$5:H$60,3,0)</f>
        <v>YOUMBI EMMANUEL</v>
      </c>
      <c r="D31" s="7">
        <f t="shared" si="1"/>
        <v>23000</v>
      </c>
      <c r="E31" s="7">
        <f>D31+VLOOKUP($A31,[10]HISTOAOUT22!$A$7:$AU$38,45,0)+F31</f>
        <v>30000</v>
      </c>
      <c r="F31" s="7">
        <f>VLOOKUP($A31,[10]HISTOAOUT22!$A$7:$AU$38,7,0)</f>
        <v>0</v>
      </c>
      <c r="G31" s="7" t="str">
        <f>VLOOKUP($A31,[10]HISTOAOUT22!$A$7:$AU$38,8,0)</f>
        <v>BANQUE</v>
      </c>
      <c r="H31" s="7">
        <f>VLOOKUP($A31,[10]HISTOAOUT22!$A$7:$AU$38,35,0)</f>
        <v>0</v>
      </c>
      <c r="I31" s="7">
        <f>VLOOKUP($A31,[10]HISTOAOUT22!$A$7:$AU$38,38,0)</f>
        <v>0</v>
      </c>
      <c r="J31" s="7">
        <f>IF(I31=0,0,VLOOKUP($A31,[10]HISTOAOUT22!$A$7:$AU$38,42,0))</f>
        <v>0</v>
      </c>
      <c r="K31" s="7">
        <f>VLOOKUP($A31,[10]HISTOAOUT22!$A$7:$AU$38,41,0)</f>
        <v>0</v>
      </c>
      <c r="L31" s="7">
        <f>+TONTJUIL22!H31+TONTJUIL22!I31</f>
        <v>0</v>
      </c>
      <c r="M31" s="7">
        <f>VLOOKUP($A31,[10]HISTOAOUT22!$A$7:$AU$38,16,0)</f>
        <v>0</v>
      </c>
      <c r="N31" s="7" t="str">
        <f>IF(M31&lt;&gt;0,VLOOKUP($A31,[10]HISTOAOUT22!$A$7:$AU$38,8,0),"ECHEC")</f>
        <v>ECHEC</v>
      </c>
      <c r="O31" s="7">
        <f>IF(R31=0,0,VLOOKUP($A31,[10]HISTOAOUT22!$A$7:$AU$38,32,0))</f>
        <v>0</v>
      </c>
      <c r="P31" s="7">
        <f>VLOOKUP($A31,[10]HISTOAOUT22!$A$7:$AU$38,33,0)</f>
        <v>0</v>
      </c>
      <c r="Q31" s="7">
        <f t="shared" si="0"/>
        <v>0</v>
      </c>
      <c r="R31" s="7">
        <f>VLOOKUP($A31,[10]HISTOAOUT22!$A$7:$AU$38,29,0)</f>
        <v>0</v>
      </c>
      <c r="S31" s="21">
        <f t="shared" si="2"/>
        <v>0</v>
      </c>
    </row>
    <row r="32" spans="1:19" x14ac:dyDescent="0.25">
      <c r="A32" s="1"/>
    </row>
    <row r="33" spans="1:19" ht="18" x14ac:dyDescent="0.25">
      <c r="A33" s="1" t="s">
        <v>94</v>
      </c>
      <c r="B33" s="8">
        <f>SUM(B6:B32)</f>
        <v>26</v>
      </c>
      <c r="I33" s="9"/>
    </row>
    <row r="34" spans="1:19" ht="18" x14ac:dyDescent="0.25">
      <c r="A34" s="1" t="s">
        <v>93</v>
      </c>
      <c r="B34" s="19">
        <f>COUNT(D6:D31)</f>
        <v>26</v>
      </c>
      <c r="C34" s="8"/>
      <c r="D34" s="8">
        <f>SUM(D6:D33)</f>
        <v>598000</v>
      </c>
      <c r="E34" s="8">
        <f>SUM(E6:E33)</f>
        <v>905500</v>
      </c>
      <c r="F34" s="8">
        <f>SUM(F6:F33)</f>
        <v>3000</v>
      </c>
      <c r="G34" s="8"/>
      <c r="H34" s="8">
        <f t="shared" ref="H34:S34" si="3">SUM(H6:H33)</f>
        <v>168000</v>
      </c>
      <c r="I34" s="8">
        <f t="shared" si="3"/>
        <v>3000</v>
      </c>
      <c r="J34" s="8">
        <f t="shared" si="3"/>
        <v>0</v>
      </c>
      <c r="K34" s="8">
        <f t="shared" si="3"/>
        <v>0</v>
      </c>
      <c r="L34" s="8">
        <f t="shared" si="3"/>
        <v>20500</v>
      </c>
      <c r="M34" s="8">
        <f t="shared" si="3"/>
        <v>20500</v>
      </c>
      <c r="N34" s="8">
        <f t="shared" si="3"/>
        <v>0</v>
      </c>
      <c r="O34" s="8">
        <f t="shared" si="3"/>
        <v>0</v>
      </c>
      <c r="P34" s="8">
        <f t="shared" si="3"/>
        <v>0</v>
      </c>
      <c r="Q34" s="8">
        <f t="shared" si="3"/>
        <v>831000</v>
      </c>
      <c r="R34" s="8">
        <f t="shared" si="3"/>
        <v>69000</v>
      </c>
      <c r="S34" s="8">
        <f t="shared" si="3"/>
        <v>0</v>
      </c>
    </row>
    <row r="35" spans="1:19" s="2" customFormat="1" ht="29.25" x14ac:dyDescent="0.25">
      <c r="B35"/>
      <c r="C35"/>
      <c r="D35"/>
      <c r="E35"/>
      <c r="F35"/>
      <c r="G35"/>
      <c r="H35"/>
      <c r="I35" s="9"/>
      <c r="J35" s="3"/>
      <c r="K35" s="3"/>
      <c r="L35" s="3"/>
      <c r="N35" s="4" t="s">
        <v>80</v>
      </c>
      <c r="O35" s="4" t="s">
        <v>95</v>
      </c>
      <c r="P35" s="3"/>
    </row>
    <row r="36" spans="1:19" s="2" customFormat="1" ht="29.25" x14ac:dyDescent="0.25">
      <c r="D36" s="4" t="s">
        <v>5</v>
      </c>
      <c r="E36" s="4" t="s">
        <v>7</v>
      </c>
      <c r="F36"/>
      <c r="G36" s="4" t="s">
        <v>40</v>
      </c>
      <c r="H36" s="4" t="s">
        <v>44</v>
      </c>
      <c r="I36" s="4" t="s">
        <v>46</v>
      </c>
      <c r="J36" s="4" t="s">
        <v>47</v>
      </c>
      <c r="K36" s="4"/>
      <c r="L36" s="8" t="s">
        <v>97</v>
      </c>
      <c r="M36" s="8">
        <f>D40+G40+R34+TONTJUIL22!O41</f>
        <v>1068500</v>
      </c>
      <c r="N36" s="4"/>
      <c r="O36"/>
      <c r="P36" s="4"/>
    </row>
    <row r="37" spans="1:19" s="2" customFormat="1" ht="18" x14ac:dyDescent="0.25">
      <c r="D37" s="8">
        <f>SUMIFS(D6:D33,G6:G33,"ESPECES")</f>
        <v>0</v>
      </c>
      <c r="E37" s="8">
        <f>SUMIFS(E6:E33,G6:G33,"ESPECES")</f>
        <v>0</v>
      </c>
      <c r="F37" s="8" t="s">
        <v>36</v>
      </c>
      <c r="G37" s="8">
        <f>SUMIFS(M6:M27,N6:N27,"ESPECES")</f>
        <v>0</v>
      </c>
      <c r="H37" s="8">
        <f>SUMIFS(H6:H33,J6:J33,"ESPECES")</f>
        <v>0</v>
      </c>
      <c r="I37" s="8">
        <f>SUMIFS(Q6:Q33,O6:O33,"ESPECES")</f>
        <v>0</v>
      </c>
      <c r="J37" s="8">
        <f>D37+G37-H37-I37</f>
        <v>0</v>
      </c>
      <c r="K37" s="8"/>
      <c r="L37" s="8" t="s">
        <v>84</v>
      </c>
      <c r="M37" s="8">
        <f>C3*COUNTIF(Q6:Q33,"&gt;0")</f>
        <v>900000</v>
      </c>
      <c r="N37" s="8">
        <f>D3</f>
        <v>3</v>
      </c>
      <c r="O37" s="8">
        <f>COUNTIF(Q6:Q31,"&gt;0")</f>
        <v>3</v>
      </c>
      <c r="P37" s="8"/>
    </row>
    <row r="38" spans="1:19" s="2" customFormat="1" ht="18" x14ac:dyDescent="0.25">
      <c r="D38" s="8">
        <f>SUMIFS(D6:D33,G6:G33,"BANQUE")</f>
        <v>598000</v>
      </c>
      <c r="E38" s="8">
        <f>SUMIFS(E6:E34,G6:G34,"BANQUE")</f>
        <v>905500</v>
      </c>
      <c r="F38" s="8" t="s">
        <v>37</v>
      </c>
      <c r="G38" s="8">
        <f>SUMIFS(M6:M31,N6:N31,"BANQUE")</f>
        <v>20500</v>
      </c>
      <c r="H38" s="8">
        <f>SUMIFS(H6:H33,J6:J33,"BANQUE")</f>
        <v>168000</v>
      </c>
      <c r="I38" s="8">
        <f>SUMIFS(Q6:Q33,O6:O33,"BANQUE")</f>
        <v>831000</v>
      </c>
      <c r="J38" s="8">
        <f>D38+G38-H38-I38</f>
        <v>-380500</v>
      </c>
      <c r="K38" s="8"/>
      <c r="M38" s="8"/>
      <c r="N38" s="8"/>
      <c r="O38" s="8"/>
      <c r="P38" s="8"/>
    </row>
    <row r="39" spans="1:19" s="2" customFormat="1" ht="18" x14ac:dyDescent="0.25">
      <c r="D39" s="8"/>
      <c r="E39" s="8"/>
      <c r="F39" s="8"/>
      <c r="G39" s="8"/>
      <c r="H39" s="8"/>
      <c r="I39" s="8"/>
      <c r="K39" s="8"/>
      <c r="L39" s="8" t="s">
        <v>52</v>
      </c>
      <c r="M39" s="8">
        <f>M36-M37</f>
        <v>168500</v>
      </c>
      <c r="N39" s="8"/>
      <c r="O39" s="8"/>
      <c r="P39" s="8"/>
    </row>
    <row r="40" spans="1:19" s="2" customFormat="1" ht="18" x14ac:dyDescent="0.25">
      <c r="D40" s="8">
        <f>D37+D38</f>
        <v>598000</v>
      </c>
      <c r="E40" s="8">
        <f>E37+E38</f>
        <v>905500</v>
      </c>
      <c r="F40" s="8" t="s">
        <v>34</v>
      </c>
      <c r="G40" s="8">
        <f>G37+G38</f>
        <v>20500</v>
      </c>
      <c r="H40" s="8">
        <f>H37+H38</f>
        <v>168000</v>
      </c>
      <c r="I40" s="8">
        <f t="shared" ref="I40:J40" si="4">I37+I38</f>
        <v>831000</v>
      </c>
      <c r="J40" s="8">
        <f t="shared" si="4"/>
        <v>-380500</v>
      </c>
      <c r="K40" s="8"/>
      <c r="M40" s="8"/>
      <c r="N40" s="8"/>
      <c r="O40" s="8"/>
      <c r="P40" s="8"/>
    </row>
    <row r="41" spans="1:19" s="2" customFormat="1" ht="18" x14ac:dyDescent="0.25">
      <c r="D41" s="8"/>
      <c r="E41" s="8"/>
      <c r="F41" s="8" t="s">
        <v>56</v>
      </c>
      <c r="G41"/>
      <c r="H41"/>
      <c r="I41" s="3"/>
      <c r="J41" s="3"/>
      <c r="K41" s="3"/>
      <c r="L41" s="8" t="s">
        <v>55</v>
      </c>
      <c r="M41" s="8">
        <f>M39-H34</f>
        <v>500</v>
      </c>
      <c r="N41"/>
      <c r="O41" s="8">
        <f>M41</f>
        <v>500</v>
      </c>
      <c r="P41" s="8" t="s">
        <v>58</v>
      </c>
    </row>
    <row r="42" spans="1:19" s="2" customFormat="1" ht="18" x14ac:dyDescent="0.25">
      <c r="D42" s="4"/>
      <c r="E42" s="4"/>
      <c r="F42" s="8"/>
      <c r="G42"/>
      <c r="H42"/>
      <c r="I42" s="3"/>
      <c r="J42" s="3"/>
      <c r="K42" s="3"/>
      <c r="N42"/>
      <c r="O42" s="3"/>
      <c r="P42" s="3"/>
    </row>
    <row r="43" spans="1:19" ht="18" x14ac:dyDescent="0.25">
      <c r="L43" s="8" t="s">
        <v>60</v>
      </c>
      <c r="M43" s="8">
        <f>COUNTIFS(G6:G32,"ECHEC")*23000</f>
        <v>0</v>
      </c>
      <c r="O43" s="8">
        <f>M43+TONTJUIL22!O43</f>
        <v>0</v>
      </c>
      <c r="P43" s="8" t="s">
        <v>58</v>
      </c>
    </row>
    <row r="44" spans="1:19" ht="18" x14ac:dyDescent="0.25">
      <c r="F44" s="2"/>
      <c r="L44" s="8" t="s">
        <v>59</v>
      </c>
      <c r="M44" s="8">
        <f>L34-G40</f>
        <v>0</v>
      </c>
      <c r="O44" s="8">
        <f>M44+TONTJUIL22!O44</f>
        <v>0</v>
      </c>
      <c r="P44" s="8" t="s">
        <v>58</v>
      </c>
    </row>
  </sheetData>
  <autoFilter ref="A5:R24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>
      <pane xSplit="3" ySplit="5" topLeftCell="H36" activePane="bottomRight" state="frozen"/>
      <selection activeCell="G6" sqref="G6:G39"/>
      <selection pane="topRight" activeCell="G6" sqref="G6:G39"/>
      <selection pane="bottomLeft" activeCell="G6" sqref="G6:G39"/>
      <selection pane="bottomRight" activeCell="O6" sqref="O6:O31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5" width="13" customWidth="1"/>
    <col min="16" max="16" width="15.5703125" style="3" customWidth="1"/>
    <col min="17" max="18" width="18.140625" style="2" customWidth="1"/>
  </cols>
  <sheetData>
    <row r="1" spans="1:19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25">
      <c r="A2" s="1" t="s">
        <v>2</v>
      </c>
      <c r="B2" s="1">
        <v>2022</v>
      </c>
      <c r="C2" s="1" t="s">
        <v>85</v>
      </c>
      <c r="D2" s="1" t="s">
        <v>80</v>
      </c>
      <c r="E2" s="1"/>
      <c r="F2" s="1"/>
      <c r="G2" s="1"/>
      <c r="N2" s="1"/>
      <c r="O2" s="1"/>
    </row>
    <row r="3" spans="1:19" x14ac:dyDescent="0.25">
      <c r="A3" s="1" t="s">
        <v>86</v>
      </c>
      <c r="B3" s="6">
        <v>23000</v>
      </c>
      <c r="C3" s="6">
        <f>B3*13+1000</f>
        <v>300000</v>
      </c>
      <c r="D3" s="1">
        <f>ROUNDDOWN(M36/C3,0)</f>
        <v>2</v>
      </c>
      <c r="E3" s="1"/>
      <c r="F3" s="1"/>
      <c r="G3" s="1"/>
      <c r="N3" s="1"/>
      <c r="O3" s="1"/>
    </row>
    <row r="4" spans="1:19" s="16" customFormat="1" ht="18" x14ac:dyDescent="0.25">
      <c r="B4" s="17"/>
      <c r="C4" s="28">
        <v>44633</v>
      </c>
      <c r="D4" s="29"/>
      <c r="E4" s="29"/>
      <c r="F4" s="29"/>
      <c r="G4" s="29"/>
      <c r="H4" s="29"/>
      <c r="I4" s="29"/>
      <c r="J4" s="29"/>
      <c r="K4" s="29"/>
      <c r="L4" s="29"/>
      <c r="N4" s="18"/>
      <c r="O4" s="18"/>
      <c r="P4" s="18"/>
      <c r="Q4" s="18"/>
    </row>
    <row r="5" spans="1:19" ht="58.5" x14ac:dyDescent="0.3">
      <c r="A5" s="1" t="s">
        <v>3</v>
      </c>
      <c r="B5" s="13" t="s">
        <v>81</v>
      </c>
      <c r="C5" s="1" t="s">
        <v>4</v>
      </c>
      <c r="D5" s="4" t="s">
        <v>5</v>
      </c>
      <c r="E5" s="4" t="s">
        <v>7</v>
      </c>
      <c r="F5" s="1" t="s">
        <v>48</v>
      </c>
      <c r="G5" s="5" t="s">
        <v>6</v>
      </c>
      <c r="H5" s="6" t="s">
        <v>44</v>
      </c>
      <c r="I5" s="4" t="s">
        <v>41</v>
      </c>
      <c r="J5" s="4" t="s">
        <v>45</v>
      </c>
      <c r="K5" s="11" t="s">
        <v>54</v>
      </c>
      <c r="L5" s="4" t="s">
        <v>82</v>
      </c>
      <c r="M5" s="4" t="s">
        <v>40</v>
      </c>
      <c r="N5" s="4" t="s">
        <v>39</v>
      </c>
      <c r="O5" s="4" t="s">
        <v>42</v>
      </c>
      <c r="P5" s="4" t="s">
        <v>54</v>
      </c>
      <c r="Q5" s="4" t="s">
        <v>83</v>
      </c>
      <c r="R5" s="4" t="s">
        <v>43</v>
      </c>
      <c r="S5" s="4" t="s">
        <v>98</v>
      </c>
    </row>
    <row r="6" spans="1:19" x14ac:dyDescent="0.25">
      <c r="A6" s="1" t="s">
        <v>9</v>
      </c>
      <c r="B6" s="7">
        <f>IF(D6=0,0,VLOOKUP($A6,[8]HISTOJANV22!$A$6:$AZ$36,9,0))</f>
        <v>1</v>
      </c>
      <c r="C6" s="1" t="str">
        <f>VLOOKUP(A6,[9]LISTADHERENT!A$5:H$60,3,0)</f>
        <v>BOUTCHOUANG WILLIAM</v>
      </c>
      <c r="D6" s="7">
        <f>IF(G6="ECHEC",0,B$3)</f>
        <v>23000</v>
      </c>
      <c r="E6" s="7">
        <f>D6+VLOOKUP($A6,[10]HISTOSEPT22!$A$7:$AU$38,45,0)+F6</f>
        <v>30000</v>
      </c>
      <c r="F6" s="7">
        <f>VLOOKUP($A6,[10]HISTOSEPT22!$A$7:$AU$38,7,0)</f>
        <v>0</v>
      </c>
      <c r="G6" s="7" t="str">
        <f>VLOOKUP($A6,[10]HISTOSEPT22!$A$7:$AU$38,8,0)</f>
        <v>BANQUE</v>
      </c>
      <c r="H6" s="7">
        <f>VLOOKUP($A6,[10]HISTOSEPT22!$A$7:$AU$38,35,0)</f>
        <v>0</v>
      </c>
      <c r="I6" s="7">
        <f>VLOOKUP($A6,[10]HISTOSEPT22!$A$7:$AU$38,38,0)</f>
        <v>0</v>
      </c>
      <c r="J6" s="7">
        <f>IF(I6=0,0,VLOOKUP($A6,[10]HISTOSEPT22!$A$7:$AU$38,42,0))</f>
        <v>0</v>
      </c>
      <c r="K6" s="7">
        <f>VLOOKUP($A6,[10]HISTOSEPT22!$A$7:$AU$38,41,0)</f>
        <v>0</v>
      </c>
      <c r="L6" s="7">
        <f>+TONTAOUT22!H6+TONTAOUT22!I6</f>
        <v>0</v>
      </c>
      <c r="M6" s="7">
        <f>VLOOKUP($A6,[10]HISTOSEPT22!$A$7:$AU$38,16,0)</f>
        <v>0</v>
      </c>
      <c r="N6" s="7" t="str">
        <f>IF(M6&lt;&gt;0,VLOOKUP($A6,[10]HISTOSEPT22!$A$7:$AU$38,8,0),"ECHEC")</f>
        <v>ECHEC</v>
      </c>
      <c r="O6" s="7">
        <f>IF(R6=0,0,VLOOKUP($A6,[10]HISTOSEPT22!$A$7:$AU$38,32,0))</f>
        <v>0</v>
      </c>
      <c r="P6" s="7">
        <f>VLOOKUP($A6,[10]HISTOSEPT22!$A$7:$AU$38,33,0)</f>
        <v>0</v>
      </c>
      <c r="Q6" s="7">
        <f t="shared" ref="Q6:Q31" si="0">IF(R6=0,0,($C$3-R6))</f>
        <v>0</v>
      </c>
      <c r="R6" s="7">
        <f>VLOOKUP($A6,[10]HISTOSEPT22!$A$7:$AU$38,29,0)</f>
        <v>0</v>
      </c>
      <c r="S6" s="21">
        <f>IF(R6=0,0,(R6-23000))</f>
        <v>0</v>
      </c>
    </row>
    <row r="7" spans="1:19" x14ac:dyDescent="0.25">
      <c r="A7" s="1" t="s">
        <v>10</v>
      </c>
      <c r="B7" s="7">
        <f>IF(D7=0,0,VLOOKUP($A7,[8]HISTOJANV22!$A$6:$AZ$36,9,0))</f>
        <v>1</v>
      </c>
      <c r="C7" s="1" t="str">
        <f>VLOOKUP(A7,[9]LISTADHERENT!A$5:H$60,3,0)</f>
        <v xml:space="preserve">DJOMO JEAN PAUL </v>
      </c>
      <c r="D7" s="7">
        <f t="shared" ref="D7:D31" si="1">IF(G7="ECHEC",0,B$3)</f>
        <v>23000</v>
      </c>
      <c r="E7" s="7">
        <f>D7+VLOOKUP($A7,[10]HISTOSEPT22!$A$7:$AU$38,45,0)+F7</f>
        <v>33000</v>
      </c>
      <c r="F7" s="7">
        <f>VLOOKUP($A7,[10]HISTOSEPT22!$A$7:$AU$38,7,0)</f>
        <v>3000</v>
      </c>
      <c r="G7" s="7" t="str">
        <f>VLOOKUP($A7,[10]HISTOSEPT22!$A$7:$AU$38,8,0)</f>
        <v>ESPECES</v>
      </c>
      <c r="H7" s="7">
        <f>VLOOKUP($A7,[10]HISTOSEPT22!$A$7:$AU$38,35,0)</f>
        <v>0</v>
      </c>
      <c r="I7" s="7">
        <f>VLOOKUP($A7,[10]HISTOSEPT22!$A$7:$AU$38,38,0)</f>
        <v>0</v>
      </c>
      <c r="J7" s="7">
        <f>IF(I7=0,0,VLOOKUP($A7,[10]HISTOSEPT22!$A$7:$AU$38,42,0))</f>
        <v>0</v>
      </c>
      <c r="K7" s="7">
        <f>VLOOKUP($A7,[10]HISTOSEPT22!$A$7:$AU$38,41,0)</f>
        <v>0</v>
      </c>
      <c r="L7" s="7">
        <f>+TONTAOUT22!H7+TONTAOUT22!I7</f>
        <v>0</v>
      </c>
      <c r="M7" s="7">
        <f>VLOOKUP($A7,[10]HISTOSEPT22!$A$7:$AU$38,16,0)</f>
        <v>0</v>
      </c>
      <c r="N7" s="7" t="str">
        <f>IF(M7&lt;&gt;0,VLOOKUP($A7,[10]HISTOSEPT22!$A$7:$AU$38,8,0),"ECHEC")</f>
        <v>ECHEC</v>
      </c>
      <c r="O7" s="7">
        <f>IF(R7=0,0,VLOOKUP($A7,[10]HISTOSEPT22!$A$7:$AU$38,32,0))</f>
        <v>0</v>
      </c>
      <c r="P7" s="7">
        <f>VLOOKUP($A7,[10]HISTOSEPT22!$A$7:$AU$38,33,0)</f>
        <v>0</v>
      </c>
      <c r="Q7" s="7">
        <f t="shared" si="0"/>
        <v>0</v>
      </c>
      <c r="R7" s="7">
        <f>VLOOKUP($A7,[10]HISTOSEPT22!$A$7:$AU$38,29,0)</f>
        <v>0</v>
      </c>
      <c r="S7" s="21">
        <f t="shared" ref="S7:S31" si="2">IF(R7=0,0,(R7-23000))</f>
        <v>0</v>
      </c>
    </row>
    <row r="8" spans="1:19" x14ac:dyDescent="0.25">
      <c r="A8" s="1" t="s">
        <v>57</v>
      </c>
      <c r="B8" s="7">
        <f>IF(D8=0,0,VLOOKUP($A8,[8]HISTOJANV22!$A$6:$AZ$36,9,0))</f>
        <v>1</v>
      </c>
      <c r="C8" s="1" t="str">
        <f>VLOOKUP(A8,[9]LISTADHERENT!A$5:H$60,3,0)</f>
        <v>DJOMOU TCHANDA</v>
      </c>
      <c r="D8" s="7">
        <f t="shared" si="1"/>
        <v>23000</v>
      </c>
      <c r="E8" s="7">
        <f>D8+VLOOKUP($A8,[10]HISTOSEPT22!$A$7:$AU$38,45,0)+F8</f>
        <v>30000</v>
      </c>
      <c r="F8" s="7">
        <f>VLOOKUP($A8,[10]HISTOSEPT22!$A$7:$AU$38,7,0)</f>
        <v>0</v>
      </c>
      <c r="G8" s="7" t="str">
        <f>VLOOKUP($A8,[10]HISTOSEPT22!$A$7:$AU$38,8,0)</f>
        <v>BANQUE</v>
      </c>
      <c r="H8" s="7">
        <f>VLOOKUP($A8,[10]HISTOSEPT22!$A$7:$AU$38,35,0)</f>
        <v>0</v>
      </c>
      <c r="I8" s="7">
        <f>VLOOKUP($A8,[10]HISTOSEPT22!$A$7:$AU$38,38,0)</f>
        <v>0</v>
      </c>
      <c r="J8" s="7">
        <f>IF(I8=0,0,VLOOKUP($A8,[10]HISTOSEPT22!$A$7:$AU$38,42,0))</f>
        <v>0</v>
      </c>
      <c r="K8" s="7">
        <f>VLOOKUP($A8,[10]HISTOSEPT22!$A$7:$AU$38,41,0)</f>
        <v>0</v>
      </c>
      <c r="L8" s="7">
        <f>+TONTAOUT22!H8+TONTAOUT22!I8</f>
        <v>0</v>
      </c>
      <c r="M8" s="7">
        <f>VLOOKUP($A8,[10]HISTOSEPT22!$A$7:$AU$38,16,0)</f>
        <v>0</v>
      </c>
      <c r="N8" s="7" t="str">
        <f>IF(M8&lt;&gt;0,VLOOKUP($A8,[10]HISTOSEPT22!$A$7:$AU$38,8,0),"ECHEC")</f>
        <v>ECHEC</v>
      </c>
      <c r="O8" s="7" t="str">
        <f>IF(R8=0,0,VLOOKUP($A8,[10]HISTOSEPT22!$A$7:$AU$38,32,0))</f>
        <v>BANQUE</v>
      </c>
      <c r="P8" s="7">
        <f>VLOOKUP($A8,[10]HISTOSEPT22!$A$7:$AU$38,33,0)</f>
        <v>0</v>
      </c>
      <c r="Q8" s="7">
        <f t="shared" si="0"/>
        <v>272000</v>
      </c>
      <c r="R8" s="7">
        <f>VLOOKUP($A8,[10]HISTOSEPT22!$A$7:$AU$38,29,0)</f>
        <v>28000</v>
      </c>
      <c r="S8" s="21">
        <f t="shared" si="2"/>
        <v>5000</v>
      </c>
    </row>
    <row r="9" spans="1:19" x14ac:dyDescent="0.25">
      <c r="A9" s="1" t="s">
        <v>11</v>
      </c>
      <c r="B9" s="7">
        <f>IF(D9=0,0,VLOOKUP($A9,[8]HISTOJANV22!$A$6:$AZ$36,9,0))</f>
        <v>1</v>
      </c>
      <c r="C9" s="1" t="str">
        <f>VLOOKUP(A9,[9]LISTADHERENT!A$5:H$60,3,0)</f>
        <v>DJOUKWE NANGUEN GUY BLAISE</v>
      </c>
      <c r="D9" s="7">
        <f t="shared" si="1"/>
        <v>23000</v>
      </c>
      <c r="E9" s="7">
        <f>D9+VLOOKUP($A9,[10]HISTOSEPT22!$A$7:$AU$38,45,0)+F9</f>
        <v>30000</v>
      </c>
      <c r="F9" s="7">
        <f>VLOOKUP($A9,[10]HISTOSEPT22!$A$7:$AU$38,7,0)</f>
        <v>0</v>
      </c>
      <c r="G9" s="7" t="str">
        <f>VLOOKUP($A9,[10]HISTOSEPT22!$A$7:$AU$38,8,0)</f>
        <v>BANQUE</v>
      </c>
      <c r="H9" s="7">
        <f>VLOOKUP($A9,[10]HISTOSEPT22!$A$7:$AU$38,35,0)</f>
        <v>0</v>
      </c>
      <c r="I9" s="7">
        <f>VLOOKUP($A9,[10]HISTOSEPT22!$A$7:$AU$38,38,0)</f>
        <v>0</v>
      </c>
      <c r="J9" s="7">
        <f>IF(I9=0,0,VLOOKUP($A9,[10]HISTOSEPT22!$A$7:$AU$38,42,0))</f>
        <v>0</v>
      </c>
      <c r="K9" s="7">
        <f>VLOOKUP($A9,[10]HISTOSEPT22!$A$7:$AU$38,41,0)</f>
        <v>0</v>
      </c>
      <c r="L9" s="7">
        <f>+TONTAOUT22!H9+TONTAOUT22!I9</f>
        <v>51000</v>
      </c>
      <c r="M9" s="7">
        <f>VLOOKUP($A9,[10]HISTOSEPT22!$A$7:$AU$38,16,0)</f>
        <v>51000</v>
      </c>
      <c r="N9" s="7" t="str">
        <f>IF(M9&lt;&gt;0,VLOOKUP($A9,[10]HISTOSEPT22!$A$7:$AU$38,8,0),"ECHEC")</f>
        <v>BANQUE</v>
      </c>
      <c r="O9" s="7" t="str">
        <f>IF(R9=0,0,VLOOKUP($A9,[10]HISTOSEPT22!$A$7:$AU$38,32,0))</f>
        <v>BANQUE</v>
      </c>
      <c r="P9" s="7">
        <f>VLOOKUP($A9,[10]HISTOSEPT22!$A$7:$AU$38,33,0)</f>
        <v>0</v>
      </c>
      <c r="Q9" s="7">
        <f t="shared" si="0"/>
        <v>273000</v>
      </c>
      <c r="R9" s="7">
        <f>VLOOKUP($A9,[10]HISTOSEPT22!$A$7:$AU$38,29,0)</f>
        <v>27000</v>
      </c>
      <c r="S9" s="21">
        <f t="shared" si="2"/>
        <v>4000</v>
      </c>
    </row>
    <row r="10" spans="1:19" x14ac:dyDescent="0.25">
      <c r="A10" s="1" t="s">
        <v>12</v>
      </c>
      <c r="B10" s="7">
        <f>IF(D10=0,0,VLOOKUP($A10,[8]HISTOJANV22!$A$6:$AZ$36,9,0))</f>
        <v>1</v>
      </c>
      <c r="C10" s="1" t="str">
        <f>VLOOKUP(A10,[9]LISTADHERENT!A$5:H$60,3,0)</f>
        <v>DJUOMBESSY ANTOINE</v>
      </c>
      <c r="D10" s="7">
        <f t="shared" si="1"/>
        <v>23000</v>
      </c>
      <c r="E10" s="7">
        <f>D10+VLOOKUP($A10,[10]HISTOSEPT22!$A$7:$AU$38,45,0)+F10</f>
        <v>30000</v>
      </c>
      <c r="F10" s="7">
        <f>VLOOKUP($A10,[10]HISTOSEPT22!$A$7:$AU$38,7,0)</f>
        <v>0</v>
      </c>
      <c r="G10" s="7" t="str">
        <f>VLOOKUP($A10,[10]HISTOSEPT22!$A$7:$AU$38,8,0)</f>
        <v>BANQUE</v>
      </c>
      <c r="H10" s="7">
        <f>VLOOKUP($A10,[10]HISTOSEPT22!$A$7:$AU$38,35,0)</f>
        <v>0</v>
      </c>
      <c r="I10" s="7">
        <f>VLOOKUP($A10,[10]HISTOSEPT22!$A$7:$AU$38,38,0)</f>
        <v>0</v>
      </c>
      <c r="J10" s="7">
        <f>IF(I10=0,0,VLOOKUP($A10,[10]HISTOSEPT22!$A$7:$AU$38,42,0))</f>
        <v>0</v>
      </c>
      <c r="K10" s="7">
        <f>VLOOKUP($A10,[10]HISTOSEPT22!$A$7:$AU$38,41,0)</f>
        <v>0</v>
      </c>
      <c r="L10" s="7">
        <f>+TONTAOUT22!H10+TONTAOUT22!I10</f>
        <v>69000</v>
      </c>
      <c r="M10" s="7">
        <f>VLOOKUP($A10,[10]HISTOSEPT22!$A$7:$AU$38,16,0)</f>
        <v>69000</v>
      </c>
      <c r="N10" s="7" t="str">
        <f>IF(M10&lt;&gt;0,VLOOKUP($A10,[10]HISTOSEPT22!$A$7:$AU$38,8,0),"ECHEC")</f>
        <v>BANQUE</v>
      </c>
      <c r="O10" s="7">
        <f>IF(R10=0,0,VLOOKUP($A10,[10]HISTOSEPT22!$A$7:$AU$38,32,0))</f>
        <v>0</v>
      </c>
      <c r="P10" s="7">
        <f>VLOOKUP($A10,[10]HISTOSEPT22!$A$7:$AU$38,33,0)</f>
        <v>0</v>
      </c>
      <c r="Q10" s="7">
        <f t="shared" si="0"/>
        <v>0</v>
      </c>
      <c r="R10" s="7">
        <f>VLOOKUP($A10,[10]HISTOSEPT22!$A$7:$AU$38,29,0)</f>
        <v>0</v>
      </c>
      <c r="S10" s="21">
        <f t="shared" si="2"/>
        <v>0</v>
      </c>
    </row>
    <row r="11" spans="1:19" x14ac:dyDescent="0.25">
      <c r="A11" s="1" t="s">
        <v>50</v>
      </c>
      <c r="B11" s="7">
        <f>IF(D11=0,0,VLOOKUP($A11,[8]HISTOJANV22!$A$6:$AZ$36,9,0))</f>
        <v>1</v>
      </c>
      <c r="C11" s="1" t="str">
        <f>VLOOKUP(A11,[9]LISTADHERENT!A$5:H$60,3,0)</f>
        <v>DOMOU FABIEN</v>
      </c>
      <c r="D11" s="7">
        <f t="shared" si="1"/>
        <v>23000</v>
      </c>
      <c r="E11" s="7">
        <f>D11+VLOOKUP($A11,[10]HISTOSEPT22!$A$7:$AU$38,45,0)+F11</f>
        <v>35000</v>
      </c>
      <c r="F11" s="7">
        <f>VLOOKUP($A11,[10]HISTOSEPT22!$A$7:$AU$38,7,0)</f>
        <v>0</v>
      </c>
      <c r="G11" s="7" t="str">
        <f>VLOOKUP($A11,[10]HISTOSEPT22!$A$7:$AU$38,8,0)</f>
        <v>BANQUE</v>
      </c>
      <c r="H11" s="7">
        <f>VLOOKUP($A11,[10]HISTOSEPT22!$A$7:$AU$38,35,0)</f>
        <v>0</v>
      </c>
      <c r="I11" s="7">
        <f>VLOOKUP($A11,[10]HISTOSEPT22!$A$7:$AU$38,38,0)</f>
        <v>0</v>
      </c>
      <c r="J11" s="7">
        <f>IF(I11=0,0,VLOOKUP($A11,[10]HISTOSEPT22!$A$7:$AU$38,42,0))</f>
        <v>0</v>
      </c>
      <c r="K11" s="7">
        <f>VLOOKUP($A11,[10]HISTOSEPT22!$A$7:$AU$38,41,0)</f>
        <v>0</v>
      </c>
      <c r="L11" s="7">
        <f>+TONTAOUT22!H11+TONTAOUT22!I11</f>
        <v>0</v>
      </c>
      <c r="M11" s="7">
        <f>VLOOKUP($A11,[10]HISTOSEPT22!$A$7:$AU$38,16,0)</f>
        <v>0</v>
      </c>
      <c r="N11" s="7" t="str">
        <f>IF(M11&lt;&gt;0,VLOOKUP($A11,[10]HISTOSEPT22!$A$7:$AU$38,8,0),"ECHEC")</f>
        <v>ECHEC</v>
      </c>
      <c r="O11" s="7">
        <f>IF(R11=0,0,VLOOKUP($A11,[10]HISTOSEPT22!$A$7:$AU$38,32,0))</f>
        <v>0</v>
      </c>
      <c r="P11" s="7">
        <f>VLOOKUP($A11,[10]HISTOSEPT22!$A$7:$AU$38,33,0)</f>
        <v>0</v>
      </c>
      <c r="Q11" s="7">
        <f t="shared" si="0"/>
        <v>0</v>
      </c>
      <c r="R11" s="7">
        <f>VLOOKUP($A11,[10]HISTOSEPT22!$A$7:$AU$38,29,0)</f>
        <v>0</v>
      </c>
      <c r="S11" s="21">
        <f t="shared" si="2"/>
        <v>0</v>
      </c>
    </row>
    <row r="12" spans="1:19" x14ac:dyDescent="0.25">
      <c r="A12" s="1" t="s">
        <v>13</v>
      </c>
      <c r="B12" s="7">
        <f>IF(D12=0,0,VLOOKUP($A12,[8]HISTOJANV22!$A$6:$AZ$36,9,0))</f>
        <v>1</v>
      </c>
      <c r="C12" s="1" t="str">
        <f>VLOOKUP(A12,[9]LISTADHERENT!A$5:H$60,3,0)</f>
        <v>DONHOU DAVID</v>
      </c>
      <c r="D12" s="7">
        <f t="shared" si="1"/>
        <v>23000</v>
      </c>
      <c r="E12" s="7">
        <f>D12+VLOOKUP($A12,[10]HISTOSEPT22!$A$7:$AU$38,45,0)+F12</f>
        <v>35000</v>
      </c>
      <c r="F12" s="7">
        <f>VLOOKUP($A12,[10]HISTOSEPT22!$A$7:$AU$38,7,0)</f>
        <v>0</v>
      </c>
      <c r="G12" s="7" t="str">
        <f>VLOOKUP($A12,[10]HISTOSEPT22!$A$7:$AU$38,8,0)</f>
        <v>BANQUE</v>
      </c>
      <c r="H12" s="7">
        <f>VLOOKUP($A12,[10]HISTOSEPT22!$A$7:$AU$38,35,0)</f>
        <v>0</v>
      </c>
      <c r="I12" s="7">
        <f>VLOOKUP($A12,[10]HISTOSEPT22!$A$7:$AU$38,38,0)</f>
        <v>0</v>
      </c>
      <c r="J12" s="7">
        <f>IF(I12=0,0,VLOOKUP($A12,[10]HISTOSEPT22!$A$7:$AU$38,42,0))</f>
        <v>0</v>
      </c>
      <c r="K12" s="7">
        <f>VLOOKUP($A12,[10]HISTOSEPT22!$A$7:$AU$38,41,0)</f>
        <v>0</v>
      </c>
      <c r="L12" s="7">
        <f>+TONTAOUT22!H12+TONTAOUT22!I12</f>
        <v>0</v>
      </c>
      <c r="M12" s="7">
        <f>VLOOKUP($A12,[10]HISTOSEPT22!$A$7:$AU$38,16,0)</f>
        <v>0</v>
      </c>
      <c r="N12" s="7" t="str">
        <f>IF(M12&lt;&gt;0,VLOOKUP($A12,[10]HISTOSEPT22!$A$7:$AU$38,8,0),"ECHEC")</f>
        <v>ECHEC</v>
      </c>
      <c r="O12" s="7">
        <f>IF(R12=0,0,VLOOKUP($A12,[10]HISTOSEPT22!$A$7:$AU$38,32,0))</f>
        <v>0</v>
      </c>
      <c r="P12" s="7">
        <f>VLOOKUP($A12,[10]HISTOSEPT22!$A$7:$AU$38,33,0)</f>
        <v>0</v>
      </c>
      <c r="Q12" s="7">
        <f t="shared" si="0"/>
        <v>0</v>
      </c>
      <c r="R12" s="7">
        <f>VLOOKUP($A12,[10]HISTOSEPT22!$A$7:$AU$38,29,0)</f>
        <v>0</v>
      </c>
      <c r="S12" s="21">
        <f t="shared" si="2"/>
        <v>0</v>
      </c>
    </row>
    <row r="13" spans="1:19" x14ac:dyDescent="0.25">
      <c r="A13" s="1" t="s">
        <v>15</v>
      </c>
      <c r="B13" s="7">
        <f>IF(D13=0,0,VLOOKUP($A13,[8]HISTOJANV22!$A$6:$AZ$36,9,0))</f>
        <v>1</v>
      </c>
      <c r="C13" s="1" t="str">
        <f>VLOOKUP(A13,[9]LISTADHERENT!A$5:H$60,3,0)</f>
        <v>HENGUE PAUL OMER</v>
      </c>
      <c r="D13" s="7">
        <f t="shared" si="1"/>
        <v>23000</v>
      </c>
      <c r="E13" s="7">
        <f>D13+VLOOKUP($A13,[10]HISTOSEPT22!$A$7:$AU$38,45,0)+F13</f>
        <v>30000</v>
      </c>
      <c r="F13" s="7">
        <f>VLOOKUP($A13,[10]HISTOSEPT22!$A$7:$AU$38,7,0)</f>
        <v>0</v>
      </c>
      <c r="G13" s="7" t="str">
        <f>VLOOKUP($A13,[10]HISTOSEPT22!$A$7:$AU$38,8,0)</f>
        <v>BANQUE</v>
      </c>
      <c r="H13" s="7">
        <f>VLOOKUP($A13,[10]HISTOSEPT22!$A$7:$AU$38,35,0)</f>
        <v>0</v>
      </c>
      <c r="I13" s="7">
        <f>VLOOKUP($A13,[10]HISTOSEPT22!$A$7:$AU$38,38,0)</f>
        <v>0</v>
      </c>
      <c r="J13" s="7">
        <f>IF(I13=0,0,VLOOKUP($A13,[10]HISTOSEPT22!$A$7:$AU$38,42,0))</f>
        <v>0</v>
      </c>
      <c r="K13" s="7">
        <f>VLOOKUP($A13,[10]HISTOSEPT22!$A$7:$AU$38,41,0)</f>
        <v>0</v>
      </c>
      <c r="L13" s="7">
        <f>+TONTAOUT22!H13+TONTAOUT22!I13</f>
        <v>0</v>
      </c>
      <c r="M13" s="7">
        <f>VLOOKUP($A13,[10]HISTOSEPT22!$A$7:$AU$38,16,0)</f>
        <v>0</v>
      </c>
      <c r="N13" s="7" t="str">
        <f>IF(M13&lt;&gt;0,VLOOKUP($A13,[10]HISTOSEPT22!$A$7:$AU$38,8,0),"ECHEC")</f>
        <v>ECHEC</v>
      </c>
      <c r="O13" s="7">
        <f>IF(R13=0,0,VLOOKUP($A13,[10]HISTOSEPT22!$A$7:$AU$38,32,0))</f>
        <v>0</v>
      </c>
      <c r="P13" s="7">
        <f>VLOOKUP($A13,[10]HISTOSEPT22!$A$7:$AU$38,33,0)</f>
        <v>0</v>
      </c>
      <c r="Q13" s="7">
        <f t="shared" si="0"/>
        <v>0</v>
      </c>
      <c r="R13" s="7">
        <f>VLOOKUP($A13,[10]HISTOSEPT22!$A$7:$AU$38,29,0)</f>
        <v>0</v>
      </c>
      <c r="S13" s="21">
        <f t="shared" si="2"/>
        <v>0</v>
      </c>
    </row>
    <row r="14" spans="1:19" x14ac:dyDescent="0.25">
      <c r="A14" s="1" t="s">
        <v>16</v>
      </c>
      <c r="B14" s="7">
        <f>IF(D14=0,0,VLOOKUP($A14,[8]HISTOJANV22!$A$6:$AZ$36,9,0))</f>
        <v>1</v>
      </c>
      <c r="C14" s="1" t="str">
        <f>VLOOKUP(A14,[9]LISTADHERENT!A$5:H$60,3,0)</f>
        <v>HOTCHO BENJAMIN</v>
      </c>
      <c r="D14" s="7">
        <f t="shared" si="1"/>
        <v>23000</v>
      </c>
      <c r="E14" s="7">
        <f>D14+VLOOKUP($A14,[10]HISTOSEPT22!$A$7:$AU$38,45,0)+F14</f>
        <v>75000</v>
      </c>
      <c r="F14" s="7">
        <f>VLOOKUP($A14,[10]HISTOSEPT22!$A$7:$AU$38,7,0)</f>
        <v>0</v>
      </c>
      <c r="G14" s="7" t="str">
        <f>VLOOKUP($A14,[10]HISTOSEPT22!$A$7:$AU$38,8,0)</f>
        <v>BANQUE</v>
      </c>
      <c r="H14" s="7">
        <f>VLOOKUP($A14,[10]HISTOSEPT22!$A$7:$AU$38,35,0)</f>
        <v>0</v>
      </c>
      <c r="I14" s="7">
        <f>VLOOKUP($A14,[10]HISTOSEPT22!$A$7:$AU$38,38,0)</f>
        <v>0</v>
      </c>
      <c r="J14" s="7">
        <f>IF(I14=0,0,VLOOKUP($A14,[10]HISTOSEPT22!$A$7:$AU$38,42,0))</f>
        <v>0</v>
      </c>
      <c r="K14" s="7">
        <f>VLOOKUP($A14,[10]HISTOSEPT22!$A$7:$AU$38,41,0)</f>
        <v>0</v>
      </c>
      <c r="L14" s="7">
        <f>+TONTAOUT22!H14+TONTAOUT22!I14</f>
        <v>0</v>
      </c>
      <c r="M14" s="7">
        <f>VLOOKUP($A14,[10]HISTOSEPT22!$A$7:$AU$38,16,0)</f>
        <v>0</v>
      </c>
      <c r="N14" s="7" t="str">
        <f>IF(M14&lt;&gt;0,VLOOKUP($A14,[10]HISTOSEPT22!$A$7:$AU$38,8,0),"ECHEC")</f>
        <v>ECHEC</v>
      </c>
      <c r="O14" s="7">
        <f>IF(R14=0,0,VLOOKUP($A14,[10]HISTOSEPT22!$A$7:$AU$38,32,0))</f>
        <v>0</v>
      </c>
      <c r="P14" s="7">
        <f>VLOOKUP($A14,[10]HISTOSEPT22!$A$7:$AU$38,33,0)</f>
        <v>0</v>
      </c>
      <c r="Q14" s="7">
        <f t="shared" si="0"/>
        <v>0</v>
      </c>
      <c r="R14" s="7">
        <f>VLOOKUP($A14,[10]HISTOSEPT22!$A$7:$AU$38,29,0)</f>
        <v>0</v>
      </c>
      <c r="S14" s="21">
        <f t="shared" si="2"/>
        <v>0</v>
      </c>
    </row>
    <row r="15" spans="1:19" x14ac:dyDescent="0.25">
      <c r="A15" s="1" t="s">
        <v>17</v>
      </c>
      <c r="B15" s="7">
        <f>IF(D15=0,0,VLOOKUP($A15,[8]HISTOJANV22!$A$6:$AZ$36,9,0))</f>
        <v>1</v>
      </c>
      <c r="C15" s="1" t="str">
        <f>VLOOKUP(A15,[9]LISTADHERENT!A$5:H$60,3,0)</f>
        <v>KOUAMOU MOISE</v>
      </c>
      <c r="D15" s="7">
        <f t="shared" si="1"/>
        <v>23000</v>
      </c>
      <c r="E15" s="7">
        <f>D15+VLOOKUP($A15,[10]HISTOSEPT22!$A$7:$AU$38,45,0)+F15</f>
        <v>30000</v>
      </c>
      <c r="F15" s="7">
        <f>VLOOKUP($A15,[10]HISTOSEPT22!$A$7:$AU$38,7,0)</f>
        <v>0</v>
      </c>
      <c r="G15" s="7" t="str">
        <f>VLOOKUP($A15,[10]HISTOSEPT22!$A$7:$AU$38,8,0)</f>
        <v>BANQUE</v>
      </c>
      <c r="H15" s="7">
        <f>VLOOKUP($A15,[10]HISTOSEPT22!$A$7:$AU$38,35,0)</f>
        <v>0</v>
      </c>
      <c r="I15" s="7">
        <f>VLOOKUP($A15,[10]HISTOSEPT22!$A$7:$AU$38,38,0)</f>
        <v>0</v>
      </c>
      <c r="J15" s="7">
        <f>IF(I15=0,0,VLOOKUP($A15,[10]HISTOSEPT22!$A$7:$AU$38,42,0))</f>
        <v>0</v>
      </c>
      <c r="K15" s="7">
        <f>VLOOKUP($A15,[10]HISTOSEPT22!$A$7:$AU$38,41,0)</f>
        <v>0</v>
      </c>
      <c r="L15" s="7">
        <f>+TONTAOUT22!H15+TONTAOUT22!I15</f>
        <v>0</v>
      </c>
      <c r="M15" s="7">
        <f>VLOOKUP($A15,[10]HISTOSEPT22!$A$7:$AU$38,16,0)</f>
        <v>0</v>
      </c>
      <c r="N15" s="7" t="str">
        <f>IF(M15&lt;&gt;0,VLOOKUP($A15,[10]HISTOSEPT22!$A$7:$AU$38,8,0),"ECHEC")</f>
        <v>ECHEC</v>
      </c>
      <c r="O15" s="7">
        <f>IF(R15=0,0,VLOOKUP($A15,[10]HISTOSEPT22!$A$7:$AU$38,32,0))</f>
        <v>0</v>
      </c>
      <c r="P15" s="7">
        <f>VLOOKUP($A15,[10]HISTOSEPT22!$A$7:$AU$38,33,0)</f>
        <v>0</v>
      </c>
      <c r="Q15" s="7">
        <f t="shared" si="0"/>
        <v>0</v>
      </c>
      <c r="R15" s="7">
        <f>VLOOKUP($A15,[10]HISTOSEPT22!$A$7:$AU$38,29,0)</f>
        <v>0</v>
      </c>
      <c r="S15" s="21">
        <f t="shared" si="2"/>
        <v>0</v>
      </c>
    </row>
    <row r="16" spans="1:19" x14ac:dyDescent="0.25">
      <c r="A16" s="1" t="s">
        <v>18</v>
      </c>
      <c r="B16" s="7">
        <f>IF(D16=0,0,VLOOKUP($A16,[8]HISTOJANV22!$A$6:$AZ$36,9,0))</f>
        <v>1</v>
      </c>
      <c r="C16" s="1" t="str">
        <f>VLOOKUP(A16,[9]LISTADHERENT!A$5:H$60,3,0)</f>
        <v>KOUATCHO MESSACK</v>
      </c>
      <c r="D16" s="7">
        <f t="shared" si="1"/>
        <v>23000</v>
      </c>
      <c r="E16" s="7">
        <f>D16+VLOOKUP($A16,[10]HISTOSEPT22!$A$7:$AU$38,45,0)+F16</f>
        <v>30000</v>
      </c>
      <c r="F16" s="7">
        <f>VLOOKUP($A16,[10]HISTOSEPT22!$A$7:$AU$38,7,0)</f>
        <v>0</v>
      </c>
      <c r="G16" s="7" t="str">
        <f>VLOOKUP($A16,[10]HISTOSEPT22!$A$7:$AU$38,8,0)</f>
        <v>BANQUE</v>
      </c>
      <c r="H16" s="7">
        <f>VLOOKUP($A16,[10]HISTOSEPT22!$A$7:$AU$38,35,0)</f>
        <v>0</v>
      </c>
      <c r="I16" s="7">
        <f>VLOOKUP($A16,[10]HISTOSEPT22!$A$7:$AU$38,38,0)</f>
        <v>0</v>
      </c>
      <c r="J16" s="7">
        <f>IF(I16=0,0,VLOOKUP($A16,[10]HISTOSEPT22!$A$7:$AU$38,42,0))</f>
        <v>0</v>
      </c>
      <c r="K16" s="7">
        <f>VLOOKUP($A16,[10]HISTOSEPT22!$A$7:$AU$38,41,0)</f>
        <v>0</v>
      </c>
      <c r="L16" s="7">
        <f>+TONTAOUT22!H16+TONTAOUT22!I16</f>
        <v>0</v>
      </c>
      <c r="M16" s="7">
        <f>VLOOKUP($A16,[10]HISTOSEPT22!$A$7:$AU$38,16,0)</f>
        <v>0</v>
      </c>
      <c r="N16" s="7" t="str">
        <f>IF(M16&lt;&gt;0,VLOOKUP($A16,[10]HISTOSEPT22!$A$7:$AU$38,8,0),"ECHEC")</f>
        <v>ECHEC</v>
      </c>
      <c r="O16" s="7">
        <f>IF(R16=0,0,VLOOKUP($A16,[10]HISTOSEPT22!$A$7:$AU$38,32,0))</f>
        <v>0</v>
      </c>
      <c r="P16" s="7">
        <f>VLOOKUP($A16,[10]HISTOSEPT22!$A$7:$AU$38,33,0)</f>
        <v>0</v>
      </c>
      <c r="Q16" s="7">
        <f t="shared" si="0"/>
        <v>0</v>
      </c>
      <c r="R16" s="7">
        <f>VLOOKUP($A16,[10]HISTOSEPT22!$A$7:$AU$38,29,0)</f>
        <v>0</v>
      </c>
      <c r="S16" s="21">
        <f t="shared" si="2"/>
        <v>0</v>
      </c>
    </row>
    <row r="17" spans="1:19" x14ac:dyDescent="0.25">
      <c r="A17" s="1" t="s">
        <v>19</v>
      </c>
      <c r="B17" s="7">
        <f>IF(D17=0,0,VLOOKUP($A17,[8]HISTOJANV22!$A$6:$AZ$36,9,0))</f>
        <v>1</v>
      </c>
      <c r="C17" s="1" t="str">
        <f>VLOOKUP(A17,[9]LISTADHERENT!A$5:H$60,3,0)</f>
        <v>LOWE JEAN</v>
      </c>
      <c r="D17" s="7">
        <f t="shared" si="1"/>
        <v>23000</v>
      </c>
      <c r="E17" s="7">
        <f>D17+VLOOKUP($A17,[10]HISTOSEPT22!$A$7:$AU$38,45,0)+F17</f>
        <v>30000</v>
      </c>
      <c r="F17" s="7">
        <f>VLOOKUP($A17,[10]HISTOSEPT22!$A$7:$AU$38,7,0)</f>
        <v>0</v>
      </c>
      <c r="G17" s="7" t="str">
        <f>VLOOKUP($A17,[10]HISTOSEPT22!$A$7:$AU$38,8,0)</f>
        <v>BANQUE</v>
      </c>
      <c r="H17" s="7">
        <f>VLOOKUP($A17,[10]HISTOSEPT22!$A$7:$AU$38,35,0)</f>
        <v>0</v>
      </c>
      <c r="I17" s="7">
        <f>VLOOKUP($A17,[10]HISTOSEPT22!$A$7:$AU$38,38,0)</f>
        <v>0</v>
      </c>
      <c r="J17" s="7">
        <f>IF(I17=0,0,VLOOKUP($A17,[10]HISTOSEPT22!$A$7:$AU$38,42,0))</f>
        <v>0</v>
      </c>
      <c r="K17" s="7">
        <f>VLOOKUP($A17,[10]HISTOSEPT22!$A$7:$AU$38,41,0)</f>
        <v>0</v>
      </c>
      <c r="L17" s="7">
        <f>+TONTAOUT22!H17+TONTAOUT22!I17</f>
        <v>0</v>
      </c>
      <c r="M17" s="7">
        <f>VLOOKUP($A17,[10]HISTOSEPT22!$A$7:$AU$38,16,0)</f>
        <v>0</v>
      </c>
      <c r="N17" s="7" t="str">
        <f>IF(M17&lt;&gt;0,VLOOKUP($A17,[10]HISTOSEPT22!$A$7:$AU$38,8,0),"ECHEC")</f>
        <v>ECHEC</v>
      </c>
      <c r="O17" s="7">
        <f>IF(R17=0,0,VLOOKUP($A17,[10]HISTOSEPT22!$A$7:$AU$38,32,0))</f>
        <v>0</v>
      </c>
      <c r="P17" s="7">
        <f>VLOOKUP($A17,[10]HISTOSEPT22!$A$7:$AU$38,33,0)</f>
        <v>0</v>
      </c>
      <c r="Q17" s="7">
        <f t="shared" si="0"/>
        <v>0</v>
      </c>
      <c r="R17" s="7">
        <f>VLOOKUP($A17,[10]HISTOSEPT22!$A$7:$AU$38,29,0)</f>
        <v>0</v>
      </c>
      <c r="S17" s="21">
        <f t="shared" si="2"/>
        <v>0</v>
      </c>
    </row>
    <row r="18" spans="1:19" x14ac:dyDescent="0.25">
      <c r="A18" s="1" t="s">
        <v>49</v>
      </c>
      <c r="B18" s="7">
        <f>IF(D18=0,0,VLOOKUP($A18,[8]HISTOJANV22!$A$6:$AZ$36,9,0))</f>
        <v>1</v>
      </c>
      <c r="C18" s="1" t="str">
        <f>VLOOKUP(A18,[9]LISTADHERENT!A$5:H$60,3,0)</f>
        <v>MBOGNING TUGMA GUY</v>
      </c>
      <c r="D18" s="7">
        <f t="shared" si="1"/>
        <v>23000</v>
      </c>
      <c r="E18" s="7">
        <f>D18+VLOOKUP($A18,[10]HISTOSEPT22!$A$7:$AU$38,45,0)+F18</f>
        <v>30000</v>
      </c>
      <c r="F18" s="7">
        <f>VLOOKUP($A18,[10]HISTOSEPT22!$A$7:$AU$38,7,0)</f>
        <v>0</v>
      </c>
      <c r="G18" s="7" t="str">
        <f>VLOOKUP($A18,[10]HISTOSEPT22!$A$7:$AU$38,8,0)</f>
        <v>BANQUE</v>
      </c>
      <c r="H18" s="7">
        <f>VLOOKUP($A18,[10]HISTOSEPT22!$A$7:$AU$38,35,0)</f>
        <v>0</v>
      </c>
      <c r="I18" s="7">
        <f>VLOOKUP($A18,[10]HISTOSEPT22!$A$7:$AU$38,38,0)</f>
        <v>0</v>
      </c>
      <c r="J18" s="7">
        <f>IF(I18=0,0,VLOOKUP($A18,[10]HISTOSEPT22!$A$7:$AU$38,42,0))</f>
        <v>0</v>
      </c>
      <c r="K18" s="7">
        <f>VLOOKUP($A18,[10]HISTOSEPT22!$A$7:$AU$38,41,0)</f>
        <v>0</v>
      </c>
      <c r="L18" s="7">
        <f>+TONTAOUT22!H18+TONTAOUT22!I18</f>
        <v>0</v>
      </c>
      <c r="M18" s="7">
        <f>VLOOKUP($A18,[10]HISTOSEPT22!$A$7:$AU$38,16,0)</f>
        <v>0</v>
      </c>
      <c r="N18" s="7" t="str">
        <f>IF(M18&lt;&gt;0,VLOOKUP($A18,[10]HISTOSEPT22!$A$7:$AU$38,8,0),"ECHEC")</f>
        <v>ECHEC</v>
      </c>
      <c r="O18" s="7">
        <f>IF(R18=0,0,VLOOKUP($A18,[10]HISTOSEPT22!$A$7:$AU$38,32,0))</f>
        <v>0</v>
      </c>
      <c r="P18" s="7">
        <f>VLOOKUP($A18,[10]HISTOSEPT22!$A$7:$AU$38,33,0)</f>
        <v>0</v>
      </c>
      <c r="Q18" s="7">
        <f t="shared" si="0"/>
        <v>0</v>
      </c>
      <c r="R18" s="7">
        <f>VLOOKUP($A18,[10]HISTOSEPT22!$A$7:$AU$38,29,0)</f>
        <v>0</v>
      </c>
      <c r="S18" s="21">
        <f t="shared" si="2"/>
        <v>0</v>
      </c>
    </row>
    <row r="19" spans="1:19" x14ac:dyDescent="0.25">
      <c r="A19" s="1" t="s">
        <v>30</v>
      </c>
      <c r="B19" s="7">
        <f>IF(D19=0,0,VLOOKUP($A19,[8]HISTOJANV22!$A$6:$AZ$36,9,0))</f>
        <v>1</v>
      </c>
      <c r="C19" s="1" t="str">
        <f>VLOOKUP(A19,[9]LISTADHERENT!A$5:H$60,3,0)</f>
        <v>NANGUEN MARTIN</v>
      </c>
      <c r="D19" s="7">
        <f t="shared" si="1"/>
        <v>23000</v>
      </c>
      <c r="E19" s="7">
        <f>D19+VLOOKUP($A19,[10]HISTOSEPT22!$A$7:$AU$38,45,0)+F19</f>
        <v>30000</v>
      </c>
      <c r="F19" s="7">
        <f>VLOOKUP($A19,[10]HISTOSEPT22!$A$7:$AU$38,7,0)</f>
        <v>0</v>
      </c>
      <c r="G19" s="7" t="str">
        <f>VLOOKUP($A19,[10]HISTOSEPT22!$A$7:$AU$38,8,0)</f>
        <v>BANQUE</v>
      </c>
      <c r="H19" s="7">
        <f>VLOOKUP($A19,[10]HISTOSEPT22!$A$7:$AU$38,35,0)</f>
        <v>0</v>
      </c>
      <c r="I19" s="7">
        <f>VLOOKUP($A19,[10]HISTOSEPT22!$A$7:$AU$38,38,0)</f>
        <v>0</v>
      </c>
      <c r="J19" s="7">
        <f>IF(I19=0,0,VLOOKUP($A19,[10]HISTOSEPT22!$A$7:$AU$38,42,0))</f>
        <v>0</v>
      </c>
      <c r="K19" s="7">
        <f>VLOOKUP($A19,[10]HISTOSEPT22!$A$7:$AU$38,41,0)</f>
        <v>0</v>
      </c>
      <c r="L19" s="7">
        <f>+TONTAOUT22!H19+TONTAOUT22!I19</f>
        <v>0</v>
      </c>
      <c r="M19" s="7">
        <f>VLOOKUP($A19,[10]HISTOSEPT22!$A$7:$AU$38,16,0)</f>
        <v>0</v>
      </c>
      <c r="N19" s="7" t="str">
        <f>IF(M19&lt;&gt;0,VLOOKUP($A19,[10]HISTOSEPT22!$A$7:$AU$38,8,0),"ECHEC")</f>
        <v>ECHEC</v>
      </c>
      <c r="O19" s="7">
        <f>IF(R19=0,0,VLOOKUP($A19,[10]HISTOSEPT22!$A$7:$AU$38,32,0))</f>
        <v>0</v>
      </c>
      <c r="P19" s="7">
        <f>VLOOKUP($A19,[10]HISTOSEPT22!$A$7:$AU$38,33,0)</f>
        <v>0</v>
      </c>
      <c r="Q19" s="7">
        <f t="shared" si="0"/>
        <v>0</v>
      </c>
      <c r="R19" s="7">
        <f>VLOOKUP($A19,[10]HISTOSEPT22!$A$7:$AU$38,29,0)</f>
        <v>0</v>
      </c>
      <c r="S19" s="21">
        <f t="shared" si="2"/>
        <v>0</v>
      </c>
    </row>
    <row r="20" spans="1:19" x14ac:dyDescent="0.25">
      <c r="A20" s="1" t="s">
        <v>20</v>
      </c>
      <c r="B20" s="7">
        <f>IF(D20=0,0,VLOOKUP($A20,[8]HISTOJANV22!$A$6:$AZ$36,9,0))</f>
        <v>1</v>
      </c>
      <c r="C20" s="1" t="str">
        <f>VLOOKUP(A20,[9]LISTADHERENT!A$5:H$60,3,0)</f>
        <v>NANKAM APPOLINAIRE</v>
      </c>
      <c r="D20" s="7">
        <f t="shared" si="1"/>
        <v>23000</v>
      </c>
      <c r="E20" s="7">
        <f>D20+VLOOKUP($A20,[10]HISTOSEPT22!$A$7:$AU$38,45,0)+F20</f>
        <v>30000</v>
      </c>
      <c r="F20" s="7">
        <f>VLOOKUP($A21,[10]HISTOSEPT22!$A$7:$AU$38,7,0)</f>
        <v>0</v>
      </c>
      <c r="G20" s="7" t="str">
        <f>VLOOKUP($A21,[10]HISTOSEPT22!$A$7:$AU$38,8,0)</f>
        <v>BANQUE</v>
      </c>
      <c r="H20" s="7">
        <f>VLOOKUP($A21,[10]HISTOSEPT22!$A$7:$AU$38,35,0)</f>
        <v>0</v>
      </c>
      <c r="I20" s="7">
        <f>VLOOKUP($A21,[10]HISTOSEPT22!$A$7:$AU$38,38,0)</f>
        <v>0</v>
      </c>
      <c r="J20" s="7">
        <f>IF(I21=0,0,VLOOKUP($A21,[10]HISTOSEPT22!$A$7:$AU$38,42,0))</f>
        <v>0</v>
      </c>
      <c r="K20" s="7">
        <f>VLOOKUP($A21,[10]HISTOSEPT22!$A$7:$AU$38,41,0)</f>
        <v>0</v>
      </c>
      <c r="L20" s="7">
        <f>+TONTAOUT22!H20+TONTAOUT22!I20</f>
        <v>0</v>
      </c>
      <c r="M20" s="7">
        <f>VLOOKUP($A21,[10]HISTOSEPT22!$A$7:$AU$38,16,0)</f>
        <v>0</v>
      </c>
      <c r="N20" s="7" t="str">
        <f>IF(M21&lt;&gt;0,VLOOKUP($A21,[10]HISTOSEPT22!$A$7:$AU$38,8,0),"ECHEC")</f>
        <v>ECHEC</v>
      </c>
      <c r="O20" s="7" t="str">
        <f>IF(R20=0,0,VLOOKUP($A20,[10]HISTOSEPT22!$A$7:$AU$38,32,0))</f>
        <v>BANQUE</v>
      </c>
      <c r="P20" s="7">
        <f>VLOOKUP($A21,[10]HISTOSEPT22!$A$7:$AU$38,33,0)</f>
        <v>0</v>
      </c>
      <c r="Q20" s="7">
        <f t="shared" si="0"/>
        <v>273000</v>
      </c>
      <c r="R20" s="7">
        <f>VLOOKUP($A20,[10]HISTOSEPT22!$A$7:$AU$38,29,0)</f>
        <v>27000</v>
      </c>
      <c r="S20" s="21">
        <f t="shared" si="2"/>
        <v>4000</v>
      </c>
    </row>
    <row r="21" spans="1:19" x14ac:dyDescent="0.25">
      <c r="A21" s="1" t="s">
        <v>21</v>
      </c>
      <c r="B21" s="7">
        <f>IF(D21=0,0,VLOOKUP($A21,[8]HISTOJANV22!$A$6:$AZ$36,9,0))</f>
        <v>1</v>
      </c>
      <c r="C21" s="1" t="str">
        <f>VLOOKUP(A21,[9]LISTADHERENT!A$5:H$60,3,0)</f>
        <v>NDJOMO ETIENNE</v>
      </c>
      <c r="D21" s="7">
        <f t="shared" si="1"/>
        <v>23000</v>
      </c>
      <c r="E21" s="7">
        <f>D21+VLOOKUP($A21,[10]HISTOSEPT22!$A$7:$AU$38,45,0)+F21</f>
        <v>50000</v>
      </c>
      <c r="F21" s="7">
        <f>VLOOKUP($A21,[10]HISTOSEPT22!$A$7:$AU$38,7,0)</f>
        <v>0</v>
      </c>
      <c r="G21" s="7" t="str">
        <f>VLOOKUP($A21,[10]HISTOSEPT22!$A$7:$AU$38,8,0)</f>
        <v>BANQUE</v>
      </c>
      <c r="H21" s="7">
        <f>VLOOKUP($A21,[10]HISTOSEPT22!$A$7:$AU$38,35,0)</f>
        <v>0</v>
      </c>
      <c r="I21" s="7">
        <f>VLOOKUP($A21,[10]HISTOSEPT22!$A$7:$AU$38,38,0)</f>
        <v>0</v>
      </c>
      <c r="J21" s="7">
        <f>IF(I21=0,0,VLOOKUP($A21,[10]HISTOSEPT22!$A$7:$AU$38,42,0))</f>
        <v>0</v>
      </c>
      <c r="K21" s="7">
        <f>VLOOKUP($A21,[10]HISTOSEPT22!$A$7:$AU$38,41,0)</f>
        <v>0</v>
      </c>
      <c r="L21" s="7">
        <f>+TONTAOUT22!H21+TONTAOUT22!I21</f>
        <v>0</v>
      </c>
      <c r="M21" s="7">
        <f>VLOOKUP($A21,[10]HISTOSEPT22!$A$7:$AU$38,16,0)</f>
        <v>0</v>
      </c>
      <c r="N21" s="7" t="str">
        <f>IF(M21&lt;&gt;0,VLOOKUP($A21,[10]HISTOSEPT22!$A$7:$AU$38,8,0),"ECHEC")</f>
        <v>ECHEC</v>
      </c>
      <c r="O21" s="7">
        <f>IF(R21=0,0,VLOOKUP($A21,[10]HISTOSEPT22!$A$7:$AU$38,32,0))</f>
        <v>0</v>
      </c>
      <c r="P21" s="7">
        <f>VLOOKUP($A21,[10]HISTOSEPT22!$A$7:$AU$38,33,0)</f>
        <v>0</v>
      </c>
      <c r="Q21" s="7">
        <f t="shared" si="0"/>
        <v>0</v>
      </c>
      <c r="R21" s="7">
        <f>VLOOKUP($A21,[10]HISTOSEPT22!$A$7:$AU$38,29,0)</f>
        <v>0</v>
      </c>
      <c r="S21" s="21">
        <f t="shared" si="2"/>
        <v>0</v>
      </c>
    </row>
    <row r="22" spans="1:19" x14ac:dyDescent="0.25">
      <c r="A22" s="1" t="s">
        <v>22</v>
      </c>
      <c r="B22" s="7">
        <f>IF(D22=0,0,VLOOKUP($A22,[8]HISTOJANV22!$A$6:$AZ$36,9,0))</f>
        <v>1</v>
      </c>
      <c r="C22" s="1" t="str">
        <f>VLOOKUP(A22,[9]LISTADHERENT!A$5:H$60,3,0)</f>
        <v>NGONDIEP CLAUDE</v>
      </c>
      <c r="D22" s="7">
        <f t="shared" si="1"/>
        <v>23000</v>
      </c>
      <c r="E22" s="7">
        <f>D22+VLOOKUP($A22,[10]HISTOSEPT22!$A$7:$AU$38,45,0)+F22</f>
        <v>30000</v>
      </c>
      <c r="F22" s="7">
        <f>VLOOKUP($A22,[10]HISTOSEPT22!$A$7:$AU$38,7,0)</f>
        <v>0</v>
      </c>
      <c r="G22" s="7" t="str">
        <f>VLOOKUP($A22,[10]HISTOSEPT22!$A$7:$AU$38,8,0)</f>
        <v>BANQUE</v>
      </c>
      <c r="H22" s="7">
        <f>VLOOKUP($A22,[10]HISTOSEPT22!$A$7:$AU$38,35,0)</f>
        <v>0</v>
      </c>
      <c r="I22" s="7">
        <f>VLOOKUP($A22,[10]HISTOSEPT22!$A$7:$AU$38,38,0)</f>
        <v>0</v>
      </c>
      <c r="J22" s="7">
        <f>IF(I22=0,0,VLOOKUP($A22,[10]HISTOSEPT22!$A$7:$AU$38,42,0))</f>
        <v>0</v>
      </c>
      <c r="K22" s="7">
        <f>VLOOKUP($A22,[10]HISTOSEPT22!$A$7:$AU$38,41,0)</f>
        <v>0</v>
      </c>
      <c r="L22" s="7">
        <f>+TONTAOUT22!H22+TONTAOUT22!I22</f>
        <v>0</v>
      </c>
      <c r="M22" s="7">
        <f>VLOOKUP($A22,[10]HISTOSEPT22!$A$7:$AU$38,16,0)</f>
        <v>0</v>
      </c>
      <c r="N22" s="7" t="str">
        <f>IF(M22&lt;&gt;0,VLOOKUP($A22,[10]HISTOSEPT22!$A$7:$AU$38,8,0),"ECHEC")</f>
        <v>ECHEC</v>
      </c>
      <c r="O22" s="7">
        <f>IF(R22=0,0,VLOOKUP($A22,[10]HISTOSEPT22!$A$7:$AU$38,32,0))</f>
        <v>0</v>
      </c>
      <c r="P22" s="7">
        <f>VLOOKUP($A22,[10]HISTOSEPT22!$A$7:$AU$38,33,0)</f>
        <v>0</v>
      </c>
      <c r="Q22" s="7">
        <f t="shared" si="0"/>
        <v>0</v>
      </c>
      <c r="R22" s="7">
        <f>VLOOKUP($A22,[10]HISTOSEPT22!$A$7:$AU$38,29,0)</f>
        <v>0</v>
      </c>
      <c r="S22" s="21">
        <f t="shared" si="2"/>
        <v>0</v>
      </c>
    </row>
    <row r="23" spans="1:19" x14ac:dyDescent="0.25">
      <c r="A23" s="1" t="s">
        <v>23</v>
      </c>
      <c r="B23" s="7">
        <f>IF(D23=0,0,VLOOKUP($A23,[8]HISTOJANV22!$A$6:$AZ$36,9,0))</f>
        <v>1</v>
      </c>
      <c r="C23" s="1" t="str">
        <f>VLOOKUP(A23,[9]LISTADHERENT!A$5:H$60,3,0)</f>
        <v>NGUIEMEGNI MATHIEU BLAISE</v>
      </c>
      <c r="D23" s="7">
        <f t="shared" si="1"/>
        <v>23000</v>
      </c>
      <c r="E23" s="7">
        <f>D23+VLOOKUP($A23,[10]HISTOSEPT22!$A$7:$AU$38,45,0)+F23</f>
        <v>27000</v>
      </c>
      <c r="F23" s="7">
        <f>VLOOKUP($A23,[10]HISTOSEPT22!$A$7:$AU$38,7,0)</f>
        <v>0</v>
      </c>
      <c r="G23" s="7" t="str">
        <f>VLOOKUP($A23,[10]HISTOSEPT22!$A$7:$AU$38,8,0)</f>
        <v>BANQUE</v>
      </c>
      <c r="H23" s="7">
        <f>VLOOKUP($A23,[10]HISTOSEPT22!$A$7:$AU$38,35,0)</f>
        <v>0</v>
      </c>
      <c r="I23" s="7">
        <f>VLOOKUP($A23,[10]HISTOSEPT22!$A$7:$AU$38,38,0)</f>
        <v>0</v>
      </c>
      <c r="J23" s="7">
        <f>IF(I23=0,0,VLOOKUP($A23,[10]HISTOSEPT22!$A$7:$AU$38,42,0))</f>
        <v>0</v>
      </c>
      <c r="K23" s="7">
        <f>VLOOKUP($A23,[10]HISTOSEPT22!$A$7:$AU$38,41,0)</f>
        <v>0</v>
      </c>
      <c r="L23" s="7">
        <f>+TONTAOUT22!H23+TONTAOUT22!I23</f>
        <v>0</v>
      </c>
      <c r="M23" s="7">
        <f>VLOOKUP($A23,[10]HISTOSEPT22!$A$7:$AU$38,16,0)</f>
        <v>0</v>
      </c>
      <c r="N23" s="7" t="str">
        <f>IF(M23&lt;&gt;0,VLOOKUP($A23,[10]HISTOSEPT22!$A$7:$AU$38,8,0),"ECHEC")</f>
        <v>ECHEC</v>
      </c>
      <c r="O23" s="7">
        <f>IF(R23=0,0,VLOOKUP($A23,[10]HISTOSEPT22!$A$7:$AU$38,32,0))</f>
        <v>0</v>
      </c>
      <c r="P23" s="7">
        <f>VLOOKUP($A23,[10]HISTOSEPT22!$A$7:$AU$38,33,0)</f>
        <v>0</v>
      </c>
      <c r="Q23" s="7">
        <f t="shared" si="0"/>
        <v>0</v>
      </c>
      <c r="R23" s="7">
        <f>VLOOKUP($A23,[10]HISTOSEPT22!$A$7:$AU$38,29,0)</f>
        <v>0</v>
      </c>
      <c r="S23" s="21">
        <f t="shared" si="2"/>
        <v>0</v>
      </c>
    </row>
    <row r="24" spans="1:19" x14ac:dyDescent="0.25">
      <c r="A24" s="1" t="s">
        <v>24</v>
      </c>
      <c r="B24" s="7">
        <f>IF(D24=0,0,VLOOKUP($A24,[8]HISTOJANV22!$A$6:$AZ$36,9,0))</f>
        <v>1</v>
      </c>
      <c r="C24" s="1" t="str">
        <f>VLOOKUP(A24,[9]LISTADHERENT!A$5:H$60,3,0)</f>
        <v>NKAMGANG JUSTIN DEJOLIE</v>
      </c>
      <c r="D24" s="7">
        <f t="shared" si="1"/>
        <v>23000</v>
      </c>
      <c r="E24" s="7">
        <f>D24+VLOOKUP($A24,[10]HISTOSEPT22!$A$7:$AU$38,45,0)+F24</f>
        <v>33000</v>
      </c>
      <c r="F24" s="7">
        <f>VLOOKUP($A24,[10]HISTOSEPT22!$A$7:$AU$38,7,0)</f>
        <v>3000</v>
      </c>
      <c r="G24" s="7" t="str">
        <f>VLOOKUP($A24,[10]HISTOSEPT22!$A$7:$AU$38,8,0)</f>
        <v>ESPECES</v>
      </c>
      <c r="H24" s="7">
        <f>VLOOKUP($A24,[10]HISTOSEPT22!$A$7:$AU$38,35,0)</f>
        <v>0</v>
      </c>
      <c r="I24" s="7">
        <f>VLOOKUP($A24,[10]HISTOSEPT22!$A$7:$AU$38,38,0)</f>
        <v>0</v>
      </c>
      <c r="J24" s="7">
        <f>IF(I24=0,0,VLOOKUP($A24,[10]HISTOSEPT22!$A$7:$AU$38,42,0))</f>
        <v>0</v>
      </c>
      <c r="K24" s="7">
        <f>VLOOKUP($A24,[10]HISTOSEPT22!$A$7:$AU$38,41,0)</f>
        <v>0</v>
      </c>
      <c r="L24" s="7">
        <f>+TONTAOUT22!H24+TONTAOUT22!I24</f>
        <v>51000</v>
      </c>
      <c r="M24" s="7">
        <f>VLOOKUP($A24,[10]HISTOSEPT22!$A$7:$AU$38,16,0)</f>
        <v>51000</v>
      </c>
      <c r="N24" s="7" t="str">
        <f>IF(M24&lt;&gt;0,VLOOKUP($A24,[10]HISTOSEPT22!$A$7:$AU$38,8,0),"ECHEC")</f>
        <v>ESPECES</v>
      </c>
      <c r="O24" s="7">
        <f>IF(R24=0,0,VLOOKUP($A24,[10]HISTOSEPT22!$A$7:$AU$38,32,0))</f>
        <v>0</v>
      </c>
      <c r="P24" s="7">
        <f>VLOOKUP($A24,[10]HISTOSEPT22!$A$7:$AU$38,33,0)</f>
        <v>0</v>
      </c>
      <c r="Q24" s="7">
        <f t="shared" si="0"/>
        <v>0</v>
      </c>
      <c r="R24" s="7">
        <f>VLOOKUP($A24,[10]HISTOSEPT22!$A$7:$AU$38,29,0)</f>
        <v>0</v>
      </c>
      <c r="S24" s="21">
        <f t="shared" si="2"/>
        <v>0</v>
      </c>
    </row>
    <row r="25" spans="1:19" x14ac:dyDescent="0.25">
      <c r="A25" s="1" t="s">
        <v>25</v>
      </c>
      <c r="B25" s="7">
        <f>IF(D25=0,0,VLOOKUP($A25,[8]HISTOJANV22!$A$6:$AZ$36,9,0))</f>
        <v>1</v>
      </c>
      <c r="C25" s="1" t="str">
        <f>VLOOKUP(A25,[9]LISTADHERENT!A$5:H$60,3,0)</f>
        <v>NKEPSEU DIEUDONNE</v>
      </c>
      <c r="D25" s="7">
        <f t="shared" si="1"/>
        <v>23000</v>
      </c>
      <c r="E25" s="7">
        <f>D25+VLOOKUP($A25,[10]HISTOSEPT22!$A$7:$AU$38,45,0)+F25</f>
        <v>30000</v>
      </c>
      <c r="F25" s="7">
        <f>VLOOKUP($A25,[10]HISTOSEPT22!$A$7:$AU$38,7,0)</f>
        <v>0</v>
      </c>
      <c r="G25" s="7" t="str">
        <f>VLOOKUP($A25,[10]HISTOSEPT22!$A$7:$AU$38,8,0)</f>
        <v>BANQUE</v>
      </c>
      <c r="H25" s="7">
        <f>VLOOKUP($A25,[10]HISTOSEPT22!$A$7:$AU$38,35,0)</f>
        <v>0</v>
      </c>
      <c r="I25" s="7">
        <f>VLOOKUP($A25,[10]HISTOSEPT22!$A$7:$AU$38,38,0)</f>
        <v>0</v>
      </c>
      <c r="J25" s="7">
        <f>IF(I25=0,0,VLOOKUP($A25,[10]HISTOSEPT22!$A$7:$AU$38,42,0))</f>
        <v>0</v>
      </c>
      <c r="K25" s="7">
        <f>VLOOKUP($A25,[10]HISTOSEPT22!$A$7:$AU$38,41,0)</f>
        <v>0</v>
      </c>
      <c r="L25" s="7">
        <f>+TONTAOUT22!H25+TONTAOUT22!I25</f>
        <v>0</v>
      </c>
      <c r="M25" s="7">
        <f>VLOOKUP($A25,[10]HISTOSEPT22!$A$7:$AU$38,16,0)</f>
        <v>0</v>
      </c>
      <c r="N25" s="7" t="str">
        <f>IF(M25&lt;&gt;0,VLOOKUP($A25,[10]HISTOSEPT22!$A$7:$AU$38,8,0),"ECHEC")</f>
        <v>ECHEC</v>
      </c>
      <c r="O25" s="7">
        <f>IF(R25=0,0,VLOOKUP($A25,[10]HISTOSEPT22!$A$7:$AU$38,32,0))</f>
        <v>0</v>
      </c>
      <c r="P25" s="7">
        <f>VLOOKUP($A25,[10]HISTOSEPT22!$A$7:$AU$38,33,0)</f>
        <v>0</v>
      </c>
      <c r="Q25" s="7">
        <f t="shared" si="0"/>
        <v>0</v>
      </c>
      <c r="R25" s="7">
        <f>VLOOKUP($A25,[10]HISTOSEPT22!$A$7:$AU$38,29,0)</f>
        <v>0</v>
      </c>
      <c r="S25" s="21">
        <f t="shared" si="2"/>
        <v>0</v>
      </c>
    </row>
    <row r="26" spans="1:19" x14ac:dyDescent="0.25">
      <c r="A26" s="1" t="s">
        <v>26</v>
      </c>
      <c r="B26" s="7">
        <f>IF(D26=0,0,VLOOKUP($A26,[8]HISTOJANV22!$A$6:$AZ$36,9,0))</f>
        <v>1</v>
      </c>
      <c r="C26" s="1" t="str">
        <f>VLOOKUP(A26,[9]LISTADHERENT!A$5:H$60,3,0)</f>
        <v>PATEGO NJOSSU GUSTAVE</v>
      </c>
      <c r="D26" s="7">
        <f t="shared" si="1"/>
        <v>23000</v>
      </c>
      <c r="E26" s="7">
        <f>D26+VLOOKUP($A26,[10]HISTOSEPT22!$A$7:$AU$38,45,0)+F26</f>
        <v>30000</v>
      </c>
      <c r="F26" s="7">
        <f>VLOOKUP($A26,[10]HISTOSEPT22!$A$7:$AU$38,7,0)</f>
        <v>0</v>
      </c>
      <c r="G26" s="7" t="str">
        <f>VLOOKUP($A26,[10]HISTOSEPT22!$A$7:$AU$38,8,0)</f>
        <v>BANQUE</v>
      </c>
      <c r="H26" s="7">
        <f>VLOOKUP($A26,[10]HISTOSEPT22!$A$7:$AU$38,35,0)</f>
        <v>0</v>
      </c>
      <c r="I26" s="7">
        <f>VLOOKUP($A26,[10]HISTOSEPT22!$A$7:$AU$38,38,0)</f>
        <v>0</v>
      </c>
      <c r="J26" s="7">
        <f>IF(I26=0,0,VLOOKUP($A26,[10]HISTOSEPT22!$A$7:$AU$38,42,0))</f>
        <v>0</v>
      </c>
      <c r="K26" s="7">
        <f>VLOOKUP($A26,[10]HISTOSEPT22!$A$7:$AU$38,41,0)</f>
        <v>0</v>
      </c>
      <c r="L26" s="7">
        <f>+TONTAOUT22!H26+TONTAOUT22!I26</f>
        <v>0</v>
      </c>
      <c r="M26" s="7">
        <f>VLOOKUP($A26,[10]HISTOSEPT22!$A$7:$AU$38,16,0)</f>
        <v>0</v>
      </c>
      <c r="N26" s="7" t="str">
        <f>IF(M26&lt;&gt;0,VLOOKUP($A26,[10]HISTOSEPT22!$A$7:$AU$38,8,0),"ECHEC")</f>
        <v>ECHEC</v>
      </c>
      <c r="O26" s="7">
        <f>IF(R26=0,0,VLOOKUP($A26,[10]HISTOSEPT22!$A$7:$AU$38,32,0))</f>
        <v>0</v>
      </c>
      <c r="P26" s="7">
        <f>VLOOKUP($A26,[10]HISTOSEPT22!$A$7:$AU$38,33,0)</f>
        <v>0</v>
      </c>
      <c r="Q26" s="7">
        <f t="shared" si="0"/>
        <v>0</v>
      </c>
      <c r="R26" s="7">
        <f>VLOOKUP($A26,[10]HISTOSEPT22!$A$7:$AU$38,29,0)</f>
        <v>0</v>
      </c>
      <c r="S26" s="21">
        <f t="shared" si="2"/>
        <v>0</v>
      </c>
    </row>
    <row r="27" spans="1:19" x14ac:dyDescent="0.25">
      <c r="A27" s="1" t="s">
        <v>51</v>
      </c>
      <c r="B27" s="7">
        <f>IF(D27=0,0,VLOOKUP($A27,[8]HISTOJANV22!$A$6:$AZ$36,9,0))</f>
        <v>1</v>
      </c>
      <c r="C27" s="1" t="str">
        <f>VLOOKUP(A27,[9]LISTADHERENT!A$5:H$60,3,0)</f>
        <v>SIME BRICE</v>
      </c>
      <c r="D27" s="7">
        <f t="shared" si="1"/>
        <v>23000</v>
      </c>
      <c r="E27" s="7">
        <f>D27+VLOOKUP($A27,[10]HISTOSEPT22!$A$7:$AU$38,45,0)+F27</f>
        <v>30000</v>
      </c>
      <c r="F27" s="7">
        <f>VLOOKUP($A27,[10]HISTOSEPT22!$A$7:$AU$38,7,0)</f>
        <v>0</v>
      </c>
      <c r="G27" s="7" t="str">
        <f>VLOOKUP($A27,[10]HISTOSEPT22!$A$7:$AU$38,8,0)</f>
        <v>BANQUE</v>
      </c>
      <c r="H27" s="7">
        <f>VLOOKUP($A27,[10]HISTOSEPT22!$A$7:$AU$38,35,0)</f>
        <v>0</v>
      </c>
      <c r="I27" s="7">
        <f>VLOOKUP($A27,[10]HISTOSEPT22!$A$7:$AU$38,38,0)</f>
        <v>0</v>
      </c>
      <c r="J27" s="7">
        <f>IF(I27=0,0,VLOOKUP($A27,[10]HISTOSEPT22!$A$7:$AU$38,42,0))</f>
        <v>0</v>
      </c>
      <c r="K27" s="7">
        <f>VLOOKUP($A27,[10]HISTOSEPT22!$A$7:$AU$38,41,0)</f>
        <v>0</v>
      </c>
      <c r="L27" s="7">
        <f>+TONTAOUT22!H27+TONTAOUT22!I27</f>
        <v>0</v>
      </c>
      <c r="M27" s="7">
        <f>VLOOKUP($A27,[10]HISTOSEPT22!$A$7:$AU$38,16,0)</f>
        <v>0</v>
      </c>
      <c r="N27" s="7" t="str">
        <f>IF(M27&lt;&gt;0,VLOOKUP($A27,[10]HISTOSEPT22!$A$7:$AU$38,8,0),"ECHEC")</f>
        <v>ECHEC</v>
      </c>
      <c r="O27" s="7">
        <f>IF(R27=0,0,VLOOKUP($A27,[10]HISTOSEPT22!$A$7:$AU$38,32,0))</f>
        <v>0</v>
      </c>
      <c r="P27" s="7">
        <f>VLOOKUP($A27,[10]HISTOSEPT22!$A$7:$AU$38,33,0)</f>
        <v>0</v>
      </c>
      <c r="Q27" s="7">
        <f t="shared" si="0"/>
        <v>0</v>
      </c>
      <c r="R27" s="7">
        <f>VLOOKUP($A27,[10]HISTOSEPT22!$A$7:$AU$38,29,0)</f>
        <v>0</v>
      </c>
      <c r="S27" s="21">
        <f t="shared" si="2"/>
        <v>0</v>
      </c>
    </row>
    <row r="28" spans="1:19" x14ac:dyDescent="0.25">
      <c r="A28" s="1" t="s">
        <v>29</v>
      </c>
      <c r="B28" s="7">
        <f>IF(D28=0,0,VLOOKUP($A28,[8]HISTOJANV22!$A$6:$AZ$36,9,0))</f>
        <v>1</v>
      </c>
      <c r="C28" s="1" t="str">
        <f>VLOOKUP(A28,[9]LISTADHERENT!A$5:H$60,3,0)</f>
        <v>SIMO PIERRE</v>
      </c>
      <c r="D28" s="7">
        <f t="shared" si="1"/>
        <v>23000</v>
      </c>
      <c r="E28" s="7">
        <f>D28+VLOOKUP($A28,[10]HISTOSEPT22!$A$7:$AU$38,45,0)+F28</f>
        <v>35000</v>
      </c>
      <c r="F28" s="7">
        <f>VLOOKUP($A28,[10]HISTOSEPT22!$A$7:$AU$38,7,0)</f>
        <v>0</v>
      </c>
      <c r="G28" s="7" t="str">
        <f>VLOOKUP($A28,[10]HISTOSEPT22!$A$7:$AU$38,8,0)</f>
        <v>BANQUE</v>
      </c>
      <c r="H28" s="7">
        <f>VLOOKUP($A28,[10]HISTOSEPT22!$A$7:$AU$38,35,0)</f>
        <v>0</v>
      </c>
      <c r="I28" s="7">
        <f>VLOOKUP($A28,[10]HISTOSEPT22!$A$7:$AU$38,38,0)</f>
        <v>0</v>
      </c>
      <c r="J28" s="7">
        <f>IF(I28=0,0,VLOOKUP($A28,[10]HISTOSEPT22!$A$7:$AU$38,42,0))</f>
        <v>0</v>
      </c>
      <c r="K28" s="7">
        <f>VLOOKUP($A28,[10]HISTOSEPT22!$A$7:$AU$38,41,0)</f>
        <v>0</v>
      </c>
      <c r="L28" s="7">
        <f>+TONTAOUT22!H28+TONTAOUT22!I28</f>
        <v>0</v>
      </c>
      <c r="M28" s="7">
        <f>VLOOKUP($A28,[10]HISTOSEPT22!$A$7:$AU$38,16,0)</f>
        <v>0</v>
      </c>
      <c r="N28" s="7" t="str">
        <f>IF(M28&lt;&gt;0,VLOOKUP($A28,[10]HISTOSEPT22!$A$7:$AU$38,8,0),"ECHEC")</f>
        <v>ECHEC</v>
      </c>
      <c r="O28" s="7">
        <f>IF(R28=0,0,VLOOKUP($A28,[10]HISTOSEPT22!$A$7:$AU$38,32,0))</f>
        <v>0</v>
      </c>
      <c r="P28" s="7">
        <f>VLOOKUP($A28,[10]HISTOSEPT22!$A$7:$AU$38,33,0)</f>
        <v>0</v>
      </c>
      <c r="Q28" s="7">
        <f t="shared" si="0"/>
        <v>0</v>
      </c>
      <c r="R28" s="7">
        <f>VLOOKUP($A28,[10]HISTOSEPT22!$A$7:$AU$38,29,0)</f>
        <v>0</v>
      </c>
      <c r="S28" s="21">
        <f t="shared" si="2"/>
        <v>0</v>
      </c>
    </row>
    <row r="29" spans="1:19" x14ac:dyDescent="0.25">
      <c r="A29" s="1" t="s">
        <v>31</v>
      </c>
      <c r="B29" s="7">
        <f>IF(D29=0,0,VLOOKUP($A29,[8]HISTOJANV22!$A$6:$AZ$36,9,0))</f>
        <v>1</v>
      </c>
      <c r="C29" s="1" t="str">
        <f>VLOOKUP(A29,[9]LISTADHERENT!A$5:H$60,3,0)</f>
        <v>TCHOUAMOU MATHIEU</v>
      </c>
      <c r="D29" s="7">
        <f t="shared" si="1"/>
        <v>23000</v>
      </c>
      <c r="E29" s="7">
        <f>D29+VLOOKUP($A29,[10]HISTOSEPT22!$A$7:$AU$38,45,0)+F29</f>
        <v>30000</v>
      </c>
      <c r="F29" s="7">
        <f>VLOOKUP($A29,[10]HISTOSEPT22!$A$7:$AU$38,7,0)</f>
        <v>0</v>
      </c>
      <c r="G29" s="7" t="str">
        <f>VLOOKUP($A29,[10]HISTOSEPT22!$A$7:$AU$38,8,0)</f>
        <v>BANQUE</v>
      </c>
      <c r="H29" s="7">
        <f>VLOOKUP($A29,[10]HISTOSEPT22!$A$7:$AU$38,35,0)</f>
        <v>0</v>
      </c>
      <c r="I29" s="7">
        <f>VLOOKUP($A29,[10]HISTOSEPT22!$A$7:$AU$38,38,0)</f>
        <v>0</v>
      </c>
      <c r="J29" s="7">
        <f>IF(I29=0,0,VLOOKUP($A29,[10]HISTOSEPT22!$A$7:$AU$38,42,0))</f>
        <v>0</v>
      </c>
      <c r="K29" s="7">
        <f>VLOOKUP($A29,[10]HISTOSEPT22!$A$7:$AU$38,41,0)</f>
        <v>0</v>
      </c>
      <c r="L29" s="7">
        <f>+TONTAOUT22!H29+TONTAOUT22!I29</f>
        <v>0</v>
      </c>
      <c r="M29" s="7">
        <f>VLOOKUP($A29,[10]HISTOSEPT22!$A$7:$AU$38,16,0)</f>
        <v>0</v>
      </c>
      <c r="N29" s="7" t="str">
        <f>IF(M29&lt;&gt;0,VLOOKUP($A29,[10]HISTOSEPT22!$A$7:$AU$38,8,0),"ECHEC")</f>
        <v>ECHEC</v>
      </c>
      <c r="O29" s="7">
        <f>IF(R29=0,0,VLOOKUP($A29,[10]HISTOSEPT22!$A$7:$AU$38,32,0))</f>
        <v>0</v>
      </c>
      <c r="P29" s="7">
        <f>VLOOKUP($A29,[10]HISTOSEPT22!$A$7:$AU$38,33,0)</f>
        <v>0</v>
      </c>
      <c r="Q29" s="7">
        <f t="shared" si="0"/>
        <v>0</v>
      </c>
      <c r="R29" s="7">
        <f>VLOOKUP($A29,[10]HISTOSEPT22!$A$7:$AU$38,29,0)</f>
        <v>0</v>
      </c>
      <c r="S29" s="21">
        <f t="shared" si="2"/>
        <v>0</v>
      </c>
    </row>
    <row r="30" spans="1:19" x14ac:dyDescent="0.25">
      <c r="A30" s="1" t="s">
        <v>32</v>
      </c>
      <c r="B30" s="7">
        <f>IF(D30=0,0,VLOOKUP($A30,[8]HISTOJANV22!$A$6:$AZ$36,9,0))</f>
        <v>1</v>
      </c>
      <c r="C30" s="1" t="str">
        <f>VLOOKUP(A30,[9]LISTADHERENT!A$5:H$60,3,0)</f>
        <v>YEPMOU JEAN JACQUES</v>
      </c>
      <c r="D30" s="7">
        <f t="shared" si="1"/>
        <v>23000</v>
      </c>
      <c r="E30" s="7">
        <f>D30+VLOOKUP($A30,[10]HISTOSEPT22!$A$7:$AU$38,45,0)+F30</f>
        <v>30000</v>
      </c>
      <c r="F30" s="7">
        <f>VLOOKUP($A30,[10]HISTOSEPT22!$A$7:$AU$38,7,0)</f>
        <v>0</v>
      </c>
      <c r="G30" s="7" t="str">
        <f>VLOOKUP($A30,[10]HISTOSEPT22!$A$7:$AU$38,8,0)</f>
        <v>BANQUE</v>
      </c>
      <c r="H30" s="7">
        <f>VLOOKUP($A30,[10]HISTOSEPT22!$A$7:$AU$38,35,0)</f>
        <v>0</v>
      </c>
      <c r="I30" s="7">
        <f>VLOOKUP($A30,[10]HISTOSEPT22!$A$7:$AU$38,38,0)</f>
        <v>0</v>
      </c>
      <c r="J30" s="7">
        <f>IF(I30=0,0,VLOOKUP($A30,[10]HISTOSEPT22!$A$7:$AU$38,42,0))</f>
        <v>0</v>
      </c>
      <c r="K30" s="7">
        <f>VLOOKUP($A30,[10]HISTOSEPT22!$A$7:$AU$38,41,0)</f>
        <v>0</v>
      </c>
      <c r="L30" s="7">
        <f>+TONTAOUT22!H30+TONTAOUT22!I30</f>
        <v>0</v>
      </c>
      <c r="M30" s="7">
        <f>VLOOKUP($A30,[10]HISTOSEPT22!$A$7:$AU$38,16,0)</f>
        <v>0</v>
      </c>
      <c r="N30" s="7" t="str">
        <f>IF(M30&lt;&gt;0,VLOOKUP($A30,[10]HISTOSEPT22!$A$7:$AU$38,8,0),"ECHEC")</f>
        <v>ECHEC</v>
      </c>
      <c r="O30" s="7">
        <f>IF(R30=0,0,VLOOKUP($A30,[10]HISTOSEPT22!$A$7:$AU$38,32,0))</f>
        <v>0</v>
      </c>
      <c r="P30" s="7">
        <f>VLOOKUP($A30,[10]HISTOSEPT22!$A$7:$AU$38,33,0)</f>
        <v>0</v>
      </c>
      <c r="Q30" s="7">
        <f t="shared" si="0"/>
        <v>0</v>
      </c>
      <c r="R30" s="7">
        <f>VLOOKUP($A30,[10]HISTOSEPT22!$A$7:$AU$38,29,0)</f>
        <v>0</v>
      </c>
      <c r="S30" s="21">
        <f t="shared" si="2"/>
        <v>0</v>
      </c>
    </row>
    <row r="31" spans="1:19" x14ac:dyDescent="0.25">
      <c r="A31" s="1" t="s">
        <v>33</v>
      </c>
      <c r="B31" s="7">
        <f>IF(D31=0,0,VLOOKUP($A31,[8]HISTOJANV22!$A$6:$AZ$36,9,0))</f>
        <v>1</v>
      </c>
      <c r="C31" s="1" t="str">
        <f>VLOOKUP(A31,[9]LISTADHERENT!A$5:H$60,3,0)</f>
        <v>YOUMBI EMMANUEL</v>
      </c>
      <c r="D31" s="7">
        <f t="shared" si="1"/>
        <v>23000</v>
      </c>
      <c r="E31" s="7">
        <f>D31+VLOOKUP($A31,[10]HISTOSEPT22!$A$7:$AU$38,45,0)+F31</f>
        <v>30000</v>
      </c>
      <c r="F31" s="7">
        <f>VLOOKUP($A31,[10]HISTOSEPT22!$A$7:$AU$38,7,0)</f>
        <v>0</v>
      </c>
      <c r="G31" s="7" t="str">
        <f>VLOOKUP($A31,[10]HISTOSEPT22!$A$7:$AU$38,8,0)</f>
        <v>BANQUE</v>
      </c>
      <c r="H31" s="7">
        <f>VLOOKUP($A31,[10]HISTOSEPT22!$A$7:$AU$38,35,0)</f>
        <v>0</v>
      </c>
      <c r="I31" s="7">
        <f>VLOOKUP($A31,[10]HISTOSEPT22!$A$7:$AU$38,38,0)</f>
        <v>0</v>
      </c>
      <c r="J31" s="7">
        <f>IF(I31=0,0,VLOOKUP($A31,[10]HISTOSEPT22!$A$7:$AU$38,42,0))</f>
        <v>0</v>
      </c>
      <c r="K31" s="7">
        <f>VLOOKUP($A31,[10]HISTOSEPT22!$A$7:$AU$38,41,0)</f>
        <v>0</v>
      </c>
      <c r="L31" s="7">
        <f>+TONTAOUT22!H31+TONTAOUT22!I31</f>
        <v>0</v>
      </c>
      <c r="M31" s="7">
        <f>VLOOKUP($A31,[10]HISTOSEPT22!$A$7:$AU$38,16,0)</f>
        <v>0</v>
      </c>
      <c r="N31" s="7" t="str">
        <f>IF(M31&lt;&gt;0,VLOOKUP($A31,[10]HISTOSEPT22!$A$7:$AU$38,8,0),"ECHEC")</f>
        <v>ECHEC</v>
      </c>
      <c r="O31" s="7">
        <f>IF(R31=0,0,VLOOKUP($A31,[10]HISTOSEPT22!$A$7:$AU$38,32,0))</f>
        <v>0</v>
      </c>
      <c r="P31" s="7">
        <f>VLOOKUP($A31,[10]HISTOSEPT22!$A$7:$AU$38,33,0)</f>
        <v>0</v>
      </c>
      <c r="Q31" s="7">
        <f t="shared" si="0"/>
        <v>0</v>
      </c>
      <c r="R31" s="7">
        <f>VLOOKUP($A31,[10]HISTOSEPT22!$A$7:$AU$38,29,0)</f>
        <v>0</v>
      </c>
      <c r="S31" s="21">
        <f t="shared" si="2"/>
        <v>0</v>
      </c>
    </row>
    <row r="32" spans="1:19" x14ac:dyDescent="0.25">
      <c r="A32" s="1"/>
    </row>
    <row r="33" spans="1:19" ht="18" x14ac:dyDescent="0.25">
      <c r="A33" s="1" t="s">
        <v>94</v>
      </c>
      <c r="B33" s="8">
        <f>SUM(B6:B32)</f>
        <v>26</v>
      </c>
      <c r="I33" s="9"/>
    </row>
    <row r="34" spans="1:19" ht="18" x14ac:dyDescent="0.25">
      <c r="A34" s="1" t="s">
        <v>93</v>
      </c>
      <c r="B34" s="19">
        <f>COUNT(D6:D31)</f>
        <v>26</v>
      </c>
      <c r="C34" s="8"/>
      <c r="D34" s="8">
        <f>SUM(D6:D33)</f>
        <v>598000</v>
      </c>
      <c r="E34" s="8">
        <f>SUM(E6:E33)</f>
        <v>863000</v>
      </c>
      <c r="F34" s="8">
        <f>SUM(F6:F33)</f>
        <v>6000</v>
      </c>
      <c r="G34" s="8"/>
      <c r="H34" s="8">
        <f t="shared" ref="H34:S34" si="3">SUM(H6:H33)</f>
        <v>0</v>
      </c>
      <c r="I34" s="8">
        <f t="shared" si="3"/>
        <v>0</v>
      </c>
      <c r="J34" s="8">
        <f t="shared" si="3"/>
        <v>0</v>
      </c>
      <c r="K34" s="8">
        <f t="shared" si="3"/>
        <v>0</v>
      </c>
      <c r="L34" s="8">
        <f t="shared" si="3"/>
        <v>171000</v>
      </c>
      <c r="M34" s="8">
        <f t="shared" si="3"/>
        <v>171000</v>
      </c>
      <c r="N34" s="8">
        <f t="shared" si="3"/>
        <v>0</v>
      </c>
      <c r="O34" s="8">
        <f t="shared" si="3"/>
        <v>0</v>
      </c>
      <c r="P34" s="8">
        <f t="shared" si="3"/>
        <v>0</v>
      </c>
      <c r="Q34" s="8">
        <f t="shared" si="3"/>
        <v>818000</v>
      </c>
      <c r="R34" s="8">
        <f t="shared" si="3"/>
        <v>82000</v>
      </c>
      <c r="S34" s="8">
        <f t="shared" si="3"/>
        <v>13000</v>
      </c>
    </row>
    <row r="35" spans="1:19" s="2" customFormat="1" ht="29.25" x14ac:dyDescent="0.25">
      <c r="B35"/>
      <c r="C35"/>
      <c r="D35"/>
      <c r="E35"/>
      <c r="F35"/>
      <c r="G35"/>
      <c r="H35"/>
      <c r="I35" s="9"/>
      <c r="J35" s="3"/>
      <c r="K35" s="3"/>
      <c r="L35" s="3"/>
      <c r="N35" s="4" t="s">
        <v>80</v>
      </c>
      <c r="O35" s="4" t="s">
        <v>95</v>
      </c>
      <c r="P35" s="3"/>
    </row>
    <row r="36" spans="1:19" s="2" customFormat="1" ht="29.25" x14ac:dyDescent="0.25">
      <c r="D36" s="4" t="s">
        <v>5</v>
      </c>
      <c r="E36" s="4" t="s">
        <v>7</v>
      </c>
      <c r="F36"/>
      <c r="G36" s="4" t="s">
        <v>40</v>
      </c>
      <c r="H36" s="4" t="s">
        <v>44</v>
      </c>
      <c r="I36" s="4" t="s">
        <v>46</v>
      </c>
      <c r="J36" s="4" t="s">
        <v>47</v>
      </c>
      <c r="K36" s="4"/>
      <c r="L36" s="8" t="s">
        <v>97</v>
      </c>
      <c r="M36" s="8">
        <f>D40+G40+R34+TONTAOUT22!O41-500</f>
        <v>851000</v>
      </c>
      <c r="N36" s="4"/>
      <c r="O36"/>
      <c r="P36" s="4"/>
    </row>
    <row r="37" spans="1:19" s="2" customFormat="1" ht="18" x14ac:dyDescent="0.25">
      <c r="D37" s="8">
        <f>SUMIFS(D6:D33,G6:G33,"ESPECES")</f>
        <v>46000</v>
      </c>
      <c r="E37" s="8">
        <f>SUMIFS(E6:E33,G6:G33,"ESPECES")</f>
        <v>66000</v>
      </c>
      <c r="F37" s="8" t="s">
        <v>36</v>
      </c>
      <c r="G37" s="8">
        <f>SUMIFS(M6:M27,N6:N27,"ESPECES")</f>
        <v>51000</v>
      </c>
      <c r="H37" s="8">
        <f>SUMIFS(H6:H33,J6:J33,"ESPECES")</f>
        <v>0</v>
      </c>
      <c r="I37" s="8">
        <f>SUMIFS(Q6:Q33,O6:O33,"ESPECES")</f>
        <v>0</v>
      </c>
      <c r="J37" s="8">
        <f>D37+G37-H37-I37</f>
        <v>97000</v>
      </c>
      <c r="K37" s="8"/>
      <c r="L37" s="8" t="s">
        <v>84</v>
      </c>
      <c r="M37" s="8">
        <f>C3*COUNTIF(Q6:Q33,"&gt;0")</f>
        <v>900000</v>
      </c>
      <c r="N37" s="8">
        <f>D3+1</f>
        <v>3</v>
      </c>
      <c r="O37" s="8">
        <f>COUNTIF(Q6:Q31,"&gt;0")</f>
        <v>3</v>
      </c>
      <c r="P37" s="8"/>
    </row>
    <row r="38" spans="1:19" s="2" customFormat="1" ht="18" x14ac:dyDescent="0.25">
      <c r="D38" s="8">
        <f>SUMIFS(D6:D33,G6:G33,"BANQUE")</f>
        <v>552000</v>
      </c>
      <c r="E38" s="8">
        <f>SUMIFS(E6:E34,G6:G34,"BANQUE")</f>
        <v>797000</v>
      </c>
      <c r="F38" s="8" t="s">
        <v>37</v>
      </c>
      <c r="G38" s="8">
        <f>SUMIFS(M6:M27,N6:N27,"BANQUE")</f>
        <v>120000</v>
      </c>
      <c r="H38" s="8">
        <f>SUMIFS(H6:H33,J6:J33,"BANQUE")</f>
        <v>0</v>
      </c>
      <c r="I38" s="8">
        <f>SUMIFS(Q6:Q33,O6:O33,"BANQUE")</f>
        <v>818000</v>
      </c>
      <c r="J38" s="8">
        <f>D38+G38-H38-I38</f>
        <v>-146000</v>
      </c>
      <c r="K38" s="8"/>
      <c r="M38" s="8"/>
      <c r="N38" s="8"/>
      <c r="O38" s="8"/>
      <c r="P38" s="8"/>
    </row>
    <row r="39" spans="1:19" s="2" customFormat="1" ht="18" x14ac:dyDescent="0.25">
      <c r="D39" s="8"/>
      <c r="E39" s="8"/>
      <c r="F39" s="8"/>
      <c r="G39" s="8"/>
      <c r="H39" s="8"/>
      <c r="I39" s="8"/>
      <c r="K39" s="8"/>
      <c r="L39" s="8" t="s">
        <v>52</v>
      </c>
      <c r="M39" s="8">
        <f>M36-M37</f>
        <v>-49000</v>
      </c>
      <c r="N39" s="8"/>
      <c r="O39" s="8"/>
      <c r="P39" s="8"/>
    </row>
    <row r="40" spans="1:19" s="2" customFormat="1" ht="18" x14ac:dyDescent="0.25">
      <c r="D40" s="8">
        <f>D37+D38</f>
        <v>598000</v>
      </c>
      <c r="E40" s="8">
        <f>E37+E38</f>
        <v>863000</v>
      </c>
      <c r="F40" s="8" t="s">
        <v>34</v>
      </c>
      <c r="G40" s="8">
        <f>G37+G38</f>
        <v>171000</v>
      </c>
      <c r="H40" s="8">
        <f>H37+H38</f>
        <v>0</v>
      </c>
      <c r="I40" s="8">
        <f t="shared" ref="I40:J40" si="4">I37+I38</f>
        <v>818000</v>
      </c>
      <c r="J40" s="8">
        <f t="shared" si="4"/>
        <v>-49000</v>
      </c>
      <c r="K40" s="8"/>
      <c r="M40" s="8"/>
      <c r="N40" s="8"/>
      <c r="O40" s="8"/>
      <c r="P40" s="8"/>
    </row>
    <row r="41" spans="1:19" s="2" customFormat="1" ht="18" x14ac:dyDescent="0.25">
      <c r="D41" s="8"/>
      <c r="E41" s="8"/>
      <c r="F41" s="8" t="s">
        <v>56</v>
      </c>
      <c r="G41"/>
      <c r="H41"/>
      <c r="I41" s="3"/>
      <c r="J41" s="3"/>
      <c r="K41" s="3"/>
      <c r="L41" s="8" t="s">
        <v>55</v>
      </c>
      <c r="M41" s="8">
        <f>M39-H34</f>
        <v>-49000</v>
      </c>
      <c r="N41"/>
      <c r="O41" s="8">
        <f>M41</f>
        <v>-49000</v>
      </c>
      <c r="P41" s="8" t="s">
        <v>58</v>
      </c>
    </row>
    <row r="42" spans="1:19" s="2" customFormat="1" ht="18" x14ac:dyDescent="0.25">
      <c r="D42" s="4"/>
      <c r="E42" s="4"/>
      <c r="F42" s="8"/>
      <c r="G42"/>
      <c r="H42"/>
      <c r="I42" s="3"/>
      <c r="J42" s="3"/>
      <c r="K42" s="3"/>
      <c r="N42"/>
      <c r="O42" s="3"/>
      <c r="P42" s="3"/>
    </row>
    <row r="43" spans="1:19" ht="18" x14ac:dyDescent="0.25">
      <c r="L43" s="8" t="s">
        <v>60</v>
      </c>
      <c r="M43" s="8">
        <f>COUNTIFS(G6:G32,"ECHEC")*23000</f>
        <v>0</v>
      </c>
      <c r="O43" s="8">
        <f>M43+TONTAOUT22!O43</f>
        <v>0</v>
      </c>
      <c r="P43" s="8" t="s">
        <v>58</v>
      </c>
    </row>
    <row r="44" spans="1:19" ht="18" x14ac:dyDescent="0.25">
      <c r="F44" s="2"/>
      <c r="L44" s="8" t="s">
        <v>59</v>
      </c>
      <c r="M44" s="8">
        <f>L34-G40</f>
        <v>0</v>
      </c>
      <c r="O44" s="8">
        <f>M44+TONTAOUT22!O44</f>
        <v>0</v>
      </c>
      <c r="P44" s="8" t="s">
        <v>58</v>
      </c>
    </row>
  </sheetData>
  <autoFilter ref="A5:R24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>
      <pane xSplit="3" ySplit="5" topLeftCell="H36" activePane="bottomRight" state="frozen"/>
      <selection activeCell="G6" sqref="G6:G39"/>
      <selection pane="topRight" activeCell="G6" sqref="G6:G39"/>
      <selection pane="bottomLeft" activeCell="G6" sqref="G6:G39"/>
      <selection pane="bottomRight" activeCell="J40" sqref="J40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5" width="13" customWidth="1"/>
    <col min="16" max="16" width="15.5703125" style="3" customWidth="1"/>
    <col min="17" max="18" width="18.140625" style="2" customWidth="1"/>
  </cols>
  <sheetData>
    <row r="1" spans="1:19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25">
      <c r="A2" s="1" t="s">
        <v>2</v>
      </c>
      <c r="B2" s="1">
        <v>2022</v>
      </c>
      <c r="C2" s="1" t="s">
        <v>85</v>
      </c>
      <c r="D2" s="1" t="s">
        <v>80</v>
      </c>
      <c r="E2" s="1"/>
      <c r="F2" s="1"/>
      <c r="G2" s="1"/>
      <c r="N2" s="1"/>
      <c r="O2" s="1"/>
    </row>
    <row r="3" spans="1:19" x14ac:dyDescent="0.25">
      <c r="A3" s="1" t="s">
        <v>86</v>
      </c>
      <c r="B3" s="6">
        <v>23000</v>
      </c>
      <c r="C3" s="6">
        <f>B3*13+1000</f>
        <v>300000</v>
      </c>
      <c r="D3" s="1">
        <f>ROUNDDOWN(M36/C3,0)</f>
        <v>1</v>
      </c>
      <c r="E3" s="1"/>
      <c r="F3" s="1"/>
      <c r="G3" s="1"/>
      <c r="N3" s="1"/>
      <c r="O3" s="1"/>
    </row>
    <row r="4" spans="1:19" s="16" customFormat="1" ht="18" x14ac:dyDescent="0.25">
      <c r="B4" s="17"/>
      <c r="C4" s="28">
        <v>44633</v>
      </c>
      <c r="D4" s="29"/>
      <c r="E4" s="29"/>
      <c r="F4" s="29"/>
      <c r="G4" s="29"/>
      <c r="H4" s="29"/>
      <c r="I4" s="29"/>
      <c r="J4" s="29"/>
      <c r="K4" s="29"/>
      <c r="L4" s="29"/>
      <c r="N4" s="18"/>
      <c r="O4" s="18"/>
      <c r="P4" s="18"/>
      <c r="Q4" s="18"/>
    </row>
    <row r="5" spans="1:19" ht="58.5" x14ac:dyDescent="0.3">
      <c r="A5" s="1" t="s">
        <v>3</v>
      </c>
      <c r="B5" s="13" t="s">
        <v>81</v>
      </c>
      <c r="C5" s="1" t="s">
        <v>4</v>
      </c>
      <c r="D5" s="4" t="s">
        <v>5</v>
      </c>
      <c r="E5" s="4" t="s">
        <v>7</v>
      </c>
      <c r="F5" s="1" t="s">
        <v>48</v>
      </c>
      <c r="G5" s="5" t="s">
        <v>6</v>
      </c>
      <c r="H5" s="6" t="s">
        <v>44</v>
      </c>
      <c r="I5" s="4" t="s">
        <v>41</v>
      </c>
      <c r="J5" s="4" t="s">
        <v>45</v>
      </c>
      <c r="K5" s="11" t="s">
        <v>54</v>
      </c>
      <c r="L5" s="4" t="s">
        <v>82</v>
      </c>
      <c r="M5" s="4" t="s">
        <v>40</v>
      </c>
      <c r="N5" s="4" t="s">
        <v>39</v>
      </c>
      <c r="O5" s="4" t="s">
        <v>42</v>
      </c>
      <c r="P5" s="4" t="s">
        <v>54</v>
      </c>
      <c r="Q5" s="4" t="s">
        <v>83</v>
      </c>
      <c r="R5" s="4" t="s">
        <v>43</v>
      </c>
      <c r="S5" s="4" t="s">
        <v>98</v>
      </c>
    </row>
    <row r="6" spans="1:19" x14ac:dyDescent="0.25">
      <c r="A6" s="1" t="s">
        <v>9</v>
      </c>
      <c r="B6" s="7">
        <f>IF(D6=0,0,VLOOKUP($A6,[8]HISTOJANV22!$A$6:$AZ$36,9,0))</f>
        <v>1</v>
      </c>
      <c r="C6" s="1" t="str">
        <f>VLOOKUP(A6,[9]LISTADHERENT!A$5:H$60,3,0)</f>
        <v>BOUTCHOUANG WILLIAM</v>
      </c>
      <c r="D6" s="7">
        <f>IF(G6="ECHEC",0,B$3)</f>
        <v>23000</v>
      </c>
      <c r="E6" s="7">
        <f>D6+VLOOKUP($A6,[10]HISTOOCT22!$A$7:$AU$38,45,0)+F6</f>
        <v>30000</v>
      </c>
      <c r="F6" s="7">
        <f>VLOOKUP($A6,[10]HISTOOCT22!$A$7:$AU$38,7,0)</f>
        <v>0</v>
      </c>
      <c r="G6" s="7" t="str">
        <f>VLOOKUP($A6,[10]HISTOOCT22!$A$7:$AU$38,8,0)</f>
        <v>BANQUE</v>
      </c>
      <c r="H6" s="7">
        <f>VLOOKUP($A6,[10]HISTOOCT22!$A$7:$AU$38,35,0)</f>
        <v>0</v>
      </c>
      <c r="I6" s="7">
        <f>VLOOKUP($A6,[10]HISTOOCT22!$A$7:$AU$38,38,0)</f>
        <v>0</v>
      </c>
      <c r="J6" s="7">
        <f>IF(I6=0,0,VLOOKUP($A6,[10]HISTOOCT22!$A$7:$AU$38,42,0))</f>
        <v>0</v>
      </c>
      <c r="K6" s="7">
        <f>VLOOKUP($A6,[10]HISTOOCT22!$A$7:$AU$38,41,0)</f>
        <v>0</v>
      </c>
      <c r="L6" s="7">
        <f>+TONTSEPT22!H6+TONTSEPT22!I6</f>
        <v>0</v>
      </c>
      <c r="M6" s="7">
        <f>VLOOKUP($A6,[10]HISTOOCT22!$A$7:$AU$38,16,0)</f>
        <v>0</v>
      </c>
      <c r="N6" s="7" t="str">
        <f>IF(M6&lt;&gt;0,VLOOKUP($A6,[10]HISTOOCT22!$A$7:$AU$38,8,0),"ECHEC")</f>
        <v>ECHEC</v>
      </c>
      <c r="O6" s="7">
        <f>IF(R6=0,0,VLOOKUP($A6,[10]HISTOOCT22!$A$7:$AU$38,32,0))</f>
        <v>0</v>
      </c>
      <c r="P6" s="7">
        <f>VLOOKUP($A6,[10]HISTOOCT22!$A$7:$AU$38,33,0)</f>
        <v>0</v>
      </c>
      <c r="Q6" s="7">
        <f t="shared" ref="Q6:Q31" si="0">IF(R6=0,0,($C$3-R6))</f>
        <v>0</v>
      </c>
      <c r="R6" s="7">
        <f>VLOOKUP($A6,[10]HISTOOCT22!$A$7:$AU$38,29,0)</f>
        <v>0</v>
      </c>
      <c r="S6" s="21">
        <f>IF(R6=0,0,(R6-23000))</f>
        <v>0</v>
      </c>
    </row>
    <row r="7" spans="1:19" x14ac:dyDescent="0.25">
      <c r="A7" s="1" t="s">
        <v>10</v>
      </c>
      <c r="B7" s="7">
        <f>IF(D7=0,0,VLOOKUP($A7,[8]HISTOJANV22!$A$6:$AZ$36,9,0))</f>
        <v>1</v>
      </c>
      <c r="C7" s="1" t="str">
        <f>VLOOKUP(A7,[9]LISTADHERENT!A$5:H$60,3,0)</f>
        <v xml:space="preserve">DJOMO JEAN PAUL </v>
      </c>
      <c r="D7" s="7">
        <f t="shared" ref="D7:D31" si="1">IF(G7="ECHEC",0,B$3)</f>
        <v>23000</v>
      </c>
      <c r="E7" s="7">
        <f>D7+VLOOKUP($A7,[10]HISTOOCT22!$A$7:$AU$38,45,0)+F7</f>
        <v>61000</v>
      </c>
      <c r="F7" s="7">
        <f>VLOOKUP($A7,[10]HISTOOCT22!$A$7:$AU$38,7,0)</f>
        <v>0</v>
      </c>
      <c r="G7" s="7" t="str">
        <f>VLOOKUP($A7,[10]HISTOOCT22!$A$7:$AU$38,8,0)</f>
        <v>BANQUE</v>
      </c>
      <c r="H7" s="7">
        <f>VLOOKUP($A7,[10]HISTOOCT22!$A$7:$AU$38,35,0)</f>
        <v>0</v>
      </c>
      <c r="I7" s="7">
        <f>VLOOKUP($A7,[10]HISTOOCT22!$A$7:$AU$38,38,0)</f>
        <v>0</v>
      </c>
      <c r="J7" s="7">
        <f>IF(I7=0,0,VLOOKUP($A7,[10]HISTOOCT22!$A$7:$AU$38,42,0))</f>
        <v>0</v>
      </c>
      <c r="K7" s="7">
        <f>VLOOKUP($A7,[10]HISTOOCT22!$A$7:$AU$38,41,0)</f>
        <v>0</v>
      </c>
      <c r="L7" s="7">
        <f>+TONTSEPT22!H7+TONTSEPT22!I7</f>
        <v>0</v>
      </c>
      <c r="M7" s="7">
        <f>VLOOKUP($A7,[10]HISTOOCT22!$A$7:$AU$38,16,0)</f>
        <v>0</v>
      </c>
      <c r="N7" s="7" t="str">
        <f>IF(M7&lt;&gt;0,VLOOKUP($A7,[10]HISTOOCT22!$A$7:$AU$38,8,0),"ECHEC")</f>
        <v>ECHEC</v>
      </c>
      <c r="O7" s="7">
        <f>IF(R7=0,0,VLOOKUP($A7,[10]HISTOOCT22!$A$7:$AU$38,32,0))</f>
        <v>0</v>
      </c>
      <c r="P7" s="7">
        <f>VLOOKUP($A7,[10]HISTOOCT22!$A$7:$AU$38,33,0)</f>
        <v>0</v>
      </c>
      <c r="Q7" s="7">
        <f t="shared" si="0"/>
        <v>0</v>
      </c>
      <c r="R7" s="7">
        <f>VLOOKUP($A7,[10]HISTOOCT22!$A$7:$AU$38,29,0)</f>
        <v>0</v>
      </c>
      <c r="S7" s="21">
        <f t="shared" ref="S7:S31" si="2">IF(R7=0,0,(R7-23000))</f>
        <v>0</v>
      </c>
    </row>
    <row r="8" spans="1:19" x14ac:dyDescent="0.25">
      <c r="A8" s="1" t="s">
        <v>57</v>
      </c>
      <c r="B8" s="7">
        <f>IF(D8=0,0,VLOOKUP($A8,[8]HISTOJANV22!$A$6:$AZ$36,9,0))</f>
        <v>1</v>
      </c>
      <c r="C8" s="1" t="str">
        <f>VLOOKUP(A8,[9]LISTADHERENT!A$5:H$60,3,0)</f>
        <v>DJOMOU TCHANDA</v>
      </c>
      <c r="D8" s="7">
        <f t="shared" si="1"/>
        <v>23000</v>
      </c>
      <c r="E8" s="7">
        <f>D8+VLOOKUP($A8,[10]HISTOOCT22!$A$7:$AU$38,45,0)+F8</f>
        <v>30000</v>
      </c>
      <c r="F8" s="7">
        <f>VLOOKUP($A8,[10]HISTOOCT22!$A$7:$AU$38,7,0)</f>
        <v>0</v>
      </c>
      <c r="G8" s="7" t="str">
        <f>VLOOKUP($A8,[10]HISTOOCT22!$A$7:$AU$38,8,0)</f>
        <v>BANQUE</v>
      </c>
      <c r="H8" s="7">
        <f>VLOOKUP($A8,[10]HISTOOCT22!$A$7:$AU$38,35,0)</f>
        <v>0</v>
      </c>
      <c r="I8" s="7">
        <f>VLOOKUP($A8,[10]HISTOOCT22!$A$7:$AU$38,38,0)</f>
        <v>0</v>
      </c>
      <c r="J8" s="7">
        <f>IF(I8=0,0,VLOOKUP($A8,[10]HISTOOCT22!$A$7:$AU$38,42,0))</f>
        <v>0</v>
      </c>
      <c r="K8" s="7">
        <f>VLOOKUP($A8,[10]HISTOOCT22!$A$7:$AU$38,41,0)</f>
        <v>0</v>
      </c>
      <c r="L8" s="7">
        <f>+TONTSEPT22!H8+TONTSEPT22!I8</f>
        <v>0</v>
      </c>
      <c r="M8" s="7">
        <f>VLOOKUP($A8,[10]HISTOOCT22!$A$7:$AU$38,16,0)</f>
        <v>0</v>
      </c>
      <c r="N8" s="7" t="str">
        <f>IF(M8&lt;&gt;0,VLOOKUP($A8,[10]HISTOOCT22!$A$7:$AU$38,8,0),"ECHEC")</f>
        <v>ECHEC</v>
      </c>
      <c r="O8" s="7">
        <f>IF(R8=0,0,VLOOKUP($A8,[10]HISTOOCT22!$A$7:$AU$38,32,0))</f>
        <v>0</v>
      </c>
      <c r="P8" s="7">
        <f>VLOOKUP($A8,[10]HISTOOCT22!$A$7:$AU$38,33,0)</f>
        <v>0</v>
      </c>
      <c r="Q8" s="7">
        <f t="shared" si="0"/>
        <v>0</v>
      </c>
      <c r="R8" s="7">
        <f>VLOOKUP($A8,[10]HISTOOCT22!$A$7:$AU$38,29,0)</f>
        <v>0</v>
      </c>
      <c r="S8" s="21">
        <f t="shared" si="2"/>
        <v>0</v>
      </c>
    </row>
    <row r="9" spans="1:19" x14ac:dyDescent="0.25">
      <c r="A9" s="1" t="s">
        <v>11</v>
      </c>
      <c r="B9" s="7">
        <f>IF(D9=0,0,VLOOKUP($A9,[8]HISTOJANV22!$A$6:$AZ$36,9,0))</f>
        <v>1</v>
      </c>
      <c r="C9" s="1" t="str">
        <f>VLOOKUP(A9,[9]LISTADHERENT!A$5:H$60,3,0)</f>
        <v>DJOUKWE NANGUEN GUY BLAISE</v>
      </c>
      <c r="D9" s="7">
        <f t="shared" si="1"/>
        <v>23000</v>
      </c>
      <c r="E9" s="7">
        <f>D9+VLOOKUP($A9,[10]HISTOOCT22!$A$7:$AU$38,45,0)+F9</f>
        <v>30000</v>
      </c>
      <c r="F9" s="7">
        <f>VLOOKUP($A9,[10]HISTOOCT22!$A$7:$AU$38,7,0)</f>
        <v>0</v>
      </c>
      <c r="G9" s="7" t="str">
        <f>VLOOKUP($A9,[10]HISTOOCT22!$A$7:$AU$38,8,0)</f>
        <v>BANQUE</v>
      </c>
      <c r="H9" s="7">
        <f>VLOOKUP($A9,[10]HISTOOCT22!$A$7:$AU$38,35,0)</f>
        <v>0</v>
      </c>
      <c r="I9" s="7">
        <f>VLOOKUP($A9,[10]HISTOOCT22!$A$7:$AU$38,38,0)</f>
        <v>0</v>
      </c>
      <c r="J9" s="7">
        <f>IF(I9=0,0,VLOOKUP($A9,[10]HISTOOCT22!$A$7:$AU$38,42,0))</f>
        <v>0</v>
      </c>
      <c r="K9" s="7">
        <f>VLOOKUP($A9,[10]HISTOOCT22!$A$7:$AU$38,41,0)</f>
        <v>0</v>
      </c>
      <c r="L9" s="7">
        <f>+TONTSEPT22!H9+TONTSEPT22!I9</f>
        <v>0</v>
      </c>
      <c r="M9" s="7">
        <f>VLOOKUP($A9,[10]HISTOOCT22!$A$7:$AU$38,16,0)</f>
        <v>0</v>
      </c>
      <c r="N9" s="7" t="str">
        <f>IF(M9&lt;&gt;0,VLOOKUP($A9,[10]HISTOOCT22!$A$7:$AU$38,8,0),"ECHEC")</f>
        <v>ECHEC</v>
      </c>
      <c r="O9" s="7">
        <f>IF(R9=0,0,VLOOKUP($A9,[10]HISTOOCT22!$A$7:$AU$38,32,0))</f>
        <v>0</v>
      </c>
      <c r="P9" s="7">
        <f>VLOOKUP($A9,[10]HISTOOCT22!$A$7:$AU$38,33,0)</f>
        <v>0</v>
      </c>
      <c r="Q9" s="7">
        <f t="shared" si="0"/>
        <v>0</v>
      </c>
      <c r="R9" s="7">
        <f>VLOOKUP($A9,[10]HISTOOCT22!$A$7:$AU$38,29,0)</f>
        <v>0</v>
      </c>
      <c r="S9" s="21">
        <f t="shared" si="2"/>
        <v>0</v>
      </c>
    </row>
    <row r="10" spans="1:19" x14ac:dyDescent="0.25">
      <c r="A10" s="1" t="s">
        <v>12</v>
      </c>
      <c r="B10" s="7">
        <f>IF(D10=0,0,VLOOKUP($A10,[8]HISTOJANV22!$A$6:$AZ$36,9,0))</f>
        <v>1</v>
      </c>
      <c r="C10" s="1" t="str">
        <f>VLOOKUP(A10,[9]LISTADHERENT!A$5:H$60,3,0)</f>
        <v>DJUOMBESSY ANTOINE</v>
      </c>
      <c r="D10" s="7">
        <f t="shared" si="1"/>
        <v>23000</v>
      </c>
      <c r="E10" s="7">
        <f>D10+VLOOKUP($A10,[10]HISTOOCT22!$A$7:$AU$38,45,0)+F10</f>
        <v>30000</v>
      </c>
      <c r="F10" s="7">
        <f>VLOOKUP($A10,[10]HISTOOCT22!$A$7:$AU$38,7,0)</f>
        <v>0</v>
      </c>
      <c r="G10" s="7" t="str">
        <f>VLOOKUP($A10,[10]HISTOOCT22!$A$7:$AU$38,8,0)</f>
        <v>BANQUE</v>
      </c>
      <c r="H10" s="7">
        <f>VLOOKUP($A10,[10]HISTOOCT22!$A$7:$AU$38,35,0)</f>
        <v>0</v>
      </c>
      <c r="I10" s="7">
        <f>VLOOKUP($A10,[10]HISTOOCT22!$A$7:$AU$38,38,0)</f>
        <v>0</v>
      </c>
      <c r="J10" s="7">
        <f>IF(I10=0,0,VLOOKUP($A10,[10]HISTOOCT22!$A$7:$AU$38,42,0))</f>
        <v>0</v>
      </c>
      <c r="K10" s="7">
        <f>VLOOKUP($A10,[10]HISTOOCT22!$A$7:$AU$38,41,0)</f>
        <v>0</v>
      </c>
      <c r="L10" s="7">
        <f>+TONTSEPT22!H10+TONTSEPT22!I10</f>
        <v>0</v>
      </c>
      <c r="M10" s="7">
        <f>VLOOKUP($A10,[10]HISTOOCT22!$A$7:$AU$38,16,0)</f>
        <v>0</v>
      </c>
      <c r="N10" s="7" t="str">
        <f>IF(M10&lt;&gt;0,VLOOKUP($A10,[10]HISTOOCT22!$A$7:$AU$38,8,0),"ECHEC")</f>
        <v>ECHEC</v>
      </c>
      <c r="O10" s="7">
        <f>IF(R10=0,0,VLOOKUP($A10,[10]HISTOOCT22!$A$7:$AU$38,32,0))</f>
        <v>0</v>
      </c>
      <c r="P10" s="7">
        <f>VLOOKUP($A10,[10]HISTOOCT22!$A$7:$AU$38,33,0)</f>
        <v>0</v>
      </c>
      <c r="Q10" s="7">
        <f t="shared" si="0"/>
        <v>0</v>
      </c>
      <c r="R10" s="7">
        <f>VLOOKUP($A10,[10]HISTOOCT22!$A$7:$AU$38,29,0)</f>
        <v>0</v>
      </c>
      <c r="S10" s="21">
        <f t="shared" si="2"/>
        <v>0</v>
      </c>
    </row>
    <row r="11" spans="1:19" x14ac:dyDescent="0.25">
      <c r="A11" s="1" t="s">
        <v>50</v>
      </c>
      <c r="B11" s="7">
        <f>IF(D11=0,0,VLOOKUP($A11,[8]HISTOJANV22!$A$6:$AZ$36,9,0))</f>
        <v>1</v>
      </c>
      <c r="C11" s="1" t="str">
        <f>VLOOKUP(A11,[9]LISTADHERENT!A$5:H$60,3,0)</f>
        <v>DOMOU FABIEN</v>
      </c>
      <c r="D11" s="7">
        <f t="shared" si="1"/>
        <v>23000</v>
      </c>
      <c r="E11" s="7">
        <f>D11+VLOOKUP($A11,[10]HISTOOCT22!$A$7:$AU$38,45,0)+F11</f>
        <v>35000</v>
      </c>
      <c r="F11" s="7">
        <f>VLOOKUP($A11,[10]HISTOOCT22!$A$7:$AU$38,7,0)</f>
        <v>0</v>
      </c>
      <c r="G11" s="7" t="str">
        <f>VLOOKUP($A11,[10]HISTOOCT22!$A$7:$AU$38,8,0)</f>
        <v>BANQUE</v>
      </c>
      <c r="H11" s="7">
        <f>VLOOKUP($A11,[10]HISTOOCT22!$A$7:$AU$38,35,0)</f>
        <v>0</v>
      </c>
      <c r="I11" s="7">
        <f>VLOOKUP($A11,[10]HISTOOCT22!$A$7:$AU$38,38,0)</f>
        <v>0</v>
      </c>
      <c r="J11" s="7">
        <f>IF(I11=0,0,VLOOKUP($A11,[10]HISTOOCT22!$A$7:$AU$38,42,0))</f>
        <v>0</v>
      </c>
      <c r="K11" s="7">
        <f>VLOOKUP($A11,[10]HISTOOCT22!$A$7:$AU$38,41,0)</f>
        <v>0</v>
      </c>
      <c r="L11" s="7">
        <f>+TONTSEPT22!H11+TONTSEPT22!I11</f>
        <v>0</v>
      </c>
      <c r="M11" s="7">
        <f>VLOOKUP($A11,[10]HISTOOCT22!$A$7:$AU$38,16,0)</f>
        <v>0</v>
      </c>
      <c r="N11" s="7" t="str">
        <f>IF(M11&lt;&gt;0,VLOOKUP($A11,[10]HISTOOCT22!$A$7:$AU$38,8,0),"ECHEC")</f>
        <v>ECHEC</v>
      </c>
      <c r="O11" s="7">
        <f>IF(R11=0,0,VLOOKUP($A11,[10]HISTOOCT22!$A$7:$AU$38,32,0))</f>
        <v>0</v>
      </c>
      <c r="P11" s="7">
        <f>VLOOKUP($A11,[10]HISTOOCT22!$A$7:$AU$38,33,0)</f>
        <v>0</v>
      </c>
      <c r="Q11" s="7">
        <f t="shared" si="0"/>
        <v>0</v>
      </c>
      <c r="R11" s="7">
        <f>VLOOKUP($A11,[10]HISTOOCT22!$A$7:$AU$38,29,0)</f>
        <v>0</v>
      </c>
      <c r="S11" s="21">
        <f t="shared" si="2"/>
        <v>0</v>
      </c>
    </row>
    <row r="12" spans="1:19" x14ac:dyDescent="0.25">
      <c r="A12" s="1" t="s">
        <v>13</v>
      </c>
      <c r="B12" s="7">
        <f>IF(D12=0,0,VLOOKUP($A12,[8]HISTOJANV22!$A$6:$AZ$36,9,0))</f>
        <v>1</v>
      </c>
      <c r="C12" s="1" t="str">
        <f>VLOOKUP(A12,[9]LISTADHERENT!A$5:H$60,3,0)</f>
        <v>DONHOU DAVID</v>
      </c>
      <c r="D12" s="7">
        <f t="shared" si="1"/>
        <v>23000</v>
      </c>
      <c r="E12" s="7">
        <f>D12+VLOOKUP($A12,[10]HISTOOCT22!$A$7:$AU$38,45,0)+F12</f>
        <v>35000</v>
      </c>
      <c r="F12" s="7">
        <f>VLOOKUP($A12,[10]HISTOOCT22!$A$7:$AU$38,7,0)</f>
        <v>0</v>
      </c>
      <c r="G12" s="7" t="str">
        <f>VLOOKUP($A12,[10]HISTOOCT22!$A$7:$AU$38,8,0)</f>
        <v>BANQUE</v>
      </c>
      <c r="H12" s="7">
        <f>VLOOKUP($A12,[10]HISTOOCT22!$A$7:$AU$38,35,0)</f>
        <v>0</v>
      </c>
      <c r="I12" s="7">
        <f>VLOOKUP($A12,[10]HISTOOCT22!$A$7:$AU$38,38,0)</f>
        <v>0</v>
      </c>
      <c r="J12" s="7">
        <f>IF(I12=0,0,VLOOKUP($A12,[10]HISTOOCT22!$A$7:$AU$38,42,0))</f>
        <v>0</v>
      </c>
      <c r="K12" s="7">
        <f>VLOOKUP($A12,[10]HISTOOCT22!$A$7:$AU$38,41,0)</f>
        <v>0</v>
      </c>
      <c r="L12" s="7">
        <f>+TONTSEPT22!H12+TONTSEPT22!I12</f>
        <v>0</v>
      </c>
      <c r="M12" s="7">
        <f>VLOOKUP($A12,[10]HISTOOCT22!$A$7:$AU$38,16,0)</f>
        <v>0</v>
      </c>
      <c r="N12" s="7" t="str">
        <f>IF(M12&lt;&gt;0,VLOOKUP($A12,[10]HISTOOCT22!$A$7:$AU$38,8,0),"ECHEC")</f>
        <v>ECHEC</v>
      </c>
      <c r="O12" s="7">
        <f>IF(R12=0,0,VLOOKUP($A12,[10]HISTOOCT22!$A$7:$AU$38,32,0))</f>
        <v>0</v>
      </c>
      <c r="P12" s="7">
        <f>VLOOKUP($A12,[10]HISTOOCT22!$A$7:$AU$38,33,0)</f>
        <v>0</v>
      </c>
      <c r="Q12" s="7">
        <f t="shared" si="0"/>
        <v>0</v>
      </c>
      <c r="R12" s="7">
        <f>VLOOKUP($A12,[10]HISTOOCT22!$A$7:$AU$38,29,0)</f>
        <v>0</v>
      </c>
      <c r="S12" s="21">
        <f t="shared" si="2"/>
        <v>0</v>
      </c>
    </row>
    <row r="13" spans="1:19" x14ac:dyDescent="0.25">
      <c r="A13" s="1" t="s">
        <v>15</v>
      </c>
      <c r="B13" s="7">
        <f>IF(D13=0,0,VLOOKUP($A13,[8]HISTOJANV22!$A$6:$AZ$36,9,0))</f>
        <v>1</v>
      </c>
      <c r="C13" s="1" t="str">
        <f>VLOOKUP(A13,[9]LISTADHERENT!A$5:H$60,3,0)</f>
        <v>HENGUE PAUL OMER</v>
      </c>
      <c r="D13" s="7">
        <f t="shared" si="1"/>
        <v>23000</v>
      </c>
      <c r="E13" s="7">
        <f>D13+VLOOKUP($A13,[10]HISTOOCT22!$A$7:$AU$38,45,0)+F13</f>
        <v>30000</v>
      </c>
      <c r="F13" s="7">
        <f>VLOOKUP($A13,[10]HISTOOCT22!$A$7:$AU$38,7,0)</f>
        <v>0</v>
      </c>
      <c r="G13" s="7" t="str">
        <f>VLOOKUP($A13,[10]HISTOOCT22!$A$7:$AU$38,8,0)</f>
        <v>BANQUE</v>
      </c>
      <c r="H13" s="7">
        <f>VLOOKUP($A13,[10]HISTOOCT22!$A$7:$AU$38,35,0)</f>
        <v>0</v>
      </c>
      <c r="I13" s="7">
        <f>VLOOKUP($A13,[10]HISTOOCT22!$A$7:$AU$38,38,0)</f>
        <v>0</v>
      </c>
      <c r="J13" s="7">
        <f>IF(I13=0,0,VLOOKUP($A13,[10]HISTOOCT22!$A$7:$AU$38,42,0))</f>
        <v>0</v>
      </c>
      <c r="K13" s="7">
        <f>VLOOKUP($A13,[10]HISTOOCT22!$A$7:$AU$38,41,0)</f>
        <v>0</v>
      </c>
      <c r="L13" s="7">
        <f>+TONTSEPT22!H13+TONTSEPT22!I13</f>
        <v>0</v>
      </c>
      <c r="M13" s="7">
        <f>VLOOKUP($A13,[10]HISTOOCT22!$A$7:$AU$38,16,0)</f>
        <v>0</v>
      </c>
      <c r="N13" s="7" t="str">
        <f>IF(M13&lt;&gt;0,VLOOKUP($A13,[10]HISTOOCT22!$A$7:$AU$38,8,0),"ECHEC")</f>
        <v>ECHEC</v>
      </c>
      <c r="O13" s="7">
        <f>IF(R13=0,0,VLOOKUP($A13,[10]HISTOOCT22!$A$7:$AU$38,32,0))</f>
        <v>0</v>
      </c>
      <c r="P13" s="7">
        <f>VLOOKUP($A13,[10]HISTOOCT22!$A$7:$AU$38,33,0)</f>
        <v>0</v>
      </c>
      <c r="Q13" s="7">
        <f t="shared" si="0"/>
        <v>0</v>
      </c>
      <c r="R13" s="7">
        <f>VLOOKUP($A13,[10]HISTOOCT22!$A$7:$AU$38,29,0)</f>
        <v>0</v>
      </c>
      <c r="S13" s="21">
        <f t="shared" si="2"/>
        <v>0</v>
      </c>
    </row>
    <row r="14" spans="1:19" x14ac:dyDescent="0.25">
      <c r="A14" s="1" t="s">
        <v>16</v>
      </c>
      <c r="B14" s="7">
        <f>IF(D14=0,0,VLOOKUP($A14,[8]HISTOJANV22!$A$6:$AZ$36,9,0))</f>
        <v>1</v>
      </c>
      <c r="C14" s="1" t="str">
        <f>VLOOKUP(A14,[9]LISTADHERENT!A$5:H$60,3,0)</f>
        <v>HOTCHO BENJAMIN</v>
      </c>
      <c r="D14" s="7">
        <f t="shared" si="1"/>
        <v>23000</v>
      </c>
      <c r="E14" s="7">
        <f>D14+VLOOKUP($A14,[10]HISTOOCT22!$A$7:$AU$38,45,0)+F14</f>
        <v>75000</v>
      </c>
      <c r="F14" s="7">
        <f>VLOOKUP($A14,[10]HISTOOCT22!$A$7:$AU$38,7,0)</f>
        <v>0</v>
      </c>
      <c r="G14" s="7" t="str">
        <f>VLOOKUP($A14,[10]HISTOOCT22!$A$7:$AU$38,8,0)</f>
        <v>BANQUE</v>
      </c>
      <c r="H14" s="7">
        <f>VLOOKUP($A14,[10]HISTOOCT22!$A$7:$AU$38,35,0)</f>
        <v>0</v>
      </c>
      <c r="I14" s="7">
        <f>VLOOKUP($A14,[10]HISTOOCT22!$A$7:$AU$38,38,0)</f>
        <v>0</v>
      </c>
      <c r="J14" s="7">
        <f>IF(I14=0,0,VLOOKUP($A14,[10]HISTOOCT22!$A$7:$AU$38,42,0))</f>
        <v>0</v>
      </c>
      <c r="K14" s="7">
        <f>VLOOKUP($A14,[10]HISTOOCT22!$A$7:$AU$38,41,0)</f>
        <v>0</v>
      </c>
      <c r="L14" s="7">
        <f>+TONTSEPT22!H14+TONTSEPT22!I14</f>
        <v>0</v>
      </c>
      <c r="M14" s="7">
        <f>VLOOKUP($A14,[10]HISTOOCT22!$A$7:$AU$38,16,0)</f>
        <v>0</v>
      </c>
      <c r="N14" s="7" t="str">
        <f>IF(M14&lt;&gt;0,VLOOKUP($A14,[10]HISTOOCT22!$A$7:$AU$38,8,0),"ECHEC")</f>
        <v>ECHEC</v>
      </c>
      <c r="O14" s="7">
        <f>IF(R14=0,0,VLOOKUP($A14,[10]HISTOOCT22!$A$7:$AU$38,32,0))</f>
        <v>0</v>
      </c>
      <c r="P14" s="7">
        <f>VLOOKUP($A14,[10]HISTOOCT22!$A$7:$AU$38,33,0)</f>
        <v>0</v>
      </c>
      <c r="Q14" s="7">
        <f t="shared" si="0"/>
        <v>0</v>
      </c>
      <c r="R14" s="7">
        <f>VLOOKUP($A14,[10]HISTOOCT22!$A$7:$AU$38,29,0)</f>
        <v>0</v>
      </c>
      <c r="S14" s="21">
        <f t="shared" si="2"/>
        <v>0</v>
      </c>
    </row>
    <row r="15" spans="1:19" x14ac:dyDescent="0.25">
      <c r="A15" s="1" t="s">
        <v>17</v>
      </c>
      <c r="B15" s="7">
        <f>IF(D15=0,0,VLOOKUP($A15,[8]HISTOJANV22!$A$6:$AZ$36,9,0))</f>
        <v>1</v>
      </c>
      <c r="C15" s="1" t="str">
        <f>VLOOKUP(A15,[9]LISTADHERENT!A$5:H$60,3,0)</f>
        <v>KOUAMOU MOISE</v>
      </c>
      <c r="D15" s="7">
        <f t="shared" si="1"/>
        <v>23000</v>
      </c>
      <c r="E15" s="7">
        <f>D15+VLOOKUP($A15,[10]HISTOOCT22!$A$7:$AU$38,45,0)+F15</f>
        <v>30000</v>
      </c>
      <c r="F15" s="7">
        <f>VLOOKUP($A15,[10]HISTOOCT22!$A$7:$AU$38,7,0)</f>
        <v>0</v>
      </c>
      <c r="G15" s="7" t="str">
        <f>VLOOKUP($A15,[10]HISTOOCT22!$A$7:$AU$38,8,0)</f>
        <v>BANQUE</v>
      </c>
      <c r="H15" s="7">
        <f>VLOOKUP($A15,[10]HISTOOCT22!$A$7:$AU$38,35,0)</f>
        <v>0</v>
      </c>
      <c r="I15" s="7">
        <f>VLOOKUP($A15,[10]HISTOOCT22!$A$7:$AU$38,38,0)</f>
        <v>0</v>
      </c>
      <c r="J15" s="7">
        <f>IF(I15=0,0,VLOOKUP($A15,[10]HISTOOCT22!$A$7:$AU$38,42,0))</f>
        <v>0</v>
      </c>
      <c r="K15" s="7">
        <f>VLOOKUP($A15,[10]HISTOOCT22!$A$7:$AU$38,41,0)</f>
        <v>0</v>
      </c>
      <c r="L15" s="7">
        <f>+TONTSEPT22!H15+TONTSEPT22!I15</f>
        <v>0</v>
      </c>
      <c r="M15" s="7">
        <f>VLOOKUP($A15,[10]HISTOOCT22!$A$7:$AU$38,16,0)</f>
        <v>0</v>
      </c>
      <c r="N15" s="7" t="str">
        <f>IF(M15&lt;&gt;0,VLOOKUP($A15,[10]HISTOOCT22!$A$7:$AU$38,8,0),"ECHEC")</f>
        <v>ECHEC</v>
      </c>
      <c r="O15" s="7" t="str">
        <f>IF(R15=0,0,VLOOKUP($A15,[10]HISTOOCT22!$A$7:$AU$38,32,0))</f>
        <v>BANQUE</v>
      </c>
      <c r="P15" s="7">
        <f>VLOOKUP($A15,[10]HISTOOCT22!$A$7:$AU$38,33,0)</f>
        <v>0</v>
      </c>
      <c r="Q15" s="7">
        <f t="shared" si="0"/>
        <v>277000</v>
      </c>
      <c r="R15" s="7">
        <f>VLOOKUP($A15,[10]HISTOOCT22!$A$7:$AU$38,29,0)</f>
        <v>23000</v>
      </c>
      <c r="S15" s="21">
        <f t="shared" si="2"/>
        <v>0</v>
      </c>
    </row>
    <row r="16" spans="1:19" x14ac:dyDescent="0.25">
      <c r="A16" s="1" t="s">
        <v>18</v>
      </c>
      <c r="B16" s="7">
        <f>IF(D16=0,0,VLOOKUP($A16,[8]HISTOJANV22!$A$6:$AZ$36,9,0))</f>
        <v>1</v>
      </c>
      <c r="C16" s="1" t="str">
        <f>VLOOKUP(A16,[9]LISTADHERENT!A$5:H$60,3,0)</f>
        <v>KOUATCHO MESSACK</v>
      </c>
      <c r="D16" s="7">
        <f t="shared" si="1"/>
        <v>23000</v>
      </c>
      <c r="E16" s="7">
        <f>D16+VLOOKUP($A16,[10]HISTOOCT22!$A$7:$AU$38,45,0)+F16</f>
        <v>30000</v>
      </c>
      <c r="F16" s="7">
        <f>VLOOKUP($A16,[10]HISTOOCT22!$A$7:$AU$38,7,0)</f>
        <v>0</v>
      </c>
      <c r="G16" s="7" t="str">
        <f>VLOOKUP($A16,[10]HISTOOCT22!$A$7:$AU$38,8,0)</f>
        <v>BANQUE</v>
      </c>
      <c r="H16" s="7">
        <f>VLOOKUP($A16,[10]HISTOOCT22!$A$7:$AU$38,35,0)</f>
        <v>0</v>
      </c>
      <c r="I16" s="7">
        <f>VLOOKUP($A16,[10]HISTOOCT22!$A$7:$AU$38,38,0)</f>
        <v>0</v>
      </c>
      <c r="J16" s="7">
        <f>IF(I16=0,0,VLOOKUP($A16,[10]HISTOOCT22!$A$7:$AU$38,42,0))</f>
        <v>0</v>
      </c>
      <c r="K16" s="7">
        <f>VLOOKUP($A16,[10]HISTOOCT22!$A$7:$AU$38,41,0)</f>
        <v>0</v>
      </c>
      <c r="L16" s="7">
        <f>+TONTSEPT22!H16+TONTSEPT22!I16</f>
        <v>0</v>
      </c>
      <c r="M16" s="7">
        <f>VLOOKUP($A16,[10]HISTOOCT22!$A$7:$AU$38,16,0)</f>
        <v>0</v>
      </c>
      <c r="N16" s="7" t="str">
        <f>IF(M16&lt;&gt;0,VLOOKUP($A16,[10]HISTOOCT22!$A$7:$AU$38,8,0),"ECHEC")</f>
        <v>ECHEC</v>
      </c>
      <c r="O16" s="7">
        <f>IF(R16=0,0,VLOOKUP($A16,[10]HISTOOCT22!$A$7:$AU$38,32,0))</f>
        <v>0</v>
      </c>
      <c r="P16" s="7">
        <f>VLOOKUP($A16,[10]HISTOOCT22!$A$7:$AU$38,33,0)</f>
        <v>0</v>
      </c>
      <c r="Q16" s="7">
        <f t="shared" si="0"/>
        <v>0</v>
      </c>
      <c r="R16" s="7">
        <f>VLOOKUP($A16,[10]HISTOOCT22!$A$7:$AU$38,29,0)</f>
        <v>0</v>
      </c>
      <c r="S16" s="21">
        <f t="shared" si="2"/>
        <v>0</v>
      </c>
    </row>
    <row r="17" spans="1:19" x14ac:dyDescent="0.25">
      <c r="A17" s="1" t="s">
        <v>19</v>
      </c>
      <c r="B17" s="7">
        <f>IF(D17=0,0,VLOOKUP($A17,[8]HISTOJANV22!$A$6:$AZ$36,9,0))</f>
        <v>1</v>
      </c>
      <c r="C17" s="1" t="str">
        <f>VLOOKUP(A17,[9]LISTADHERENT!A$5:H$60,3,0)</f>
        <v>LOWE JEAN</v>
      </c>
      <c r="D17" s="7">
        <f t="shared" si="1"/>
        <v>23000</v>
      </c>
      <c r="E17" s="7">
        <f>D17+VLOOKUP($A17,[10]HISTOOCT22!$A$7:$AU$38,45,0)+F17</f>
        <v>30000</v>
      </c>
      <c r="F17" s="7">
        <f>VLOOKUP($A17,[10]HISTOOCT22!$A$7:$AU$38,7,0)</f>
        <v>0</v>
      </c>
      <c r="G17" s="7" t="str">
        <f>VLOOKUP($A17,[10]HISTOOCT22!$A$7:$AU$38,8,0)</f>
        <v>BANQUE</v>
      </c>
      <c r="H17" s="7">
        <f>VLOOKUP($A17,[10]HISTOOCT22!$A$7:$AU$38,35,0)</f>
        <v>0</v>
      </c>
      <c r="I17" s="7">
        <f>VLOOKUP($A17,[10]HISTOOCT22!$A$7:$AU$38,38,0)</f>
        <v>0</v>
      </c>
      <c r="J17" s="7">
        <f>IF(I17=0,0,VLOOKUP($A17,[10]HISTOOCT22!$A$7:$AU$38,42,0))</f>
        <v>0</v>
      </c>
      <c r="K17" s="7">
        <f>VLOOKUP($A17,[10]HISTOOCT22!$A$7:$AU$38,41,0)</f>
        <v>0</v>
      </c>
      <c r="L17" s="7">
        <f>+TONTSEPT22!H17+TONTSEPT22!I17</f>
        <v>0</v>
      </c>
      <c r="M17" s="7">
        <f>VLOOKUP($A17,[10]HISTOOCT22!$A$7:$AU$38,16,0)</f>
        <v>0</v>
      </c>
      <c r="N17" s="7" t="str">
        <f>IF(M17&lt;&gt;0,VLOOKUP($A17,[10]HISTOOCT22!$A$7:$AU$38,8,0),"ECHEC")</f>
        <v>ECHEC</v>
      </c>
      <c r="O17" s="7">
        <f>IF(R17=0,0,VLOOKUP($A17,[10]HISTOOCT22!$A$7:$AU$38,32,0))</f>
        <v>0</v>
      </c>
      <c r="P17" s="7">
        <f>VLOOKUP($A17,[10]HISTOOCT22!$A$7:$AU$38,33,0)</f>
        <v>0</v>
      </c>
      <c r="Q17" s="7">
        <f t="shared" si="0"/>
        <v>0</v>
      </c>
      <c r="R17" s="7">
        <f>VLOOKUP($A17,[10]HISTOOCT22!$A$7:$AU$38,29,0)</f>
        <v>0</v>
      </c>
      <c r="S17" s="21">
        <f t="shared" si="2"/>
        <v>0</v>
      </c>
    </row>
    <row r="18" spans="1:19" x14ac:dyDescent="0.25">
      <c r="A18" s="1" t="s">
        <v>49</v>
      </c>
      <c r="B18" s="7">
        <f>IF(D18=0,0,VLOOKUP($A18,[8]HISTOJANV22!$A$6:$AZ$36,9,0))</f>
        <v>1</v>
      </c>
      <c r="C18" s="1" t="str">
        <f>VLOOKUP(A18,[9]LISTADHERENT!A$5:H$60,3,0)</f>
        <v>MBOGNING TUGMA GUY</v>
      </c>
      <c r="D18" s="7">
        <f t="shared" si="1"/>
        <v>23000</v>
      </c>
      <c r="E18" s="7">
        <f>D18+VLOOKUP($A18,[10]HISTOOCT22!$A$7:$AU$38,45,0)+F18</f>
        <v>30000</v>
      </c>
      <c r="F18" s="7">
        <f>VLOOKUP($A18,[10]HISTOOCT22!$A$7:$AU$38,7,0)</f>
        <v>0</v>
      </c>
      <c r="G18" s="7" t="str">
        <f>VLOOKUP($A18,[10]HISTOOCT22!$A$7:$AU$38,8,0)</f>
        <v>BANQUE</v>
      </c>
      <c r="H18" s="7">
        <f>VLOOKUP($A18,[10]HISTOOCT22!$A$7:$AU$38,35,0)</f>
        <v>0</v>
      </c>
      <c r="I18" s="7">
        <f>VLOOKUP($A18,[10]HISTOOCT22!$A$7:$AU$38,38,0)</f>
        <v>0</v>
      </c>
      <c r="J18" s="7">
        <f>IF(I18=0,0,VLOOKUP($A18,[10]HISTOOCT22!$A$7:$AU$38,42,0))</f>
        <v>0</v>
      </c>
      <c r="K18" s="7">
        <f>VLOOKUP($A18,[10]HISTOOCT22!$A$7:$AU$38,41,0)</f>
        <v>0</v>
      </c>
      <c r="L18" s="7">
        <f>+TONTSEPT22!H18+TONTSEPT22!I18</f>
        <v>0</v>
      </c>
      <c r="M18" s="7">
        <f>VLOOKUP($A18,[10]HISTOOCT22!$A$7:$AU$38,16,0)</f>
        <v>0</v>
      </c>
      <c r="N18" s="7" t="str">
        <f>IF(M18&lt;&gt;0,VLOOKUP($A18,[10]HISTOOCT22!$A$7:$AU$38,8,0),"ECHEC")</f>
        <v>ECHEC</v>
      </c>
      <c r="O18" s="7">
        <f>IF(R18=0,0,VLOOKUP($A18,[10]HISTOOCT22!$A$7:$AU$38,32,0))</f>
        <v>0</v>
      </c>
      <c r="P18" s="7">
        <f>VLOOKUP($A18,[10]HISTOOCT22!$A$7:$AU$38,33,0)</f>
        <v>0</v>
      </c>
      <c r="Q18" s="7">
        <f t="shared" si="0"/>
        <v>0</v>
      </c>
      <c r="R18" s="7">
        <f>VLOOKUP($A18,[10]HISTOOCT22!$A$7:$AU$38,29,0)</f>
        <v>0</v>
      </c>
      <c r="S18" s="21">
        <f t="shared" si="2"/>
        <v>0</v>
      </c>
    </row>
    <row r="19" spans="1:19" x14ac:dyDescent="0.25">
      <c r="A19" s="1" t="s">
        <v>30</v>
      </c>
      <c r="B19" s="7">
        <f>IF(D19=0,0,VLOOKUP($A19,[8]HISTOJANV22!$A$6:$AZ$36,9,0))</f>
        <v>1</v>
      </c>
      <c r="C19" s="1" t="str">
        <f>VLOOKUP(A19,[9]LISTADHERENT!A$5:H$60,3,0)</f>
        <v>NANGUEN MARTIN</v>
      </c>
      <c r="D19" s="7">
        <f t="shared" si="1"/>
        <v>23000</v>
      </c>
      <c r="E19" s="7">
        <f>D19+VLOOKUP($A19,[10]HISTOOCT22!$A$7:$AU$38,45,0)+F19</f>
        <v>30000</v>
      </c>
      <c r="F19" s="7">
        <f>VLOOKUP($A19,[10]HISTOOCT22!$A$7:$AU$38,7,0)</f>
        <v>0</v>
      </c>
      <c r="G19" s="7" t="str">
        <f>VLOOKUP($A19,[10]HISTOOCT22!$A$7:$AU$38,8,0)</f>
        <v>BANQUE</v>
      </c>
      <c r="H19" s="7">
        <f>VLOOKUP($A19,[10]HISTOOCT22!$A$7:$AU$38,35,0)</f>
        <v>0</v>
      </c>
      <c r="I19" s="7">
        <f>VLOOKUP($A19,[10]HISTOOCT22!$A$7:$AU$38,38,0)</f>
        <v>0</v>
      </c>
      <c r="J19" s="7">
        <f>IF(I19=0,0,VLOOKUP($A19,[10]HISTOOCT22!$A$7:$AU$38,42,0))</f>
        <v>0</v>
      </c>
      <c r="K19" s="7">
        <f>VLOOKUP($A19,[10]HISTOOCT22!$A$7:$AU$38,41,0)</f>
        <v>0</v>
      </c>
      <c r="L19" s="7">
        <f>+TONTSEPT22!H19+TONTSEPT22!I19</f>
        <v>0</v>
      </c>
      <c r="M19" s="7">
        <f>VLOOKUP($A19,[10]HISTOOCT22!$A$7:$AU$38,16,0)</f>
        <v>0</v>
      </c>
      <c r="N19" s="7" t="str">
        <f>IF(M19&lt;&gt;0,VLOOKUP($A19,[10]HISTOOCT22!$A$7:$AU$38,8,0),"ECHEC")</f>
        <v>ECHEC</v>
      </c>
      <c r="O19" s="7">
        <f>IF(R19=0,0,VLOOKUP($A19,[10]HISTOOCT22!$A$7:$AU$38,32,0))</f>
        <v>0</v>
      </c>
      <c r="P19" s="7">
        <f>VLOOKUP($A19,[10]HISTOOCT22!$A$7:$AU$38,33,0)</f>
        <v>0</v>
      </c>
      <c r="Q19" s="7">
        <f t="shared" si="0"/>
        <v>0</v>
      </c>
      <c r="R19" s="7">
        <f>VLOOKUP($A19,[10]HISTOOCT22!$A$7:$AU$38,29,0)</f>
        <v>0</v>
      </c>
      <c r="S19" s="21">
        <f t="shared" si="2"/>
        <v>0</v>
      </c>
    </row>
    <row r="20" spans="1:19" x14ac:dyDescent="0.25">
      <c r="A20" s="1" t="s">
        <v>20</v>
      </c>
      <c r="B20" s="7">
        <f>IF(D20=0,0,VLOOKUP($A20,[8]HISTOJANV22!$A$6:$AZ$36,9,0))</f>
        <v>1</v>
      </c>
      <c r="C20" s="1" t="str">
        <f>VLOOKUP(A20,[9]LISTADHERENT!A$5:H$60,3,0)</f>
        <v>NANKAM APPOLINAIRE</v>
      </c>
      <c r="D20" s="7">
        <f t="shared" si="1"/>
        <v>23000</v>
      </c>
      <c r="E20" s="7">
        <f>D20+VLOOKUP($A20,[10]HISTOOCT22!$A$7:$AU$38,45,0)+F20</f>
        <v>30000</v>
      </c>
      <c r="F20" s="7">
        <f>VLOOKUP($A21,[10]HISTOOCT22!$A$7:$AU$38,7,0)</f>
        <v>0</v>
      </c>
      <c r="G20" s="7" t="str">
        <f>VLOOKUP($A21,[10]HISTOOCT22!$A$7:$AU$38,8,0)</f>
        <v>BANQUE</v>
      </c>
      <c r="H20" s="7">
        <f>VLOOKUP($A21,[10]HISTOOCT22!$A$7:$AU$38,35,0)</f>
        <v>0</v>
      </c>
      <c r="I20" s="7">
        <f>VLOOKUP($A21,[10]HISTOOCT22!$A$7:$AU$38,38,0)</f>
        <v>0</v>
      </c>
      <c r="J20" s="7">
        <f>IF(I21=0,0,VLOOKUP($A21,[10]HISTOOCT22!$A$7:$AU$38,42,0))</f>
        <v>0</v>
      </c>
      <c r="K20" s="7">
        <f>VLOOKUP($A21,[10]HISTOOCT22!$A$7:$AU$38,41,0)</f>
        <v>0</v>
      </c>
      <c r="L20" s="7">
        <f>+TONTSEPT22!H20+TONTSEPT22!I20</f>
        <v>0</v>
      </c>
      <c r="M20" s="7">
        <f>VLOOKUP($A21,[10]HISTOOCT22!$A$7:$AU$38,16,0)</f>
        <v>0</v>
      </c>
      <c r="N20" s="7" t="str">
        <f>IF(M21&lt;&gt;0,VLOOKUP($A21,[10]HISTOOCT22!$A$7:$AU$38,8,0),"ECHEC")</f>
        <v>ECHEC</v>
      </c>
      <c r="O20" s="7">
        <f>IF(R21=0,0,VLOOKUP($A21,[10]HISTOOCT22!$A$7:$AU$38,32,0))</f>
        <v>0</v>
      </c>
      <c r="P20" s="7">
        <f>VLOOKUP($A21,[10]HISTOOCT22!$A$7:$AU$38,33,0)</f>
        <v>0</v>
      </c>
      <c r="Q20" s="7">
        <f>IF(R21=0,0,($C$3-R21))</f>
        <v>0</v>
      </c>
      <c r="R20" s="7">
        <f>VLOOKUP($A21,[10]HISTOOCT22!$A$7:$AU$38,29,0)</f>
        <v>0</v>
      </c>
      <c r="S20" s="21">
        <f t="shared" si="2"/>
        <v>0</v>
      </c>
    </row>
    <row r="21" spans="1:19" x14ac:dyDescent="0.25">
      <c r="A21" s="1" t="s">
        <v>21</v>
      </c>
      <c r="B21" s="7">
        <f>IF(D21=0,0,VLOOKUP($A21,[8]HISTOJANV22!$A$6:$AZ$36,9,0))</f>
        <v>1</v>
      </c>
      <c r="C21" s="1" t="str">
        <f>VLOOKUP(A21,[9]LISTADHERENT!A$5:H$60,3,0)</f>
        <v>NDJOMO ETIENNE</v>
      </c>
      <c r="D21" s="7">
        <f t="shared" si="1"/>
        <v>23000</v>
      </c>
      <c r="E21" s="7">
        <f>D21+VLOOKUP($A21,[10]HISTOOCT22!$A$7:$AU$38,45,0)+F21</f>
        <v>50000</v>
      </c>
      <c r="F21" s="7">
        <f>VLOOKUP($A21,[10]HISTOOCT22!$A$7:$AU$38,7,0)</f>
        <v>0</v>
      </c>
      <c r="G21" s="7" t="str">
        <f>VLOOKUP($A21,[10]HISTOOCT22!$A$7:$AU$38,8,0)</f>
        <v>BANQUE</v>
      </c>
      <c r="H21" s="7">
        <f>VLOOKUP($A21,[10]HISTOOCT22!$A$7:$AU$38,35,0)</f>
        <v>0</v>
      </c>
      <c r="I21" s="7">
        <f>VLOOKUP($A21,[10]HISTOOCT22!$A$7:$AU$38,38,0)</f>
        <v>0</v>
      </c>
      <c r="J21" s="7">
        <f>IF(I21=0,0,VLOOKUP($A21,[10]HISTOOCT22!$A$7:$AU$38,42,0))</f>
        <v>0</v>
      </c>
      <c r="K21" s="7">
        <f>VLOOKUP($A21,[10]HISTOOCT22!$A$7:$AU$38,41,0)</f>
        <v>0</v>
      </c>
      <c r="L21" s="7">
        <f>+TONTSEPT22!H21+TONTSEPT22!I21</f>
        <v>0</v>
      </c>
      <c r="M21" s="7">
        <f>VLOOKUP($A21,[10]HISTOOCT22!$A$7:$AU$38,16,0)</f>
        <v>0</v>
      </c>
      <c r="N21" s="7" t="str">
        <f>IF(M21&lt;&gt;0,VLOOKUP($A21,[10]HISTOOCT22!$A$7:$AU$38,8,0),"ECHEC")</f>
        <v>ECHEC</v>
      </c>
      <c r="O21" s="7">
        <f>IF(R21=0,0,VLOOKUP($A21,[10]HISTOOCT22!$A$7:$AU$38,32,0))</f>
        <v>0</v>
      </c>
      <c r="P21" s="7">
        <f>VLOOKUP($A21,[10]HISTOOCT22!$A$7:$AU$38,33,0)</f>
        <v>0</v>
      </c>
      <c r="Q21" s="7">
        <f t="shared" si="0"/>
        <v>0</v>
      </c>
      <c r="R21" s="7">
        <f>VLOOKUP($A21,[10]HISTOOCT22!$A$7:$AU$38,29,0)</f>
        <v>0</v>
      </c>
      <c r="S21" s="21">
        <f t="shared" si="2"/>
        <v>0</v>
      </c>
    </row>
    <row r="22" spans="1:19" x14ac:dyDescent="0.25">
      <c r="A22" s="1" t="s">
        <v>22</v>
      </c>
      <c r="B22" s="7">
        <f>IF(D22=0,0,VLOOKUP($A22,[8]HISTOJANV22!$A$6:$AZ$36,9,0))</f>
        <v>1</v>
      </c>
      <c r="C22" s="1" t="str">
        <f>VLOOKUP(A22,[9]LISTADHERENT!A$5:H$60,3,0)</f>
        <v>NGONDIEP CLAUDE</v>
      </c>
      <c r="D22" s="7">
        <f t="shared" si="1"/>
        <v>23000</v>
      </c>
      <c r="E22" s="7">
        <f>D22+VLOOKUP($A22,[10]HISTOOCT22!$A$7:$AU$38,45,0)+F22</f>
        <v>30000</v>
      </c>
      <c r="F22" s="7">
        <f>VLOOKUP($A22,[10]HISTOOCT22!$A$7:$AU$38,7,0)</f>
        <v>0</v>
      </c>
      <c r="G22" s="7" t="str">
        <f>VLOOKUP($A22,[10]HISTOOCT22!$A$7:$AU$38,8,0)</f>
        <v>BANQUE</v>
      </c>
      <c r="H22" s="7">
        <f>VLOOKUP($A22,[10]HISTOOCT22!$A$7:$AU$38,35,0)</f>
        <v>0</v>
      </c>
      <c r="I22" s="7">
        <f>VLOOKUP($A22,[10]HISTOOCT22!$A$7:$AU$38,38,0)</f>
        <v>0</v>
      </c>
      <c r="J22" s="7">
        <f>IF(I22=0,0,VLOOKUP($A22,[10]HISTOOCT22!$A$7:$AU$38,42,0))</f>
        <v>0</v>
      </c>
      <c r="K22" s="7">
        <f>VLOOKUP($A22,[10]HISTOOCT22!$A$7:$AU$38,41,0)</f>
        <v>0</v>
      </c>
      <c r="L22" s="7">
        <f>+TONTSEPT22!H22+TONTSEPT22!I22</f>
        <v>0</v>
      </c>
      <c r="M22" s="7">
        <f>VLOOKUP($A22,[10]HISTOOCT22!$A$7:$AU$38,16,0)</f>
        <v>0</v>
      </c>
      <c r="N22" s="7" t="str">
        <f>IF(M22&lt;&gt;0,VLOOKUP($A22,[10]HISTOOCT22!$A$7:$AU$38,8,0),"ECHEC")</f>
        <v>ECHEC</v>
      </c>
      <c r="O22" s="7">
        <f>IF(R22=0,0,VLOOKUP($A22,[10]HISTOOCT22!$A$7:$AU$38,32,0))</f>
        <v>0</v>
      </c>
      <c r="P22" s="7">
        <f>VLOOKUP($A22,[10]HISTOOCT22!$A$7:$AU$38,33,0)</f>
        <v>0</v>
      </c>
      <c r="Q22" s="7">
        <f t="shared" si="0"/>
        <v>0</v>
      </c>
      <c r="R22" s="7">
        <f>VLOOKUP($A22,[10]HISTOOCT22!$A$7:$AU$38,29,0)</f>
        <v>0</v>
      </c>
      <c r="S22" s="21">
        <f t="shared" si="2"/>
        <v>0</v>
      </c>
    </row>
    <row r="23" spans="1:19" x14ac:dyDescent="0.25">
      <c r="A23" s="1" t="s">
        <v>23</v>
      </c>
      <c r="B23" s="7">
        <f>IF(D23=0,0,VLOOKUP($A23,[8]HISTOJANV22!$A$6:$AZ$36,9,0))</f>
        <v>1</v>
      </c>
      <c r="C23" s="1" t="str">
        <f>VLOOKUP(A23,[9]LISTADHERENT!A$5:H$60,3,0)</f>
        <v>NGUIEMEGNI MATHIEU BLAISE</v>
      </c>
      <c r="D23" s="7">
        <f t="shared" si="1"/>
        <v>23000</v>
      </c>
      <c r="E23" s="7">
        <f>D23+VLOOKUP($A23,[10]HISTOOCT22!$A$7:$AU$38,45,0)+F23</f>
        <v>66000</v>
      </c>
      <c r="F23" s="7">
        <f>VLOOKUP($A23,[10]HISTOOCT22!$A$7:$AU$38,7,0)</f>
        <v>0</v>
      </c>
      <c r="G23" s="7" t="str">
        <f>VLOOKUP($A23,[10]HISTOOCT22!$A$7:$AU$38,8,0)</f>
        <v>BANQUE</v>
      </c>
      <c r="H23" s="7">
        <f>VLOOKUP($A23,[10]HISTOOCT22!$A$7:$AU$38,35,0)</f>
        <v>0</v>
      </c>
      <c r="I23" s="7">
        <f>VLOOKUP($A23,[10]HISTOOCT22!$A$7:$AU$38,38,0)</f>
        <v>0</v>
      </c>
      <c r="J23" s="7">
        <f>IF(I23=0,0,VLOOKUP($A23,[10]HISTOOCT22!$A$7:$AU$38,42,0))</f>
        <v>0</v>
      </c>
      <c r="K23" s="7">
        <f>VLOOKUP($A23,[10]HISTOOCT22!$A$7:$AU$38,41,0)</f>
        <v>0</v>
      </c>
      <c r="L23" s="7">
        <f>+TONTSEPT22!H23+TONTSEPT22!I23</f>
        <v>0</v>
      </c>
      <c r="M23" s="7">
        <f>VLOOKUP($A23,[10]HISTOOCT22!$A$7:$AU$38,16,0)</f>
        <v>0</v>
      </c>
      <c r="N23" s="7" t="str">
        <f>IF(M23&lt;&gt;0,VLOOKUP($A23,[10]HISTOOCT22!$A$7:$AU$38,8,0),"ECHEC")</f>
        <v>ECHEC</v>
      </c>
      <c r="O23" s="7">
        <f>IF(R23=0,0,VLOOKUP($A23,[10]HISTOOCT22!$A$7:$AU$38,32,0))</f>
        <v>0</v>
      </c>
      <c r="P23" s="7">
        <f>VLOOKUP($A23,[10]HISTOOCT22!$A$7:$AU$38,33,0)</f>
        <v>0</v>
      </c>
      <c r="Q23" s="7">
        <f t="shared" si="0"/>
        <v>0</v>
      </c>
      <c r="R23" s="7">
        <f>VLOOKUP($A23,[10]HISTOOCT22!$A$7:$AU$38,29,0)</f>
        <v>0</v>
      </c>
      <c r="S23" s="21">
        <f t="shared" si="2"/>
        <v>0</v>
      </c>
    </row>
    <row r="24" spans="1:19" x14ac:dyDescent="0.25">
      <c r="A24" s="1" t="s">
        <v>24</v>
      </c>
      <c r="B24" s="7">
        <f>IF(D24=0,0,VLOOKUP($A24,[8]HISTOJANV22!$A$6:$AZ$36,9,0))</f>
        <v>1</v>
      </c>
      <c r="C24" s="1" t="str">
        <f>VLOOKUP(A24,[9]LISTADHERENT!A$5:H$60,3,0)</f>
        <v>NKAMGANG JUSTIN DEJOLIE</v>
      </c>
      <c r="D24" s="7">
        <f t="shared" si="1"/>
        <v>23000</v>
      </c>
      <c r="E24" s="7">
        <f>D24+VLOOKUP($A24,[10]HISTOOCT22!$A$7:$AU$38,45,0)+F24</f>
        <v>30000</v>
      </c>
      <c r="F24" s="7">
        <f>VLOOKUP($A24,[10]HISTOOCT22!$A$7:$AU$38,7,0)</f>
        <v>0</v>
      </c>
      <c r="G24" s="7" t="str">
        <f>VLOOKUP($A24,[10]HISTOOCT22!$A$7:$AU$38,8,0)</f>
        <v>BANQUE</v>
      </c>
      <c r="H24" s="7">
        <f>VLOOKUP($A24,[10]HISTOOCT22!$A$7:$AU$38,35,0)</f>
        <v>0</v>
      </c>
      <c r="I24" s="7">
        <f>VLOOKUP($A24,[10]HISTOOCT22!$A$7:$AU$38,38,0)</f>
        <v>0</v>
      </c>
      <c r="J24" s="7">
        <f>IF(I24=0,0,VLOOKUP($A24,[10]HISTOOCT22!$A$7:$AU$38,42,0))</f>
        <v>0</v>
      </c>
      <c r="K24" s="7">
        <f>VLOOKUP($A24,[10]HISTOOCT22!$A$7:$AU$38,41,0)</f>
        <v>0</v>
      </c>
      <c r="L24" s="7">
        <f>+TONTSEPT22!H24+TONTSEPT22!I24</f>
        <v>0</v>
      </c>
      <c r="M24" s="7">
        <f>VLOOKUP($A24,[10]HISTOOCT22!$A$7:$AU$38,16,0)</f>
        <v>0</v>
      </c>
      <c r="N24" s="7" t="str">
        <f>IF(M24&lt;&gt;0,VLOOKUP($A24,[10]HISTOOCT22!$A$7:$AU$38,8,0),"ECHEC")</f>
        <v>ECHEC</v>
      </c>
      <c r="O24" s="7">
        <f>IF(R24=0,0,VLOOKUP($A24,[10]HISTOOCT22!$A$7:$AU$38,32,0))</f>
        <v>0</v>
      </c>
      <c r="P24" s="7">
        <f>VLOOKUP($A24,[10]HISTOOCT22!$A$7:$AU$38,33,0)</f>
        <v>0</v>
      </c>
      <c r="Q24" s="7">
        <f t="shared" si="0"/>
        <v>0</v>
      </c>
      <c r="R24" s="7">
        <f>VLOOKUP($A24,[10]HISTOOCT22!$A$7:$AU$38,29,0)</f>
        <v>0</v>
      </c>
      <c r="S24" s="21">
        <f t="shared" si="2"/>
        <v>0</v>
      </c>
    </row>
    <row r="25" spans="1:19" x14ac:dyDescent="0.25">
      <c r="A25" s="1" t="s">
        <v>25</v>
      </c>
      <c r="B25" s="7">
        <f>IF(D25=0,0,VLOOKUP($A25,[8]HISTOJANV22!$A$6:$AZ$36,9,0))</f>
        <v>1</v>
      </c>
      <c r="C25" s="1" t="str">
        <f>VLOOKUP(A25,[9]LISTADHERENT!A$5:H$60,3,0)</f>
        <v>NKEPSEU DIEUDONNE</v>
      </c>
      <c r="D25" s="7">
        <f t="shared" si="1"/>
        <v>23000</v>
      </c>
      <c r="E25" s="7">
        <f>D25+VLOOKUP($A25,[10]HISTOOCT22!$A$7:$AU$38,45,0)+F25</f>
        <v>30000</v>
      </c>
      <c r="F25" s="7">
        <f>VLOOKUP($A25,[10]HISTOOCT22!$A$7:$AU$38,7,0)</f>
        <v>0</v>
      </c>
      <c r="G25" s="7" t="str">
        <f>VLOOKUP($A25,[10]HISTOOCT22!$A$7:$AU$38,8,0)</f>
        <v>BANQUE</v>
      </c>
      <c r="H25" s="7">
        <f>VLOOKUP($A25,[10]HISTOOCT22!$A$7:$AU$38,35,0)</f>
        <v>0</v>
      </c>
      <c r="I25" s="7">
        <f>VLOOKUP($A25,[10]HISTOOCT22!$A$7:$AU$38,38,0)</f>
        <v>0</v>
      </c>
      <c r="J25" s="7">
        <f>IF(I25=0,0,VLOOKUP($A25,[10]HISTOOCT22!$A$7:$AU$38,42,0))</f>
        <v>0</v>
      </c>
      <c r="K25" s="7">
        <f>VLOOKUP($A25,[10]HISTOOCT22!$A$7:$AU$38,41,0)</f>
        <v>0</v>
      </c>
      <c r="L25" s="7">
        <f>+TONTSEPT22!H25+TONTSEPT22!I25</f>
        <v>0</v>
      </c>
      <c r="M25" s="7">
        <f>VLOOKUP($A25,[10]HISTOOCT22!$A$7:$AU$38,16,0)</f>
        <v>0</v>
      </c>
      <c r="N25" s="7" t="str">
        <f>IF(M25&lt;&gt;0,VLOOKUP($A25,[10]HISTOOCT22!$A$7:$AU$38,8,0),"ECHEC")</f>
        <v>ECHEC</v>
      </c>
      <c r="O25" s="7">
        <f>IF(R25=0,0,VLOOKUP($A25,[10]HISTOOCT22!$A$7:$AU$38,32,0))</f>
        <v>0</v>
      </c>
      <c r="P25" s="7">
        <f>VLOOKUP($A25,[10]HISTOOCT22!$A$7:$AU$38,33,0)</f>
        <v>0</v>
      </c>
      <c r="Q25" s="7">
        <f t="shared" si="0"/>
        <v>0</v>
      </c>
      <c r="R25" s="7">
        <f>VLOOKUP($A25,[10]HISTOOCT22!$A$7:$AU$38,29,0)</f>
        <v>0</v>
      </c>
      <c r="S25" s="21">
        <f t="shared" si="2"/>
        <v>0</v>
      </c>
    </row>
    <row r="26" spans="1:19" x14ac:dyDescent="0.25">
      <c r="A26" s="1" t="s">
        <v>26</v>
      </c>
      <c r="B26" s="7">
        <f>IF(D26=0,0,VLOOKUP($A26,[8]HISTOJANV22!$A$6:$AZ$36,9,0))</f>
        <v>1</v>
      </c>
      <c r="C26" s="1" t="str">
        <f>VLOOKUP(A26,[9]LISTADHERENT!A$5:H$60,3,0)</f>
        <v>PATEGO NJOSSU GUSTAVE</v>
      </c>
      <c r="D26" s="7">
        <f t="shared" si="1"/>
        <v>23000</v>
      </c>
      <c r="E26" s="7">
        <f>D26+VLOOKUP($A26,[10]HISTOOCT22!$A$7:$AU$38,45,0)+F26</f>
        <v>30000</v>
      </c>
      <c r="F26" s="7">
        <f>VLOOKUP($A26,[10]HISTOOCT22!$A$7:$AU$38,7,0)</f>
        <v>0</v>
      </c>
      <c r="G26" s="7" t="str">
        <f>VLOOKUP($A26,[10]HISTOOCT22!$A$7:$AU$38,8,0)</f>
        <v>BANQUE</v>
      </c>
      <c r="H26" s="7">
        <f>VLOOKUP($A26,[10]HISTOOCT22!$A$7:$AU$38,35,0)</f>
        <v>0</v>
      </c>
      <c r="I26" s="7">
        <f>VLOOKUP($A26,[10]HISTOOCT22!$A$7:$AU$38,38,0)</f>
        <v>0</v>
      </c>
      <c r="J26" s="7">
        <f>IF(I26=0,0,VLOOKUP($A26,[10]HISTOOCT22!$A$7:$AU$38,42,0))</f>
        <v>0</v>
      </c>
      <c r="K26" s="7">
        <f>VLOOKUP($A26,[10]HISTOOCT22!$A$7:$AU$38,41,0)</f>
        <v>0</v>
      </c>
      <c r="L26" s="7">
        <f>+TONTSEPT22!H26+TONTSEPT22!I26</f>
        <v>0</v>
      </c>
      <c r="M26" s="7">
        <f>VLOOKUP($A26,[10]HISTOOCT22!$A$7:$AU$38,16,0)</f>
        <v>0</v>
      </c>
      <c r="N26" s="7" t="str">
        <f>IF(M26&lt;&gt;0,VLOOKUP($A26,[10]HISTOOCT22!$A$7:$AU$38,8,0),"ECHEC")</f>
        <v>ECHEC</v>
      </c>
      <c r="O26" s="7" t="str">
        <f>IF(R26=0,0,VLOOKUP($A26,[10]HISTOOCT22!$A$7:$AU$38,32,0))</f>
        <v>BANQUE</v>
      </c>
      <c r="P26" s="7">
        <f>VLOOKUP($A26,[10]HISTOOCT22!$A$7:$AU$38,33,0)</f>
        <v>0</v>
      </c>
      <c r="Q26" s="7">
        <f t="shared" si="0"/>
        <v>277000</v>
      </c>
      <c r="R26" s="7">
        <f>VLOOKUP($A26,[10]HISTOOCT22!$A$7:$AU$38,29,0)</f>
        <v>23000</v>
      </c>
      <c r="S26" s="21">
        <f t="shared" si="2"/>
        <v>0</v>
      </c>
    </row>
    <row r="27" spans="1:19" x14ac:dyDescent="0.25">
      <c r="A27" s="1" t="s">
        <v>51</v>
      </c>
      <c r="B27" s="7">
        <f>IF(D27=0,0,VLOOKUP($A27,[8]HISTOJANV22!$A$6:$AZ$36,9,0))</f>
        <v>1</v>
      </c>
      <c r="C27" s="1" t="str">
        <f>VLOOKUP(A27,[9]LISTADHERENT!A$5:H$60,3,0)</f>
        <v>SIME BRICE</v>
      </c>
      <c r="D27" s="7">
        <f t="shared" si="1"/>
        <v>23000</v>
      </c>
      <c r="E27" s="7">
        <f>D27+VLOOKUP($A27,[10]HISTOOCT22!$A$7:$AU$38,45,0)+F27</f>
        <v>30000</v>
      </c>
      <c r="F27" s="7">
        <f>VLOOKUP($A27,[10]HISTOOCT22!$A$7:$AU$38,7,0)</f>
        <v>0</v>
      </c>
      <c r="G27" s="7" t="str">
        <f>VLOOKUP($A27,[10]HISTOOCT22!$A$7:$AU$38,8,0)</f>
        <v>BANQUE</v>
      </c>
      <c r="H27" s="7">
        <f>VLOOKUP($A27,[10]HISTOOCT22!$A$7:$AU$38,35,0)</f>
        <v>0</v>
      </c>
      <c r="I27" s="7">
        <f>VLOOKUP($A27,[10]HISTOOCT22!$A$7:$AU$38,38,0)</f>
        <v>0</v>
      </c>
      <c r="J27" s="7">
        <f>IF(I27=0,0,VLOOKUP($A27,[10]HISTOOCT22!$A$7:$AU$38,42,0))</f>
        <v>0</v>
      </c>
      <c r="K27" s="7">
        <f>VLOOKUP($A27,[10]HISTOOCT22!$A$7:$AU$38,41,0)</f>
        <v>0</v>
      </c>
      <c r="L27" s="7">
        <f>+TONTSEPT22!H27+TONTSEPT22!I27</f>
        <v>0</v>
      </c>
      <c r="M27" s="7">
        <f>VLOOKUP($A27,[10]HISTOOCT22!$A$7:$AU$38,16,0)</f>
        <v>0</v>
      </c>
      <c r="N27" s="7" t="str">
        <f>IF(M27&lt;&gt;0,VLOOKUP($A27,[10]HISTOOCT22!$A$7:$AU$38,8,0),"ECHEC")</f>
        <v>ECHEC</v>
      </c>
      <c r="O27" s="7">
        <f>IF(R27=0,0,VLOOKUP($A27,[10]HISTOOCT22!$A$7:$AU$38,32,0))</f>
        <v>0</v>
      </c>
      <c r="P27" s="7">
        <f>VLOOKUP($A27,[10]HISTOOCT22!$A$7:$AU$38,33,0)</f>
        <v>0</v>
      </c>
      <c r="Q27" s="7">
        <f t="shared" si="0"/>
        <v>0</v>
      </c>
      <c r="R27" s="7">
        <f>VLOOKUP($A27,[10]HISTOOCT22!$A$7:$AU$38,29,0)</f>
        <v>0</v>
      </c>
      <c r="S27" s="21">
        <f t="shared" si="2"/>
        <v>0</v>
      </c>
    </row>
    <row r="28" spans="1:19" x14ac:dyDescent="0.25">
      <c r="A28" s="1" t="s">
        <v>29</v>
      </c>
      <c r="B28" s="7">
        <f>IF(D28=0,0,VLOOKUP($A28,[8]HISTOJANV22!$A$6:$AZ$36,9,0))</f>
        <v>1</v>
      </c>
      <c r="C28" s="1" t="str">
        <f>VLOOKUP(A28,[9]LISTADHERENT!A$5:H$60,3,0)</f>
        <v>SIMO PIERRE</v>
      </c>
      <c r="D28" s="7">
        <f t="shared" si="1"/>
        <v>23000</v>
      </c>
      <c r="E28" s="7">
        <f>D28+VLOOKUP($A28,[10]HISTOOCT22!$A$7:$AU$38,45,0)+F28</f>
        <v>45000</v>
      </c>
      <c r="F28" s="7">
        <f>VLOOKUP($A28,[10]HISTOOCT22!$A$7:$AU$38,7,0)</f>
        <v>0</v>
      </c>
      <c r="G28" s="7" t="str">
        <f>VLOOKUP($A28,[10]HISTOOCT22!$A$7:$AU$38,8,0)</f>
        <v>BANQUE</v>
      </c>
      <c r="H28" s="7">
        <f>VLOOKUP($A28,[10]HISTOOCT22!$A$7:$AU$38,35,0)</f>
        <v>0</v>
      </c>
      <c r="I28" s="7">
        <f>VLOOKUP($A28,[10]HISTOOCT22!$A$7:$AU$38,38,0)</f>
        <v>0</v>
      </c>
      <c r="J28" s="7">
        <f>IF(I28=0,0,VLOOKUP($A28,[10]HISTOOCT22!$A$7:$AU$38,42,0))</f>
        <v>0</v>
      </c>
      <c r="K28" s="7">
        <f>VLOOKUP($A28,[10]HISTOOCT22!$A$7:$AU$38,41,0)</f>
        <v>0</v>
      </c>
      <c r="L28" s="7">
        <f>+TONTSEPT22!H28+TONTSEPT22!I28</f>
        <v>0</v>
      </c>
      <c r="M28" s="7">
        <f>VLOOKUP($A28,[10]HISTOOCT22!$A$7:$AU$38,16,0)</f>
        <v>0</v>
      </c>
      <c r="N28" s="7" t="str">
        <f>IF(M28&lt;&gt;0,VLOOKUP($A28,[10]HISTOOCT22!$A$7:$AU$38,8,0),"ECHEC")</f>
        <v>ECHEC</v>
      </c>
      <c r="O28" s="7">
        <f>IF(R28=0,0,VLOOKUP($A28,[10]HISTOOCT22!$A$7:$AU$38,32,0))</f>
        <v>0</v>
      </c>
      <c r="P28" s="7">
        <f>VLOOKUP($A28,[10]HISTOOCT22!$A$7:$AU$38,33,0)</f>
        <v>0</v>
      </c>
      <c r="Q28" s="7">
        <f t="shared" si="0"/>
        <v>0</v>
      </c>
      <c r="R28" s="7">
        <f>VLOOKUP($A28,[10]HISTOOCT22!$A$7:$AU$38,29,0)</f>
        <v>0</v>
      </c>
      <c r="S28" s="21">
        <f t="shared" si="2"/>
        <v>0</v>
      </c>
    </row>
    <row r="29" spans="1:19" x14ac:dyDescent="0.25">
      <c r="A29" s="1" t="s">
        <v>31</v>
      </c>
      <c r="B29" s="7">
        <f>IF(D29=0,0,VLOOKUP($A29,[8]HISTOJANV22!$A$6:$AZ$36,9,0))</f>
        <v>1</v>
      </c>
      <c r="C29" s="1" t="str">
        <f>VLOOKUP(A29,[9]LISTADHERENT!A$5:H$60,3,0)</f>
        <v>TCHOUAMOU MATHIEU</v>
      </c>
      <c r="D29" s="7">
        <f t="shared" si="1"/>
        <v>23000</v>
      </c>
      <c r="E29" s="7">
        <f>D29+VLOOKUP($A29,[10]HISTOOCT22!$A$7:$AU$38,45,0)+F29</f>
        <v>30000</v>
      </c>
      <c r="F29" s="7">
        <f>VLOOKUP($A29,[10]HISTOOCT22!$A$7:$AU$38,7,0)</f>
        <v>0</v>
      </c>
      <c r="G29" s="7" t="str">
        <f>VLOOKUP($A29,[10]HISTOOCT22!$A$7:$AU$38,8,0)</f>
        <v>BANQUE</v>
      </c>
      <c r="H29" s="7">
        <f>VLOOKUP($A29,[10]HISTOOCT22!$A$7:$AU$38,35,0)</f>
        <v>0</v>
      </c>
      <c r="I29" s="7">
        <f>VLOOKUP($A29,[10]HISTOOCT22!$A$7:$AU$38,38,0)</f>
        <v>0</v>
      </c>
      <c r="J29" s="7">
        <f>IF(I29=0,0,VLOOKUP($A29,[10]HISTOOCT22!$A$7:$AU$38,42,0))</f>
        <v>0</v>
      </c>
      <c r="K29" s="7">
        <f>VLOOKUP($A29,[10]HISTOOCT22!$A$7:$AU$38,41,0)</f>
        <v>0</v>
      </c>
      <c r="L29" s="7">
        <f>+TONTSEPT22!H29+TONTSEPT22!I29</f>
        <v>0</v>
      </c>
      <c r="M29" s="7">
        <f>VLOOKUP($A29,[10]HISTOOCT22!$A$7:$AU$38,16,0)</f>
        <v>0</v>
      </c>
      <c r="N29" s="7" t="str">
        <f>IF(M29&lt;&gt;0,VLOOKUP($A29,[10]HISTOOCT22!$A$7:$AU$38,8,0),"ECHEC")</f>
        <v>ECHEC</v>
      </c>
      <c r="O29" s="7">
        <f>IF(R29=0,0,VLOOKUP($A29,[10]HISTOOCT22!$A$7:$AU$38,32,0))</f>
        <v>0</v>
      </c>
      <c r="P29" s="7">
        <f>VLOOKUP($A29,[10]HISTOOCT22!$A$7:$AU$38,33,0)</f>
        <v>0</v>
      </c>
      <c r="Q29" s="7">
        <f t="shared" si="0"/>
        <v>0</v>
      </c>
      <c r="R29" s="7">
        <f>VLOOKUP($A29,[10]HISTOOCT22!$A$7:$AU$38,29,0)</f>
        <v>0</v>
      </c>
      <c r="S29" s="21">
        <f t="shared" si="2"/>
        <v>0</v>
      </c>
    </row>
    <row r="30" spans="1:19" x14ac:dyDescent="0.25">
      <c r="A30" s="1" t="s">
        <v>32</v>
      </c>
      <c r="B30" s="7">
        <f>IF(D30=0,0,VLOOKUP($A30,[8]HISTOJANV22!$A$6:$AZ$36,9,0))</f>
        <v>1</v>
      </c>
      <c r="C30" s="1" t="str">
        <f>VLOOKUP(A30,[9]LISTADHERENT!A$5:H$60,3,0)</f>
        <v>YEPMOU JEAN JACQUES</v>
      </c>
      <c r="D30" s="7">
        <f t="shared" si="1"/>
        <v>23000</v>
      </c>
      <c r="E30" s="7">
        <f>D30+VLOOKUP($A30,[10]HISTOOCT22!$A$7:$AU$38,45,0)+F30</f>
        <v>30000</v>
      </c>
      <c r="F30" s="7">
        <f>VLOOKUP($A30,[10]HISTOOCT22!$A$7:$AU$38,7,0)</f>
        <v>0</v>
      </c>
      <c r="G30" s="7" t="str">
        <f>VLOOKUP($A30,[10]HISTOOCT22!$A$7:$AU$38,8,0)</f>
        <v>BANQUE</v>
      </c>
      <c r="H30" s="7">
        <f>VLOOKUP($A30,[10]HISTOOCT22!$A$7:$AU$38,35,0)</f>
        <v>0</v>
      </c>
      <c r="I30" s="7">
        <f>VLOOKUP($A30,[10]HISTOOCT22!$A$7:$AU$38,38,0)</f>
        <v>0</v>
      </c>
      <c r="J30" s="7">
        <f>IF(I30=0,0,VLOOKUP($A30,[10]HISTOOCT22!$A$7:$AU$38,42,0))</f>
        <v>0</v>
      </c>
      <c r="K30" s="7">
        <f>VLOOKUP($A30,[10]HISTOOCT22!$A$7:$AU$38,41,0)</f>
        <v>0</v>
      </c>
      <c r="L30" s="7">
        <f>+TONTSEPT22!H30+TONTSEPT22!I30</f>
        <v>0</v>
      </c>
      <c r="M30" s="7">
        <f>VLOOKUP($A30,[10]HISTOOCT22!$A$7:$AU$38,16,0)</f>
        <v>0</v>
      </c>
      <c r="N30" s="7" t="str">
        <f>IF(M30&lt;&gt;0,VLOOKUP($A30,[10]HISTOOCT22!$A$7:$AU$38,8,0),"ECHEC")</f>
        <v>ECHEC</v>
      </c>
      <c r="O30" s="7">
        <f>IF(R30=0,0,VLOOKUP($A30,[10]HISTOOCT22!$A$7:$AU$38,32,0))</f>
        <v>0</v>
      </c>
      <c r="P30" s="7">
        <f>VLOOKUP($A30,[10]HISTOOCT22!$A$7:$AU$38,33,0)</f>
        <v>0</v>
      </c>
      <c r="Q30" s="7">
        <f t="shared" si="0"/>
        <v>0</v>
      </c>
      <c r="R30" s="7">
        <f>VLOOKUP($A30,[10]HISTOOCT22!$A$7:$AU$38,29,0)</f>
        <v>0</v>
      </c>
      <c r="S30" s="21">
        <f t="shared" si="2"/>
        <v>0</v>
      </c>
    </row>
    <row r="31" spans="1:19" x14ac:dyDescent="0.25">
      <c r="A31" s="1" t="s">
        <v>33</v>
      </c>
      <c r="B31" s="7">
        <f>IF(D31=0,0,VLOOKUP($A31,[8]HISTOJANV22!$A$6:$AZ$36,9,0))</f>
        <v>1</v>
      </c>
      <c r="C31" s="1" t="str">
        <f>VLOOKUP(A31,[9]LISTADHERENT!A$5:H$60,3,0)</f>
        <v>YOUMBI EMMANUEL</v>
      </c>
      <c r="D31" s="7">
        <f t="shared" si="1"/>
        <v>23000</v>
      </c>
      <c r="E31" s="7">
        <f>D31+VLOOKUP($A31,[10]HISTOOCT22!$A$7:$AU$38,45,0)+F31</f>
        <v>30000</v>
      </c>
      <c r="F31" s="7">
        <f>VLOOKUP($A31,[10]HISTOOCT22!$A$7:$AU$38,7,0)</f>
        <v>0</v>
      </c>
      <c r="G31" s="7" t="str">
        <f>VLOOKUP($A31,[10]HISTOOCT22!$A$7:$AU$38,8,0)</f>
        <v>BANQUE</v>
      </c>
      <c r="H31" s="7">
        <f>VLOOKUP($A31,[10]HISTOOCT22!$A$7:$AU$38,35,0)</f>
        <v>0</v>
      </c>
      <c r="I31" s="7">
        <f>VLOOKUP($A31,[10]HISTOOCT22!$A$7:$AU$38,38,0)</f>
        <v>0</v>
      </c>
      <c r="J31" s="7">
        <f>IF(I31=0,0,VLOOKUP($A31,[10]HISTOOCT22!$A$7:$AU$38,42,0))</f>
        <v>0</v>
      </c>
      <c r="K31" s="7">
        <f>VLOOKUP($A31,[10]HISTOOCT22!$A$7:$AU$38,41,0)</f>
        <v>0</v>
      </c>
      <c r="L31" s="7">
        <f>+TONTSEPT22!H31+TONTSEPT22!I31</f>
        <v>0</v>
      </c>
      <c r="M31" s="7">
        <f>VLOOKUP($A31,[10]HISTOOCT22!$A$7:$AU$38,16,0)</f>
        <v>0</v>
      </c>
      <c r="N31" s="7" t="str">
        <f>IF(M31&lt;&gt;0,VLOOKUP($A31,[10]HISTOOCT22!$A$7:$AU$38,8,0),"ECHEC")</f>
        <v>ECHEC</v>
      </c>
      <c r="O31" s="7">
        <f>IF(R31=0,0,VLOOKUP($A31,[10]HISTOOCT22!$A$7:$AU$38,32,0))</f>
        <v>0</v>
      </c>
      <c r="P31" s="7">
        <f>VLOOKUP($A31,[10]HISTOOCT22!$A$7:$AU$38,33,0)</f>
        <v>0</v>
      </c>
      <c r="Q31" s="7">
        <f t="shared" si="0"/>
        <v>0</v>
      </c>
      <c r="R31" s="7">
        <f>VLOOKUP($A31,[10]HISTOOCT22!$A$7:$AU$38,29,0)</f>
        <v>0</v>
      </c>
      <c r="S31" s="21">
        <f t="shared" si="2"/>
        <v>0</v>
      </c>
    </row>
    <row r="32" spans="1:19" x14ac:dyDescent="0.25">
      <c r="A32" s="1"/>
    </row>
    <row r="33" spans="1:19" ht="18" x14ac:dyDescent="0.25">
      <c r="A33" s="1" t="s">
        <v>94</v>
      </c>
      <c r="B33" s="8">
        <f>SUM(B6:B32)</f>
        <v>26</v>
      </c>
      <c r="I33" s="9"/>
    </row>
    <row r="34" spans="1:19" ht="18" x14ac:dyDescent="0.25">
      <c r="A34" s="1" t="s">
        <v>93</v>
      </c>
      <c r="B34" s="19">
        <f>COUNT(D6:D31)</f>
        <v>26</v>
      </c>
      <c r="C34" s="8"/>
      <c r="D34" s="8">
        <f>SUM(D6:D33)</f>
        <v>598000</v>
      </c>
      <c r="E34" s="8">
        <f>SUM(E6:E33)</f>
        <v>937000</v>
      </c>
      <c r="F34" s="8">
        <f>SUM(F6:F33)</f>
        <v>0</v>
      </c>
      <c r="G34" s="8"/>
      <c r="H34" s="8">
        <f t="shared" ref="H34:S34" si="3">SUM(H6:H33)</f>
        <v>0</v>
      </c>
      <c r="I34" s="8">
        <f t="shared" si="3"/>
        <v>0</v>
      </c>
      <c r="J34" s="8">
        <f t="shared" si="3"/>
        <v>0</v>
      </c>
      <c r="K34" s="8">
        <f t="shared" si="3"/>
        <v>0</v>
      </c>
      <c r="L34" s="8">
        <f t="shared" si="3"/>
        <v>0</v>
      </c>
      <c r="M34" s="8">
        <f t="shared" si="3"/>
        <v>0</v>
      </c>
      <c r="N34" s="8">
        <f t="shared" si="3"/>
        <v>0</v>
      </c>
      <c r="O34" s="8">
        <f t="shared" si="3"/>
        <v>0</v>
      </c>
      <c r="P34" s="8">
        <f t="shared" si="3"/>
        <v>0</v>
      </c>
      <c r="Q34" s="8">
        <f t="shared" si="3"/>
        <v>554000</v>
      </c>
      <c r="R34" s="8">
        <f t="shared" si="3"/>
        <v>46000</v>
      </c>
      <c r="S34" s="8">
        <f t="shared" si="3"/>
        <v>0</v>
      </c>
    </row>
    <row r="35" spans="1:19" s="2" customFormat="1" ht="29.25" x14ac:dyDescent="0.25">
      <c r="B35"/>
      <c r="C35"/>
      <c r="D35"/>
      <c r="E35"/>
      <c r="F35"/>
      <c r="G35"/>
      <c r="H35"/>
      <c r="I35" s="9"/>
      <c r="J35" s="3"/>
      <c r="K35" s="3"/>
      <c r="L35" s="3"/>
      <c r="N35" s="4" t="s">
        <v>80</v>
      </c>
      <c r="O35" s="4" t="s">
        <v>95</v>
      </c>
      <c r="P35" s="3"/>
    </row>
    <row r="36" spans="1:19" s="2" customFormat="1" ht="29.25" x14ac:dyDescent="0.25">
      <c r="D36" s="4" t="s">
        <v>5</v>
      </c>
      <c r="E36" s="4" t="s">
        <v>7</v>
      </c>
      <c r="F36"/>
      <c r="G36" s="4" t="s">
        <v>40</v>
      </c>
      <c r="H36" s="4" t="s">
        <v>44</v>
      </c>
      <c r="I36" s="4" t="s">
        <v>46</v>
      </c>
      <c r="J36" s="4" t="s">
        <v>47</v>
      </c>
      <c r="K36" s="4"/>
      <c r="L36" s="8" t="s">
        <v>97</v>
      </c>
      <c r="M36" s="8">
        <f>D40+G40+R34+TONTSEPT22!O41</f>
        <v>595000</v>
      </c>
      <c r="N36" s="4"/>
      <c r="O36"/>
      <c r="P36" s="4"/>
    </row>
    <row r="37" spans="1:19" s="2" customFormat="1" ht="18" x14ac:dyDescent="0.25">
      <c r="D37" s="8">
        <f>SUMIFS(D6:D33,G6:G33,"ESPECES")</f>
        <v>0</v>
      </c>
      <c r="E37" s="8">
        <f>SUMIFS(E6:E33,G6:G33,"ESPECES")</f>
        <v>0</v>
      </c>
      <c r="F37" s="8" t="s">
        <v>36</v>
      </c>
      <c r="G37" s="8">
        <f>SUMIFS(M6:M27,N6:N27,"ESPECES")</f>
        <v>0</v>
      </c>
      <c r="H37" s="8">
        <f>SUMIFS(H6:H33,J6:J33,"ESPECES")</f>
        <v>0</v>
      </c>
      <c r="I37" s="8">
        <f>SUMIFS(Q6:Q33,O6:O33,"ESPECES")</f>
        <v>0</v>
      </c>
      <c r="J37" s="8">
        <f>D37+G37-H37-I37</f>
        <v>0</v>
      </c>
      <c r="K37" s="8"/>
      <c r="L37" s="8" t="s">
        <v>84</v>
      </c>
      <c r="M37" s="8">
        <f>C3*COUNTIF(Q6:Q33,"&gt;0")</f>
        <v>600000</v>
      </c>
      <c r="N37" s="8">
        <f>D3</f>
        <v>1</v>
      </c>
      <c r="O37" s="8">
        <f>COUNTIF(Q6:Q31,"&gt;0")</f>
        <v>2</v>
      </c>
      <c r="P37" s="8"/>
    </row>
    <row r="38" spans="1:19" s="2" customFormat="1" ht="18" x14ac:dyDescent="0.25">
      <c r="D38" s="8">
        <f>SUMIFS(D6:D33,G6:G33,"BANQUE")</f>
        <v>598000</v>
      </c>
      <c r="E38" s="8">
        <f>SUMIFS(E6:E34,G6:G34,"BANQUE")</f>
        <v>937000</v>
      </c>
      <c r="F38" s="8" t="s">
        <v>37</v>
      </c>
      <c r="G38" s="8">
        <f>SUMIFS(M6:M27,N6:N27,"BANQUE")</f>
        <v>0</v>
      </c>
      <c r="H38" s="8">
        <f>SUMIFS(H6:H33,J6:J33,"BANQUE")</f>
        <v>0</v>
      </c>
      <c r="I38" s="8">
        <f>SUMIFS(Q6:Q33,O6:O33,"BANQUE")</f>
        <v>554000</v>
      </c>
      <c r="J38" s="8">
        <f>D38+G38-H38-I38</f>
        <v>44000</v>
      </c>
      <c r="K38" s="8"/>
      <c r="M38" s="8"/>
      <c r="N38" s="8"/>
      <c r="O38" s="8"/>
      <c r="P38" s="8"/>
    </row>
    <row r="39" spans="1:19" s="2" customFormat="1" ht="18" x14ac:dyDescent="0.25">
      <c r="D39" s="8"/>
      <c r="E39" s="8"/>
      <c r="F39" s="8"/>
      <c r="G39" s="8"/>
      <c r="H39" s="8"/>
      <c r="I39" s="8"/>
      <c r="K39" s="8"/>
      <c r="L39" s="8" t="s">
        <v>52</v>
      </c>
      <c r="M39" s="8">
        <f>M36-M37</f>
        <v>-5000</v>
      </c>
      <c r="N39" s="8"/>
      <c r="O39" s="8"/>
      <c r="P39" s="8"/>
    </row>
    <row r="40" spans="1:19" s="2" customFormat="1" ht="18" x14ac:dyDescent="0.25">
      <c r="D40" s="8">
        <f>D37+D38</f>
        <v>598000</v>
      </c>
      <c r="E40" s="8">
        <f>E37+E38</f>
        <v>937000</v>
      </c>
      <c r="F40" s="8" t="s">
        <v>34</v>
      </c>
      <c r="G40" s="8">
        <f>G37+G38</f>
        <v>0</v>
      </c>
      <c r="H40" s="8">
        <f>H37+H38</f>
        <v>0</v>
      </c>
      <c r="I40" s="8">
        <f t="shared" ref="I40" si="4">I37+I38</f>
        <v>554000</v>
      </c>
      <c r="J40" s="8">
        <f>J37+J38+TONTSEPT22!O41</f>
        <v>-5000</v>
      </c>
      <c r="K40" s="8"/>
      <c r="M40" s="8"/>
      <c r="N40" s="8"/>
      <c r="O40" s="8"/>
      <c r="P40" s="8"/>
    </row>
    <row r="41" spans="1:19" s="2" customFormat="1" ht="18" x14ac:dyDescent="0.25">
      <c r="D41" s="8"/>
      <c r="E41" s="8"/>
      <c r="F41" s="8" t="s">
        <v>56</v>
      </c>
      <c r="G41"/>
      <c r="H41"/>
      <c r="I41" s="3"/>
      <c r="J41" s="3"/>
      <c r="K41" s="3"/>
      <c r="L41" s="8" t="s">
        <v>55</v>
      </c>
      <c r="M41" s="8">
        <f>M39-H34</f>
        <v>-5000</v>
      </c>
      <c r="N41"/>
      <c r="O41" s="8">
        <f>M41</f>
        <v>-5000</v>
      </c>
      <c r="P41" s="8" t="s">
        <v>58</v>
      </c>
    </row>
    <row r="42" spans="1:19" s="2" customFormat="1" ht="18" x14ac:dyDescent="0.25">
      <c r="D42" s="4"/>
      <c r="E42" s="4"/>
      <c r="F42" s="8"/>
      <c r="G42"/>
      <c r="H42"/>
      <c r="I42" s="3"/>
      <c r="J42" s="3"/>
      <c r="K42" s="3"/>
      <c r="N42"/>
      <c r="O42" s="3"/>
      <c r="P42" s="3"/>
    </row>
    <row r="43" spans="1:19" ht="18" x14ac:dyDescent="0.25">
      <c r="L43" s="8" t="s">
        <v>60</v>
      </c>
      <c r="M43" s="8">
        <f>COUNTIFS(G6:G32,"ECHEC")*23000</f>
        <v>0</v>
      </c>
      <c r="O43" s="8">
        <f>M43+TONTSEPT22!O43</f>
        <v>0</v>
      </c>
      <c r="P43" s="8" t="s">
        <v>58</v>
      </c>
    </row>
    <row r="44" spans="1:19" ht="18" x14ac:dyDescent="0.25">
      <c r="F44" s="2"/>
      <c r="L44" s="8" t="s">
        <v>59</v>
      </c>
      <c r="M44" s="8">
        <f>L34-G40</f>
        <v>0</v>
      </c>
      <c r="O44" s="8">
        <f>M44+TONTSEPT22!O44</f>
        <v>0</v>
      </c>
      <c r="P44" s="8" t="s">
        <v>58</v>
      </c>
    </row>
  </sheetData>
  <autoFilter ref="A5:R24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>
      <pane xSplit="3" ySplit="5" topLeftCell="J39" activePane="bottomRight" state="frozen"/>
      <selection activeCell="G6" sqref="G6:G39"/>
      <selection pane="topRight" activeCell="G6" sqref="G6:G39"/>
      <selection pane="bottomLeft" activeCell="G6" sqref="G6:G39"/>
      <selection pane="bottomRight" activeCell="O41" sqref="O41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5" width="13" customWidth="1"/>
    <col min="16" max="16" width="15.5703125" style="3" customWidth="1"/>
    <col min="17" max="18" width="18.140625" style="2" customWidth="1"/>
  </cols>
  <sheetData>
    <row r="1" spans="1:19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19" x14ac:dyDescent="0.25">
      <c r="A2" s="1" t="s">
        <v>2</v>
      </c>
      <c r="B2" s="1">
        <v>2022</v>
      </c>
      <c r="C2" s="1" t="s">
        <v>85</v>
      </c>
      <c r="D2" s="1" t="s">
        <v>80</v>
      </c>
      <c r="E2" s="1"/>
      <c r="F2" s="1"/>
      <c r="G2" s="1"/>
      <c r="N2" s="1"/>
      <c r="O2" s="1"/>
    </row>
    <row r="3" spans="1:19" x14ac:dyDescent="0.25">
      <c r="A3" s="1" t="s">
        <v>86</v>
      </c>
      <c r="B3" s="6">
        <v>23000</v>
      </c>
      <c r="C3" s="6">
        <f>B3*13+1000</f>
        <v>300000</v>
      </c>
      <c r="D3" s="1">
        <f>ROUNDDOWN(M36/C3,0)</f>
        <v>2</v>
      </c>
      <c r="E3" s="1"/>
      <c r="F3" s="1"/>
      <c r="G3" s="1"/>
      <c r="N3" s="1"/>
      <c r="O3" s="1"/>
    </row>
    <row r="4" spans="1:19" s="16" customFormat="1" ht="18" x14ac:dyDescent="0.25">
      <c r="B4" s="17"/>
      <c r="C4" s="28">
        <v>44633</v>
      </c>
      <c r="D4" s="29"/>
      <c r="E4" s="29"/>
      <c r="F4" s="29"/>
      <c r="G4" s="29"/>
      <c r="H4" s="29"/>
      <c r="I4" s="29"/>
      <c r="J4" s="29"/>
      <c r="K4" s="29"/>
      <c r="L4" s="29"/>
      <c r="N4" s="18"/>
      <c r="O4" s="18"/>
      <c r="P4" s="18"/>
      <c r="Q4" s="18"/>
    </row>
    <row r="5" spans="1:19" ht="58.5" x14ac:dyDescent="0.3">
      <c r="A5" s="1" t="s">
        <v>3</v>
      </c>
      <c r="B5" s="13" t="s">
        <v>81</v>
      </c>
      <c r="C5" s="1" t="s">
        <v>4</v>
      </c>
      <c r="D5" s="4" t="s">
        <v>5</v>
      </c>
      <c r="E5" s="4" t="s">
        <v>7</v>
      </c>
      <c r="F5" s="1" t="s">
        <v>48</v>
      </c>
      <c r="G5" s="5" t="s">
        <v>6</v>
      </c>
      <c r="H5" s="6" t="s">
        <v>44</v>
      </c>
      <c r="I5" s="4" t="s">
        <v>41</v>
      </c>
      <c r="J5" s="4" t="s">
        <v>45</v>
      </c>
      <c r="K5" s="11" t="s">
        <v>54</v>
      </c>
      <c r="L5" s="4" t="s">
        <v>82</v>
      </c>
      <c r="M5" s="4" t="s">
        <v>40</v>
      </c>
      <c r="N5" s="4" t="s">
        <v>39</v>
      </c>
      <c r="O5" s="4" t="s">
        <v>42</v>
      </c>
      <c r="P5" s="4" t="s">
        <v>54</v>
      </c>
      <c r="Q5" s="4" t="s">
        <v>83</v>
      </c>
      <c r="R5" s="4" t="s">
        <v>43</v>
      </c>
      <c r="S5" s="4" t="s">
        <v>98</v>
      </c>
    </row>
    <row r="6" spans="1:19" x14ac:dyDescent="0.25">
      <c r="A6" s="1" t="s">
        <v>9</v>
      </c>
      <c r="B6" s="7">
        <f>IF(D6=0,0,VLOOKUP($A6,[8]HISTOJANV22!$A$6:$AZ$36,9,0))</f>
        <v>1</v>
      </c>
      <c r="C6" s="1" t="str">
        <f>VLOOKUP(A6,[9]LISTADHERENT!A$5:H$60,3,0)</f>
        <v>BOUTCHOUANG WILLIAM</v>
      </c>
      <c r="D6" s="7">
        <f>IF(G6="ECHEC",0,B$3)</f>
        <v>23000</v>
      </c>
      <c r="E6" s="7">
        <f>D6+VLOOKUP($A6,[10]HISTONOV22!$A$7:$AU$38,45,0)+F6</f>
        <v>30000</v>
      </c>
      <c r="F6" s="7">
        <f>VLOOKUP($A6,[10]HISTONOV22!$A$7:$AU$38,7,0)</f>
        <v>0</v>
      </c>
      <c r="G6" s="7" t="str">
        <f>VLOOKUP($A6,[10]HISTONOV22!$A$7:$AU$38,8,0)</f>
        <v>BANQUE</v>
      </c>
      <c r="H6" s="7">
        <f>VLOOKUP($A6,[10]HISTONOV22!$A$7:$AU$38,35,0)</f>
        <v>0</v>
      </c>
      <c r="I6" s="7">
        <f>VLOOKUP($A6,[10]HISTONOV22!$A$7:$AU$38,38,0)</f>
        <v>0</v>
      </c>
      <c r="J6" s="7">
        <f>IF(I6=0,0,VLOOKUP($A6,[10]HISTONOV22!$A$7:$AU$38,42,0))</f>
        <v>0</v>
      </c>
      <c r="K6" s="7">
        <f>VLOOKUP($A6,[10]HISTONOV22!$A$7:$AU$38,41,0)</f>
        <v>0</v>
      </c>
      <c r="L6" s="7">
        <f>+TONTOCT22!H6+TONTOCT22!I6</f>
        <v>0</v>
      </c>
      <c r="M6" s="7">
        <f>VLOOKUP($A6,[10]HISTONOV22!$A$7:$AU$38,16,0)</f>
        <v>0</v>
      </c>
      <c r="N6" s="7" t="str">
        <f>IF(M6&lt;&gt;0,VLOOKUP($A6,[10]HISTONOV22!$A$7:$AU$38,8,0),"ECHEC")</f>
        <v>ECHEC</v>
      </c>
      <c r="O6" s="7">
        <f>IF(R6=0,0,VLOOKUP($A6,[10]HISTONOV22!$A$7:$AU$38,32,0))</f>
        <v>0</v>
      </c>
      <c r="P6" s="7">
        <f>VLOOKUP($A6,[10]HISTONOV22!$A$7:$AU$38,33,0)</f>
        <v>0</v>
      </c>
      <c r="Q6" s="7">
        <f t="shared" ref="Q6:Q31" si="0">IF(R6=0,0,($C$3-R6))</f>
        <v>0</v>
      </c>
      <c r="R6" s="7">
        <f>VLOOKUP($A6,[10]HISTONOV22!$A$7:$AU$38,29,0)</f>
        <v>0</v>
      </c>
      <c r="S6" s="21">
        <f>IF(R6=0,0,(R6-23000))</f>
        <v>0</v>
      </c>
    </row>
    <row r="7" spans="1:19" x14ac:dyDescent="0.25">
      <c r="A7" s="1" t="s">
        <v>10</v>
      </c>
      <c r="B7" s="7">
        <f>IF(D7=0,0,VLOOKUP($A7,[8]HISTOJANV22!$A$6:$AZ$36,9,0))</f>
        <v>1</v>
      </c>
      <c r="C7" s="1" t="str">
        <f>VLOOKUP(A7,[9]LISTADHERENT!A$5:H$60,3,0)</f>
        <v xml:space="preserve">DJOMO JEAN PAUL </v>
      </c>
      <c r="D7" s="7">
        <f t="shared" ref="D7:D31" si="1">IF(G7="ECHEC",0,B$3)</f>
        <v>23000</v>
      </c>
      <c r="E7" s="7">
        <f>D7+VLOOKUP($A7,[10]HISTONOV22!$A$7:$AU$38,45,0)+F7</f>
        <v>28500</v>
      </c>
      <c r="F7" s="7">
        <f>VLOOKUP($A7,[10]HISTONOV22!$A$7:$AU$38,7,0)</f>
        <v>0</v>
      </c>
      <c r="G7" s="7" t="str">
        <f>VLOOKUP($A7,[10]HISTONOV22!$A$7:$AU$38,8,0)</f>
        <v>BANQUE</v>
      </c>
      <c r="H7" s="7">
        <f>VLOOKUP($A7,[10]HISTONOV22!$A$7:$AU$38,35,0)</f>
        <v>0</v>
      </c>
      <c r="I7" s="7">
        <f>VLOOKUP($A7,[10]HISTONOV22!$A$7:$AU$38,38,0)</f>
        <v>0</v>
      </c>
      <c r="J7" s="7">
        <f>IF(I7=0,0,VLOOKUP($A7,[10]HISTONOV22!$A$7:$AU$38,42,0))</f>
        <v>0</v>
      </c>
      <c r="K7" s="7">
        <f>VLOOKUP($A7,[10]HISTONOV22!$A$7:$AU$38,41,0)</f>
        <v>0</v>
      </c>
      <c r="L7" s="7">
        <f>+TONTOCT22!H7+TONTOCT22!I7</f>
        <v>0</v>
      </c>
      <c r="M7" s="7">
        <f>VLOOKUP($A7,[10]HISTONOV22!$A$7:$AU$38,16,0)</f>
        <v>0</v>
      </c>
      <c r="N7" s="7" t="str">
        <f>IF(M7&lt;&gt;0,VLOOKUP($A7,[10]HISTONOV22!$A$7:$AU$38,8,0),"ECHEC")</f>
        <v>ECHEC</v>
      </c>
      <c r="O7" s="7">
        <f>IF(R7=0,0,VLOOKUP($A7,[10]HISTONOV22!$A$7:$AU$38,32,0))</f>
        <v>0</v>
      </c>
      <c r="P7" s="7">
        <f>VLOOKUP($A7,[10]HISTONOV22!$A$7:$AU$38,33,0)</f>
        <v>0</v>
      </c>
      <c r="Q7" s="7">
        <f t="shared" si="0"/>
        <v>0</v>
      </c>
      <c r="R7" s="7">
        <f>VLOOKUP($A7,[10]HISTONOV22!$A$7:$AU$38,29,0)</f>
        <v>0</v>
      </c>
      <c r="S7" s="21">
        <f t="shared" ref="S7:S31" si="2">IF(R7=0,0,(R7-23000))</f>
        <v>0</v>
      </c>
    </row>
    <row r="8" spans="1:19" x14ac:dyDescent="0.25">
      <c r="A8" s="1" t="s">
        <v>57</v>
      </c>
      <c r="B8" s="7">
        <f>IF(D8=0,0,VLOOKUP($A8,[8]HISTOJANV22!$A$6:$AZ$36,9,0))</f>
        <v>1</v>
      </c>
      <c r="C8" s="1" t="str">
        <f>VLOOKUP(A8,[9]LISTADHERENT!A$5:H$60,3,0)</f>
        <v>DJOMOU TCHANDA</v>
      </c>
      <c r="D8" s="7">
        <f t="shared" si="1"/>
        <v>23000</v>
      </c>
      <c r="E8" s="7">
        <f>D8+VLOOKUP($A8,[10]HISTONOV22!$A$7:$AU$38,45,0)+F8</f>
        <v>30000</v>
      </c>
      <c r="F8" s="7">
        <f>VLOOKUP($A8,[10]HISTONOV22!$A$7:$AU$38,7,0)</f>
        <v>0</v>
      </c>
      <c r="G8" s="7" t="str">
        <f>VLOOKUP($A8,[10]HISTONOV22!$A$7:$AU$38,8,0)</f>
        <v>BANQUE</v>
      </c>
      <c r="H8" s="7">
        <f>VLOOKUP($A8,[10]HISTONOV22!$A$7:$AU$38,35,0)</f>
        <v>0</v>
      </c>
      <c r="I8" s="7">
        <f>VLOOKUP($A8,[10]HISTONOV22!$A$7:$AU$38,38,0)</f>
        <v>0</v>
      </c>
      <c r="J8" s="7">
        <f>IF(I8=0,0,VLOOKUP($A8,[10]HISTONOV22!$A$7:$AU$38,42,0))</f>
        <v>0</v>
      </c>
      <c r="K8" s="7">
        <f>VLOOKUP($A8,[10]HISTONOV22!$A$7:$AU$38,41,0)</f>
        <v>0</v>
      </c>
      <c r="L8" s="7">
        <f>+TONTOCT22!H8+TONTOCT22!I8</f>
        <v>0</v>
      </c>
      <c r="M8" s="7">
        <f>VLOOKUP($A8,[10]HISTONOV22!$A$7:$AU$38,16,0)</f>
        <v>0</v>
      </c>
      <c r="N8" s="7" t="str">
        <f>IF(M8&lt;&gt;0,VLOOKUP($A8,[10]HISTONOV22!$A$7:$AU$38,8,0),"ECHEC")</f>
        <v>ECHEC</v>
      </c>
      <c r="O8" s="7">
        <f>IF(R8=0,0,VLOOKUP($A8,[10]HISTONOV22!$A$7:$AU$38,32,0))</f>
        <v>0</v>
      </c>
      <c r="P8" s="7">
        <f>VLOOKUP($A8,[10]HISTONOV22!$A$7:$AU$38,33,0)</f>
        <v>0</v>
      </c>
      <c r="Q8" s="7">
        <f t="shared" si="0"/>
        <v>0</v>
      </c>
      <c r="R8" s="7">
        <f>VLOOKUP($A8,[10]HISTONOV22!$A$7:$AU$38,29,0)</f>
        <v>0</v>
      </c>
      <c r="S8" s="21">
        <f t="shared" si="2"/>
        <v>0</v>
      </c>
    </row>
    <row r="9" spans="1:19" x14ac:dyDescent="0.25">
      <c r="A9" s="1" t="s">
        <v>11</v>
      </c>
      <c r="B9" s="7">
        <f>IF(D9=0,0,VLOOKUP($A9,[8]HISTOJANV22!$A$6:$AZ$36,9,0))</f>
        <v>1</v>
      </c>
      <c r="C9" s="1" t="str">
        <f>VLOOKUP(A9,[9]LISTADHERENT!A$5:H$60,3,0)</f>
        <v>DJOUKWE NANGUEN GUY BLAISE</v>
      </c>
      <c r="D9" s="7">
        <f t="shared" si="1"/>
        <v>23000</v>
      </c>
      <c r="E9" s="7">
        <f>D9+VLOOKUP($A9,[10]HISTONOV22!$A$7:$AU$38,45,0)+F9</f>
        <v>30000</v>
      </c>
      <c r="F9" s="7">
        <f>VLOOKUP($A9,[10]HISTONOV22!$A$7:$AU$38,7,0)</f>
        <v>0</v>
      </c>
      <c r="G9" s="7" t="str">
        <f>VLOOKUP($A9,[10]HISTONOV22!$A$7:$AU$38,8,0)</f>
        <v>BANQUE</v>
      </c>
      <c r="H9" s="7">
        <f>VLOOKUP($A9,[10]HISTONOV22!$A$7:$AU$38,35,0)</f>
        <v>0</v>
      </c>
      <c r="I9" s="7">
        <f>VLOOKUP($A9,[10]HISTONOV22!$A$7:$AU$38,38,0)</f>
        <v>0</v>
      </c>
      <c r="J9" s="7">
        <f>IF(I9=0,0,VLOOKUP($A9,[10]HISTONOV22!$A$7:$AU$38,42,0))</f>
        <v>0</v>
      </c>
      <c r="K9" s="7">
        <f>VLOOKUP($A9,[10]HISTONOV22!$A$7:$AU$38,41,0)</f>
        <v>0</v>
      </c>
      <c r="L9" s="7">
        <f>+TONTOCT22!H9+TONTOCT22!I9</f>
        <v>0</v>
      </c>
      <c r="M9" s="7">
        <f>VLOOKUP($A9,[10]HISTONOV22!$A$7:$AU$38,16,0)</f>
        <v>0</v>
      </c>
      <c r="N9" s="7" t="str">
        <f>IF(M9&lt;&gt;0,VLOOKUP($A9,[10]HISTONOV22!$A$7:$AU$38,8,0),"ECHEC")</f>
        <v>ECHEC</v>
      </c>
      <c r="O9" s="7">
        <f>IF(R9=0,0,VLOOKUP($A9,[10]HISTONOV22!$A$7:$AU$38,32,0))</f>
        <v>0</v>
      </c>
      <c r="P9" s="7">
        <f>VLOOKUP($A9,[10]HISTONOV22!$A$7:$AU$38,33,0)</f>
        <v>0</v>
      </c>
      <c r="Q9" s="7">
        <f t="shared" si="0"/>
        <v>0</v>
      </c>
      <c r="R9" s="7">
        <f>VLOOKUP($A9,[10]HISTONOV22!$A$7:$AU$38,29,0)</f>
        <v>0</v>
      </c>
      <c r="S9" s="21">
        <f t="shared" si="2"/>
        <v>0</v>
      </c>
    </row>
    <row r="10" spans="1:19" x14ac:dyDescent="0.25">
      <c r="A10" s="1" t="s">
        <v>12</v>
      </c>
      <c r="B10" s="7">
        <f>IF(D10=0,0,VLOOKUP($A10,[8]HISTOJANV22!$A$6:$AZ$36,9,0))</f>
        <v>1</v>
      </c>
      <c r="C10" s="1" t="str">
        <f>VLOOKUP(A10,[9]LISTADHERENT!A$5:H$60,3,0)</f>
        <v>DJUOMBESSY ANTOINE</v>
      </c>
      <c r="D10" s="7">
        <f t="shared" si="1"/>
        <v>23000</v>
      </c>
      <c r="E10" s="7">
        <f>D10+VLOOKUP($A10,[10]HISTONOV22!$A$7:$AU$38,45,0)+F10</f>
        <v>30000</v>
      </c>
      <c r="F10" s="7">
        <f>VLOOKUP($A10,[10]HISTONOV22!$A$7:$AU$38,7,0)</f>
        <v>0</v>
      </c>
      <c r="G10" s="7" t="str">
        <f>VLOOKUP($A10,[10]HISTONOV22!$A$7:$AU$38,8,0)</f>
        <v>BANQUE</v>
      </c>
      <c r="H10" s="7">
        <f>VLOOKUP($A10,[10]HISTONOV22!$A$7:$AU$38,35,0)</f>
        <v>0</v>
      </c>
      <c r="I10" s="7">
        <f>VLOOKUP($A10,[10]HISTONOV22!$A$7:$AU$38,38,0)</f>
        <v>0</v>
      </c>
      <c r="J10" s="7">
        <f>IF(I10=0,0,VLOOKUP($A10,[10]HISTONOV22!$A$7:$AU$38,42,0))</f>
        <v>0</v>
      </c>
      <c r="K10" s="7">
        <f>VLOOKUP($A10,[10]HISTONOV22!$A$7:$AU$38,41,0)</f>
        <v>0</v>
      </c>
      <c r="L10" s="7">
        <f>+TONTOCT22!H10+TONTOCT22!I10</f>
        <v>0</v>
      </c>
      <c r="M10" s="7">
        <f>VLOOKUP($A10,[10]HISTONOV22!$A$7:$AU$38,16,0)</f>
        <v>0</v>
      </c>
      <c r="N10" s="7" t="str">
        <f>IF(M10&lt;&gt;0,VLOOKUP($A10,[10]HISTONOV22!$A$7:$AU$38,8,0),"ECHEC")</f>
        <v>ECHEC</v>
      </c>
      <c r="O10" s="7">
        <f>IF(R10=0,0,VLOOKUP($A10,[10]HISTONOV22!$A$7:$AU$38,32,0))</f>
        <v>0</v>
      </c>
      <c r="P10" s="7">
        <f>VLOOKUP($A10,[10]HISTONOV22!$A$7:$AU$38,33,0)</f>
        <v>0</v>
      </c>
      <c r="Q10" s="7">
        <f t="shared" si="0"/>
        <v>0</v>
      </c>
      <c r="R10" s="7">
        <f>VLOOKUP($A10,[10]HISTONOV22!$A$7:$AU$38,29,0)</f>
        <v>0</v>
      </c>
      <c r="S10" s="21">
        <f t="shared" si="2"/>
        <v>0</v>
      </c>
    </row>
    <row r="11" spans="1:19" x14ac:dyDescent="0.25">
      <c r="A11" s="1" t="s">
        <v>50</v>
      </c>
      <c r="B11" s="7">
        <f>IF(D11=0,0,VLOOKUP($A11,[8]HISTOJANV22!$A$6:$AZ$36,9,0))</f>
        <v>1</v>
      </c>
      <c r="C11" s="1" t="str">
        <f>VLOOKUP(A11,[9]LISTADHERENT!A$5:H$60,3,0)</f>
        <v>DOMOU FABIEN</v>
      </c>
      <c r="D11" s="7">
        <f t="shared" si="1"/>
        <v>23000</v>
      </c>
      <c r="E11" s="7">
        <f>D11+VLOOKUP($A11,[10]HISTONOV22!$A$7:$AU$38,45,0)+F11</f>
        <v>35000</v>
      </c>
      <c r="F11" s="7">
        <f>VLOOKUP($A11,[10]HISTONOV22!$A$7:$AU$38,7,0)</f>
        <v>0</v>
      </c>
      <c r="G11" s="7" t="str">
        <f>VLOOKUP($A11,[10]HISTONOV22!$A$7:$AU$38,8,0)</f>
        <v>BANQUE</v>
      </c>
      <c r="H11" s="7">
        <f>VLOOKUP($A11,[10]HISTONOV22!$A$7:$AU$38,35,0)</f>
        <v>0</v>
      </c>
      <c r="I11" s="7">
        <f>VLOOKUP($A11,[10]HISTONOV22!$A$7:$AU$38,38,0)</f>
        <v>0</v>
      </c>
      <c r="J11" s="7">
        <f>IF(I11=0,0,VLOOKUP($A11,[10]HISTONOV22!$A$7:$AU$38,42,0))</f>
        <v>0</v>
      </c>
      <c r="K11" s="7">
        <f>VLOOKUP($A11,[10]HISTONOV22!$A$7:$AU$38,41,0)</f>
        <v>0</v>
      </c>
      <c r="L11" s="7">
        <f>+TONTOCT22!H11+TONTOCT22!I11</f>
        <v>0</v>
      </c>
      <c r="M11" s="7">
        <f>VLOOKUP($A11,[10]HISTONOV22!$A$7:$AU$38,16,0)</f>
        <v>0</v>
      </c>
      <c r="N11" s="7" t="str">
        <f>IF(M11&lt;&gt;0,VLOOKUP($A11,[10]HISTONOV22!$A$7:$AU$38,8,0),"ECHEC")</f>
        <v>ECHEC</v>
      </c>
      <c r="O11" s="7">
        <f>IF(R11=0,0,VLOOKUP($A11,[10]HISTONOV22!$A$7:$AU$38,32,0))</f>
        <v>0</v>
      </c>
      <c r="P11" s="7">
        <f>VLOOKUP($A11,[10]HISTONOV22!$A$7:$AU$38,33,0)</f>
        <v>0</v>
      </c>
      <c r="Q11" s="7">
        <f t="shared" si="0"/>
        <v>0</v>
      </c>
      <c r="R11" s="7">
        <f>VLOOKUP($A11,[10]HISTONOV22!$A$7:$AU$38,29,0)</f>
        <v>0</v>
      </c>
      <c r="S11" s="21">
        <f t="shared" si="2"/>
        <v>0</v>
      </c>
    </row>
    <row r="12" spans="1:19" x14ac:dyDescent="0.25">
      <c r="A12" s="1" t="s">
        <v>13</v>
      </c>
      <c r="B12" s="7">
        <f>IF(D12=0,0,VLOOKUP($A12,[8]HISTOJANV22!$A$6:$AZ$36,9,0))</f>
        <v>1</v>
      </c>
      <c r="C12" s="1" t="str">
        <f>VLOOKUP(A12,[9]LISTADHERENT!A$5:H$60,3,0)</f>
        <v>DONHOU DAVID</v>
      </c>
      <c r="D12" s="7">
        <f t="shared" si="1"/>
        <v>23000</v>
      </c>
      <c r="E12" s="7">
        <f>D12+VLOOKUP($A12,[10]HISTONOV22!$A$7:$AU$38,45,0)+F12</f>
        <v>35000</v>
      </c>
      <c r="F12" s="7">
        <f>VLOOKUP($A12,[10]HISTONOV22!$A$7:$AU$38,7,0)</f>
        <v>0</v>
      </c>
      <c r="G12" s="7" t="str">
        <f>VLOOKUP($A12,[10]HISTONOV22!$A$7:$AU$38,8,0)</f>
        <v>BANQUE</v>
      </c>
      <c r="H12" s="7">
        <f>VLOOKUP($A12,[10]HISTONOV22!$A$7:$AU$38,35,0)</f>
        <v>0</v>
      </c>
      <c r="I12" s="7">
        <f>VLOOKUP($A12,[10]HISTONOV22!$A$7:$AU$38,38,0)</f>
        <v>0</v>
      </c>
      <c r="J12" s="7">
        <f>IF(I12=0,0,VLOOKUP($A12,[10]HISTONOV22!$A$7:$AU$38,42,0))</f>
        <v>0</v>
      </c>
      <c r="K12" s="7">
        <f>VLOOKUP($A12,[10]HISTONOV22!$A$7:$AU$38,41,0)</f>
        <v>0</v>
      </c>
      <c r="L12" s="7">
        <f>+TONTOCT22!H12+TONTOCT22!I12</f>
        <v>0</v>
      </c>
      <c r="M12" s="7">
        <f>VLOOKUP($A12,[10]HISTONOV22!$A$7:$AU$38,16,0)</f>
        <v>0</v>
      </c>
      <c r="N12" s="7" t="str">
        <f>IF(M12&lt;&gt;0,VLOOKUP($A12,[10]HISTONOV22!$A$7:$AU$38,8,0),"ECHEC")</f>
        <v>ECHEC</v>
      </c>
      <c r="O12" s="7">
        <f>IF(R12=0,0,VLOOKUP($A12,[10]HISTONOV22!$A$7:$AU$38,32,0))</f>
        <v>0</v>
      </c>
      <c r="P12" s="7">
        <f>VLOOKUP($A12,[10]HISTONOV22!$A$7:$AU$38,33,0)</f>
        <v>0</v>
      </c>
      <c r="Q12" s="7">
        <f t="shared" si="0"/>
        <v>0</v>
      </c>
      <c r="R12" s="7">
        <f>VLOOKUP($A12,[10]HISTONOV22!$A$7:$AU$38,29,0)</f>
        <v>0</v>
      </c>
      <c r="S12" s="21">
        <f t="shared" si="2"/>
        <v>0</v>
      </c>
    </row>
    <row r="13" spans="1:19" x14ac:dyDescent="0.25">
      <c r="A13" s="1" t="s">
        <v>15</v>
      </c>
      <c r="B13" s="7">
        <f>IF(D13=0,0,VLOOKUP($A13,[8]HISTOJANV22!$A$6:$AZ$36,9,0))</f>
        <v>1</v>
      </c>
      <c r="C13" s="1" t="str">
        <f>VLOOKUP(A13,[9]LISTADHERENT!A$5:H$60,3,0)</f>
        <v>HENGUE PAUL OMER</v>
      </c>
      <c r="D13" s="7">
        <f t="shared" si="1"/>
        <v>23000</v>
      </c>
      <c r="E13" s="7">
        <f>D13+VLOOKUP($A13,[10]HISTONOV22!$A$7:$AU$38,45,0)+F13</f>
        <v>30000</v>
      </c>
      <c r="F13" s="7">
        <f>VLOOKUP($A13,[10]HISTONOV22!$A$7:$AU$38,7,0)</f>
        <v>0</v>
      </c>
      <c r="G13" s="7" t="str">
        <f>VLOOKUP($A13,[10]HISTONOV22!$A$7:$AU$38,8,0)</f>
        <v>BANQUE</v>
      </c>
      <c r="H13" s="7">
        <f>VLOOKUP($A13,[10]HISTONOV22!$A$7:$AU$38,35,0)</f>
        <v>0</v>
      </c>
      <c r="I13" s="7">
        <f>VLOOKUP($A13,[10]HISTONOV22!$A$7:$AU$38,38,0)</f>
        <v>0</v>
      </c>
      <c r="J13" s="7">
        <f>IF(I13=0,0,VLOOKUP($A13,[10]HISTONOV22!$A$7:$AU$38,42,0))</f>
        <v>0</v>
      </c>
      <c r="K13" s="7">
        <f>VLOOKUP($A13,[10]HISTONOV22!$A$7:$AU$38,41,0)</f>
        <v>0</v>
      </c>
      <c r="L13" s="7">
        <f>+TONTOCT22!H13+TONTOCT22!I13</f>
        <v>0</v>
      </c>
      <c r="M13" s="7">
        <f>VLOOKUP($A13,[10]HISTONOV22!$A$7:$AU$38,16,0)</f>
        <v>0</v>
      </c>
      <c r="N13" s="7" t="str">
        <f>IF(M13&lt;&gt;0,VLOOKUP($A13,[10]HISTONOV22!$A$7:$AU$38,8,0),"ECHEC")</f>
        <v>ECHEC</v>
      </c>
      <c r="O13" s="7">
        <f>IF(R13=0,0,VLOOKUP($A13,[10]HISTONOV22!$A$7:$AU$38,32,0))</f>
        <v>0</v>
      </c>
      <c r="P13" s="7">
        <f>VLOOKUP($A13,[10]HISTONOV22!$A$7:$AU$38,33,0)</f>
        <v>0</v>
      </c>
      <c r="Q13" s="7">
        <f t="shared" si="0"/>
        <v>0</v>
      </c>
      <c r="R13" s="7">
        <f>VLOOKUP($A13,[10]HISTONOV22!$A$7:$AU$38,29,0)</f>
        <v>0</v>
      </c>
      <c r="S13" s="21">
        <f t="shared" si="2"/>
        <v>0</v>
      </c>
    </row>
    <row r="14" spans="1:19" x14ac:dyDescent="0.25">
      <c r="A14" s="1" t="s">
        <v>16</v>
      </c>
      <c r="B14" s="7">
        <f>IF(D14=0,0,VLOOKUP($A14,[8]HISTOJANV22!$A$6:$AZ$36,9,0))</f>
        <v>1</v>
      </c>
      <c r="C14" s="1" t="str">
        <f>VLOOKUP(A14,[9]LISTADHERENT!A$5:H$60,3,0)</f>
        <v>HOTCHO BENJAMIN</v>
      </c>
      <c r="D14" s="7">
        <f t="shared" si="1"/>
        <v>23000</v>
      </c>
      <c r="E14" s="7">
        <f>D14+VLOOKUP($A14,[10]HISTONOV22!$A$7:$AU$38,45,0)+F14</f>
        <v>75000</v>
      </c>
      <c r="F14" s="7">
        <f>VLOOKUP($A14,[10]HISTONOV22!$A$7:$AU$38,7,0)</f>
        <v>0</v>
      </c>
      <c r="G14" s="7" t="str">
        <f>VLOOKUP($A14,[10]HISTONOV22!$A$7:$AU$38,8,0)</f>
        <v>BANQUE</v>
      </c>
      <c r="H14" s="7">
        <f>VLOOKUP($A14,[10]HISTONOV22!$A$7:$AU$38,35,0)</f>
        <v>0</v>
      </c>
      <c r="I14" s="7">
        <f>VLOOKUP($A14,[10]HISTONOV22!$A$7:$AU$38,38,0)</f>
        <v>0</v>
      </c>
      <c r="J14" s="7">
        <f>IF(I14=0,0,VLOOKUP($A14,[10]HISTONOV22!$A$7:$AU$38,42,0))</f>
        <v>0</v>
      </c>
      <c r="K14" s="7">
        <f>VLOOKUP($A14,[10]HISTONOV22!$A$7:$AU$38,41,0)</f>
        <v>0</v>
      </c>
      <c r="L14" s="7">
        <f>+TONTOCT22!H14+TONTOCT22!I14</f>
        <v>0</v>
      </c>
      <c r="M14" s="7">
        <f>VLOOKUP($A14,[10]HISTONOV22!$A$7:$AU$38,16,0)</f>
        <v>0</v>
      </c>
      <c r="N14" s="7" t="str">
        <f>IF(M14&lt;&gt;0,VLOOKUP($A14,[10]HISTONOV22!$A$7:$AU$38,8,0),"ECHEC")</f>
        <v>ECHEC</v>
      </c>
      <c r="O14" s="7">
        <f>IF(R14=0,0,VLOOKUP($A14,[10]HISTONOV22!$A$7:$AU$38,32,0))</f>
        <v>0</v>
      </c>
      <c r="P14" s="7">
        <f>VLOOKUP($A14,[10]HISTONOV22!$A$7:$AU$38,33,0)</f>
        <v>0</v>
      </c>
      <c r="Q14" s="7">
        <f t="shared" si="0"/>
        <v>0</v>
      </c>
      <c r="R14" s="7">
        <f>VLOOKUP($A14,[10]HISTONOV22!$A$7:$AU$38,29,0)</f>
        <v>0</v>
      </c>
      <c r="S14" s="21">
        <f t="shared" si="2"/>
        <v>0</v>
      </c>
    </row>
    <row r="15" spans="1:19" x14ac:dyDescent="0.25">
      <c r="A15" s="1" t="s">
        <v>17</v>
      </c>
      <c r="B15" s="7">
        <f>IF(D15=0,0,VLOOKUP($A15,[8]HISTOJANV22!$A$6:$AZ$36,9,0))</f>
        <v>1</v>
      </c>
      <c r="C15" s="1" t="str">
        <f>VLOOKUP(A15,[9]LISTADHERENT!A$5:H$60,3,0)</f>
        <v>KOUAMOU MOISE</v>
      </c>
      <c r="D15" s="7">
        <f t="shared" si="1"/>
        <v>23000</v>
      </c>
      <c r="E15" s="7">
        <f>D15+VLOOKUP($A15,[10]HISTONOV22!$A$7:$AU$38,45,0)+F15</f>
        <v>30000</v>
      </c>
      <c r="F15" s="7">
        <f>VLOOKUP($A15,[10]HISTONOV22!$A$7:$AU$38,7,0)</f>
        <v>0</v>
      </c>
      <c r="G15" s="7" t="str">
        <f>VLOOKUP($A15,[10]HISTONOV22!$A$7:$AU$38,8,0)</f>
        <v>BANQUE</v>
      </c>
      <c r="H15" s="7">
        <f>VLOOKUP($A15,[10]HISTONOV22!$A$7:$AU$38,35,0)</f>
        <v>0</v>
      </c>
      <c r="I15" s="7">
        <f>VLOOKUP($A15,[10]HISTONOV22!$A$7:$AU$38,38,0)</f>
        <v>0</v>
      </c>
      <c r="J15" s="7">
        <f>IF(I15=0,0,VLOOKUP($A15,[10]HISTONOV22!$A$7:$AU$38,42,0))</f>
        <v>0</v>
      </c>
      <c r="K15" s="7">
        <f>VLOOKUP($A15,[10]HISTONOV22!$A$7:$AU$38,41,0)</f>
        <v>0</v>
      </c>
      <c r="L15" s="7">
        <f>+TONTOCT22!H15+TONTOCT22!I15</f>
        <v>0</v>
      </c>
      <c r="M15" s="7">
        <f>VLOOKUP($A15,[10]HISTONOV22!$A$7:$AU$38,16,0)</f>
        <v>0</v>
      </c>
      <c r="N15" s="7" t="str">
        <f>IF(M15&lt;&gt;0,VLOOKUP($A15,[10]HISTONOV22!$A$7:$AU$38,8,0),"ECHEC")</f>
        <v>ECHEC</v>
      </c>
      <c r="O15" s="7">
        <f>IF(R15=0,0,VLOOKUP($A15,[10]HISTONOV22!$A$7:$AU$38,32,0))</f>
        <v>0</v>
      </c>
      <c r="P15" s="7">
        <f>VLOOKUP($A15,[10]HISTONOV22!$A$7:$AU$38,33,0)</f>
        <v>0</v>
      </c>
      <c r="Q15" s="7">
        <f t="shared" si="0"/>
        <v>0</v>
      </c>
      <c r="R15" s="7">
        <f>VLOOKUP($A15,[10]HISTONOV22!$A$7:$AU$38,29,0)</f>
        <v>0</v>
      </c>
      <c r="S15" s="21">
        <f t="shared" si="2"/>
        <v>0</v>
      </c>
    </row>
    <row r="16" spans="1:19" x14ac:dyDescent="0.25">
      <c r="A16" s="1" t="s">
        <v>18</v>
      </c>
      <c r="B16" s="7">
        <f>IF(D16=0,0,VLOOKUP($A16,[8]HISTOJANV22!$A$6:$AZ$36,9,0))</f>
        <v>1</v>
      </c>
      <c r="C16" s="1" t="str">
        <f>VLOOKUP(A16,[9]LISTADHERENT!A$5:H$60,3,0)</f>
        <v>KOUATCHO MESSACK</v>
      </c>
      <c r="D16" s="7">
        <f t="shared" si="1"/>
        <v>23000</v>
      </c>
      <c r="E16" s="7">
        <f>D16+VLOOKUP($A16,[10]HISTONOV22!$A$7:$AU$38,45,0)+F16</f>
        <v>31500</v>
      </c>
      <c r="F16" s="7">
        <f>VLOOKUP($A16,[10]HISTONOV22!$A$7:$AU$38,7,0)</f>
        <v>0</v>
      </c>
      <c r="G16" s="7" t="str">
        <f>VLOOKUP($A16,[10]HISTONOV22!$A$7:$AU$38,8,0)</f>
        <v>BANQUE</v>
      </c>
      <c r="H16" s="7">
        <f>VLOOKUP($A16,[10]HISTONOV22!$A$7:$AU$38,35,0)</f>
        <v>0</v>
      </c>
      <c r="I16" s="7">
        <f>VLOOKUP($A16,[10]HISTONOV22!$A$7:$AU$38,38,0)</f>
        <v>0</v>
      </c>
      <c r="J16" s="7">
        <f>IF(I16=0,0,VLOOKUP($A16,[10]HISTONOV22!$A$7:$AU$38,42,0))</f>
        <v>0</v>
      </c>
      <c r="K16" s="7">
        <f>VLOOKUP($A16,[10]HISTONOV22!$A$7:$AU$38,41,0)</f>
        <v>0</v>
      </c>
      <c r="L16" s="7">
        <f>+TONTOCT22!H16+TONTOCT22!I16</f>
        <v>0</v>
      </c>
      <c r="M16" s="7">
        <f>VLOOKUP($A16,[10]HISTONOV22!$A$7:$AU$38,16,0)</f>
        <v>0</v>
      </c>
      <c r="N16" s="7" t="str">
        <f>IF(M16&lt;&gt;0,VLOOKUP($A16,[10]HISTONOV22!$A$7:$AU$38,8,0),"ECHEC")</f>
        <v>ECHEC</v>
      </c>
      <c r="O16" s="7">
        <f>IF(R16=0,0,VLOOKUP($A16,[10]HISTONOV22!$A$7:$AU$38,32,0))</f>
        <v>0</v>
      </c>
      <c r="P16" s="7">
        <f>VLOOKUP($A16,[10]HISTONOV22!$A$7:$AU$38,33,0)</f>
        <v>0</v>
      </c>
      <c r="Q16" s="7">
        <f t="shared" si="0"/>
        <v>0</v>
      </c>
      <c r="R16" s="7">
        <f>VLOOKUP($A16,[10]HISTONOV22!$A$7:$AU$38,29,0)</f>
        <v>0</v>
      </c>
      <c r="S16" s="21">
        <f t="shared" si="2"/>
        <v>0</v>
      </c>
    </row>
    <row r="17" spans="1:19" x14ac:dyDescent="0.25">
      <c r="A17" s="1" t="s">
        <v>19</v>
      </c>
      <c r="B17" s="7">
        <f>IF(D17=0,0,VLOOKUP($A17,[8]HISTOJANV22!$A$6:$AZ$36,9,0))</f>
        <v>1</v>
      </c>
      <c r="C17" s="1" t="str">
        <f>VLOOKUP(A17,[9]LISTADHERENT!A$5:H$60,3,0)</f>
        <v>LOWE JEAN</v>
      </c>
      <c r="D17" s="7">
        <f t="shared" si="1"/>
        <v>23000</v>
      </c>
      <c r="E17" s="7">
        <f>D17+VLOOKUP($A17,[10]HISTONOV22!$A$7:$AU$38,45,0)+F17</f>
        <v>30000</v>
      </c>
      <c r="F17" s="7">
        <f>VLOOKUP($A17,[10]HISTONOV22!$A$7:$AU$38,7,0)</f>
        <v>0</v>
      </c>
      <c r="G17" s="7" t="str">
        <f>VLOOKUP($A17,[10]HISTONOV22!$A$7:$AU$38,8,0)</f>
        <v>BANQUE</v>
      </c>
      <c r="H17" s="7">
        <f>VLOOKUP($A17,[10]HISTONOV22!$A$7:$AU$38,35,0)</f>
        <v>0</v>
      </c>
      <c r="I17" s="7">
        <f>VLOOKUP($A17,[10]HISTONOV22!$A$7:$AU$38,38,0)</f>
        <v>0</v>
      </c>
      <c r="J17" s="7">
        <f>IF(I17=0,0,VLOOKUP($A17,[10]HISTONOV22!$A$7:$AU$38,42,0))</f>
        <v>0</v>
      </c>
      <c r="K17" s="7">
        <f>VLOOKUP($A17,[10]HISTONOV22!$A$7:$AU$38,41,0)</f>
        <v>0</v>
      </c>
      <c r="L17" s="7">
        <f>+TONTOCT22!H17+TONTOCT22!I17</f>
        <v>0</v>
      </c>
      <c r="M17" s="7">
        <f>VLOOKUP($A17,[10]HISTONOV22!$A$7:$AU$38,16,0)</f>
        <v>0</v>
      </c>
      <c r="N17" s="7" t="str">
        <f>IF(M17&lt;&gt;0,VLOOKUP($A17,[10]HISTONOV22!$A$7:$AU$38,8,0),"ECHEC")</f>
        <v>ECHEC</v>
      </c>
      <c r="O17" s="7">
        <f>IF(R17=0,0,VLOOKUP($A17,[10]HISTONOV22!$A$7:$AU$38,32,0))</f>
        <v>0</v>
      </c>
      <c r="P17" s="7">
        <f>VLOOKUP($A17,[10]HISTONOV22!$A$7:$AU$38,33,0)</f>
        <v>0</v>
      </c>
      <c r="Q17" s="7">
        <f t="shared" si="0"/>
        <v>0</v>
      </c>
      <c r="R17" s="7">
        <f>VLOOKUP($A17,[10]HISTONOV22!$A$7:$AU$38,29,0)</f>
        <v>0</v>
      </c>
      <c r="S17" s="21">
        <f t="shared" si="2"/>
        <v>0</v>
      </c>
    </row>
    <row r="18" spans="1:19" x14ac:dyDescent="0.25">
      <c r="A18" s="1" t="s">
        <v>49</v>
      </c>
      <c r="B18" s="7">
        <f>IF(D18=0,0,VLOOKUP($A18,[8]HISTOJANV22!$A$6:$AZ$36,9,0))</f>
        <v>1</v>
      </c>
      <c r="C18" s="1" t="str">
        <f>VLOOKUP(A18,[9]LISTADHERENT!A$5:H$60,3,0)</f>
        <v>MBOGNING TUGMA GUY</v>
      </c>
      <c r="D18" s="7">
        <f t="shared" si="1"/>
        <v>23000</v>
      </c>
      <c r="E18" s="7">
        <f>D18+VLOOKUP($A18,[10]HISTONOV22!$A$7:$AU$38,45,0)+F18</f>
        <v>30000</v>
      </c>
      <c r="F18" s="7">
        <f>VLOOKUP($A18,[10]HISTONOV22!$A$7:$AU$38,7,0)</f>
        <v>0</v>
      </c>
      <c r="G18" s="7" t="str">
        <f>VLOOKUP($A18,[10]HISTONOV22!$A$7:$AU$38,8,0)</f>
        <v>BANQUE</v>
      </c>
      <c r="H18" s="7">
        <f>VLOOKUP($A18,[10]HISTONOV22!$A$7:$AU$38,35,0)</f>
        <v>0</v>
      </c>
      <c r="I18" s="7">
        <f>VLOOKUP($A18,[10]HISTONOV22!$A$7:$AU$38,38,0)</f>
        <v>0</v>
      </c>
      <c r="J18" s="7">
        <f>IF(I18=0,0,VLOOKUP($A18,[10]HISTONOV22!$A$7:$AU$38,42,0))</f>
        <v>0</v>
      </c>
      <c r="K18" s="7">
        <f>VLOOKUP($A18,[10]HISTONOV22!$A$7:$AU$38,41,0)</f>
        <v>0</v>
      </c>
      <c r="L18" s="7">
        <f>+TONTOCT22!H18+TONTOCT22!I18</f>
        <v>0</v>
      </c>
      <c r="M18" s="7">
        <f>VLOOKUP($A18,[10]HISTONOV22!$A$7:$AU$38,16,0)</f>
        <v>0</v>
      </c>
      <c r="N18" s="7" t="str">
        <f>IF(M18&lt;&gt;0,VLOOKUP($A18,[10]HISTONOV22!$A$7:$AU$38,8,0),"ECHEC")</f>
        <v>ECHEC</v>
      </c>
      <c r="O18" s="7">
        <f>IF(R18=0,0,VLOOKUP($A18,[10]HISTONOV22!$A$7:$AU$38,32,0))</f>
        <v>0</v>
      </c>
      <c r="P18" s="7">
        <f>VLOOKUP($A18,[10]HISTONOV22!$A$7:$AU$38,33,0)</f>
        <v>0</v>
      </c>
      <c r="Q18" s="7">
        <f t="shared" si="0"/>
        <v>0</v>
      </c>
      <c r="R18" s="7">
        <f>VLOOKUP($A18,[10]HISTONOV22!$A$7:$AU$38,29,0)</f>
        <v>0</v>
      </c>
      <c r="S18" s="21">
        <f t="shared" si="2"/>
        <v>0</v>
      </c>
    </row>
    <row r="19" spans="1:19" x14ac:dyDescent="0.25">
      <c r="A19" s="1" t="s">
        <v>30</v>
      </c>
      <c r="B19" s="7">
        <f>IF(D19=0,0,VLOOKUP($A19,[8]HISTOJANV22!$A$6:$AZ$36,9,0))</f>
        <v>1</v>
      </c>
      <c r="C19" s="1" t="str">
        <f>VLOOKUP(A19,[9]LISTADHERENT!A$5:H$60,3,0)</f>
        <v>NANGUEN MARTIN</v>
      </c>
      <c r="D19" s="7">
        <f t="shared" si="1"/>
        <v>23000</v>
      </c>
      <c r="E19" s="7">
        <f>D19+VLOOKUP($A19,[10]HISTONOV22!$A$7:$AU$38,45,0)+F19</f>
        <v>30000</v>
      </c>
      <c r="F19" s="7">
        <f>VLOOKUP($A19,[10]HISTONOV22!$A$7:$AU$38,7,0)</f>
        <v>0</v>
      </c>
      <c r="G19" s="7" t="str">
        <f>VLOOKUP($A19,[10]HISTONOV22!$A$7:$AU$38,8,0)</f>
        <v>BANQUE</v>
      </c>
      <c r="H19" s="7">
        <f>VLOOKUP($A19,[10]HISTONOV22!$A$7:$AU$38,35,0)</f>
        <v>0</v>
      </c>
      <c r="I19" s="7">
        <f>VLOOKUP($A19,[10]HISTONOV22!$A$7:$AU$38,38,0)</f>
        <v>0</v>
      </c>
      <c r="J19" s="7">
        <f>IF(I19=0,0,VLOOKUP($A19,[10]HISTONOV22!$A$7:$AU$38,42,0))</f>
        <v>0</v>
      </c>
      <c r="K19" s="7">
        <f>VLOOKUP($A19,[10]HISTONOV22!$A$7:$AU$38,41,0)</f>
        <v>0</v>
      </c>
      <c r="L19" s="7">
        <f>+TONTOCT22!H19+TONTOCT22!I19</f>
        <v>0</v>
      </c>
      <c r="M19" s="7">
        <f>VLOOKUP($A19,[10]HISTONOV22!$A$7:$AU$38,16,0)</f>
        <v>0</v>
      </c>
      <c r="N19" s="7" t="str">
        <f>IF(M19&lt;&gt;0,VLOOKUP($A19,[10]HISTONOV22!$A$7:$AU$38,8,0),"ECHEC")</f>
        <v>ECHEC</v>
      </c>
      <c r="O19" s="7" t="str">
        <f>IF(R19=0,0,VLOOKUP($A19,[10]HISTONOV22!$A$7:$AU$38,32,0))</f>
        <v>BANQUE</v>
      </c>
      <c r="P19" s="7">
        <f>VLOOKUP($A19,[10]HISTONOV22!$A$7:$AU$38,33,0)</f>
        <v>0</v>
      </c>
      <c r="Q19" s="7">
        <f t="shared" si="0"/>
        <v>277000</v>
      </c>
      <c r="R19" s="7">
        <f>VLOOKUP($A19,[10]HISTONOV22!$A$7:$AU$38,29,0)</f>
        <v>23000</v>
      </c>
      <c r="S19" s="21">
        <f t="shared" si="2"/>
        <v>0</v>
      </c>
    </row>
    <row r="20" spans="1:19" x14ac:dyDescent="0.25">
      <c r="A20" s="1" t="s">
        <v>20</v>
      </c>
      <c r="B20" s="7">
        <f>IF(D20=0,0,VLOOKUP($A20,[8]HISTOJANV22!$A$6:$AZ$36,9,0))</f>
        <v>1</v>
      </c>
      <c r="C20" s="1" t="str">
        <f>VLOOKUP(A20,[9]LISTADHERENT!A$5:H$60,3,0)</f>
        <v>NANKAM APPOLINAIRE</v>
      </c>
      <c r="D20" s="7">
        <f t="shared" si="1"/>
        <v>23000</v>
      </c>
      <c r="E20" s="7">
        <f>D20+VLOOKUP($A20,[10]HISTONOV22!$A$7:$AU$38,45,0)+F20</f>
        <v>30000</v>
      </c>
      <c r="F20" s="7">
        <f>VLOOKUP($A21,[10]HISTONOV22!$A$7:$AU$38,7,0)</f>
        <v>0</v>
      </c>
      <c r="G20" s="7" t="str">
        <f>VLOOKUP($A21,[10]HISTONOV22!$A$7:$AU$38,8,0)</f>
        <v>BANQUE</v>
      </c>
      <c r="H20" s="7">
        <f>VLOOKUP($A21,[10]HISTONOV22!$A$7:$AU$38,35,0)</f>
        <v>0</v>
      </c>
      <c r="I20" s="7">
        <f>VLOOKUP($A21,[10]HISTONOV22!$A$7:$AU$38,38,0)</f>
        <v>0</v>
      </c>
      <c r="J20" s="7">
        <f>IF(I21=0,0,VLOOKUP($A21,[10]HISTONOV22!$A$7:$AU$38,42,0))</f>
        <v>0</v>
      </c>
      <c r="K20" s="7">
        <f>VLOOKUP($A21,[10]HISTONOV22!$A$7:$AU$38,41,0)</f>
        <v>0</v>
      </c>
      <c r="L20" s="7">
        <f>+TONTOCT22!H20+TONTOCT22!I20</f>
        <v>0</v>
      </c>
      <c r="M20" s="7">
        <f>VLOOKUP($A21,[10]HISTONOV22!$A$7:$AU$38,16,0)</f>
        <v>0</v>
      </c>
      <c r="N20" s="7" t="str">
        <f>IF(M21&lt;&gt;0,VLOOKUP($A21,[10]HISTONOV22!$A$7:$AU$38,8,0),"ECHEC")</f>
        <v>ECHEC</v>
      </c>
      <c r="O20" s="7">
        <f>IF(R20=0,0,VLOOKUP($A20,[10]HISTONOV22!$A$7:$AU$38,32,0))</f>
        <v>0</v>
      </c>
      <c r="P20" s="7">
        <f>VLOOKUP($A21,[10]HISTONOV22!$A$7:$AU$38,33,0)</f>
        <v>0</v>
      </c>
      <c r="Q20" s="7">
        <f>IF(R21=0,0,($C$3-R21))</f>
        <v>0</v>
      </c>
      <c r="R20" s="7">
        <f>VLOOKUP($A21,[10]HISTONOV22!$A$7:$AU$38,29,0)</f>
        <v>0</v>
      </c>
      <c r="S20" s="21">
        <f t="shared" si="2"/>
        <v>0</v>
      </c>
    </row>
    <row r="21" spans="1:19" x14ac:dyDescent="0.25">
      <c r="A21" s="1" t="s">
        <v>21</v>
      </c>
      <c r="B21" s="7">
        <f>IF(D21=0,0,VLOOKUP($A21,[8]HISTOJANV22!$A$6:$AZ$36,9,0))</f>
        <v>1</v>
      </c>
      <c r="C21" s="1" t="str">
        <f>VLOOKUP(A21,[9]LISTADHERENT!A$5:H$60,3,0)</f>
        <v>NDJOMO ETIENNE</v>
      </c>
      <c r="D21" s="7">
        <f t="shared" si="1"/>
        <v>23000</v>
      </c>
      <c r="E21" s="7">
        <f>D21+VLOOKUP($A21,[10]HISTONOV22!$A$7:$AU$38,45,0)+F21</f>
        <v>40000</v>
      </c>
      <c r="F21" s="7">
        <f>VLOOKUP($A21,[10]HISTONOV22!$A$7:$AU$38,7,0)</f>
        <v>0</v>
      </c>
      <c r="G21" s="7" t="str">
        <f>VLOOKUP($A21,[10]HISTONOV22!$A$7:$AU$38,8,0)</f>
        <v>BANQUE</v>
      </c>
      <c r="H21" s="7">
        <f>VLOOKUP($A21,[10]HISTONOV22!$A$7:$AU$38,35,0)</f>
        <v>0</v>
      </c>
      <c r="I21" s="7">
        <f>VLOOKUP($A21,[10]HISTONOV22!$A$7:$AU$38,38,0)</f>
        <v>0</v>
      </c>
      <c r="J21" s="7">
        <f>IF(I21=0,0,VLOOKUP($A21,[10]HISTONOV22!$A$7:$AU$38,42,0))</f>
        <v>0</v>
      </c>
      <c r="K21" s="7">
        <f>VLOOKUP($A21,[10]HISTONOV22!$A$7:$AU$38,41,0)</f>
        <v>0</v>
      </c>
      <c r="L21" s="7">
        <f>+TONTOCT22!H21+TONTOCT22!I21</f>
        <v>0</v>
      </c>
      <c r="M21" s="7">
        <f>VLOOKUP($A21,[10]HISTONOV22!$A$7:$AU$38,16,0)</f>
        <v>0</v>
      </c>
      <c r="N21" s="7" t="str">
        <f>IF(M21&lt;&gt;0,VLOOKUP($A21,[10]HISTONOV22!$A$7:$AU$38,8,0),"ECHEC")</f>
        <v>ECHEC</v>
      </c>
      <c r="O21" s="7">
        <f>IF(R21=0,0,VLOOKUP($A21,[10]HISTONOV22!$A$7:$AU$38,32,0))</f>
        <v>0</v>
      </c>
      <c r="P21" s="7">
        <f>VLOOKUP($A21,[10]HISTONOV22!$A$7:$AU$38,33,0)</f>
        <v>0</v>
      </c>
      <c r="Q21" s="7">
        <f t="shared" si="0"/>
        <v>0</v>
      </c>
      <c r="R21" s="7">
        <f>VLOOKUP($A21,[10]HISTONOV22!$A$7:$AU$38,29,0)</f>
        <v>0</v>
      </c>
      <c r="S21" s="21">
        <f t="shared" si="2"/>
        <v>0</v>
      </c>
    </row>
    <row r="22" spans="1:19" x14ac:dyDescent="0.25">
      <c r="A22" s="1" t="s">
        <v>22</v>
      </c>
      <c r="B22" s="7">
        <f>IF(D22=0,0,VLOOKUP($A22,[8]HISTOJANV22!$A$6:$AZ$36,9,0))</f>
        <v>1</v>
      </c>
      <c r="C22" s="1" t="str">
        <f>VLOOKUP(A22,[9]LISTADHERENT!A$5:H$60,3,0)</f>
        <v>NGONDIEP CLAUDE</v>
      </c>
      <c r="D22" s="7">
        <f t="shared" si="1"/>
        <v>23000</v>
      </c>
      <c r="E22" s="7">
        <f>D22+VLOOKUP($A22,[10]HISTONOV22!$A$7:$AU$38,45,0)+F22</f>
        <v>33000</v>
      </c>
      <c r="F22" s="7">
        <f>VLOOKUP($A22,[10]HISTONOV22!$A$7:$AU$38,7,0)</f>
        <v>3000</v>
      </c>
      <c r="G22" s="7" t="str">
        <f>VLOOKUP($A22,[10]HISTONOV22!$A$7:$AU$38,8,0)</f>
        <v>BANQUE</v>
      </c>
      <c r="H22" s="7">
        <f>VLOOKUP($A22,[10]HISTONOV22!$A$7:$AU$38,35,0)</f>
        <v>0</v>
      </c>
      <c r="I22" s="7">
        <f>VLOOKUP($A22,[10]HISTONOV22!$A$7:$AU$38,38,0)</f>
        <v>0</v>
      </c>
      <c r="J22" s="7">
        <f>IF(I22=0,0,VLOOKUP($A22,[10]HISTONOV22!$A$7:$AU$38,42,0))</f>
        <v>0</v>
      </c>
      <c r="K22" s="7">
        <f>VLOOKUP($A22,[10]HISTONOV22!$A$7:$AU$38,41,0)</f>
        <v>0</v>
      </c>
      <c r="L22" s="7">
        <f>+TONTOCT22!H22+TONTOCT22!I22</f>
        <v>0</v>
      </c>
      <c r="M22" s="7">
        <f>VLOOKUP($A22,[10]HISTONOV22!$A$7:$AU$38,16,0)</f>
        <v>0</v>
      </c>
      <c r="N22" s="7" t="str">
        <f>IF(M22&lt;&gt;0,VLOOKUP($A22,[10]HISTONOV22!$A$7:$AU$38,8,0),"ECHEC")</f>
        <v>ECHEC</v>
      </c>
      <c r="O22" s="7">
        <f>IF(R22=0,0,VLOOKUP($A22,[10]HISTONOV22!$A$7:$AU$38,32,0))</f>
        <v>0</v>
      </c>
      <c r="P22" s="7">
        <f>VLOOKUP($A22,[10]HISTONOV22!$A$7:$AU$38,33,0)</f>
        <v>0</v>
      </c>
      <c r="Q22" s="7">
        <f t="shared" si="0"/>
        <v>0</v>
      </c>
      <c r="R22" s="7">
        <f>VLOOKUP($A22,[10]HISTONOV22!$A$7:$AU$38,29,0)</f>
        <v>0</v>
      </c>
      <c r="S22" s="21">
        <f t="shared" si="2"/>
        <v>0</v>
      </c>
    </row>
    <row r="23" spans="1:19" x14ac:dyDescent="0.25">
      <c r="A23" s="1" t="s">
        <v>23</v>
      </c>
      <c r="B23" s="7">
        <f>IF(D23=0,0,VLOOKUP($A23,[8]HISTOJANV22!$A$6:$AZ$36,9,0))</f>
        <v>1</v>
      </c>
      <c r="C23" s="1" t="str">
        <f>VLOOKUP(A23,[9]LISTADHERENT!A$5:H$60,3,0)</f>
        <v>NGUIEMEGNI MATHIEU BLAISE</v>
      </c>
      <c r="D23" s="7">
        <f t="shared" si="1"/>
        <v>23000</v>
      </c>
      <c r="E23" s="7">
        <f>D23+VLOOKUP($A23,[10]HISTONOV22!$A$7:$AU$38,45,0)+F23</f>
        <v>53000</v>
      </c>
      <c r="F23" s="7">
        <f>VLOOKUP($A23,[10]HISTONOV22!$A$7:$AU$38,7,0)</f>
        <v>0</v>
      </c>
      <c r="G23" s="7" t="str">
        <f>VLOOKUP($A23,[10]HISTONOV22!$A$7:$AU$38,8,0)</f>
        <v>BANQUE</v>
      </c>
      <c r="H23" s="7">
        <f>VLOOKUP($A23,[10]HISTONOV22!$A$7:$AU$38,35,0)</f>
        <v>0</v>
      </c>
      <c r="I23" s="7">
        <f>VLOOKUP($A23,[10]HISTONOV22!$A$7:$AU$38,38,0)</f>
        <v>0</v>
      </c>
      <c r="J23" s="7">
        <f>IF(I23=0,0,VLOOKUP($A23,[10]HISTONOV22!$A$7:$AU$38,42,0))</f>
        <v>0</v>
      </c>
      <c r="K23" s="7">
        <f>VLOOKUP($A23,[10]HISTONOV22!$A$7:$AU$38,41,0)</f>
        <v>0</v>
      </c>
      <c r="L23" s="7">
        <f>+TONTOCT22!H23+TONTOCT22!I23</f>
        <v>0</v>
      </c>
      <c r="M23" s="7">
        <f>VLOOKUP($A23,[10]HISTONOV22!$A$7:$AU$38,16,0)</f>
        <v>0</v>
      </c>
      <c r="N23" s="7" t="str">
        <f>IF(M23&lt;&gt;0,VLOOKUP($A23,[10]HISTONOV22!$A$7:$AU$38,8,0),"ECHEC")</f>
        <v>ECHEC</v>
      </c>
      <c r="O23" s="7">
        <f>IF(R23=0,0,VLOOKUP($A23,[10]HISTONOV22!$A$7:$AU$38,32,0))</f>
        <v>0</v>
      </c>
      <c r="P23" s="7">
        <f>VLOOKUP($A23,[10]HISTONOV22!$A$7:$AU$38,33,0)</f>
        <v>0</v>
      </c>
      <c r="Q23" s="7">
        <f t="shared" si="0"/>
        <v>0</v>
      </c>
      <c r="R23" s="7">
        <f>VLOOKUP($A23,[10]HISTONOV22!$A$7:$AU$38,29,0)</f>
        <v>0</v>
      </c>
      <c r="S23" s="21">
        <f t="shared" si="2"/>
        <v>0</v>
      </c>
    </row>
    <row r="24" spans="1:19" x14ac:dyDescent="0.25">
      <c r="A24" s="1" t="s">
        <v>24</v>
      </c>
      <c r="B24" s="7">
        <f>IF(D24=0,0,VLOOKUP($A24,[8]HISTOJANV22!$A$6:$AZ$36,9,0))</f>
        <v>1</v>
      </c>
      <c r="C24" s="1" t="str">
        <f>VLOOKUP(A24,[9]LISTADHERENT!A$5:H$60,3,0)</f>
        <v>NKAMGANG JUSTIN DEJOLIE</v>
      </c>
      <c r="D24" s="7">
        <f t="shared" si="1"/>
        <v>23000</v>
      </c>
      <c r="E24" s="7">
        <f>D24+VLOOKUP($A24,[10]HISTONOV22!$A$7:$AU$38,45,0)+F24</f>
        <v>30000</v>
      </c>
      <c r="F24" s="7">
        <f>VLOOKUP($A24,[10]HISTONOV22!$A$7:$AU$38,7,0)</f>
        <v>0</v>
      </c>
      <c r="G24" s="7" t="str">
        <f>VLOOKUP($A24,[10]HISTONOV22!$A$7:$AU$38,8,0)</f>
        <v>BANQUE</v>
      </c>
      <c r="H24" s="7">
        <f>VLOOKUP($A24,[10]HISTONOV22!$A$7:$AU$38,35,0)</f>
        <v>40000</v>
      </c>
      <c r="I24" s="7">
        <f>VLOOKUP($A24,[10]HISTONOV22!$A$7:$AU$38,38,0)</f>
        <v>1000</v>
      </c>
      <c r="J24" s="7" t="str">
        <f>IF(I24=0,0,VLOOKUP($A24,[10]HISTONOV22!$A$7:$AU$38,42,0))</f>
        <v>BANQUE</v>
      </c>
      <c r="K24" s="7">
        <f>VLOOKUP($A24,[10]HISTONOV22!$A$7:$AU$38,41,0)</f>
        <v>0</v>
      </c>
      <c r="L24" s="7">
        <f>+TONTOCT22!H24+TONTOCT22!I24</f>
        <v>0</v>
      </c>
      <c r="M24" s="7">
        <f>VLOOKUP($A24,[10]HISTONOV22!$A$7:$AU$38,16,0)</f>
        <v>0</v>
      </c>
      <c r="N24" s="7" t="str">
        <f>IF(M24&lt;&gt;0,VLOOKUP($A24,[10]HISTONOV22!$A$7:$AU$38,8,0),"ECHEC")</f>
        <v>ECHEC</v>
      </c>
      <c r="O24" s="7">
        <f>IF(R24=0,0,VLOOKUP($A24,[10]HISTONOV22!$A$7:$AU$38,32,0))</f>
        <v>0</v>
      </c>
      <c r="P24" s="7">
        <f>VLOOKUP($A24,[10]HISTONOV22!$A$7:$AU$38,33,0)</f>
        <v>0</v>
      </c>
      <c r="Q24" s="7">
        <f t="shared" si="0"/>
        <v>0</v>
      </c>
      <c r="R24" s="7">
        <f>VLOOKUP($A24,[10]HISTONOV22!$A$7:$AU$38,29,0)</f>
        <v>0</v>
      </c>
      <c r="S24" s="21">
        <f t="shared" si="2"/>
        <v>0</v>
      </c>
    </row>
    <row r="25" spans="1:19" x14ac:dyDescent="0.25">
      <c r="A25" s="1" t="s">
        <v>25</v>
      </c>
      <c r="B25" s="7">
        <f>IF(D25=0,0,VLOOKUP($A25,[8]HISTOJANV22!$A$6:$AZ$36,9,0))</f>
        <v>1</v>
      </c>
      <c r="C25" s="1" t="str">
        <f>VLOOKUP(A25,[9]LISTADHERENT!A$5:H$60,3,0)</f>
        <v>NKEPSEU DIEUDONNE</v>
      </c>
      <c r="D25" s="7">
        <f t="shared" si="1"/>
        <v>23000</v>
      </c>
      <c r="E25" s="7">
        <f>D25+VLOOKUP($A25,[10]HISTONOV22!$A$7:$AU$38,45,0)+F25</f>
        <v>30000</v>
      </c>
      <c r="F25" s="7">
        <f>VLOOKUP($A25,[10]HISTONOV22!$A$7:$AU$38,7,0)</f>
        <v>0</v>
      </c>
      <c r="G25" s="7" t="str">
        <f>VLOOKUP($A25,[10]HISTONOV22!$A$7:$AU$38,8,0)</f>
        <v>BANQUE</v>
      </c>
      <c r="H25" s="7">
        <f>VLOOKUP($A25,[10]HISTONOV22!$A$7:$AU$38,35,0)</f>
        <v>0</v>
      </c>
      <c r="I25" s="7">
        <f>VLOOKUP($A25,[10]HISTONOV22!$A$7:$AU$38,38,0)</f>
        <v>0</v>
      </c>
      <c r="J25" s="7">
        <f>IF(I25=0,0,VLOOKUP($A25,[10]HISTONOV22!$A$7:$AU$38,42,0))</f>
        <v>0</v>
      </c>
      <c r="K25" s="7">
        <f>VLOOKUP($A25,[10]HISTONOV22!$A$7:$AU$38,41,0)</f>
        <v>0</v>
      </c>
      <c r="L25" s="7">
        <f>+TONTOCT22!H25+TONTOCT22!I25</f>
        <v>0</v>
      </c>
      <c r="M25" s="7">
        <f>VLOOKUP($A25,[10]HISTONOV22!$A$7:$AU$38,16,0)</f>
        <v>0</v>
      </c>
      <c r="N25" s="7" t="str">
        <f>IF(M25&lt;&gt;0,VLOOKUP($A25,[10]HISTONOV22!$A$7:$AU$38,8,0),"ECHEC")</f>
        <v>ECHEC</v>
      </c>
      <c r="O25" s="7">
        <f>IF(R25=0,0,VLOOKUP($A25,[10]HISTONOV22!$A$7:$AU$38,32,0))</f>
        <v>0</v>
      </c>
      <c r="P25" s="7">
        <f>VLOOKUP($A25,[10]HISTONOV22!$A$7:$AU$38,33,0)</f>
        <v>0</v>
      </c>
      <c r="Q25" s="7">
        <f t="shared" si="0"/>
        <v>0</v>
      </c>
      <c r="R25" s="7">
        <f>VLOOKUP($A25,[10]HISTONOV22!$A$7:$AU$38,29,0)</f>
        <v>0</v>
      </c>
      <c r="S25" s="21">
        <f t="shared" si="2"/>
        <v>0</v>
      </c>
    </row>
    <row r="26" spans="1:19" x14ac:dyDescent="0.25">
      <c r="A26" s="1" t="s">
        <v>26</v>
      </c>
      <c r="B26" s="7">
        <f>IF(D26=0,0,VLOOKUP($A26,[8]HISTOJANV22!$A$6:$AZ$36,9,0))</f>
        <v>1</v>
      </c>
      <c r="C26" s="1" t="str">
        <f>VLOOKUP(A26,[9]LISTADHERENT!A$5:H$60,3,0)</f>
        <v>PATEGO NJOSSU GUSTAVE</v>
      </c>
      <c r="D26" s="7">
        <f t="shared" si="1"/>
        <v>23000</v>
      </c>
      <c r="E26" s="7">
        <f>D26+VLOOKUP($A26,[10]HISTONOV22!$A$7:$AU$38,45,0)+F26</f>
        <v>30000</v>
      </c>
      <c r="F26" s="7">
        <f>VLOOKUP($A26,[10]HISTONOV22!$A$7:$AU$38,7,0)</f>
        <v>0</v>
      </c>
      <c r="G26" s="7" t="str">
        <f>VLOOKUP($A26,[10]HISTONOV22!$A$7:$AU$38,8,0)</f>
        <v>BANQUE</v>
      </c>
      <c r="H26" s="7">
        <f>VLOOKUP($A26,[10]HISTONOV22!$A$7:$AU$38,35,0)</f>
        <v>0</v>
      </c>
      <c r="I26" s="7">
        <f>VLOOKUP($A26,[10]HISTONOV22!$A$7:$AU$38,38,0)</f>
        <v>0</v>
      </c>
      <c r="J26" s="7">
        <f>IF(I26=0,0,VLOOKUP($A26,[10]HISTONOV22!$A$7:$AU$38,42,0))</f>
        <v>0</v>
      </c>
      <c r="K26" s="7">
        <f>VLOOKUP($A26,[10]HISTONOV22!$A$7:$AU$38,41,0)</f>
        <v>0</v>
      </c>
      <c r="L26" s="7">
        <f>+TONTOCT22!H26+TONTOCT22!I26</f>
        <v>0</v>
      </c>
      <c r="M26" s="7">
        <f>VLOOKUP($A26,[10]HISTONOV22!$A$7:$AU$38,16,0)</f>
        <v>0</v>
      </c>
      <c r="N26" s="7" t="str">
        <f>IF(M26&lt;&gt;0,VLOOKUP($A26,[10]HISTONOV22!$A$7:$AU$38,8,0),"ECHEC")</f>
        <v>ECHEC</v>
      </c>
      <c r="O26" s="7">
        <f>IF(R26=0,0,VLOOKUP($A26,[10]HISTONOV22!$A$7:$AU$38,32,0))</f>
        <v>0</v>
      </c>
      <c r="P26" s="7">
        <f>VLOOKUP($A26,[10]HISTONOV22!$A$7:$AU$38,33,0)</f>
        <v>0</v>
      </c>
      <c r="Q26" s="7">
        <f t="shared" si="0"/>
        <v>0</v>
      </c>
      <c r="R26" s="7">
        <f>VLOOKUP($A26,[10]HISTONOV22!$A$7:$AU$38,29,0)</f>
        <v>0</v>
      </c>
      <c r="S26" s="21">
        <f t="shared" si="2"/>
        <v>0</v>
      </c>
    </row>
    <row r="27" spans="1:19" x14ac:dyDescent="0.25">
      <c r="A27" s="1" t="s">
        <v>51</v>
      </c>
      <c r="B27" s="7">
        <f>IF(D27=0,0,VLOOKUP($A27,[8]HISTOJANV22!$A$6:$AZ$36,9,0))</f>
        <v>1</v>
      </c>
      <c r="C27" s="1" t="str">
        <f>VLOOKUP(A27,[9]LISTADHERENT!A$5:H$60,3,0)</f>
        <v>SIME BRICE</v>
      </c>
      <c r="D27" s="7">
        <f t="shared" si="1"/>
        <v>23000</v>
      </c>
      <c r="E27" s="7">
        <f>D27+VLOOKUP($A27,[10]HISTONOV22!$A$7:$AU$38,45,0)+F27</f>
        <v>30000</v>
      </c>
      <c r="F27" s="7">
        <f>VLOOKUP($A27,[10]HISTONOV22!$A$7:$AU$38,7,0)</f>
        <v>0</v>
      </c>
      <c r="G27" s="7" t="str">
        <f>VLOOKUP($A27,[10]HISTONOV22!$A$7:$AU$38,8,0)</f>
        <v>BANQUE</v>
      </c>
      <c r="H27" s="7">
        <f>VLOOKUP($A27,[10]HISTONOV22!$A$7:$AU$38,35,0)</f>
        <v>0</v>
      </c>
      <c r="I27" s="7">
        <f>VLOOKUP($A27,[10]HISTONOV22!$A$7:$AU$38,38,0)</f>
        <v>0</v>
      </c>
      <c r="J27" s="7">
        <f>IF(I27=0,0,VLOOKUP($A27,[10]HISTONOV22!$A$7:$AU$38,42,0))</f>
        <v>0</v>
      </c>
      <c r="K27" s="7">
        <f>VLOOKUP($A27,[10]HISTONOV22!$A$7:$AU$38,41,0)</f>
        <v>0</v>
      </c>
      <c r="L27" s="7">
        <f>+TONTOCT22!H27+TONTOCT22!I27</f>
        <v>0</v>
      </c>
      <c r="M27" s="7">
        <f>VLOOKUP($A27,[10]HISTONOV22!$A$7:$AU$38,16,0)</f>
        <v>0</v>
      </c>
      <c r="N27" s="7" t="str">
        <f>IF(M27&lt;&gt;0,VLOOKUP($A27,[10]HISTONOV22!$A$7:$AU$38,8,0),"ECHEC")</f>
        <v>ECHEC</v>
      </c>
      <c r="O27" s="7">
        <f>IF(R27=0,0,VLOOKUP($A27,[10]HISTONOV22!$A$7:$AU$38,32,0))</f>
        <v>0</v>
      </c>
      <c r="P27" s="7">
        <f>VLOOKUP($A27,[10]HISTONOV22!$A$7:$AU$38,33,0)</f>
        <v>0</v>
      </c>
      <c r="Q27" s="7">
        <f t="shared" si="0"/>
        <v>0</v>
      </c>
      <c r="R27" s="7">
        <f>VLOOKUP($A27,[10]HISTONOV22!$A$7:$AU$38,29,0)</f>
        <v>0</v>
      </c>
      <c r="S27" s="21">
        <f t="shared" si="2"/>
        <v>0</v>
      </c>
    </row>
    <row r="28" spans="1:19" x14ac:dyDescent="0.25">
      <c r="A28" s="1" t="s">
        <v>29</v>
      </c>
      <c r="B28" s="7">
        <f>IF(D28=0,0,VLOOKUP($A28,[8]HISTOJANV22!$A$6:$AZ$36,9,0))</f>
        <v>1</v>
      </c>
      <c r="C28" s="1" t="str">
        <f>VLOOKUP(A28,[9]LISTADHERENT!A$5:H$60,3,0)</f>
        <v>SIMO PIERRE</v>
      </c>
      <c r="D28" s="7">
        <f t="shared" si="1"/>
        <v>23000</v>
      </c>
      <c r="E28" s="7">
        <f>D28+VLOOKUP($A28,[10]HISTONOV22!$A$7:$AU$38,45,0)+F28</f>
        <v>35000</v>
      </c>
      <c r="F28" s="7">
        <f>VLOOKUP($A28,[10]HISTONOV22!$A$7:$AU$38,7,0)</f>
        <v>0</v>
      </c>
      <c r="G28" s="7" t="str">
        <f>VLOOKUP($A28,[10]HISTONOV22!$A$7:$AU$38,8,0)</f>
        <v>BANQUE</v>
      </c>
      <c r="H28" s="7">
        <f>VLOOKUP($A28,[10]HISTONOV22!$A$7:$AU$38,35,0)</f>
        <v>0</v>
      </c>
      <c r="I28" s="7">
        <f>VLOOKUP($A28,[10]HISTONOV22!$A$7:$AU$38,38,0)</f>
        <v>0</v>
      </c>
      <c r="J28" s="7">
        <f>IF(I28=0,0,VLOOKUP($A28,[10]HISTONOV22!$A$7:$AU$38,42,0))</f>
        <v>0</v>
      </c>
      <c r="K28" s="7">
        <f>VLOOKUP($A28,[10]HISTONOV22!$A$7:$AU$38,41,0)</f>
        <v>0</v>
      </c>
      <c r="L28" s="7">
        <f>+TONTOCT22!H28+TONTOCT22!I28</f>
        <v>0</v>
      </c>
      <c r="M28" s="7">
        <f>VLOOKUP($A28,[10]HISTONOV22!$A$7:$AU$38,16,0)</f>
        <v>0</v>
      </c>
      <c r="N28" s="7" t="str">
        <f>IF(M28&lt;&gt;0,VLOOKUP($A28,[10]HISTONOV22!$A$7:$AU$38,8,0),"ECHEC")</f>
        <v>ECHEC</v>
      </c>
      <c r="O28" s="7">
        <f>IF(R28=0,0,VLOOKUP($A28,[10]HISTONOV22!$A$7:$AU$38,32,0))</f>
        <v>0</v>
      </c>
      <c r="P28" s="7">
        <f>VLOOKUP($A28,[10]HISTONOV22!$A$7:$AU$38,33,0)</f>
        <v>0</v>
      </c>
      <c r="Q28" s="7">
        <f t="shared" si="0"/>
        <v>0</v>
      </c>
      <c r="R28" s="7">
        <f>VLOOKUP($A28,[10]HISTONOV22!$A$7:$AU$38,29,0)</f>
        <v>0</v>
      </c>
      <c r="S28" s="21">
        <f t="shared" si="2"/>
        <v>0</v>
      </c>
    </row>
    <row r="29" spans="1:19" x14ac:dyDescent="0.25">
      <c r="A29" s="1" t="s">
        <v>31</v>
      </c>
      <c r="B29" s="7">
        <f>IF(D29=0,0,VLOOKUP($A29,[8]HISTOJANV22!$A$6:$AZ$36,9,0))</f>
        <v>1</v>
      </c>
      <c r="C29" s="1" t="str">
        <f>VLOOKUP(A29,[9]LISTADHERENT!A$5:H$60,3,0)</f>
        <v>TCHOUAMOU MATHIEU</v>
      </c>
      <c r="D29" s="7">
        <f t="shared" si="1"/>
        <v>23000</v>
      </c>
      <c r="E29" s="7">
        <f>D29+VLOOKUP($A29,[10]HISTONOV22!$A$7:$AU$38,45,0)+F29</f>
        <v>30000</v>
      </c>
      <c r="F29" s="7">
        <f>VLOOKUP($A29,[10]HISTONOV22!$A$7:$AU$38,7,0)</f>
        <v>0</v>
      </c>
      <c r="G29" s="7" t="str">
        <f>VLOOKUP($A29,[10]HISTONOV22!$A$7:$AU$38,8,0)</f>
        <v>BANQUE</v>
      </c>
      <c r="H29" s="7">
        <f>VLOOKUP($A29,[10]HISTONOV22!$A$7:$AU$38,35,0)</f>
        <v>0</v>
      </c>
      <c r="I29" s="7">
        <f>VLOOKUP($A29,[10]HISTONOV22!$A$7:$AU$38,38,0)</f>
        <v>0</v>
      </c>
      <c r="J29" s="7">
        <f>IF(I29=0,0,VLOOKUP($A29,[10]HISTONOV22!$A$7:$AU$38,42,0))</f>
        <v>0</v>
      </c>
      <c r="K29" s="7">
        <f>VLOOKUP($A29,[10]HISTONOV22!$A$7:$AU$38,41,0)</f>
        <v>0</v>
      </c>
      <c r="L29" s="7">
        <f>+TONTOCT22!H29+TONTOCT22!I29</f>
        <v>0</v>
      </c>
      <c r="M29" s="7">
        <f>VLOOKUP($A29,[10]HISTONOV22!$A$7:$AU$38,16,0)</f>
        <v>0</v>
      </c>
      <c r="N29" s="7" t="str">
        <f>IF(M29&lt;&gt;0,VLOOKUP($A29,[10]HISTONOV22!$A$7:$AU$38,8,0),"ECHEC")</f>
        <v>ECHEC</v>
      </c>
      <c r="O29" s="7">
        <f>IF(R29=0,0,VLOOKUP($A29,[10]HISTONOV22!$A$7:$AU$38,32,0))</f>
        <v>0</v>
      </c>
      <c r="P29" s="7">
        <f>VLOOKUP($A29,[10]HISTONOV22!$A$7:$AU$38,33,0)</f>
        <v>0</v>
      </c>
      <c r="Q29" s="7">
        <f t="shared" si="0"/>
        <v>0</v>
      </c>
      <c r="R29" s="7">
        <f>VLOOKUP($A29,[10]HISTONOV22!$A$7:$AU$38,29,0)</f>
        <v>0</v>
      </c>
      <c r="S29" s="21">
        <f t="shared" si="2"/>
        <v>0</v>
      </c>
    </row>
    <row r="30" spans="1:19" x14ac:dyDescent="0.25">
      <c r="A30" s="1" t="s">
        <v>32</v>
      </c>
      <c r="B30" s="7">
        <f>IF(D30=0,0,VLOOKUP($A30,[8]HISTOJANV22!$A$6:$AZ$36,9,0))</f>
        <v>1</v>
      </c>
      <c r="C30" s="1" t="str">
        <f>VLOOKUP(A30,[9]LISTADHERENT!A$5:H$60,3,0)</f>
        <v>YEPMOU JEAN JACQUES</v>
      </c>
      <c r="D30" s="7">
        <f t="shared" si="1"/>
        <v>23000</v>
      </c>
      <c r="E30" s="7">
        <f>D30+VLOOKUP($A30,[10]HISTONOV22!$A$7:$AU$38,45,0)+F30</f>
        <v>33000</v>
      </c>
      <c r="F30" s="7">
        <f>VLOOKUP($A30,[10]HISTONOV22!$A$7:$AU$38,7,0)</f>
        <v>3000</v>
      </c>
      <c r="G30" s="7" t="str">
        <f>VLOOKUP($A30,[10]HISTONOV22!$A$7:$AU$38,8,0)</f>
        <v>ESPECES</v>
      </c>
      <c r="H30" s="7">
        <f>VLOOKUP($A30,[10]HISTONOV22!$A$7:$AU$38,35,0)</f>
        <v>0</v>
      </c>
      <c r="I30" s="7">
        <f>VLOOKUP($A30,[10]HISTONOV22!$A$7:$AU$38,38,0)</f>
        <v>0</v>
      </c>
      <c r="J30" s="7">
        <f>IF(I30=0,0,VLOOKUP($A30,[10]HISTONOV22!$A$7:$AU$38,42,0))</f>
        <v>0</v>
      </c>
      <c r="K30" s="7">
        <f>VLOOKUP($A30,[10]HISTONOV22!$A$7:$AU$38,41,0)</f>
        <v>0</v>
      </c>
      <c r="L30" s="7">
        <f>+TONTOCT22!H30+TONTOCT22!I30</f>
        <v>0</v>
      </c>
      <c r="M30" s="7">
        <f>VLOOKUP($A30,[10]HISTONOV22!$A$7:$AU$38,16,0)</f>
        <v>0</v>
      </c>
      <c r="N30" s="7" t="str">
        <f>IF(M30&lt;&gt;0,VLOOKUP($A30,[10]HISTONOV22!$A$7:$AU$38,8,0),"ECHEC")</f>
        <v>ECHEC</v>
      </c>
      <c r="O30" s="7">
        <f>IF(R30=0,0,VLOOKUP($A30,[10]HISTONOV22!$A$7:$AU$38,32,0))</f>
        <v>0</v>
      </c>
      <c r="P30" s="7">
        <f>VLOOKUP($A30,[10]HISTONOV22!$A$7:$AU$38,33,0)</f>
        <v>0</v>
      </c>
      <c r="Q30" s="7">
        <f t="shared" si="0"/>
        <v>0</v>
      </c>
      <c r="R30" s="7">
        <f>VLOOKUP($A30,[10]HISTONOV22!$A$7:$AU$38,29,0)</f>
        <v>0</v>
      </c>
      <c r="S30" s="21">
        <f t="shared" si="2"/>
        <v>0</v>
      </c>
    </row>
    <row r="31" spans="1:19" x14ac:dyDescent="0.25">
      <c r="A31" s="1" t="s">
        <v>33</v>
      </c>
      <c r="B31" s="7">
        <f>IF(D31=0,0,VLOOKUP($A31,[8]HISTOJANV22!$A$6:$AZ$36,9,0))</f>
        <v>1</v>
      </c>
      <c r="C31" s="1" t="str">
        <f>VLOOKUP(A31,[9]LISTADHERENT!A$5:H$60,3,0)</f>
        <v>YOUMBI EMMANUEL</v>
      </c>
      <c r="D31" s="7">
        <f t="shared" si="1"/>
        <v>23000</v>
      </c>
      <c r="E31" s="7">
        <f>D31+VLOOKUP($A31,[10]HISTONOV22!$A$7:$AU$38,45,0)+F31</f>
        <v>30000</v>
      </c>
      <c r="F31" s="7">
        <f>VLOOKUP($A31,[10]HISTONOV22!$A$7:$AU$38,7,0)</f>
        <v>0</v>
      </c>
      <c r="G31" s="7" t="str">
        <f>VLOOKUP($A31,[10]HISTONOV22!$A$7:$AU$38,8,0)</f>
        <v>BANQUE</v>
      </c>
      <c r="H31" s="7">
        <f>VLOOKUP($A31,[10]HISTONOV22!$A$7:$AU$38,35,0)</f>
        <v>0</v>
      </c>
      <c r="I31" s="7">
        <f>VLOOKUP($A31,[10]HISTONOV22!$A$7:$AU$38,38,0)</f>
        <v>0</v>
      </c>
      <c r="J31" s="7">
        <f>IF(I31=0,0,VLOOKUP($A31,[10]HISTONOV22!$A$7:$AU$38,42,0))</f>
        <v>0</v>
      </c>
      <c r="K31" s="7">
        <f>VLOOKUP($A31,[10]HISTONOV22!$A$7:$AU$38,41,0)</f>
        <v>0</v>
      </c>
      <c r="L31" s="7">
        <f>+TONTOCT22!H31+TONTOCT22!I31</f>
        <v>0</v>
      </c>
      <c r="M31" s="7">
        <f>VLOOKUP($A31,[10]HISTONOV22!$A$7:$AU$38,16,0)</f>
        <v>0</v>
      </c>
      <c r="N31" s="7" t="str">
        <f>IF(M31&lt;&gt;0,VLOOKUP($A31,[10]HISTONOV22!$A$7:$AU$38,8,0),"ECHEC")</f>
        <v>ECHEC</v>
      </c>
      <c r="O31" s="7" t="str">
        <f>IF(R31=0,0,VLOOKUP($A31,[10]HISTONOV22!$A$7:$AU$38,32,0))</f>
        <v>BANQUE</v>
      </c>
      <c r="P31" s="7">
        <f>VLOOKUP($A31,[10]HISTONOV22!$A$7:$AU$38,33,0)</f>
        <v>0</v>
      </c>
      <c r="Q31" s="7">
        <f t="shared" si="0"/>
        <v>276000</v>
      </c>
      <c r="R31" s="7">
        <f>VLOOKUP($A31,[10]HISTONOV22!$A$7:$AU$38,29,0)</f>
        <v>24000</v>
      </c>
      <c r="S31" s="21">
        <f t="shared" si="2"/>
        <v>1000</v>
      </c>
    </row>
    <row r="32" spans="1:19" x14ac:dyDescent="0.25">
      <c r="A32" s="1"/>
    </row>
    <row r="33" spans="1:19" ht="18" x14ac:dyDescent="0.25">
      <c r="A33" s="1" t="s">
        <v>94</v>
      </c>
      <c r="B33" s="8">
        <f>SUM(B6:B32)</f>
        <v>26</v>
      </c>
      <c r="I33" s="9"/>
    </row>
    <row r="34" spans="1:19" ht="18" x14ac:dyDescent="0.25">
      <c r="A34" s="1" t="s">
        <v>93</v>
      </c>
      <c r="B34" s="19">
        <f>COUNT(D6:D31)</f>
        <v>26</v>
      </c>
      <c r="C34" s="8"/>
      <c r="D34" s="8">
        <f>SUM(D6:D33)</f>
        <v>598000</v>
      </c>
      <c r="E34" s="8">
        <f>SUM(E6:E33)</f>
        <v>879000</v>
      </c>
      <c r="F34" s="8">
        <f>SUM(F6:F33)</f>
        <v>6000</v>
      </c>
      <c r="G34" s="8"/>
      <c r="H34" s="8">
        <f t="shared" ref="H34:S34" si="3">SUM(H6:H33)</f>
        <v>40000</v>
      </c>
      <c r="I34" s="8">
        <f t="shared" si="3"/>
        <v>1000</v>
      </c>
      <c r="J34" s="8">
        <f t="shared" si="3"/>
        <v>0</v>
      </c>
      <c r="K34" s="8">
        <f t="shared" si="3"/>
        <v>0</v>
      </c>
      <c r="L34" s="8">
        <f t="shared" si="3"/>
        <v>0</v>
      </c>
      <c r="M34" s="8">
        <f t="shared" si="3"/>
        <v>0</v>
      </c>
      <c r="N34" s="8">
        <f t="shared" si="3"/>
        <v>0</v>
      </c>
      <c r="O34" s="8">
        <f t="shared" si="3"/>
        <v>0</v>
      </c>
      <c r="P34" s="8">
        <f t="shared" si="3"/>
        <v>0</v>
      </c>
      <c r="Q34" s="8">
        <f t="shared" si="3"/>
        <v>553000</v>
      </c>
      <c r="R34" s="8">
        <f t="shared" si="3"/>
        <v>47000</v>
      </c>
      <c r="S34" s="8">
        <f t="shared" si="3"/>
        <v>1000</v>
      </c>
    </row>
    <row r="35" spans="1:19" s="2" customFormat="1" ht="29.25" x14ac:dyDescent="0.25">
      <c r="B35"/>
      <c r="C35"/>
      <c r="D35"/>
      <c r="E35"/>
      <c r="F35"/>
      <c r="G35"/>
      <c r="H35"/>
      <c r="I35" s="9"/>
      <c r="J35" s="3"/>
      <c r="K35" s="3"/>
      <c r="L35" s="3"/>
      <c r="N35" s="4" t="s">
        <v>80</v>
      </c>
      <c r="O35" s="4" t="s">
        <v>95</v>
      </c>
      <c r="P35" s="3"/>
    </row>
    <row r="36" spans="1:19" s="2" customFormat="1" ht="29.25" x14ac:dyDescent="0.25">
      <c r="D36" s="4" t="s">
        <v>5</v>
      </c>
      <c r="E36" s="4" t="s">
        <v>7</v>
      </c>
      <c r="F36"/>
      <c r="G36" s="4" t="s">
        <v>40</v>
      </c>
      <c r="H36" s="4" t="s">
        <v>44</v>
      </c>
      <c r="I36" s="4" t="s">
        <v>46</v>
      </c>
      <c r="J36" s="4" t="s">
        <v>47</v>
      </c>
      <c r="K36" s="4"/>
      <c r="L36" s="8" t="s">
        <v>97</v>
      </c>
      <c r="M36" s="8">
        <f>D40+G40+R34+TONTOCT22!O41</f>
        <v>640000</v>
      </c>
      <c r="N36" s="4"/>
      <c r="O36"/>
      <c r="P36" s="4"/>
    </row>
    <row r="37" spans="1:19" s="2" customFormat="1" ht="18" x14ac:dyDescent="0.25">
      <c r="D37" s="8">
        <f>SUMIFS(D6:D33,G6:G33,"ESPECES")</f>
        <v>23000</v>
      </c>
      <c r="E37" s="8">
        <f>SUMIFS(E6:E33,G6:G33,"ESPECES")</f>
        <v>33000</v>
      </c>
      <c r="F37" s="8" t="s">
        <v>36</v>
      </c>
      <c r="G37" s="8">
        <f>SUMIFS(M6:M27,N6:N27,"ESPECES")</f>
        <v>0</v>
      </c>
      <c r="H37" s="8">
        <f>SUMIFS(H6:H33,J6:J33,"ESPECES")</f>
        <v>0</v>
      </c>
      <c r="I37" s="8">
        <f>SUMIFS(Q6:Q33,O6:O33,"ESPECES")</f>
        <v>0</v>
      </c>
      <c r="J37" s="8">
        <f>D37+G37-H37-I37</f>
        <v>23000</v>
      </c>
      <c r="K37" s="8"/>
      <c r="L37" s="8" t="s">
        <v>84</v>
      </c>
      <c r="M37" s="8">
        <f>C3*COUNTIF(Q6:Q33,"&gt;0")</f>
        <v>600000</v>
      </c>
      <c r="N37" s="8">
        <f>D3</f>
        <v>2</v>
      </c>
      <c r="O37" s="8">
        <f>COUNTIF(Q6:Q31,"&gt;0")</f>
        <v>2</v>
      </c>
      <c r="P37" s="8"/>
    </row>
    <row r="38" spans="1:19" s="2" customFormat="1" ht="18" x14ac:dyDescent="0.25">
      <c r="D38" s="8">
        <f>SUMIFS(D6:D33,G6:G33,"BANQUE")</f>
        <v>575000</v>
      </c>
      <c r="E38" s="8">
        <f>SUMIFS(E6:E34,G6:G34,"BANQUE")</f>
        <v>846000</v>
      </c>
      <c r="F38" s="8" t="s">
        <v>37</v>
      </c>
      <c r="G38" s="8">
        <f>SUMIFS(M6:M27,N6:N27,"BANQUE")</f>
        <v>0</v>
      </c>
      <c r="H38" s="8">
        <f>SUMIFS(H6:H33,J6:J33,"BANQUE")</f>
        <v>40000</v>
      </c>
      <c r="I38" s="8">
        <f>SUMIFS(Q6:Q33,O6:O33,"BANQUE")</f>
        <v>553000</v>
      </c>
      <c r="J38" s="8">
        <f>D38+G38-H38-I38</f>
        <v>-18000</v>
      </c>
      <c r="K38" s="8"/>
      <c r="M38" s="8"/>
      <c r="N38" s="8"/>
      <c r="O38" s="8"/>
      <c r="P38" s="8"/>
    </row>
    <row r="39" spans="1:19" s="2" customFormat="1" ht="18" x14ac:dyDescent="0.25">
      <c r="D39" s="8"/>
      <c r="E39" s="8"/>
      <c r="F39" s="8"/>
      <c r="G39" s="8"/>
      <c r="H39" s="8"/>
      <c r="I39" s="8"/>
      <c r="K39" s="8"/>
      <c r="L39" s="8" t="s">
        <v>52</v>
      </c>
      <c r="M39" s="8">
        <f>M36-M37</f>
        <v>40000</v>
      </c>
      <c r="N39" s="8"/>
      <c r="O39" s="8"/>
      <c r="P39" s="8"/>
    </row>
    <row r="40" spans="1:19" s="2" customFormat="1" ht="18" x14ac:dyDescent="0.25">
      <c r="D40" s="8">
        <f>D37+D38</f>
        <v>598000</v>
      </c>
      <c r="E40" s="8">
        <f>E37+E38</f>
        <v>879000</v>
      </c>
      <c r="F40" s="8" t="s">
        <v>34</v>
      </c>
      <c r="G40" s="8">
        <f>G37+G38</f>
        <v>0</v>
      </c>
      <c r="H40" s="8">
        <f>H37+H38</f>
        <v>40000</v>
      </c>
      <c r="I40" s="8">
        <f t="shared" ref="I40" si="4">I37+I38</f>
        <v>553000</v>
      </c>
      <c r="J40" s="8">
        <f>J37+J38+TONTOCT22!O41</f>
        <v>0</v>
      </c>
      <c r="K40" s="8"/>
      <c r="M40" s="8"/>
      <c r="N40" s="8"/>
      <c r="O40" s="8"/>
      <c r="P40" s="8"/>
    </row>
    <row r="41" spans="1:19" s="2" customFormat="1" ht="18" x14ac:dyDescent="0.25">
      <c r="D41" s="8"/>
      <c r="E41" s="8"/>
      <c r="F41" s="8" t="s">
        <v>56</v>
      </c>
      <c r="G41"/>
      <c r="H41"/>
      <c r="I41" s="3"/>
      <c r="J41" s="3"/>
      <c r="K41" s="3"/>
      <c r="L41" s="8" t="s">
        <v>55</v>
      </c>
      <c r="M41" s="8">
        <f>M39-H34</f>
        <v>0</v>
      </c>
      <c r="N41"/>
      <c r="O41" s="8">
        <f>M41</f>
        <v>0</v>
      </c>
      <c r="P41" s="8" t="s">
        <v>58</v>
      </c>
    </row>
    <row r="42" spans="1:19" s="2" customFormat="1" ht="18" x14ac:dyDescent="0.25">
      <c r="D42" s="4"/>
      <c r="E42" s="4"/>
      <c r="F42" s="8"/>
      <c r="G42"/>
      <c r="H42"/>
      <c r="I42" s="3"/>
      <c r="J42" s="3"/>
      <c r="K42" s="3"/>
      <c r="N42"/>
      <c r="O42" s="3"/>
      <c r="P42" s="3"/>
    </row>
    <row r="43" spans="1:19" ht="18" x14ac:dyDescent="0.25">
      <c r="L43" s="8" t="s">
        <v>60</v>
      </c>
      <c r="M43" s="8">
        <f>COUNTIFS(G6:G32,"ECHEC")*23000</f>
        <v>0</v>
      </c>
      <c r="O43" s="8">
        <f>M43+TONTOCT22!O43</f>
        <v>0</v>
      </c>
      <c r="P43" s="8" t="s">
        <v>58</v>
      </c>
    </row>
    <row r="44" spans="1:19" ht="18" x14ac:dyDescent="0.25">
      <c r="F44" s="2"/>
      <c r="L44" s="8" t="s">
        <v>59</v>
      </c>
      <c r="M44" s="8">
        <f>L34-G40</f>
        <v>0</v>
      </c>
      <c r="O44" s="8">
        <f>M44+TONTOCT22!O44</f>
        <v>0</v>
      </c>
      <c r="P44" s="8" t="s">
        <v>58</v>
      </c>
    </row>
  </sheetData>
  <autoFilter ref="A5:R24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7"/>
  <sheetViews>
    <sheetView workbookViewId="0">
      <pane xSplit="3" ySplit="5" topLeftCell="M6" activePane="bottomRight" state="frozen"/>
      <selection activeCell="G6" sqref="G6:G39"/>
      <selection pane="topRight" activeCell="G6" sqref="G6:G39"/>
      <selection pane="bottomLeft" activeCell="G6" sqref="G6:G39"/>
      <selection pane="bottomRight" activeCell="A7" sqref="A7:XFD7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5" width="13" customWidth="1"/>
    <col min="16" max="16" width="15.5703125" style="3" customWidth="1"/>
    <col min="17" max="18" width="18.140625" style="2" customWidth="1"/>
  </cols>
  <sheetData>
    <row r="1" spans="1:21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21" x14ac:dyDescent="0.25">
      <c r="A2" s="1" t="s">
        <v>2</v>
      </c>
      <c r="B2" s="1">
        <v>2022</v>
      </c>
      <c r="C2" s="1" t="s">
        <v>85</v>
      </c>
      <c r="D2" s="1" t="s">
        <v>80</v>
      </c>
      <c r="E2" s="1"/>
      <c r="F2" s="1"/>
      <c r="G2" s="1"/>
      <c r="N2" s="1"/>
      <c r="O2" s="1"/>
    </row>
    <row r="3" spans="1:21" x14ac:dyDescent="0.25">
      <c r="A3" s="1" t="s">
        <v>86</v>
      </c>
      <c r="B3" s="6">
        <v>23000</v>
      </c>
      <c r="C3" s="6">
        <f>B3*13+1000</f>
        <v>300000</v>
      </c>
      <c r="D3" s="1">
        <f>ROUNDDOWN(M36/C3,0)</f>
        <v>2</v>
      </c>
      <c r="E3" s="1"/>
      <c r="F3" s="1"/>
      <c r="G3" s="1"/>
      <c r="N3" s="1"/>
      <c r="O3" s="1"/>
    </row>
    <row r="4" spans="1:21" s="16" customFormat="1" ht="18" x14ac:dyDescent="0.25">
      <c r="B4" s="17"/>
      <c r="C4" s="28">
        <v>44633</v>
      </c>
      <c r="D4" s="29"/>
      <c r="E4" s="29"/>
      <c r="F4" s="29"/>
      <c r="G4" s="29"/>
      <c r="H4" s="29"/>
      <c r="I4" s="29"/>
      <c r="J4" s="29"/>
      <c r="K4" s="29"/>
      <c r="L4" s="29"/>
      <c r="N4" s="18"/>
      <c r="O4" s="18"/>
      <c r="P4" s="18"/>
      <c r="Q4" s="18"/>
    </row>
    <row r="5" spans="1:21" ht="58.5" x14ac:dyDescent="0.3">
      <c r="A5" s="1" t="s">
        <v>3</v>
      </c>
      <c r="B5" s="13" t="s">
        <v>81</v>
      </c>
      <c r="C5" s="1" t="s">
        <v>4</v>
      </c>
      <c r="D5" s="4" t="s">
        <v>5</v>
      </c>
      <c r="E5" s="4" t="s">
        <v>7</v>
      </c>
      <c r="F5" s="1" t="s">
        <v>48</v>
      </c>
      <c r="G5" s="5" t="s">
        <v>6</v>
      </c>
      <c r="H5" s="6" t="s">
        <v>44</v>
      </c>
      <c r="I5" s="4" t="s">
        <v>41</v>
      </c>
      <c r="J5" s="4" t="s">
        <v>45</v>
      </c>
      <c r="K5" s="11" t="s">
        <v>54</v>
      </c>
      <c r="L5" s="4" t="s">
        <v>82</v>
      </c>
      <c r="M5" s="4" t="s">
        <v>40</v>
      </c>
      <c r="N5" s="4" t="s">
        <v>39</v>
      </c>
      <c r="O5" s="4" t="s">
        <v>42</v>
      </c>
      <c r="P5" s="4" t="s">
        <v>54</v>
      </c>
      <c r="Q5" s="4" t="s">
        <v>83</v>
      </c>
      <c r="R5" s="4" t="s">
        <v>43</v>
      </c>
      <c r="S5" s="4" t="s">
        <v>98</v>
      </c>
      <c r="T5" s="4" t="s">
        <v>100</v>
      </c>
    </row>
    <row r="6" spans="1:21" ht="18.75" x14ac:dyDescent="0.3">
      <c r="A6" s="1" t="s">
        <v>9</v>
      </c>
      <c r="B6" s="7">
        <f>IF(D6=0,0,VLOOKUP($A6,[8]HISTOJANV22!$A$6:$AZ$36,9,0))</f>
        <v>1</v>
      </c>
      <c r="C6" s="1" t="str">
        <f>VLOOKUP(A6,[9]LISTADHERENT!A$5:H$60,3,0)</f>
        <v>BOUTCHOUANG WILLIAM</v>
      </c>
      <c r="D6" s="7">
        <f>IF(G6="ECHEC",0,B$3)</f>
        <v>23000</v>
      </c>
      <c r="E6" s="7">
        <f>D6+VLOOKUP($A6,[10]HISTODEC22!$A$7:$AU$38,45,0)+F6</f>
        <v>30000</v>
      </c>
      <c r="F6" s="7">
        <f>VLOOKUP($A6,[10]HISTODEC22!$A$7:$AU$38,7,0)</f>
        <v>0</v>
      </c>
      <c r="G6" s="7" t="str">
        <f>VLOOKUP($A6,[10]HISTODEC22!$A$7:$AU$38,8,0)</f>
        <v>BANQUE</v>
      </c>
      <c r="H6" s="7">
        <f>VLOOKUP($A6,[10]HISTODEC22!$A$7:$AU$38,35,0)</f>
        <v>0</v>
      </c>
      <c r="I6" s="7">
        <f>VLOOKUP($A6,[10]HISTODEC22!$A$7:$AU$38,38,0)</f>
        <v>0</v>
      </c>
      <c r="J6" s="7">
        <f>IF(I6=0,0,VLOOKUP($A6,[10]HISTODEC22!$A$7:$AU$38,42,0))</f>
        <v>0</v>
      </c>
      <c r="K6" s="7">
        <f>VLOOKUP($A6,[10]HISTODEC22!$A$7:$AU$38,41,0)</f>
        <v>0</v>
      </c>
      <c r="L6" s="7">
        <f>+TONTNOV22!H6+TONTNOV22!I6</f>
        <v>0</v>
      </c>
      <c r="M6" s="7">
        <f>VLOOKUP($A6,[10]HISTODEC22!$A$7:$AU$38,16,0)</f>
        <v>0</v>
      </c>
      <c r="N6" s="7" t="str">
        <f>IF(M6&lt;&gt;0,VLOOKUP($A6,[10]HISTODEC22!$A$7:$AU$38,8,0),"ECHEC")</f>
        <v>ECHEC</v>
      </c>
      <c r="O6" s="7">
        <f>IF(R6=0,0,VLOOKUP($A6,[10]HISTODEC22!$A$7:$AU$38,32,0))</f>
        <v>0</v>
      </c>
      <c r="P6" s="7">
        <f>VLOOKUP($A6,[10]HISTODEC22!$A$7:$AU$38,33,0)</f>
        <v>0</v>
      </c>
      <c r="Q6" s="7">
        <f t="shared" ref="Q6:Q31" si="0">IF(R6=0,0,($C$3-R6))</f>
        <v>0</v>
      </c>
      <c r="R6" s="7">
        <f>VLOOKUP($A6,[10]HISTODEC22!$A$7:$AU$38,29,0)</f>
        <v>0</v>
      </c>
      <c r="S6" s="21">
        <f>IF(R6=0,0,(R6-23000))</f>
        <v>0</v>
      </c>
      <c r="T6" s="22">
        <f>$O$47/26*B6</f>
        <v>3269.2307692307691</v>
      </c>
      <c r="U6" s="22">
        <v>3000</v>
      </c>
    </row>
    <row r="7" spans="1:21" ht="18.75" x14ac:dyDescent="0.3">
      <c r="A7" s="1" t="s">
        <v>10</v>
      </c>
      <c r="B7" s="7">
        <f>IF(D7=0,0,VLOOKUP($A7,[8]HISTOJANV22!$A$6:$AZ$36,9,0))</f>
        <v>1</v>
      </c>
      <c r="C7" s="1" t="str">
        <f>VLOOKUP(A7,[9]LISTADHERENT!A$5:H$60,3,0)</f>
        <v xml:space="preserve">DJOMO JEAN PAUL </v>
      </c>
      <c r="D7" s="7">
        <f t="shared" ref="D7:D31" si="1">IF(G7="ECHEC",0,B$3)</f>
        <v>23000</v>
      </c>
      <c r="E7" s="7">
        <f>D7+VLOOKUP($A7,[10]HISTODEC22!$A$7:$AU$38,45,0)+F7</f>
        <v>30000</v>
      </c>
      <c r="F7" s="7">
        <f>VLOOKUP($A7,[10]HISTODEC22!$A$7:$AU$38,7,0)</f>
        <v>0</v>
      </c>
      <c r="G7" s="7" t="str">
        <f>VLOOKUP($A7,[10]HISTODEC22!$A$7:$AU$38,8,0)</f>
        <v>BANQUE</v>
      </c>
      <c r="H7" s="7">
        <f>VLOOKUP($A7,[10]HISTODEC22!$A$7:$AU$38,35,0)</f>
        <v>0</v>
      </c>
      <c r="I7" s="7">
        <f>VLOOKUP($A7,[10]HISTODEC22!$A$7:$AU$38,38,0)</f>
        <v>0</v>
      </c>
      <c r="J7" s="7">
        <f>IF(I7=0,0,VLOOKUP($A7,[10]HISTODEC22!$A$7:$AU$38,42,0))</f>
        <v>0</v>
      </c>
      <c r="K7" s="7">
        <f>VLOOKUP($A7,[10]HISTODEC22!$A$7:$AU$38,41,0)</f>
        <v>0</v>
      </c>
      <c r="L7" s="7">
        <f>+TONTNOV22!H7+TONTNOV22!I7</f>
        <v>0</v>
      </c>
      <c r="M7" s="7">
        <f>VLOOKUP($A7,[10]HISTODEC22!$A$7:$AU$38,16,0)</f>
        <v>0</v>
      </c>
      <c r="N7" s="7" t="str">
        <f>IF(M7&lt;&gt;0,VLOOKUP($A7,[10]HISTODEC22!$A$7:$AU$38,8,0),"ECHEC")</f>
        <v>ECHEC</v>
      </c>
      <c r="O7" s="7">
        <f>IF(R7=0,0,VLOOKUP($A7,[10]HISTODEC22!$A$7:$AU$38,32,0))</f>
        <v>0</v>
      </c>
      <c r="P7" s="7">
        <f>VLOOKUP($A7,[10]HISTODEC22!$A$7:$AU$38,33,0)</f>
        <v>0</v>
      </c>
      <c r="Q7" s="7">
        <f t="shared" si="0"/>
        <v>0</v>
      </c>
      <c r="R7" s="7">
        <f>VLOOKUP($A7,[10]HISTODEC22!$A$7:$AU$38,29,0)</f>
        <v>0</v>
      </c>
      <c r="S7" s="21">
        <f t="shared" ref="S7:S31" si="2">IF(R7=0,0,(R7-23000))</f>
        <v>0</v>
      </c>
      <c r="T7" s="22">
        <f t="shared" ref="T7:T31" si="3">$O$47/26*B7</f>
        <v>3269.2307692307691</v>
      </c>
      <c r="U7" s="22">
        <v>3000</v>
      </c>
    </row>
    <row r="8" spans="1:21" ht="18.75" x14ac:dyDescent="0.3">
      <c r="A8" s="1" t="s">
        <v>57</v>
      </c>
      <c r="B8" s="7">
        <f>IF(D8=0,0,VLOOKUP($A8,[8]HISTOJANV22!$A$6:$AZ$36,9,0))</f>
        <v>1</v>
      </c>
      <c r="C8" s="1" t="str">
        <f>VLOOKUP(A8,[9]LISTADHERENT!A$5:H$60,3,0)</f>
        <v>DJOMOU TCHANDA</v>
      </c>
      <c r="D8" s="7">
        <f t="shared" si="1"/>
        <v>23000</v>
      </c>
      <c r="E8" s="7">
        <f>D8+VLOOKUP($A8,[10]HISTODEC22!$A$7:$AU$38,45,0)+F8</f>
        <v>30000</v>
      </c>
      <c r="F8" s="7">
        <f>VLOOKUP($A8,[10]HISTODEC22!$A$7:$AU$38,7,0)</f>
        <v>0</v>
      </c>
      <c r="G8" s="7" t="str">
        <f>VLOOKUP($A8,[10]HISTODEC22!$A$7:$AU$38,8,0)</f>
        <v>BANQUE</v>
      </c>
      <c r="H8" s="7">
        <f>VLOOKUP($A8,[10]HISTODEC22!$A$7:$AU$38,35,0)</f>
        <v>0</v>
      </c>
      <c r="I8" s="7">
        <f>VLOOKUP($A8,[10]HISTODEC22!$A$7:$AU$38,38,0)</f>
        <v>0</v>
      </c>
      <c r="J8" s="7">
        <f>IF(I8=0,0,VLOOKUP($A8,[10]HISTODEC22!$A$7:$AU$38,42,0))</f>
        <v>0</v>
      </c>
      <c r="K8" s="7">
        <f>VLOOKUP($A8,[10]HISTODEC22!$A$7:$AU$38,41,0)</f>
        <v>0</v>
      </c>
      <c r="L8" s="7">
        <f>+TONTNOV22!H8+TONTNOV22!I8</f>
        <v>0</v>
      </c>
      <c r="M8" s="7">
        <f>VLOOKUP($A8,[10]HISTODEC22!$A$7:$AU$38,16,0)</f>
        <v>0</v>
      </c>
      <c r="N8" s="7" t="str">
        <f>IF(M8&lt;&gt;0,VLOOKUP($A8,[10]HISTODEC22!$A$7:$AU$38,8,0),"ECHEC")</f>
        <v>ECHEC</v>
      </c>
      <c r="O8" s="7">
        <f>IF(R8=0,0,VLOOKUP($A8,[10]HISTODEC22!$A$7:$AU$38,32,0))</f>
        <v>0</v>
      </c>
      <c r="P8" s="7">
        <f>VLOOKUP($A8,[10]HISTODEC22!$A$7:$AU$38,33,0)</f>
        <v>0</v>
      </c>
      <c r="Q8" s="7">
        <f t="shared" si="0"/>
        <v>0</v>
      </c>
      <c r="R8" s="7">
        <f>VLOOKUP($A8,[10]HISTODEC22!$A$7:$AU$38,29,0)</f>
        <v>0</v>
      </c>
      <c r="S8" s="21">
        <f t="shared" si="2"/>
        <v>0</v>
      </c>
      <c r="T8" s="22">
        <f t="shared" si="3"/>
        <v>3269.2307692307691</v>
      </c>
      <c r="U8" s="22">
        <v>3000</v>
      </c>
    </row>
    <row r="9" spans="1:21" ht="18.75" x14ac:dyDescent="0.3">
      <c r="A9" s="1" t="s">
        <v>11</v>
      </c>
      <c r="B9" s="7">
        <f>IF(D9=0,0,VLOOKUP($A9,[8]HISTOJANV22!$A$6:$AZ$36,9,0))</f>
        <v>1</v>
      </c>
      <c r="C9" s="1" t="str">
        <f>VLOOKUP(A9,[9]LISTADHERENT!A$5:H$60,3,0)</f>
        <v>DJOUKWE NANGUEN GUY BLAISE</v>
      </c>
      <c r="D9" s="7">
        <f t="shared" si="1"/>
        <v>23000</v>
      </c>
      <c r="E9" s="7">
        <f>D9+VLOOKUP($A9,[10]HISTODEC22!$A$7:$AU$38,45,0)+F9</f>
        <v>30000</v>
      </c>
      <c r="F9" s="7">
        <f>VLOOKUP($A9,[10]HISTODEC22!$A$7:$AU$38,7,0)</f>
        <v>0</v>
      </c>
      <c r="G9" s="7" t="str">
        <f>VLOOKUP($A9,[10]HISTODEC22!$A$7:$AU$38,8,0)</f>
        <v>BANQUE</v>
      </c>
      <c r="H9" s="7">
        <f>VLOOKUP($A9,[10]HISTODEC22!$A$7:$AU$38,35,0)</f>
        <v>0</v>
      </c>
      <c r="I9" s="7">
        <f>VLOOKUP($A9,[10]HISTODEC22!$A$7:$AU$38,38,0)</f>
        <v>0</v>
      </c>
      <c r="J9" s="7">
        <f>IF(I9=0,0,VLOOKUP($A9,[10]HISTODEC22!$A$7:$AU$38,42,0))</f>
        <v>0</v>
      </c>
      <c r="K9" s="7">
        <f>VLOOKUP($A9,[10]HISTODEC22!$A$7:$AU$38,41,0)</f>
        <v>0</v>
      </c>
      <c r="L9" s="7">
        <f>+TONTNOV22!H9+TONTNOV22!I9</f>
        <v>0</v>
      </c>
      <c r="M9" s="7">
        <f>VLOOKUP($A9,[10]HISTODEC22!$A$7:$AU$38,16,0)</f>
        <v>0</v>
      </c>
      <c r="N9" s="7" t="str">
        <f>IF(M9&lt;&gt;0,VLOOKUP($A9,[10]HISTODEC22!$A$7:$AU$38,8,0),"ECHEC")</f>
        <v>ECHEC</v>
      </c>
      <c r="O9" s="7">
        <f>IF(R9=0,0,VLOOKUP($A9,[10]HISTODEC22!$A$7:$AU$38,32,0))</f>
        <v>0</v>
      </c>
      <c r="P9" s="7">
        <f>VLOOKUP($A9,[10]HISTODEC22!$A$7:$AU$38,33,0)</f>
        <v>0</v>
      </c>
      <c r="Q9" s="7">
        <f t="shared" si="0"/>
        <v>0</v>
      </c>
      <c r="R9" s="7">
        <f>VLOOKUP($A9,[10]HISTODEC22!$A$7:$AU$38,29,0)</f>
        <v>0</v>
      </c>
      <c r="S9" s="21">
        <f t="shared" si="2"/>
        <v>0</v>
      </c>
      <c r="T9" s="22">
        <f t="shared" si="3"/>
        <v>3269.2307692307691</v>
      </c>
      <c r="U9" s="22">
        <v>3000</v>
      </c>
    </row>
    <row r="10" spans="1:21" ht="18.75" x14ac:dyDescent="0.3">
      <c r="A10" s="1" t="s">
        <v>12</v>
      </c>
      <c r="B10" s="7">
        <f>IF(D10=0,0,VLOOKUP($A10,[8]HISTOJANV22!$A$6:$AZ$36,9,0))</f>
        <v>1</v>
      </c>
      <c r="C10" s="1" t="str">
        <f>VLOOKUP(A10,[9]LISTADHERENT!A$5:H$60,3,0)</f>
        <v>DJUOMBESSY ANTOINE</v>
      </c>
      <c r="D10" s="7">
        <f t="shared" si="1"/>
        <v>23000</v>
      </c>
      <c r="E10" s="7">
        <f>D10+VLOOKUP($A10,[10]HISTODEC22!$A$7:$AU$38,45,0)+F10</f>
        <v>31000</v>
      </c>
      <c r="F10" s="7">
        <f>VLOOKUP($A10,[10]HISTODEC22!$A$7:$AU$38,7,0)</f>
        <v>0</v>
      </c>
      <c r="G10" s="7" t="str">
        <f>VLOOKUP($A10,[10]HISTODEC22!$A$7:$AU$38,8,0)</f>
        <v>BANQUE</v>
      </c>
      <c r="H10" s="7">
        <f>VLOOKUP($A10,[10]HISTODEC22!$A$7:$AU$38,35,0)</f>
        <v>0</v>
      </c>
      <c r="I10" s="7">
        <f>VLOOKUP($A10,[10]HISTODEC22!$A$7:$AU$38,38,0)</f>
        <v>0</v>
      </c>
      <c r="J10" s="7">
        <f>IF(I10=0,0,VLOOKUP($A10,[10]HISTODEC22!$A$7:$AU$38,42,0))</f>
        <v>0</v>
      </c>
      <c r="K10" s="7">
        <f>VLOOKUP($A10,[10]HISTODEC22!$A$7:$AU$38,41,0)</f>
        <v>0</v>
      </c>
      <c r="L10" s="7">
        <f>+TONTNOV22!H10+TONTNOV22!I10</f>
        <v>0</v>
      </c>
      <c r="M10" s="7">
        <f>VLOOKUP($A10,[10]HISTODEC22!$A$7:$AU$38,16,0)</f>
        <v>0</v>
      </c>
      <c r="N10" s="7" t="str">
        <f>IF(M10&lt;&gt;0,VLOOKUP($A10,[10]HISTODEC22!$A$7:$AU$38,8,0),"ECHEC")</f>
        <v>ECHEC</v>
      </c>
      <c r="O10" s="7">
        <f>IF(R10=0,0,VLOOKUP($A10,[10]HISTODEC22!$A$7:$AU$38,32,0))</f>
        <v>0</v>
      </c>
      <c r="P10" s="7">
        <f>VLOOKUP($A10,[10]HISTODEC22!$A$7:$AU$38,33,0)</f>
        <v>0</v>
      </c>
      <c r="Q10" s="7">
        <f t="shared" si="0"/>
        <v>0</v>
      </c>
      <c r="R10" s="7">
        <f>VLOOKUP($A10,[10]HISTODEC22!$A$7:$AU$38,29,0)</f>
        <v>0</v>
      </c>
      <c r="S10" s="21">
        <f t="shared" si="2"/>
        <v>0</v>
      </c>
      <c r="T10" s="22">
        <f t="shared" si="3"/>
        <v>3269.2307692307691</v>
      </c>
      <c r="U10" s="22">
        <v>3000</v>
      </c>
    </row>
    <row r="11" spans="1:21" ht="18.75" x14ac:dyDescent="0.3">
      <c r="A11" s="1" t="s">
        <v>50</v>
      </c>
      <c r="B11" s="7">
        <f>IF(D11=0,0,VLOOKUP($A11,[8]HISTOJANV22!$A$6:$AZ$36,9,0))</f>
        <v>1</v>
      </c>
      <c r="C11" s="1" t="str">
        <f>VLOOKUP(A11,[9]LISTADHERENT!A$5:H$60,3,0)</f>
        <v>DOMOU FABIEN</v>
      </c>
      <c r="D11" s="7">
        <f t="shared" si="1"/>
        <v>23000</v>
      </c>
      <c r="E11" s="7">
        <f>D11+VLOOKUP($A11,[10]HISTODEC22!$A$7:$AU$38,45,0)+F11</f>
        <v>35000</v>
      </c>
      <c r="F11" s="7">
        <f>VLOOKUP($A11,[10]HISTODEC22!$A$7:$AU$38,7,0)</f>
        <v>0</v>
      </c>
      <c r="G11" s="7" t="str">
        <f>VLOOKUP($A11,[10]HISTODEC22!$A$7:$AU$38,8,0)</f>
        <v>BANQUE</v>
      </c>
      <c r="H11" s="7">
        <f>VLOOKUP($A11,[10]HISTODEC22!$A$7:$AU$38,35,0)</f>
        <v>0</v>
      </c>
      <c r="I11" s="7">
        <f>VLOOKUP($A11,[10]HISTODEC22!$A$7:$AU$38,38,0)</f>
        <v>0</v>
      </c>
      <c r="J11" s="7">
        <f>IF(I11=0,0,VLOOKUP($A11,[10]HISTODEC22!$A$7:$AU$38,42,0))</f>
        <v>0</v>
      </c>
      <c r="K11" s="7">
        <f>VLOOKUP($A11,[10]HISTODEC22!$A$7:$AU$38,41,0)</f>
        <v>0</v>
      </c>
      <c r="L11" s="7">
        <f>+TONTNOV22!H11+TONTNOV22!I11</f>
        <v>0</v>
      </c>
      <c r="M11" s="7">
        <f>VLOOKUP($A11,[10]HISTODEC22!$A$7:$AU$38,16,0)</f>
        <v>0</v>
      </c>
      <c r="N11" s="7" t="str">
        <f>IF(M11&lt;&gt;0,VLOOKUP($A11,[10]HISTODEC22!$A$7:$AU$38,8,0),"ECHEC")</f>
        <v>ECHEC</v>
      </c>
      <c r="O11" s="7">
        <f>IF(R11=0,0,VLOOKUP($A11,[10]HISTODEC22!$A$7:$AU$38,32,0))</f>
        <v>0</v>
      </c>
      <c r="P11" s="7">
        <f>VLOOKUP($A11,[10]HISTODEC22!$A$7:$AU$38,33,0)</f>
        <v>0</v>
      </c>
      <c r="Q11" s="7">
        <f t="shared" si="0"/>
        <v>0</v>
      </c>
      <c r="R11" s="7">
        <f>VLOOKUP($A11,[10]HISTODEC22!$A$7:$AU$38,29,0)</f>
        <v>0</v>
      </c>
      <c r="S11" s="21">
        <f t="shared" si="2"/>
        <v>0</v>
      </c>
      <c r="T11" s="22">
        <f t="shared" si="3"/>
        <v>3269.2307692307691</v>
      </c>
      <c r="U11" s="22">
        <v>3000</v>
      </c>
    </row>
    <row r="12" spans="1:21" ht="18.75" x14ac:dyDescent="0.3">
      <c r="A12" s="1" t="s">
        <v>13</v>
      </c>
      <c r="B12" s="7">
        <f>IF(D12=0,0,VLOOKUP($A12,[8]HISTOJANV22!$A$6:$AZ$36,9,0))</f>
        <v>1</v>
      </c>
      <c r="C12" s="1" t="str">
        <f>VLOOKUP(A12,[9]LISTADHERENT!A$5:H$60,3,0)</f>
        <v>DONHOU DAVID</v>
      </c>
      <c r="D12" s="7">
        <f t="shared" si="1"/>
        <v>23000</v>
      </c>
      <c r="E12" s="7">
        <f>D12+VLOOKUP($A12,[10]HISTODEC22!$A$7:$AU$38,45,0)+F12</f>
        <v>35000</v>
      </c>
      <c r="F12" s="7">
        <f>VLOOKUP($A12,[10]HISTODEC22!$A$7:$AU$38,7,0)</f>
        <v>0</v>
      </c>
      <c r="G12" s="7" t="str">
        <f>VLOOKUP($A12,[10]HISTODEC22!$A$7:$AU$38,8,0)</f>
        <v>BANQUE</v>
      </c>
      <c r="H12" s="7">
        <f>VLOOKUP($A12,[10]HISTODEC22!$A$7:$AU$38,35,0)</f>
        <v>0</v>
      </c>
      <c r="I12" s="7">
        <f>VLOOKUP($A12,[10]HISTODEC22!$A$7:$AU$38,38,0)</f>
        <v>0</v>
      </c>
      <c r="J12" s="7">
        <f>IF(I12=0,0,VLOOKUP($A12,[10]HISTODEC22!$A$7:$AU$38,42,0))</f>
        <v>0</v>
      </c>
      <c r="K12" s="7">
        <f>VLOOKUP($A12,[10]HISTODEC22!$A$7:$AU$38,41,0)</f>
        <v>0</v>
      </c>
      <c r="L12" s="7">
        <f>+TONTNOV22!H12+TONTNOV22!I12</f>
        <v>0</v>
      </c>
      <c r="M12" s="7">
        <f>VLOOKUP($A12,[10]HISTODEC22!$A$7:$AU$38,16,0)</f>
        <v>0</v>
      </c>
      <c r="N12" s="7" t="str">
        <f>IF(M12&lt;&gt;0,VLOOKUP($A12,[10]HISTODEC22!$A$7:$AU$38,8,0),"ECHEC")</f>
        <v>ECHEC</v>
      </c>
      <c r="O12" s="7" t="str">
        <f>IF(R12=0,0,VLOOKUP($A12,[10]HISTODEC22!$A$7:$AU$38,32,0))</f>
        <v>BANQUE</v>
      </c>
      <c r="P12" s="7">
        <f>VLOOKUP($A12,[10]HISTODEC22!$A$7:$AU$38,33,0)</f>
        <v>0</v>
      </c>
      <c r="Q12" s="7">
        <f t="shared" si="0"/>
        <v>277000</v>
      </c>
      <c r="R12" s="7">
        <f>VLOOKUP($A12,[10]HISTODEC22!$A$7:$AU$38,29,0)</f>
        <v>23000</v>
      </c>
      <c r="S12" s="21">
        <f t="shared" si="2"/>
        <v>0</v>
      </c>
      <c r="T12" s="22">
        <f t="shared" si="3"/>
        <v>3269.2307692307691</v>
      </c>
      <c r="U12" s="22">
        <v>3000</v>
      </c>
    </row>
    <row r="13" spans="1:21" ht="18.75" x14ac:dyDescent="0.3">
      <c r="A13" s="1" t="s">
        <v>15</v>
      </c>
      <c r="B13" s="7">
        <f>IF(D13=0,0,VLOOKUP($A13,[8]HISTOJANV22!$A$6:$AZ$36,9,0))</f>
        <v>1</v>
      </c>
      <c r="C13" s="1" t="str">
        <f>VLOOKUP(A13,[9]LISTADHERENT!A$5:H$60,3,0)</f>
        <v>HENGUE PAUL OMER</v>
      </c>
      <c r="D13" s="7">
        <f t="shared" si="1"/>
        <v>23000</v>
      </c>
      <c r="E13" s="7">
        <f>D13+VLOOKUP($A13,[10]HISTODEC22!$A$7:$AU$38,45,0)+F13</f>
        <v>30000</v>
      </c>
      <c r="F13" s="7">
        <f>VLOOKUP($A13,[10]HISTODEC22!$A$7:$AU$38,7,0)</f>
        <v>0</v>
      </c>
      <c r="G13" s="7" t="str">
        <f>VLOOKUP($A13,[10]HISTODEC22!$A$7:$AU$38,8,0)</f>
        <v>BANQUE</v>
      </c>
      <c r="H13" s="7">
        <f>VLOOKUP($A13,[10]HISTODEC22!$A$7:$AU$38,35,0)</f>
        <v>0</v>
      </c>
      <c r="I13" s="7">
        <f>VLOOKUP($A13,[10]HISTODEC22!$A$7:$AU$38,38,0)</f>
        <v>0</v>
      </c>
      <c r="J13" s="7">
        <f>IF(I13=0,0,VLOOKUP($A13,[10]HISTODEC22!$A$7:$AU$38,42,0))</f>
        <v>0</v>
      </c>
      <c r="K13" s="7">
        <f>VLOOKUP($A13,[10]HISTODEC22!$A$7:$AU$38,41,0)</f>
        <v>0</v>
      </c>
      <c r="L13" s="7">
        <f>+TONTNOV22!H13+TONTNOV22!I13</f>
        <v>0</v>
      </c>
      <c r="M13" s="7">
        <f>VLOOKUP($A13,[10]HISTODEC22!$A$7:$AU$38,16,0)</f>
        <v>0</v>
      </c>
      <c r="N13" s="7" t="str">
        <f>IF(M13&lt;&gt;0,VLOOKUP($A13,[10]HISTODEC22!$A$7:$AU$38,8,0),"ECHEC")</f>
        <v>ECHEC</v>
      </c>
      <c r="O13" s="7">
        <f>IF(R13=0,0,VLOOKUP($A13,[10]HISTODEC22!$A$7:$AU$38,32,0))</f>
        <v>0</v>
      </c>
      <c r="P13" s="7">
        <f>VLOOKUP($A13,[10]HISTODEC22!$A$7:$AU$38,33,0)</f>
        <v>0</v>
      </c>
      <c r="Q13" s="7">
        <f t="shared" si="0"/>
        <v>0</v>
      </c>
      <c r="R13" s="7">
        <f>VLOOKUP($A13,[10]HISTODEC22!$A$7:$AU$38,29,0)</f>
        <v>0</v>
      </c>
      <c r="S13" s="21">
        <f t="shared" si="2"/>
        <v>0</v>
      </c>
      <c r="T13" s="22">
        <f t="shared" si="3"/>
        <v>3269.2307692307691</v>
      </c>
      <c r="U13" s="22">
        <v>3000</v>
      </c>
    </row>
    <row r="14" spans="1:21" ht="18.75" x14ac:dyDescent="0.3">
      <c r="A14" s="1" t="s">
        <v>16</v>
      </c>
      <c r="B14" s="7">
        <f>IF(D14=0,0,VLOOKUP($A14,[8]HISTOJANV22!$A$6:$AZ$36,9,0))</f>
        <v>1</v>
      </c>
      <c r="C14" s="1" t="str">
        <f>VLOOKUP(A14,[9]LISTADHERENT!A$5:H$60,3,0)</f>
        <v>HOTCHO BENJAMIN</v>
      </c>
      <c r="D14" s="7">
        <f t="shared" si="1"/>
        <v>23000</v>
      </c>
      <c r="E14" s="7">
        <f>D14+VLOOKUP($A14,[10]HISTODEC22!$A$7:$AU$38,45,0)+F14</f>
        <v>75000</v>
      </c>
      <c r="F14" s="7">
        <f>VLOOKUP($A14,[10]HISTODEC22!$A$7:$AU$38,7,0)</f>
        <v>0</v>
      </c>
      <c r="G14" s="7" t="str">
        <f>VLOOKUP($A14,[10]HISTODEC22!$A$7:$AU$38,8,0)</f>
        <v>BANQUE</v>
      </c>
      <c r="H14" s="7">
        <f>VLOOKUP($A14,[10]HISTODEC22!$A$7:$AU$38,35,0)</f>
        <v>0</v>
      </c>
      <c r="I14" s="7">
        <f>VLOOKUP($A14,[10]HISTODEC22!$A$7:$AU$38,38,0)</f>
        <v>0</v>
      </c>
      <c r="J14" s="7">
        <f>IF(I14=0,0,VLOOKUP($A14,[10]HISTODEC22!$A$7:$AU$38,42,0))</f>
        <v>0</v>
      </c>
      <c r="K14" s="7">
        <f>VLOOKUP($A14,[10]HISTODEC22!$A$7:$AU$38,41,0)</f>
        <v>0</v>
      </c>
      <c r="L14" s="7">
        <f>+TONTNOV22!H14+TONTNOV22!I14</f>
        <v>0</v>
      </c>
      <c r="M14" s="7">
        <f>VLOOKUP($A14,[10]HISTODEC22!$A$7:$AU$38,16,0)</f>
        <v>0</v>
      </c>
      <c r="N14" s="7" t="str">
        <f>IF(M14&lt;&gt;0,VLOOKUP($A14,[10]HISTODEC22!$A$7:$AU$38,8,0),"ECHEC")</f>
        <v>ECHEC</v>
      </c>
      <c r="O14" s="7">
        <f>IF(R14=0,0,VLOOKUP($A14,[10]HISTODEC22!$A$7:$AU$38,32,0))</f>
        <v>0</v>
      </c>
      <c r="P14" s="7">
        <f>VLOOKUP($A14,[10]HISTODEC22!$A$7:$AU$38,33,0)</f>
        <v>0</v>
      </c>
      <c r="Q14" s="7">
        <f t="shared" si="0"/>
        <v>0</v>
      </c>
      <c r="R14" s="7">
        <f>VLOOKUP($A14,[10]HISTODEC22!$A$7:$AU$38,29,0)</f>
        <v>0</v>
      </c>
      <c r="S14" s="21">
        <f t="shared" si="2"/>
        <v>0</v>
      </c>
      <c r="T14" s="22">
        <f t="shared" si="3"/>
        <v>3269.2307692307691</v>
      </c>
      <c r="U14" s="22">
        <v>3000</v>
      </c>
    </row>
    <row r="15" spans="1:21" ht="18.75" x14ac:dyDescent="0.3">
      <c r="A15" s="1" t="s">
        <v>17</v>
      </c>
      <c r="B15" s="7">
        <f>IF(D15=0,0,VLOOKUP($A15,[8]HISTOJANV22!$A$6:$AZ$36,9,0))</f>
        <v>1</v>
      </c>
      <c r="C15" s="1" t="str">
        <f>VLOOKUP(A15,[9]LISTADHERENT!A$5:H$60,3,0)</f>
        <v>KOUAMOU MOISE</v>
      </c>
      <c r="D15" s="7">
        <f t="shared" si="1"/>
        <v>23000</v>
      </c>
      <c r="E15" s="7">
        <f>D15+VLOOKUP($A15,[10]HISTODEC22!$A$7:$AU$38,45,0)+F15</f>
        <v>30000</v>
      </c>
      <c r="F15" s="7">
        <f>VLOOKUP($A15,[10]HISTODEC22!$A$7:$AU$38,7,0)</f>
        <v>0</v>
      </c>
      <c r="G15" s="7" t="str">
        <f>VLOOKUP($A15,[10]HISTODEC22!$A$7:$AU$38,8,0)</f>
        <v>BANQUE</v>
      </c>
      <c r="H15" s="7">
        <f>VLOOKUP($A15,[10]HISTODEC22!$A$7:$AU$38,35,0)</f>
        <v>0</v>
      </c>
      <c r="I15" s="7">
        <f>VLOOKUP($A15,[10]HISTODEC22!$A$7:$AU$38,38,0)</f>
        <v>0</v>
      </c>
      <c r="J15" s="7">
        <f>IF(I15=0,0,VLOOKUP($A15,[10]HISTODEC22!$A$7:$AU$38,42,0))</f>
        <v>0</v>
      </c>
      <c r="K15" s="7">
        <f>VLOOKUP($A15,[10]HISTODEC22!$A$7:$AU$38,41,0)</f>
        <v>0</v>
      </c>
      <c r="L15" s="7">
        <f>+TONTNOV22!H15+TONTNOV22!I15</f>
        <v>0</v>
      </c>
      <c r="M15" s="7">
        <f>VLOOKUP($A15,[10]HISTODEC22!$A$7:$AU$38,16,0)</f>
        <v>0</v>
      </c>
      <c r="N15" s="7" t="str">
        <f>IF(M15&lt;&gt;0,VLOOKUP($A15,[10]HISTODEC22!$A$7:$AU$38,8,0),"ECHEC")</f>
        <v>ECHEC</v>
      </c>
      <c r="O15" s="7">
        <f>IF(R15=0,0,VLOOKUP($A15,[10]HISTODEC22!$A$7:$AU$38,32,0))</f>
        <v>0</v>
      </c>
      <c r="P15" s="7">
        <f>VLOOKUP($A15,[10]HISTODEC22!$A$7:$AU$38,33,0)</f>
        <v>0</v>
      </c>
      <c r="Q15" s="7">
        <f t="shared" si="0"/>
        <v>0</v>
      </c>
      <c r="R15" s="7">
        <f>VLOOKUP($A15,[10]HISTODEC22!$A$7:$AU$38,29,0)</f>
        <v>0</v>
      </c>
      <c r="S15" s="21">
        <f t="shared" si="2"/>
        <v>0</v>
      </c>
      <c r="T15" s="22">
        <f t="shared" si="3"/>
        <v>3269.2307692307691</v>
      </c>
      <c r="U15" s="22">
        <v>3000</v>
      </c>
    </row>
    <row r="16" spans="1:21" ht="18.75" x14ac:dyDescent="0.3">
      <c r="A16" s="1" t="s">
        <v>18</v>
      </c>
      <c r="B16" s="7">
        <f>IF(D16=0,0,VLOOKUP($A16,[8]HISTOJANV22!$A$6:$AZ$36,9,0))</f>
        <v>1</v>
      </c>
      <c r="C16" s="1" t="str">
        <f>VLOOKUP(A16,[9]LISTADHERENT!A$5:H$60,3,0)</f>
        <v>KOUATCHO MESSACK</v>
      </c>
      <c r="D16" s="7">
        <f t="shared" si="1"/>
        <v>23000</v>
      </c>
      <c r="E16" s="7">
        <f>D16+VLOOKUP($A16,[10]HISTODEC22!$A$7:$AU$38,45,0)+F16</f>
        <v>30000</v>
      </c>
      <c r="F16" s="7">
        <f>VLOOKUP($A16,[10]HISTODEC22!$A$7:$AU$38,7,0)</f>
        <v>0</v>
      </c>
      <c r="G16" s="7" t="str">
        <f>VLOOKUP($A16,[10]HISTODEC22!$A$7:$AU$38,8,0)</f>
        <v>BANQUE</v>
      </c>
      <c r="H16" s="7">
        <f>VLOOKUP($A16,[10]HISTODEC22!$A$7:$AU$38,35,0)</f>
        <v>0</v>
      </c>
      <c r="I16" s="7">
        <f>VLOOKUP($A16,[10]HISTODEC22!$A$7:$AU$38,38,0)</f>
        <v>0</v>
      </c>
      <c r="J16" s="7">
        <f>IF(I16=0,0,VLOOKUP($A16,[10]HISTODEC22!$A$7:$AU$38,42,0))</f>
        <v>0</v>
      </c>
      <c r="K16" s="7">
        <f>VLOOKUP($A16,[10]HISTODEC22!$A$7:$AU$38,41,0)</f>
        <v>0</v>
      </c>
      <c r="L16" s="7">
        <f>+TONTNOV22!H16+TONTNOV22!I16</f>
        <v>0</v>
      </c>
      <c r="M16" s="7">
        <f>VLOOKUP($A16,[10]HISTODEC22!$A$7:$AU$38,16,0)</f>
        <v>0</v>
      </c>
      <c r="N16" s="7" t="str">
        <f>IF(M16&lt;&gt;0,VLOOKUP($A16,[10]HISTODEC22!$A$7:$AU$38,8,0),"ECHEC")</f>
        <v>ECHEC</v>
      </c>
      <c r="O16" s="7">
        <f>IF(R16=0,0,VLOOKUP($A16,[10]HISTODEC22!$A$7:$AU$38,32,0))</f>
        <v>0</v>
      </c>
      <c r="P16" s="7">
        <f>VLOOKUP($A16,[10]HISTODEC22!$A$7:$AU$38,33,0)</f>
        <v>0</v>
      </c>
      <c r="Q16" s="7">
        <f t="shared" si="0"/>
        <v>0</v>
      </c>
      <c r="R16" s="7">
        <f>VLOOKUP($A16,[10]HISTODEC22!$A$7:$AU$38,29,0)</f>
        <v>0</v>
      </c>
      <c r="S16" s="21">
        <f t="shared" si="2"/>
        <v>0</v>
      </c>
      <c r="T16" s="22">
        <f t="shared" si="3"/>
        <v>3269.2307692307691</v>
      </c>
      <c r="U16" s="22">
        <v>3000</v>
      </c>
    </row>
    <row r="17" spans="1:21" ht="18.75" x14ac:dyDescent="0.3">
      <c r="A17" s="1" t="s">
        <v>19</v>
      </c>
      <c r="B17" s="7">
        <f>IF(D17=0,0,VLOOKUP($A17,[8]HISTOJANV22!$A$6:$AZ$36,9,0))</f>
        <v>1</v>
      </c>
      <c r="C17" s="1" t="str">
        <f>VLOOKUP(A17,[9]LISTADHERENT!A$5:H$60,3,0)</f>
        <v>LOWE JEAN</v>
      </c>
      <c r="D17" s="7">
        <f t="shared" si="1"/>
        <v>23000</v>
      </c>
      <c r="E17" s="7">
        <f>D17+VLOOKUP($A17,[10]HISTODEC22!$A$7:$AU$38,45,0)+F17</f>
        <v>30000</v>
      </c>
      <c r="F17" s="7">
        <f>VLOOKUP($A17,[10]HISTODEC22!$A$7:$AU$38,7,0)</f>
        <v>0</v>
      </c>
      <c r="G17" s="7" t="str">
        <f>VLOOKUP($A17,[10]HISTODEC22!$A$7:$AU$38,8,0)</f>
        <v>BANQUE</v>
      </c>
      <c r="H17" s="7">
        <f>VLOOKUP($A17,[10]HISTODEC22!$A$7:$AU$38,35,0)</f>
        <v>0</v>
      </c>
      <c r="I17" s="7">
        <f>VLOOKUP($A17,[10]HISTODEC22!$A$7:$AU$38,38,0)</f>
        <v>0</v>
      </c>
      <c r="J17" s="7">
        <f>IF(I17=0,0,VLOOKUP($A17,[10]HISTODEC22!$A$7:$AU$38,42,0))</f>
        <v>0</v>
      </c>
      <c r="K17" s="7">
        <f>VLOOKUP($A17,[10]HISTODEC22!$A$7:$AU$38,41,0)</f>
        <v>0</v>
      </c>
      <c r="L17" s="7">
        <f>+TONTNOV22!H17+TONTNOV22!I17</f>
        <v>0</v>
      </c>
      <c r="M17" s="7">
        <f>VLOOKUP($A17,[10]HISTODEC22!$A$7:$AU$38,16,0)</f>
        <v>0</v>
      </c>
      <c r="N17" s="7" t="str">
        <f>IF(M17&lt;&gt;0,VLOOKUP($A17,[10]HISTODEC22!$A$7:$AU$38,8,0),"ECHEC")</f>
        <v>ECHEC</v>
      </c>
      <c r="O17" s="7">
        <f>IF(R17=0,0,VLOOKUP($A17,[10]HISTODEC22!$A$7:$AU$38,32,0))</f>
        <v>0</v>
      </c>
      <c r="P17" s="7">
        <f>VLOOKUP($A17,[10]HISTODEC22!$A$7:$AU$38,33,0)</f>
        <v>0</v>
      </c>
      <c r="Q17" s="7">
        <f t="shared" si="0"/>
        <v>0</v>
      </c>
      <c r="R17" s="7">
        <f>VLOOKUP($A17,[10]HISTODEC22!$A$7:$AU$38,29,0)</f>
        <v>0</v>
      </c>
      <c r="S17" s="21">
        <f t="shared" si="2"/>
        <v>0</v>
      </c>
      <c r="T17" s="22">
        <f t="shared" si="3"/>
        <v>3269.2307692307691</v>
      </c>
      <c r="U17" s="22">
        <v>3000</v>
      </c>
    </row>
    <row r="18" spans="1:21" ht="18.75" x14ac:dyDescent="0.3">
      <c r="A18" s="1" t="s">
        <v>49</v>
      </c>
      <c r="B18" s="7">
        <f>IF(D18=0,0,VLOOKUP($A18,[8]HISTOJANV22!$A$6:$AZ$36,9,0))</f>
        <v>1</v>
      </c>
      <c r="C18" s="1" t="str">
        <f>VLOOKUP(A18,[9]LISTADHERENT!A$5:H$60,3,0)</f>
        <v>MBOGNING TUGMA GUY</v>
      </c>
      <c r="D18" s="7">
        <f t="shared" si="1"/>
        <v>23000</v>
      </c>
      <c r="E18" s="7">
        <f>D18+VLOOKUP($A18,[10]HISTODEC22!$A$7:$AU$38,45,0)+F18</f>
        <v>30000</v>
      </c>
      <c r="F18" s="7">
        <f>VLOOKUP($A18,[10]HISTODEC22!$A$7:$AU$38,7,0)</f>
        <v>0</v>
      </c>
      <c r="G18" s="7" t="str">
        <f>VLOOKUP($A18,[10]HISTODEC22!$A$7:$AU$38,8,0)</f>
        <v>BANQUE</v>
      </c>
      <c r="H18" s="7">
        <f>VLOOKUP($A18,[10]HISTODEC22!$A$7:$AU$38,35,0)</f>
        <v>0</v>
      </c>
      <c r="I18" s="7">
        <f>VLOOKUP($A18,[10]HISTODEC22!$A$7:$AU$38,38,0)</f>
        <v>0</v>
      </c>
      <c r="J18" s="7">
        <f>IF(I18=0,0,VLOOKUP($A18,[10]HISTODEC22!$A$7:$AU$38,42,0))</f>
        <v>0</v>
      </c>
      <c r="K18" s="7">
        <f>VLOOKUP($A18,[10]HISTODEC22!$A$7:$AU$38,41,0)</f>
        <v>0</v>
      </c>
      <c r="L18" s="7">
        <f>+TONTNOV22!H18+TONTNOV22!I18</f>
        <v>0</v>
      </c>
      <c r="M18" s="7">
        <f>VLOOKUP($A18,[10]HISTODEC22!$A$7:$AU$38,16,0)</f>
        <v>0</v>
      </c>
      <c r="N18" s="7" t="str">
        <f>IF(M18&lt;&gt;0,VLOOKUP($A18,[10]HISTODEC22!$A$7:$AU$38,8,0),"ECHEC")</f>
        <v>ECHEC</v>
      </c>
      <c r="O18" s="7">
        <f>IF(R18=0,0,VLOOKUP($A18,[10]HISTODEC22!$A$7:$AU$38,32,0))</f>
        <v>0</v>
      </c>
      <c r="P18" s="7">
        <f>VLOOKUP($A18,[10]HISTODEC22!$A$7:$AU$38,33,0)</f>
        <v>0</v>
      </c>
      <c r="Q18" s="7">
        <f t="shared" si="0"/>
        <v>0</v>
      </c>
      <c r="R18" s="7">
        <f>VLOOKUP($A18,[10]HISTODEC22!$A$7:$AU$38,29,0)</f>
        <v>0</v>
      </c>
      <c r="S18" s="21">
        <f t="shared" si="2"/>
        <v>0</v>
      </c>
      <c r="T18" s="22">
        <f t="shared" si="3"/>
        <v>3269.2307692307691</v>
      </c>
      <c r="U18" s="22">
        <v>3000</v>
      </c>
    </row>
    <row r="19" spans="1:21" ht="18.75" x14ac:dyDescent="0.3">
      <c r="A19" s="1" t="s">
        <v>30</v>
      </c>
      <c r="B19" s="7">
        <f>IF(D19=0,0,VLOOKUP($A19,[8]HISTOJANV22!$A$6:$AZ$36,9,0))</f>
        <v>1</v>
      </c>
      <c r="C19" s="1" t="str">
        <f>VLOOKUP(A19,[9]LISTADHERENT!A$5:H$60,3,0)</f>
        <v>NANGUEN MARTIN</v>
      </c>
      <c r="D19" s="7">
        <f t="shared" si="1"/>
        <v>23000</v>
      </c>
      <c r="E19" s="7">
        <f>D19+VLOOKUP($A19,[10]HISTODEC22!$A$7:$AU$38,45,0)+F19</f>
        <v>30000</v>
      </c>
      <c r="F19" s="7">
        <f>VLOOKUP($A19,[10]HISTODEC22!$A$7:$AU$38,7,0)</f>
        <v>0</v>
      </c>
      <c r="G19" s="7" t="str">
        <f>VLOOKUP($A19,[10]HISTODEC22!$A$7:$AU$38,8,0)</f>
        <v>BANQUE</v>
      </c>
      <c r="H19" s="7">
        <f>VLOOKUP($A19,[10]HISTODEC22!$A$7:$AU$38,35,0)</f>
        <v>0</v>
      </c>
      <c r="I19" s="7">
        <f>VLOOKUP($A19,[10]HISTODEC22!$A$7:$AU$38,38,0)</f>
        <v>0</v>
      </c>
      <c r="J19" s="7">
        <f>IF(I19=0,0,VLOOKUP($A19,[10]HISTODEC22!$A$7:$AU$38,42,0))</f>
        <v>0</v>
      </c>
      <c r="K19" s="7">
        <f>VLOOKUP($A19,[10]HISTODEC22!$A$7:$AU$38,41,0)</f>
        <v>0</v>
      </c>
      <c r="L19" s="7">
        <f>+TONTNOV22!H19+TONTNOV22!I19</f>
        <v>0</v>
      </c>
      <c r="M19" s="7">
        <f>VLOOKUP($A19,[10]HISTODEC22!$A$7:$AU$38,16,0)</f>
        <v>0</v>
      </c>
      <c r="N19" s="7" t="str">
        <f>IF(M19&lt;&gt;0,VLOOKUP($A19,[10]HISTODEC22!$A$7:$AU$38,8,0),"ECHEC")</f>
        <v>ECHEC</v>
      </c>
      <c r="O19" s="7">
        <f>IF(R19=0,0,VLOOKUP($A19,[10]HISTODEC22!$A$7:$AU$38,32,0))</f>
        <v>0</v>
      </c>
      <c r="P19" s="7">
        <f>VLOOKUP($A19,[10]HISTODEC22!$A$7:$AU$38,33,0)</f>
        <v>0</v>
      </c>
      <c r="Q19" s="7">
        <f t="shared" si="0"/>
        <v>0</v>
      </c>
      <c r="R19" s="7">
        <f>VLOOKUP($A19,[10]HISTODEC22!$A$7:$AU$38,29,0)</f>
        <v>0</v>
      </c>
      <c r="S19" s="21">
        <f t="shared" si="2"/>
        <v>0</v>
      </c>
      <c r="T19" s="22">
        <f t="shared" si="3"/>
        <v>3269.2307692307691</v>
      </c>
      <c r="U19" s="22">
        <v>3000</v>
      </c>
    </row>
    <row r="20" spans="1:21" ht="18.75" x14ac:dyDescent="0.3">
      <c r="A20" s="1" t="s">
        <v>20</v>
      </c>
      <c r="B20" s="7">
        <f>IF(D20=0,0,VLOOKUP($A20,[8]HISTOJANV22!$A$6:$AZ$36,9,0))</f>
        <v>1</v>
      </c>
      <c r="C20" s="1" t="str">
        <f>VLOOKUP(A20,[9]LISTADHERENT!A$5:H$60,3,0)</f>
        <v>NANKAM APPOLINAIRE</v>
      </c>
      <c r="D20" s="7">
        <f t="shared" si="1"/>
        <v>23000</v>
      </c>
      <c r="E20" s="7">
        <f>D20+VLOOKUP($A20,[10]HISTODEC22!$A$7:$AU$38,45,0)+F20</f>
        <v>30000</v>
      </c>
      <c r="F20" s="7">
        <f>VLOOKUP($A21,[10]HISTODEC22!$A$7:$AU$38,7,0)</f>
        <v>0</v>
      </c>
      <c r="G20" s="7" t="str">
        <f>VLOOKUP($A21,[10]HISTODEC22!$A$7:$AU$38,8,0)</f>
        <v>BANQUE</v>
      </c>
      <c r="H20" s="7">
        <f>VLOOKUP($A21,[10]HISTODEC22!$A$7:$AU$38,35,0)</f>
        <v>0</v>
      </c>
      <c r="I20" s="7">
        <f>VLOOKUP($A21,[10]HISTODEC22!$A$7:$AU$38,38,0)</f>
        <v>0</v>
      </c>
      <c r="J20" s="7">
        <f>IF(I21=0,0,VLOOKUP($A21,[10]HISTODEC22!$A$7:$AU$38,42,0))</f>
        <v>0</v>
      </c>
      <c r="K20" s="7">
        <f>VLOOKUP($A21,[10]HISTODEC22!$A$7:$AU$38,41,0)</f>
        <v>0</v>
      </c>
      <c r="L20" s="7">
        <f>+TONTNOV22!H20+TONTNOV22!I20</f>
        <v>0</v>
      </c>
      <c r="M20" s="7">
        <f>VLOOKUP($A21,[10]HISTODEC22!$A$7:$AU$38,16,0)</f>
        <v>0</v>
      </c>
      <c r="N20" s="7" t="str">
        <f>IF(M21&lt;&gt;0,VLOOKUP($A21,[10]HISTODEC22!$A$7:$AU$38,8,0),"ECHEC")</f>
        <v>ECHEC</v>
      </c>
      <c r="O20" s="7">
        <f>IF(R21=0,0,VLOOKUP($A21,[10]HISTODEC22!$A$7:$AU$38,32,0))</f>
        <v>0</v>
      </c>
      <c r="P20" s="7">
        <f>VLOOKUP($A21,[10]HISTODEC22!$A$7:$AU$38,33,0)</f>
        <v>0</v>
      </c>
      <c r="Q20" s="7">
        <f>IF(R21=0,0,($C$3-R21))</f>
        <v>0</v>
      </c>
      <c r="R20" s="7">
        <f>VLOOKUP($A21,[10]HISTODEC22!$A$7:$AU$38,29,0)</f>
        <v>0</v>
      </c>
      <c r="S20" s="21">
        <f t="shared" si="2"/>
        <v>0</v>
      </c>
      <c r="T20" s="22">
        <f t="shared" si="3"/>
        <v>3269.2307692307691</v>
      </c>
      <c r="U20" s="22">
        <v>3000</v>
      </c>
    </row>
    <row r="21" spans="1:21" ht="18.75" x14ac:dyDescent="0.3">
      <c r="A21" s="1" t="s">
        <v>21</v>
      </c>
      <c r="B21" s="7">
        <f>IF(D21=0,0,VLOOKUP($A21,[8]HISTOJANV22!$A$6:$AZ$36,9,0))</f>
        <v>1</v>
      </c>
      <c r="C21" s="1" t="str">
        <f>VLOOKUP(A21,[9]LISTADHERENT!A$5:H$60,3,0)</f>
        <v>NDJOMO ETIENNE</v>
      </c>
      <c r="D21" s="7">
        <f t="shared" si="1"/>
        <v>23000</v>
      </c>
      <c r="E21" s="7">
        <f>D21+VLOOKUP($A21,[10]HISTODEC22!$A$7:$AU$38,45,0)+F21</f>
        <v>50000</v>
      </c>
      <c r="F21" s="7">
        <f>VLOOKUP($A21,[10]HISTODEC22!$A$7:$AU$38,7,0)</f>
        <v>0</v>
      </c>
      <c r="G21" s="7" t="str">
        <f>VLOOKUP($A21,[10]HISTODEC22!$A$7:$AU$38,8,0)</f>
        <v>BANQUE</v>
      </c>
      <c r="H21" s="7">
        <f>VLOOKUP($A21,[10]HISTODEC22!$A$7:$AU$38,35,0)</f>
        <v>0</v>
      </c>
      <c r="I21" s="7">
        <f>VLOOKUP($A21,[10]HISTODEC22!$A$7:$AU$38,38,0)</f>
        <v>0</v>
      </c>
      <c r="J21" s="7">
        <f>IF(I21=0,0,VLOOKUP($A21,[10]HISTODEC22!$A$7:$AU$38,42,0))</f>
        <v>0</v>
      </c>
      <c r="K21" s="7">
        <f>VLOOKUP($A21,[10]HISTODEC22!$A$7:$AU$38,41,0)</f>
        <v>0</v>
      </c>
      <c r="L21" s="7">
        <f>+TONTNOV22!H21+TONTNOV22!I21</f>
        <v>0</v>
      </c>
      <c r="M21" s="7">
        <f>VLOOKUP($A21,[10]HISTODEC22!$A$7:$AU$38,16,0)</f>
        <v>0</v>
      </c>
      <c r="N21" s="7" t="str">
        <f>IF(M21&lt;&gt;0,VLOOKUP($A21,[10]HISTODEC22!$A$7:$AU$38,8,0),"ECHEC")</f>
        <v>ECHEC</v>
      </c>
      <c r="O21" s="7">
        <f>IF(R21=0,0,VLOOKUP($A21,[10]HISTODEC22!$A$7:$AU$38,32,0))</f>
        <v>0</v>
      </c>
      <c r="P21" s="7">
        <f>VLOOKUP($A21,[10]HISTODEC22!$A$7:$AU$38,33,0)</f>
        <v>0</v>
      </c>
      <c r="Q21" s="7">
        <f t="shared" si="0"/>
        <v>0</v>
      </c>
      <c r="R21" s="7">
        <f>VLOOKUP($A21,[10]HISTODEC22!$A$7:$AU$38,29,0)</f>
        <v>0</v>
      </c>
      <c r="S21" s="21">
        <f t="shared" si="2"/>
        <v>0</v>
      </c>
      <c r="T21" s="22">
        <f t="shared" si="3"/>
        <v>3269.2307692307691</v>
      </c>
      <c r="U21" s="22">
        <v>3000</v>
      </c>
    </row>
    <row r="22" spans="1:21" ht="18.75" x14ac:dyDescent="0.3">
      <c r="A22" s="1" t="s">
        <v>22</v>
      </c>
      <c r="B22" s="7">
        <f>IF(D22=0,0,VLOOKUP($A22,[8]HISTOJANV22!$A$6:$AZ$36,9,0))</f>
        <v>1</v>
      </c>
      <c r="C22" s="1" t="str">
        <f>VLOOKUP(A22,[9]LISTADHERENT!A$5:H$60,3,0)</f>
        <v>NGONDIEP CLAUDE</v>
      </c>
      <c r="D22" s="7">
        <f t="shared" si="1"/>
        <v>23000</v>
      </c>
      <c r="E22" s="7">
        <f>D22+VLOOKUP($A22,[10]HISTODEC22!$A$7:$AU$38,45,0)+F22</f>
        <v>65000</v>
      </c>
      <c r="F22" s="7">
        <f>VLOOKUP($A22,[10]HISTODEC22!$A$7:$AU$38,7,0)</f>
        <v>0</v>
      </c>
      <c r="G22" s="7" t="str">
        <f>VLOOKUP($A22,[10]HISTODEC22!$A$7:$AU$38,8,0)</f>
        <v>BANQUE</v>
      </c>
      <c r="H22" s="7">
        <f>VLOOKUP($A22,[10]HISTODEC22!$A$7:$AU$38,35,0)</f>
        <v>0</v>
      </c>
      <c r="I22" s="7">
        <f>VLOOKUP($A22,[10]HISTODEC22!$A$7:$AU$38,38,0)</f>
        <v>0</v>
      </c>
      <c r="J22" s="7">
        <f>IF(I22=0,0,VLOOKUP($A22,[10]HISTODEC22!$A$7:$AU$38,42,0))</f>
        <v>0</v>
      </c>
      <c r="K22" s="7">
        <f>VLOOKUP($A22,[10]HISTODEC22!$A$7:$AU$38,41,0)</f>
        <v>0</v>
      </c>
      <c r="L22" s="7">
        <f>+TONTNOV22!H22+TONTNOV22!I22</f>
        <v>0</v>
      </c>
      <c r="M22" s="7">
        <f>VLOOKUP($A22,[10]HISTODEC22!$A$7:$AU$38,16,0)</f>
        <v>0</v>
      </c>
      <c r="N22" s="7" t="str">
        <f>IF(M22&lt;&gt;0,VLOOKUP($A22,[10]HISTODEC22!$A$7:$AU$38,8,0),"ECHEC")</f>
        <v>ECHEC</v>
      </c>
      <c r="O22" s="7">
        <f>IF(R22=0,0,VLOOKUP($A22,[10]HISTODEC22!$A$7:$AU$38,32,0))</f>
        <v>0</v>
      </c>
      <c r="P22" s="7">
        <f>VLOOKUP($A22,[10]HISTODEC22!$A$7:$AU$38,33,0)</f>
        <v>0</v>
      </c>
      <c r="Q22" s="7">
        <f t="shared" si="0"/>
        <v>0</v>
      </c>
      <c r="R22" s="7">
        <f>VLOOKUP($A22,[10]HISTODEC22!$A$7:$AU$38,29,0)</f>
        <v>0</v>
      </c>
      <c r="S22" s="21">
        <f t="shared" si="2"/>
        <v>0</v>
      </c>
      <c r="T22" s="22">
        <f t="shared" si="3"/>
        <v>3269.2307692307691</v>
      </c>
      <c r="U22" s="22">
        <v>3000</v>
      </c>
    </row>
    <row r="23" spans="1:21" ht="18.75" x14ac:dyDescent="0.3">
      <c r="A23" s="1" t="s">
        <v>23</v>
      </c>
      <c r="B23" s="7">
        <f>IF(D23=0,0,VLOOKUP($A23,[8]HISTOJANV22!$A$6:$AZ$36,9,0))</f>
        <v>1</v>
      </c>
      <c r="C23" s="1" t="str">
        <f>VLOOKUP(A23,[9]LISTADHERENT!A$5:H$60,3,0)</f>
        <v>NGUIEMEGNI MATHIEU BLAISE</v>
      </c>
      <c r="D23" s="7">
        <f t="shared" si="1"/>
        <v>23000</v>
      </c>
      <c r="E23" s="7">
        <f>D23+VLOOKUP($A23,[10]HISTODEC22!$A$7:$AU$38,45,0)+F23</f>
        <v>30000</v>
      </c>
      <c r="F23" s="7">
        <f>VLOOKUP($A23,[10]HISTODEC22!$A$7:$AU$38,7,0)</f>
        <v>0</v>
      </c>
      <c r="G23" s="7" t="str">
        <f>VLOOKUP($A23,[10]HISTODEC22!$A$7:$AU$38,8,0)</f>
        <v>BANQUE</v>
      </c>
      <c r="H23" s="7">
        <f>VLOOKUP($A23,[10]HISTODEC22!$A$7:$AU$38,35,0)</f>
        <v>0</v>
      </c>
      <c r="I23" s="7">
        <f>VLOOKUP($A23,[10]HISTODEC22!$A$7:$AU$38,38,0)</f>
        <v>0</v>
      </c>
      <c r="J23" s="7">
        <f>IF(I23=0,0,VLOOKUP($A23,[10]HISTODEC22!$A$7:$AU$38,42,0))</f>
        <v>0</v>
      </c>
      <c r="K23" s="7">
        <f>VLOOKUP($A23,[10]HISTODEC22!$A$7:$AU$38,41,0)</f>
        <v>0</v>
      </c>
      <c r="L23" s="7">
        <f>+TONTNOV22!H23+TONTNOV22!I23</f>
        <v>0</v>
      </c>
      <c r="M23" s="7">
        <f>VLOOKUP($A23,[10]HISTODEC22!$A$7:$AU$38,16,0)</f>
        <v>0</v>
      </c>
      <c r="N23" s="7" t="str">
        <f>IF(M23&lt;&gt;0,VLOOKUP($A23,[10]HISTODEC22!$A$7:$AU$38,8,0),"ECHEC")</f>
        <v>ECHEC</v>
      </c>
      <c r="O23" s="7">
        <f>IF(R23=0,0,VLOOKUP($A23,[10]HISTODEC22!$A$7:$AU$38,32,0))</f>
        <v>0</v>
      </c>
      <c r="P23" s="7">
        <f>VLOOKUP($A23,[10]HISTODEC22!$A$7:$AU$38,33,0)</f>
        <v>0</v>
      </c>
      <c r="Q23" s="7">
        <f t="shared" si="0"/>
        <v>0</v>
      </c>
      <c r="R23" s="7">
        <f>VLOOKUP($A23,[10]HISTODEC22!$A$7:$AU$38,29,0)</f>
        <v>0</v>
      </c>
      <c r="S23" s="21">
        <f t="shared" si="2"/>
        <v>0</v>
      </c>
      <c r="T23" s="22">
        <f t="shared" si="3"/>
        <v>3269.2307692307691</v>
      </c>
      <c r="U23" s="22">
        <v>3000</v>
      </c>
    </row>
    <row r="24" spans="1:21" ht="18.75" x14ac:dyDescent="0.3">
      <c r="A24" s="1" t="s">
        <v>24</v>
      </c>
      <c r="B24" s="7">
        <f>IF(D24=0,0,VLOOKUP($A24,[8]HISTOJANV22!$A$6:$AZ$36,9,0))</f>
        <v>1</v>
      </c>
      <c r="C24" s="1" t="str">
        <f>VLOOKUP(A24,[9]LISTADHERENT!A$5:H$60,3,0)</f>
        <v>NKAMGANG JUSTIN DEJOLIE</v>
      </c>
      <c r="D24" s="7">
        <f t="shared" si="1"/>
        <v>23000</v>
      </c>
      <c r="E24" s="7">
        <f>D24+VLOOKUP($A24,[10]HISTODEC22!$A$7:$AU$38,45,0)+F24</f>
        <v>30000</v>
      </c>
      <c r="F24" s="7">
        <f>VLOOKUP($A24,[10]HISTODEC22!$A$7:$AU$38,7,0)</f>
        <v>0</v>
      </c>
      <c r="G24" s="7" t="str">
        <f>VLOOKUP($A24,[10]HISTODEC22!$A$7:$AU$38,8,0)</f>
        <v>BANQUE</v>
      </c>
      <c r="H24" s="7">
        <f>VLOOKUP($A24,[10]HISTODEC22!$A$7:$AU$38,35,0)</f>
        <v>0</v>
      </c>
      <c r="I24" s="7">
        <f>VLOOKUP($A24,[10]HISTODEC22!$A$7:$AU$38,38,0)</f>
        <v>0</v>
      </c>
      <c r="J24" s="7">
        <f>IF(I24=0,0,VLOOKUP($A24,[10]HISTODEC22!$A$7:$AU$38,42,0))</f>
        <v>0</v>
      </c>
      <c r="K24" s="7">
        <f>VLOOKUP($A24,[10]HISTODEC22!$A$7:$AU$38,41,0)</f>
        <v>0</v>
      </c>
      <c r="L24" s="7">
        <f>+TONTNOV22!H24+TONTNOV22!I24</f>
        <v>41000</v>
      </c>
      <c r="M24" s="7">
        <f>VLOOKUP($A24,[10]HISTODEC22!$A$7:$AU$38,16,0)</f>
        <v>41000</v>
      </c>
      <c r="N24" s="7" t="str">
        <f>IF(M24&lt;&gt;0,VLOOKUP($A24,[10]HISTODEC22!$A$7:$AU$38,8,0),"ECHEC")</f>
        <v>BANQUE</v>
      </c>
      <c r="O24" s="7">
        <f>IF(R24=0,0,VLOOKUP($A24,[10]HISTODEC22!$A$7:$AU$38,32,0))</f>
        <v>0</v>
      </c>
      <c r="P24" s="7">
        <f>VLOOKUP($A24,[10]HISTODEC22!$A$7:$AU$38,33,0)</f>
        <v>0</v>
      </c>
      <c r="Q24" s="7">
        <f t="shared" si="0"/>
        <v>0</v>
      </c>
      <c r="R24" s="7">
        <f>VLOOKUP($A24,[10]HISTODEC22!$A$7:$AU$38,29,0)</f>
        <v>0</v>
      </c>
      <c r="S24" s="21">
        <f t="shared" si="2"/>
        <v>0</v>
      </c>
      <c r="T24" s="22">
        <f t="shared" si="3"/>
        <v>3269.2307692307691</v>
      </c>
      <c r="U24" s="22">
        <v>3000</v>
      </c>
    </row>
    <row r="25" spans="1:21" ht="18.75" x14ac:dyDescent="0.3">
      <c r="A25" s="1" t="s">
        <v>25</v>
      </c>
      <c r="B25" s="7">
        <f>IF(D25=0,0,VLOOKUP($A25,[8]HISTOJANV22!$A$6:$AZ$36,9,0))</f>
        <v>1</v>
      </c>
      <c r="C25" s="1" t="str">
        <f>VLOOKUP(A25,[9]LISTADHERENT!A$5:H$60,3,0)</f>
        <v>NKEPSEU DIEUDONNE</v>
      </c>
      <c r="D25" s="7">
        <f t="shared" si="1"/>
        <v>23000</v>
      </c>
      <c r="E25" s="7">
        <f>D25+VLOOKUP($A25,[10]HISTODEC22!$A$7:$AU$38,45,0)+F25</f>
        <v>30000</v>
      </c>
      <c r="F25" s="7">
        <f>VLOOKUP($A25,[10]HISTODEC22!$A$7:$AU$38,7,0)</f>
        <v>0</v>
      </c>
      <c r="G25" s="7" t="str">
        <f>VLOOKUP($A25,[10]HISTODEC22!$A$7:$AU$38,8,0)</f>
        <v>BANQUE</v>
      </c>
      <c r="H25" s="7">
        <f>VLOOKUP($A25,[10]HISTODEC22!$A$7:$AU$38,35,0)</f>
        <v>0</v>
      </c>
      <c r="I25" s="7">
        <f>VLOOKUP($A25,[10]HISTODEC22!$A$7:$AU$38,38,0)</f>
        <v>0</v>
      </c>
      <c r="J25" s="7">
        <f>IF(I25=0,0,VLOOKUP($A25,[10]HISTODEC22!$A$7:$AU$38,42,0))</f>
        <v>0</v>
      </c>
      <c r="K25" s="7">
        <f>VLOOKUP($A25,[10]HISTODEC22!$A$7:$AU$38,41,0)</f>
        <v>0</v>
      </c>
      <c r="L25" s="7">
        <f>+TONTNOV22!H25+TONTNOV22!I25</f>
        <v>0</v>
      </c>
      <c r="M25" s="7">
        <f>VLOOKUP($A25,[10]HISTODEC22!$A$7:$AU$38,16,0)</f>
        <v>0</v>
      </c>
      <c r="N25" s="7" t="str">
        <f>IF(M25&lt;&gt;0,VLOOKUP($A25,[10]HISTODEC22!$A$7:$AU$38,8,0),"ECHEC")</f>
        <v>ECHEC</v>
      </c>
      <c r="O25" s="7">
        <f>IF(R25=0,0,VLOOKUP($A25,[10]HISTODEC22!$A$7:$AU$38,32,0))</f>
        <v>0</v>
      </c>
      <c r="P25" s="7">
        <f>VLOOKUP($A25,[10]HISTODEC22!$A$7:$AU$38,33,0)</f>
        <v>0</v>
      </c>
      <c r="Q25" s="7">
        <f t="shared" si="0"/>
        <v>0</v>
      </c>
      <c r="R25" s="7">
        <f>VLOOKUP($A25,[10]HISTODEC22!$A$7:$AU$38,29,0)</f>
        <v>0</v>
      </c>
      <c r="S25" s="21">
        <f t="shared" si="2"/>
        <v>0</v>
      </c>
      <c r="T25" s="22">
        <f t="shared" si="3"/>
        <v>3269.2307692307691</v>
      </c>
      <c r="U25" s="22">
        <v>3000</v>
      </c>
    </row>
    <row r="26" spans="1:21" ht="18.75" x14ac:dyDescent="0.3">
      <c r="A26" s="1" t="s">
        <v>26</v>
      </c>
      <c r="B26" s="7">
        <f>IF(D26=0,0,VLOOKUP($A26,[8]HISTOJANV22!$A$6:$AZ$36,9,0))</f>
        <v>1</v>
      </c>
      <c r="C26" s="1" t="str">
        <f>VLOOKUP(A26,[9]LISTADHERENT!A$5:H$60,3,0)</f>
        <v>PATEGO NJOSSU GUSTAVE</v>
      </c>
      <c r="D26" s="7">
        <f t="shared" si="1"/>
        <v>23000</v>
      </c>
      <c r="E26" s="7">
        <f>D26+VLOOKUP($A26,[10]HISTODEC22!$A$7:$AU$38,45,0)+F26</f>
        <v>30000</v>
      </c>
      <c r="F26" s="7">
        <f>VLOOKUP($A26,[10]HISTODEC22!$A$7:$AU$38,7,0)</f>
        <v>0</v>
      </c>
      <c r="G26" s="7" t="str">
        <f>VLOOKUP($A26,[10]HISTODEC22!$A$7:$AU$38,8,0)</f>
        <v>BANQUE</v>
      </c>
      <c r="H26" s="7">
        <f>VLOOKUP($A26,[10]HISTODEC22!$A$7:$AU$38,35,0)</f>
        <v>0</v>
      </c>
      <c r="I26" s="7">
        <f>VLOOKUP($A26,[10]HISTODEC22!$A$7:$AU$38,38,0)</f>
        <v>0</v>
      </c>
      <c r="J26" s="7">
        <f>IF(I26=0,0,VLOOKUP($A26,[10]HISTODEC22!$A$7:$AU$38,42,0))</f>
        <v>0</v>
      </c>
      <c r="K26" s="7">
        <f>VLOOKUP($A26,[10]HISTODEC22!$A$7:$AU$38,41,0)</f>
        <v>0</v>
      </c>
      <c r="L26" s="7">
        <f>+TONTNOV22!H26+TONTNOV22!I26</f>
        <v>0</v>
      </c>
      <c r="M26" s="7">
        <f>VLOOKUP($A26,[10]HISTODEC22!$A$7:$AU$38,16,0)</f>
        <v>0</v>
      </c>
      <c r="N26" s="7" t="str">
        <f>IF(M26&lt;&gt;0,VLOOKUP($A26,[10]HISTODEC22!$A$7:$AU$38,8,0),"ECHEC")</f>
        <v>ECHEC</v>
      </c>
      <c r="O26" s="7">
        <f>IF(R26=0,0,VLOOKUP($A26,[10]HISTODEC22!$A$7:$AU$38,32,0))</f>
        <v>0</v>
      </c>
      <c r="P26" s="7">
        <f>VLOOKUP($A26,[10]HISTODEC22!$A$7:$AU$38,33,0)</f>
        <v>0</v>
      </c>
      <c r="Q26" s="7">
        <f t="shared" si="0"/>
        <v>0</v>
      </c>
      <c r="R26" s="7">
        <f>VLOOKUP($A26,[10]HISTODEC22!$A$7:$AU$38,29,0)</f>
        <v>0</v>
      </c>
      <c r="S26" s="21">
        <f t="shared" si="2"/>
        <v>0</v>
      </c>
      <c r="T26" s="22">
        <f t="shared" si="3"/>
        <v>3269.2307692307691</v>
      </c>
      <c r="U26" s="22">
        <v>3000</v>
      </c>
    </row>
    <row r="27" spans="1:21" ht="18.75" x14ac:dyDescent="0.3">
      <c r="A27" s="1" t="s">
        <v>51</v>
      </c>
      <c r="B27" s="7">
        <f>IF(D27=0,0,VLOOKUP($A27,[8]HISTOJANV22!$A$6:$AZ$36,9,0))</f>
        <v>1</v>
      </c>
      <c r="C27" s="1" t="str">
        <f>VLOOKUP(A27,[9]LISTADHERENT!A$5:H$60,3,0)</f>
        <v>SIME BRICE</v>
      </c>
      <c r="D27" s="7">
        <f t="shared" si="1"/>
        <v>23000</v>
      </c>
      <c r="E27" s="7">
        <f>D27+VLOOKUP($A27,[10]HISTODEC22!$A$7:$AU$38,45,0)+F27</f>
        <v>30000</v>
      </c>
      <c r="F27" s="7">
        <f>VLOOKUP($A27,[10]HISTODEC22!$A$7:$AU$38,7,0)</f>
        <v>0</v>
      </c>
      <c r="G27" s="7" t="str">
        <f>VLOOKUP($A27,[10]HISTODEC22!$A$7:$AU$38,8,0)</f>
        <v>BANQUE</v>
      </c>
      <c r="H27" s="7">
        <f>VLOOKUP($A27,[10]HISTODEC22!$A$7:$AU$38,35,0)</f>
        <v>0</v>
      </c>
      <c r="I27" s="7">
        <f>VLOOKUP($A27,[10]HISTODEC22!$A$7:$AU$38,38,0)</f>
        <v>0</v>
      </c>
      <c r="J27" s="7">
        <f>IF(I27=0,0,VLOOKUP($A27,[10]HISTODEC22!$A$7:$AU$38,42,0))</f>
        <v>0</v>
      </c>
      <c r="K27" s="7">
        <f>VLOOKUP($A27,[10]HISTODEC22!$A$7:$AU$38,41,0)</f>
        <v>0</v>
      </c>
      <c r="L27" s="7">
        <f>+TONTNOV22!H27+TONTNOV22!I27</f>
        <v>0</v>
      </c>
      <c r="M27" s="7">
        <f>VLOOKUP($A27,[10]HISTODEC22!$A$7:$AU$38,16,0)</f>
        <v>0</v>
      </c>
      <c r="N27" s="7" t="str">
        <f>IF(M27&lt;&gt;0,VLOOKUP($A27,[10]HISTODEC22!$A$7:$AU$38,8,0),"ECHEC")</f>
        <v>ECHEC</v>
      </c>
      <c r="O27" s="7" t="str">
        <f>IF(R27=0,0,VLOOKUP($A27,[10]HISTODEC22!$A$7:$AU$38,32,0))</f>
        <v>BANQUE</v>
      </c>
      <c r="P27" s="7">
        <f>VLOOKUP($A27,[10]HISTODEC22!$A$7:$AU$38,33,0)</f>
        <v>0</v>
      </c>
      <c r="Q27" s="7">
        <f t="shared" si="0"/>
        <v>277000</v>
      </c>
      <c r="R27" s="7">
        <f>VLOOKUP($A27,[10]HISTODEC22!$A$7:$AU$38,29,0)</f>
        <v>23000</v>
      </c>
      <c r="S27" s="21">
        <f t="shared" si="2"/>
        <v>0</v>
      </c>
      <c r="T27" s="22">
        <f t="shared" si="3"/>
        <v>3269.2307692307691</v>
      </c>
      <c r="U27" s="22">
        <v>3000</v>
      </c>
    </row>
    <row r="28" spans="1:21" ht="18.75" x14ac:dyDescent="0.3">
      <c r="A28" s="1" t="s">
        <v>29</v>
      </c>
      <c r="B28" s="7">
        <f>IF(D28=0,0,VLOOKUP($A28,[8]HISTOJANV22!$A$6:$AZ$36,9,0))</f>
        <v>1</v>
      </c>
      <c r="C28" s="1" t="str">
        <f>VLOOKUP(A28,[9]LISTADHERENT!A$5:H$60,3,0)</f>
        <v>SIMO PIERRE</v>
      </c>
      <c r="D28" s="7">
        <f t="shared" si="1"/>
        <v>23000</v>
      </c>
      <c r="E28" s="7">
        <f>D28+VLOOKUP($A28,[10]HISTODEC22!$A$7:$AU$38,45,0)+F28</f>
        <v>30000</v>
      </c>
      <c r="F28" s="7">
        <f>VLOOKUP($A28,[10]HISTODEC22!$A$7:$AU$38,7,0)</f>
        <v>0</v>
      </c>
      <c r="G28" s="7" t="str">
        <f>VLOOKUP($A28,[10]HISTODEC22!$A$7:$AU$38,8,0)</f>
        <v>BANQUE</v>
      </c>
      <c r="H28" s="7">
        <f>VLOOKUP($A28,[10]HISTODEC22!$A$7:$AU$38,35,0)</f>
        <v>0</v>
      </c>
      <c r="I28" s="7">
        <f>VLOOKUP($A28,[10]HISTODEC22!$A$7:$AU$38,38,0)</f>
        <v>0</v>
      </c>
      <c r="J28" s="7">
        <f>IF(I28=0,0,VLOOKUP($A28,[10]HISTODEC22!$A$7:$AU$38,42,0))</f>
        <v>0</v>
      </c>
      <c r="K28" s="7">
        <f>VLOOKUP($A28,[10]HISTODEC22!$A$7:$AU$38,41,0)</f>
        <v>0</v>
      </c>
      <c r="L28" s="7">
        <f>+TONTNOV22!H28+TONTNOV22!I28</f>
        <v>0</v>
      </c>
      <c r="M28" s="7">
        <f>VLOOKUP($A28,[10]HISTODEC22!$A$7:$AU$38,16,0)</f>
        <v>0</v>
      </c>
      <c r="N28" s="7" t="str">
        <f>IF(M28&lt;&gt;0,VLOOKUP($A28,[10]HISTODEC22!$A$7:$AU$38,8,0),"ECHEC")</f>
        <v>ECHEC</v>
      </c>
      <c r="O28" s="7">
        <f>IF(R28=0,0,VLOOKUP($A28,[10]HISTODEC22!$A$7:$AU$38,32,0))</f>
        <v>0</v>
      </c>
      <c r="P28" s="7">
        <f>VLOOKUP($A28,[10]HISTODEC22!$A$7:$AU$38,33,0)</f>
        <v>0</v>
      </c>
      <c r="Q28" s="7">
        <f t="shared" si="0"/>
        <v>0</v>
      </c>
      <c r="R28" s="7">
        <f>VLOOKUP($A28,[10]HISTODEC22!$A$7:$AU$38,29,0)</f>
        <v>0</v>
      </c>
      <c r="S28" s="21">
        <f t="shared" si="2"/>
        <v>0</v>
      </c>
      <c r="T28" s="22">
        <f t="shared" si="3"/>
        <v>3269.2307692307691</v>
      </c>
      <c r="U28" s="22">
        <v>3000</v>
      </c>
    </row>
    <row r="29" spans="1:21" ht="18.75" x14ac:dyDescent="0.3">
      <c r="A29" s="1" t="s">
        <v>31</v>
      </c>
      <c r="B29" s="7">
        <f>IF(D29=0,0,VLOOKUP($A29,[8]HISTOJANV22!$A$6:$AZ$36,9,0))</f>
        <v>1</v>
      </c>
      <c r="C29" s="1" t="str">
        <f>VLOOKUP(A29,[9]LISTADHERENT!A$5:H$60,3,0)</f>
        <v>TCHOUAMOU MATHIEU</v>
      </c>
      <c r="D29" s="7">
        <f t="shared" si="1"/>
        <v>23000</v>
      </c>
      <c r="E29" s="7">
        <f>D29+VLOOKUP($A29,[10]HISTODEC22!$A$7:$AU$38,45,0)+F29</f>
        <v>30000</v>
      </c>
      <c r="F29" s="7">
        <f>VLOOKUP($A29,[10]HISTODEC22!$A$7:$AU$38,7,0)</f>
        <v>0</v>
      </c>
      <c r="G29" s="7" t="str">
        <f>VLOOKUP($A29,[10]HISTODEC22!$A$7:$AU$38,8,0)</f>
        <v>BANQUE</v>
      </c>
      <c r="H29" s="7">
        <f>VLOOKUP($A29,[10]HISTODEC22!$A$7:$AU$38,35,0)</f>
        <v>0</v>
      </c>
      <c r="I29" s="7">
        <f>VLOOKUP($A29,[10]HISTODEC22!$A$7:$AU$38,38,0)</f>
        <v>0</v>
      </c>
      <c r="J29" s="7">
        <f>IF(I29=0,0,VLOOKUP($A29,[10]HISTODEC22!$A$7:$AU$38,42,0))</f>
        <v>0</v>
      </c>
      <c r="K29" s="7">
        <f>VLOOKUP($A29,[10]HISTODEC22!$A$7:$AU$38,41,0)</f>
        <v>0</v>
      </c>
      <c r="L29" s="7">
        <f>+TONTNOV22!H29+TONTNOV22!I29</f>
        <v>0</v>
      </c>
      <c r="M29" s="7">
        <f>VLOOKUP($A29,[10]HISTODEC22!$A$7:$AU$38,16,0)</f>
        <v>0</v>
      </c>
      <c r="N29" s="7" t="str">
        <f>IF(M29&lt;&gt;0,VLOOKUP($A29,[10]HISTODEC22!$A$7:$AU$38,8,0),"ECHEC")</f>
        <v>ECHEC</v>
      </c>
      <c r="O29" s="7">
        <f>IF(R29=0,0,VLOOKUP($A29,[10]HISTODEC22!$A$7:$AU$38,32,0))</f>
        <v>0</v>
      </c>
      <c r="P29" s="7">
        <f>VLOOKUP($A29,[10]HISTODEC22!$A$7:$AU$38,33,0)</f>
        <v>0</v>
      </c>
      <c r="Q29" s="7">
        <f t="shared" si="0"/>
        <v>0</v>
      </c>
      <c r="R29" s="7">
        <f>VLOOKUP($A29,[10]HISTODEC22!$A$7:$AU$38,29,0)</f>
        <v>0</v>
      </c>
      <c r="S29" s="21">
        <f t="shared" si="2"/>
        <v>0</v>
      </c>
      <c r="T29" s="22">
        <f t="shared" si="3"/>
        <v>3269.2307692307691</v>
      </c>
      <c r="U29" s="22">
        <v>3000</v>
      </c>
    </row>
    <row r="30" spans="1:21" ht="18.75" x14ac:dyDescent="0.3">
      <c r="A30" s="1" t="s">
        <v>32</v>
      </c>
      <c r="B30" s="7">
        <f>IF(D30=0,0,VLOOKUP($A30,[8]HISTOJANV22!$A$6:$AZ$36,9,0))</f>
        <v>1</v>
      </c>
      <c r="C30" s="1" t="str">
        <f>VLOOKUP(A30,[9]LISTADHERENT!A$5:H$60,3,0)</f>
        <v>YEPMOU JEAN JACQUES</v>
      </c>
      <c r="D30" s="7">
        <f t="shared" si="1"/>
        <v>23000</v>
      </c>
      <c r="E30" s="7">
        <f>D30+VLOOKUP($A30,[10]HISTODEC22!$A$7:$AU$38,45,0)+F30</f>
        <v>30000</v>
      </c>
      <c r="F30" s="7">
        <f>VLOOKUP($A30,[10]HISTODEC22!$A$7:$AU$38,7,0)</f>
        <v>0</v>
      </c>
      <c r="G30" s="7" t="str">
        <f>VLOOKUP($A30,[10]HISTODEC22!$A$7:$AU$38,8,0)</f>
        <v>BANQUE</v>
      </c>
      <c r="H30" s="7">
        <f>VLOOKUP($A30,[10]HISTODEC22!$A$7:$AU$38,35,0)</f>
        <v>0</v>
      </c>
      <c r="I30" s="7">
        <f>VLOOKUP($A30,[10]HISTODEC22!$A$7:$AU$38,38,0)</f>
        <v>0</v>
      </c>
      <c r="J30" s="7">
        <f>IF(I30=0,0,VLOOKUP($A30,[10]HISTODEC22!$A$7:$AU$38,42,0))</f>
        <v>0</v>
      </c>
      <c r="K30" s="7">
        <f>VLOOKUP($A30,[10]HISTODEC22!$A$7:$AU$38,41,0)</f>
        <v>0</v>
      </c>
      <c r="L30" s="7">
        <f>+TONTNOV22!H30+TONTNOV22!I30</f>
        <v>0</v>
      </c>
      <c r="M30" s="7">
        <f>VLOOKUP($A30,[10]HISTODEC22!$A$7:$AU$38,16,0)</f>
        <v>0</v>
      </c>
      <c r="N30" s="7" t="str">
        <f>IF(M30&lt;&gt;0,VLOOKUP($A30,[10]HISTODEC22!$A$7:$AU$38,8,0),"ECHEC")</f>
        <v>ECHEC</v>
      </c>
      <c r="O30" s="7">
        <f>IF(R30=0,0,VLOOKUP($A30,[10]HISTODEC22!$A$7:$AU$38,32,0))</f>
        <v>0</v>
      </c>
      <c r="P30" s="7">
        <f>VLOOKUP($A30,[10]HISTODEC22!$A$7:$AU$38,33,0)</f>
        <v>0</v>
      </c>
      <c r="Q30" s="7">
        <f t="shared" si="0"/>
        <v>0</v>
      </c>
      <c r="R30" s="7">
        <f>VLOOKUP($A30,[10]HISTODEC22!$A$7:$AU$38,29,0)</f>
        <v>0</v>
      </c>
      <c r="S30" s="21">
        <f t="shared" si="2"/>
        <v>0</v>
      </c>
      <c r="T30" s="22">
        <f t="shared" si="3"/>
        <v>3269.2307692307691</v>
      </c>
      <c r="U30" s="22">
        <v>3000</v>
      </c>
    </row>
    <row r="31" spans="1:21" ht="18.75" x14ac:dyDescent="0.3">
      <c r="A31" s="1" t="s">
        <v>33</v>
      </c>
      <c r="B31" s="7">
        <f>IF(D31=0,0,VLOOKUP($A31,[8]HISTOJANV22!$A$6:$AZ$36,9,0))</f>
        <v>1</v>
      </c>
      <c r="C31" s="1" t="str">
        <f>VLOOKUP(A31,[9]LISTADHERENT!A$5:H$60,3,0)</f>
        <v>YOUMBI EMMANUEL</v>
      </c>
      <c r="D31" s="7">
        <f t="shared" si="1"/>
        <v>23000</v>
      </c>
      <c r="E31" s="7">
        <f>D31+VLOOKUP($A31,[10]HISTODEC22!$A$7:$AU$38,45,0)+F31</f>
        <v>30000</v>
      </c>
      <c r="F31" s="7">
        <f>VLOOKUP($A31,[10]HISTODEC22!$A$7:$AU$38,7,0)</f>
        <v>0</v>
      </c>
      <c r="G31" s="7" t="str">
        <f>VLOOKUP($A31,[10]HISTODEC22!$A$7:$AU$38,8,0)</f>
        <v>BANQUE</v>
      </c>
      <c r="H31" s="7">
        <f>VLOOKUP($A31,[10]HISTODEC22!$A$7:$AU$38,35,0)</f>
        <v>0</v>
      </c>
      <c r="I31" s="7">
        <f>VLOOKUP($A31,[10]HISTODEC22!$A$7:$AU$38,38,0)</f>
        <v>0</v>
      </c>
      <c r="J31" s="7">
        <f>IF(I31=0,0,VLOOKUP($A31,[10]HISTODEC22!$A$7:$AU$38,42,0))</f>
        <v>0</v>
      </c>
      <c r="K31" s="7">
        <f>VLOOKUP($A31,[10]HISTODEC22!$A$7:$AU$38,41,0)</f>
        <v>0</v>
      </c>
      <c r="L31" s="7">
        <f>+TONTNOV22!H31+TONTNOV22!I31</f>
        <v>0</v>
      </c>
      <c r="M31" s="7">
        <f>VLOOKUP($A31,[10]HISTODEC22!$A$7:$AU$38,16,0)</f>
        <v>0</v>
      </c>
      <c r="N31" s="7" t="str">
        <f>IF(M31&lt;&gt;0,VLOOKUP($A31,[10]HISTODEC22!$A$7:$AU$38,8,0),"ECHEC")</f>
        <v>ECHEC</v>
      </c>
      <c r="O31" s="7">
        <f>IF(R31=0,0,VLOOKUP($A31,[10]HISTODEC22!$A$7:$AU$38,32,0))</f>
        <v>0</v>
      </c>
      <c r="P31" s="7">
        <f>VLOOKUP($A31,[10]HISTODEC22!$A$7:$AU$38,33,0)</f>
        <v>0</v>
      </c>
      <c r="Q31" s="7">
        <f t="shared" si="0"/>
        <v>0</v>
      </c>
      <c r="R31" s="7">
        <f>VLOOKUP($A31,[10]HISTODEC22!$A$7:$AU$38,29,0)</f>
        <v>0</v>
      </c>
      <c r="S31" s="21">
        <f t="shared" si="2"/>
        <v>0</v>
      </c>
      <c r="T31" s="22">
        <f t="shared" si="3"/>
        <v>3269.2307692307691</v>
      </c>
      <c r="U31" s="22">
        <v>3000</v>
      </c>
    </row>
    <row r="32" spans="1:21" x14ac:dyDescent="0.25">
      <c r="A32" s="1"/>
    </row>
    <row r="33" spans="1:21" ht="18" x14ac:dyDescent="0.25">
      <c r="A33" s="1" t="s">
        <v>94</v>
      </c>
      <c r="B33" s="8">
        <f>SUM(B6:B32)</f>
        <v>26</v>
      </c>
      <c r="I33" s="9"/>
    </row>
    <row r="34" spans="1:21" ht="18" x14ac:dyDescent="0.25">
      <c r="A34" s="1" t="s">
        <v>93</v>
      </c>
      <c r="B34" s="19">
        <f>COUNT(D6:D31)</f>
        <v>26</v>
      </c>
      <c r="C34" s="8"/>
      <c r="D34" s="8">
        <f>SUM(D6:D33)</f>
        <v>598000</v>
      </c>
      <c r="E34" s="8">
        <f>SUM(E6:E33)</f>
        <v>891000</v>
      </c>
      <c r="F34" s="8">
        <f>SUM(F6:F33)</f>
        <v>0</v>
      </c>
      <c r="G34" s="8"/>
      <c r="H34" s="8">
        <f t="shared" ref="H34:U34" si="4">SUM(H6:H33)</f>
        <v>0</v>
      </c>
      <c r="I34" s="8">
        <f t="shared" si="4"/>
        <v>0</v>
      </c>
      <c r="J34" s="8">
        <f t="shared" si="4"/>
        <v>0</v>
      </c>
      <c r="K34" s="8">
        <f t="shared" si="4"/>
        <v>0</v>
      </c>
      <c r="L34" s="8">
        <f t="shared" si="4"/>
        <v>41000</v>
      </c>
      <c r="M34" s="8">
        <f t="shared" si="4"/>
        <v>41000</v>
      </c>
      <c r="N34" s="8">
        <f t="shared" si="4"/>
        <v>0</v>
      </c>
      <c r="O34" s="8">
        <f t="shared" si="4"/>
        <v>0</v>
      </c>
      <c r="P34" s="8">
        <f t="shared" si="4"/>
        <v>0</v>
      </c>
      <c r="Q34" s="8">
        <f t="shared" si="4"/>
        <v>554000</v>
      </c>
      <c r="R34" s="8">
        <f t="shared" si="4"/>
        <v>46000</v>
      </c>
      <c r="S34" s="8">
        <f t="shared" si="4"/>
        <v>0</v>
      </c>
      <c r="T34" s="8">
        <f t="shared" si="4"/>
        <v>84999.999999999956</v>
      </c>
      <c r="U34" s="8">
        <f t="shared" si="4"/>
        <v>78000</v>
      </c>
    </row>
    <row r="35" spans="1:21" s="2" customFormat="1" ht="29.25" x14ac:dyDescent="0.25">
      <c r="B35"/>
      <c r="C35"/>
      <c r="D35"/>
      <c r="E35"/>
      <c r="F35"/>
      <c r="G35"/>
      <c r="H35"/>
      <c r="I35" s="9"/>
      <c r="J35" s="3"/>
      <c r="K35" s="3"/>
      <c r="L35" s="3"/>
      <c r="N35" s="4" t="s">
        <v>80</v>
      </c>
      <c r="O35" s="4" t="s">
        <v>95</v>
      </c>
      <c r="P35" s="3"/>
    </row>
    <row r="36" spans="1:21" s="2" customFormat="1" ht="30.75" x14ac:dyDescent="0.35">
      <c r="D36" s="4" t="s">
        <v>5</v>
      </c>
      <c r="E36" s="4" t="s">
        <v>7</v>
      </c>
      <c r="F36"/>
      <c r="G36" s="4" t="s">
        <v>40</v>
      </c>
      <c r="H36" s="4" t="s">
        <v>44</v>
      </c>
      <c r="I36" s="4" t="s">
        <v>46</v>
      </c>
      <c r="J36" s="4" t="s">
        <v>47</v>
      </c>
      <c r="K36" s="4"/>
      <c r="L36" s="8" t="s">
        <v>97</v>
      </c>
      <c r="M36" s="8">
        <f>D40+G40+R34+TONTNOV22!O41</f>
        <v>685000</v>
      </c>
      <c r="N36" s="4"/>
      <c r="O36"/>
      <c r="P36" s="4"/>
      <c r="S36" s="25" t="s">
        <v>102</v>
      </c>
      <c r="T36" s="26">
        <f>T34-U34</f>
        <v>6999.9999999999563</v>
      </c>
    </row>
    <row r="37" spans="1:21" s="2" customFormat="1" ht="18" x14ac:dyDescent="0.25">
      <c r="D37" s="8">
        <f>SUMIFS(D6:D33,G6:G33,"ESPECES")</f>
        <v>0</v>
      </c>
      <c r="E37" s="8">
        <f>SUMIFS(E6:E33,G6:G33,"ESPECES")</f>
        <v>0</v>
      </c>
      <c r="F37" s="8" t="s">
        <v>36</v>
      </c>
      <c r="G37" s="8">
        <f>SUMIFS(M6:M27,N6:N27,"ESPECES")</f>
        <v>0</v>
      </c>
      <c r="H37" s="8">
        <f>SUMIFS(H6:H33,J6:J33,"ESPECES")</f>
        <v>0</v>
      </c>
      <c r="I37" s="8">
        <f>SUMIFS(Q6:Q33,O6:O33,"ESPECES")</f>
        <v>0</v>
      </c>
      <c r="J37" s="8">
        <f>D37+G37-H37-I37</f>
        <v>0</v>
      </c>
      <c r="K37" s="8"/>
      <c r="L37" s="8" t="s">
        <v>84</v>
      </c>
      <c r="M37" s="8">
        <f>C3*COUNTIF(Q6:Q33,"&gt;0")</f>
        <v>600000</v>
      </c>
      <c r="N37" s="8">
        <f>D3</f>
        <v>2</v>
      </c>
      <c r="O37" s="8">
        <f>COUNTIF(Q6:Q31,"&gt;0")</f>
        <v>2</v>
      </c>
      <c r="P37" s="8"/>
    </row>
    <row r="38" spans="1:21" s="2" customFormat="1" ht="18.75" x14ac:dyDescent="0.3">
      <c r="D38" s="8">
        <f>SUMIFS(D6:D33,G6:G33,"BANQUE")</f>
        <v>598000</v>
      </c>
      <c r="E38" s="8">
        <f>SUMIFS(E6:E34,G6:G34,"BANQUE")</f>
        <v>891000</v>
      </c>
      <c r="F38" s="8" t="s">
        <v>37</v>
      </c>
      <c r="G38" s="8">
        <f>SUMIFS(M6:M27,N6:N27,"BANQUE")</f>
        <v>41000</v>
      </c>
      <c r="H38" s="8">
        <f>SUMIFS(H6:H33,J6:J33,"BANQUE")</f>
        <v>0</v>
      </c>
      <c r="I38" s="8">
        <f>SUMIFS(Q6:Q33,O6:O33,"BANQUE")</f>
        <v>554000</v>
      </c>
      <c r="J38" s="8">
        <f>D38+G38-H38-I38</f>
        <v>85000</v>
      </c>
      <c r="K38" s="8"/>
      <c r="M38" s="8"/>
      <c r="N38" s="8"/>
      <c r="O38" s="8"/>
      <c r="P38" s="8"/>
      <c r="S38" s="25"/>
      <c r="T38" s="27"/>
    </row>
    <row r="39" spans="1:21" s="2" customFormat="1" ht="18" x14ac:dyDescent="0.25">
      <c r="D39" s="8"/>
      <c r="E39" s="8"/>
      <c r="F39" s="8"/>
      <c r="G39" s="8"/>
      <c r="H39" s="8"/>
      <c r="I39" s="8"/>
      <c r="K39" s="8"/>
      <c r="L39" s="8" t="s">
        <v>52</v>
      </c>
      <c r="M39" s="8">
        <f>M36-M37</f>
        <v>85000</v>
      </c>
      <c r="N39" s="8"/>
      <c r="O39" s="8"/>
      <c r="P39" s="8"/>
    </row>
    <row r="40" spans="1:21" s="2" customFormat="1" ht="18" x14ac:dyDescent="0.25">
      <c r="D40" s="8">
        <f>D37+D38</f>
        <v>598000</v>
      </c>
      <c r="E40" s="8">
        <f>E37+E38</f>
        <v>891000</v>
      </c>
      <c r="F40" s="8" t="s">
        <v>34</v>
      </c>
      <c r="G40" s="8">
        <f>G37+G38</f>
        <v>41000</v>
      </c>
      <c r="H40" s="8">
        <f>H37+H38</f>
        <v>0</v>
      </c>
      <c r="I40" s="8">
        <f t="shared" ref="I40:J40" si="5">I37+I38</f>
        <v>554000</v>
      </c>
      <c r="J40" s="8">
        <f t="shared" si="5"/>
        <v>85000</v>
      </c>
      <c r="K40" s="8"/>
      <c r="M40" s="8"/>
      <c r="N40" s="8"/>
      <c r="O40" s="8"/>
      <c r="P40" s="8"/>
    </row>
    <row r="41" spans="1:21" s="2" customFormat="1" ht="18" x14ac:dyDescent="0.25">
      <c r="D41" s="8"/>
      <c r="E41" s="8"/>
      <c r="F41" s="8" t="s">
        <v>56</v>
      </c>
      <c r="G41"/>
      <c r="H41"/>
      <c r="I41" s="3"/>
      <c r="J41" s="3"/>
      <c r="K41" s="3"/>
      <c r="L41" s="8" t="s">
        <v>55</v>
      </c>
      <c r="M41" s="8">
        <f>M39-H34</f>
        <v>85000</v>
      </c>
      <c r="N41"/>
      <c r="O41" s="8">
        <f>M41</f>
        <v>85000</v>
      </c>
      <c r="P41" s="8" t="s">
        <v>58</v>
      </c>
    </row>
    <row r="42" spans="1:21" s="2" customFormat="1" ht="18" x14ac:dyDescent="0.25">
      <c r="D42" s="4"/>
      <c r="E42" s="4"/>
      <c r="F42" s="8"/>
      <c r="G42"/>
      <c r="H42"/>
      <c r="I42" s="3"/>
      <c r="J42" s="3"/>
      <c r="K42" s="3"/>
      <c r="N42"/>
      <c r="O42" s="3"/>
      <c r="P42" s="3"/>
    </row>
    <row r="43" spans="1:21" ht="18" x14ac:dyDescent="0.25">
      <c r="L43" s="8" t="s">
        <v>60</v>
      </c>
      <c r="M43" s="8">
        <f>COUNTIFS(G6:G32,"ECHEC")*23000</f>
        <v>0</v>
      </c>
      <c r="O43" s="8">
        <f>M43+TONTNOV22!O43</f>
        <v>0</v>
      </c>
      <c r="P43" s="8" t="s">
        <v>58</v>
      </c>
    </row>
    <row r="44" spans="1:21" ht="18" x14ac:dyDescent="0.25">
      <c r="F44" s="2"/>
      <c r="L44" s="8" t="s">
        <v>59</v>
      </c>
      <c r="M44" s="8">
        <f>L34-G40</f>
        <v>0</v>
      </c>
      <c r="O44" s="8">
        <f>M44+TONTNOV22!O44</f>
        <v>0</v>
      </c>
      <c r="P44" s="8" t="s">
        <v>58</v>
      </c>
    </row>
    <row r="47" spans="1:21" ht="18.75" x14ac:dyDescent="0.3">
      <c r="M47" s="23" t="s">
        <v>101</v>
      </c>
      <c r="N47" s="24"/>
      <c r="O47" s="25">
        <f>M41</f>
        <v>85000</v>
      </c>
      <c r="P47" s="9">
        <f>+TONTRESUME22!S34</f>
        <v>69000</v>
      </c>
    </row>
  </sheetData>
  <autoFilter ref="A5:R24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workbookViewId="0">
      <pane xSplit="3" ySplit="5" topLeftCell="O24" activePane="bottomRight" state="frozen"/>
      <selection activeCell="G6" sqref="G6:G39"/>
      <selection pane="topRight" activeCell="G6" sqref="G6:G39"/>
      <selection pane="bottomLeft" activeCell="G6" sqref="G6:G39"/>
      <selection pane="bottomRight" activeCell="T27" sqref="T27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5" width="13" customWidth="1"/>
    <col min="16" max="16" width="15.5703125" style="3" customWidth="1"/>
    <col min="17" max="19" width="18.140625" style="2" customWidth="1"/>
    <col min="20" max="20" width="17.5703125" bestFit="1" customWidth="1"/>
  </cols>
  <sheetData>
    <row r="1" spans="1:20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20" x14ac:dyDescent="0.25">
      <c r="A2" s="1" t="s">
        <v>2</v>
      </c>
      <c r="B2" s="1">
        <v>2022</v>
      </c>
      <c r="C2" s="1" t="s">
        <v>85</v>
      </c>
      <c r="D2" s="1" t="s">
        <v>80</v>
      </c>
      <c r="E2" s="1"/>
      <c r="F2" s="1"/>
      <c r="G2" s="1"/>
      <c r="N2" s="1"/>
      <c r="O2" s="1"/>
    </row>
    <row r="3" spans="1:20" x14ac:dyDescent="0.25">
      <c r="A3" s="1" t="s">
        <v>86</v>
      </c>
      <c r="B3" s="6">
        <v>23000</v>
      </c>
      <c r="C3" s="6">
        <f>B3*13+1000</f>
        <v>300000</v>
      </c>
      <c r="D3" s="1">
        <f>ROUNDDOWN(M36/C3,0)</f>
        <v>2</v>
      </c>
      <c r="E3" s="1"/>
      <c r="F3" s="1"/>
      <c r="G3" s="1"/>
      <c r="N3" s="1"/>
      <c r="O3" s="1"/>
    </row>
    <row r="4" spans="1:20" s="16" customFormat="1" ht="18" x14ac:dyDescent="0.25">
      <c r="B4" s="17"/>
      <c r="C4" s="28">
        <v>44633</v>
      </c>
      <c r="D4" s="29"/>
      <c r="E4" s="29"/>
      <c r="F4" s="29"/>
      <c r="G4" s="29"/>
      <c r="H4" s="29"/>
      <c r="I4" s="29"/>
      <c r="J4" s="29"/>
      <c r="K4" s="29"/>
      <c r="L4" s="29"/>
      <c r="N4" s="18"/>
      <c r="O4" s="18"/>
      <c r="P4" s="18"/>
      <c r="Q4" s="18"/>
    </row>
    <row r="5" spans="1:20" ht="58.5" x14ac:dyDescent="0.3">
      <c r="A5" s="1" t="s">
        <v>3</v>
      </c>
      <c r="B5" s="13" t="s">
        <v>81</v>
      </c>
      <c r="C5" s="1" t="s">
        <v>4</v>
      </c>
      <c r="D5" s="4" t="s">
        <v>5</v>
      </c>
      <c r="E5" s="4" t="s">
        <v>7</v>
      </c>
      <c r="F5" s="1" t="s">
        <v>48</v>
      </c>
      <c r="G5" s="5" t="s">
        <v>6</v>
      </c>
      <c r="H5" s="6" t="s">
        <v>44</v>
      </c>
      <c r="I5" s="4" t="s">
        <v>41</v>
      </c>
      <c r="J5" s="4" t="s">
        <v>45</v>
      </c>
      <c r="K5" s="11" t="s">
        <v>54</v>
      </c>
      <c r="L5" s="4" t="s">
        <v>82</v>
      </c>
      <c r="M5" s="4" t="s">
        <v>40</v>
      </c>
      <c r="N5" s="4" t="s">
        <v>39</v>
      </c>
      <c r="O5" s="4" t="s">
        <v>42</v>
      </c>
      <c r="P5" s="4" t="s">
        <v>54</v>
      </c>
      <c r="Q5" s="4" t="s">
        <v>83</v>
      </c>
      <c r="R5" s="4" t="s">
        <v>43</v>
      </c>
      <c r="S5" s="4" t="s">
        <v>98</v>
      </c>
      <c r="T5" s="4" t="s">
        <v>96</v>
      </c>
    </row>
    <row r="6" spans="1:20" ht="18.75" x14ac:dyDescent="0.3">
      <c r="A6" s="1" t="s">
        <v>9</v>
      </c>
      <c r="B6" s="7">
        <f>TONTJANV22!B6+TONTFEV22!B6+TONTMARS22!B6+TONTAVRIL22!B6+TONTMAI22!B6+TONTJUIN22!B6+TONTJUIL22!B6+TONTAOUT22!B6+TONTSEPT22!B6+TONTOCT22!B6+TONTNOV22!B6+TONTDEC22!B6</f>
        <v>12</v>
      </c>
      <c r="C6" s="1" t="str">
        <f>VLOOKUP(A6,[9]LISTADHERENT!A$5:H$60,3,0)</f>
        <v>BOUTCHOUANG WILLIAM</v>
      </c>
      <c r="D6" s="7">
        <f>TONTJANV22!D6+TONTFEV22!D6+TONTMARS22!D6+TONTAVRIL22!D6+TONTMAI22!D6+TONTJUIN22!D6+TONTJUIL22!D6+TONTAOUT22!D6+TONTSEPT22!D6+TONTOCT22!D6+TONTNOV22!D6+TONTDEC22!D6</f>
        <v>276000</v>
      </c>
      <c r="E6" s="7">
        <f>TONTJANV22!E6+TONTFEV22!E6+TONTMARS22!E6+TONTAVRIL22!E6+TONTMAI22!E6+TONTJUIN22!E6+TONTJUIL22!E6+TONTAOUT22!E6+TONTSEPT22!E6+TONTOCT22!E6+TONTNOV22!E6+TONTDEC22!E6</f>
        <v>363000</v>
      </c>
      <c r="F6" s="7">
        <f>TONTJANV22!F6+TONTFEV22!F6+TONTMARS22!F6+TONTAVRIL22!F6+TONTMAI22!F6+TONTJUIN22!F6+TONTJUIL22!F6+TONTAOUT22!F6+TONTSEPT22!F6+TONTOCT22!F6+TONTNOV22!F6+TONTDEC22!F6</f>
        <v>3000</v>
      </c>
      <c r="G6" s="7"/>
      <c r="H6" s="7">
        <f>TONTJANV22!H6+TONTFEV22!H6+TONTMARS22!H6+TONTAVRIL22!H6+TONTMAI22!H6+TONTJUIN22!H6+TONTJUIL22!H6+TONTAOUT22!H6+TONTSEPT22!H6+TONTOCT22!H6+TONTNOV22!H6+TONTDEC22!H6</f>
        <v>0</v>
      </c>
      <c r="I6" s="7">
        <f>TONTJANV22!I6+TONTFEV22!I6+TONTMARS22!I6+TONTAVRIL22!I6+TONTMAI22!I6+TONTJUIN22!I6+TONTJUIL22!I6+TONTAOUT22!I6+TONTSEPT22!I6+TONTOCT22!I6+TONTNOV22!I6+TONTDEC22!I6</f>
        <v>0</v>
      </c>
      <c r="J6" s="7"/>
      <c r="K6" s="7"/>
      <c r="L6"/>
      <c r="M6" s="7">
        <f>TONTJANV22!M6+TONTFEV22!M6+TONTMARS22!M6+TONTAVRIL22!M6+TONTMAI22!M6+TONTJUIN22!M6+TONTJUIL22!M6+TONTAOUT22!M6+TONTSEPT22!M6+TONTOCT22!M6+TONTNOV22!M6+TONTDEC22!M6</f>
        <v>0</v>
      </c>
      <c r="N6" s="7"/>
      <c r="O6" s="7"/>
      <c r="P6" s="7"/>
      <c r="Q6" s="7">
        <f>TONTJANV22!Q6+TONTFEV22!Q6+TONTMARS22!Q6+TONTAVRIL22!Q6+TONTMAI22!Q6+TONTJUIN22!Q6+TONTJUIL22!Q6+TONTAOUT22!Q6+TONTSEPT22!Q6+TONTOCT22!Q6+TONTNOV22!Q6+TONTDEC22!Q6</f>
        <v>277000</v>
      </c>
      <c r="R6" s="7">
        <f>TONTJANV22!R6+TONTFEV22!R6+TONTMARS22!R6+TONTAVRIL22!R6+TONTMAI22!R6+TONTJUIN22!R6+TONTJUIL22!R6+TONTAOUT22!R6+TONTSEPT22!R6+TONTOCT22!R6+TONTNOV22!R6+TONTDEC22!R6</f>
        <v>23000</v>
      </c>
      <c r="S6" s="7">
        <f>TONTJANV22!S6+TONTMARS22!S6+TONTAVRIL22!S6+TONTMAI22!S6+TONTJUIN22!S6+TONTJUIL22!S6+TONTAOUT22!S6+TONTSEPT22!S6+TONTOCT22!S6+TONTNOV22!S6+TONTDEC22!S6</f>
        <v>0</v>
      </c>
      <c r="T6" s="20">
        <v>44743</v>
      </c>
    </row>
    <row r="7" spans="1:20" ht="18.75" x14ac:dyDescent="0.3">
      <c r="A7" s="1" t="s">
        <v>10</v>
      </c>
      <c r="B7" s="7">
        <f>TONTJANV22!B7+TONTFEV22!B7+TONTMARS22!B7+TONTAVRIL22!B7+TONTMAI22!B7+TONTJUIN22!B7+TONTJUIL22!B7+TONTAOUT22!B7+TONTSEPT22!B7+TONTOCT22!B7+TONTNOV22!B7+TONTDEC22!B7</f>
        <v>12</v>
      </c>
      <c r="C7" s="1" t="str">
        <f>VLOOKUP(A7,[9]LISTADHERENT!A$5:H$60,3,0)</f>
        <v xml:space="preserve">DJOMO JEAN PAUL </v>
      </c>
      <c r="D7" s="7">
        <f>TONTJANV22!D7+TONTFEV22!D7+TONTMARS22!D7+TONTAVRIL22!D7+TONTMAI22!D7+TONTJUIN22!D7+TONTJUIL22!D7+TONTAOUT22!D7+TONTSEPT22!D7+TONTOCT22!D7+TONTNOV22!D7+TONTDEC22!D7</f>
        <v>276000</v>
      </c>
      <c r="E7" s="7">
        <f>TONTJANV22!E7+TONTFEV22!E7+TONTMARS22!E7+TONTAVRIL22!E7+TONTMAI22!E7+TONTJUIN22!E7+TONTJUIL22!E7+TONTAOUT22!E7+TONTSEPT22!E7+TONTOCT22!E7+TONTNOV22!E7+TONTDEC22!E7</f>
        <v>463500</v>
      </c>
      <c r="F7" s="7">
        <f>TONTJANV22!F7+TONTFEV22!F7+TONTMARS22!F7+TONTAVRIL22!F7+TONTMAI22!F7+TONTJUIN22!F7+TONTJUIL22!F7+TONTAOUT22!F7+TONTSEPT22!F7+TONTOCT22!F7+TONTNOV22!F7+TONTDEC22!F7</f>
        <v>6000</v>
      </c>
      <c r="G7" s="7"/>
      <c r="H7" s="7">
        <f>TONTJANV22!H7+TONTFEV22!H7+TONTMARS22!H7+TONTAVRIL22!H7+TONTMAI22!H7+TONTJUIN22!H7+TONTJUIL22!H7+TONTAOUT22!H7+TONTSEPT22!H7+TONTOCT22!H7+TONTNOV22!H7+TONTDEC22!H7</f>
        <v>100000</v>
      </c>
      <c r="I7" s="7">
        <f>TONTJANV22!I7+TONTFEV22!I7+TONTMARS22!I7+TONTAVRIL22!I7+TONTMAI22!I7+TONTJUIN22!I7+TONTJUIL22!I7+TONTAOUT22!I7+TONTSEPT22!I7+TONTOCT22!I7+TONTNOV22!I7+TONTDEC22!I7</f>
        <v>2000</v>
      </c>
      <c r="J7" s="7"/>
      <c r="K7" s="7"/>
      <c r="L7"/>
      <c r="M7" s="7">
        <f>TONTJANV22!M7+TONTFEV22!M7+TONTMARS22!M7+TONTAVRIL22!M7+TONTMAI22!M7+TONTJUIN22!M7+TONTJUIL22!M7+TONTAOUT22!M7+TONTSEPT22!M7+TONTOCT22!M7+TONTNOV22!M7+TONTDEC22!M7</f>
        <v>102000</v>
      </c>
      <c r="N7" s="7"/>
      <c r="O7" s="7"/>
      <c r="P7" s="7"/>
      <c r="Q7" s="7">
        <f>TONTJANV22!Q7+TONTFEV22!Q7+TONTMARS22!Q7+TONTAVRIL22!Q7+TONTMAI22!Q7+TONTJUIN22!Q7+TONTJUIL22!Q7+TONTAOUT22!Q7+TONTSEPT22!Q7+TONTOCT22!Q7+TONTNOV22!Q7+TONTDEC22!Q7</f>
        <v>263000</v>
      </c>
      <c r="R7" s="7">
        <f>TONTJANV22!R7+TONTFEV22!R7+TONTMARS22!R7+TONTAVRIL22!R7+TONTMAI22!R7+TONTJUIN22!R7+TONTJUIL22!R7+TONTAOUT22!R7+TONTSEPT22!R7+TONTOCT22!R7+TONTNOV22!R7+TONTDEC22!R7</f>
        <v>37000</v>
      </c>
      <c r="S7" s="7">
        <f>TONTJANV22!S7+TONTMARS22!S7+TONTAVRIL22!S7+TONTMAI22!S7+TONTJUIN22!S7+TONTJUIL22!S7+TONTAOUT22!S7+TONTSEPT22!S7+TONTOCT22!S7+TONTNOV22!S7+TONTDEC22!S7</f>
        <v>0</v>
      </c>
      <c r="T7" s="20">
        <v>44593</v>
      </c>
    </row>
    <row r="8" spans="1:20" ht="18.75" x14ac:dyDescent="0.3">
      <c r="A8" s="1" t="s">
        <v>57</v>
      </c>
      <c r="B8" s="7">
        <f>TONTJANV22!B8+TONTFEV22!B8+TONTMARS22!B8+TONTAVRIL22!B8+TONTMAI22!B8+TONTJUIN22!B8+TONTJUIL22!B8+TONTAOUT22!B8+TONTSEPT22!B8+TONTOCT22!B8+TONTNOV22!B8+TONTDEC22!B8</f>
        <v>12</v>
      </c>
      <c r="C8" s="1" t="str">
        <f>VLOOKUP(A8,[9]LISTADHERENT!A$5:H$60,3,0)</f>
        <v>DJOMOU TCHANDA</v>
      </c>
      <c r="D8" s="7">
        <f>TONTJANV22!D8+TONTFEV22!D8+TONTMARS22!D8+TONTAVRIL22!D8+TONTMAI22!D8+TONTJUIN22!D8+TONTJUIL22!D8+TONTAOUT22!D8+TONTSEPT22!D8+TONTOCT22!D8+TONTNOV22!D8+TONTDEC22!D8</f>
        <v>276000</v>
      </c>
      <c r="E8" s="7">
        <f>TONTJANV22!E8+TONTFEV22!E8+TONTMARS22!E8+TONTAVRIL22!E8+TONTMAI22!E8+TONTJUIN22!E8+TONTJUIL22!E8+TONTAOUT22!E8+TONTSEPT22!E8+TONTOCT22!E8+TONTNOV22!E8+TONTDEC22!E8</f>
        <v>367000</v>
      </c>
      <c r="F8" s="7">
        <f>TONTJANV22!F8+TONTFEV22!F8+TONTMARS22!F8+TONTAVRIL22!F8+TONTMAI22!F8+TONTJUIN22!F8+TONTJUIL22!F8+TONTAOUT22!F8+TONTSEPT22!F8+TONTOCT22!F8+TONTNOV22!F8+TONTDEC22!F8</f>
        <v>6000</v>
      </c>
      <c r="G8" s="7"/>
      <c r="H8" s="7">
        <f>TONTJANV22!H8+TONTFEV22!H8+TONTMARS22!H8+TONTAVRIL22!H8+TONTMAI22!H8+TONTJUIN22!H8+TONTJUIL22!H8+TONTAOUT22!H8+TONTSEPT22!H8+TONTOCT22!H8+TONTNOV22!H8+TONTDEC22!H8</f>
        <v>0</v>
      </c>
      <c r="I8" s="7">
        <f>TONTJANV22!I8+TONTFEV22!I8+TONTMARS22!I8+TONTAVRIL22!I8+TONTMAI22!I8+TONTJUIN22!I8+TONTJUIL22!I8+TONTAOUT22!I8+TONTSEPT22!I8+TONTOCT22!I8+TONTNOV22!I8+TONTDEC22!I8</f>
        <v>0</v>
      </c>
      <c r="J8" s="7"/>
      <c r="K8" s="7"/>
      <c r="L8"/>
      <c r="M8" s="7">
        <f>TONTJANV22!M8+TONTFEV22!M8+TONTMARS22!M8+TONTAVRIL22!M8+TONTMAI22!M8+TONTJUIN22!M8+TONTJUIL22!M8+TONTAOUT22!M8+TONTSEPT22!M8+TONTOCT22!M8+TONTNOV22!M8+TONTDEC22!M8</f>
        <v>0</v>
      </c>
      <c r="N8" s="7"/>
      <c r="O8" s="7"/>
      <c r="P8" s="7"/>
      <c r="Q8" s="7">
        <f>TONTJANV22!Q8+TONTFEV22!Q8+TONTMARS22!Q8+TONTAVRIL22!Q8+TONTMAI22!Q8+TONTJUIN22!Q8+TONTJUIL22!Q8+TONTAOUT22!Q8+TONTSEPT22!Q8+TONTOCT22!Q8+TONTNOV22!Q8+TONTDEC22!Q8</f>
        <v>272000</v>
      </c>
      <c r="R8" s="7">
        <f>TONTJANV22!R8+TONTFEV22!R8+TONTMARS22!R8+TONTAVRIL22!R8+TONTMAI22!R8+TONTJUIN22!R8+TONTJUIL22!R8+TONTAOUT22!R8+TONTSEPT22!R8+TONTOCT22!R8+TONTNOV22!R8+TONTDEC22!R8</f>
        <v>28000</v>
      </c>
      <c r="S8" s="7">
        <f>TONTJANV22!S8+TONTMARS22!S8+TONTAVRIL22!S8+TONTMAI22!S8+TONTJUIN22!S8+TONTJUIL22!S8+TONTAOUT22!S8+TONTSEPT22!S8+TONTOCT22!S8+TONTNOV22!S8+TONTDEC22!S8</f>
        <v>5000</v>
      </c>
      <c r="T8" s="20">
        <v>44805</v>
      </c>
    </row>
    <row r="9" spans="1:20" ht="18.75" x14ac:dyDescent="0.3">
      <c r="A9" s="1" t="s">
        <v>11</v>
      </c>
      <c r="B9" s="7">
        <f>TONTJANV22!B9+TONTFEV22!B9+TONTMARS22!B9+TONTAVRIL22!B9+TONTMAI22!B9+TONTJUIN22!B9+TONTJUIL22!B9+TONTAOUT22!B9+TONTSEPT22!B9+TONTOCT22!B9+TONTNOV22!B9+TONTDEC22!B9</f>
        <v>12</v>
      </c>
      <c r="C9" s="1" t="str">
        <f>VLOOKUP(A9,[9]LISTADHERENT!A$5:H$60,3,0)</f>
        <v>DJOUKWE NANGUEN GUY BLAISE</v>
      </c>
      <c r="D9" s="7">
        <f>TONTJANV22!D9+TONTFEV22!D9+TONTMARS22!D9+TONTAVRIL22!D9+TONTMAI22!D9+TONTJUIN22!D9+TONTJUIL22!D9+TONTAOUT22!D9+TONTSEPT22!D9+TONTOCT22!D9+TONTNOV22!D9+TONTDEC22!D9</f>
        <v>276000</v>
      </c>
      <c r="E9" s="7">
        <f>TONTJANV22!E9+TONTFEV22!E9+TONTMARS22!E9+TONTAVRIL22!E9+TONTMAI22!E9+TONTJUIN22!E9+TONTJUIL22!E9+TONTAOUT22!E9+TONTSEPT22!E9+TONTOCT22!E9+TONTNOV22!E9+TONTDEC22!E9</f>
        <v>365000</v>
      </c>
      <c r="F9" s="7">
        <f>TONTJANV22!F9+TONTFEV22!F9+TONTMARS22!F9+TONTAVRIL22!F9+TONTMAI22!F9+TONTJUIN22!F9+TONTJUIL22!F9+TONTAOUT22!F9+TONTSEPT22!F9+TONTOCT22!F9+TONTNOV22!F9+TONTDEC22!F9</f>
        <v>0</v>
      </c>
      <c r="G9" s="7"/>
      <c r="H9" s="7">
        <f>TONTJANV22!H9+TONTFEV22!H9+TONTMARS22!H9+TONTAVRIL22!H9+TONTMAI22!H9+TONTJUIN22!H9+TONTJUIL22!H9+TONTAOUT22!H9+TONTSEPT22!H9+TONTOCT22!H9+TONTNOV22!H9+TONTDEC22!H9</f>
        <v>50000</v>
      </c>
      <c r="I9" s="7">
        <f>TONTJANV22!I9+TONTFEV22!I9+TONTMARS22!I9+TONTAVRIL22!I9+TONTMAI22!I9+TONTJUIN22!I9+TONTJUIL22!I9+TONTAOUT22!I9+TONTSEPT22!I9+TONTOCT22!I9+TONTNOV22!I9+TONTDEC22!I9</f>
        <v>1000</v>
      </c>
      <c r="J9" s="7"/>
      <c r="K9" s="7"/>
      <c r="L9"/>
      <c r="M9" s="7">
        <f>TONTJANV22!M9+TONTFEV22!M9+TONTMARS22!M9+TONTAVRIL22!M9+TONTMAI22!M9+TONTJUIN22!M9+TONTJUIL22!M9+TONTAOUT22!M9+TONTSEPT22!M9+TONTOCT22!M9+TONTNOV22!M9+TONTDEC22!M9</f>
        <v>51000</v>
      </c>
      <c r="N9" s="7"/>
      <c r="O9" s="7"/>
      <c r="P9" s="7"/>
      <c r="Q9" s="7">
        <f>TONTJANV22!Q9+TONTFEV22!Q9+TONTMARS22!Q9+TONTAVRIL22!Q9+TONTMAI22!Q9+TONTJUIN22!Q9+TONTJUIL22!Q9+TONTAOUT22!Q9+TONTSEPT22!Q9+TONTOCT22!Q9+TONTNOV22!Q9+TONTDEC22!Q9</f>
        <v>273000</v>
      </c>
      <c r="R9" s="7">
        <f>TONTJANV22!R9+TONTFEV22!R9+TONTMARS22!R9+TONTAVRIL22!R9+TONTMAI22!R9+TONTJUIN22!R9+TONTJUIL22!R9+TONTAOUT22!R9+TONTSEPT22!R9+TONTOCT22!R9+TONTNOV22!R9+TONTDEC22!R9</f>
        <v>27000</v>
      </c>
      <c r="S9" s="7">
        <f>TONTJANV22!S9+TONTMARS22!S9+TONTAVRIL22!S9+TONTMAI22!S9+TONTJUIN22!S9+TONTJUIL22!S9+TONTAOUT22!S9+TONTSEPT22!S9+TONTOCT22!S9+TONTNOV22!S9+TONTDEC22!S9</f>
        <v>4000</v>
      </c>
      <c r="T9" s="20">
        <v>44805</v>
      </c>
    </row>
    <row r="10" spans="1:20" ht="18.75" x14ac:dyDescent="0.3">
      <c r="A10" s="1" t="s">
        <v>12</v>
      </c>
      <c r="B10" s="7">
        <f>TONTJANV22!B10+TONTFEV22!B10+TONTMARS22!B10+TONTAVRIL22!B10+TONTMAI22!B10+TONTJUIN22!B10+TONTJUIL22!B10+TONTAOUT22!B10+TONTSEPT22!B10+TONTOCT22!B10+TONTNOV22!B10+TONTDEC22!B10</f>
        <v>12</v>
      </c>
      <c r="C10" s="1" t="str">
        <f>VLOOKUP(A10,[9]LISTADHERENT!A$5:H$60,3,0)</f>
        <v>DJUOMBESSY ANTOINE</v>
      </c>
      <c r="D10" s="7">
        <f>TONTJANV22!D10+TONTFEV22!D10+TONTMARS22!D10+TONTAVRIL22!D10+TONTMAI22!D10+TONTJUIN22!D10+TONTJUIL22!D10+TONTAOUT22!D10+TONTSEPT22!D10+TONTOCT22!D10+TONTNOV22!D10+TONTDEC22!D10</f>
        <v>276000</v>
      </c>
      <c r="E10" s="7">
        <f>TONTJANV22!E10+TONTFEV22!E10+TONTMARS22!E10+TONTAVRIL22!E10+TONTMAI22!E10+TONTJUIN22!E10+TONTJUIL22!E10+TONTAOUT22!E10+TONTSEPT22!E10+TONTOCT22!E10+TONTNOV22!E10+TONTDEC22!E10</f>
        <v>369000</v>
      </c>
      <c r="F10" s="7">
        <f>TONTJANV22!F10+TONTFEV22!F10+TONTMARS22!F10+TONTAVRIL22!F10+TONTMAI22!F10+TONTJUIN22!F10+TONTJUIL22!F10+TONTAOUT22!F10+TONTSEPT22!F10+TONTOCT22!F10+TONTNOV22!F10+TONTDEC22!F10</f>
        <v>6000</v>
      </c>
      <c r="G10" s="7"/>
      <c r="H10" s="7">
        <f>TONTJANV22!H10+TONTFEV22!H10+TONTMARS22!H10+TONTAVRIL22!H10+TONTMAI22!H10+TONTJUIN22!H10+TONTJUIL22!H10+TONTAOUT22!H10+TONTSEPT22!H10+TONTOCT22!H10+TONTNOV22!H10+TONTDEC22!H10</f>
        <v>68000</v>
      </c>
      <c r="I10" s="7">
        <f>TONTJANV22!I10+TONTFEV22!I10+TONTMARS22!I10+TONTAVRIL22!I10+TONTMAI22!I10+TONTJUIN22!I10+TONTJUIL22!I10+TONTAOUT22!I10+TONTSEPT22!I10+TONTOCT22!I10+TONTNOV22!I10+TONTDEC22!I10</f>
        <v>1000</v>
      </c>
      <c r="J10" s="7"/>
      <c r="K10" s="7"/>
      <c r="L10"/>
      <c r="M10" s="7">
        <f>TONTJANV22!M10+TONTFEV22!M10+TONTMARS22!M10+TONTAVRIL22!M10+TONTMAI22!M10+TONTJUIN22!M10+TONTJUIL22!M10+TONTAOUT22!M10+TONTSEPT22!M10+TONTOCT22!M10+TONTNOV22!M10+TONTDEC22!M10</f>
        <v>69000</v>
      </c>
      <c r="N10" s="7"/>
      <c r="O10" s="7"/>
      <c r="P10" s="7"/>
      <c r="Q10" s="7">
        <f>TONTJANV22!Q10+TONTFEV22!Q10+TONTMARS22!Q10+TONTAVRIL22!Q10+TONTMAI22!Q10+TONTJUIN22!Q10+TONTJUIL22!Q10+TONTAOUT22!Q10+TONTSEPT22!Q10+TONTOCT22!Q10+TONTNOV22!Q10+TONTDEC22!Q10</f>
        <v>277000</v>
      </c>
      <c r="R10" s="7">
        <f>TONTJANV22!R10+TONTFEV22!R10+TONTMARS22!R10+TONTAVRIL22!R10+TONTMAI22!R10+TONTJUIN22!R10+TONTJUIL22!R10+TONTAOUT22!R10+TONTSEPT22!R10+TONTOCT22!R10+TONTNOV22!R10+TONTDEC22!R10</f>
        <v>23000</v>
      </c>
      <c r="S10" s="7">
        <f>TONTJANV22!S10+TONTMARS22!S10+TONTAVRIL22!S10+TONTMAI22!S10+TONTJUIN22!S10+TONTJUIL22!S10+TONTAOUT22!S10+TONTSEPT22!S10+TONTOCT22!S10+TONTNOV22!S10+TONTDEC22!S10</f>
        <v>0</v>
      </c>
      <c r="T10" s="20">
        <v>44774</v>
      </c>
    </row>
    <row r="11" spans="1:20" ht="18.75" x14ac:dyDescent="0.3">
      <c r="A11" s="1" t="s">
        <v>50</v>
      </c>
      <c r="B11" s="7">
        <f>TONTJANV22!B11+TONTFEV22!B11+TONTMARS22!B11+TONTAVRIL22!B11+TONTMAI22!B11+TONTJUIN22!B11+TONTJUIL22!B11+TONTAOUT22!B11+TONTSEPT22!B11+TONTOCT22!B11+TONTNOV22!B11+TONTDEC22!B11</f>
        <v>12</v>
      </c>
      <c r="C11" s="1" t="str">
        <f>VLOOKUP(A11,[9]LISTADHERENT!A$5:H$60,3,0)</f>
        <v>DOMOU FABIEN</v>
      </c>
      <c r="D11" s="7">
        <f>TONTJANV22!D11+TONTFEV22!D11+TONTMARS22!D11+TONTAVRIL22!D11+TONTMAI22!D11+TONTJUIN22!D11+TONTJUIL22!D11+TONTAOUT22!D11+TONTSEPT22!D11+TONTOCT22!D11+TONTNOV22!D11+TONTDEC22!D11</f>
        <v>276000</v>
      </c>
      <c r="E11" s="7">
        <f>TONTJANV22!E11+TONTFEV22!E11+TONTMARS22!E11+TONTAVRIL22!E11+TONTMAI22!E11+TONTJUIN22!E11+TONTJUIL22!E11+TONTAOUT22!E11+TONTSEPT22!E11+TONTOCT22!E11+TONTNOV22!E11+TONTDEC22!E11</f>
        <v>420000</v>
      </c>
      <c r="F11" s="7">
        <f>TONTJANV22!F11+TONTFEV22!F11+TONTMARS22!F11+TONTAVRIL22!F11+TONTMAI22!F11+TONTJUIN22!F11+TONTJUIL22!F11+TONTAOUT22!F11+TONTSEPT22!F11+TONTOCT22!F11+TONTNOV22!F11+TONTDEC22!F11</f>
        <v>0</v>
      </c>
      <c r="G11" s="7"/>
      <c r="H11" s="7">
        <f>TONTJANV22!H11+TONTFEV22!H11+TONTMARS22!H11+TONTAVRIL22!H11+TONTMAI22!H11+TONTJUIN22!H11+TONTJUIL22!H11+TONTAOUT22!H11+TONTSEPT22!H11+TONTOCT22!H11+TONTNOV22!H11+TONTDEC22!H11</f>
        <v>0</v>
      </c>
      <c r="I11" s="7">
        <f>TONTJANV22!I11+TONTFEV22!I11+TONTMARS22!I11+TONTAVRIL22!I11+TONTMAI22!I11+TONTJUIN22!I11+TONTJUIL22!I11+TONTAOUT22!I11+TONTSEPT22!I11+TONTOCT22!I11+TONTNOV22!I11+TONTDEC22!I11</f>
        <v>0</v>
      </c>
      <c r="J11" s="7"/>
      <c r="K11" s="7"/>
      <c r="L11"/>
      <c r="M11" s="7">
        <f>TONTJANV22!M11+TONTFEV22!M11+TONTMARS22!M11+TONTAVRIL22!M11+TONTMAI22!M11+TONTJUIN22!M11+TONTJUIL22!M11+TONTAOUT22!M11+TONTSEPT22!M11+TONTOCT22!M11+TONTNOV22!M11+TONTDEC22!M11</f>
        <v>0</v>
      </c>
      <c r="N11" s="7"/>
      <c r="O11" s="7"/>
      <c r="P11" s="7"/>
      <c r="Q11" s="7">
        <f>TONTJANV22!Q11+TONTFEV22!Q11+TONTMARS22!Q11+TONTAVRIL22!Q11+TONTMAI22!Q11+TONTJUIN22!Q11+TONTJUIL22!Q11+TONTAOUT22!Q11+TONTSEPT22!Q11+TONTOCT22!Q11+TONTNOV22!Q11+TONTDEC22!Q11</f>
        <v>277000</v>
      </c>
      <c r="R11" s="7">
        <f>TONTJANV22!R11+TONTFEV22!R11+TONTMARS22!R11+TONTAVRIL22!R11+TONTMAI22!R11+TONTJUIN22!R11+TONTJUIL22!R11+TONTAOUT22!R11+TONTSEPT22!R11+TONTOCT22!R11+TONTNOV22!R11+TONTDEC22!R11</f>
        <v>23000</v>
      </c>
      <c r="S11" s="7">
        <f>TONTJANV22!S11+TONTMARS22!S11+TONTAVRIL22!S11+TONTMAI22!S11+TONTJUIN22!S11+TONTJUIL22!S11+TONTAOUT22!S11+TONTSEPT22!S11+TONTOCT22!S11+TONTNOV22!S11+TONTDEC22!S11</f>
        <v>0</v>
      </c>
      <c r="T11" s="20">
        <v>44713</v>
      </c>
    </row>
    <row r="12" spans="1:20" ht="18.75" x14ac:dyDescent="0.3">
      <c r="A12" s="1" t="s">
        <v>13</v>
      </c>
      <c r="B12" s="7">
        <f>TONTJANV22!B12+TONTFEV22!B12+TONTMARS22!B12+TONTAVRIL22!B12+TONTMAI22!B12+TONTJUIN22!B12+TONTJUIL22!B12+TONTAOUT22!B12+TONTSEPT22!B12+TONTOCT22!B12+TONTNOV22!B12+TONTDEC22!B12</f>
        <v>12</v>
      </c>
      <c r="C12" s="1" t="str">
        <f>VLOOKUP(A12,[9]LISTADHERENT!A$5:H$60,3,0)</f>
        <v>DONHOU DAVID</v>
      </c>
      <c r="D12" s="7">
        <f>TONTJANV22!D12+TONTFEV22!D12+TONTMARS22!D12+TONTAVRIL22!D12+TONTMAI22!D12+TONTJUIN22!D12+TONTJUIL22!D12+TONTAOUT22!D12+TONTSEPT22!D12+TONTOCT22!D12+TONTNOV22!D12+TONTDEC22!D12</f>
        <v>276000</v>
      </c>
      <c r="E12" s="7">
        <f>TONTJANV22!E12+TONTFEV22!E12+TONTMARS22!E12+TONTAVRIL22!E12+TONTMAI22!E12+TONTJUIN22!E12+TONTJUIL22!E12+TONTAOUT22!E12+TONTSEPT22!E12+TONTOCT22!E12+TONTNOV22!E12+TONTDEC22!E12</f>
        <v>418000</v>
      </c>
      <c r="F12" s="7">
        <f>TONTJANV22!F12+TONTFEV22!F12+TONTMARS22!F12+TONTAVRIL22!F12+TONTMAI22!F12+TONTJUIN22!F12+TONTJUIL22!F12+TONTAOUT22!F12+TONTSEPT22!F12+TONTOCT22!F12+TONTNOV22!F12+TONTDEC22!F12</f>
        <v>3000</v>
      </c>
      <c r="G12" s="7"/>
      <c r="H12" s="7">
        <f>TONTJANV22!H12+TONTFEV22!H12+TONTMARS22!H12+TONTAVRIL22!H12+TONTMAI22!H12+TONTJUIN22!H12+TONTJUIL22!H12+TONTAOUT22!H12+TONTSEPT22!H12+TONTOCT22!H12+TONTNOV22!H12+TONTDEC22!H12</f>
        <v>0</v>
      </c>
      <c r="I12" s="7">
        <f>TONTJANV22!I12+TONTFEV22!I12+TONTMARS22!I12+TONTAVRIL22!I12+TONTMAI22!I12+TONTJUIN22!I12+TONTJUIL22!I12+TONTAOUT22!I12+TONTSEPT22!I12+TONTOCT22!I12+TONTNOV22!I12+TONTDEC22!I12</f>
        <v>0</v>
      </c>
      <c r="J12" s="7"/>
      <c r="K12" s="7"/>
      <c r="L12"/>
      <c r="M12" s="7">
        <f>TONTJANV22!M12+TONTFEV22!M12+TONTMARS22!M12+TONTAVRIL22!M12+TONTMAI22!M12+TONTJUIN22!M12+TONTJUIL22!M12+TONTAOUT22!M12+TONTSEPT22!M12+TONTOCT22!M12+TONTNOV22!M12+TONTDEC22!M12</f>
        <v>0</v>
      </c>
      <c r="N12" s="7"/>
      <c r="O12" s="7"/>
      <c r="P12" s="7"/>
      <c r="Q12" s="7">
        <f>TONTJANV22!Q12+TONTFEV22!Q12+TONTMARS22!Q12+TONTAVRIL22!Q12+TONTMAI22!Q12+TONTJUIN22!Q12+TONTJUIL22!Q12+TONTAOUT22!Q12+TONTSEPT22!Q12+TONTOCT22!Q12+TONTNOV22!Q12+TONTDEC22!Q12</f>
        <v>277000</v>
      </c>
      <c r="R12" s="7">
        <f>TONTJANV22!R12+TONTFEV22!R12+TONTMARS22!R12+TONTAVRIL22!R12+TONTMAI22!R12+TONTJUIN22!R12+TONTJUIL22!R12+TONTAOUT22!R12+TONTSEPT22!R12+TONTOCT22!R12+TONTNOV22!R12+TONTDEC22!R12</f>
        <v>23000</v>
      </c>
      <c r="S12" s="7">
        <f>TONTJANV22!S12+TONTMARS22!S12+TONTAVRIL22!S12+TONTMAI22!S12+TONTJUIN22!S12+TONTJUIL22!S12+TONTAOUT22!S12+TONTSEPT22!S12+TONTOCT22!S12+TONTNOV22!S12+TONTDEC22!S12</f>
        <v>0</v>
      </c>
      <c r="T12" s="20"/>
    </row>
    <row r="13" spans="1:20" ht="18.75" x14ac:dyDescent="0.3">
      <c r="A13" s="1" t="s">
        <v>15</v>
      </c>
      <c r="B13" s="7">
        <f>TONTJANV22!B13+TONTFEV22!B13+TONTMARS22!B13+TONTAVRIL22!B13+TONTMAI22!B13+TONTJUIN22!B13+TONTJUIL22!B13+TONTAOUT22!B13+TONTSEPT22!B13+TONTOCT22!B13+TONTNOV22!B13+TONTDEC22!B13</f>
        <v>12</v>
      </c>
      <c r="C13" s="1" t="str">
        <f>VLOOKUP(A13,[9]LISTADHERENT!A$5:H$60,3,0)</f>
        <v>HENGUE PAUL OMER</v>
      </c>
      <c r="D13" s="7">
        <f>TONTJANV22!D13+TONTFEV22!D13+TONTMARS22!D13+TONTAVRIL22!D13+TONTMAI22!D13+TONTJUIN22!D13+TONTJUIL22!D13+TONTAOUT22!D13+TONTSEPT22!D13+TONTOCT22!D13+TONTNOV22!D13+TONTDEC22!D13</f>
        <v>276000</v>
      </c>
      <c r="E13" s="7">
        <f>TONTJANV22!E13+TONTFEV22!E13+TONTMARS22!E13+TONTAVRIL22!E13+TONTMAI22!E13+TONTJUIN22!E13+TONTJUIL22!E13+TONTAOUT22!E13+TONTSEPT22!E13+TONTOCT22!E13+TONTNOV22!E13+TONTDEC22!E13</f>
        <v>360000</v>
      </c>
      <c r="F13" s="7">
        <f>TONTJANV22!F13+TONTFEV22!F13+TONTMARS22!F13+TONTAVRIL22!F13+TONTMAI22!F13+TONTJUIN22!F13+TONTJUIL22!F13+TONTAOUT22!F13+TONTSEPT22!F13+TONTOCT22!F13+TONTNOV22!F13+TONTDEC22!F13</f>
        <v>0</v>
      </c>
      <c r="G13" s="7"/>
      <c r="H13" s="7">
        <f>TONTJANV22!H13+TONTFEV22!H13+TONTMARS22!H13+TONTAVRIL22!H13+TONTMAI22!H13+TONTJUIN22!H13+TONTJUIL22!H13+TONTAOUT22!H13+TONTSEPT22!H13+TONTOCT22!H13+TONTNOV22!H13+TONTDEC22!H13</f>
        <v>0</v>
      </c>
      <c r="I13" s="7">
        <f>TONTJANV22!I13+TONTFEV22!I13+TONTMARS22!I13+TONTAVRIL22!I13+TONTMAI22!I13+TONTJUIN22!I13+TONTJUIL22!I13+TONTAOUT22!I13+TONTSEPT22!I13+TONTOCT22!I13+TONTNOV22!I13+TONTDEC22!I13</f>
        <v>0</v>
      </c>
      <c r="J13" s="7"/>
      <c r="K13" s="7"/>
      <c r="L13"/>
      <c r="M13" s="7">
        <f>TONTJANV22!M13+TONTFEV22!M13+TONTMARS22!M13+TONTAVRIL22!M13+TONTMAI22!M13+TONTJUIN22!M13+TONTJUIL22!M13+TONTAOUT22!M13+TONTSEPT22!M13+TONTOCT22!M13+TONTNOV22!M13+TONTDEC22!M13</f>
        <v>0</v>
      </c>
      <c r="N13" s="7"/>
      <c r="O13" s="7"/>
      <c r="P13" s="7"/>
      <c r="Q13" s="7">
        <f>TONTJANV22!Q13+TONTFEV22!Q13+TONTMARS22!Q13+TONTAVRIL22!Q13+TONTMAI22!Q13+TONTJUIN22!Q13+TONTJUIL22!Q13+TONTAOUT22!Q13+TONTSEPT22!Q13+TONTOCT22!Q13+TONTNOV22!Q13+TONTDEC22!Q13</f>
        <v>277000</v>
      </c>
      <c r="R13" s="7">
        <f>TONTJANV22!R13+TONTFEV22!R13+TONTMARS22!R13+TONTAVRIL22!R13+TONTMAI22!R13+TONTJUIN22!R13+TONTJUIL22!R13+TONTAOUT22!R13+TONTSEPT22!R13+TONTOCT22!R13+TONTNOV22!R13+TONTDEC22!R13</f>
        <v>23000</v>
      </c>
      <c r="S13" s="7">
        <f>TONTJANV22!S13+TONTMARS22!S13+TONTAVRIL22!S13+TONTMAI22!S13+TONTJUIN22!S13+TONTJUIL22!S13+TONTAOUT22!S13+TONTSEPT22!S13+TONTOCT22!S13+TONTNOV22!S13+TONTDEC22!S13</f>
        <v>0</v>
      </c>
      <c r="T13" s="20">
        <v>44774</v>
      </c>
    </row>
    <row r="14" spans="1:20" ht="18.75" x14ac:dyDescent="0.3">
      <c r="A14" s="1" t="s">
        <v>16</v>
      </c>
      <c r="B14" s="7">
        <f>TONTJANV22!B14+TONTFEV22!B14+TONTMARS22!B14+TONTAVRIL22!B14+TONTMAI22!B14+TONTJUIN22!B14+TONTJUIL22!B14+TONTAOUT22!B14+TONTSEPT22!B14+TONTOCT22!B14+TONTNOV22!B14+TONTDEC22!B14</f>
        <v>12</v>
      </c>
      <c r="C14" s="1" t="str">
        <f>VLOOKUP(A14,[9]LISTADHERENT!A$5:H$60,3,0)</f>
        <v>HOTCHO BENJAMIN</v>
      </c>
      <c r="D14" s="7">
        <f>TONTJANV22!D14+TONTFEV22!D14+TONTMARS22!D14+TONTAVRIL22!D14+TONTMAI22!D14+TONTJUIN22!D14+TONTJUIL22!D14+TONTAOUT22!D14+TONTSEPT22!D14+TONTOCT22!D14+TONTNOV22!D14+TONTDEC22!D14</f>
        <v>276000</v>
      </c>
      <c r="E14" s="7">
        <f>TONTJANV22!E14+TONTFEV22!E14+TONTMARS22!E14+TONTAVRIL22!E14+TONTMAI22!E14+TONTJUIN22!E14+TONTJUIL22!E14+TONTAOUT22!E14+TONTSEPT22!E14+TONTOCT22!E14+TONTNOV22!E14+TONTDEC22!E14</f>
        <v>900000</v>
      </c>
      <c r="F14" s="7">
        <f>TONTJANV22!F14+TONTFEV22!F14+TONTMARS22!F14+TONTAVRIL22!F14+TONTMAI22!F14+TONTJUIN22!F14+TONTJUIL22!F14+TONTAOUT22!F14+TONTSEPT22!F14+TONTOCT22!F14+TONTNOV22!F14+TONTDEC22!F14</f>
        <v>0</v>
      </c>
      <c r="G14" s="7"/>
      <c r="H14" s="7">
        <f>TONTJANV22!H14+TONTFEV22!H14+TONTMARS22!H14+TONTAVRIL22!H14+TONTMAI22!H14+TONTJUIN22!H14+TONTJUIL22!H14+TONTAOUT22!H14+TONTSEPT22!H14+TONTOCT22!H14+TONTNOV22!H14+TONTDEC22!H14</f>
        <v>0</v>
      </c>
      <c r="I14" s="7">
        <f>TONTJANV22!I14+TONTFEV22!I14+TONTMARS22!I14+TONTAVRIL22!I14+TONTMAI22!I14+TONTJUIN22!I14+TONTJUIL22!I14+TONTAOUT22!I14+TONTSEPT22!I14+TONTOCT22!I14+TONTNOV22!I14+TONTDEC22!I14</f>
        <v>0</v>
      </c>
      <c r="J14" s="7"/>
      <c r="K14" s="7"/>
      <c r="L14"/>
      <c r="M14" s="7">
        <f>TONTJANV22!M14+TONTFEV22!M14+TONTMARS22!M14+TONTAVRIL22!M14+TONTMAI22!M14+TONTJUIN22!M14+TONTJUIL22!M14+TONTAOUT22!M14+TONTSEPT22!M14+TONTOCT22!M14+TONTNOV22!M14+TONTDEC22!M14</f>
        <v>0</v>
      </c>
      <c r="N14" s="7"/>
      <c r="O14" s="7"/>
      <c r="P14" s="7"/>
      <c r="Q14" s="7">
        <f>TONTJANV22!Q14+TONTFEV22!Q14+TONTMARS22!Q14+TONTAVRIL22!Q14+TONTMAI22!Q14+TONTJUIN22!Q14+TONTJUIL22!Q14+TONTAOUT22!Q14+TONTSEPT22!Q14+TONTOCT22!Q14+TONTNOV22!Q14+TONTDEC22!Q14</f>
        <v>277000</v>
      </c>
      <c r="R14" s="7">
        <f>TONTJANV22!R14+TONTFEV22!R14+TONTMARS22!R14+TONTAVRIL22!R14+TONTMAI22!R14+TONTJUIN22!R14+TONTJUIL22!R14+TONTAOUT22!R14+TONTSEPT22!R14+TONTOCT22!R14+TONTNOV22!R14+TONTDEC22!R14</f>
        <v>23000</v>
      </c>
      <c r="S14" s="7">
        <f>TONTJANV22!S14+TONTMARS22!S14+TONTAVRIL22!S14+TONTMAI22!S14+TONTJUIN22!S14+TONTJUIL22!S14+TONTAOUT22!S14+TONTSEPT22!S14+TONTOCT22!S14+TONTNOV22!S14+TONTDEC22!S14</f>
        <v>0</v>
      </c>
      <c r="T14" s="20">
        <v>44682</v>
      </c>
    </row>
    <row r="15" spans="1:20" ht="18.75" x14ac:dyDescent="0.3">
      <c r="A15" s="1" t="s">
        <v>17</v>
      </c>
      <c r="B15" s="7">
        <f>TONTJANV22!B15+TONTFEV22!B15+TONTMARS22!B15+TONTAVRIL22!B15+TONTMAI22!B15+TONTJUIN22!B15+TONTJUIL22!B15+TONTAOUT22!B15+TONTSEPT22!B15+TONTOCT22!B15+TONTNOV22!B15+TONTDEC22!B15</f>
        <v>12</v>
      </c>
      <c r="C15" s="1" t="str">
        <f>VLOOKUP(A15,[9]LISTADHERENT!A$5:H$60,3,0)</f>
        <v>KOUAMOU MOISE</v>
      </c>
      <c r="D15" s="7">
        <f>TONTJANV22!D15+TONTFEV22!D15+TONTMARS22!D15+TONTAVRIL22!D15+TONTMAI22!D15+TONTJUIN22!D15+TONTJUIL22!D15+TONTAOUT22!D15+TONTSEPT22!D15+TONTOCT22!D15+TONTNOV22!D15+TONTDEC22!D15</f>
        <v>276000</v>
      </c>
      <c r="E15" s="7">
        <f>TONTJANV22!E15+TONTFEV22!E15+TONTMARS22!E15+TONTAVRIL22!E15+TONTMAI22!E15+TONTJUIN22!E15+TONTJUIL22!E15+TONTAOUT22!E15+TONTSEPT22!E15+TONTOCT22!E15+TONTNOV22!E15+TONTDEC22!E15</f>
        <v>360000</v>
      </c>
      <c r="F15" s="7">
        <f>TONTJANV22!F15+TONTFEV22!F15+TONTMARS22!F15+TONTAVRIL22!F15+TONTMAI22!F15+TONTJUIN22!F15+TONTJUIL22!F15+TONTAOUT22!F15+TONTSEPT22!F15+TONTOCT22!F15+TONTNOV22!F15+TONTDEC22!F15</f>
        <v>0</v>
      </c>
      <c r="G15" s="7"/>
      <c r="H15" s="7">
        <f>TONTJANV22!H15+TONTFEV22!H15+TONTMARS22!H15+TONTAVRIL22!H15+TONTMAI22!H15+TONTJUIN22!H15+TONTJUIL22!H15+TONTAOUT22!H15+TONTSEPT22!H15+TONTOCT22!H15+TONTNOV22!H15+TONTDEC22!H15</f>
        <v>0</v>
      </c>
      <c r="I15" s="7">
        <f>TONTJANV22!I15+TONTFEV22!I15+TONTMARS22!I15+TONTAVRIL22!I15+TONTMAI22!I15+TONTJUIN22!I15+TONTJUIL22!I15+TONTAOUT22!I15+TONTSEPT22!I15+TONTOCT22!I15+TONTNOV22!I15+TONTDEC22!I15</f>
        <v>0</v>
      </c>
      <c r="J15" s="7"/>
      <c r="K15" s="7"/>
      <c r="L15"/>
      <c r="M15" s="7">
        <f>TONTJANV22!M15+TONTFEV22!M15+TONTMARS22!M15+TONTAVRIL22!M15+TONTMAI22!M15+TONTJUIN22!M15+TONTJUIL22!M15+TONTAOUT22!M15+TONTSEPT22!M15+TONTOCT22!M15+TONTNOV22!M15+TONTDEC22!M15</f>
        <v>0</v>
      </c>
      <c r="N15" s="7"/>
      <c r="O15" s="7"/>
      <c r="P15" s="7"/>
      <c r="Q15" s="7">
        <f>TONTJANV22!Q15+TONTFEV22!Q15+TONTMARS22!Q15+TONTAVRIL22!Q15+TONTMAI22!Q15+TONTJUIN22!Q15+TONTJUIL22!Q15+TONTAOUT22!Q15+TONTSEPT22!Q15+TONTOCT22!Q15+TONTNOV22!Q15+TONTDEC22!Q15</f>
        <v>277000</v>
      </c>
      <c r="R15" s="7">
        <f>TONTJANV22!R15+TONTFEV22!R15+TONTMARS22!R15+TONTAVRIL22!R15+TONTMAI22!R15+TONTJUIN22!R15+TONTJUIL22!R15+TONTAOUT22!R15+TONTSEPT22!R15+TONTOCT22!R15+TONTNOV22!R15+TONTDEC22!R15</f>
        <v>23000</v>
      </c>
      <c r="S15" s="7">
        <f>TONTJANV22!S15+TONTMARS22!S15+TONTAVRIL22!S15+TONTMAI22!S15+TONTJUIN22!S15+TONTJUIL22!S15+TONTAOUT22!S15+TONTSEPT22!S15+TONTOCT22!S15+TONTNOV22!S15+TONTDEC22!S15</f>
        <v>0</v>
      </c>
      <c r="T15" s="20">
        <v>44835</v>
      </c>
    </row>
    <row r="16" spans="1:20" ht="18.75" x14ac:dyDescent="0.3">
      <c r="A16" s="1" t="s">
        <v>18</v>
      </c>
      <c r="B16" s="7">
        <f>TONTJANV22!B16+TONTFEV22!B16+TONTMARS22!B16+TONTAVRIL22!B16+TONTMAI22!B16+TONTJUIN22!B16+TONTJUIL22!B16+TONTAOUT22!B16+TONTSEPT22!B16+TONTOCT22!B16+TONTNOV22!B16+TONTDEC22!B16</f>
        <v>12</v>
      </c>
      <c r="C16" s="1" t="str">
        <f>VLOOKUP(A16,[9]LISTADHERENT!A$5:H$60,3,0)</f>
        <v>KOUATCHO MESSACK</v>
      </c>
      <c r="D16" s="7">
        <f>TONTJANV22!D16+TONTFEV22!D16+TONTMARS22!D16+TONTAVRIL22!D16+TONTMAI22!D16+TONTJUIN22!D16+TONTJUIL22!D16+TONTAOUT22!D16+TONTSEPT22!D16+TONTOCT22!D16+TONTNOV22!D16+TONTDEC22!D16</f>
        <v>276000</v>
      </c>
      <c r="E16" s="7">
        <f>TONTJANV22!E16+TONTFEV22!E16+TONTMARS22!E16+TONTAVRIL22!E16+TONTMAI22!E16+TONTJUIN22!E16+TONTJUIL22!E16+TONTAOUT22!E16+TONTSEPT22!E16+TONTOCT22!E16+TONTNOV22!E16+TONTDEC22!E16</f>
        <v>369000</v>
      </c>
      <c r="F16" s="7">
        <f>TONTJANV22!F16+TONTFEV22!F16+TONTMARS22!F16+TONTAVRIL22!F16+TONTMAI22!F16+TONTJUIN22!F16+TONTJUIL22!F16+TONTAOUT22!F16+TONTSEPT22!F16+TONTOCT22!F16+TONTNOV22!F16+TONTDEC22!F16</f>
        <v>9000</v>
      </c>
      <c r="G16" s="7"/>
      <c r="H16" s="7">
        <f>TONTJANV22!H16+TONTFEV22!H16+TONTMARS22!H16+TONTAVRIL22!H16+TONTMAI22!H16+TONTJUIN22!H16+TONTJUIL22!H16+TONTAOUT22!H16+TONTSEPT22!H16+TONTOCT22!H16+TONTNOV22!H16+TONTDEC22!H16</f>
        <v>74500</v>
      </c>
      <c r="I16" s="7">
        <f>TONTJANV22!I16+TONTFEV22!I16+TONTMARS22!I16+TONTAVRIL22!I16+TONTMAI22!I16+TONTJUIN22!I16+TONTJUIL22!I16+TONTAOUT22!I16+TONTSEPT22!I16+TONTOCT22!I16+TONTNOV22!I16+TONTDEC22!I16</f>
        <v>2500</v>
      </c>
      <c r="J16" s="7"/>
      <c r="K16" s="7"/>
      <c r="L16"/>
      <c r="M16" s="7">
        <f>TONTJANV22!M16+TONTFEV22!M16+TONTMARS22!M16+TONTAVRIL22!M16+TONTMAI22!M16+TONTJUIN22!M16+TONTJUIL22!M16+TONTAOUT22!M16+TONTSEPT22!M16+TONTOCT22!M16+TONTNOV22!M16+TONTDEC22!M16</f>
        <v>77000</v>
      </c>
      <c r="N16" s="7"/>
      <c r="O16" s="7"/>
      <c r="P16" s="7"/>
      <c r="Q16" s="7">
        <f>TONTJANV22!Q16+TONTFEV22!Q16+TONTMARS22!Q16+TONTAVRIL22!Q16+TONTMAI22!Q16+TONTJUIN22!Q16+TONTJUIL22!Q16+TONTAOUT22!Q16+TONTSEPT22!Q16+TONTOCT22!Q16+TONTNOV22!Q16+TONTDEC22!Q16</f>
        <v>264000</v>
      </c>
      <c r="R16" s="7">
        <f>TONTJANV22!R16+TONTFEV22!R16+TONTMARS22!R16+TONTAVRIL22!R16+TONTMAI22!R16+TONTJUIN22!R16+TONTJUIL22!R16+TONTAOUT22!R16+TONTSEPT22!R16+TONTOCT22!R16+TONTNOV22!R16+TONTDEC22!R16</f>
        <v>36000</v>
      </c>
      <c r="S16" s="7">
        <f>TONTJANV22!S16+TONTMARS22!S16+TONTAVRIL22!S16+TONTMAI22!S16+TONTJUIN22!S16+TONTJUIL22!S16+TONTAOUT22!S16+TONTSEPT22!S16+TONTOCT22!S16+TONTNOV22!S16+TONTDEC22!S16</f>
        <v>0</v>
      </c>
      <c r="T16" s="20">
        <v>44593</v>
      </c>
    </row>
    <row r="17" spans="1:20" ht="18.75" x14ac:dyDescent="0.3">
      <c r="A17" s="1" t="s">
        <v>19</v>
      </c>
      <c r="B17" s="7">
        <f>TONTJANV22!B17+TONTFEV22!B17+TONTMARS22!B17+TONTAVRIL22!B17+TONTMAI22!B17+TONTJUIN22!B17+TONTJUIL22!B17+TONTAOUT22!B17+TONTSEPT22!B17+TONTOCT22!B17+TONTNOV22!B17+TONTDEC22!B17</f>
        <v>12</v>
      </c>
      <c r="C17" s="1" t="str">
        <f>VLOOKUP(A17,[9]LISTADHERENT!A$5:H$60,3,0)</f>
        <v>LOWE JEAN</v>
      </c>
      <c r="D17" s="7">
        <f>TONTJANV22!D17+TONTFEV22!D17+TONTMARS22!D17+TONTAVRIL22!D17+TONTMAI22!D17+TONTJUIN22!D17+TONTJUIL22!D17+TONTAOUT22!D17+TONTSEPT22!D17+TONTOCT22!D17+TONTNOV22!D17+TONTDEC22!D17</f>
        <v>276000</v>
      </c>
      <c r="E17" s="7">
        <f>TONTJANV22!E17+TONTFEV22!E17+TONTMARS22!E17+TONTAVRIL22!E17+TONTMAI22!E17+TONTJUIN22!E17+TONTJUIL22!E17+TONTAOUT22!E17+TONTSEPT22!E17+TONTOCT22!E17+TONTNOV22!E17+TONTDEC22!E17</f>
        <v>360000</v>
      </c>
      <c r="F17" s="7">
        <f>TONTJANV22!F17+TONTFEV22!F17+TONTMARS22!F17+TONTAVRIL22!F17+TONTMAI22!F17+TONTJUIN22!F17+TONTJUIL22!F17+TONTAOUT22!F17+TONTSEPT22!F17+TONTOCT22!F17+TONTNOV22!F17+TONTDEC22!F17</f>
        <v>0</v>
      </c>
      <c r="G17" s="7"/>
      <c r="H17" s="7">
        <f>TONTJANV22!H17+TONTFEV22!H17+TONTMARS22!H17+TONTAVRIL22!H17+TONTMAI22!H17+TONTJUIN22!H17+TONTJUIL22!H17+TONTAOUT22!H17+TONTSEPT22!H17+TONTOCT22!H17+TONTNOV22!H17+TONTDEC22!H17</f>
        <v>0</v>
      </c>
      <c r="I17" s="7">
        <f>TONTJANV22!I17+TONTFEV22!I17+TONTMARS22!I17+TONTAVRIL22!I17+TONTMAI22!I17+TONTJUIN22!I17+TONTJUIL22!I17+TONTAOUT22!I17+TONTSEPT22!I17+TONTOCT22!I17+TONTNOV22!I17+TONTDEC22!I17</f>
        <v>0</v>
      </c>
      <c r="J17" s="7"/>
      <c r="K17" s="7"/>
      <c r="L17"/>
      <c r="M17" s="7">
        <f>TONTJANV22!M17+TONTFEV22!M17+TONTMARS22!M17+TONTAVRIL22!M17+TONTMAI22!M17+TONTJUIN22!M17+TONTJUIL22!M17+TONTAOUT22!M17+TONTSEPT22!M17+TONTOCT22!M17+TONTNOV22!M17+TONTDEC22!M17</f>
        <v>0</v>
      </c>
      <c r="N17" s="7"/>
      <c r="O17" s="7"/>
      <c r="P17" s="7"/>
      <c r="Q17" s="7">
        <f>TONTJANV22!Q17+TONTFEV22!Q17+TONTMARS22!Q17+TONTAVRIL22!Q17+TONTMAI22!Q17+TONTJUIN22!Q17+TONTJUIL22!Q17+TONTAOUT22!Q17+TONTSEPT22!Q17+TONTOCT22!Q17+TONTNOV22!Q17+TONTDEC22!Q17</f>
        <v>266000</v>
      </c>
      <c r="R17" s="7">
        <f>TONTJANV22!R17+TONTFEV22!R17+TONTMARS22!R17+TONTAVRIL22!R17+TONTMAI22!R17+TONTJUIN22!R17+TONTJUIL22!R17+TONTAOUT22!R17+TONTSEPT22!R17+TONTOCT22!R17+TONTNOV22!R17+TONTDEC22!R17</f>
        <v>34000</v>
      </c>
      <c r="S17" s="7">
        <f>TONTJANV22!S17+TONTMARS22!S17+TONTAVRIL22!S17+TONTMAI22!S17+TONTJUIN22!S17+TONTJUIL22!S17+TONTAOUT22!S17+TONTSEPT22!S17+TONTOCT22!S17+TONTNOV22!S17+TONTDEC22!S17</f>
        <v>11000</v>
      </c>
      <c r="T17" s="20">
        <v>44621</v>
      </c>
    </row>
    <row r="18" spans="1:20" ht="18.75" x14ac:dyDescent="0.3">
      <c r="A18" s="1" t="s">
        <v>49</v>
      </c>
      <c r="B18" s="7">
        <f>TONTJANV22!B18+TONTFEV22!B18+TONTMARS22!B18+TONTAVRIL22!B18+TONTMAI22!B18+TONTJUIN22!B18+TONTJUIL22!B18+TONTAOUT22!B18+TONTSEPT22!B18+TONTOCT22!B18+TONTNOV22!B18+TONTDEC22!B18</f>
        <v>12</v>
      </c>
      <c r="C18" s="1" t="str">
        <f>VLOOKUP(A18,[9]LISTADHERENT!A$5:H$60,3,0)</f>
        <v>MBOGNING TUGMA GUY</v>
      </c>
      <c r="D18" s="7">
        <f>TONTJANV22!D18+TONTFEV22!D18+TONTMARS22!D18+TONTAVRIL22!D18+TONTMAI22!D18+TONTJUIN22!D18+TONTJUIL22!D18+TONTAOUT22!D18+TONTSEPT22!D18+TONTOCT22!D18+TONTNOV22!D18+TONTDEC22!D18</f>
        <v>276000</v>
      </c>
      <c r="E18" s="7">
        <f>TONTJANV22!E18+TONTFEV22!E18+TONTMARS22!E18+TONTAVRIL22!E18+TONTMAI22!E18+TONTJUIN22!E18+TONTJUIL22!E18+TONTAOUT22!E18+TONTSEPT22!E18+TONTOCT22!E18+TONTNOV22!E18+TONTDEC22!E18</f>
        <v>363000</v>
      </c>
      <c r="F18" s="7">
        <f>TONTJANV22!F18+TONTFEV22!F18+TONTMARS22!F18+TONTAVRIL22!F18+TONTMAI22!F18+TONTJUIN22!F18+TONTJUIL22!F18+TONTAOUT22!F18+TONTSEPT22!F18+TONTOCT22!F18+TONTNOV22!F18+TONTDEC22!F18</f>
        <v>3000</v>
      </c>
      <c r="G18" s="7"/>
      <c r="H18" s="7">
        <f>TONTJANV22!H18+TONTFEV22!H18+TONTMARS22!H18+TONTAVRIL22!H18+TONTMAI22!H18+TONTJUIN22!H18+TONTJUIL22!H18+TONTAOUT22!H18+TONTSEPT22!H18+TONTOCT22!H18+TONTNOV22!H18+TONTDEC22!H18</f>
        <v>0</v>
      </c>
      <c r="I18" s="7">
        <f>TONTJANV22!I18+TONTFEV22!I18+TONTMARS22!I18+TONTAVRIL22!I18+TONTMAI22!I18+TONTJUIN22!I18+TONTJUIL22!I18+TONTAOUT22!I18+TONTSEPT22!I18+TONTOCT22!I18+TONTNOV22!I18+TONTDEC22!I18</f>
        <v>0</v>
      </c>
      <c r="J18" s="7"/>
      <c r="K18" s="7"/>
      <c r="L18"/>
      <c r="M18" s="7">
        <f>TONTJANV22!M18+TONTFEV22!M18+TONTMARS22!M18+TONTAVRIL22!M18+TONTMAI22!M18+TONTJUIN22!M18+TONTJUIL22!M18+TONTAOUT22!M18+TONTSEPT22!M18+TONTOCT22!M18+TONTNOV22!M18+TONTDEC22!M18</f>
        <v>0</v>
      </c>
      <c r="N18" s="7"/>
      <c r="O18" s="7"/>
      <c r="P18" s="7"/>
      <c r="Q18" s="7">
        <f>TONTJANV22!Q18+TONTFEV22!Q18+TONTMARS22!Q18+TONTAVRIL22!Q18+TONTMAI22!Q18+TONTJUIN22!Q18+TONTJUIL22!Q18+TONTAOUT22!Q18+TONTSEPT22!Q18+TONTOCT22!Q18+TONTNOV22!Q18+TONTDEC22!Q18</f>
        <v>261000</v>
      </c>
      <c r="R18" s="7">
        <f>TONTJANV22!R18+TONTFEV22!R18+TONTMARS22!R18+TONTAVRIL22!R18+TONTMAI22!R18+TONTJUIN22!R18+TONTJUIL22!R18+TONTAOUT22!R18+TONTSEPT22!R18+TONTOCT22!R18+TONTNOV22!R18+TONTDEC22!R18</f>
        <v>39000</v>
      </c>
      <c r="S18" s="7">
        <f>TONTJANV22!S18+TONTMARS22!S18+TONTAVRIL22!S18+TONTMAI22!S18+TONTJUIN22!S18+TONTJUIL22!S18+TONTAOUT22!S18+TONTSEPT22!S18+TONTOCT22!S18+TONTNOV22!S18+TONTDEC22!S18</f>
        <v>16000</v>
      </c>
      <c r="T18" s="20">
        <v>44562</v>
      </c>
    </row>
    <row r="19" spans="1:20" ht="18.75" x14ac:dyDescent="0.3">
      <c r="A19" s="1" t="s">
        <v>30</v>
      </c>
      <c r="B19" s="7">
        <f>TONTJANV22!B19+TONTFEV22!B19+TONTMARS22!B19+TONTAVRIL22!B19+TONTMAI22!B19+TONTJUIN22!B19+TONTJUIL22!B19+TONTAOUT22!B19+TONTSEPT22!B19+TONTOCT22!B19+TONTNOV22!B19+TONTDEC22!B19</f>
        <v>12</v>
      </c>
      <c r="C19" s="1" t="str">
        <f>VLOOKUP(A19,[9]LISTADHERENT!A$5:H$60,3,0)</f>
        <v>NANGUEN MARTIN</v>
      </c>
      <c r="D19" s="7">
        <f>TONTJANV22!D19+TONTFEV22!D19+TONTMARS22!D19+TONTAVRIL22!D19+TONTMAI22!D19+TONTJUIN22!D19+TONTJUIL22!D19+TONTAOUT22!D19+TONTSEPT22!D19+TONTOCT22!D19+TONTNOV22!D19+TONTDEC22!D19</f>
        <v>276000</v>
      </c>
      <c r="E19" s="7">
        <f>TONTJANV22!E19+TONTFEV22!E19+TONTMARS22!E19+TONTAVRIL22!E19+TONTMAI22!E19+TONTJUIN22!E19+TONTJUIL22!E19+TONTAOUT22!E19+TONTSEPT22!E19+TONTOCT22!E19+TONTNOV22!E19+TONTDEC22!E19</f>
        <v>360000</v>
      </c>
      <c r="F19" s="7">
        <f>TONTJANV22!F19+TONTFEV22!F19+TONTMARS22!F19+TONTAVRIL22!F19+TONTMAI22!F19+TONTJUIN22!F19+TONTJUIL22!F19+TONTAOUT22!F19+TONTSEPT22!F19+TONTOCT22!F19+TONTNOV22!F19+TONTDEC22!F19</f>
        <v>0</v>
      </c>
      <c r="G19" s="7"/>
      <c r="H19" s="7">
        <f>TONTJANV22!H19+TONTFEV22!H19+TONTMARS22!H19+TONTAVRIL22!H19+TONTMAI22!H19+TONTJUIN22!H19+TONTJUIL22!H19+TONTAOUT22!H19+TONTSEPT22!H19+TONTOCT22!H19+TONTNOV22!H19+TONTDEC22!H19</f>
        <v>0</v>
      </c>
      <c r="I19" s="7">
        <f>TONTJANV22!I19+TONTFEV22!I19+TONTMARS22!I19+TONTAVRIL22!I19+TONTMAI22!I19+TONTJUIN22!I19+TONTJUIL22!I19+TONTAOUT22!I19+TONTSEPT22!I19+TONTOCT22!I19+TONTNOV22!I19+TONTDEC22!I19</f>
        <v>0</v>
      </c>
      <c r="J19" s="7"/>
      <c r="K19" s="7"/>
      <c r="L19"/>
      <c r="M19" s="7">
        <f>TONTJANV22!M19+TONTFEV22!M19+TONTMARS22!M19+TONTAVRIL22!M19+TONTMAI22!M19+TONTJUIN22!M19+TONTJUIL22!M19+TONTAOUT22!M19+TONTSEPT22!M19+TONTOCT22!M19+TONTNOV22!M19+TONTDEC22!M19</f>
        <v>0</v>
      </c>
      <c r="N19" s="7"/>
      <c r="O19" s="7"/>
      <c r="P19" s="7"/>
      <c r="Q19" s="7">
        <f>TONTJANV22!Q19+TONTFEV22!Q19+TONTMARS22!Q19+TONTAVRIL22!Q19+TONTMAI22!Q19+TONTJUIN22!Q19+TONTJUIL22!Q19+TONTAOUT22!Q19+TONTSEPT22!Q19+TONTOCT22!Q19+TONTNOV22!Q19+TONTDEC22!Q19</f>
        <v>277000</v>
      </c>
      <c r="R19" s="7">
        <f>TONTJANV22!R19+TONTFEV22!R19+TONTMARS22!R19+TONTAVRIL22!R19+TONTMAI22!R19+TONTJUIN22!R19+TONTJUIL22!R19+TONTAOUT22!R19+TONTSEPT22!R19+TONTOCT22!R19+TONTNOV22!R19+TONTDEC22!R19</f>
        <v>23000</v>
      </c>
      <c r="S19" s="7">
        <f>TONTJANV22!S19+TONTMARS22!S19+TONTAVRIL22!S19+TONTMAI22!S19+TONTJUIN22!S19+TONTJUIL22!S19+TONTAOUT22!S19+TONTSEPT22!S19+TONTOCT22!S19+TONTNOV22!S19+TONTDEC22!S19</f>
        <v>0</v>
      </c>
      <c r="T19" s="20">
        <v>44866</v>
      </c>
    </row>
    <row r="20" spans="1:20" ht="18.75" x14ac:dyDescent="0.3">
      <c r="A20" s="1" t="s">
        <v>20</v>
      </c>
      <c r="B20" s="7">
        <f>TONTJANV22!B20+TONTFEV22!B20+TONTMARS22!B20+TONTAVRIL22!B20+TONTMAI22!B20+TONTJUIN22!B20+TONTJUIL22!B20+TONTAOUT22!B20+TONTSEPT22!B20+TONTOCT22!B20+TONTNOV22!B20+TONTDEC22!B20</f>
        <v>12</v>
      </c>
      <c r="C20" s="1" t="str">
        <f>VLOOKUP(A20,[9]LISTADHERENT!A$5:H$60,3,0)</f>
        <v>NANKAM APPOLINAIRE</v>
      </c>
      <c r="D20" s="7">
        <f>TONTJANV22!D20+TONTFEV22!D20+TONTMARS22!D20+TONTAVRIL22!D20+TONTMAI22!D20+TONTJUIN22!D20+TONTJUIL22!D20+TONTAOUT22!D20+TONTSEPT22!D20+TONTOCT22!D20+TONTNOV22!D20+TONTDEC22!D20</f>
        <v>276000</v>
      </c>
      <c r="E20" s="7">
        <f>TONTJANV22!E20+TONTFEV22!E20+TONTMARS22!E20+TONTAVRIL22!E20+TONTMAI22!E20+TONTJUIN22!E20+TONTJUIL22!E20+TONTAOUT22!E20+TONTSEPT22!E20+TONTOCT22!E20+TONTNOV22!E20+TONTDEC22!E20</f>
        <v>430000</v>
      </c>
      <c r="F20" s="7">
        <f>TONTJANV22!F20+TONTFEV22!F20+TONTMARS22!F20+TONTAVRIL22!F20+TONTMAI22!F20+TONTJUIN22!F20+TONTJUIL22!F20+TONTAOUT22!F20+TONTSEPT22!F20+TONTOCT22!F20+TONTNOV22!F20+TONTDEC22!F20</f>
        <v>0</v>
      </c>
      <c r="G20" s="7"/>
      <c r="H20" s="7">
        <f>TONTJANV22!H20+TONTFEV22!H20+TONTMARS22!H20+TONTAVRIL22!H20+TONTMAI22!H20+TONTJUIN22!H20+TONTJUIL22!H20+TONTAOUT22!H20+TONTSEPT22!H20+TONTOCT22!H20+TONTNOV22!H20+TONTDEC22!H20</f>
        <v>0</v>
      </c>
      <c r="I20" s="7">
        <f>TONTJANV22!I20+TONTFEV22!I20+TONTMARS22!I20+TONTAVRIL22!I20+TONTMAI22!I20+TONTJUIN22!I20+TONTJUIL22!I20+TONTAOUT22!I20+TONTSEPT22!I20+TONTOCT22!I20+TONTNOV22!I20+TONTDEC22!I20</f>
        <v>0</v>
      </c>
      <c r="J20" s="7"/>
      <c r="K20" s="7"/>
      <c r="L20"/>
      <c r="M20" s="7">
        <f>TONTJANV22!M20+TONTFEV22!M20+TONTMARS22!M20+TONTAVRIL22!M20+TONTMAI22!M20+TONTJUIN22!M20+TONTJUIL22!M20+TONTAOUT22!M20+TONTSEPT22!M20+TONTOCT22!M20+TONTNOV22!M20+TONTDEC22!M20</f>
        <v>0</v>
      </c>
      <c r="N20" s="7"/>
      <c r="O20" s="7"/>
      <c r="P20" s="7"/>
      <c r="Q20" s="7">
        <f>TONTJANV22!Q20+TONTFEV22!Q20+TONTMARS22!Q20+TONTAVRIL22!Q20+TONTMAI22!Q20+TONTJUIN22!Q20+TONTJUIL22!Q20+TONTAOUT22!Q20+TONTSEPT22!Q20+TONTOCT22!Q20+TONTNOV22!Q20+TONTDEC22!Q20</f>
        <v>273000</v>
      </c>
      <c r="R20" s="7">
        <f>TONTJANV22!R20+TONTFEV22!R20+TONTMARS22!R20+TONTAVRIL22!R20+TONTMAI22!R20+TONTJUIN22!R20+TONTJUIL22!R20+TONTAOUT22!R20+TONTSEPT22!R20+TONTOCT22!R20+TONTNOV22!R20+TONTDEC22!R20</f>
        <v>27000</v>
      </c>
      <c r="S20" s="7">
        <f>TONTJANV22!S20+TONTMARS22!S20+TONTAVRIL22!S20+TONTMAI22!S20+TONTJUIN22!S20+TONTJUIL22!S20+TONTAOUT22!S20+TONTSEPT22!S20+TONTOCT22!S20+TONTNOV22!S20+TONTDEC22!S20</f>
        <v>4000</v>
      </c>
      <c r="T20" s="20">
        <v>44805</v>
      </c>
    </row>
    <row r="21" spans="1:20" ht="18.75" x14ac:dyDescent="0.3">
      <c r="A21" s="1" t="s">
        <v>21</v>
      </c>
      <c r="B21" s="7">
        <f>TONTJANV22!B21+TONTFEV22!B21+TONTMARS22!B21+TONTAVRIL22!B21+TONTMAI22!B21+TONTJUIN22!B21+TONTJUIL22!B21+TONTAOUT22!B21+TONTSEPT22!B21+TONTOCT22!B21+TONTNOV22!B21+TONTDEC22!B21</f>
        <v>12</v>
      </c>
      <c r="C21" s="1" t="str">
        <f>VLOOKUP(A21,[9]LISTADHERENT!A$5:H$60,3,0)</f>
        <v>NDJOMO ETIENNE</v>
      </c>
      <c r="D21" s="7">
        <f>TONTJANV22!D21+TONTFEV22!D21+TONTMARS22!D21+TONTAVRIL22!D21+TONTMAI22!D21+TONTJUIN22!D21+TONTJUIL22!D21+TONTAOUT22!D21+TONTSEPT22!D21+TONTOCT22!D21+TONTNOV22!D21+TONTDEC22!D21</f>
        <v>276000</v>
      </c>
      <c r="E21" s="7">
        <f>TONTJANV22!E21+TONTFEV22!E21+TONTMARS22!E21+TONTAVRIL22!E21+TONTMAI22!E21+TONTJUIN22!E21+TONTJUIL22!E21+TONTAOUT22!E21+TONTSEPT22!E21+TONTOCT22!E21+TONTNOV22!E21+TONTDEC22!E21</f>
        <v>580000</v>
      </c>
      <c r="F21" s="7">
        <f>TONTJANV22!F21+TONTFEV22!F21+TONTMARS22!F21+TONTAVRIL22!F21+TONTMAI22!F21+TONTJUIN22!F21+TONTJUIL22!F21+TONTAOUT22!F21+TONTSEPT22!F21+TONTOCT22!F21+TONTNOV22!F21+TONTDEC22!F21</f>
        <v>0</v>
      </c>
      <c r="G21" s="7"/>
      <c r="H21" s="7">
        <f>TONTJANV22!H21+TONTFEV22!H21+TONTMARS22!H21+TONTAVRIL22!H21+TONTMAI22!H21+TONTJUIN22!H21+TONTJUIL22!H21+TONTAOUT22!H21+TONTSEPT22!H21+TONTOCT22!H21+TONTNOV22!H21+TONTDEC22!H21</f>
        <v>0</v>
      </c>
      <c r="I21" s="7">
        <f>TONTJANV22!I21+TONTFEV22!I21+TONTMARS22!I21+TONTAVRIL22!I21+TONTMAI22!I21+TONTJUIN22!I21+TONTJUIL22!I21+TONTAOUT22!I21+TONTSEPT22!I21+TONTOCT22!I21+TONTNOV22!I21+TONTDEC22!I21</f>
        <v>0</v>
      </c>
      <c r="J21" s="7"/>
      <c r="K21" s="7"/>
      <c r="L21"/>
      <c r="M21" s="7">
        <f>TONTJANV22!M21+TONTFEV22!M21+TONTMARS22!M21+TONTAVRIL22!M21+TONTMAI22!M21+TONTJUIN22!M21+TONTJUIL22!M21+TONTAOUT22!M21+TONTSEPT22!M21+TONTOCT22!M21+TONTNOV22!M21+TONTDEC22!M21</f>
        <v>0</v>
      </c>
      <c r="N21" s="7"/>
      <c r="O21" s="7"/>
      <c r="P21" s="7"/>
      <c r="Q21" s="7">
        <f>TONTJANV22!Q21+TONTFEV22!Q21+TONTMARS22!Q21+TONTAVRIL22!Q21+TONTMAI22!Q21+TONTJUIN22!Q21+TONTJUIL22!Q21+TONTAOUT22!Q21+TONTSEPT22!Q21+TONTOCT22!Q21+TONTNOV22!Q21+TONTDEC22!Q21</f>
        <v>277000</v>
      </c>
      <c r="R21" s="7">
        <f>TONTJANV22!R21+TONTFEV22!R21+TONTMARS22!R21+TONTAVRIL22!R21+TONTMAI22!R21+TONTJUIN22!R21+TONTJUIL22!R21+TONTAOUT22!R21+TONTSEPT22!R21+TONTOCT22!R21+TONTNOV22!R21+TONTDEC22!R21</f>
        <v>23000</v>
      </c>
      <c r="S21" s="7">
        <f>TONTJANV22!S21+TONTMARS22!S21+TONTAVRIL22!S21+TONTMAI22!S21+TONTJUIN22!S21+TONTJUIL22!S21+TONTAOUT22!S21+TONTSEPT22!S21+TONTOCT22!S21+TONTNOV22!S21+TONTDEC22!S21</f>
        <v>0</v>
      </c>
      <c r="T21" s="20">
        <v>44652</v>
      </c>
    </row>
    <row r="22" spans="1:20" ht="18.75" x14ac:dyDescent="0.3">
      <c r="A22" s="1" t="s">
        <v>22</v>
      </c>
      <c r="B22" s="7">
        <f>TONTJANV22!B22+TONTFEV22!B22+TONTMARS22!B22+TONTAVRIL22!B22+TONTMAI22!B22+TONTJUIN22!B22+TONTJUIL22!B22+TONTAOUT22!B22+TONTSEPT22!B22+TONTOCT22!B22+TONTNOV22!B22+TONTDEC22!B22</f>
        <v>12</v>
      </c>
      <c r="C22" s="1" t="str">
        <f>VLOOKUP(A22,[9]LISTADHERENT!A$5:H$60,3,0)</f>
        <v>NGONDIEP CLAUDE</v>
      </c>
      <c r="D22" s="7">
        <f>TONTJANV22!D22+TONTFEV22!D22+TONTMARS22!D22+TONTAVRIL22!D22+TONTMAI22!D22+TONTJUIN22!D22+TONTJUIL22!D22+TONTAOUT22!D22+TONTSEPT22!D22+TONTOCT22!D22+TONTNOV22!D22+TONTDEC22!D22</f>
        <v>276000</v>
      </c>
      <c r="E22" s="7">
        <f>TONTJANV22!E22+TONTFEV22!E22+TONTMARS22!E22+TONTAVRIL22!E22+TONTMAI22!E22+TONTJUIN22!E22+TONTJUIL22!E22+TONTAOUT22!E22+TONTSEPT22!E22+TONTOCT22!E22+TONTNOV22!E22+TONTDEC22!E22</f>
        <v>515000</v>
      </c>
      <c r="F22" s="7">
        <f>TONTJANV22!F22+TONTFEV22!F22+TONTMARS22!F22+TONTAVRIL22!F22+TONTMAI22!F22+TONTJUIN22!F22+TONTJUIL22!F22+TONTAOUT22!F22+TONTSEPT22!F22+TONTOCT22!F22+TONTNOV22!F22+TONTDEC22!F22</f>
        <v>18000</v>
      </c>
      <c r="G22" s="7"/>
      <c r="H22" s="7">
        <f>TONTJANV22!H22+TONTFEV22!H22+TONTMARS22!H22+TONTAVRIL22!H22+TONTMAI22!H22+TONTJUIN22!H22+TONTJUIL22!H22+TONTAOUT22!H22+TONTSEPT22!H22+TONTOCT22!H22+TONTNOV22!H22+TONTDEC22!H22</f>
        <v>60000</v>
      </c>
      <c r="I22" s="7">
        <f>TONTJANV22!I22+TONTFEV22!I22+TONTMARS22!I22+TONTAVRIL22!I22+TONTMAI22!I22+TONTJUIN22!I22+TONTJUIL22!I22+TONTAOUT22!I22+TONTSEPT22!I22+TONTOCT22!I22+TONTNOV22!I22+TONTDEC22!I22</f>
        <v>1000</v>
      </c>
      <c r="J22" s="7"/>
      <c r="K22" s="7"/>
      <c r="L22"/>
      <c r="M22" s="7">
        <f>TONTJANV22!M22+TONTFEV22!M22+TONTMARS22!M22+TONTAVRIL22!M22+TONTMAI22!M22+TONTJUIN22!M22+TONTJUIL22!M22+TONTAOUT22!M22+TONTSEPT22!M22+TONTOCT22!M22+TONTNOV22!M22+TONTDEC22!M22</f>
        <v>61000</v>
      </c>
      <c r="N22" s="7"/>
      <c r="O22" s="7"/>
      <c r="P22" s="7"/>
      <c r="Q22" s="7">
        <f>TONTJANV22!Q22+TONTFEV22!Q22+TONTMARS22!Q22+TONTAVRIL22!Q22+TONTMAI22!Q22+TONTJUIN22!Q22+TONTJUIL22!Q22+TONTAOUT22!Q22+TONTSEPT22!Q22+TONTOCT22!Q22+TONTNOV22!Q22+TONTDEC22!Q22</f>
        <v>275000</v>
      </c>
      <c r="R22" s="7">
        <f>TONTJANV22!R22+TONTFEV22!R22+TONTMARS22!R22+TONTAVRIL22!R22+TONTMAI22!R22+TONTJUIN22!R22+TONTJUIL22!R22+TONTAOUT22!R22+TONTSEPT22!R22+TONTOCT22!R22+TONTNOV22!R22+TONTDEC22!R22</f>
        <v>25000</v>
      </c>
      <c r="S22" s="7">
        <f>TONTJANV22!S22+TONTMARS22!S22+TONTAVRIL22!S22+TONTMAI22!S22+TONTJUIN22!S22+TONTJUIL22!S22+TONTAOUT22!S22+TONTSEPT22!S22+TONTOCT22!S22+TONTNOV22!S22+TONTDEC22!S22</f>
        <v>2000</v>
      </c>
      <c r="T22" s="20">
        <v>44682</v>
      </c>
    </row>
    <row r="23" spans="1:20" ht="18.75" x14ac:dyDescent="0.3">
      <c r="A23" s="1" t="s">
        <v>23</v>
      </c>
      <c r="B23" s="7">
        <f>TONTJANV22!B23+TONTFEV22!B23+TONTMARS22!B23+TONTAVRIL22!B23+TONTMAI22!B23+TONTJUIN22!B23+TONTJUIL22!B23+TONTAOUT22!B23+TONTSEPT22!B23+TONTOCT22!B23+TONTNOV22!B23+TONTDEC22!B23</f>
        <v>12</v>
      </c>
      <c r="C23" s="1" t="str">
        <f>VLOOKUP(A23,[9]LISTADHERENT!A$5:H$60,3,0)</f>
        <v>NGUIEMEGNI MATHIEU BLAISE</v>
      </c>
      <c r="D23" s="7">
        <f>TONTJANV22!D23+TONTFEV22!D23+TONTMARS22!D23+TONTAVRIL22!D23+TONTMAI22!D23+TONTJUIN22!D23+TONTJUIL22!D23+TONTAOUT22!D23+TONTSEPT22!D23+TONTOCT22!D23+TONTNOV22!D23+TONTDEC22!D23</f>
        <v>276000</v>
      </c>
      <c r="E23" s="7">
        <f>TONTJANV22!E23+TONTFEV22!E23+TONTMARS22!E23+TONTAVRIL22!E23+TONTMAI22!E23+TONTJUIN22!E23+TONTJUIL22!E23+TONTAOUT22!E23+TONTSEPT22!E23+TONTOCT22!E23+TONTNOV22!E23+TONTDEC22!E23</f>
        <v>422000</v>
      </c>
      <c r="F23" s="7">
        <f>TONTJANV22!F23+TONTFEV22!F23+TONTMARS22!F23+TONTAVRIL22!F23+TONTMAI22!F23+TONTJUIN22!F23+TONTJUIL22!F23+TONTAOUT22!F23+TONTSEPT22!F23+TONTOCT22!F23+TONTNOV22!F23+TONTDEC22!F23</f>
        <v>0</v>
      </c>
      <c r="G23" s="7"/>
      <c r="H23" s="7">
        <f>TONTJANV22!H23+TONTFEV22!H23+TONTMARS22!H23+TONTAVRIL22!H23+TONTMAI22!H23+TONTJUIN22!H23+TONTJUIL22!H23+TONTAOUT22!H23+TONTSEPT22!H23+TONTOCT22!H23+TONTNOV22!H23+TONTDEC22!H23</f>
        <v>25000</v>
      </c>
      <c r="I23" s="7">
        <f>TONTJANV22!I23+TONTFEV22!I23+TONTMARS22!I23+TONTAVRIL22!I23+TONTMAI22!I23+TONTJUIN22!I23+TONTJUIL22!I23+TONTAOUT22!I23+TONTSEPT22!I23+TONTOCT22!I23+TONTNOV22!I23+TONTDEC22!I23</f>
        <v>2000</v>
      </c>
      <c r="J23" s="7"/>
      <c r="K23" s="7"/>
      <c r="L23"/>
      <c r="M23" s="7">
        <f>TONTJANV22!M23+TONTFEV22!M23+TONTMARS22!M23+TONTAVRIL22!M23+TONTMAI22!M23+TONTJUIN22!M23+TONTJUIL22!M23+TONTAOUT22!M23+TONTSEPT22!M23+TONTOCT22!M23+TONTNOV22!M23+TONTDEC22!M23</f>
        <v>27000</v>
      </c>
      <c r="N23" s="7"/>
      <c r="O23" s="7"/>
      <c r="P23" s="7"/>
      <c r="Q23" s="7">
        <f>TONTJANV22!Q23+TONTFEV22!Q23+TONTMARS22!Q23+TONTAVRIL22!Q23+TONTMAI22!Q23+TONTJUIN22!Q23+TONTJUIL22!Q23+TONTAOUT22!Q23+TONTSEPT22!Q23+TONTOCT22!Q23+TONTNOV22!Q23+TONTDEC22!Q23</f>
        <v>261000</v>
      </c>
      <c r="R23" s="7">
        <f>TONTJANV22!R23+TONTFEV22!R23+TONTMARS22!R23+TONTAVRIL22!R23+TONTMAI22!R23+TONTJUIN22!R23+TONTJUIL22!R23+TONTAOUT22!R23+TONTSEPT22!R23+TONTOCT22!R23+TONTNOV22!R23+TONTDEC22!R23</f>
        <v>39000</v>
      </c>
      <c r="S23" s="7">
        <f>TONTJANV22!S23+TONTMARS22!S23+TONTAVRIL22!S23+TONTMAI22!S23+TONTJUIN22!S23+TONTJUIL22!S23+TONTAOUT22!S23+TONTSEPT22!S23+TONTOCT22!S23+TONTNOV22!S23+TONTDEC22!S23</f>
        <v>16000</v>
      </c>
      <c r="T23" s="20">
        <v>44562</v>
      </c>
    </row>
    <row r="24" spans="1:20" ht="18.75" x14ac:dyDescent="0.3">
      <c r="A24" s="1" t="s">
        <v>24</v>
      </c>
      <c r="B24" s="7">
        <f>TONTJANV22!B24+TONTFEV22!B24+TONTMARS22!B24+TONTAVRIL22!B24+TONTMAI22!B24+TONTJUIN22!B24+TONTJUIL22!B24+TONTAOUT22!B24+TONTSEPT22!B24+TONTOCT22!B24+TONTNOV22!B24+TONTDEC22!B24</f>
        <v>12</v>
      </c>
      <c r="C24" s="1" t="str">
        <f>VLOOKUP(A24,[9]LISTADHERENT!A$5:H$60,3,0)</f>
        <v>NKAMGANG JUSTIN DEJOLIE</v>
      </c>
      <c r="D24" s="7">
        <f>TONTJANV22!D24+TONTFEV22!D24+TONTMARS22!D24+TONTAVRIL22!D24+TONTMAI22!D24+TONTJUIN22!D24+TONTJUIL22!D24+TONTAOUT22!D24+TONTSEPT22!D24+TONTOCT22!D24+TONTNOV22!D24+TONTDEC22!D24</f>
        <v>276000</v>
      </c>
      <c r="E24" s="7">
        <f>TONTJANV22!E24+TONTFEV22!E24+TONTMARS22!E24+TONTAVRIL22!E24+TONTMAI22!E24+TONTJUIN22!E24+TONTJUIL22!E24+TONTAOUT22!E24+TONTSEPT22!E24+TONTOCT22!E24+TONTNOV22!E24+TONTDEC22!E24</f>
        <v>375000</v>
      </c>
      <c r="F24" s="7">
        <f>TONTJANV22!F24+TONTFEV22!F24+TONTMARS22!F24+TONTAVRIL22!F24+TONTMAI22!F24+TONTJUIN22!F24+TONTJUIL22!F24+TONTAOUT22!F24+TONTSEPT22!F24+TONTOCT22!F24+TONTNOV22!F24+TONTDEC22!F24</f>
        <v>15000</v>
      </c>
      <c r="G24" s="7"/>
      <c r="H24" s="7">
        <f>TONTJANV22!H24+TONTFEV22!H24+TONTMARS22!H24+TONTAVRIL22!H24+TONTMAI22!H24+TONTJUIN22!H24+TONTJUIL22!H24+TONTAOUT22!H24+TONTSEPT22!H24+TONTOCT22!H24+TONTNOV22!H24+TONTDEC22!H24</f>
        <v>239000</v>
      </c>
      <c r="I24" s="7">
        <f>TONTJANV22!I24+TONTFEV22!I24+TONTMARS22!I24+TONTAVRIL22!I24+TONTMAI22!I24+TONTJUIN22!I24+TONTJUIL22!I24+TONTAOUT22!I24+TONTSEPT22!I24+TONTOCT22!I24+TONTNOV22!I24+TONTDEC22!I24</f>
        <v>5000</v>
      </c>
      <c r="J24" s="7"/>
      <c r="K24" s="7"/>
      <c r="L24"/>
      <c r="M24" s="7">
        <f>TONTJANV22!M24+TONTFEV22!M24+TONTMARS22!M24+TONTAVRIL22!M24+TONTMAI22!M24+TONTJUIN22!M24+TONTJUIL22!M24+TONTAOUT22!M24+TONTSEPT22!M24+TONTOCT22!M24+TONTNOV22!M24+TONTDEC22!M24</f>
        <v>244000</v>
      </c>
      <c r="N24" s="7"/>
      <c r="O24" s="7"/>
      <c r="P24" s="7"/>
      <c r="Q24" s="7">
        <f>TONTJANV22!Q24+TONTFEV22!Q24+TONTMARS22!Q24+TONTAVRIL22!Q24+TONTMAI22!Q24+TONTJUIN22!Q24+TONTJUIL22!Q24+TONTAOUT22!Q24+TONTSEPT22!Q24+TONTOCT22!Q24+TONTNOV22!Q24+TONTDEC22!Q24</f>
        <v>277000</v>
      </c>
      <c r="R24" s="7">
        <f>TONTJANV22!R24+TONTFEV22!R24+TONTMARS22!R24+TONTAVRIL22!R24+TONTMAI22!R24+TONTJUIN22!R24+TONTJUIL22!R24+TONTAOUT22!R24+TONTSEPT22!R24+TONTOCT22!R24+TONTNOV22!R24+TONTDEC22!R24</f>
        <v>23000</v>
      </c>
      <c r="S24" s="7">
        <f>TONTJANV22!S24+TONTMARS22!S24+TONTAVRIL22!S24+TONTMAI22!S24+TONTJUIN22!S24+TONTJUIL22!S24+TONTAOUT22!S24+TONTSEPT22!S24+TONTOCT22!S24+TONTNOV22!S24+TONTDEC22!S24</f>
        <v>0</v>
      </c>
      <c r="T24" s="20">
        <v>44713</v>
      </c>
    </row>
    <row r="25" spans="1:20" ht="18.75" x14ac:dyDescent="0.3">
      <c r="A25" s="1" t="s">
        <v>25</v>
      </c>
      <c r="B25" s="7">
        <f>TONTJANV22!B25+TONTFEV22!B25+TONTMARS22!B25+TONTAVRIL22!B25+TONTMAI22!B25+TONTJUIN22!B25+TONTJUIL22!B25+TONTAOUT22!B25+TONTSEPT22!B25+TONTOCT22!B25+TONTNOV22!B25+TONTDEC22!B25</f>
        <v>12</v>
      </c>
      <c r="C25" s="1" t="str">
        <f>VLOOKUP(A25,[9]LISTADHERENT!A$5:H$60,3,0)</f>
        <v>NKEPSEU DIEUDONNE</v>
      </c>
      <c r="D25" s="7">
        <f>TONTJANV22!D25+TONTFEV22!D25+TONTMARS22!D25+TONTAVRIL22!D25+TONTMAI22!D25+TONTJUIN22!D25+TONTJUIL22!D25+TONTAOUT22!D25+TONTSEPT22!D25+TONTOCT22!D25+TONTNOV22!D25+TONTDEC22!D25</f>
        <v>276000</v>
      </c>
      <c r="E25" s="7">
        <f>TONTJANV22!E25+TONTFEV22!E25+TONTMARS22!E25+TONTAVRIL22!E25+TONTMAI22!E25+TONTJUIN22!E25+TONTJUIL22!E25+TONTAOUT22!E25+TONTSEPT22!E25+TONTOCT22!E25+TONTNOV22!E25+TONTDEC22!E25</f>
        <v>763000</v>
      </c>
      <c r="F25" s="7">
        <f>TONTJANV22!F25+TONTFEV22!F25+TONTMARS22!F25+TONTAVRIL22!F25+TONTMAI22!F25+TONTJUIN22!F25+TONTJUIL22!F25+TONTAOUT22!F25+TONTSEPT22!F25+TONTOCT22!F25+TONTNOV22!F25+TONTDEC22!F25</f>
        <v>0</v>
      </c>
      <c r="G25" s="7"/>
      <c r="H25" s="7">
        <f>TONTJANV22!H25+TONTFEV22!H25+TONTMARS22!H25+TONTAVRIL22!H25+TONTMAI22!H25+TONTJUIN22!H25+TONTJUIL22!H25+TONTAOUT22!H25+TONTSEPT22!H25+TONTOCT22!H25+TONTNOV22!H25+TONTDEC22!H25</f>
        <v>0</v>
      </c>
      <c r="I25" s="7">
        <f>TONTJANV22!I25+TONTFEV22!I25+TONTMARS22!I25+TONTAVRIL22!I25+TONTMAI22!I25+TONTJUIN22!I25+TONTJUIL22!I25+TONTAOUT22!I25+TONTSEPT22!I25+TONTOCT22!I25+TONTNOV22!I25+TONTDEC22!I25</f>
        <v>0</v>
      </c>
      <c r="J25" s="7"/>
      <c r="K25" s="7"/>
      <c r="L25"/>
      <c r="M25" s="7">
        <f>TONTJANV22!M25+TONTFEV22!M25+TONTMARS22!M25+TONTAVRIL22!M25+TONTMAI22!M25+TONTJUIN22!M25+TONTJUIL22!M25+TONTAOUT22!M25+TONTSEPT22!M25+TONTOCT22!M25+TONTNOV22!M25+TONTDEC22!M25</f>
        <v>0</v>
      </c>
      <c r="N25" s="7"/>
      <c r="O25" s="7"/>
      <c r="P25" s="7"/>
      <c r="Q25" s="7">
        <f>TONTJANV22!Q25+TONTFEV22!Q25+TONTMARS22!Q25+TONTAVRIL22!Q25+TONTMAI22!Q25+TONTJUIN22!Q25+TONTJUIL22!Q25+TONTAOUT22!Q25+TONTSEPT22!Q25+TONTOCT22!Q25+TONTNOV22!Q25+TONTDEC22!Q25</f>
        <v>272000</v>
      </c>
      <c r="R25" s="7">
        <f>TONTJANV22!R25+TONTFEV22!R25+TONTMARS22!R25+TONTAVRIL22!R25+TONTMAI22!R25+TONTJUIN22!R25+TONTJUIL22!R25+TONTAOUT22!R25+TONTSEPT22!R25+TONTOCT22!R25+TONTNOV22!R25+TONTDEC22!R25</f>
        <v>28000</v>
      </c>
      <c r="S25" s="7">
        <f>TONTJANV22!S25+TONTMARS22!S25+TONTAVRIL22!S25+TONTMAI22!S25+TONTJUIN22!S25+TONTJUIL22!S25+TONTAOUT22!S25+TONTSEPT22!S25+TONTOCT22!S25+TONTNOV22!S25+TONTDEC22!S25</f>
        <v>5000</v>
      </c>
      <c r="T25" s="20">
        <v>44621</v>
      </c>
    </row>
    <row r="26" spans="1:20" ht="18.75" x14ac:dyDescent="0.3">
      <c r="A26" s="1" t="s">
        <v>26</v>
      </c>
      <c r="B26" s="7">
        <f>TONTJANV22!B26+TONTFEV22!B26+TONTMARS22!B26+TONTAVRIL22!B26+TONTMAI22!B26+TONTJUIN22!B26+TONTJUIL22!B26+TONTAOUT22!B26+TONTSEPT22!B26+TONTOCT22!B26+TONTNOV22!B26+TONTDEC22!B26</f>
        <v>12</v>
      </c>
      <c r="C26" s="1" t="str">
        <f>VLOOKUP(A26,[9]LISTADHERENT!A$5:H$60,3,0)</f>
        <v>PATEGO NJOSSU GUSTAVE</v>
      </c>
      <c r="D26" s="7">
        <f>TONTJANV22!D26+TONTFEV22!D26+TONTMARS22!D26+TONTAVRIL22!D26+TONTMAI22!D26+TONTJUIN22!D26+TONTJUIL22!D26+TONTAOUT22!D26+TONTSEPT22!D26+TONTOCT22!D26+TONTNOV22!D26+TONTDEC22!D26</f>
        <v>276000</v>
      </c>
      <c r="E26" s="7">
        <f>TONTJANV22!E26+TONTFEV22!E26+TONTMARS22!E26+TONTAVRIL22!E26+TONTMAI22!E26+TONTJUIN22!E26+TONTJUIL22!E26+TONTAOUT22!E26+TONTSEPT22!E26+TONTOCT22!E26+TONTNOV22!E26+TONTDEC22!E26</f>
        <v>360000</v>
      </c>
      <c r="F26" s="7">
        <f>TONTJANV22!F26+TONTFEV22!F26+TONTMARS22!F26+TONTAVRIL22!F26+TONTMAI22!F26+TONTJUIN22!F26+TONTJUIL22!F26+TONTAOUT22!F26+TONTSEPT22!F26+TONTOCT22!F26+TONTNOV22!F26+TONTDEC22!F26</f>
        <v>0</v>
      </c>
      <c r="G26" s="7"/>
      <c r="H26" s="7">
        <f>TONTJANV22!H26+TONTFEV22!H26+TONTMARS22!H26+TONTAVRIL22!H26+TONTMAI22!H26+TONTJUIN22!H26+TONTJUIL22!H26+TONTAOUT22!H26+TONTSEPT22!H26+TONTOCT22!H26+TONTNOV22!H26+TONTDEC22!H26</f>
        <v>0</v>
      </c>
      <c r="I26" s="7">
        <f>TONTJANV22!I26+TONTFEV22!I26+TONTMARS22!I26+TONTAVRIL22!I26+TONTMAI22!I26+TONTJUIN22!I26+TONTJUIL22!I26+TONTAOUT22!I26+TONTSEPT22!I26+TONTOCT22!I26+TONTNOV22!I26+TONTDEC22!I26</f>
        <v>0</v>
      </c>
      <c r="J26" s="7"/>
      <c r="K26" s="7"/>
      <c r="L26"/>
      <c r="M26" s="7">
        <f>TONTJANV22!M26+TONTFEV22!M26+TONTMARS22!M26+TONTAVRIL22!M26+TONTMAI22!M26+TONTJUIN22!M26+TONTJUIL22!M26+TONTAOUT22!M26+TONTSEPT22!M26+TONTOCT22!M26+TONTNOV22!M26+TONTDEC22!M26</f>
        <v>0</v>
      </c>
      <c r="N26" s="7"/>
      <c r="O26" s="7"/>
      <c r="P26" s="7"/>
      <c r="Q26" s="7">
        <f>TONTJANV22!Q26+TONTFEV22!Q26+TONTMARS22!Q26+TONTAVRIL22!Q26+TONTMAI22!Q26+TONTJUIN22!Q26+TONTJUIL22!Q26+TONTAOUT22!Q26+TONTSEPT22!Q26+TONTOCT22!Q26+TONTNOV22!Q26+TONTDEC22!Q26</f>
        <v>277000</v>
      </c>
      <c r="R26" s="7">
        <f>TONTJANV22!R26+TONTFEV22!R26+TONTMARS22!R26+TONTAVRIL22!R26+TONTMAI22!R26+TONTJUIN22!R26+TONTJUIL22!R26+TONTAOUT22!R26+TONTSEPT22!R26+TONTOCT22!R26+TONTNOV22!R26+TONTDEC22!R26</f>
        <v>23000</v>
      </c>
      <c r="S26" s="7">
        <f>TONTJANV22!S26+TONTMARS22!S26+TONTAVRIL22!S26+TONTMAI22!S26+TONTJUIN22!S26+TONTJUIL22!S26+TONTAOUT22!S26+TONTSEPT22!S26+TONTOCT22!S26+TONTNOV22!S26+TONTDEC22!S26</f>
        <v>0</v>
      </c>
      <c r="T26" s="20">
        <v>44835</v>
      </c>
    </row>
    <row r="27" spans="1:20" ht="18.75" x14ac:dyDescent="0.3">
      <c r="A27" s="1" t="s">
        <v>51</v>
      </c>
      <c r="B27" s="7">
        <f>TONTJANV22!B27+TONTFEV22!B27+TONTMARS22!B27+TONTAVRIL22!B27+TONTMAI22!B27+TONTJUIN22!B27+TONTJUIL22!B27+TONTAOUT22!B27+TONTSEPT22!B27+TONTOCT22!B27+TONTNOV22!B27+TONTDEC22!B27</f>
        <v>12</v>
      </c>
      <c r="C27" s="1" t="str">
        <f>VLOOKUP(A27,[9]LISTADHERENT!A$5:H$60,3,0)</f>
        <v>SIME BRICE</v>
      </c>
      <c r="D27" s="7">
        <f>TONTJANV22!D27+TONTFEV22!D27+TONTMARS22!D27+TONTAVRIL22!D27+TONTMAI22!D27+TONTJUIN22!D27+TONTJUIL22!D27+TONTAOUT22!D27+TONTSEPT22!D27+TONTOCT22!D27+TONTNOV22!D27+TONTDEC22!D27</f>
        <v>276000</v>
      </c>
      <c r="E27" s="7">
        <f>TONTJANV22!E27+TONTFEV22!E27+TONTMARS22!E27+TONTAVRIL22!E27+TONTMAI22!E27+TONTJUIN22!E27+TONTJUIL22!E27+TONTAOUT22!E27+TONTSEPT22!E27+TONTOCT22!E27+TONTNOV22!E27+TONTDEC22!E27</f>
        <v>366000</v>
      </c>
      <c r="F27" s="7">
        <f>TONTJANV22!F27+TONTFEV22!F27+TONTMARS22!F27+TONTAVRIL22!F27+TONTMAI22!F27+TONTJUIN22!F27+TONTJUIL22!F27+TONTAOUT22!F27+TONTSEPT22!F27+TONTOCT22!F27+TONTNOV22!F27+TONTDEC22!F27</f>
        <v>9000</v>
      </c>
      <c r="G27" s="7"/>
      <c r="H27" s="7">
        <f>TONTJANV22!H27+TONTFEV22!H27+TONTMARS22!H27+TONTAVRIL22!H27+TONTMAI22!H27+TONTJUIN22!H27+TONTJUIL22!H27+TONTAOUT22!H27+TONTSEPT22!H27+TONTOCT22!H27+TONTNOV22!H27+TONTDEC22!H27</f>
        <v>0</v>
      </c>
      <c r="I27" s="7">
        <f>TONTJANV22!I27+TONTFEV22!I27+TONTMARS22!I27+TONTAVRIL22!I27+TONTMAI22!I27+TONTJUIN22!I27+TONTJUIL22!I27+TONTAOUT22!I27+TONTSEPT22!I27+TONTOCT22!I27+TONTNOV22!I27+TONTDEC22!I27</f>
        <v>0</v>
      </c>
      <c r="J27" s="7"/>
      <c r="K27" s="7"/>
      <c r="L27"/>
      <c r="M27" s="7">
        <f>TONTJANV22!M27+TONTFEV22!M27+TONTMARS22!M27+TONTAVRIL22!M27+TONTMAI22!M27+TONTJUIN22!M27+TONTJUIL22!M27+TONTAOUT22!M27+TONTSEPT22!M27+TONTOCT22!M27+TONTNOV22!M27+TONTDEC22!M27</f>
        <v>0</v>
      </c>
      <c r="N27" s="7"/>
      <c r="O27" s="7"/>
      <c r="P27" s="7"/>
      <c r="Q27" s="7">
        <f>TONTJANV22!Q27+TONTFEV22!Q27+TONTMARS22!Q27+TONTAVRIL22!Q27+TONTMAI22!Q27+TONTJUIN22!Q27+TONTJUIL22!Q27+TONTAOUT22!Q27+TONTSEPT22!Q27+TONTOCT22!Q27+TONTNOV22!Q27+TONTDEC22!Q27</f>
        <v>277000</v>
      </c>
      <c r="R27" s="7">
        <f>TONTJANV22!R27+TONTFEV22!R27+TONTMARS22!R27+TONTAVRIL22!R27+TONTMAI22!R27+TONTJUIN22!R27+TONTJUIL22!R27+TONTAOUT22!R27+TONTSEPT22!R27+TONTOCT22!R27+TONTNOV22!R27+TONTDEC22!R27</f>
        <v>23000</v>
      </c>
      <c r="S27" s="7">
        <f>TONTJANV22!S27+TONTMARS22!S27+TONTAVRIL22!S27+TONTMAI22!S27+TONTJUIN22!S27+TONTJUIL22!S27+TONTAOUT22!S27+TONTSEPT22!S27+TONTOCT22!S27+TONTNOV22!S27+TONTDEC22!S27</f>
        <v>0</v>
      </c>
      <c r="T27" s="20"/>
    </row>
    <row r="28" spans="1:20" ht="18.75" x14ac:dyDescent="0.3">
      <c r="A28" s="1" t="s">
        <v>29</v>
      </c>
      <c r="B28" s="7">
        <f>TONTJANV22!B28+TONTFEV22!B28+TONTMARS22!B28+TONTAVRIL22!B28+TONTMAI22!B28+TONTJUIN22!B28+TONTJUIL22!B28+TONTAOUT22!B28+TONTSEPT22!B28+TONTOCT22!B28+TONTNOV22!B28+TONTDEC22!B28</f>
        <v>12</v>
      </c>
      <c r="C28" s="1" t="str">
        <f>VLOOKUP(A28,[9]LISTADHERENT!A$5:H$60,3,0)</f>
        <v>SIMO PIERRE</v>
      </c>
      <c r="D28" s="7">
        <f>TONTJANV22!D28+TONTFEV22!D28+TONTMARS22!D28+TONTAVRIL22!D28+TONTMAI22!D28+TONTJUIN22!D28+TONTJUIL22!D28+TONTAOUT22!D28+TONTSEPT22!D28+TONTOCT22!D28+TONTNOV22!D28+TONTDEC22!D28</f>
        <v>276000</v>
      </c>
      <c r="E28" s="7">
        <f>TONTJANV22!E28+TONTFEV22!E28+TONTMARS22!E28+TONTAVRIL22!E28+TONTMAI22!E28+TONTJUIN22!E28+TONTJUIL22!E28+TONTAOUT22!E28+TONTSEPT22!E28+TONTOCT22!E28+TONTNOV22!E28+TONTDEC22!E28</f>
        <v>497000</v>
      </c>
      <c r="F28" s="7">
        <f>TONTJANV22!F28+TONTFEV22!F28+TONTMARS22!F28+TONTAVRIL22!F28+TONTMAI22!F28+TONTJUIN22!F28+TONTJUIL22!F28+TONTAOUT22!F28+TONTSEPT22!F28+TONTOCT22!F28+TONTNOV22!F28+TONTDEC22!F28</f>
        <v>0</v>
      </c>
      <c r="G28" s="7"/>
      <c r="H28" s="7">
        <f>TONTJANV22!H28+TONTFEV22!H28+TONTMARS22!H28+TONTAVRIL22!H28+TONTMAI22!H28+TONTJUIN22!H28+TONTJUIL22!H28+TONTAOUT22!H28+TONTSEPT22!H28+TONTOCT22!H28+TONTNOV22!H28+TONTDEC22!H28</f>
        <v>20000</v>
      </c>
      <c r="I28" s="7">
        <f>TONTJANV22!I28+TONTFEV22!I28+TONTMARS22!I28+TONTAVRIL22!I28+TONTMAI22!I28+TONTJUIN22!I28+TONTJUIL22!I28+TONTAOUT22!I28+TONTSEPT22!I28+TONTOCT22!I28+TONTNOV22!I28+TONTDEC22!I28</f>
        <v>500</v>
      </c>
      <c r="J28" s="7"/>
      <c r="K28" s="7"/>
      <c r="L28"/>
      <c r="M28" s="7">
        <f>TONTJANV22!M28+TONTFEV22!M28+TONTMARS22!M28+TONTAVRIL22!M28+TONTMAI22!M28+TONTJUIN22!M28+TONTJUIL22!M28+TONTAOUT22!M28+TONTSEPT22!M28+TONTOCT22!M28+TONTNOV22!M28+TONTDEC22!M28</f>
        <v>20500</v>
      </c>
      <c r="N28" s="7"/>
      <c r="O28" s="7"/>
      <c r="P28" s="7"/>
      <c r="Q28" s="7">
        <f>TONTJANV22!Q28+TONTFEV22!Q28+TONTMARS22!Q28+TONTAVRIL22!Q28+TONTMAI22!Q28+TONTJUIN22!Q28+TONTJUIL22!Q28+TONTAOUT22!Q28+TONTSEPT22!Q28+TONTOCT22!Q28+TONTNOV22!Q28+TONTDEC22!Q28</f>
        <v>273000</v>
      </c>
      <c r="R28" s="7">
        <f>TONTJANV22!R28+TONTFEV22!R28+TONTMARS22!R28+TONTAVRIL22!R28+TONTMAI22!R28+TONTJUIN22!R28+TONTJUIL22!R28+TONTAOUT22!R28+TONTSEPT22!R28+TONTOCT22!R28+TONTNOV22!R28+TONTDEC22!R28</f>
        <v>27000</v>
      </c>
      <c r="S28" s="7">
        <f>TONTJANV22!S28+TONTMARS22!S28+TONTAVRIL22!S28+TONTMAI22!S28+TONTJUIN22!S28+TONTJUIL22!S28+TONTAOUT22!S28+TONTSEPT22!S28+TONTOCT22!S28+TONTNOV22!S28+TONTDEC22!S28</f>
        <v>4000</v>
      </c>
      <c r="T28" s="20">
        <v>44652</v>
      </c>
    </row>
    <row r="29" spans="1:20" ht="18.75" x14ac:dyDescent="0.3">
      <c r="A29" s="1" t="s">
        <v>31</v>
      </c>
      <c r="B29" s="7">
        <f>TONTJANV22!B29+TONTFEV22!B29+TONTMARS22!B29+TONTAVRIL22!B29+TONTMAI22!B29+TONTJUIN22!B29+TONTJUIL22!B29+TONTAOUT22!B29+TONTSEPT22!B29+TONTOCT22!B29+TONTNOV22!B29+TONTDEC22!B29</f>
        <v>12</v>
      </c>
      <c r="C29" s="1" t="str">
        <f>VLOOKUP(A29,[9]LISTADHERENT!A$5:H$60,3,0)</f>
        <v>TCHOUAMOU MATHIEU</v>
      </c>
      <c r="D29" s="7">
        <f>TONTJANV22!D29+TONTFEV22!D29+TONTMARS22!D29+TONTAVRIL22!D29+TONTMAI22!D29+TONTJUIN22!D29+TONTJUIL22!D29+TONTAOUT22!D29+TONTSEPT22!D29+TONTOCT22!D29+TONTNOV22!D29+TONTDEC22!D29</f>
        <v>276000</v>
      </c>
      <c r="E29" s="7">
        <f>TONTJANV22!E29+TONTFEV22!E29+TONTMARS22!E29+TONTAVRIL22!E29+TONTMAI22!E29+TONTJUIN22!E29+TONTJUIL22!E29+TONTAOUT22!E29+TONTSEPT22!E29+TONTOCT22!E29+TONTNOV22!E29+TONTDEC22!E29</f>
        <v>360000</v>
      </c>
      <c r="F29" s="7">
        <f>TONTJANV22!F29+TONTFEV22!F29+TONTMARS22!F29+TONTAVRIL22!F29+TONTMAI22!F29+TONTJUIN22!F29+TONTJUIL22!F29+TONTAOUT22!F29+TONTSEPT22!F29+TONTOCT22!F29+TONTNOV22!F29+TONTDEC22!F29</f>
        <v>0</v>
      </c>
      <c r="G29" s="7"/>
      <c r="H29" s="7">
        <f>TONTJANV22!H29+TONTFEV22!H29+TONTMARS22!H29+TONTAVRIL22!H29+TONTMAI22!H29+TONTJUIN22!H29+TONTJUIL22!H29+TONTAOUT22!H29+TONTSEPT22!H29+TONTOCT22!H29+TONTNOV22!H29+TONTDEC22!H29</f>
        <v>31500</v>
      </c>
      <c r="I29" s="7">
        <f>TONTJANV22!I29+TONTFEV22!I29+TONTMARS22!I29+TONTAVRIL22!I29+TONTMAI22!I29+TONTJUIN22!I29+TONTJUIL22!I29+TONTAOUT22!I29+TONTSEPT22!I29+TONTOCT22!I29+TONTNOV22!I29+TONTDEC22!I29</f>
        <v>500</v>
      </c>
      <c r="J29" s="7"/>
      <c r="K29" s="7"/>
      <c r="L29"/>
      <c r="M29" s="7">
        <f>TONTJANV22!M29+TONTFEV22!M29+TONTMARS22!M29+TONTAVRIL22!M29+TONTMAI22!M29+TONTJUIN22!M29+TONTJUIL22!M29+TONTAOUT22!M29+TONTSEPT22!M29+TONTOCT22!M29+TONTNOV22!M29+TONTDEC22!M29</f>
        <v>32000</v>
      </c>
      <c r="N29" s="7"/>
      <c r="O29" s="7"/>
      <c r="P29" s="7"/>
      <c r="Q29" s="7">
        <f>TONTJANV22!Q29+TONTFEV22!Q29+TONTMARS22!Q29+TONTAVRIL22!Q29+TONTMAI22!Q29+TONTJUIN22!Q29+TONTJUIL22!Q29+TONTAOUT22!Q29+TONTSEPT22!Q29+TONTOCT22!Q29+TONTNOV22!Q29+TONTDEC22!Q29</f>
        <v>276000</v>
      </c>
      <c r="R29" s="7">
        <f>TONTJANV22!R29+TONTFEV22!R29+TONTMARS22!R29+TONTAVRIL22!R29+TONTMAI22!R29+TONTJUIN22!R29+TONTJUIL22!R29+TONTAOUT22!R29+TONTSEPT22!R29+TONTOCT22!R29+TONTNOV22!R29+TONTDEC22!R29</f>
        <v>24000</v>
      </c>
      <c r="S29" s="7">
        <f>TONTJANV22!S29+TONTMARS22!S29+TONTAVRIL22!S29+TONTMAI22!S29+TONTJUIN22!S29+TONTJUIL22!S29+TONTAOUT22!S29+TONTSEPT22!S29+TONTOCT22!S29+TONTNOV22!S29+TONTDEC22!S29</f>
        <v>1000</v>
      </c>
      <c r="T29" s="20">
        <v>44652</v>
      </c>
    </row>
    <row r="30" spans="1:20" ht="18.75" x14ac:dyDescent="0.3">
      <c r="A30" s="1" t="s">
        <v>32</v>
      </c>
      <c r="B30" s="7">
        <f>TONTJANV22!B30+TONTFEV22!B30+TONTMARS22!B30+TONTAVRIL22!B30+TONTMAI22!B30+TONTJUIN22!B30+TONTJUIL22!B30+TONTAOUT22!B30+TONTSEPT22!B30+TONTOCT22!B30+TONTNOV22!B30+TONTDEC22!B30</f>
        <v>12</v>
      </c>
      <c r="C30" s="1" t="str">
        <f>VLOOKUP(A30,[9]LISTADHERENT!A$5:H$60,3,0)</f>
        <v>YEPMOU JEAN JACQUES</v>
      </c>
      <c r="D30" s="7">
        <f>TONTJANV22!D30+TONTFEV22!D30+TONTMARS22!D30+TONTAVRIL22!D30+TONTMAI22!D30+TONTJUIN22!D30+TONTJUIL22!D30+TONTAOUT22!D30+TONTSEPT22!D30+TONTOCT22!D30+TONTNOV22!D30+TONTDEC22!D30</f>
        <v>276000</v>
      </c>
      <c r="E30" s="7">
        <f>TONTJANV22!E30+TONTFEV22!E30+TONTMARS22!E30+TONTAVRIL22!E30+TONTMAI22!E30+TONTJUIN22!E30+TONTJUIL22!E30+TONTAOUT22!E30+TONTSEPT22!E30+TONTOCT22!E30+TONTNOV22!E30+TONTDEC22!E30</f>
        <v>375000</v>
      </c>
      <c r="F30" s="7">
        <f>TONTJANV22!F30+TONTFEV22!F30+TONTMARS22!F30+TONTAVRIL22!F30+TONTMAI22!F30+TONTJUIN22!F30+TONTJUIL22!F30+TONTAOUT22!F30+TONTSEPT22!F30+TONTOCT22!F30+TONTNOV22!F30+TONTDEC22!F30</f>
        <v>15000</v>
      </c>
      <c r="G30" s="7"/>
      <c r="H30" s="7">
        <f>TONTJANV22!H30+TONTFEV22!H30+TONTMARS22!H30+TONTAVRIL22!H30+TONTMAI22!H30+TONTJUIN22!H30+TONTJUIL22!H30+TONTAOUT22!H30+TONTSEPT22!H30+TONTOCT22!H30+TONTNOV22!H30+TONTDEC22!H30</f>
        <v>0</v>
      </c>
      <c r="I30" s="7">
        <f>TONTJANV22!I30+TONTFEV22!I30+TONTMARS22!I30+TONTAVRIL22!I30+TONTMAI22!I30+TONTJUIN22!I30+TONTJUIL22!I30+TONTAOUT22!I30+TONTSEPT22!I30+TONTOCT22!I30+TONTNOV22!I30+TONTDEC22!I30</f>
        <v>0</v>
      </c>
      <c r="J30" s="7"/>
      <c r="K30" s="7"/>
      <c r="L30"/>
      <c r="M30" s="7">
        <f>TONTJANV22!M30+TONTFEV22!M30+TONTMARS22!M30+TONTAVRIL22!M30+TONTMAI22!M30+TONTJUIN22!M30+TONTJUIL22!M30+TONTAOUT22!M30+TONTSEPT22!M30+TONTOCT22!M30+TONTNOV22!M30+TONTDEC22!M30</f>
        <v>0</v>
      </c>
      <c r="N30" s="7"/>
      <c r="O30" s="7"/>
      <c r="P30" s="7"/>
      <c r="Q30" s="7">
        <f>TONTJANV22!Q30+TONTFEV22!Q30+TONTMARS22!Q30+TONTAVRIL22!Q30+TONTMAI22!Q30+TONTJUIN22!Q30+TONTJUIL22!Q30+TONTAOUT22!Q30+TONTSEPT22!Q30+TONTOCT22!Q30+TONTNOV22!Q30+TONTDEC22!Q30</f>
        <v>277000</v>
      </c>
      <c r="R30" s="7">
        <f>TONTJANV22!R30+TONTFEV22!R30+TONTMARS22!R30+TONTAVRIL22!R30+TONTMAI22!R30+TONTJUIN22!R30+TONTJUIL22!R30+TONTAOUT22!R30+TONTSEPT22!R30+TONTOCT22!R30+TONTNOV22!R30+TONTDEC22!R30</f>
        <v>23000</v>
      </c>
      <c r="S30" s="7">
        <f>TONTJANV22!S30+TONTMARS22!S30+TONTAVRIL22!S30+TONTMAI22!S30+TONTJUIN22!S30+TONTJUIL22!S30+TONTAOUT22!S30+TONTSEPT22!S30+TONTOCT22!S30+TONTNOV22!S30+TONTDEC22!S30</f>
        <v>0</v>
      </c>
      <c r="T30" s="20">
        <v>44774</v>
      </c>
    </row>
    <row r="31" spans="1:20" ht="18.75" x14ac:dyDescent="0.3">
      <c r="A31" s="1" t="s">
        <v>33</v>
      </c>
      <c r="B31" s="7">
        <f>TONTJANV22!B31+TONTFEV22!B31+TONTMARS22!B31+TONTAVRIL22!B31+TONTMAI22!B31+TONTJUIN22!B31+TONTJUIL22!B31+TONTAOUT22!B31+TONTSEPT22!B31+TONTOCT22!B31+TONTNOV22!B31+TONTDEC22!B31</f>
        <v>12</v>
      </c>
      <c r="C31" s="1" t="str">
        <f>VLOOKUP(A31,[9]LISTADHERENT!A$5:H$60,3,0)</f>
        <v>YOUMBI EMMANUEL</v>
      </c>
      <c r="D31" s="7">
        <f>TONTJANV22!D31+TONTFEV22!D31+TONTMARS22!D31+TONTAVRIL22!D31+TONTMAI22!D31+TONTJUIN22!D31+TONTJUIL22!D31+TONTAOUT22!D31+TONTSEPT22!D31+TONTOCT22!D31+TONTNOV22!D31+TONTDEC22!D31</f>
        <v>276000</v>
      </c>
      <c r="E31" s="7">
        <f>TONTJANV22!E31+TONTFEV22!E31+TONTMARS22!E31+TONTAVRIL22!E31+TONTMAI22!E31+TONTJUIN22!E31+TONTJUIL22!E31+TONTAOUT22!E31+TONTSEPT22!E31+TONTOCT22!E31+TONTNOV22!E31+TONTDEC22!E31</f>
        <v>363000</v>
      </c>
      <c r="F31" s="7">
        <f>TONTJANV22!F31+TONTFEV22!F31+TONTMARS22!F31+TONTAVRIL22!F31+TONTMAI22!F31+TONTJUIN22!F31+TONTJUIL22!F31+TONTAOUT22!F31+TONTSEPT22!F31+TONTOCT22!F31+TONTNOV22!F31+TONTDEC22!F31</f>
        <v>3000</v>
      </c>
      <c r="G31" s="7"/>
      <c r="H31" s="7">
        <f>TONTJANV22!H31+TONTFEV22!H31+TONTMARS22!H31+TONTAVRIL22!H31+TONTMAI22!H31+TONTJUIN22!H31+TONTJUIL22!H31+TONTAOUT22!H31+TONTSEPT22!H31+TONTOCT22!H31+TONTNOV22!H31+TONTDEC22!H31</f>
        <v>0</v>
      </c>
      <c r="I31" s="7">
        <f>TONTJANV22!I31+TONTFEV22!I31+TONTMARS22!I31+TONTAVRIL22!I31+TONTMAI22!I31+TONTJUIN22!I31+TONTJUIL22!I31+TONTAOUT22!I31+TONTSEPT22!I31+TONTOCT22!I31+TONTNOV22!I31+TONTDEC22!I31</f>
        <v>0</v>
      </c>
      <c r="J31" s="7"/>
      <c r="K31" s="7"/>
      <c r="L31"/>
      <c r="M31" s="7">
        <f>TONTJANV22!M31+TONTFEV22!M31+TONTMARS22!M31+TONTAVRIL22!M31+TONTMAI22!M31+TONTJUIN22!M31+TONTJUIL22!M31+TONTAOUT22!M31+TONTSEPT22!M31+TONTOCT22!M31+TONTNOV22!M31+TONTDEC22!M31</f>
        <v>0</v>
      </c>
      <c r="N31" s="7"/>
      <c r="O31" s="7"/>
      <c r="P31" s="7"/>
      <c r="Q31" s="7">
        <f>TONTJANV22!Q31+TONTFEV22!Q31+TONTMARS22!Q31+TONTAVRIL22!Q31+TONTMAI22!Q31+TONTJUIN22!Q31+TONTJUIL22!Q31+TONTAOUT22!Q31+TONTSEPT22!Q31+TONTOCT22!Q31+TONTNOV22!Q31+TONTDEC22!Q31</f>
        <v>276000</v>
      </c>
      <c r="R31" s="7">
        <f>TONTJANV22!R31+TONTFEV22!R31+TONTMARS22!R31+TONTAVRIL22!R31+TONTMAI22!R31+TONTJUIN22!R31+TONTJUIL22!R31+TONTAOUT22!R31+TONTSEPT22!R31+TONTOCT22!R31+TONTNOV22!R31+TONTDEC22!R31</f>
        <v>24000</v>
      </c>
      <c r="S31" s="7">
        <f>TONTJANV22!S31+TONTMARS22!S31+TONTAVRIL22!S31+TONTMAI22!S31+TONTJUIN22!S31+TONTJUIL22!S31+TONTAOUT22!S31+TONTSEPT22!S31+TONTOCT22!S31+TONTNOV22!S31+TONTDEC22!S31</f>
        <v>1000</v>
      </c>
      <c r="T31" s="20">
        <v>44866</v>
      </c>
    </row>
    <row r="32" spans="1:20" x14ac:dyDescent="0.25">
      <c r="A32" s="1"/>
    </row>
    <row r="33" spans="1:19" ht="18" x14ac:dyDescent="0.25">
      <c r="A33" s="1" t="s">
        <v>94</v>
      </c>
      <c r="B33" s="8">
        <f>SUM(B6:B32)</f>
        <v>312</v>
      </c>
      <c r="I33" s="9"/>
    </row>
    <row r="34" spans="1:19" ht="18" x14ac:dyDescent="0.25">
      <c r="A34" s="1" t="s">
        <v>93</v>
      </c>
      <c r="B34" s="19">
        <f>COUNT(D6:D31)</f>
        <v>26</v>
      </c>
      <c r="C34" s="8"/>
      <c r="D34" s="8">
        <f>SUM(D6:D33)</f>
        <v>7176000</v>
      </c>
      <c r="E34" s="8">
        <f>SUM(E6:E33)</f>
        <v>11243500</v>
      </c>
      <c r="F34" s="8">
        <f>SUM(F6:F33)</f>
        <v>96000</v>
      </c>
      <c r="G34" s="8"/>
      <c r="H34" s="8">
        <f t="shared" ref="H34:S34" si="0">SUM(H6:H33)</f>
        <v>668000</v>
      </c>
      <c r="I34" s="8">
        <f t="shared" si="0"/>
        <v>15500</v>
      </c>
      <c r="J34" s="8">
        <f t="shared" si="0"/>
        <v>0</v>
      </c>
      <c r="K34" s="8">
        <f t="shared" si="0"/>
        <v>0</v>
      </c>
      <c r="L34" s="8">
        <f t="shared" si="0"/>
        <v>0</v>
      </c>
      <c r="M34" s="8">
        <f t="shared" si="0"/>
        <v>683500</v>
      </c>
      <c r="N34" s="8">
        <f t="shared" si="0"/>
        <v>0</v>
      </c>
      <c r="O34" s="8">
        <f t="shared" si="0"/>
        <v>0</v>
      </c>
      <c r="P34" s="8">
        <f t="shared" si="0"/>
        <v>0</v>
      </c>
      <c r="Q34" s="8">
        <f t="shared" si="0"/>
        <v>7106000</v>
      </c>
      <c r="R34" s="8">
        <f t="shared" si="0"/>
        <v>694000</v>
      </c>
      <c r="S34" s="8">
        <f t="shared" si="0"/>
        <v>69000</v>
      </c>
    </row>
    <row r="35" spans="1:19" s="2" customFormat="1" ht="29.25" x14ac:dyDescent="0.25">
      <c r="B35"/>
      <c r="C35"/>
      <c r="D35"/>
      <c r="E35"/>
      <c r="F35"/>
      <c r="G35"/>
      <c r="H35"/>
      <c r="I35" s="9"/>
      <c r="J35" s="3"/>
      <c r="K35" s="3"/>
      <c r="L35" s="3"/>
      <c r="N35" s="4" t="s">
        <v>80</v>
      </c>
      <c r="O35" s="4" t="s">
        <v>95</v>
      </c>
      <c r="P35" s="3"/>
    </row>
    <row r="36" spans="1:19" s="2" customFormat="1" ht="29.25" x14ac:dyDescent="0.25">
      <c r="D36" s="4" t="s">
        <v>5</v>
      </c>
      <c r="E36" s="4" t="s">
        <v>7</v>
      </c>
      <c r="F36"/>
      <c r="G36" s="4" t="s">
        <v>40</v>
      </c>
      <c r="H36" s="4" t="s">
        <v>44</v>
      </c>
      <c r="I36" s="4" t="s">
        <v>46</v>
      </c>
      <c r="J36" s="4" t="s">
        <v>47</v>
      </c>
      <c r="K36" s="4"/>
      <c r="L36" s="8" t="s">
        <v>53</v>
      </c>
      <c r="M36" s="8">
        <f>D40+G40+R34</f>
        <v>694000</v>
      </c>
      <c r="N36" s="4"/>
      <c r="O36"/>
      <c r="P36" s="4"/>
    </row>
    <row r="37" spans="1:19" s="2" customFormat="1" ht="18" x14ac:dyDescent="0.25">
      <c r="D37" s="8">
        <f>SUMIFS(D6:D33,G6:G33,"ESPECES")</f>
        <v>0</v>
      </c>
      <c r="E37" s="8">
        <f>SUMIFS(E6:E33,G6:G33,"ESPECES")</f>
        <v>0</v>
      </c>
      <c r="F37" s="8" t="s">
        <v>36</v>
      </c>
      <c r="G37" s="8">
        <f>SUMIFS(M6:M27,N6:N27,"ESPECES")</f>
        <v>0</v>
      </c>
      <c r="H37" s="8">
        <f>SUMIFS(H6:H33,J6:J33,"ESPECES")</f>
        <v>0</v>
      </c>
      <c r="I37" s="8">
        <f>SUMIFS(Q6:Q33,O6:O33,"ESPECES")</f>
        <v>0</v>
      </c>
      <c r="J37" s="8">
        <f>D37+G37-H37-I37</f>
        <v>0</v>
      </c>
      <c r="K37" s="8"/>
      <c r="L37" s="8" t="s">
        <v>84</v>
      </c>
      <c r="M37" s="8">
        <f>C3*COUNTIF(Q6:Q33,"&gt;0")</f>
        <v>7800000</v>
      </c>
      <c r="N37" s="8">
        <f>D3</f>
        <v>2</v>
      </c>
      <c r="O37" s="8">
        <f>COUNTIF(Q6:Q31,"&gt;0")</f>
        <v>26</v>
      </c>
      <c r="P37" s="8"/>
    </row>
    <row r="38" spans="1:19" s="2" customFormat="1" ht="18" x14ac:dyDescent="0.25">
      <c r="D38" s="8">
        <f>SUMIFS(D6:D33,G6:G33,"BANQUE")</f>
        <v>0</v>
      </c>
      <c r="E38" s="8">
        <f>SUMIFS(E6:E34,G6:G34,"BANQUE")</f>
        <v>0</v>
      </c>
      <c r="F38" s="8" t="s">
        <v>37</v>
      </c>
      <c r="G38" s="8">
        <f>SUMIFS(M6:M27,N6:N27,"BANQUE")</f>
        <v>0</v>
      </c>
      <c r="H38" s="8">
        <f>SUMIFS(H6:H33,J6:J33,"BANQUE")</f>
        <v>0</v>
      </c>
      <c r="I38" s="8">
        <f>SUMIFS(Q6:Q33,O6:O33,"BANQUE")</f>
        <v>0</v>
      </c>
      <c r="J38" s="8">
        <f>D38+G38-H38-I38</f>
        <v>0</v>
      </c>
      <c r="K38" s="8"/>
      <c r="M38" s="8"/>
      <c r="N38" s="8"/>
      <c r="O38" s="8"/>
      <c r="P38" s="8"/>
      <c r="Q38" s="2" t="s">
        <v>73</v>
      </c>
      <c r="R38" s="2">
        <f>598000*1+TONTNOV22!M39</f>
        <v>638000</v>
      </c>
    </row>
    <row r="39" spans="1:19" s="2" customFormat="1" ht="18" x14ac:dyDescent="0.25">
      <c r="D39" s="8"/>
      <c r="E39" s="8"/>
      <c r="F39" s="8"/>
      <c r="G39" s="8"/>
      <c r="H39" s="8"/>
      <c r="I39" s="8"/>
      <c r="K39" s="8"/>
      <c r="L39" s="8" t="s">
        <v>52</v>
      </c>
      <c r="M39" s="8">
        <f>M36-M37</f>
        <v>-7106000</v>
      </c>
      <c r="N39" s="8"/>
      <c r="O39" s="8"/>
      <c r="P39" s="8"/>
      <c r="Q39" s="2" t="s">
        <v>99</v>
      </c>
      <c r="R39" s="2">
        <f>273000*2</f>
        <v>546000</v>
      </c>
    </row>
    <row r="40" spans="1:19" s="2" customFormat="1" ht="18" x14ac:dyDescent="0.25">
      <c r="D40" s="8">
        <f>D37+D38</f>
        <v>0</v>
      </c>
      <c r="E40" s="8">
        <f>E37+E38</f>
        <v>0</v>
      </c>
      <c r="F40" s="8" t="s">
        <v>34</v>
      </c>
      <c r="G40" s="8">
        <f>G37+G38</f>
        <v>0</v>
      </c>
      <c r="H40" s="8">
        <f>H37+H38</f>
        <v>0</v>
      </c>
      <c r="I40" s="8">
        <f t="shared" ref="I40:J40" si="1">I37+I38</f>
        <v>0</v>
      </c>
      <c r="J40" s="8">
        <f t="shared" si="1"/>
        <v>0</v>
      </c>
      <c r="K40" s="8"/>
      <c r="M40" s="8"/>
      <c r="N40" s="8"/>
      <c r="O40" s="8"/>
      <c r="P40" s="8"/>
    </row>
    <row r="41" spans="1:19" s="2" customFormat="1" ht="18" x14ac:dyDescent="0.25">
      <c r="D41" s="8"/>
      <c r="E41" s="8"/>
      <c r="F41" s="8" t="s">
        <v>56</v>
      </c>
      <c r="G41"/>
      <c r="H41"/>
      <c r="I41" s="3"/>
      <c r="J41" s="3"/>
      <c r="K41" s="3"/>
      <c r="L41" s="8" t="s">
        <v>55</v>
      </c>
      <c r="M41" s="8">
        <f>M39-H34</f>
        <v>-7774000</v>
      </c>
      <c r="N41"/>
      <c r="O41" s="8">
        <f>M41</f>
        <v>-7774000</v>
      </c>
      <c r="P41" s="8" t="s">
        <v>58</v>
      </c>
      <c r="R41" s="2">
        <f>R38-R39</f>
        <v>92000</v>
      </c>
    </row>
    <row r="42" spans="1:19" s="2" customFormat="1" ht="18" x14ac:dyDescent="0.25">
      <c r="D42" s="4"/>
      <c r="E42" s="4"/>
      <c r="F42" s="8"/>
      <c r="G42"/>
      <c r="H42"/>
      <c r="I42" s="3"/>
      <c r="J42" s="3"/>
      <c r="K42" s="3"/>
      <c r="N42"/>
      <c r="O42" s="3"/>
      <c r="P42" s="3"/>
    </row>
    <row r="43" spans="1:19" ht="18" x14ac:dyDescent="0.25">
      <c r="L43" s="8" t="s">
        <v>60</v>
      </c>
      <c r="M43" s="8">
        <f>B33*B3-D40</f>
        <v>7176000</v>
      </c>
      <c r="O43" s="8"/>
      <c r="P43" s="8" t="s">
        <v>58</v>
      </c>
    </row>
    <row r="44" spans="1:19" ht="18" x14ac:dyDescent="0.25">
      <c r="F44" s="2"/>
      <c r="L44" s="8" t="s">
        <v>59</v>
      </c>
      <c r="M44" s="8">
        <f>L34-G40</f>
        <v>0</v>
      </c>
      <c r="O44" s="8"/>
      <c r="P44" s="8" t="s">
        <v>58</v>
      </c>
    </row>
  </sheetData>
  <autoFilter ref="A5:R31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7"/>
  <sheetViews>
    <sheetView zoomScale="106" zoomScaleNormal="106" zoomScaleSheetLayoutView="130" workbookViewId="0">
      <pane xSplit="3" ySplit="5" topLeftCell="O15" activePane="bottomRight" state="frozen"/>
      <selection activeCell="G6" sqref="G6:G39"/>
      <selection pane="topRight" activeCell="G6" sqref="G6:G39"/>
      <selection pane="bottomLeft" activeCell="G6" sqref="G6:G39"/>
      <selection pane="bottomRight" activeCell="T46" sqref="T46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5" width="21" customWidth="1"/>
    <col min="6" max="6" width="21.42578125" customWidth="1"/>
    <col min="7" max="7" width="16.7109375" customWidth="1"/>
    <col min="8" max="8" width="15" customWidth="1"/>
    <col min="9" max="10" width="17.5703125" style="3" customWidth="1"/>
    <col min="11" max="11" width="16" style="3" customWidth="1"/>
    <col min="12" max="12" width="19.85546875" style="3" customWidth="1"/>
    <col min="13" max="13" width="15.7109375" style="2" customWidth="1"/>
    <col min="14" max="15" width="13" customWidth="1"/>
    <col min="16" max="16" width="15.5703125" style="3" customWidth="1"/>
    <col min="17" max="18" width="18.140625" style="2" customWidth="1"/>
    <col min="23" max="23" width="12.42578125" bestFit="1" customWidth="1"/>
  </cols>
  <sheetData>
    <row r="1" spans="1:22" x14ac:dyDescent="0.25">
      <c r="A1" s="1" t="s">
        <v>0</v>
      </c>
      <c r="B1" s="1" t="s">
        <v>1</v>
      </c>
      <c r="D1" s="1"/>
      <c r="E1" s="1"/>
      <c r="F1" s="1"/>
      <c r="G1" s="1"/>
      <c r="N1" s="1"/>
      <c r="O1" s="1"/>
    </row>
    <row r="2" spans="1:22" x14ac:dyDescent="0.25">
      <c r="A2" s="1" t="s">
        <v>2</v>
      </c>
      <c r="B2" s="1">
        <v>2021</v>
      </c>
      <c r="C2" s="1" t="s">
        <v>85</v>
      </c>
      <c r="D2" s="1" t="s">
        <v>80</v>
      </c>
      <c r="E2" s="1"/>
      <c r="F2" s="1"/>
      <c r="G2" s="1"/>
      <c r="N2" s="1"/>
      <c r="O2" s="1"/>
    </row>
    <row r="3" spans="1:22" x14ac:dyDescent="0.25">
      <c r="A3" s="1" t="s">
        <v>86</v>
      </c>
      <c r="B3" s="6">
        <v>23000</v>
      </c>
      <c r="C3" s="6"/>
      <c r="D3" s="1"/>
      <c r="E3" s="1"/>
      <c r="F3" s="1"/>
      <c r="G3" s="1"/>
      <c r="N3" s="1"/>
      <c r="O3" s="1"/>
    </row>
    <row r="4" spans="1:22" ht="18" x14ac:dyDescent="0.25">
      <c r="C4" s="10"/>
      <c r="D4" s="30"/>
      <c r="E4" s="30"/>
      <c r="F4" s="30"/>
      <c r="G4" s="30"/>
      <c r="H4" s="30"/>
      <c r="I4" s="30"/>
      <c r="J4" s="14"/>
      <c r="K4" s="14"/>
      <c r="L4" s="14"/>
      <c r="M4" s="14"/>
      <c r="N4" s="14"/>
      <c r="P4" s="14"/>
      <c r="Q4"/>
      <c r="R4"/>
    </row>
    <row r="5" spans="1:22" ht="58.5" x14ac:dyDescent="0.3">
      <c r="A5" s="1" t="s">
        <v>3</v>
      </c>
      <c r="B5" s="13" t="s">
        <v>81</v>
      </c>
      <c r="C5" s="1" t="s">
        <v>4</v>
      </c>
      <c r="D5" s="4" t="s">
        <v>5</v>
      </c>
      <c r="E5" s="4" t="s">
        <v>7</v>
      </c>
      <c r="F5" s="1" t="s">
        <v>48</v>
      </c>
      <c r="G5" s="5" t="s">
        <v>6</v>
      </c>
      <c r="H5" s="6" t="s">
        <v>44</v>
      </c>
      <c r="I5" s="4" t="s">
        <v>41</v>
      </c>
      <c r="J5" s="4" t="s">
        <v>45</v>
      </c>
      <c r="K5" s="11" t="s">
        <v>54</v>
      </c>
      <c r="L5" s="4" t="s">
        <v>82</v>
      </c>
      <c r="M5" s="4" t="s">
        <v>40</v>
      </c>
      <c r="N5" s="4" t="s">
        <v>39</v>
      </c>
      <c r="O5" s="4" t="s">
        <v>42</v>
      </c>
      <c r="P5" s="4" t="s">
        <v>54</v>
      </c>
      <c r="Q5" s="4" t="s">
        <v>83</v>
      </c>
      <c r="R5" s="4" t="s">
        <v>43</v>
      </c>
      <c r="S5" s="4" t="s">
        <v>87</v>
      </c>
    </row>
    <row r="6" spans="1:22" x14ac:dyDescent="0.25">
      <c r="A6" s="1" t="s">
        <v>9</v>
      </c>
      <c r="B6" s="7">
        <f>VLOOKUP($A6,[11]HISTOMARS21!$A$6:$AP$37,9,0)</f>
        <v>1</v>
      </c>
      <c r="C6" s="1" t="str">
        <f>VLOOKUP(A6,[9]LISTADHERENT!A$5:H$60,3,0)</f>
        <v>BOUTCHOUANG WILLIAM</v>
      </c>
      <c r="D6" s="7" t="e">
        <f>TONTJANV22!D6+#REF!+#REF!+#REF!+#REF!+#REF!+#REF!+#REF!+#REF!+#REF!+#REF!+#REF!</f>
        <v>#REF!</v>
      </c>
      <c r="E6" s="7" t="e">
        <f>TONTJANV22!E6+#REF!+#REF!+#REF!+#REF!+#REF!+#REF!+#REF!+#REF!+#REF!+#REF!+#REF!</f>
        <v>#REF!</v>
      </c>
      <c r="F6" s="7" t="e">
        <f>TONTJANV22!F6+#REF!+#REF!+#REF!+#REF!+#REF!+#REF!+#REF!+#REF!+#REF!+#REF!+#REF!</f>
        <v>#REF!</v>
      </c>
      <c r="G6" s="7"/>
      <c r="H6" s="7" t="e">
        <f>TONTJANV22!H6+#REF!+#REF!+#REF!+#REF!+#REF!+#REF!+#REF!+#REF!+#REF!+#REF!+#REF!</f>
        <v>#REF!</v>
      </c>
      <c r="I6" s="7" t="e">
        <f>TONTJANV22!I6+#REF!+#REF!+#REF!+#REF!+#REF!+#REF!+#REF!+#REF!+#REF!+#REF!+#REF!</f>
        <v>#REF!</v>
      </c>
      <c r="J6" s="7"/>
      <c r="K6" s="7"/>
      <c r="L6" s="7" t="e">
        <f>TONTJANV22!L6+#REF!+#REF!+#REF!+#REF!+#REF!+#REF!+#REF!+#REF!+#REF!+#REF!+#REF!</f>
        <v>#REF!</v>
      </c>
      <c r="M6" s="7" t="e">
        <f>TONTJANV22!M6+#REF!+#REF!+#REF!+#REF!+#REF!+#REF!+#REF!+#REF!+#REF!+#REF!+#REF!</f>
        <v>#REF!</v>
      </c>
      <c r="N6" s="7"/>
      <c r="O6" s="7"/>
      <c r="P6" s="7" t="e">
        <f>TONTJANV22!P6+#REF!+#REF!+#REF!+#REF!+#REF!+#REF!+#REF!+#REF!+#REF!+#REF!+#REF!</f>
        <v>#REF!</v>
      </c>
      <c r="Q6" s="7" t="e">
        <f>TONTJANV22!Q6+#REF!+#REF!+#REF!+#REF!+#REF!+#REF!+#REF!+#REF!+#REF!+#REF!+#REF!</f>
        <v>#REF!</v>
      </c>
      <c r="R6" s="7" t="e">
        <f>TONTJANV22!R6+#REF!+#REF!+#REF!+#REF!+#REF!+#REF!+#REF!+#REF!+#REF!+#REF!+#REF!</f>
        <v>#REF!</v>
      </c>
      <c r="S6" s="15">
        <v>44501</v>
      </c>
      <c r="T6" s="2" t="e">
        <f>R6-23000</f>
        <v>#REF!</v>
      </c>
      <c r="U6">
        <v>3500</v>
      </c>
      <c r="V6" t="s">
        <v>89</v>
      </c>
    </row>
    <row r="7" spans="1:22" x14ac:dyDescent="0.25">
      <c r="A7" s="1" t="s">
        <v>10</v>
      </c>
      <c r="B7" s="7">
        <f>VLOOKUP($A7,[11]HISTOMARS21!$A$6:$AP$37,9,0)</f>
        <v>1</v>
      </c>
      <c r="C7" s="1" t="str">
        <f>VLOOKUP(A7,[9]LISTADHERENT!A$5:H$60,3,0)</f>
        <v xml:space="preserve">DJOMO JEAN PAUL </v>
      </c>
      <c r="D7" s="7" t="e">
        <f>TONTJANV22!D7+#REF!+#REF!+#REF!+#REF!+#REF!+#REF!+#REF!+#REF!+#REF!+#REF!+#REF!</f>
        <v>#REF!</v>
      </c>
      <c r="E7" s="7" t="e">
        <f>TONTJANV22!E7+#REF!+#REF!+#REF!+#REF!+#REF!+#REF!+#REF!+#REF!+#REF!+#REF!+#REF!</f>
        <v>#REF!</v>
      </c>
      <c r="F7" s="7" t="e">
        <f>TONTJANV22!F7+#REF!+#REF!+#REF!+#REF!+#REF!+#REF!+#REF!+#REF!+#REF!+#REF!+#REF!</f>
        <v>#REF!</v>
      </c>
      <c r="G7" s="7"/>
      <c r="H7" s="7" t="e">
        <f>TONTJANV22!H7+#REF!+#REF!+#REF!+#REF!+#REF!+#REF!+#REF!+#REF!+#REF!+#REF!+#REF!</f>
        <v>#REF!</v>
      </c>
      <c r="I7" s="7" t="e">
        <f>TONTJANV22!I7+#REF!+#REF!+#REF!+#REF!+#REF!+#REF!+#REF!+#REF!+#REF!+#REF!+#REF!</f>
        <v>#REF!</v>
      </c>
      <c r="J7" s="7"/>
      <c r="K7" s="7"/>
      <c r="L7" s="7" t="e">
        <f>TONTJANV22!L7+#REF!+#REF!+#REF!+#REF!+#REF!+#REF!+#REF!+#REF!+#REF!+#REF!+#REF!</f>
        <v>#REF!</v>
      </c>
      <c r="M7" s="7" t="e">
        <f>TONTJANV22!M7+#REF!+#REF!+#REF!+#REF!+#REF!+#REF!+#REF!+#REF!+#REF!+#REF!+#REF!</f>
        <v>#REF!</v>
      </c>
      <c r="N7" s="7"/>
      <c r="O7" s="7"/>
      <c r="P7" s="7" t="e">
        <f>TONTJANV22!P7+#REF!+#REF!+#REF!+#REF!+#REF!+#REF!+#REF!+#REF!+#REF!+#REF!+#REF!</f>
        <v>#REF!</v>
      </c>
      <c r="Q7" s="7" t="e">
        <f>TONTJANV22!Q7+#REF!+#REF!+#REF!+#REF!+#REF!+#REF!+#REF!+#REF!+#REF!+#REF!+#REF!</f>
        <v>#REF!</v>
      </c>
      <c r="R7" s="7" t="e">
        <f>TONTJANV22!R7+#REF!+#REF!+#REF!+#REF!+#REF!+#REF!+#REF!+#REF!+#REF!+#REF!+#REF!</f>
        <v>#REF!</v>
      </c>
      <c r="S7" s="15">
        <v>44197</v>
      </c>
      <c r="T7" s="2" t="e">
        <f t="shared" ref="T7:T34" si="0">R7-23000</f>
        <v>#REF!</v>
      </c>
      <c r="U7">
        <v>3500</v>
      </c>
      <c r="V7" t="s">
        <v>90</v>
      </c>
    </row>
    <row r="8" spans="1:22" x14ac:dyDescent="0.25">
      <c r="A8" s="1" t="s">
        <v>57</v>
      </c>
      <c r="B8" s="7">
        <f>VLOOKUP($A8,[11]HISTOMARS21!$A$6:$AP$37,9,0)</f>
        <v>1</v>
      </c>
      <c r="C8" s="1" t="str">
        <f>VLOOKUP(A8,[9]LISTADHERENT!A$5:H$60,3,0)</f>
        <v>DJOMOU TCHANDA</v>
      </c>
      <c r="D8" s="7" t="e">
        <f>TONTJANV22!D8+#REF!+#REF!+#REF!+#REF!+#REF!+#REF!+#REF!+#REF!+#REF!+#REF!+#REF!</f>
        <v>#REF!</v>
      </c>
      <c r="E8" s="7" t="e">
        <f>TONTJANV22!E8+#REF!+#REF!+#REF!+#REF!+#REF!+#REF!+#REF!+#REF!+#REF!+#REF!+#REF!</f>
        <v>#REF!</v>
      </c>
      <c r="F8" s="7" t="e">
        <f>TONTJANV22!F8+#REF!+#REF!+#REF!+#REF!+#REF!+#REF!+#REF!+#REF!+#REF!+#REF!+#REF!</f>
        <v>#REF!</v>
      </c>
      <c r="G8" s="7"/>
      <c r="H8" s="7" t="e">
        <f>TONTJANV22!H8+#REF!+#REF!+#REF!+#REF!+#REF!+#REF!+#REF!+#REF!+#REF!+#REF!+#REF!</f>
        <v>#REF!</v>
      </c>
      <c r="I8" s="7" t="e">
        <f>TONTJANV22!I8+#REF!+#REF!+#REF!+#REF!+#REF!+#REF!+#REF!+#REF!+#REF!+#REF!+#REF!</f>
        <v>#REF!</v>
      </c>
      <c r="J8" s="7"/>
      <c r="K8" s="7"/>
      <c r="L8" s="7" t="e">
        <f>TONTJANV22!L8+#REF!+#REF!+#REF!+#REF!+#REF!+#REF!+#REF!+#REF!+#REF!+#REF!+#REF!</f>
        <v>#REF!</v>
      </c>
      <c r="M8" s="7" t="e">
        <f>TONTJANV22!M8+#REF!+#REF!+#REF!+#REF!+#REF!+#REF!+#REF!+#REF!+#REF!+#REF!+#REF!</f>
        <v>#REF!</v>
      </c>
      <c r="N8" s="7"/>
      <c r="O8" s="7"/>
      <c r="P8" s="7" t="e">
        <f>TONTJANV22!P8+#REF!+#REF!+#REF!+#REF!+#REF!+#REF!+#REF!+#REF!+#REF!+#REF!+#REF!</f>
        <v>#REF!</v>
      </c>
      <c r="Q8" s="7" t="e">
        <f>TONTJANV22!Q8+#REF!+#REF!+#REF!+#REF!+#REF!+#REF!+#REF!+#REF!+#REF!+#REF!+#REF!</f>
        <v>#REF!</v>
      </c>
      <c r="R8" s="7" t="e">
        <f>TONTJANV22!R8+#REF!+#REF!+#REF!+#REF!+#REF!+#REF!+#REF!+#REF!+#REF!+#REF!+#REF!</f>
        <v>#REF!</v>
      </c>
      <c r="T8" s="2">
        <v>0</v>
      </c>
      <c r="U8">
        <v>3500</v>
      </c>
    </row>
    <row r="9" spans="1:22" x14ac:dyDescent="0.25">
      <c r="A9" s="1" t="s">
        <v>11</v>
      </c>
      <c r="B9" s="7">
        <f>VLOOKUP($A9,[11]HISTOMARS21!$A$6:$AP$37,9,0)</f>
        <v>1</v>
      </c>
      <c r="C9" s="1" t="str">
        <f>VLOOKUP(A9,[9]LISTADHERENT!A$5:H$60,3,0)</f>
        <v>DJOUKWE NANGUEN GUY BLAISE</v>
      </c>
      <c r="D9" s="7" t="e">
        <f>TONTJANV22!D9+#REF!+#REF!+#REF!+#REF!+#REF!+#REF!+#REF!+#REF!+#REF!+#REF!+#REF!</f>
        <v>#REF!</v>
      </c>
      <c r="E9" s="7" t="e">
        <f>TONTJANV22!E9+#REF!+#REF!+#REF!+#REF!+#REF!+#REF!+#REF!+#REF!+#REF!+#REF!+#REF!</f>
        <v>#REF!</v>
      </c>
      <c r="F9" s="7" t="e">
        <f>TONTJANV22!F9+#REF!+#REF!+#REF!+#REF!+#REF!+#REF!+#REF!+#REF!+#REF!+#REF!+#REF!</f>
        <v>#REF!</v>
      </c>
      <c r="G9" s="7"/>
      <c r="H9" s="7" t="e">
        <f>TONTJANV22!H9+#REF!+#REF!+#REF!+#REF!+#REF!+#REF!+#REF!+#REF!+#REF!+#REF!+#REF!</f>
        <v>#REF!</v>
      </c>
      <c r="I9" s="7" t="e">
        <f>TONTJANV22!I9+#REF!+#REF!+#REF!+#REF!+#REF!+#REF!+#REF!+#REF!+#REF!+#REF!+#REF!</f>
        <v>#REF!</v>
      </c>
      <c r="J9" s="7"/>
      <c r="K9" s="7"/>
      <c r="L9" s="7" t="e">
        <f>TONTJANV22!L9+#REF!+#REF!+#REF!+#REF!+#REF!+#REF!+#REF!+#REF!+#REF!+#REF!+#REF!</f>
        <v>#REF!</v>
      </c>
      <c r="M9" s="7" t="e">
        <f>TONTJANV22!M9+#REF!+#REF!+#REF!+#REF!+#REF!+#REF!+#REF!+#REF!+#REF!+#REF!+#REF!</f>
        <v>#REF!</v>
      </c>
      <c r="N9" s="7"/>
      <c r="O9" s="7"/>
      <c r="P9" s="7" t="e">
        <f>TONTJANV22!P9+#REF!+#REF!+#REF!+#REF!+#REF!+#REF!+#REF!+#REF!+#REF!+#REF!+#REF!</f>
        <v>#REF!</v>
      </c>
      <c r="Q9" s="7" t="e">
        <f>TONTJANV22!Q9+#REF!+#REF!+#REF!+#REF!+#REF!+#REF!+#REF!+#REF!+#REF!+#REF!+#REF!</f>
        <v>#REF!</v>
      </c>
      <c r="R9" s="7" t="e">
        <f>TONTJANV22!R9+#REF!+#REF!+#REF!+#REF!+#REF!+#REF!+#REF!+#REF!+#REF!+#REF!+#REF!</f>
        <v>#REF!</v>
      </c>
      <c r="S9" s="15">
        <v>44409</v>
      </c>
      <c r="T9" s="2" t="e">
        <f t="shared" si="0"/>
        <v>#REF!</v>
      </c>
      <c r="U9">
        <v>3500</v>
      </c>
      <c r="V9" t="s">
        <v>90</v>
      </c>
    </row>
    <row r="10" spans="1:22" x14ac:dyDescent="0.25">
      <c r="A10" s="1" t="s">
        <v>12</v>
      </c>
      <c r="B10" s="7">
        <f>VLOOKUP($A10,[11]HISTOMARS21!$A$6:$AP$37,9,0)</f>
        <v>1</v>
      </c>
      <c r="C10" s="1" t="str">
        <f>VLOOKUP(A10,[9]LISTADHERENT!A$5:H$60,3,0)</f>
        <v>DJUOMBESSY ANTOINE</v>
      </c>
      <c r="D10" s="7" t="e">
        <f>TONTJANV22!D10+#REF!+#REF!+#REF!+#REF!+#REF!+#REF!+#REF!+#REF!+#REF!+#REF!+#REF!</f>
        <v>#REF!</v>
      </c>
      <c r="E10" s="7" t="e">
        <f>TONTJANV22!E10+#REF!+#REF!+#REF!+#REF!+#REF!+#REF!+#REF!+#REF!+#REF!+#REF!+#REF!</f>
        <v>#REF!</v>
      </c>
      <c r="F10" s="7" t="e">
        <f>TONTJANV22!F10+#REF!+#REF!+#REF!+#REF!+#REF!+#REF!+#REF!+#REF!+#REF!+#REF!+#REF!</f>
        <v>#REF!</v>
      </c>
      <c r="G10" s="7"/>
      <c r="H10" s="7" t="e">
        <f>TONTJANV22!H10+#REF!+#REF!+#REF!+#REF!+#REF!+#REF!+#REF!+#REF!+#REF!+#REF!+#REF!</f>
        <v>#REF!</v>
      </c>
      <c r="I10" s="7" t="e">
        <f>TONTJANV22!I10+#REF!+#REF!+#REF!+#REF!+#REF!+#REF!+#REF!+#REF!+#REF!+#REF!+#REF!</f>
        <v>#REF!</v>
      </c>
      <c r="J10" s="7"/>
      <c r="K10" s="7"/>
      <c r="L10" s="7" t="e">
        <f>TONTJANV22!L10+#REF!+#REF!+#REF!+#REF!+#REF!+#REF!+#REF!+#REF!+#REF!+#REF!+#REF!</f>
        <v>#REF!</v>
      </c>
      <c r="M10" s="7" t="e">
        <f>TONTJANV22!M10+#REF!+#REF!+#REF!+#REF!+#REF!+#REF!+#REF!+#REF!+#REF!+#REF!+#REF!</f>
        <v>#REF!</v>
      </c>
      <c r="N10" s="7"/>
      <c r="O10" s="7"/>
      <c r="P10" s="7" t="e">
        <f>TONTJANV22!P10+#REF!+#REF!+#REF!+#REF!+#REF!+#REF!+#REF!+#REF!+#REF!+#REF!+#REF!</f>
        <v>#REF!</v>
      </c>
      <c r="Q10" s="7" t="e">
        <f>TONTJANV22!Q10+#REF!+#REF!+#REF!+#REF!+#REF!+#REF!+#REF!+#REF!+#REF!+#REF!+#REF!</f>
        <v>#REF!</v>
      </c>
      <c r="R10" s="7" t="e">
        <f>TONTJANV22!R10+#REF!+#REF!+#REF!+#REF!+#REF!+#REF!+#REF!+#REF!+#REF!+#REF!+#REF!</f>
        <v>#REF!</v>
      </c>
      <c r="S10" s="15">
        <v>44378</v>
      </c>
      <c r="T10" s="2" t="e">
        <f t="shared" si="0"/>
        <v>#REF!</v>
      </c>
      <c r="U10">
        <v>3500</v>
      </c>
      <c r="V10" t="s">
        <v>90</v>
      </c>
    </row>
    <row r="11" spans="1:22" x14ac:dyDescent="0.25">
      <c r="A11" s="1" t="s">
        <v>50</v>
      </c>
      <c r="B11" s="7">
        <f>VLOOKUP($A11,[11]HISTOMARS21!$A$6:$AP$37,9,0)</f>
        <v>1</v>
      </c>
      <c r="C11" s="1" t="str">
        <f>VLOOKUP(A11,[9]LISTADHERENT!A$5:H$60,3,0)</f>
        <v>DOMOU FABIEN</v>
      </c>
      <c r="D11" s="7" t="e">
        <f>TONTJANV22!D11+#REF!+#REF!+#REF!+#REF!+#REF!+#REF!+#REF!+#REF!+#REF!+#REF!+#REF!</f>
        <v>#REF!</v>
      </c>
      <c r="E11" s="7" t="e">
        <f>TONTJANV22!E11+#REF!+#REF!+#REF!+#REF!+#REF!+#REF!+#REF!+#REF!+#REF!+#REF!+#REF!</f>
        <v>#REF!</v>
      </c>
      <c r="F11" s="7" t="e">
        <f>TONTJANV22!F11+#REF!+#REF!+#REF!+#REF!+#REF!+#REF!+#REF!+#REF!+#REF!+#REF!+#REF!</f>
        <v>#REF!</v>
      </c>
      <c r="G11" s="7"/>
      <c r="H11" s="7" t="e">
        <f>TONTJANV22!H11+#REF!+#REF!+#REF!+#REF!+#REF!+#REF!+#REF!+#REF!+#REF!+#REF!+#REF!</f>
        <v>#REF!</v>
      </c>
      <c r="I11" s="7" t="e">
        <f>TONTJANV22!I11+#REF!+#REF!+#REF!+#REF!+#REF!+#REF!+#REF!+#REF!+#REF!+#REF!+#REF!</f>
        <v>#REF!</v>
      </c>
      <c r="J11" s="7"/>
      <c r="K11" s="7"/>
      <c r="L11" s="7" t="e">
        <f>TONTJANV22!L11+#REF!+#REF!+#REF!+#REF!+#REF!+#REF!+#REF!+#REF!+#REF!+#REF!+#REF!</f>
        <v>#REF!</v>
      </c>
      <c r="M11" s="7" t="e">
        <f>TONTJANV22!M11+#REF!+#REF!+#REF!+#REF!+#REF!+#REF!+#REF!+#REF!+#REF!+#REF!+#REF!</f>
        <v>#REF!</v>
      </c>
      <c r="N11" s="7"/>
      <c r="O11" s="7"/>
      <c r="P11" s="7" t="e">
        <f>TONTJANV22!P11+#REF!+#REF!+#REF!+#REF!+#REF!+#REF!+#REF!+#REF!+#REF!+#REF!+#REF!</f>
        <v>#REF!</v>
      </c>
      <c r="Q11" s="7" t="e">
        <f>TONTJANV22!Q11+#REF!+#REF!+#REF!+#REF!+#REF!+#REF!+#REF!+#REF!+#REF!+#REF!+#REF!</f>
        <v>#REF!</v>
      </c>
      <c r="R11" s="7" t="e">
        <f>TONTJANV22!R11+#REF!+#REF!+#REF!+#REF!+#REF!+#REF!+#REF!+#REF!+#REF!+#REF!+#REF!</f>
        <v>#REF!</v>
      </c>
      <c r="S11" s="15">
        <v>44378</v>
      </c>
      <c r="T11" s="2" t="e">
        <f t="shared" si="0"/>
        <v>#REF!</v>
      </c>
      <c r="U11">
        <v>3500</v>
      </c>
      <c r="V11" t="s">
        <v>91</v>
      </c>
    </row>
    <row r="12" spans="1:22" x14ac:dyDescent="0.25">
      <c r="A12" s="1" t="s">
        <v>13</v>
      </c>
      <c r="B12" s="7">
        <f>VLOOKUP($A12,[11]HISTOMARS21!$A$6:$AP$37,9,0)</f>
        <v>1</v>
      </c>
      <c r="C12" s="1" t="str">
        <f>VLOOKUP(A12,[9]LISTADHERENT!A$5:H$60,3,0)</f>
        <v>DONHOU DAVID</v>
      </c>
      <c r="D12" s="7" t="e">
        <f>TONTJANV22!D12+#REF!+#REF!+#REF!+#REF!+#REF!+#REF!+#REF!+#REF!+#REF!+#REF!+#REF!</f>
        <v>#REF!</v>
      </c>
      <c r="E12" s="7" t="e">
        <f>TONTJANV22!E12+#REF!+#REF!+#REF!+#REF!+#REF!+#REF!+#REF!+#REF!+#REF!+#REF!+#REF!</f>
        <v>#REF!</v>
      </c>
      <c r="F12" s="7" t="e">
        <f>TONTJANV22!F12+#REF!+#REF!+#REF!+#REF!+#REF!+#REF!+#REF!+#REF!+#REF!+#REF!+#REF!</f>
        <v>#REF!</v>
      </c>
      <c r="G12" s="7"/>
      <c r="H12" s="7" t="e">
        <f>TONTJANV22!H12+#REF!+#REF!+#REF!+#REF!+#REF!+#REF!+#REF!+#REF!+#REF!+#REF!+#REF!</f>
        <v>#REF!</v>
      </c>
      <c r="I12" s="7" t="e">
        <f>TONTJANV22!I12+#REF!+#REF!+#REF!+#REF!+#REF!+#REF!+#REF!+#REF!+#REF!+#REF!+#REF!</f>
        <v>#REF!</v>
      </c>
      <c r="J12" s="7"/>
      <c r="K12" s="7"/>
      <c r="L12" s="7" t="e">
        <f>TONTJANV22!L12+#REF!+#REF!+#REF!+#REF!+#REF!+#REF!+#REF!+#REF!+#REF!+#REF!+#REF!</f>
        <v>#REF!</v>
      </c>
      <c r="M12" s="7" t="e">
        <f>TONTJANV22!M12+#REF!+#REF!+#REF!+#REF!+#REF!+#REF!+#REF!+#REF!+#REF!+#REF!+#REF!</f>
        <v>#REF!</v>
      </c>
      <c r="N12" s="7"/>
      <c r="O12" s="7"/>
      <c r="P12" s="7" t="e">
        <f>TONTJANV22!P12+#REF!+#REF!+#REF!+#REF!+#REF!+#REF!+#REF!+#REF!+#REF!+#REF!+#REF!</f>
        <v>#REF!</v>
      </c>
      <c r="Q12" s="7" t="e">
        <f>TONTJANV22!Q12+#REF!+#REF!+#REF!+#REF!+#REF!+#REF!+#REF!+#REF!+#REF!+#REF!+#REF!</f>
        <v>#REF!</v>
      </c>
      <c r="R12" s="7" t="e">
        <f>TONTJANV22!R12+#REF!+#REF!+#REF!+#REF!+#REF!+#REF!+#REF!+#REF!+#REF!+#REF!+#REF!</f>
        <v>#REF!</v>
      </c>
      <c r="S12" s="15">
        <v>44501</v>
      </c>
      <c r="T12" s="2" t="e">
        <f t="shared" si="0"/>
        <v>#REF!</v>
      </c>
      <c r="U12">
        <v>3500</v>
      </c>
    </row>
    <row r="13" spans="1:22" x14ac:dyDescent="0.25">
      <c r="A13" s="1" t="s">
        <v>14</v>
      </c>
      <c r="B13" s="7">
        <f>VLOOKUP($A13,[11]HISTOMARS21!$A$6:$AP$37,9,0)</f>
        <v>1</v>
      </c>
      <c r="C13" s="1" t="str">
        <f>VLOOKUP(A13,[9]LISTADHERENT!A$5:H$60,3,0)</f>
        <v>FOTSO THOMAS</v>
      </c>
      <c r="D13" s="7" t="e">
        <f>TONTJANV22!#REF!+#REF!+#REF!+#REF!+#REF!+#REF!+#REF!+#REF!+#REF!+#REF!+#REF!+#REF!</f>
        <v>#REF!</v>
      </c>
      <c r="E13" s="7" t="e">
        <f>TONTJANV22!#REF!+#REF!+#REF!+#REF!+#REF!+#REF!+#REF!+#REF!+#REF!+#REF!+#REF!+#REF!</f>
        <v>#REF!</v>
      </c>
      <c r="F13" s="7" t="e">
        <f>TONTJANV22!#REF!+#REF!+#REF!+#REF!+#REF!+#REF!+#REF!+#REF!+#REF!+#REF!+#REF!+#REF!</f>
        <v>#REF!</v>
      </c>
      <c r="G13" s="7"/>
      <c r="H13" s="7" t="e">
        <f>TONTJANV22!#REF!+#REF!+#REF!+#REF!+#REF!+#REF!+#REF!+#REF!+#REF!+#REF!+#REF!+#REF!</f>
        <v>#REF!</v>
      </c>
      <c r="I13" s="7" t="e">
        <f>TONTJANV22!#REF!+#REF!+#REF!+#REF!+#REF!+#REF!+#REF!+#REF!+#REF!+#REF!+#REF!+#REF!</f>
        <v>#REF!</v>
      </c>
      <c r="J13" s="7"/>
      <c r="K13" s="7"/>
      <c r="L13" s="7" t="e">
        <f>TONTJANV22!#REF!+#REF!+#REF!+#REF!+#REF!+#REF!+#REF!+#REF!+#REF!+#REF!+#REF!+#REF!</f>
        <v>#REF!</v>
      </c>
      <c r="M13" s="7" t="e">
        <f>TONTJANV22!#REF!+#REF!+#REF!+#REF!+#REF!+#REF!+#REF!+#REF!+#REF!+#REF!+#REF!+#REF!</f>
        <v>#REF!</v>
      </c>
      <c r="N13" s="7"/>
      <c r="O13" s="7"/>
      <c r="P13" s="7" t="e">
        <f>TONTJANV22!#REF!+#REF!+#REF!+#REF!+#REF!+#REF!+#REF!+#REF!+#REF!+#REF!+#REF!+#REF!</f>
        <v>#REF!</v>
      </c>
      <c r="Q13" s="7" t="e">
        <f>TONTJANV22!#REF!+#REF!+#REF!+#REF!+#REF!+#REF!+#REF!+#REF!+#REF!+#REF!+#REF!+#REF!</f>
        <v>#REF!</v>
      </c>
      <c r="R13" s="7" t="e">
        <f>TONTJANV22!#REF!+#REF!+#REF!+#REF!+#REF!+#REF!+#REF!+#REF!+#REF!+#REF!+#REF!+#REF!</f>
        <v>#REF!</v>
      </c>
      <c r="T13" s="2">
        <v>0</v>
      </c>
    </row>
    <row r="14" spans="1:22" x14ac:dyDescent="0.25">
      <c r="A14" s="1" t="s">
        <v>15</v>
      </c>
      <c r="B14" s="7">
        <f>VLOOKUP($A14,[11]HISTOMARS21!$A$6:$AP$37,9,0)</f>
        <v>1</v>
      </c>
      <c r="C14" s="1" t="str">
        <f>VLOOKUP(A14,[9]LISTADHERENT!A$5:H$60,3,0)</f>
        <v>HENGUE PAUL OMER</v>
      </c>
      <c r="D14" s="7" t="e">
        <f>TONTJANV22!D13+#REF!+#REF!+#REF!+#REF!+#REF!+#REF!+#REF!+#REF!+#REF!+#REF!+#REF!</f>
        <v>#REF!</v>
      </c>
      <c r="E14" s="7" t="e">
        <f>TONTJANV22!E13+#REF!+#REF!+#REF!+#REF!+#REF!+#REF!+#REF!+#REF!+#REF!+#REF!+#REF!</f>
        <v>#REF!</v>
      </c>
      <c r="F14" s="7" t="e">
        <f>TONTJANV22!F13+#REF!+#REF!+#REF!+#REF!+#REF!+#REF!+#REF!+#REF!+#REF!+#REF!+#REF!</f>
        <v>#REF!</v>
      </c>
      <c r="G14" s="7"/>
      <c r="H14" s="7" t="e">
        <f>TONTJANV22!H13+#REF!+#REF!+#REF!+#REF!+#REF!+#REF!+#REF!+#REF!+#REF!+#REF!+#REF!</f>
        <v>#REF!</v>
      </c>
      <c r="I14" s="7" t="e">
        <f>TONTJANV22!I13+#REF!+#REF!+#REF!+#REF!+#REF!+#REF!+#REF!+#REF!+#REF!+#REF!+#REF!</f>
        <v>#REF!</v>
      </c>
      <c r="J14" s="7"/>
      <c r="K14" s="7"/>
      <c r="L14" s="7" t="e">
        <f>TONTJANV22!L13+#REF!+#REF!+#REF!+#REF!+#REF!+#REF!+#REF!+#REF!+#REF!+#REF!+#REF!</f>
        <v>#REF!</v>
      </c>
      <c r="M14" s="7" t="e">
        <f>TONTJANV22!M13+#REF!+#REF!+#REF!+#REF!+#REF!+#REF!+#REF!+#REF!+#REF!+#REF!+#REF!</f>
        <v>#REF!</v>
      </c>
      <c r="N14" s="7"/>
      <c r="O14" s="7"/>
      <c r="P14" s="7" t="e">
        <f>TONTJANV22!P13+#REF!+#REF!+#REF!+#REF!+#REF!+#REF!+#REF!+#REF!+#REF!+#REF!+#REF!</f>
        <v>#REF!</v>
      </c>
      <c r="Q14" s="7" t="e">
        <f>TONTJANV22!Q13+#REF!+#REF!+#REF!+#REF!+#REF!+#REF!+#REF!+#REF!+#REF!+#REF!+#REF!</f>
        <v>#REF!</v>
      </c>
      <c r="R14" s="7" t="e">
        <f>TONTJANV22!R13+#REF!+#REF!+#REF!+#REF!+#REF!+#REF!+#REF!+#REF!+#REF!+#REF!+#REF!</f>
        <v>#REF!</v>
      </c>
      <c r="S14" s="15">
        <v>44409</v>
      </c>
      <c r="T14" s="2" t="e">
        <f t="shared" si="0"/>
        <v>#REF!</v>
      </c>
      <c r="U14">
        <v>3500</v>
      </c>
      <c r="V14" t="s">
        <v>90</v>
      </c>
    </row>
    <row r="15" spans="1:22" x14ac:dyDescent="0.25">
      <c r="A15" s="1" t="s">
        <v>16</v>
      </c>
      <c r="B15" s="7">
        <f>VLOOKUP($A15,[11]HISTOMARS21!$A$6:$AP$37,9,0)</f>
        <v>1</v>
      </c>
      <c r="C15" s="1" t="str">
        <f>VLOOKUP(A15,[9]LISTADHERENT!A$5:H$60,3,0)</f>
        <v>HOTCHO BENJAMIN</v>
      </c>
      <c r="D15" s="7" t="e">
        <f>TONTJANV22!D14+#REF!+#REF!+#REF!+#REF!+#REF!+#REF!+#REF!+#REF!+#REF!+#REF!+#REF!</f>
        <v>#REF!</v>
      </c>
      <c r="E15" s="7" t="e">
        <f>TONTJANV22!E14+#REF!+#REF!+#REF!+#REF!+#REF!+#REF!+#REF!+#REF!+#REF!+#REF!+#REF!</f>
        <v>#REF!</v>
      </c>
      <c r="F15" s="7" t="e">
        <f>TONTJANV22!F14+#REF!+#REF!+#REF!+#REF!+#REF!+#REF!+#REF!+#REF!+#REF!+#REF!+#REF!</f>
        <v>#REF!</v>
      </c>
      <c r="G15" s="7"/>
      <c r="H15" s="7" t="e">
        <f>TONTJANV22!H14+#REF!+#REF!+#REF!+#REF!+#REF!+#REF!+#REF!+#REF!+#REF!+#REF!+#REF!</f>
        <v>#REF!</v>
      </c>
      <c r="I15" s="7" t="e">
        <f>TONTJANV22!I14+#REF!+#REF!+#REF!+#REF!+#REF!+#REF!+#REF!+#REF!+#REF!+#REF!+#REF!</f>
        <v>#REF!</v>
      </c>
      <c r="J15" s="7"/>
      <c r="K15" s="7"/>
      <c r="L15" s="7" t="e">
        <f>TONTJANV22!L14+#REF!+#REF!+#REF!+#REF!+#REF!+#REF!+#REF!+#REF!+#REF!+#REF!+#REF!</f>
        <v>#REF!</v>
      </c>
      <c r="M15" s="7" t="e">
        <f>TONTJANV22!M14+#REF!+#REF!+#REF!+#REF!+#REF!+#REF!+#REF!+#REF!+#REF!+#REF!+#REF!</f>
        <v>#REF!</v>
      </c>
      <c r="N15" s="7"/>
      <c r="O15" s="7"/>
      <c r="P15" s="7" t="e">
        <f>TONTJANV22!P14+#REF!+#REF!+#REF!+#REF!+#REF!+#REF!+#REF!+#REF!+#REF!+#REF!+#REF!</f>
        <v>#REF!</v>
      </c>
      <c r="Q15" s="7" t="e">
        <f>TONTJANV22!Q14+#REF!+#REF!+#REF!+#REF!+#REF!+#REF!+#REF!+#REF!+#REF!+#REF!+#REF!</f>
        <v>#REF!</v>
      </c>
      <c r="R15" s="7" t="e">
        <f>TONTJANV22!R14+#REF!+#REF!+#REF!+#REF!+#REF!+#REF!+#REF!+#REF!+#REF!+#REF!+#REF!</f>
        <v>#REF!</v>
      </c>
      <c r="S15" s="15">
        <v>44348</v>
      </c>
      <c r="T15" s="2" t="e">
        <f t="shared" si="0"/>
        <v>#REF!</v>
      </c>
      <c r="U15">
        <v>3500</v>
      </c>
      <c r="V15" t="s">
        <v>90</v>
      </c>
    </row>
    <row r="16" spans="1:22" x14ac:dyDescent="0.25">
      <c r="A16" s="1" t="s">
        <v>17</v>
      </c>
      <c r="B16" s="7">
        <f>VLOOKUP($A16,[11]HISTOMARS21!$A$6:$AP$37,9,0)</f>
        <v>1</v>
      </c>
      <c r="C16" s="1" t="str">
        <f>VLOOKUP(A16,[9]LISTADHERENT!A$5:H$60,3,0)</f>
        <v>KOUAMOU MOISE</v>
      </c>
      <c r="D16" s="7" t="e">
        <f>TONTJANV22!D15+#REF!+#REF!+#REF!+#REF!+#REF!+#REF!+#REF!+#REF!+#REF!+#REF!+#REF!</f>
        <v>#REF!</v>
      </c>
      <c r="E16" s="7" t="e">
        <f>TONTJANV22!E15+#REF!+#REF!+#REF!+#REF!+#REF!+#REF!+#REF!+#REF!+#REF!+#REF!+#REF!</f>
        <v>#REF!</v>
      </c>
      <c r="F16" s="7" t="e">
        <f>TONTJANV22!F15+#REF!+#REF!+#REF!+#REF!+#REF!+#REF!+#REF!+#REF!+#REF!+#REF!+#REF!</f>
        <v>#REF!</v>
      </c>
      <c r="G16" s="7"/>
      <c r="H16" s="7" t="e">
        <f>TONTJANV22!H15+#REF!+#REF!+#REF!+#REF!+#REF!+#REF!+#REF!+#REF!+#REF!+#REF!+#REF!</f>
        <v>#REF!</v>
      </c>
      <c r="I16" s="7" t="e">
        <f>TONTJANV22!I15+#REF!+#REF!+#REF!+#REF!+#REF!+#REF!+#REF!+#REF!+#REF!+#REF!+#REF!</f>
        <v>#REF!</v>
      </c>
      <c r="J16" s="7"/>
      <c r="K16" s="7"/>
      <c r="L16" s="7" t="e">
        <f>TONTJANV22!L15+#REF!+#REF!+#REF!+#REF!+#REF!+#REF!+#REF!+#REF!+#REF!+#REF!+#REF!</f>
        <v>#REF!</v>
      </c>
      <c r="M16" s="7" t="e">
        <f>TONTJANV22!M15+#REF!+#REF!+#REF!+#REF!+#REF!+#REF!+#REF!+#REF!+#REF!+#REF!+#REF!</f>
        <v>#REF!</v>
      </c>
      <c r="N16" s="7"/>
      <c r="O16" s="7"/>
      <c r="P16" s="7" t="e">
        <f>TONTJANV22!P15+#REF!+#REF!+#REF!+#REF!+#REF!+#REF!+#REF!+#REF!+#REF!+#REF!+#REF!</f>
        <v>#REF!</v>
      </c>
      <c r="Q16" s="7" t="e">
        <f>TONTJANV22!Q15+#REF!+#REF!+#REF!+#REF!+#REF!+#REF!+#REF!+#REF!+#REF!+#REF!+#REF!</f>
        <v>#REF!</v>
      </c>
      <c r="R16" s="7" t="e">
        <f>TONTJANV22!R15+#REF!+#REF!+#REF!+#REF!+#REF!+#REF!+#REF!+#REF!+#REF!+#REF!+#REF!</f>
        <v>#REF!</v>
      </c>
      <c r="S16" s="15">
        <v>44228</v>
      </c>
      <c r="T16" s="2" t="e">
        <f t="shared" si="0"/>
        <v>#REF!</v>
      </c>
      <c r="U16">
        <v>3500</v>
      </c>
      <c r="V16" t="s">
        <v>90</v>
      </c>
    </row>
    <row r="17" spans="1:22" x14ac:dyDescent="0.25">
      <c r="A17" s="1" t="s">
        <v>18</v>
      </c>
      <c r="B17" s="7">
        <f>VLOOKUP($A17,[11]HISTOMARS21!$A$6:$AP$37,9,0)</f>
        <v>1</v>
      </c>
      <c r="C17" s="1" t="str">
        <f>VLOOKUP(A17,[9]LISTADHERENT!A$5:H$60,3,0)</f>
        <v>KOUATCHO MESSACK</v>
      </c>
      <c r="D17" s="7" t="e">
        <f>TONTJANV22!D16+#REF!+#REF!+#REF!+#REF!+#REF!+#REF!+#REF!+#REF!+#REF!+#REF!+#REF!</f>
        <v>#REF!</v>
      </c>
      <c r="E17" s="7" t="e">
        <f>TONTJANV22!E16+#REF!+#REF!+#REF!+#REF!+#REF!+#REF!+#REF!+#REF!+#REF!+#REF!+#REF!</f>
        <v>#REF!</v>
      </c>
      <c r="F17" s="7" t="e">
        <f>TONTJANV22!F16+#REF!+#REF!+#REF!+#REF!+#REF!+#REF!+#REF!+#REF!+#REF!+#REF!+#REF!</f>
        <v>#REF!</v>
      </c>
      <c r="G17" s="7"/>
      <c r="H17" s="7" t="e">
        <f>TONTJANV22!H16+#REF!+#REF!+#REF!+#REF!+#REF!+#REF!+#REF!+#REF!+#REF!+#REF!+#REF!</f>
        <v>#REF!</v>
      </c>
      <c r="I17" s="7" t="e">
        <f>TONTJANV22!I16+#REF!+#REF!+#REF!+#REF!+#REF!+#REF!+#REF!+#REF!+#REF!+#REF!+#REF!</f>
        <v>#REF!</v>
      </c>
      <c r="J17" s="7"/>
      <c r="K17" s="7"/>
      <c r="L17" s="7" t="e">
        <f>TONTJANV22!L16+#REF!+#REF!+#REF!+#REF!+#REF!+#REF!+#REF!+#REF!+#REF!+#REF!+#REF!</f>
        <v>#REF!</v>
      </c>
      <c r="M17" s="7" t="e">
        <f>TONTJANV22!M16+#REF!+#REF!+#REF!+#REF!+#REF!+#REF!+#REF!+#REF!+#REF!+#REF!+#REF!</f>
        <v>#REF!</v>
      </c>
      <c r="N17" s="7"/>
      <c r="O17" s="7"/>
      <c r="P17" s="7" t="e">
        <f>TONTJANV22!P16+#REF!+#REF!+#REF!+#REF!+#REF!+#REF!+#REF!+#REF!+#REF!+#REF!+#REF!</f>
        <v>#REF!</v>
      </c>
      <c r="Q17" s="7" t="e">
        <f>TONTJANV22!Q16+#REF!+#REF!+#REF!+#REF!+#REF!+#REF!+#REF!+#REF!+#REF!+#REF!+#REF!</f>
        <v>#REF!</v>
      </c>
      <c r="R17" s="7" t="e">
        <f>TONTJANV22!R16+#REF!+#REF!+#REF!+#REF!+#REF!+#REF!+#REF!+#REF!+#REF!+#REF!+#REF!</f>
        <v>#REF!</v>
      </c>
      <c r="S17" s="15">
        <v>44317</v>
      </c>
      <c r="T17" s="2" t="e">
        <f t="shared" si="0"/>
        <v>#REF!</v>
      </c>
      <c r="U17">
        <v>3500</v>
      </c>
      <c r="V17" t="s">
        <v>90</v>
      </c>
    </row>
    <row r="18" spans="1:22" x14ac:dyDescent="0.25">
      <c r="A18" s="1" t="s">
        <v>19</v>
      </c>
      <c r="B18" s="7">
        <f>VLOOKUP($A18,[11]HISTOMARS21!$A$6:$AP$37,9,0)</f>
        <v>1</v>
      </c>
      <c r="C18" s="1" t="str">
        <f>VLOOKUP(A18,[9]LISTADHERENT!A$5:H$60,3,0)</f>
        <v>LOWE JEAN</v>
      </c>
      <c r="D18" s="7" t="e">
        <f>TONTJANV22!D17+#REF!+#REF!+#REF!+#REF!+#REF!+#REF!+#REF!+#REF!+#REF!+#REF!+#REF!</f>
        <v>#REF!</v>
      </c>
      <c r="E18" s="7" t="e">
        <f>TONTJANV22!E17+#REF!+#REF!+#REF!+#REF!+#REF!+#REF!+#REF!+#REF!+#REF!+#REF!+#REF!</f>
        <v>#REF!</v>
      </c>
      <c r="F18" s="7" t="e">
        <f>TONTJANV22!F17+#REF!+#REF!+#REF!+#REF!+#REF!+#REF!+#REF!+#REF!+#REF!+#REF!+#REF!</f>
        <v>#REF!</v>
      </c>
      <c r="G18" s="7"/>
      <c r="H18" s="7" t="e">
        <f>TONTJANV22!H17+#REF!+#REF!+#REF!+#REF!+#REF!+#REF!+#REF!+#REF!+#REF!+#REF!+#REF!</f>
        <v>#REF!</v>
      </c>
      <c r="I18" s="7" t="e">
        <f>TONTJANV22!I17+#REF!+#REF!+#REF!+#REF!+#REF!+#REF!+#REF!+#REF!+#REF!+#REF!+#REF!</f>
        <v>#REF!</v>
      </c>
      <c r="J18" s="7"/>
      <c r="K18" s="7"/>
      <c r="L18" s="7" t="e">
        <f>TONTJANV22!L17+#REF!+#REF!+#REF!+#REF!+#REF!+#REF!+#REF!+#REF!+#REF!+#REF!+#REF!</f>
        <v>#REF!</v>
      </c>
      <c r="M18" s="7" t="e">
        <f>TONTJANV22!M17+#REF!+#REF!+#REF!+#REF!+#REF!+#REF!+#REF!+#REF!+#REF!+#REF!+#REF!</f>
        <v>#REF!</v>
      </c>
      <c r="N18" s="7"/>
      <c r="O18" s="7"/>
      <c r="P18" s="7" t="e">
        <f>TONTJANV22!P17+#REF!+#REF!+#REF!+#REF!+#REF!+#REF!+#REF!+#REF!+#REF!+#REF!+#REF!</f>
        <v>#REF!</v>
      </c>
      <c r="Q18" s="7" t="e">
        <f>TONTJANV22!Q17+#REF!+#REF!+#REF!+#REF!+#REF!+#REF!+#REF!+#REF!+#REF!+#REF!+#REF!</f>
        <v>#REF!</v>
      </c>
      <c r="R18" s="7" t="e">
        <f>TONTJANV22!R17+#REF!+#REF!+#REF!+#REF!+#REF!+#REF!+#REF!+#REF!+#REF!+#REF!+#REF!</f>
        <v>#REF!</v>
      </c>
      <c r="T18" s="2">
        <v>0</v>
      </c>
      <c r="U18">
        <v>3500</v>
      </c>
      <c r="V18" t="s">
        <v>92</v>
      </c>
    </row>
    <row r="19" spans="1:22" x14ac:dyDescent="0.25">
      <c r="A19" s="1" t="s">
        <v>49</v>
      </c>
      <c r="B19" s="7">
        <f>VLOOKUP($A19,[11]HISTOMARS21!$A$6:$AP$37,9,0)</f>
        <v>1</v>
      </c>
      <c r="C19" s="1" t="str">
        <f>VLOOKUP(A19,[9]LISTADHERENT!A$5:H$60,3,0)</f>
        <v>MBOGNING TUGMA GUY</v>
      </c>
      <c r="D19" s="7" t="e">
        <f>TONTJANV22!D18+#REF!+#REF!+#REF!+#REF!+#REF!+#REF!+#REF!+#REF!+#REF!+#REF!+#REF!</f>
        <v>#REF!</v>
      </c>
      <c r="E19" s="7" t="e">
        <f>TONTJANV22!E18+#REF!+#REF!+#REF!+#REF!+#REF!+#REF!+#REF!+#REF!+#REF!+#REF!+#REF!</f>
        <v>#REF!</v>
      </c>
      <c r="F19" s="7" t="e">
        <f>TONTJANV22!F18+#REF!+#REF!+#REF!+#REF!+#REF!+#REF!+#REF!+#REF!+#REF!+#REF!+#REF!</f>
        <v>#REF!</v>
      </c>
      <c r="G19" s="7"/>
      <c r="H19" s="7" t="e">
        <f>TONTJANV22!H18+#REF!+#REF!+#REF!+#REF!+#REF!+#REF!+#REF!+#REF!+#REF!+#REF!+#REF!</f>
        <v>#REF!</v>
      </c>
      <c r="I19" s="7" t="e">
        <f>TONTJANV22!I18+#REF!+#REF!+#REF!+#REF!+#REF!+#REF!+#REF!+#REF!+#REF!+#REF!+#REF!</f>
        <v>#REF!</v>
      </c>
      <c r="J19" s="7"/>
      <c r="K19" s="7"/>
      <c r="L19" s="7" t="e">
        <f>TONTJANV22!L18+#REF!+#REF!+#REF!+#REF!+#REF!+#REF!+#REF!+#REF!+#REF!+#REF!+#REF!</f>
        <v>#REF!</v>
      </c>
      <c r="M19" s="7" t="e">
        <f>TONTJANV22!M18+#REF!+#REF!+#REF!+#REF!+#REF!+#REF!+#REF!+#REF!+#REF!+#REF!+#REF!</f>
        <v>#REF!</v>
      </c>
      <c r="N19" s="7"/>
      <c r="O19" s="7"/>
      <c r="P19" s="7" t="e">
        <f>TONTJANV22!P18+#REF!+#REF!+#REF!+#REF!+#REF!+#REF!+#REF!+#REF!+#REF!+#REF!+#REF!</f>
        <v>#REF!</v>
      </c>
      <c r="Q19" s="7" t="e">
        <f>TONTJANV22!Q18+#REF!+#REF!+#REF!+#REF!+#REF!+#REF!+#REF!+#REF!+#REF!+#REF!+#REF!</f>
        <v>#REF!</v>
      </c>
      <c r="R19" s="7" t="e">
        <f>TONTJANV22!R18+#REF!+#REF!+#REF!+#REF!+#REF!+#REF!+#REF!+#REF!+#REF!+#REF!+#REF!</f>
        <v>#REF!</v>
      </c>
      <c r="S19" s="15">
        <v>44256</v>
      </c>
      <c r="T19" s="2" t="e">
        <f t="shared" si="0"/>
        <v>#REF!</v>
      </c>
      <c r="U19">
        <v>3500</v>
      </c>
      <c r="V19" t="s">
        <v>90</v>
      </c>
    </row>
    <row r="20" spans="1:22" x14ac:dyDescent="0.25">
      <c r="A20" s="1" t="s">
        <v>30</v>
      </c>
      <c r="B20" s="7">
        <f>VLOOKUP($A20,[11]HISTOMARS21!$A$6:$AP$37,9,0)</f>
        <v>1</v>
      </c>
      <c r="C20" s="1" t="str">
        <f>VLOOKUP(A20,[9]LISTADHERENT!A$5:H$60,3,0)</f>
        <v>NANGUEN MARTIN</v>
      </c>
      <c r="D20" s="7" t="e">
        <f>TONTJANV22!D19+#REF!+#REF!+#REF!+#REF!+#REF!+#REF!+#REF!+#REF!+#REF!+#REF!+#REF!</f>
        <v>#REF!</v>
      </c>
      <c r="E20" s="7" t="e">
        <f>TONTJANV22!E19+#REF!+#REF!+#REF!+#REF!+#REF!+#REF!+#REF!+#REF!+#REF!+#REF!+#REF!</f>
        <v>#REF!</v>
      </c>
      <c r="F20" s="7" t="e">
        <f>TONTJANV22!F19+#REF!+#REF!+#REF!+#REF!+#REF!+#REF!+#REF!+#REF!+#REF!+#REF!+#REF!</f>
        <v>#REF!</v>
      </c>
      <c r="G20" s="7"/>
      <c r="H20" s="7" t="e">
        <f>TONTJANV22!H19+#REF!+#REF!+#REF!+#REF!+#REF!+#REF!+#REF!+#REF!+#REF!+#REF!+#REF!</f>
        <v>#REF!</v>
      </c>
      <c r="I20" s="7" t="e">
        <f>TONTJANV22!I19+#REF!+#REF!+#REF!+#REF!+#REF!+#REF!+#REF!+#REF!+#REF!+#REF!+#REF!</f>
        <v>#REF!</v>
      </c>
      <c r="J20" s="7"/>
      <c r="K20" s="7"/>
      <c r="L20" s="7" t="e">
        <f>TONTJANV22!L19+#REF!+#REF!+#REF!+#REF!+#REF!+#REF!+#REF!+#REF!+#REF!+#REF!+#REF!</f>
        <v>#REF!</v>
      </c>
      <c r="M20" s="7" t="e">
        <f>TONTJANV22!M19+#REF!+#REF!+#REF!+#REF!+#REF!+#REF!+#REF!+#REF!+#REF!+#REF!+#REF!</f>
        <v>#REF!</v>
      </c>
      <c r="N20" s="7"/>
      <c r="O20" s="7"/>
      <c r="P20" s="7" t="e">
        <f>TONTJANV22!P19+#REF!+#REF!+#REF!+#REF!+#REF!+#REF!+#REF!+#REF!+#REF!+#REF!+#REF!</f>
        <v>#REF!</v>
      </c>
      <c r="Q20" s="7" t="e">
        <f>TONTJANV22!Q19+#REF!+#REF!+#REF!+#REF!+#REF!+#REF!+#REF!+#REF!+#REF!+#REF!+#REF!</f>
        <v>#REF!</v>
      </c>
      <c r="R20" s="7" t="e">
        <f>TONTJANV22!R19+#REF!+#REF!+#REF!+#REF!+#REF!+#REF!+#REF!+#REF!+#REF!+#REF!+#REF!</f>
        <v>#REF!</v>
      </c>
      <c r="S20" s="15">
        <v>44470</v>
      </c>
      <c r="T20" s="2" t="e">
        <f t="shared" si="0"/>
        <v>#REF!</v>
      </c>
      <c r="U20">
        <v>3500</v>
      </c>
      <c r="V20" t="s">
        <v>90</v>
      </c>
    </row>
    <row r="21" spans="1:22" x14ac:dyDescent="0.25">
      <c r="A21" s="1" t="s">
        <v>20</v>
      </c>
      <c r="B21" s="7">
        <f>VLOOKUP($A21,[11]HISTOMARS21!$A$6:$AP$37,9,0)</f>
        <v>1</v>
      </c>
      <c r="C21" s="1" t="str">
        <f>VLOOKUP(A21,[9]LISTADHERENT!A$5:H$60,3,0)</f>
        <v>NANKAM APPOLINAIRE</v>
      </c>
      <c r="D21" s="7" t="e">
        <f>TONTJANV22!D20+#REF!+#REF!+#REF!+#REF!+#REF!+#REF!+#REF!+#REF!+#REF!+#REF!+#REF!</f>
        <v>#REF!</v>
      </c>
      <c r="E21" s="7" t="e">
        <f>TONTJANV22!E20+#REF!+#REF!+#REF!+#REF!+#REF!+#REF!+#REF!+#REF!+#REF!+#REF!+#REF!</f>
        <v>#REF!</v>
      </c>
      <c r="F21" s="7" t="e">
        <f>TONTJANV22!F20+#REF!+#REF!+#REF!+#REF!+#REF!+#REF!+#REF!+#REF!+#REF!+#REF!+#REF!</f>
        <v>#REF!</v>
      </c>
      <c r="G21" s="7"/>
      <c r="H21" s="7" t="e">
        <f>TONTJANV22!H20+#REF!+#REF!+#REF!+#REF!+#REF!+#REF!+#REF!+#REF!+#REF!+#REF!+#REF!</f>
        <v>#REF!</v>
      </c>
      <c r="I21" s="7" t="e">
        <f>TONTJANV22!I20+#REF!+#REF!+#REF!+#REF!+#REF!+#REF!+#REF!+#REF!+#REF!+#REF!+#REF!</f>
        <v>#REF!</v>
      </c>
      <c r="J21" s="7"/>
      <c r="K21" s="7"/>
      <c r="L21" s="7" t="e">
        <f>TONTJANV22!L20+#REF!+#REF!+#REF!+#REF!+#REF!+#REF!+#REF!+#REF!+#REF!+#REF!+#REF!</f>
        <v>#REF!</v>
      </c>
      <c r="M21" s="7" t="e">
        <f>TONTJANV22!M20+#REF!+#REF!+#REF!+#REF!+#REF!+#REF!+#REF!+#REF!+#REF!+#REF!+#REF!</f>
        <v>#REF!</v>
      </c>
      <c r="N21" s="7"/>
      <c r="O21" s="7"/>
      <c r="P21" s="7" t="e">
        <f>TONTJANV22!P20+#REF!+#REF!+#REF!+#REF!+#REF!+#REF!+#REF!+#REF!+#REF!+#REF!+#REF!</f>
        <v>#REF!</v>
      </c>
      <c r="Q21" s="7" t="e">
        <f>TONTJANV22!Q20+#REF!+#REF!+#REF!+#REF!+#REF!+#REF!+#REF!+#REF!+#REF!+#REF!+#REF!</f>
        <v>#REF!</v>
      </c>
      <c r="R21" s="7" t="e">
        <f>TONTJANV22!R20+#REF!+#REF!+#REF!+#REF!+#REF!+#REF!+#REF!+#REF!+#REF!+#REF!+#REF!</f>
        <v>#REF!</v>
      </c>
      <c r="S21" s="15">
        <v>44228</v>
      </c>
      <c r="T21" s="2" t="e">
        <f t="shared" si="0"/>
        <v>#REF!</v>
      </c>
      <c r="U21">
        <v>3500</v>
      </c>
      <c r="V21" t="s">
        <v>90</v>
      </c>
    </row>
    <row r="22" spans="1:22" x14ac:dyDescent="0.25">
      <c r="A22" s="1" t="s">
        <v>21</v>
      </c>
      <c r="B22" s="7">
        <f>VLOOKUP($A22,[11]HISTOMARS21!$A$6:$AP$37,9,0)</f>
        <v>1</v>
      </c>
      <c r="C22" s="1" t="str">
        <f>VLOOKUP(A22,[9]LISTADHERENT!A$5:H$60,3,0)</f>
        <v>NDJOMO ETIENNE</v>
      </c>
      <c r="D22" s="7" t="e">
        <f>TONTJANV22!D21+#REF!+#REF!+#REF!+#REF!+#REF!+#REF!+#REF!+#REF!+#REF!+#REF!+#REF!</f>
        <v>#REF!</v>
      </c>
      <c r="E22" s="7" t="e">
        <f>TONTJANV22!E21+#REF!+#REF!+#REF!+#REF!+#REF!+#REF!+#REF!+#REF!+#REF!+#REF!+#REF!</f>
        <v>#REF!</v>
      </c>
      <c r="F22" s="7" t="e">
        <f>TONTJANV22!F21+#REF!+#REF!+#REF!+#REF!+#REF!+#REF!+#REF!+#REF!+#REF!+#REF!+#REF!</f>
        <v>#REF!</v>
      </c>
      <c r="G22" s="7"/>
      <c r="H22" s="7" t="e">
        <f>TONTJANV22!H21+#REF!+#REF!+#REF!+#REF!+#REF!+#REF!+#REF!+#REF!+#REF!+#REF!+#REF!</f>
        <v>#REF!</v>
      </c>
      <c r="I22" s="7" t="e">
        <f>TONTJANV22!I21+#REF!+#REF!+#REF!+#REF!+#REF!+#REF!+#REF!+#REF!+#REF!+#REF!+#REF!</f>
        <v>#REF!</v>
      </c>
      <c r="J22" s="7"/>
      <c r="K22" s="7"/>
      <c r="L22" s="7" t="e">
        <f>TONTJANV22!L21+#REF!+#REF!+#REF!+#REF!+#REF!+#REF!+#REF!+#REF!+#REF!+#REF!+#REF!</f>
        <v>#REF!</v>
      </c>
      <c r="M22" s="7" t="e">
        <f>TONTJANV22!M21+#REF!+#REF!+#REF!+#REF!+#REF!+#REF!+#REF!+#REF!+#REF!+#REF!+#REF!</f>
        <v>#REF!</v>
      </c>
      <c r="N22" s="7"/>
      <c r="O22" s="7"/>
      <c r="P22" s="7" t="e">
        <f>TONTJANV22!P21+#REF!+#REF!+#REF!+#REF!+#REF!+#REF!+#REF!+#REF!+#REF!+#REF!+#REF!</f>
        <v>#REF!</v>
      </c>
      <c r="Q22" s="7" t="e">
        <f>TONTJANV22!Q21+#REF!+#REF!+#REF!+#REF!+#REF!+#REF!+#REF!+#REF!+#REF!+#REF!+#REF!</f>
        <v>#REF!</v>
      </c>
      <c r="R22" s="7" t="e">
        <f>TONTJANV22!R21+#REF!+#REF!+#REF!+#REF!+#REF!+#REF!+#REF!+#REF!+#REF!+#REF!+#REF!</f>
        <v>#REF!</v>
      </c>
      <c r="S22" s="15">
        <v>44317</v>
      </c>
      <c r="T22" s="2" t="e">
        <f t="shared" si="0"/>
        <v>#REF!</v>
      </c>
      <c r="U22">
        <v>3500</v>
      </c>
      <c r="V22" t="s">
        <v>90</v>
      </c>
    </row>
    <row r="23" spans="1:22" x14ac:dyDescent="0.25">
      <c r="A23" s="1" t="s">
        <v>22</v>
      </c>
      <c r="B23" s="7">
        <f>VLOOKUP($A23,[11]HISTOMARS21!$A$6:$AP$37,9,0)</f>
        <v>1</v>
      </c>
      <c r="C23" s="1" t="str">
        <f>VLOOKUP(A23,[9]LISTADHERENT!A$5:H$60,3,0)</f>
        <v>NGONDIEP CLAUDE</v>
      </c>
      <c r="D23" s="7" t="e">
        <f>TONTJANV22!D22+#REF!+#REF!+#REF!+#REF!+#REF!+#REF!+#REF!+#REF!+#REF!+#REF!+#REF!</f>
        <v>#REF!</v>
      </c>
      <c r="E23" s="7" t="e">
        <f>TONTJANV22!E22+#REF!+#REF!+#REF!+#REF!+#REF!+#REF!+#REF!+#REF!+#REF!+#REF!+#REF!</f>
        <v>#REF!</v>
      </c>
      <c r="F23" s="7" t="e">
        <f>TONTJANV22!F22+#REF!+#REF!+#REF!+#REF!+#REF!+#REF!+#REF!+#REF!+#REF!+#REF!+#REF!</f>
        <v>#REF!</v>
      </c>
      <c r="G23" s="7"/>
      <c r="H23" s="7" t="e">
        <f>TONTJANV22!H22+#REF!+#REF!+#REF!+#REF!+#REF!+#REF!+#REF!+#REF!+#REF!+#REF!+#REF!</f>
        <v>#REF!</v>
      </c>
      <c r="I23" s="7" t="e">
        <f>TONTJANV22!I22+#REF!+#REF!+#REF!+#REF!+#REF!+#REF!+#REF!+#REF!+#REF!+#REF!+#REF!</f>
        <v>#REF!</v>
      </c>
      <c r="J23" s="7"/>
      <c r="K23" s="7"/>
      <c r="L23" s="7" t="e">
        <f>TONTJANV22!L22+#REF!+#REF!+#REF!+#REF!+#REF!+#REF!+#REF!+#REF!+#REF!+#REF!+#REF!</f>
        <v>#REF!</v>
      </c>
      <c r="M23" s="7" t="e">
        <f>TONTJANV22!M22+#REF!+#REF!+#REF!+#REF!+#REF!+#REF!+#REF!+#REF!+#REF!+#REF!+#REF!</f>
        <v>#REF!</v>
      </c>
      <c r="N23" s="7"/>
      <c r="O23" s="7"/>
      <c r="P23" s="7" t="e">
        <f>TONTJANV22!P22+#REF!+#REF!+#REF!+#REF!+#REF!+#REF!+#REF!+#REF!+#REF!+#REF!+#REF!</f>
        <v>#REF!</v>
      </c>
      <c r="Q23" s="7" t="e">
        <f>TONTJANV22!Q22+#REF!+#REF!+#REF!+#REF!+#REF!+#REF!+#REF!+#REF!+#REF!+#REF!+#REF!</f>
        <v>#REF!</v>
      </c>
      <c r="R23" s="7" t="e">
        <f>TONTJANV22!R22+#REF!+#REF!+#REF!+#REF!+#REF!+#REF!+#REF!+#REF!+#REF!+#REF!+#REF!</f>
        <v>#REF!</v>
      </c>
      <c r="S23" s="15">
        <v>44348</v>
      </c>
      <c r="T23" s="2" t="e">
        <f t="shared" si="0"/>
        <v>#REF!</v>
      </c>
      <c r="U23">
        <v>3500</v>
      </c>
      <c r="V23" t="s">
        <v>90</v>
      </c>
    </row>
    <row r="24" spans="1:22" x14ac:dyDescent="0.25">
      <c r="A24" s="1" t="s">
        <v>23</v>
      </c>
      <c r="B24" s="7">
        <f>VLOOKUP($A24,[11]HISTOMARS21!$A$6:$AP$37,9,0)</f>
        <v>1</v>
      </c>
      <c r="C24" s="1" t="str">
        <f>VLOOKUP(A24,[9]LISTADHERENT!A$5:H$60,3,0)</f>
        <v>NGUIEMEGNI MATHIEU BLAISE</v>
      </c>
      <c r="D24" s="7" t="e">
        <f>TONTJANV22!D23+#REF!+#REF!+#REF!+#REF!+#REF!+#REF!+#REF!+#REF!+#REF!+#REF!+#REF!</f>
        <v>#REF!</v>
      </c>
      <c r="E24" s="7" t="e">
        <f>TONTJANV22!E23+#REF!+#REF!+#REF!+#REF!+#REF!+#REF!+#REF!+#REF!+#REF!+#REF!+#REF!</f>
        <v>#REF!</v>
      </c>
      <c r="F24" s="7" t="e">
        <f>TONTJANV22!F23+#REF!+#REF!+#REF!+#REF!+#REF!+#REF!+#REF!+#REF!+#REF!+#REF!+#REF!</f>
        <v>#REF!</v>
      </c>
      <c r="G24" s="7"/>
      <c r="H24" s="7" t="e">
        <f>TONTJANV22!H23+#REF!+#REF!+#REF!+#REF!+#REF!+#REF!+#REF!+#REF!+#REF!+#REF!+#REF!</f>
        <v>#REF!</v>
      </c>
      <c r="I24" s="7" t="e">
        <f>TONTJANV22!I23+#REF!+#REF!+#REF!+#REF!+#REF!+#REF!+#REF!+#REF!+#REF!+#REF!+#REF!</f>
        <v>#REF!</v>
      </c>
      <c r="J24" s="7"/>
      <c r="K24" s="7"/>
      <c r="L24" s="7" t="e">
        <f>TONTJANV22!L23+#REF!+#REF!+#REF!+#REF!+#REF!+#REF!+#REF!+#REF!+#REF!+#REF!+#REF!</f>
        <v>#REF!</v>
      </c>
      <c r="M24" s="7" t="e">
        <f>TONTJANV22!M23+#REF!+#REF!+#REF!+#REF!+#REF!+#REF!+#REF!+#REF!+#REF!+#REF!+#REF!</f>
        <v>#REF!</v>
      </c>
      <c r="N24" s="7"/>
      <c r="O24" s="7"/>
      <c r="P24" s="7" t="e">
        <f>TONTJANV22!P23+#REF!+#REF!+#REF!+#REF!+#REF!+#REF!+#REF!+#REF!+#REF!+#REF!+#REF!</f>
        <v>#REF!</v>
      </c>
      <c r="Q24" s="7" t="e">
        <f>TONTJANV22!Q23+#REF!+#REF!+#REF!+#REF!+#REF!+#REF!+#REF!+#REF!+#REF!+#REF!+#REF!</f>
        <v>#REF!</v>
      </c>
      <c r="R24" s="7" t="e">
        <f>TONTJANV22!R23+#REF!+#REF!+#REF!+#REF!+#REF!+#REF!+#REF!+#REF!+#REF!+#REF!+#REF!</f>
        <v>#REF!</v>
      </c>
      <c r="S24" s="15">
        <v>44287</v>
      </c>
      <c r="T24" s="2" t="e">
        <f t="shared" si="0"/>
        <v>#REF!</v>
      </c>
      <c r="U24">
        <v>3500</v>
      </c>
      <c r="V24" t="s">
        <v>90</v>
      </c>
    </row>
    <row r="25" spans="1:22" x14ac:dyDescent="0.25">
      <c r="A25" s="1" t="s">
        <v>24</v>
      </c>
      <c r="B25" s="7">
        <f>VLOOKUP($A25,[11]HISTOMARS21!$A$6:$AP$37,9,0)</f>
        <v>1</v>
      </c>
      <c r="C25" s="1" t="str">
        <f>VLOOKUP(A25,[9]LISTADHERENT!A$5:H$60,3,0)</f>
        <v>NKAMGANG JUSTIN DEJOLIE</v>
      </c>
      <c r="D25" s="7" t="e">
        <f>TONTJANV22!D24+#REF!+#REF!+#REF!+#REF!+#REF!+#REF!+#REF!+#REF!+#REF!+#REF!+#REF!</f>
        <v>#REF!</v>
      </c>
      <c r="E25" s="7" t="e">
        <f>TONTJANV22!E24+#REF!+#REF!+#REF!+#REF!+#REF!+#REF!+#REF!+#REF!+#REF!+#REF!+#REF!</f>
        <v>#REF!</v>
      </c>
      <c r="F25" s="7" t="e">
        <f>TONTJANV22!F24+#REF!+#REF!+#REF!+#REF!+#REF!+#REF!+#REF!+#REF!+#REF!+#REF!+#REF!</f>
        <v>#REF!</v>
      </c>
      <c r="G25" s="7"/>
      <c r="H25" s="7" t="e">
        <f>TONTJANV22!H24+#REF!+#REF!+#REF!+#REF!+#REF!+#REF!+#REF!+#REF!+#REF!+#REF!+#REF!</f>
        <v>#REF!</v>
      </c>
      <c r="I25" s="7" t="e">
        <f>TONTJANV22!I24+#REF!+#REF!+#REF!+#REF!+#REF!+#REF!+#REF!+#REF!+#REF!+#REF!+#REF!</f>
        <v>#REF!</v>
      </c>
      <c r="J25" s="7"/>
      <c r="K25" s="7"/>
      <c r="L25" s="7" t="e">
        <f>TONTJANV22!L24+#REF!+#REF!+#REF!+#REF!+#REF!+#REF!+#REF!+#REF!+#REF!+#REF!+#REF!</f>
        <v>#REF!</v>
      </c>
      <c r="M25" s="7" t="e">
        <f>TONTJANV22!M24+#REF!+#REF!+#REF!+#REF!+#REF!+#REF!+#REF!+#REF!+#REF!+#REF!+#REF!</f>
        <v>#REF!</v>
      </c>
      <c r="N25" s="7"/>
      <c r="O25" s="7"/>
      <c r="P25" s="7" t="e">
        <f>TONTJANV22!P24+#REF!+#REF!+#REF!+#REF!+#REF!+#REF!+#REF!+#REF!+#REF!+#REF!+#REF!</f>
        <v>#REF!</v>
      </c>
      <c r="Q25" s="7" t="e">
        <f>TONTJANV22!Q24+#REF!+#REF!+#REF!+#REF!+#REF!+#REF!+#REF!+#REF!+#REF!+#REF!+#REF!</f>
        <v>#REF!</v>
      </c>
      <c r="R25" s="7" t="e">
        <f>TONTJANV22!R24+#REF!+#REF!+#REF!+#REF!+#REF!+#REF!+#REF!+#REF!+#REF!+#REF!+#REF!</f>
        <v>#REF!</v>
      </c>
      <c r="S25" s="15">
        <v>44197</v>
      </c>
      <c r="T25" s="2" t="e">
        <f t="shared" si="0"/>
        <v>#REF!</v>
      </c>
      <c r="U25">
        <v>3500</v>
      </c>
      <c r="V25" t="s">
        <v>90</v>
      </c>
    </row>
    <row r="26" spans="1:22" x14ac:dyDescent="0.25">
      <c r="A26" s="1" t="s">
        <v>25</v>
      </c>
      <c r="B26" s="7">
        <f>VLOOKUP($A26,[11]HISTOMARS21!$A$6:$AP$37,9,0)</f>
        <v>1</v>
      </c>
      <c r="C26" s="1" t="str">
        <f>VLOOKUP(A26,[9]LISTADHERENT!A$5:H$60,3,0)</f>
        <v>NKEPSEU DIEUDONNE</v>
      </c>
      <c r="D26" s="7" t="e">
        <f>TONTJANV22!D25+#REF!+#REF!+#REF!+#REF!+#REF!+#REF!+#REF!+#REF!+#REF!+#REF!+#REF!</f>
        <v>#REF!</v>
      </c>
      <c r="E26" s="7" t="e">
        <f>TONTJANV22!E25+#REF!+#REF!+#REF!+#REF!+#REF!+#REF!+#REF!+#REF!+#REF!+#REF!+#REF!</f>
        <v>#REF!</v>
      </c>
      <c r="F26" s="7" t="e">
        <f>TONTJANV22!F25+#REF!+#REF!+#REF!+#REF!+#REF!+#REF!+#REF!+#REF!+#REF!+#REF!+#REF!</f>
        <v>#REF!</v>
      </c>
      <c r="G26" s="7"/>
      <c r="H26" s="7" t="e">
        <f>TONTJANV22!H25+#REF!+#REF!+#REF!+#REF!+#REF!+#REF!+#REF!+#REF!+#REF!+#REF!+#REF!</f>
        <v>#REF!</v>
      </c>
      <c r="I26" s="7" t="e">
        <f>TONTJANV22!I25+#REF!+#REF!+#REF!+#REF!+#REF!+#REF!+#REF!+#REF!+#REF!+#REF!+#REF!</f>
        <v>#REF!</v>
      </c>
      <c r="J26" s="7"/>
      <c r="K26" s="7"/>
      <c r="L26" s="7" t="e">
        <f>TONTJANV22!L25+#REF!+#REF!+#REF!+#REF!+#REF!+#REF!+#REF!+#REF!+#REF!+#REF!+#REF!</f>
        <v>#REF!</v>
      </c>
      <c r="M26" s="7" t="e">
        <f>TONTJANV22!M25+#REF!+#REF!+#REF!+#REF!+#REF!+#REF!+#REF!+#REF!+#REF!+#REF!+#REF!</f>
        <v>#REF!</v>
      </c>
      <c r="N26" s="7"/>
      <c r="O26" s="7"/>
      <c r="P26" s="7" t="e">
        <f>TONTJANV22!P25+#REF!+#REF!+#REF!+#REF!+#REF!+#REF!+#REF!+#REF!+#REF!+#REF!+#REF!</f>
        <v>#REF!</v>
      </c>
      <c r="Q26" s="7" t="e">
        <f>TONTJANV22!Q25+#REF!+#REF!+#REF!+#REF!+#REF!+#REF!+#REF!+#REF!+#REF!+#REF!+#REF!</f>
        <v>#REF!</v>
      </c>
      <c r="R26" s="7" t="e">
        <f>TONTJANV22!R25+#REF!+#REF!+#REF!+#REF!+#REF!+#REF!+#REF!+#REF!+#REF!+#REF!+#REF!</f>
        <v>#REF!</v>
      </c>
      <c r="S26" s="15">
        <v>44256</v>
      </c>
      <c r="T26" s="2" t="e">
        <f t="shared" si="0"/>
        <v>#REF!</v>
      </c>
      <c r="U26">
        <v>3500</v>
      </c>
      <c r="V26" t="s">
        <v>90</v>
      </c>
    </row>
    <row r="27" spans="1:22" x14ac:dyDescent="0.25">
      <c r="A27" s="1" t="s">
        <v>26</v>
      </c>
      <c r="B27" s="7">
        <f>VLOOKUP($A27,[11]HISTOMARS21!$A$6:$AP$37,9,0)</f>
        <v>1</v>
      </c>
      <c r="C27" s="1" t="str">
        <f>VLOOKUP(A27,[9]LISTADHERENT!A$5:H$60,3,0)</f>
        <v>PATEGO NJOSSU GUSTAVE</v>
      </c>
      <c r="D27" s="7" t="e">
        <f>TONTJANV22!D26+#REF!+#REF!+#REF!+#REF!+#REF!+#REF!+#REF!+#REF!+#REF!+#REF!+#REF!</f>
        <v>#REF!</v>
      </c>
      <c r="E27" s="7" t="e">
        <f>TONTJANV22!E26+#REF!+#REF!+#REF!+#REF!+#REF!+#REF!+#REF!+#REF!+#REF!+#REF!+#REF!</f>
        <v>#REF!</v>
      </c>
      <c r="F27" s="7" t="e">
        <f>TONTJANV22!F26+#REF!+#REF!+#REF!+#REF!+#REF!+#REF!+#REF!+#REF!+#REF!+#REF!+#REF!</f>
        <v>#REF!</v>
      </c>
      <c r="G27" s="7"/>
      <c r="H27" s="7" t="e">
        <f>TONTJANV22!H26+#REF!+#REF!+#REF!+#REF!+#REF!+#REF!+#REF!+#REF!+#REF!+#REF!+#REF!</f>
        <v>#REF!</v>
      </c>
      <c r="I27" s="7" t="e">
        <f>TONTJANV22!I26+#REF!+#REF!+#REF!+#REF!+#REF!+#REF!+#REF!+#REF!+#REF!+#REF!+#REF!</f>
        <v>#REF!</v>
      </c>
      <c r="J27" s="7"/>
      <c r="K27" s="7"/>
      <c r="L27" s="7" t="e">
        <f>TONTJANV22!L26+#REF!+#REF!+#REF!+#REF!+#REF!+#REF!+#REF!+#REF!+#REF!+#REF!+#REF!</f>
        <v>#REF!</v>
      </c>
      <c r="M27" s="7" t="e">
        <f>TONTJANV22!M26+#REF!+#REF!+#REF!+#REF!+#REF!+#REF!+#REF!+#REF!+#REF!+#REF!+#REF!</f>
        <v>#REF!</v>
      </c>
      <c r="N27" s="7"/>
      <c r="O27" s="7"/>
      <c r="P27" s="7" t="e">
        <f>TONTJANV22!P26+#REF!+#REF!+#REF!+#REF!+#REF!+#REF!+#REF!+#REF!+#REF!+#REF!+#REF!</f>
        <v>#REF!</v>
      </c>
      <c r="Q27" s="7" t="e">
        <f>TONTJANV22!Q26+#REF!+#REF!+#REF!+#REF!+#REF!+#REF!+#REF!+#REF!+#REF!+#REF!+#REF!</f>
        <v>#REF!</v>
      </c>
      <c r="R27" s="7" t="e">
        <f>TONTJANV22!R26+#REF!+#REF!+#REF!+#REF!+#REF!+#REF!+#REF!+#REF!+#REF!+#REF!+#REF!</f>
        <v>#REF!</v>
      </c>
      <c r="S27" s="15">
        <v>44348</v>
      </c>
      <c r="T27" s="2" t="e">
        <f t="shared" si="0"/>
        <v>#REF!</v>
      </c>
      <c r="U27">
        <v>3500</v>
      </c>
      <c r="V27" t="s">
        <v>90</v>
      </c>
    </row>
    <row r="28" spans="1:22" x14ac:dyDescent="0.25">
      <c r="A28" s="1" t="s">
        <v>51</v>
      </c>
      <c r="B28" s="7">
        <f>VLOOKUP($A28,[11]HISTOMARS21!$A$6:$AP$37,9,0)</f>
        <v>1</v>
      </c>
      <c r="C28" s="1" t="str">
        <f>VLOOKUP(A28,[9]LISTADHERENT!A$5:H$60,3,0)</f>
        <v>SIME BRICE</v>
      </c>
      <c r="D28" s="7" t="e">
        <f>TONTJANV22!D27+#REF!+#REF!+#REF!+#REF!+#REF!+#REF!+#REF!+#REF!+#REF!+#REF!+#REF!</f>
        <v>#REF!</v>
      </c>
      <c r="E28" s="7" t="e">
        <f>TONTJANV22!E27+#REF!+#REF!+#REF!+#REF!+#REF!+#REF!+#REF!+#REF!+#REF!+#REF!+#REF!</f>
        <v>#REF!</v>
      </c>
      <c r="F28" s="7" t="e">
        <f>TONTJANV22!F27+#REF!+#REF!+#REF!+#REF!+#REF!+#REF!+#REF!+#REF!+#REF!+#REF!+#REF!</f>
        <v>#REF!</v>
      </c>
      <c r="G28" s="7"/>
      <c r="H28" s="7" t="e">
        <f>TONTJANV22!H27+#REF!+#REF!+#REF!+#REF!+#REF!+#REF!+#REF!+#REF!+#REF!+#REF!+#REF!</f>
        <v>#REF!</v>
      </c>
      <c r="I28" s="7" t="e">
        <f>TONTJANV22!I27+#REF!+#REF!+#REF!+#REF!+#REF!+#REF!+#REF!+#REF!+#REF!+#REF!+#REF!</f>
        <v>#REF!</v>
      </c>
      <c r="J28" s="7"/>
      <c r="K28" s="7"/>
      <c r="L28" s="7" t="e">
        <f>TONTJANV22!L27+#REF!+#REF!+#REF!+#REF!+#REF!+#REF!+#REF!+#REF!+#REF!+#REF!+#REF!</f>
        <v>#REF!</v>
      </c>
      <c r="M28" s="7" t="e">
        <f>TONTJANV22!M27+#REF!+#REF!+#REF!+#REF!+#REF!+#REF!+#REF!+#REF!+#REF!+#REF!+#REF!</f>
        <v>#REF!</v>
      </c>
      <c r="N28" s="7"/>
      <c r="O28" s="7"/>
      <c r="P28" s="7" t="e">
        <f>TONTJANV22!P27+#REF!+#REF!+#REF!+#REF!+#REF!+#REF!+#REF!+#REF!+#REF!+#REF!+#REF!</f>
        <v>#REF!</v>
      </c>
      <c r="Q28" s="7" t="e">
        <f>TONTJANV22!Q27+#REF!+#REF!+#REF!+#REF!+#REF!+#REF!+#REF!+#REF!+#REF!+#REF!+#REF!</f>
        <v>#REF!</v>
      </c>
      <c r="R28" s="7" t="e">
        <f>TONTJANV22!R27+#REF!+#REF!+#REF!+#REF!+#REF!+#REF!+#REF!+#REF!+#REF!+#REF!+#REF!</f>
        <v>#REF!</v>
      </c>
      <c r="S28" s="15">
        <v>44440</v>
      </c>
      <c r="T28" s="2" t="e">
        <f t="shared" si="0"/>
        <v>#REF!</v>
      </c>
      <c r="U28">
        <v>3500</v>
      </c>
    </row>
    <row r="29" spans="1:22" x14ac:dyDescent="0.25">
      <c r="A29" s="1" t="s">
        <v>28</v>
      </c>
      <c r="B29" s="7">
        <f>VLOOKUP($A29,[11]HISTOMARS21!$A$6:$AP$37,9,0)</f>
        <v>1</v>
      </c>
      <c r="C29" s="1" t="str">
        <f>VLOOKUP(A29,[9]LISTADHERENT!A$5:H$60,3,0)</f>
        <v>SIME MATHIEU</v>
      </c>
      <c r="D29" s="7" t="e">
        <f>TONTJANV22!#REF!+#REF!+#REF!+#REF!+#REF!+#REF!+#REF!+#REF!+#REF!+#REF!+#REF!+#REF!</f>
        <v>#REF!</v>
      </c>
      <c r="E29" s="7" t="e">
        <f>TONTJANV22!#REF!+#REF!+#REF!+#REF!+#REF!+#REF!+#REF!+#REF!+#REF!+#REF!+#REF!+#REF!</f>
        <v>#REF!</v>
      </c>
      <c r="F29" s="7" t="e">
        <f>TONTJANV22!#REF!+#REF!+#REF!+#REF!+#REF!+#REF!+#REF!+#REF!+#REF!+#REF!+#REF!+#REF!</f>
        <v>#REF!</v>
      </c>
      <c r="G29" s="7"/>
      <c r="H29" s="7" t="e">
        <f>TONTJANV22!#REF!+#REF!+#REF!+#REF!+#REF!+#REF!+#REF!+#REF!+#REF!+#REF!+#REF!+#REF!</f>
        <v>#REF!</v>
      </c>
      <c r="I29" s="7" t="e">
        <f>TONTJANV22!#REF!+#REF!+#REF!+#REF!+#REF!+#REF!+#REF!+#REF!+#REF!+#REF!+#REF!+#REF!</f>
        <v>#REF!</v>
      </c>
      <c r="J29" s="7"/>
      <c r="K29" s="7"/>
      <c r="L29" s="7" t="e">
        <f>TONTJANV22!#REF!+#REF!+#REF!+#REF!+#REF!+#REF!+#REF!+#REF!+#REF!+#REF!+#REF!+#REF!</f>
        <v>#REF!</v>
      </c>
      <c r="M29" s="7" t="e">
        <f>TONTJANV22!#REF!+#REF!+#REF!+#REF!+#REF!+#REF!+#REF!+#REF!+#REF!+#REF!+#REF!+#REF!</f>
        <v>#REF!</v>
      </c>
      <c r="N29" s="7"/>
      <c r="O29" s="7"/>
      <c r="P29" s="7" t="e">
        <f>TONTJANV22!#REF!+#REF!+#REF!+#REF!+#REF!+#REF!+#REF!+#REF!+#REF!+#REF!+#REF!+#REF!</f>
        <v>#REF!</v>
      </c>
      <c r="Q29" s="7" t="e">
        <f>TONTJANV22!#REF!+#REF!+#REF!+#REF!+#REF!+#REF!+#REF!+#REF!+#REF!+#REF!+#REF!+#REF!</f>
        <v>#REF!</v>
      </c>
      <c r="R29" s="7" t="e">
        <f>TONTJANV22!#REF!+#REF!+#REF!+#REF!+#REF!+#REF!+#REF!+#REF!+#REF!+#REF!+#REF!+#REF!</f>
        <v>#REF!</v>
      </c>
      <c r="T29" s="2">
        <v>0</v>
      </c>
    </row>
    <row r="30" spans="1:22" x14ac:dyDescent="0.25">
      <c r="A30" s="1" t="s">
        <v>27</v>
      </c>
      <c r="B30" s="7">
        <f>VLOOKUP($A30,[11]HISTOMARS21!$A$6:$AP$37,9,0)</f>
        <v>1</v>
      </c>
      <c r="C30" s="1" t="str">
        <f>VLOOKUP(A30,[9]LISTADHERENT!A$5:H$60,3,0)</f>
        <v>SIMO FONGANG ERIC</v>
      </c>
      <c r="D30" s="7" t="e">
        <f>TONTJANV22!#REF!+#REF!+#REF!+#REF!+#REF!+#REF!+#REF!+#REF!+#REF!+#REF!+#REF!+#REF!</f>
        <v>#REF!</v>
      </c>
      <c r="E30" s="7" t="e">
        <f>TONTJANV22!#REF!+#REF!+#REF!+#REF!+#REF!+#REF!+#REF!+#REF!+#REF!+#REF!+#REF!+#REF!</f>
        <v>#REF!</v>
      </c>
      <c r="F30" s="7" t="e">
        <f>TONTJANV22!#REF!+#REF!+#REF!+#REF!+#REF!+#REF!+#REF!+#REF!+#REF!+#REF!+#REF!+#REF!</f>
        <v>#REF!</v>
      </c>
      <c r="G30" s="7"/>
      <c r="H30" s="7" t="e">
        <f>TONTJANV22!#REF!+#REF!+#REF!+#REF!+#REF!+#REF!+#REF!+#REF!+#REF!+#REF!+#REF!+#REF!</f>
        <v>#REF!</v>
      </c>
      <c r="I30" s="7" t="e">
        <f>TONTJANV22!#REF!+#REF!+#REF!+#REF!+#REF!+#REF!+#REF!+#REF!+#REF!+#REF!+#REF!+#REF!</f>
        <v>#REF!</v>
      </c>
      <c r="J30" s="7"/>
      <c r="K30" s="7"/>
      <c r="L30" s="7" t="e">
        <f>TONTJANV22!#REF!+#REF!+#REF!+#REF!+#REF!+#REF!+#REF!+#REF!+#REF!+#REF!+#REF!+#REF!</f>
        <v>#REF!</v>
      </c>
      <c r="M30" s="7" t="e">
        <f>TONTJANV22!#REF!+#REF!+#REF!+#REF!+#REF!+#REF!+#REF!+#REF!+#REF!+#REF!+#REF!+#REF!</f>
        <v>#REF!</v>
      </c>
      <c r="N30" s="7"/>
      <c r="O30" s="7"/>
      <c r="P30" s="7" t="e">
        <f>TONTJANV22!#REF!+#REF!+#REF!+#REF!+#REF!+#REF!+#REF!+#REF!+#REF!+#REF!+#REF!+#REF!</f>
        <v>#REF!</v>
      </c>
      <c r="Q30" s="7" t="e">
        <f>TONTJANV22!#REF!+#REF!+#REF!+#REF!+#REF!+#REF!+#REF!+#REF!+#REF!+#REF!+#REF!+#REF!</f>
        <v>#REF!</v>
      </c>
      <c r="R30" s="7" t="e">
        <f>TONTJANV22!#REF!+#REF!+#REF!+#REF!+#REF!+#REF!+#REF!+#REF!+#REF!+#REF!+#REF!+#REF!</f>
        <v>#REF!</v>
      </c>
      <c r="T30" s="2">
        <v>0</v>
      </c>
    </row>
    <row r="31" spans="1:22" x14ac:dyDescent="0.25">
      <c r="A31" s="1" t="s">
        <v>29</v>
      </c>
      <c r="B31" s="7">
        <f>VLOOKUP($A31,[11]HISTOMARS21!$A$6:$AP$37,9,0)</f>
        <v>1</v>
      </c>
      <c r="C31" s="1" t="str">
        <f>VLOOKUP(A31,[9]LISTADHERENT!A$5:H$60,3,0)</f>
        <v>SIMO PIERRE</v>
      </c>
      <c r="D31" s="7" t="e">
        <f>TONTJANV22!D28+#REF!+#REF!+#REF!+#REF!+#REF!+#REF!+#REF!+#REF!+#REF!+#REF!+#REF!</f>
        <v>#REF!</v>
      </c>
      <c r="E31" s="7" t="e">
        <f>TONTJANV22!E28+#REF!+#REF!+#REF!+#REF!+#REF!+#REF!+#REF!+#REF!+#REF!+#REF!+#REF!</f>
        <v>#REF!</v>
      </c>
      <c r="F31" s="7" t="e">
        <f>TONTJANV22!F28+#REF!+#REF!+#REF!+#REF!+#REF!+#REF!+#REF!+#REF!+#REF!+#REF!+#REF!</f>
        <v>#REF!</v>
      </c>
      <c r="G31" s="7"/>
      <c r="H31" s="7" t="e">
        <f>TONTJANV22!H28+#REF!+#REF!+#REF!+#REF!+#REF!+#REF!+#REF!+#REF!+#REF!+#REF!+#REF!</f>
        <v>#REF!</v>
      </c>
      <c r="I31" s="7" t="e">
        <f>TONTJANV22!I28+#REF!+#REF!+#REF!+#REF!+#REF!+#REF!+#REF!+#REF!+#REF!+#REF!+#REF!</f>
        <v>#REF!</v>
      </c>
      <c r="J31" s="7"/>
      <c r="K31" s="7"/>
      <c r="L31" s="7" t="e">
        <f>TONTJANV22!L28+#REF!+#REF!+#REF!+#REF!+#REF!+#REF!+#REF!+#REF!+#REF!+#REF!+#REF!</f>
        <v>#REF!</v>
      </c>
      <c r="M31" s="7" t="e">
        <f>TONTJANV22!M28+#REF!+#REF!+#REF!+#REF!+#REF!+#REF!+#REF!+#REF!+#REF!+#REF!+#REF!</f>
        <v>#REF!</v>
      </c>
      <c r="N31" s="7"/>
      <c r="O31" s="7"/>
      <c r="P31" s="7" t="e">
        <f>TONTJANV22!P28+#REF!+#REF!+#REF!+#REF!+#REF!+#REF!+#REF!+#REF!+#REF!+#REF!+#REF!</f>
        <v>#REF!</v>
      </c>
      <c r="Q31" s="7" t="e">
        <f>TONTJANV22!Q28+#REF!+#REF!+#REF!+#REF!+#REF!+#REF!+#REF!+#REF!+#REF!+#REF!+#REF!</f>
        <v>#REF!</v>
      </c>
      <c r="R31" s="7" t="e">
        <f>TONTJANV22!R28+#REF!+#REF!+#REF!+#REF!+#REF!+#REF!+#REF!+#REF!+#REF!+#REF!+#REF!</f>
        <v>#REF!</v>
      </c>
      <c r="S31" s="15">
        <v>44287</v>
      </c>
      <c r="T31" s="2" t="e">
        <f t="shared" si="0"/>
        <v>#REF!</v>
      </c>
      <c r="U31">
        <v>3500</v>
      </c>
      <c r="V31" t="s">
        <v>90</v>
      </c>
    </row>
    <row r="32" spans="1:22" x14ac:dyDescent="0.25">
      <c r="A32" s="1" t="s">
        <v>31</v>
      </c>
      <c r="B32" s="7">
        <f>VLOOKUP($A32,[11]HISTOMARS21!$A$6:$AP$37,9,0)</f>
        <v>1</v>
      </c>
      <c r="C32" s="1" t="str">
        <f>VLOOKUP(A32,[9]LISTADHERENT!A$5:H$60,3,0)</f>
        <v>TCHOUAMOU MATHIEU</v>
      </c>
      <c r="D32" s="7" t="e">
        <f>TONTJANV22!D29+#REF!+#REF!+#REF!+#REF!+#REF!+#REF!+#REF!+#REF!+#REF!+#REF!+#REF!</f>
        <v>#REF!</v>
      </c>
      <c r="E32" s="7" t="e">
        <f>TONTJANV22!E29+#REF!+#REF!+#REF!+#REF!+#REF!+#REF!+#REF!+#REF!+#REF!+#REF!+#REF!</f>
        <v>#REF!</v>
      </c>
      <c r="F32" s="7" t="e">
        <f>TONTJANV22!F29+#REF!+#REF!+#REF!+#REF!+#REF!+#REF!+#REF!+#REF!+#REF!+#REF!+#REF!</f>
        <v>#REF!</v>
      </c>
      <c r="G32" s="7"/>
      <c r="H32" s="7" t="e">
        <f>TONTJANV22!H29+#REF!+#REF!+#REF!+#REF!+#REF!+#REF!+#REF!+#REF!+#REF!+#REF!+#REF!</f>
        <v>#REF!</v>
      </c>
      <c r="I32" s="7" t="e">
        <f>TONTJANV22!I29+#REF!+#REF!+#REF!+#REF!+#REF!+#REF!+#REF!+#REF!+#REF!+#REF!+#REF!</f>
        <v>#REF!</v>
      </c>
      <c r="J32" s="7"/>
      <c r="K32" s="7"/>
      <c r="L32" s="7" t="e">
        <f>TONTJANV22!L29+#REF!+#REF!+#REF!+#REF!+#REF!+#REF!+#REF!+#REF!+#REF!+#REF!+#REF!</f>
        <v>#REF!</v>
      </c>
      <c r="M32" s="7" t="e">
        <f>TONTJANV22!M29+#REF!+#REF!+#REF!+#REF!+#REF!+#REF!+#REF!+#REF!+#REF!+#REF!+#REF!</f>
        <v>#REF!</v>
      </c>
      <c r="N32" s="7"/>
      <c r="O32" s="7"/>
      <c r="P32" s="7" t="e">
        <f>TONTJANV22!P29+#REF!+#REF!+#REF!+#REF!+#REF!+#REF!+#REF!+#REF!+#REF!+#REF!+#REF!</f>
        <v>#REF!</v>
      </c>
      <c r="Q32" s="7" t="e">
        <f>TONTJANV22!Q29+#REF!+#REF!+#REF!+#REF!+#REF!+#REF!+#REF!+#REF!+#REF!+#REF!+#REF!</f>
        <v>#REF!</v>
      </c>
      <c r="R32" s="7" t="e">
        <f>TONTJANV22!R29+#REF!+#REF!+#REF!+#REF!+#REF!+#REF!+#REF!+#REF!+#REF!+#REF!+#REF!</f>
        <v>#REF!</v>
      </c>
      <c r="S32" s="15">
        <v>44256</v>
      </c>
      <c r="T32" s="2" t="e">
        <f t="shared" si="0"/>
        <v>#REF!</v>
      </c>
      <c r="U32">
        <v>3500</v>
      </c>
      <c r="V32" t="s">
        <v>90</v>
      </c>
    </row>
    <row r="33" spans="1:23" x14ac:dyDescent="0.25">
      <c r="A33" s="1" t="s">
        <v>32</v>
      </c>
      <c r="B33" s="7">
        <f>VLOOKUP($A33,[11]HISTOMARS21!$A$6:$AP$37,9,0)</f>
        <v>1</v>
      </c>
      <c r="C33" s="1" t="str">
        <f>VLOOKUP(A33,[9]LISTADHERENT!A$5:H$60,3,0)</f>
        <v>YEPMOU JEAN JACQUES</v>
      </c>
      <c r="D33" s="7" t="e">
        <f>TONTJANV22!D30+#REF!+#REF!+#REF!+#REF!+#REF!+#REF!+#REF!+#REF!+#REF!+#REF!+#REF!</f>
        <v>#REF!</v>
      </c>
      <c r="E33" s="7" t="e">
        <f>TONTJANV22!E30+#REF!+#REF!+#REF!+#REF!+#REF!+#REF!+#REF!+#REF!+#REF!+#REF!+#REF!</f>
        <v>#REF!</v>
      </c>
      <c r="F33" s="7" t="e">
        <f>TONTJANV22!F30+#REF!+#REF!+#REF!+#REF!+#REF!+#REF!+#REF!+#REF!+#REF!+#REF!+#REF!</f>
        <v>#REF!</v>
      </c>
      <c r="G33" s="7"/>
      <c r="H33" s="7" t="e">
        <f>TONTJANV22!H30+#REF!+#REF!+#REF!+#REF!+#REF!+#REF!+#REF!+#REF!+#REF!+#REF!+#REF!</f>
        <v>#REF!</v>
      </c>
      <c r="I33" s="7" t="e">
        <f>TONTJANV22!I30+#REF!+#REF!+#REF!+#REF!+#REF!+#REF!+#REF!+#REF!+#REF!+#REF!+#REF!</f>
        <v>#REF!</v>
      </c>
      <c r="J33" s="7"/>
      <c r="K33" s="7"/>
      <c r="L33" s="7" t="e">
        <f>TONTJANV22!L30+#REF!+#REF!+#REF!+#REF!+#REF!+#REF!+#REF!+#REF!+#REF!+#REF!+#REF!</f>
        <v>#REF!</v>
      </c>
      <c r="M33" s="7" t="e">
        <f>TONTJANV22!M30+#REF!+#REF!+#REF!+#REF!+#REF!+#REF!+#REF!+#REF!+#REF!+#REF!+#REF!</f>
        <v>#REF!</v>
      </c>
      <c r="N33" s="7"/>
      <c r="O33" s="7"/>
      <c r="P33" s="7" t="e">
        <f>TONTJANV22!P30+#REF!+#REF!+#REF!+#REF!+#REF!+#REF!+#REF!+#REF!+#REF!+#REF!+#REF!</f>
        <v>#REF!</v>
      </c>
      <c r="Q33" s="7" t="e">
        <f>TONTJANV22!Q30+#REF!+#REF!+#REF!+#REF!+#REF!+#REF!+#REF!+#REF!+#REF!+#REF!+#REF!</f>
        <v>#REF!</v>
      </c>
      <c r="R33" s="7" t="e">
        <f>TONTJANV22!R30+#REF!+#REF!+#REF!+#REF!+#REF!+#REF!+#REF!+#REF!+#REF!+#REF!+#REF!</f>
        <v>#REF!</v>
      </c>
      <c r="S33" s="15">
        <v>44470</v>
      </c>
      <c r="T33" s="2" t="e">
        <f t="shared" si="0"/>
        <v>#REF!</v>
      </c>
      <c r="U33">
        <v>3500</v>
      </c>
      <c r="V33" t="s">
        <v>91</v>
      </c>
    </row>
    <row r="34" spans="1:23" x14ac:dyDescent="0.25">
      <c r="A34" s="1" t="s">
        <v>33</v>
      </c>
      <c r="B34" s="7">
        <f>VLOOKUP($A34,[11]HISTOMARS21!$A$6:$AP$37,9,0)</f>
        <v>1</v>
      </c>
      <c r="C34" s="1" t="str">
        <f>VLOOKUP(A34,[9]LISTADHERENT!A$5:H$60,3,0)</f>
        <v>YOUMBI EMMANUEL</v>
      </c>
      <c r="D34" s="7" t="e">
        <f>TONTJANV22!D31+#REF!+#REF!+#REF!+#REF!+#REF!+#REF!+#REF!+#REF!+#REF!+#REF!+#REF!</f>
        <v>#REF!</v>
      </c>
      <c r="E34" s="7" t="e">
        <f>TONTJANV22!E31+#REF!+#REF!+#REF!+#REF!+#REF!+#REF!+#REF!+#REF!+#REF!+#REF!+#REF!</f>
        <v>#REF!</v>
      </c>
      <c r="F34" s="7" t="e">
        <f>TONTJANV22!F31+#REF!+#REF!+#REF!+#REF!+#REF!+#REF!+#REF!+#REF!+#REF!+#REF!+#REF!</f>
        <v>#REF!</v>
      </c>
      <c r="G34" s="7"/>
      <c r="H34" s="7" t="e">
        <f>TONTJANV22!H31+#REF!+#REF!+#REF!+#REF!+#REF!+#REF!+#REF!+#REF!+#REF!+#REF!+#REF!</f>
        <v>#REF!</v>
      </c>
      <c r="I34" s="7" t="e">
        <f>TONTJANV22!I31+#REF!+#REF!+#REF!+#REF!+#REF!+#REF!+#REF!+#REF!+#REF!+#REF!+#REF!</f>
        <v>#REF!</v>
      </c>
      <c r="J34" s="7"/>
      <c r="K34" s="7"/>
      <c r="L34" s="7" t="e">
        <f>TONTJANV22!L31+#REF!+#REF!+#REF!+#REF!+#REF!+#REF!+#REF!+#REF!+#REF!+#REF!+#REF!</f>
        <v>#REF!</v>
      </c>
      <c r="M34" s="7" t="e">
        <f>TONTJANV22!M31+#REF!+#REF!+#REF!+#REF!+#REF!+#REF!+#REF!+#REF!+#REF!+#REF!+#REF!</f>
        <v>#REF!</v>
      </c>
      <c r="N34" s="7"/>
      <c r="O34" s="7"/>
      <c r="P34" s="7" t="e">
        <f>TONTJANV22!P31+#REF!+#REF!+#REF!+#REF!+#REF!+#REF!+#REF!+#REF!+#REF!+#REF!+#REF!</f>
        <v>#REF!</v>
      </c>
      <c r="Q34" s="7" t="e">
        <f>TONTJANV22!Q31+#REF!+#REF!+#REF!+#REF!+#REF!+#REF!+#REF!+#REF!+#REF!+#REF!+#REF!</f>
        <v>#REF!</v>
      </c>
      <c r="R34" s="7" t="e">
        <f>TONTJANV22!R31+#REF!+#REF!+#REF!+#REF!+#REF!+#REF!+#REF!+#REF!+#REF!+#REF!+#REF!</f>
        <v>#REF!</v>
      </c>
      <c r="S34" s="15">
        <v>44440</v>
      </c>
      <c r="T34" s="2" t="e">
        <f t="shared" si="0"/>
        <v>#REF!</v>
      </c>
      <c r="U34">
        <v>3500</v>
      </c>
      <c r="V34" t="s">
        <v>90</v>
      </c>
    </row>
    <row r="35" spans="1:23" x14ac:dyDescent="0.25">
      <c r="A35" s="1"/>
    </row>
    <row r="36" spans="1:23" x14ac:dyDescent="0.25">
      <c r="A36" s="1"/>
      <c r="I36" s="9"/>
    </row>
    <row r="37" spans="1:23" ht="18" x14ac:dyDescent="0.25">
      <c r="A37" s="1"/>
      <c r="B37" s="8">
        <f>SUM(B6:B36)-1</f>
        <v>28</v>
      </c>
      <c r="C37" s="8">
        <f>SUM(C6:C36)</f>
        <v>0</v>
      </c>
      <c r="D37" s="8" t="e">
        <f>SUM(D6:D36)</f>
        <v>#REF!</v>
      </c>
      <c r="E37" s="8" t="e">
        <f>SUM(E6:E36)</f>
        <v>#REF!</v>
      </c>
      <c r="F37" s="8" t="e">
        <f>SUM(F6:F36)</f>
        <v>#REF!</v>
      </c>
      <c r="G37" s="8"/>
      <c r="H37" s="8" t="e">
        <f t="shared" ref="H37:T37" si="1">SUM(H6:H36)</f>
        <v>#REF!</v>
      </c>
      <c r="I37" s="8" t="e">
        <f t="shared" si="1"/>
        <v>#REF!</v>
      </c>
      <c r="J37" s="8">
        <f t="shared" si="1"/>
        <v>0</v>
      </c>
      <c r="K37" s="8">
        <f t="shared" si="1"/>
        <v>0</v>
      </c>
      <c r="L37" s="8" t="e">
        <f t="shared" si="1"/>
        <v>#REF!</v>
      </c>
      <c r="M37" s="8" t="e">
        <f t="shared" si="1"/>
        <v>#REF!</v>
      </c>
      <c r="N37" s="8">
        <f t="shared" si="1"/>
        <v>0</v>
      </c>
      <c r="O37" s="8">
        <f t="shared" si="1"/>
        <v>0</v>
      </c>
      <c r="P37" s="8" t="e">
        <f t="shared" si="1"/>
        <v>#REF!</v>
      </c>
      <c r="Q37" s="8" t="e">
        <f t="shared" si="1"/>
        <v>#REF!</v>
      </c>
      <c r="R37" s="8" t="e">
        <f t="shared" si="1"/>
        <v>#REF!</v>
      </c>
      <c r="T37" s="8" t="e">
        <f t="shared" si="1"/>
        <v>#REF!</v>
      </c>
      <c r="U37" s="8" t="s">
        <v>41</v>
      </c>
      <c r="V37" s="8" t="e">
        <f>+I37</f>
        <v>#REF!</v>
      </c>
      <c r="W37" s="8" t="e">
        <f>T37+V37</f>
        <v>#REF!</v>
      </c>
    </row>
    <row r="38" spans="1:23" s="2" customFormat="1" ht="18" x14ac:dyDescent="0.25">
      <c r="A38"/>
      <c r="B38"/>
      <c r="C38"/>
      <c r="D38"/>
      <c r="E38"/>
      <c r="G38"/>
      <c r="H38"/>
      <c r="I38" s="3"/>
      <c r="J38" s="3"/>
      <c r="K38" s="3"/>
      <c r="L38" s="8" t="s">
        <v>59</v>
      </c>
      <c r="M38" s="8" t="e">
        <f>L37-#REF!</f>
        <v>#REF!</v>
      </c>
      <c r="N38"/>
      <c r="O38" s="8" t="e">
        <f>M38+TONTJANV22!O44</f>
        <v>#REF!</v>
      </c>
      <c r="P38" s="8" t="s">
        <v>58</v>
      </c>
    </row>
    <row r="39" spans="1:23" x14ac:dyDescent="0.25">
      <c r="Q39" s="2" t="s">
        <v>88</v>
      </c>
    </row>
    <row r="40" spans="1:23" x14ac:dyDescent="0.25">
      <c r="P40" s="3" t="str">
        <f>+C8</f>
        <v>DJOMOU TCHANDA</v>
      </c>
      <c r="Q40" s="2">
        <v>277000</v>
      </c>
    </row>
    <row r="41" spans="1:23" x14ac:dyDescent="0.25">
      <c r="P41" s="3" t="str">
        <f>+C18</f>
        <v>LOWE JEAN</v>
      </c>
      <c r="Q41" s="2">
        <v>277000</v>
      </c>
      <c r="R41" s="2" t="s">
        <v>55</v>
      </c>
      <c r="S41" s="2" t="e">
        <f>+#REF!</f>
        <v>#REF!</v>
      </c>
    </row>
    <row r="42" spans="1:23" x14ac:dyDescent="0.25">
      <c r="P42" s="3" t="str">
        <f>+C29</f>
        <v>SIME MATHIEU</v>
      </c>
      <c r="Q42" s="2" t="e">
        <f>+D29</f>
        <v>#REF!</v>
      </c>
      <c r="R42" s="2" t="s">
        <v>38</v>
      </c>
      <c r="S42" s="2" t="e">
        <f>+#REF!</f>
        <v>#REF!</v>
      </c>
    </row>
    <row r="43" spans="1:23" x14ac:dyDescent="0.25">
      <c r="P43" s="3" t="str">
        <f>+C30</f>
        <v>SIMO FONGANG ERIC</v>
      </c>
      <c r="Q43" s="2" t="e">
        <f>+D30</f>
        <v>#REF!</v>
      </c>
    </row>
    <row r="44" spans="1:23" x14ac:dyDescent="0.25">
      <c r="P44" s="3" t="str">
        <f>+C13</f>
        <v>FOTSO THOMAS</v>
      </c>
      <c r="Q44" s="2" t="e">
        <f>+D13</f>
        <v>#REF!</v>
      </c>
    </row>
    <row r="46" spans="1:23" x14ac:dyDescent="0.25">
      <c r="Q46" s="2" t="e">
        <f>SUM(Q40:Q45)</f>
        <v>#REF!</v>
      </c>
      <c r="S46" s="2" t="e">
        <f>SUM(S41:S45)</f>
        <v>#REF!</v>
      </c>
      <c r="T46" s="2" t="e">
        <f>S46-Q46-1000-10600</f>
        <v>#REF!</v>
      </c>
    </row>
    <row r="47" spans="1:23" x14ac:dyDescent="0.25">
      <c r="U47" t="e">
        <f>T46/26</f>
        <v>#REF!</v>
      </c>
      <c r="V47">
        <v>3600</v>
      </c>
    </row>
  </sheetData>
  <autoFilter ref="A5:R34">
    <sortState ref="A5:N48">
      <sortCondition ref="C5:C48"/>
    </sortState>
  </autoFilter>
  <mergeCells count="1">
    <mergeCell ref="D4:I4"/>
  </mergeCells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3"/>
  <sheetViews>
    <sheetView workbookViewId="0">
      <selection activeCell="H21" sqref="H21"/>
    </sheetView>
  </sheetViews>
  <sheetFormatPr baseColWidth="10" defaultRowHeight="15" x14ac:dyDescent="0.25"/>
  <cols>
    <col min="2" max="2" width="21.28515625" bestFit="1" customWidth="1"/>
    <col min="5" max="5" width="23.42578125" bestFit="1" customWidth="1"/>
  </cols>
  <sheetData>
    <row r="1" spans="2:10" ht="23.25" x14ac:dyDescent="0.35">
      <c r="B1" s="12" t="s">
        <v>61</v>
      </c>
    </row>
    <row r="3" spans="2:10" x14ac:dyDescent="0.25">
      <c r="C3" t="s">
        <v>38</v>
      </c>
      <c r="D3" t="s">
        <v>62</v>
      </c>
      <c r="E3" t="s">
        <v>63</v>
      </c>
      <c r="F3" t="s">
        <v>62</v>
      </c>
      <c r="G3" t="s">
        <v>64</v>
      </c>
      <c r="H3" t="s">
        <v>34</v>
      </c>
      <c r="I3" t="s">
        <v>38</v>
      </c>
      <c r="J3" t="s">
        <v>35</v>
      </c>
    </row>
    <row r="4" spans="2:10" x14ac:dyDescent="0.25">
      <c r="B4" t="s">
        <v>65</v>
      </c>
      <c r="C4" s="2">
        <f>20000*3</f>
        <v>60000</v>
      </c>
      <c r="D4" s="2">
        <f>C4*10/100</f>
        <v>6000</v>
      </c>
      <c r="E4" s="2"/>
      <c r="F4" s="2"/>
      <c r="G4" s="2"/>
      <c r="H4" s="2">
        <f>C4+D4+E4+F4-G4</f>
        <v>66000</v>
      </c>
    </row>
    <row r="5" spans="2:10" x14ac:dyDescent="0.25">
      <c r="B5" t="s">
        <v>66</v>
      </c>
      <c r="C5" s="2">
        <f>20000*5</f>
        <v>100000</v>
      </c>
      <c r="D5" s="2">
        <f>C5*10/100</f>
        <v>10000</v>
      </c>
      <c r="E5" s="2">
        <v>60000</v>
      </c>
      <c r="F5" s="2">
        <v>7500</v>
      </c>
      <c r="G5" s="2"/>
      <c r="H5" s="2">
        <f>D5+E5+F5-G5</f>
        <v>77500</v>
      </c>
      <c r="I5" s="2">
        <v>220000</v>
      </c>
      <c r="J5" s="2">
        <f>I5-H5</f>
        <v>142500</v>
      </c>
    </row>
    <row r="6" spans="2:10" x14ac:dyDescent="0.25">
      <c r="B6" t="s">
        <v>67</v>
      </c>
      <c r="C6" s="2">
        <f>20000*1</f>
        <v>20000</v>
      </c>
      <c r="D6" s="2">
        <f>C6*10/100</f>
        <v>2000</v>
      </c>
      <c r="E6" s="2"/>
      <c r="F6" s="2"/>
      <c r="G6" s="2"/>
      <c r="H6" s="2">
        <f t="shared" ref="H6:H7" si="0">C6+D6+E6+F6-G6</f>
        <v>22000</v>
      </c>
    </row>
    <row r="7" spans="2:10" x14ac:dyDescent="0.25">
      <c r="B7" t="s">
        <v>68</v>
      </c>
      <c r="C7" s="2">
        <f>20000*1</f>
        <v>20000</v>
      </c>
      <c r="D7" s="2">
        <f>C7*10/100</f>
        <v>2000</v>
      </c>
      <c r="E7" s="2">
        <v>50000</v>
      </c>
      <c r="F7" s="2">
        <v>4500</v>
      </c>
      <c r="G7" s="2"/>
      <c r="H7" s="2">
        <f t="shared" si="0"/>
        <v>76500</v>
      </c>
    </row>
    <row r="8" spans="2:10" x14ac:dyDescent="0.25">
      <c r="C8" s="2"/>
      <c r="D8" s="2"/>
      <c r="E8" s="2"/>
      <c r="F8" s="2"/>
      <c r="G8" s="2"/>
      <c r="H8" s="2"/>
    </row>
    <row r="9" spans="2:10" x14ac:dyDescent="0.25">
      <c r="B9" t="s">
        <v>34</v>
      </c>
      <c r="C9" s="2">
        <f>SUM(C4:C8)</f>
        <v>200000</v>
      </c>
      <c r="D9" s="2">
        <f t="shared" ref="D9:H9" si="1">SUM(D4:D8)</f>
        <v>20000</v>
      </c>
      <c r="E9" s="2">
        <f t="shared" si="1"/>
        <v>110000</v>
      </c>
      <c r="F9" s="2">
        <f t="shared" si="1"/>
        <v>12000</v>
      </c>
      <c r="G9" s="2">
        <f t="shared" si="1"/>
        <v>0</v>
      </c>
      <c r="H9" s="2">
        <f t="shared" si="1"/>
        <v>242000</v>
      </c>
    </row>
    <row r="10" spans="2:10" x14ac:dyDescent="0.25">
      <c r="C10" s="2"/>
      <c r="D10" s="2"/>
      <c r="E10" s="2"/>
      <c r="F10" s="2"/>
      <c r="G10" s="2"/>
      <c r="H10" s="2"/>
    </row>
    <row r="11" spans="2:10" x14ac:dyDescent="0.25">
      <c r="C11" s="2"/>
      <c r="D11" s="2"/>
      <c r="E11" s="2"/>
      <c r="F11" s="2"/>
      <c r="G11" s="2"/>
      <c r="H11" s="2"/>
    </row>
    <row r="12" spans="2:10" x14ac:dyDescent="0.25">
      <c r="B12" t="s">
        <v>79</v>
      </c>
      <c r="E12" t="s">
        <v>73</v>
      </c>
    </row>
    <row r="14" spans="2:10" x14ac:dyDescent="0.25">
      <c r="B14" t="s">
        <v>69</v>
      </c>
      <c r="C14" s="2">
        <v>280000</v>
      </c>
      <c r="D14" s="2"/>
      <c r="E14" s="2" t="s">
        <v>74</v>
      </c>
      <c r="F14" s="2">
        <v>580000</v>
      </c>
    </row>
    <row r="15" spans="2:10" x14ac:dyDescent="0.25">
      <c r="B15" t="s">
        <v>70</v>
      </c>
      <c r="C15" s="2">
        <v>280000</v>
      </c>
      <c r="D15" s="2"/>
      <c r="E15" s="2" t="s">
        <v>63</v>
      </c>
      <c r="F15" s="2">
        <v>175500</v>
      </c>
    </row>
    <row r="16" spans="2:10" x14ac:dyDescent="0.25">
      <c r="B16" t="s">
        <v>71</v>
      </c>
      <c r="C16" s="2">
        <v>280000</v>
      </c>
      <c r="D16" s="2"/>
      <c r="E16" s="2" t="s">
        <v>75</v>
      </c>
      <c r="F16" s="2">
        <v>280000</v>
      </c>
    </row>
    <row r="17" spans="2:6" x14ac:dyDescent="0.25">
      <c r="B17" t="s">
        <v>66</v>
      </c>
      <c r="C17" s="2">
        <v>142500</v>
      </c>
      <c r="D17" s="2"/>
      <c r="E17" s="2" t="s">
        <v>76</v>
      </c>
      <c r="F17" s="2">
        <v>240000</v>
      </c>
    </row>
    <row r="18" spans="2:6" x14ac:dyDescent="0.25">
      <c r="B18" t="s">
        <v>72</v>
      </c>
      <c r="C18" s="2">
        <v>200000</v>
      </c>
      <c r="D18" s="2"/>
      <c r="E18" s="2" t="s">
        <v>68</v>
      </c>
      <c r="F18" s="2">
        <v>76500</v>
      </c>
    </row>
    <row r="19" spans="2:6" x14ac:dyDescent="0.25">
      <c r="C19" s="2"/>
      <c r="D19" s="2"/>
      <c r="E19" s="2" t="s">
        <v>77</v>
      </c>
      <c r="F19" s="2">
        <v>66000</v>
      </c>
    </row>
    <row r="20" spans="2:6" x14ac:dyDescent="0.25">
      <c r="C20" s="2">
        <f>SUM(C14:C19)</f>
        <v>1182500</v>
      </c>
      <c r="D20" s="2"/>
      <c r="E20" s="2" t="s">
        <v>78</v>
      </c>
      <c r="F20" s="2">
        <v>22000</v>
      </c>
    </row>
    <row r="21" spans="2:6" x14ac:dyDescent="0.25">
      <c r="C21" s="2"/>
      <c r="D21" s="2"/>
      <c r="E21" s="2"/>
      <c r="F21" s="2"/>
    </row>
    <row r="22" spans="2:6" x14ac:dyDescent="0.25">
      <c r="C22" s="2"/>
      <c r="D22" s="2"/>
      <c r="E22" s="2"/>
      <c r="F22" s="2">
        <f>SUM(F14:F21)</f>
        <v>1440000</v>
      </c>
    </row>
    <row r="23" spans="2:6" x14ac:dyDescent="0.25">
      <c r="C23" s="2"/>
      <c r="D23" s="2">
        <f>F22-C20</f>
        <v>257500</v>
      </c>
      <c r="E23" s="2"/>
      <c r="F2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Plages nommées</vt:lpstr>
      </vt:variant>
      <vt:variant>
        <vt:i4>1</vt:i4>
      </vt:variant>
    </vt:vector>
  </HeadingPairs>
  <TitlesOfParts>
    <vt:vector size="19" baseType="lpstr">
      <vt:lpstr>MODEVERSEMENT</vt:lpstr>
      <vt:lpstr>TONTJANV23</vt:lpstr>
      <vt:lpstr>TONTFEV23</vt:lpstr>
      <vt:lpstr>TONTJANV22</vt:lpstr>
      <vt:lpstr>TONTFEV22</vt:lpstr>
      <vt:lpstr>TONTMARS22</vt:lpstr>
      <vt:lpstr>TONTAVRIL22</vt:lpstr>
      <vt:lpstr>TONTMAI22</vt:lpstr>
      <vt:lpstr>TONTJUIN22</vt:lpstr>
      <vt:lpstr>TONTJUIL22</vt:lpstr>
      <vt:lpstr>TONTAOUT22</vt:lpstr>
      <vt:lpstr>TONTSEPT22</vt:lpstr>
      <vt:lpstr>TONTOCT22</vt:lpstr>
      <vt:lpstr>TONTNOV22</vt:lpstr>
      <vt:lpstr>TONTDEC22</vt:lpstr>
      <vt:lpstr>TONTRESUME22</vt:lpstr>
      <vt:lpstr>TONTRESUME21</vt:lpstr>
      <vt:lpstr>DEFAILLANCETONTINE</vt:lpstr>
      <vt:lpstr>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DJUOMBESSY</cp:lastModifiedBy>
  <dcterms:created xsi:type="dcterms:W3CDTF">2017-07-22T10:59:38Z</dcterms:created>
  <dcterms:modified xsi:type="dcterms:W3CDTF">2023-12-14T16:09:23Z</dcterms:modified>
</cp:coreProperties>
</file>