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</workbook>
</file>

<file path=xl/calcChain.xml><?xml version="1.0" encoding="utf-8"?>
<calcChain xmlns="http://schemas.openxmlformats.org/spreadsheetml/2006/main">
  <c r="E54" i="17" l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" i="17"/>
  <c r="L63" i="17" l="1"/>
  <c r="L64" i="17"/>
  <c r="L59" i="17"/>
  <c r="G63" i="17"/>
  <c r="L54" i="17" l="1"/>
  <c r="R33" i="17"/>
  <c r="G33" i="6"/>
  <c r="R31" i="17"/>
  <c r="B37" i="17" l="1"/>
  <c r="B35" i="17"/>
  <c r="B11" i="17"/>
  <c r="O19" i="17" l="1"/>
  <c r="F64" i="19" l="1"/>
  <c r="L54" i="19"/>
  <c r="F66" i="19" s="1"/>
  <c r="K54" i="19"/>
  <c r="D54" i="19"/>
  <c r="E58" i="19" s="1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I52" i="19" s="1"/>
  <c r="C52" i="19"/>
  <c r="E52" i="19" s="1"/>
  <c r="B52" i="19"/>
  <c r="AA51" i="19"/>
  <c r="Z51" i="19"/>
  <c r="Y51" i="19"/>
  <c r="X51" i="19"/>
  <c r="W51" i="19"/>
  <c r="V51" i="19"/>
  <c r="U51" i="19"/>
  <c r="T51" i="19"/>
  <c r="S51" i="19"/>
  <c r="R51" i="19"/>
  <c r="Q51" i="19"/>
  <c r="N51" i="19" s="1"/>
  <c r="I51" i="19" s="1"/>
  <c r="P51" i="19"/>
  <c r="O51" i="19"/>
  <c r="C51" i="19"/>
  <c r="E51" i="19" s="1"/>
  <c r="B51" i="19"/>
  <c r="AA50" i="19"/>
  <c r="Z50" i="19"/>
  <c r="Y50" i="19"/>
  <c r="X50" i="19"/>
  <c r="W50" i="19"/>
  <c r="V50" i="19"/>
  <c r="U50" i="19"/>
  <c r="T50" i="19"/>
  <c r="S50" i="19"/>
  <c r="R50" i="19"/>
  <c r="Q50" i="19"/>
  <c r="N50" i="19" s="1"/>
  <c r="I50" i="19" s="1"/>
  <c r="P50" i="19"/>
  <c r="O50" i="19"/>
  <c r="C50" i="19"/>
  <c r="E50" i="19" s="1"/>
  <c r="B50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C49" i="19"/>
  <c r="B49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I48" i="19" s="1"/>
  <c r="C48" i="19"/>
  <c r="E48" i="19" s="1"/>
  <c r="B48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E47" i="19" s="1"/>
  <c r="B47" i="19"/>
  <c r="AA46" i="19"/>
  <c r="Z46" i="19"/>
  <c r="Y46" i="19"/>
  <c r="X46" i="19"/>
  <c r="W46" i="19"/>
  <c r="V46" i="19"/>
  <c r="U46" i="19"/>
  <c r="T46" i="19"/>
  <c r="S46" i="19"/>
  <c r="R46" i="19"/>
  <c r="Q46" i="19"/>
  <c r="N46" i="19" s="1"/>
  <c r="P46" i="19"/>
  <c r="E46" i="19" s="1"/>
  <c r="I46" i="19"/>
  <c r="C46" i="19"/>
  <c r="B46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I45" i="19" s="1"/>
  <c r="M45" i="19"/>
  <c r="E45" i="19"/>
  <c r="C45" i="19"/>
  <c r="B45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I44" i="19" s="1"/>
  <c r="E44" i="19"/>
  <c r="B44" i="19"/>
  <c r="AA43" i="19"/>
  <c r="Z43" i="19"/>
  <c r="Y43" i="19"/>
  <c r="X43" i="19"/>
  <c r="W43" i="19"/>
  <c r="V43" i="19"/>
  <c r="U43" i="19"/>
  <c r="T43" i="19"/>
  <c r="S43" i="19"/>
  <c r="N43" i="19" s="1"/>
  <c r="I43" i="19" s="1"/>
  <c r="R43" i="19"/>
  <c r="Q43" i="19"/>
  <c r="P43" i="19"/>
  <c r="O43" i="19"/>
  <c r="C43" i="19"/>
  <c r="E43" i="19" s="1"/>
  <c r="B43" i="19"/>
  <c r="AA42" i="19"/>
  <c r="Z42" i="19"/>
  <c r="Y42" i="19"/>
  <c r="X42" i="19"/>
  <c r="W42" i="19"/>
  <c r="V42" i="19"/>
  <c r="U42" i="19"/>
  <c r="T42" i="19"/>
  <c r="S42" i="19"/>
  <c r="R42" i="19"/>
  <c r="Q42" i="19"/>
  <c r="N42" i="19" s="1"/>
  <c r="I42" i="19" s="1"/>
  <c r="P42" i="19"/>
  <c r="O42" i="19"/>
  <c r="E42" i="19"/>
  <c r="C42" i="19"/>
  <c r="B42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I41" i="19" s="1"/>
  <c r="C41" i="19"/>
  <c r="E41" i="19" s="1"/>
  <c r="B41" i="19"/>
  <c r="AA40" i="19"/>
  <c r="Z40" i="19"/>
  <c r="Y40" i="19"/>
  <c r="X40" i="19"/>
  <c r="W40" i="19"/>
  <c r="V40" i="19"/>
  <c r="U40" i="19"/>
  <c r="T40" i="19"/>
  <c r="S40" i="19"/>
  <c r="R40" i="19"/>
  <c r="Q40" i="19"/>
  <c r="N40" i="19" s="1"/>
  <c r="P40" i="19"/>
  <c r="E40" i="19" s="1"/>
  <c r="O40" i="19"/>
  <c r="M40" i="19"/>
  <c r="B40" i="19"/>
  <c r="AA39" i="19"/>
  <c r="Z39" i="19"/>
  <c r="Y39" i="19"/>
  <c r="X39" i="19"/>
  <c r="W39" i="19"/>
  <c r="V39" i="19"/>
  <c r="U39" i="19"/>
  <c r="T39" i="19"/>
  <c r="S39" i="19"/>
  <c r="N39" i="19" s="1"/>
  <c r="I39" i="19" s="1"/>
  <c r="R39" i="19"/>
  <c r="Q39" i="19"/>
  <c r="P39" i="19"/>
  <c r="O39" i="19"/>
  <c r="E39" i="19"/>
  <c r="C39" i="19"/>
  <c r="B39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E38" i="19" s="1"/>
  <c r="O38" i="19"/>
  <c r="N38" i="19"/>
  <c r="I38" i="19" s="1"/>
  <c r="C38" i="19"/>
  <c r="B38" i="19"/>
  <c r="AA37" i="19"/>
  <c r="Z37" i="19"/>
  <c r="Y37" i="19"/>
  <c r="X37" i="19"/>
  <c r="W37" i="19"/>
  <c r="V37" i="19"/>
  <c r="U37" i="19"/>
  <c r="T37" i="19"/>
  <c r="S37" i="19"/>
  <c r="N37" i="19" s="1"/>
  <c r="I37" i="19" s="1"/>
  <c r="R37" i="19"/>
  <c r="Q37" i="19"/>
  <c r="P37" i="19"/>
  <c r="O37" i="19"/>
  <c r="E37" i="19"/>
  <c r="C37" i="19"/>
  <c r="B37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E36" i="19" s="1"/>
  <c r="O36" i="19"/>
  <c r="N36" i="19"/>
  <c r="I36" i="19"/>
  <c r="C36" i="19"/>
  <c r="B36" i="19"/>
  <c r="AA35" i="19"/>
  <c r="Z35" i="19"/>
  <c r="Y35" i="19"/>
  <c r="X35" i="19"/>
  <c r="W35" i="19"/>
  <c r="V35" i="19"/>
  <c r="U35" i="19"/>
  <c r="T35" i="19"/>
  <c r="S35" i="19"/>
  <c r="N35" i="19" s="1"/>
  <c r="I35" i="19" s="1"/>
  <c r="R35" i="19"/>
  <c r="Q35" i="19"/>
  <c r="P35" i="19"/>
  <c r="O35" i="19"/>
  <c r="E35" i="19"/>
  <c r="C35" i="19"/>
  <c r="B35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E34" i="19" s="1"/>
  <c r="N34" i="19"/>
  <c r="I34" i="19" s="1"/>
  <c r="C34" i="19"/>
  <c r="B34" i="19"/>
  <c r="AA33" i="19"/>
  <c r="Z33" i="19"/>
  <c r="Y33" i="19"/>
  <c r="X33" i="19"/>
  <c r="W33" i="19"/>
  <c r="V33" i="19"/>
  <c r="U33" i="19"/>
  <c r="T33" i="19"/>
  <c r="S33" i="19"/>
  <c r="N33" i="19" s="1"/>
  <c r="I33" i="19" s="1"/>
  <c r="R33" i="19"/>
  <c r="Q33" i="19"/>
  <c r="P33" i="19"/>
  <c r="E33" i="19" s="1"/>
  <c r="M33" i="19"/>
  <c r="B33" i="19"/>
  <c r="AA32" i="19"/>
  <c r="Z32" i="19"/>
  <c r="Y32" i="19"/>
  <c r="X32" i="19"/>
  <c r="W32" i="19"/>
  <c r="V32" i="19"/>
  <c r="U32" i="19"/>
  <c r="T32" i="19"/>
  <c r="S32" i="19"/>
  <c r="R32" i="19"/>
  <c r="Q32" i="19"/>
  <c r="N32" i="19" s="1"/>
  <c r="I32" i="19" s="1"/>
  <c r="P32" i="19"/>
  <c r="E32" i="19"/>
  <c r="C32" i="19"/>
  <c r="B32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E31" i="19" s="1"/>
  <c r="N31" i="19"/>
  <c r="I31" i="19" s="1"/>
  <c r="B31" i="19"/>
  <c r="AA30" i="19"/>
  <c r="Z30" i="19"/>
  <c r="Y30" i="19"/>
  <c r="X30" i="19"/>
  <c r="W30" i="19"/>
  <c r="V30" i="19"/>
  <c r="U30" i="19"/>
  <c r="T30" i="19"/>
  <c r="S30" i="19"/>
  <c r="R30" i="19"/>
  <c r="Q30" i="19"/>
  <c r="N30" i="19" s="1"/>
  <c r="P30" i="19"/>
  <c r="E30" i="19" s="1"/>
  <c r="O30" i="19"/>
  <c r="M30" i="19"/>
  <c r="I30" i="19" s="1"/>
  <c r="C30" i="19"/>
  <c r="B30" i="19"/>
  <c r="AA29" i="19"/>
  <c r="Z29" i="19"/>
  <c r="Y29" i="19"/>
  <c r="X29" i="19"/>
  <c r="W29" i="19"/>
  <c r="V29" i="19"/>
  <c r="U29" i="19"/>
  <c r="T29" i="19"/>
  <c r="S29" i="19"/>
  <c r="N29" i="19" s="1"/>
  <c r="I29" i="19" s="1"/>
  <c r="R29" i="19"/>
  <c r="Q29" i="19"/>
  <c r="P29" i="19"/>
  <c r="O29" i="19"/>
  <c r="E29" i="19"/>
  <c r="C29" i="19"/>
  <c r="B29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I28" i="19"/>
  <c r="C28" i="19"/>
  <c r="E28" i="19" s="1"/>
  <c r="B28" i="19"/>
  <c r="AA27" i="19"/>
  <c r="Z27" i="19"/>
  <c r="Y27" i="19"/>
  <c r="X27" i="19"/>
  <c r="W27" i="19"/>
  <c r="V27" i="19"/>
  <c r="U27" i="19"/>
  <c r="T27" i="19"/>
  <c r="S27" i="19"/>
  <c r="R27" i="19"/>
  <c r="Q27" i="19"/>
  <c r="N27" i="19" s="1"/>
  <c r="I27" i="19" s="1"/>
  <c r="P27" i="19"/>
  <c r="C27" i="19"/>
  <c r="B27" i="19"/>
  <c r="AA26" i="19"/>
  <c r="Z26" i="19"/>
  <c r="Y26" i="19"/>
  <c r="X26" i="19"/>
  <c r="W26" i="19"/>
  <c r="V26" i="19"/>
  <c r="U26" i="19"/>
  <c r="T26" i="19"/>
  <c r="S26" i="19"/>
  <c r="R26" i="19"/>
  <c r="Q26" i="19"/>
  <c r="N26" i="19" s="1"/>
  <c r="P26" i="19"/>
  <c r="E26" i="19" s="1"/>
  <c r="I26" i="19"/>
  <c r="C26" i="19"/>
  <c r="B26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I25" i="19" s="1"/>
  <c r="C25" i="19"/>
  <c r="E25" i="19" s="1"/>
  <c r="B25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C24" i="19"/>
  <c r="E24" i="19" s="1"/>
  <c r="B24" i="19"/>
  <c r="AA23" i="19"/>
  <c r="Z23" i="19"/>
  <c r="Y23" i="19"/>
  <c r="X23" i="19"/>
  <c r="W23" i="19"/>
  <c r="V23" i="19"/>
  <c r="U23" i="19"/>
  <c r="T23" i="19"/>
  <c r="S23" i="19"/>
  <c r="R23" i="19"/>
  <c r="Q23" i="19"/>
  <c r="N23" i="19" s="1"/>
  <c r="I23" i="19" s="1"/>
  <c r="P23" i="19"/>
  <c r="O23" i="19"/>
  <c r="C23" i="19"/>
  <c r="E23" i="19" s="1"/>
  <c r="B23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E22" i="19"/>
  <c r="B22" i="19"/>
  <c r="AA21" i="19"/>
  <c r="Z21" i="19"/>
  <c r="Y21" i="19"/>
  <c r="X21" i="19"/>
  <c r="W21" i="19"/>
  <c r="V21" i="19"/>
  <c r="U21" i="19"/>
  <c r="T21" i="19"/>
  <c r="S21" i="19"/>
  <c r="R21" i="19"/>
  <c r="Q21" i="19"/>
  <c r="N21" i="19" s="1"/>
  <c r="I21" i="19" s="1"/>
  <c r="P21" i="19"/>
  <c r="O21" i="19"/>
  <c r="E21" i="19"/>
  <c r="C21" i="19"/>
  <c r="B21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N20" i="19"/>
  <c r="I20" i="19" s="1"/>
  <c r="C20" i="19"/>
  <c r="B20" i="19"/>
  <c r="AA19" i="19"/>
  <c r="Z19" i="19"/>
  <c r="Y19" i="19"/>
  <c r="X19" i="19"/>
  <c r="W19" i="19"/>
  <c r="V19" i="19"/>
  <c r="U19" i="19"/>
  <c r="T19" i="19"/>
  <c r="S19" i="19"/>
  <c r="R19" i="19"/>
  <c r="Q19" i="19"/>
  <c r="N19" i="19" s="1"/>
  <c r="P19" i="19"/>
  <c r="M19" i="19"/>
  <c r="C19" i="19"/>
  <c r="E19" i="19" s="1"/>
  <c r="B19" i="19"/>
  <c r="AA18" i="19"/>
  <c r="Z18" i="19"/>
  <c r="Y18" i="19"/>
  <c r="X18" i="19"/>
  <c r="W18" i="19"/>
  <c r="V18" i="19"/>
  <c r="U18" i="19"/>
  <c r="T18" i="19"/>
  <c r="S18" i="19"/>
  <c r="R18" i="19"/>
  <c r="Q18" i="19"/>
  <c r="N18" i="19" s="1"/>
  <c r="P18" i="19"/>
  <c r="O18" i="19"/>
  <c r="I18" i="19"/>
  <c r="C18" i="19"/>
  <c r="E18" i="19" s="1"/>
  <c r="B18" i="19"/>
  <c r="AA17" i="19"/>
  <c r="Z17" i="19"/>
  <c r="Y17" i="19"/>
  <c r="X17" i="19"/>
  <c r="W17" i="19"/>
  <c r="V17" i="19"/>
  <c r="U17" i="19"/>
  <c r="T17" i="19"/>
  <c r="S17" i="19"/>
  <c r="R17" i="19"/>
  <c r="Q17" i="19"/>
  <c r="N17" i="19" s="1"/>
  <c r="P17" i="19"/>
  <c r="O17" i="19"/>
  <c r="M17" i="19"/>
  <c r="E17" i="19"/>
  <c r="B17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C16" i="19"/>
  <c r="E16" i="19" s="1"/>
  <c r="B16" i="19"/>
  <c r="AA15" i="19"/>
  <c r="Z15" i="19"/>
  <c r="Y15" i="19"/>
  <c r="X15" i="19"/>
  <c r="W15" i="19"/>
  <c r="V15" i="19"/>
  <c r="U15" i="19"/>
  <c r="T15" i="19"/>
  <c r="S15" i="19"/>
  <c r="R15" i="19"/>
  <c r="Q15" i="19"/>
  <c r="N15" i="19" s="1"/>
  <c r="I15" i="19" s="1"/>
  <c r="P15" i="19"/>
  <c r="O15" i="19"/>
  <c r="C15" i="19"/>
  <c r="E15" i="19" s="1"/>
  <c r="B15" i="19"/>
  <c r="AA14" i="19"/>
  <c r="Z14" i="19"/>
  <c r="Y14" i="19"/>
  <c r="X14" i="19"/>
  <c r="W14" i="19"/>
  <c r="V14" i="19"/>
  <c r="U14" i="19"/>
  <c r="T14" i="19"/>
  <c r="S14" i="19"/>
  <c r="R14" i="19"/>
  <c r="Q14" i="19"/>
  <c r="N14" i="19" s="1"/>
  <c r="P14" i="19"/>
  <c r="O14" i="19"/>
  <c r="I14" i="19"/>
  <c r="E14" i="19"/>
  <c r="C14" i="19"/>
  <c r="B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I13" i="19" s="1"/>
  <c r="E13" i="19"/>
  <c r="B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I12" i="19" s="1"/>
  <c r="C12" i="19"/>
  <c r="E12" i="19" s="1"/>
  <c r="B12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I11" i="19"/>
  <c r="E11" i="19"/>
  <c r="C11" i="19"/>
  <c r="B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I10" i="19" s="1"/>
  <c r="C10" i="19"/>
  <c r="E10" i="19" s="1"/>
  <c r="B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C9" i="19"/>
  <c r="E9" i="19" s="1"/>
  <c r="B9" i="19"/>
  <c r="AA8" i="19"/>
  <c r="Z8" i="19"/>
  <c r="Y8" i="19"/>
  <c r="X8" i="19"/>
  <c r="W8" i="19"/>
  <c r="V8" i="19"/>
  <c r="U8" i="19"/>
  <c r="T8" i="19"/>
  <c r="S8" i="19"/>
  <c r="R8" i="19"/>
  <c r="Q8" i="19"/>
  <c r="N8" i="19" s="1"/>
  <c r="I8" i="19" s="1"/>
  <c r="P8" i="19"/>
  <c r="O8" i="19"/>
  <c r="C8" i="19"/>
  <c r="E8" i="19" s="1"/>
  <c r="B8" i="19"/>
  <c r="AA7" i="19"/>
  <c r="Z7" i="19"/>
  <c r="Y7" i="19"/>
  <c r="Y54" i="19" s="1"/>
  <c r="X7" i="19"/>
  <c r="W7" i="19"/>
  <c r="V7" i="19"/>
  <c r="U7" i="19"/>
  <c r="U54" i="19" s="1"/>
  <c r="T7" i="19"/>
  <c r="S7" i="19"/>
  <c r="R7" i="19"/>
  <c r="Q7" i="19"/>
  <c r="N7" i="19" s="1"/>
  <c r="I7" i="19" s="1"/>
  <c r="P7" i="19"/>
  <c r="O7" i="19"/>
  <c r="E7" i="19"/>
  <c r="C7" i="19"/>
  <c r="B7" i="19"/>
  <c r="AA6" i="19"/>
  <c r="Z6" i="19"/>
  <c r="Z54" i="19" s="1"/>
  <c r="Y6" i="19"/>
  <c r="X6" i="19"/>
  <c r="W6" i="19"/>
  <c r="V6" i="19"/>
  <c r="V54" i="19" s="1"/>
  <c r="U6" i="19"/>
  <c r="T6" i="19"/>
  <c r="S6" i="19"/>
  <c r="R6" i="19"/>
  <c r="R54" i="19" s="1"/>
  <c r="Q6" i="19"/>
  <c r="P6" i="19"/>
  <c r="O6" i="19"/>
  <c r="C6" i="19"/>
  <c r="E6" i="19" s="1"/>
  <c r="B6" i="19"/>
  <c r="AA5" i="19"/>
  <c r="Z5" i="19"/>
  <c r="Y5" i="19"/>
  <c r="X5" i="19"/>
  <c r="X54" i="19" s="1"/>
  <c r="W5" i="19"/>
  <c r="V5" i="19"/>
  <c r="U5" i="19"/>
  <c r="T5" i="19"/>
  <c r="T54" i="19" s="1"/>
  <c r="S5" i="19"/>
  <c r="R5" i="19"/>
  <c r="Q5" i="19"/>
  <c r="P5" i="19"/>
  <c r="O5" i="19"/>
  <c r="I5" i="19"/>
  <c r="E5" i="19"/>
  <c r="C5" i="19"/>
  <c r="B5" i="19"/>
  <c r="P54" i="19" l="1"/>
  <c r="E60" i="19" s="1"/>
  <c r="E27" i="19"/>
  <c r="E20" i="19"/>
  <c r="E54" i="19"/>
  <c r="I17" i="19"/>
  <c r="N22" i="19"/>
  <c r="I22" i="19" s="1"/>
  <c r="N47" i="19"/>
  <c r="I47" i="19" s="1"/>
  <c r="E49" i="19"/>
  <c r="Q54" i="19"/>
  <c r="C54" i="19"/>
  <c r="N24" i="19"/>
  <c r="I24" i="19" s="1"/>
  <c r="N6" i="19"/>
  <c r="I19" i="19"/>
  <c r="I40" i="19"/>
  <c r="M54" i="19"/>
  <c r="F63" i="19" s="1"/>
  <c r="S54" i="19"/>
  <c r="W54" i="19"/>
  <c r="AA54" i="19"/>
  <c r="N9" i="19"/>
  <c r="I9" i="19" s="1"/>
  <c r="N16" i="19"/>
  <c r="I16" i="19" s="1"/>
  <c r="N49" i="19"/>
  <c r="I49" i="19" s="1"/>
  <c r="J28" i="17"/>
  <c r="J5" i="17"/>
  <c r="I6" i="19" l="1"/>
  <c r="I54" i="19" s="1"/>
  <c r="N54" i="19"/>
  <c r="F65" i="19" s="1"/>
  <c r="O45" i="17"/>
  <c r="O40" i="17"/>
  <c r="O30" i="17"/>
  <c r="O17" i="17"/>
  <c r="M54" i="17" l="1"/>
  <c r="G65" i="17" s="1"/>
  <c r="R43" i="17"/>
  <c r="R17" i="17"/>
  <c r="R45" i="17"/>
  <c r="D12" i="2"/>
  <c r="R19" i="17"/>
  <c r="R48" i="17"/>
  <c r="R40" i="17"/>
  <c r="R30" i="17"/>
  <c r="K47" i="16"/>
  <c r="C22" i="16"/>
  <c r="D54" i="16"/>
  <c r="E54" i="16"/>
  <c r="F54" i="16"/>
  <c r="G54" i="16"/>
  <c r="H54" i="16"/>
  <c r="I54" i="16"/>
  <c r="J54" i="16"/>
  <c r="K54" i="16"/>
  <c r="L54" i="16"/>
  <c r="M54" i="16"/>
  <c r="N54" i="16"/>
  <c r="C58" i="18" l="1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J6" i="18"/>
  <c r="AK6" i="18"/>
  <c r="AL6" i="18"/>
  <c r="AJ7" i="18"/>
  <c r="AK7" i="18"/>
  <c r="AL7" i="18"/>
  <c r="AJ8" i="18"/>
  <c r="AK8" i="18"/>
  <c r="AL8" i="18"/>
  <c r="AJ9" i="18"/>
  <c r="AK9" i="18"/>
  <c r="AL9" i="18"/>
  <c r="AJ10" i="18"/>
  <c r="AK10" i="18"/>
  <c r="AL10" i="18"/>
  <c r="AJ11" i="18"/>
  <c r="AK11" i="18"/>
  <c r="AL11" i="18"/>
  <c r="AJ12" i="18"/>
  <c r="AK12" i="18"/>
  <c r="AL12" i="18"/>
  <c r="AJ13" i="18"/>
  <c r="AK13" i="18"/>
  <c r="AL13" i="18"/>
  <c r="AJ14" i="18"/>
  <c r="AK14" i="18"/>
  <c r="AL14" i="18"/>
  <c r="AJ15" i="18"/>
  <c r="AK15" i="18"/>
  <c r="AL15" i="18"/>
  <c r="AJ16" i="18"/>
  <c r="AK16" i="18"/>
  <c r="AL16" i="18"/>
  <c r="AJ17" i="18"/>
  <c r="AK17" i="18"/>
  <c r="AL17" i="18"/>
  <c r="AJ18" i="18"/>
  <c r="AK18" i="18"/>
  <c r="AL18" i="18"/>
  <c r="AJ19" i="18"/>
  <c r="AK19" i="18"/>
  <c r="AL19" i="18"/>
  <c r="AJ20" i="18"/>
  <c r="AK20" i="18"/>
  <c r="AL20" i="18"/>
  <c r="AJ21" i="18"/>
  <c r="AK21" i="18"/>
  <c r="AL21" i="18"/>
  <c r="AJ22" i="18"/>
  <c r="AK22" i="18"/>
  <c r="AL22" i="18"/>
  <c r="AJ23" i="18"/>
  <c r="AK23" i="18"/>
  <c r="AL23" i="18"/>
  <c r="AJ24" i="18"/>
  <c r="AK24" i="18"/>
  <c r="AL24" i="18"/>
  <c r="AJ25" i="18"/>
  <c r="AK25" i="18"/>
  <c r="AL25" i="18"/>
  <c r="AJ26" i="18"/>
  <c r="AK26" i="18"/>
  <c r="AL26" i="18"/>
  <c r="AJ27" i="18"/>
  <c r="AK27" i="18"/>
  <c r="AL27" i="18"/>
  <c r="AJ28" i="18"/>
  <c r="AK28" i="18"/>
  <c r="AL28" i="18"/>
  <c r="AJ29" i="18"/>
  <c r="AK29" i="18"/>
  <c r="AL29" i="18"/>
  <c r="AJ30" i="18"/>
  <c r="AK30" i="18"/>
  <c r="AL30" i="18"/>
  <c r="AJ31" i="18"/>
  <c r="AK31" i="18"/>
  <c r="AL31" i="18"/>
  <c r="AJ32" i="18"/>
  <c r="AK32" i="18"/>
  <c r="AL32" i="18"/>
  <c r="AJ33" i="18"/>
  <c r="AK33" i="18"/>
  <c r="AL33" i="18"/>
  <c r="AJ34" i="18"/>
  <c r="AK34" i="18"/>
  <c r="AL34" i="18"/>
  <c r="AJ35" i="18"/>
  <c r="AK35" i="18"/>
  <c r="AL35" i="18"/>
  <c r="AJ36" i="18"/>
  <c r="AK36" i="18"/>
  <c r="AL36" i="18"/>
  <c r="AJ37" i="18"/>
  <c r="AK37" i="18"/>
  <c r="AL37" i="18"/>
  <c r="AJ38" i="18"/>
  <c r="AK38" i="18"/>
  <c r="AL38" i="18"/>
  <c r="AJ39" i="18"/>
  <c r="AK39" i="18"/>
  <c r="AL39" i="18"/>
  <c r="AJ40" i="18"/>
  <c r="AK40" i="18"/>
  <c r="AL40" i="18"/>
  <c r="AJ41" i="18"/>
  <c r="AK41" i="18"/>
  <c r="AL41" i="18"/>
  <c r="AJ42" i="18"/>
  <c r="AK42" i="18"/>
  <c r="AL42" i="18"/>
  <c r="AJ43" i="18"/>
  <c r="AK43" i="18"/>
  <c r="AL43" i="18"/>
  <c r="AJ44" i="18"/>
  <c r="AK44" i="18"/>
  <c r="AL44" i="18"/>
  <c r="AJ45" i="18"/>
  <c r="AK45" i="18"/>
  <c r="AL45" i="18"/>
  <c r="AJ46" i="18"/>
  <c r="AK46" i="18"/>
  <c r="AL46" i="18"/>
  <c r="AJ47" i="18"/>
  <c r="AK47" i="18"/>
  <c r="AL47" i="18"/>
  <c r="AJ48" i="18"/>
  <c r="AK48" i="18"/>
  <c r="AL48" i="18"/>
  <c r="AJ49" i="18"/>
  <c r="AK49" i="18"/>
  <c r="AL49" i="18"/>
  <c r="AJ50" i="18"/>
  <c r="AK50" i="18"/>
  <c r="AL50" i="18"/>
  <c r="AJ51" i="18"/>
  <c r="AK51" i="18"/>
  <c r="AL51" i="18"/>
  <c r="AJ52" i="18"/>
  <c r="AK52" i="18"/>
  <c r="AL52" i="18"/>
  <c r="AL5" i="18"/>
  <c r="AK5" i="18"/>
  <c r="AJ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C56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X5" i="17" l="1"/>
  <c r="X6" i="17"/>
  <c r="X7" i="17"/>
  <c r="X8" i="17"/>
  <c r="X9" i="17"/>
  <c r="X10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6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Q9" i="17"/>
  <c r="R9" i="17"/>
  <c r="S9" i="17"/>
  <c r="T9" i="17"/>
  <c r="U9" i="17"/>
  <c r="V9" i="17"/>
  <c r="W9" i="17"/>
  <c r="Y9" i="17"/>
  <c r="Z9" i="17"/>
  <c r="AA9" i="17"/>
  <c r="AB9" i="17"/>
  <c r="AC9" i="17"/>
  <c r="Q10" i="17"/>
  <c r="R10" i="17"/>
  <c r="S10" i="17"/>
  <c r="T10" i="17"/>
  <c r="U10" i="17"/>
  <c r="V10" i="17"/>
  <c r="W10" i="17"/>
  <c r="Y10" i="17"/>
  <c r="Z10" i="17"/>
  <c r="AA10" i="17"/>
  <c r="AB10" i="17"/>
  <c r="AC10" i="17"/>
  <c r="Q12" i="17"/>
  <c r="R12" i="17"/>
  <c r="S12" i="17"/>
  <c r="T12" i="17"/>
  <c r="U12" i="17"/>
  <c r="V12" i="17"/>
  <c r="W12" i="17"/>
  <c r="Y12" i="17"/>
  <c r="Z12" i="17"/>
  <c r="AA12" i="17"/>
  <c r="AB12" i="17"/>
  <c r="AC12" i="17"/>
  <c r="Q13" i="17"/>
  <c r="R13" i="17"/>
  <c r="S13" i="17"/>
  <c r="T13" i="17"/>
  <c r="U13" i="17"/>
  <c r="V13" i="17"/>
  <c r="W13" i="17"/>
  <c r="Y13" i="17"/>
  <c r="Z13" i="17"/>
  <c r="AA13" i="17"/>
  <c r="AB13" i="17"/>
  <c r="AC13" i="17"/>
  <c r="Q14" i="17"/>
  <c r="R14" i="17"/>
  <c r="S14" i="17"/>
  <c r="T14" i="17"/>
  <c r="U14" i="17"/>
  <c r="V14" i="17"/>
  <c r="W14" i="17"/>
  <c r="Y14" i="17"/>
  <c r="Z14" i="17"/>
  <c r="AA14" i="17"/>
  <c r="AB14" i="17"/>
  <c r="AC14" i="17"/>
  <c r="Q15" i="17"/>
  <c r="R15" i="17"/>
  <c r="S15" i="17"/>
  <c r="T15" i="17"/>
  <c r="U15" i="17"/>
  <c r="V15" i="17"/>
  <c r="W15" i="17"/>
  <c r="Y15" i="17"/>
  <c r="Z15" i="17"/>
  <c r="AA15" i="17"/>
  <c r="AB15" i="17"/>
  <c r="AC15" i="17"/>
  <c r="Q16" i="17"/>
  <c r="R16" i="17"/>
  <c r="S16" i="17"/>
  <c r="T16" i="17"/>
  <c r="U16" i="17"/>
  <c r="V16" i="17"/>
  <c r="W16" i="17"/>
  <c r="Y16" i="17"/>
  <c r="Z16" i="17"/>
  <c r="AA16" i="17"/>
  <c r="AB16" i="17"/>
  <c r="AC16" i="17"/>
  <c r="Q17" i="17"/>
  <c r="S17" i="17"/>
  <c r="T17" i="17"/>
  <c r="U17" i="17"/>
  <c r="V17" i="17"/>
  <c r="W17" i="17"/>
  <c r="Y17" i="17"/>
  <c r="Z17" i="17"/>
  <c r="AA17" i="17"/>
  <c r="AB17" i="17"/>
  <c r="AC17" i="17"/>
  <c r="Q18" i="17"/>
  <c r="R18" i="17"/>
  <c r="S18" i="17"/>
  <c r="T18" i="17"/>
  <c r="U18" i="17"/>
  <c r="V18" i="17"/>
  <c r="W18" i="17"/>
  <c r="Y18" i="17"/>
  <c r="Z18" i="17"/>
  <c r="AA18" i="17"/>
  <c r="AB18" i="17"/>
  <c r="AC18" i="17"/>
  <c r="S19" i="17"/>
  <c r="T19" i="17"/>
  <c r="U19" i="17"/>
  <c r="V19" i="17"/>
  <c r="W19" i="17"/>
  <c r="Y19" i="17"/>
  <c r="Z19" i="17"/>
  <c r="AA19" i="17"/>
  <c r="AB19" i="17"/>
  <c r="AC19" i="17"/>
  <c r="R20" i="17"/>
  <c r="S20" i="17"/>
  <c r="T20" i="17"/>
  <c r="U20" i="17"/>
  <c r="V20" i="17"/>
  <c r="W20" i="17"/>
  <c r="Y20" i="17"/>
  <c r="Z20" i="17"/>
  <c r="AA20" i="17"/>
  <c r="AB20" i="17"/>
  <c r="AC20" i="17"/>
  <c r="Q21" i="17"/>
  <c r="R21" i="17"/>
  <c r="S21" i="17"/>
  <c r="T21" i="17"/>
  <c r="U21" i="17"/>
  <c r="V21" i="17"/>
  <c r="W21" i="17"/>
  <c r="Y21" i="17"/>
  <c r="Z21" i="17"/>
  <c r="AA21" i="17"/>
  <c r="AB21" i="17"/>
  <c r="AC21" i="17"/>
  <c r="Q22" i="17"/>
  <c r="R22" i="17"/>
  <c r="S22" i="17"/>
  <c r="T22" i="17"/>
  <c r="U22" i="17"/>
  <c r="V22" i="17"/>
  <c r="W22" i="17"/>
  <c r="Y22" i="17"/>
  <c r="Z22" i="17"/>
  <c r="AA22" i="17"/>
  <c r="AB22" i="17"/>
  <c r="AC22" i="17"/>
  <c r="Q23" i="17"/>
  <c r="R23" i="17"/>
  <c r="S23" i="17"/>
  <c r="T23" i="17"/>
  <c r="U23" i="17"/>
  <c r="V23" i="17"/>
  <c r="W23" i="17"/>
  <c r="Y23" i="17"/>
  <c r="Z23" i="17"/>
  <c r="AA23" i="17"/>
  <c r="AB23" i="17"/>
  <c r="AC23" i="17"/>
  <c r="Q24" i="17"/>
  <c r="R24" i="17"/>
  <c r="S24" i="17"/>
  <c r="T24" i="17"/>
  <c r="U24" i="17"/>
  <c r="V24" i="17"/>
  <c r="W24" i="17"/>
  <c r="Y24" i="17"/>
  <c r="Z24" i="17"/>
  <c r="AA24" i="17"/>
  <c r="AB24" i="17"/>
  <c r="AC24" i="17"/>
  <c r="Q25" i="17"/>
  <c r="R25" i="17"/>
  <c r="S25" i="17"/>
  <c r="T25" i="17"/>
  <c r="U25" i="17"/>
  <c r="V25" i="17"/>
  <c r="W25" i="17"/>
  <c r="Y25" i="17"/>
  <c r="Z25" i="17"/>
  <c r="AA25" i="17"/>
  <c r="AB25" i="17"/>
  <c r="AC25" i="17"/>
  <c r="R26" i="17"/>
  <c r="S26" i="17"/>
  <c r="T26" i="17"/>
  <c r="U26" i="17"/>
  <c r="V26" i="17"/>
  <c r="W26" i="17"/>
  <c r="Y26" i="17"/>
  <c r="Z26" i="17"/>
  <c r="AA26" i="17"/>
  <c r="AB26" i="17"/>
  <c r="AC26" i="17"/>
  <c r="R27" i="17"/>
  <c r="S27" i="17"/>
  <c r="T27" i="17"/>
  <c r="U27" i="17"/>
  <c r="V27" i="17"/>
  <c r="W27" i="17"/>
  <c r="Y27" i="17"/>
  <c r="Z27" i="17"/>
  <c r="AA27" i="17"/>
  <c r="AB27" i="17"/>
  <c r="AC27" i="17"/>
  <c r="Q28" i="17"/>
  <c r="R28" i="17"/>
  <c r="S28" i="17"/>
  <c r="T28" i="17"/>
  <c r="U28" i="17"/>
  <c r="V28" i="17"/>
  <c r="W28" i="17"/>
  <c r="Y28" i="17"/>
  <c r="Z28" i="17"/>
  <c r="AA28" i="17"/>
  <c r="AB28" i="17"/>
  <c r="AC28" i="17"/>
  <c r="Q29" i="17"/>
  <c r="R29" i="17"/>
  <c r="S29" i="17"/>
  <c r="T29" i="17"/>
  <c r="U29" i="17"/>
  <c r="V29" i="17"/>
  <c r="W29" i="17"/>
  <c r="Y29" i="17"/>
  <c r="Z29" i="17"/>
  <c r="AA29" i="17"/>
  <c r="AB29" i="17"/>
  <c r="AC29" i="17"/>
  <c r="Q30" i="17"/>
  <c r="S30" i="17"/>
  <c r="T30" i="17"/>
  <c r="U30" i="17"/>
  <c r="V30" i="17"/>
  <c r="W30" i="17"/>
  <c r="Y30" i="17"/>
  <c r="Z30" i="17"/>
  <c r="AA30" i="17"/>
  <c r="AB30" i="17"/>
  <c r="AC30" i="17"/>
  <c r="S31" i="17"/>
  <c r="T31" i="17"/>
  <c r="U31" i="17"/>
  <c r="V31" i="17"/>
  <c r="W31" i="17"/>
  <c r="Y31" i="17"/>
  <c r="Z31" i="17"/>
  <c r="AA31" i="17"/>
  <c r="AB31" i="17"/>
  <c r="AC31" i="17"/>
  <c r="R32" i="17"/>
  <c r="S32" i="17"/>
  <c r="T32" i="17"/>
  <c r="U32" i="17"/>
  <c r="V32" i="17"/>
  <c r="W32" i="17"/>
  <c r="Y32" i="17"/>
  <c r="Z32" i="17"/>
  <c r="AA32" i="17"/>
  <c r="AB32" i="17"/>
  <c r="AC32" i="17"/>
  <c r="S33" i="17"/>
  <c r="T33" i="17"/>
  <c r="U33" i="17"/>
  <c r="V33" i="17"/>
  <c r="W33" i="17"/>
  <c r="Y33" i="17"/>
  <c r="Z33" i="17"/>
  <c r="AA33" i="17"/>
  <c r="AB33" i="17"/>
  <c r="AC33" i="17"/>
  <c r="R34" i="17"/>
  <c r="S34" i="17"/>
  <c r="T34" i="17"/>
  <c r="U34" i="17"/>
  <c r="V34" i="17"/>
  <c r="W34" i="17"/>
  <c r="Y34" i="17"/>
  <c r="Z34" i="17"/>
  <c r="AA34" i="17"/>
  <c r="AB34" i="17"/>
  <c r="AC34" i="17"/>
  <c r="Q36" i="17"/>
  <c r="R36" i="17"/>
  <c r="S36" i="17"/>
  <c r="T36" i="17"/>
  <c r="U36" i="17"/>
  <c r="V36" i="17"/>
  <c r="W36" i="17"/>
  <c r="Y36" i="17"/>
  <c r="Z36" i="17"/>
  <c r="AA36" i="17"/>
  <c r="AB36" i="17"/>
  <c r="AC36" i="17"/>
  <c r="Q38" i="17"/>
  <c r="R38" i="17"/>
  <c r="S38" i="17"/>
  <c r="T38" i="17"/>
  <c r="U38" i="17"/>
  <c r="V38" i="17"/>
  <c r="W38" i="17"/>
  <c r="Y38" i="17"/>
  <c r="Z38" i="17"/>
  <c r="AA38" i="17"/>
  <c r="AB38" i="17"/>
  <c r="AC38" i="17"/>
  <c r="Q39" i="17"/>
  <c r="R39" i="17"/>
  <c r="S39" i="17"/>
  <c r="T39" i="17"/>
  <c r="U39" i="17"/>
  <c r="V39" i="17"/>
  <c r="W39" i="17"/>
  <c r="Y39" i="17"/>
  <c r="Z39" i="17"/>
  <c r="AA39" i="17"/>
  <c r="AB39" i="17"/>
  <c r="AC39" i="17"/>
  <c r="Q40" i="17"/>
  <c r="S40" i="17"/>
  <c r="T40" i="17"/>
  <c r="U40" i="17"/>
  <c r="V40" i="17"/>
  <c r="W40" i="17"/>
  <c r="Y40" i="17"/>
  <c r="Z40" i="17"/>
  <c r="AA40" i="17"/>
  <c r="AB40" i="17"/>
  <c r="AC40" i="17"/>
  <c r="Q41" i="17"/>
  <c r="R41" i="17"/>
  <c r="S41" i="17"/>
  <c r="T41" i="17"/>
  <c r="U41" i="17"/>
  <c r="V41" i="17"/>
  <c r="W41" i="17"/>
  <c r="Y41" i="17"/>
  <c r="Z41" i="17"/>
  <c r="AA41" i="17"/>
  <c r="AB41" i="17"/>
  <c r="AC41" i="17"/>
  <c r="R42" i="17"/>
  <c r="S42" i="17"/>
  <c r="T42" i="17"/>
  <c r="U42" i="17"/>
  <c r="V42" i="17"/>
  <c r="W42" i="17"/>
  <c r="Y42" i="17"/>
  <c r="Z42" i="17"/>
  <c r="AA42" i="17"/>
  <c r="AB42" i="17"/>
  <c r="AC42" i="17"/>
  <c r="S43" i="17"/>
  <c r="T43" i="17"/>
  <c r="U43" i="17"/>
  <c r="V43" i="17"/>
  <c r="W43" i="17"/>
  <c r="Y43" i="17"/>
  <c r="Z43" i="17"/>
  <c r="AA43" i="17"/>
  <c r="AB43" i="17"/>
  <c r="AC43" i="17"/>
  <c r="Q44" i="17"/>
  <c r="R44" i="17"/>
  <c r="S44" i="17"/>
  <c r="T44" i="17"/>
  <c r="U44" i="17"/>
  <c r="V44" i="17"/>
  <c r="W44" i="17"/>
  <c r="Y44" i="17"/>
  <c r="Z44" i="17"/>
  <c r="AA44" i="17"/>
  <c r="AB44" i="17"/>
  <c r="AC44" i="17"/>
  <c r="Q45" i="17"/>
  <c r="S45" i="17"/>
  <c r="T45" i="17"/>
  <c r="U45" i="17"/>
  <c r="V45" i="17"/>
  <c r="W45" i="17"/>
  <c r="Y45" i="17"/>
  <c r="Z45" i="17"/>
  <c r="AA45" i="17"/>
  <c r="AB45" i="17"/>
  <c r="AC45" i="17"/>
  <c r="R46" i="17"/>
  <c r="S46" i="17"/>
  <c r="T46" i="17"/>
  <c r="U46" i="17"/>
  <c r="V46" i="17"/>
  <c r="W46" i="17"/>
  <c r="Y46" i="17"/>
  <c r="Z46" i="17"/>
  <c r="AA46" i="17"/>
  <c r="AB46" i="17"/>
  <c r="AC46" i="17"/>
  <c r="R47" i="17"/>
  <c r="S47" i="17"/>
  <c r="T47" i="17"/>
  <c r="U47" i="17"/>
  <c r="V47" i="17"/>
  <c r="W47" i="17"/>
  <c r="Y47" i="17"/>
  <c r="Z47" i="17"/>
  <c r="AA47" i="17"/>
  <c r="AB47" i="17"/>
  <c r="AC47" i="17"/>
  <c r="Q48" i="17"/>
  <c r="S48" i="17"/>
  <c r="T48" i="17"/>
  <c r="U48" i="17"/>
  <c r="V48" i="17"/>
  <c r="W48" i="17"/>
  <c r="Y48" i="17"/>
  <c r="Z48" i="17"/>
  <c r="AA48" i="17"/>
  <c r="AB48" i="17"/>
  <c r="AC48" i="17"/>
  <c r="Q49" i="17"/>
  <c r="R49" i="17"/>
  <c r="S49" i="17"/>
  <c r="T49" i="17"/>
  <c r="U49" i="17"/>
  <c r="V49" i="17"/>
  <c r="W49" i="17"/>
  <c r="Y49" i="17"/>
  <c r="Z49" i="17"/>
  <c r="AA49" i="17"/>
  <c r="AB49" i="17"/>
  <c r="AC49" i="17"/>
  <c r="Q50" i="17"/>
  <c r="R50" i="17"/>
  <c r="S50" i="17"/>
  <c r="T50" i="17"/>
  <c r="U50" i="17"/>
  <c r="V50" i="17"/>
  <c r="W50" i="17"/>
  <c r="Y50" i="17"/>
  <c r="Z50" i="17"/>
  <c r="AA50" i="17"/>
  <c r="AB50" i="17"/>
  <c r="AC50" i="17"/>
  <c r="Q51" i="17"/>
  <c r="R51" i="17"/>
  <c r="S51" i="17"/>
  <c r="T51" i="17"/>
  <c r="U51" i="17"/>
  <c r="V51" i="17"/>
  <c r="W51" i="17"/>
  <c r="Y51" i="17"/>
  <c r="Z51" i="17"/>
  <c r="AA51" i="17"/>
  <c r="AB51" i="17"/>
  <c r="AC51" i="17"/>
  <c r="Q52" i="17"/>
  <c r="R52" i="17"/>
  <c r="S52" i="17"/>
  <c r="T52" i="17"/>
  <c r="U52" i="17"/>
  <c r="V52" i="17"/>
  <c r="W52" i="17"/>
  <c r="Y52" i="17"/>
  <c r="Z52" i="17"/>
  <c r="AA52" i="17"/>
  <c r="AB52" i="17"/>
  <c r="AC52" i="17"/>
  <c r="Q6" i="17"/>
  <c r="R6" i="17"/>
  <c r="S6" i="17"/>
  <c r="T6" i="17"/>
  <c r="U6" i="17"/>
  <c r="V6" i="17"/>
  <c r="W6" i="17"/>
  <c r="Y6" i="17"/>
  <c r="Z6" i="17"/>
  <c r="AA6" i="17"/>
  <c r="AB6" i="17"/>
  <c r="AC6" i="17"/>
  <c r="Q7" i="17"/>
  <c r="R7" i="17"/>
  <c r="S7" i="17"/>
  <c r="T7" i="17"/>
  <c r="U7" i="17"/>
  <c r="V7" i="17"/>
  <c r="W7" i="17"/>
  <c r="Y7" i="17"/>
  <c r="Z7" i="17"/>
  <c r="AA7" i="17"/>
  <c r="AB7" i="17"/>
  <c r="AC7" i="17"/>
  <c r="Q8" i="17"/>
  <c r="R8" i="17"/>
  <c r="S8" i="17"/>
  <c r="T8" i="17"/>
  <c r="U8" i="17"/>
  <c r="V8" i="17"/>
  <c r="W8" i="17"/>
  <c r="Y8" i="17"/>
  <c r="Z8" i="17"/>
  <c r="AA8" i="17"/>
  <c r="AB8" i="17"/>
  <c r="AC8" i="17"/>
  <c r="R5" i="17"/>
  <c r="S5" i="17"/>
  <c r="T5" i="17"/>
  <c r="U5" i="17"/>
  <c r="V5" i="17"/>
  <c r="W5" i="17"/>
  <c r="Y5" i="17"/>
  <c r="Z5" i="17"/>
  <c r="AA5" i="17"/>
  <c r="AB5" i="17"/>
  <c r="AC5" i="17"/>
  <c r="Q5" i="17"/>
  <c r="D54" i="17"/>
  <c r="F58" i="17" s="1"/>
  <c r="C52" i="17"/>
  <c r="B52" i="17"/>
  <c r="C51" i="17"/>
  <c r="B51" i="17"/>
  <c r="C50" i="17"/>
  <c r="B50" i="17"/>
  <c r="C49" i="17"/>
  <c r="B49" i="17"/>
  <c r="C48" i="17"/>
  <c r="B48" i="17"/>
  <c r="B47" i="17"/>
  <c r="C46" i="17"/>
  <c r="B46" i="17"/>
  <c r="C45" i="17"/>
  <c r="B45" i="17"/>
  <c r="B44" i="17"/>
  <c r="C43" i="17"/>
  <c r="B43" i="17"/>
  <c r="C42" i="17"/>
  <c r="B42" i="17"/>
  <c r="C41" i="17"/>
  <c r="B41" i="17"/>
  <c r="B40" i="17"/>
  <c r="C39" i="17"/>
  <c r="B39" i="17"/>
  <c r="C38" i="17"/>
  <c r="B38" i="17"/>
  <c r="C36" i="17"/>
  <c r="B36" i="17"/>
  <c r="C34" i="17"/>
  <c r="B34" i="17"/>
  <c r="B33" i="17"/>
  <c r="C32" i="17"/>
  <c r="B32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B22" i="17"/>
  <c r="C21" i="17"/>
  <c r="B21" i="17"/>
  <c r="C20" i="17"/>
  <c r="B20" i="17"/>
  <c r="C19" i="17"/>
  <c r="B19" i="17"/>
  <c r="C18" i="17"/>
  <c r="B18" i="17"/>
  <c r="B17" i="17"/>
  <c r="C16" i="17"/>
  <c r="B16" i="17"/>
  <c r="C15" i="17"/>
  <c r="B15" i="17"/>
  <c r="C14" i="17"/>
  <c r="B14" i="17"/>
  <c r="B13" i="17"/>
  <c r="C12" i="17"/>
  <c r="B12" i="17"/>
  <c r="C10" i="17"/>
  <c r="B10" i="17"/>
  <c r="C9" i="17"/>
  <c r="B9" i="17"/>
  <c r="C8" i="17"/>
  <c r="B8" i="17"/>
  <c r="C7" i="17"/>
  <c r="B7" i="17"/>
  <c r="C6" i="17"/>
  <c r="B6" i="17"/>
  <c r="C5" i="17"/>
  <c r="B5" i="17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Q56" i="6"/>
  <c r="P56" i="6"/>
  <c r="O56" i="6"/>
  <c r="N56" i="6"/>
  <c r="M56" i="6"/>
  <c r="L56" i="6"/>
  <c r="K56" i="6"/>
  <c r="J56" i="6"/>
  <c r="I56" i="6"/>
  <c r="H56" i="6"/>
  <c r="G56" i="6"/>
  <c r="E56" i="6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D56" i="14"/>
  <c r="G56" i="14"/>
  <c r="I56" i="14"/>
  <c r="J56" i="14"/>
  <c r="K56" i="14"/>
  <c r="L56" i="14"/>
  <c r="M56" i="14"/>
  <c r="N56" i="14"/>
  <c r="O56" i="14"/>
  <c r="P56" i="14"/>
  <c r="Q56" i="14"/>
  <c r="R56" i="14"/>
  <c r="C52" i="2"/>
  <c r="F52" i="14" s="1"/>
  <c r="C51" i="2"/>
  <c r="F51" i="14" s="1"/>
  <c r="C50" i="2"/>
  <c r="F50" i="14" s="1"/>
  <c r="C49" i="2"/>
  <c r="F49" i="14" s="1"/>
  <c r="C48" i="2"/>
  <c r="F48" i="14" s="1"/>
  <c r="C47" i="2"/>
  <c r="F47" i="14" s="1"/>
  <c r="C46" i="2"/>
  <c r="F46" i="14" s="1"/>
  <c r="C45" i="2"/>
  <c r="F45" i="14" s="1"/>
  <c r="C44" i="2"/>
  <c r="F44" i="14" s="1"/>
  <c r="C43" i="2"/>
  <c r="F43" i="14" s="1"/>
  <c r="C42" i="2"/>
  <c r="F42" i="14" s="1"/>
  <c r="C41" i="2"/>
  <c r="F41" i="14" s="1"/>
  <c r="C40" i="2"/>
  <c r="F40" i="14" s="1"/>
  <c r="C39" i="2"/>
  <c r="F39" i="14" s="1"/>
  <c r="C38" i="2"/>
  <c r="F38" i="14" s="1"/>
  <c r="C37" i="2"/>
  <c r="F37" i="14" s="1"/>
  <c r="C36" i="2"/>
  <c r="F36" i="14" s="1"/>
  <c r="C35" i="2"/>
  <c r="F35" i="14" s="1"/>
  <c r="C34" i="2"/>
  <c r="F34" i="14" s="1"/>
  <c r="C33" i="2"/>
  <c r="F33" i="14" s="1"/>
  <c r="C32" i="2"/>
  <c r="F32" i="14" s="1"/>
  <c r="C31" i="2"/>
  <c r="F31" i="14" s="1"/>
  <c r="C30" i="2"/>
  <c r="F30" i="14" s="1"/>
  <c r="C29" i="2"/>
  <c r="F29" i="14" s="1"/>
  <c r="C28" i="2"/>
  <c r="F28" i="14" s="1"/>
  <c r="C27" i="2"/>
  <c r="F27" i="14" s="1"/>
  <c r="C26" i="2"/>
  <c r="F26" i="14" s="1"/>
  <c r="C25" i="2"/>
  <c r="F25" i="14" s="1"/>
  <c r="C24" i="2"/>
  <c r="F24" i="14" s="1"/>
  <c r="C23" i="2"/>
  <c r="F23" i="14" s="1"/>
  <c r="C22" i="2"/>
  <c r="F22" i="14" s="1"/>
  <c r="C21" i="2"/>
  <c r="F21" i="14" s="1"/>
  <c r="C20" i="2"/>
  <c r="F20" i="14" s="1"/>
  <c r="C19" i="2"/>
  <c r="F19" i="14" s="1"/>
  <c r="C18" i="2"/>
  <c r="F18" i="14" s="1"/>
  <c r="C17" i="2"/>
  <c r="F17" i="14" s="1"/>
  <c r="C16" i="2"/>
  <c r="F16" i="14" s="1"/>
  <c r="C15" i="2"/>
  <c r="F15" i="14" s="1"/>
  <c r="C14" i="2"/>
  <c r="F14" i="14" s="1"/>
  <c r="C13" i="2"/>
  <c r="F13" i="14" s="1"/>
  <c r="C12" i="2"/>
  <c r="F12" i="14" s="1"/>
  <c r="C11" i="2"/>
  <c r="F11" i="14" s="1"/>
  <c r="C10" i="2"/>
  <c r="F10" i="14" s="1"/>
  <c r="C9" i="2"/>
  <c r="F9" i="14" s="1"/>
  <c r="C8" i="2"/>
  <c r="F8" i="14" s="1"/>
  <c r="C7" i="2"/>
  <c r="F7" i="14" s="1"/>
  <c r="C6" i="2"/>
  <c r="F6" i="14" s="1"/>
  <c r="C5" i="2"/>
  <c r="F5" i="14" s="1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" i="14"/>
  <c r="B5" i="11"/>
  <c r="B5" i="12"/>
  <c r="B5" i="3"/>
  <c r="B5" i="6"/>
  <c r="B5" i="10"/>
  <c r="B5" i="9"/>
  <c r="B5" i="8"/>
  <c r="B6" i="8"/>
  <c r="F6" i="8"/>
  <c r="N6" i="8"/>
  <c r="B5" i="7"/>
  <c r="B5" i="5"/>
  <c r="B5" i="4"/>
  <c r="B5" i="1"/>
  <c r="B5" i="14"/>
  <c r="D55" i="2"/>
  <c r="H55" i="2"/>
  <c r="U55" i="2"/>
  <c r="B5" i="2"/>
  <c r="B5" i="16"/>
  <c r="C47" i="16"/>
  <c r="C31" i="16"/>
  <c r="C13" i="16"/>
  <c r="C54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6" i="5"/>
  <c r="B6" i="4"/>
  <c r="B6" i="1"/>
  <c r="B6" i="14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N43" i="1"/>
  <c r="N7" i="10"/>
  <c r="N32" i="5"/>
  <c r="N8" i="1"/>
  <c r="O54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N54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4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4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4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6" i="10"/>
  <c r="N54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4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54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4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4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4" i="1"/>
  <c r="N52" i="1"/>
  <c r="N51" i="1"/>
  <c r="N50" i="1"/>
  <c r="N49" i="1"/>
  <c r="N48" i="1"/>
  <c r="N47" i="1"/>
  <c r="N46" i="1"/>
  <c r="N45" i="1"/>
  <c r="N44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7" i="1"/>
  <c r="N6" i="1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4" i="14"/>
  <c r="P6" i="14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F13" i="6"/>
  <c r="F31" i="3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6" i="6"/>
  <c r="L54" i="9"/>
  <c r="L54" i="8"/>
  <c r="G52" i="11"/>
  <c r="B52" i="11"/>
  <c r="G51" i="11"/>
  <c r="B51" i="11"/>
  <c r="G50" i="11"/>
  <c r="B50" i="11"/>
  <c r="G49" i="11"/>
  <c r="B49" i="11"/>
  <c r="G48" i="11"/>
  <c r="B48" i="11"/>
  <c r="G47" i="11"/>
  <c r="B47" i="11"/>
  <c r="G46" i="11"/>
  <c r="B46" i="11"/>
  <c r="G45" i="11"/>
  <c r="B45" i="11"/>
  <c r="G44" i="11"/>
  <c r="B44" i="11"/>
  <c r="G43" i="11"/>
  <c r="B43" i="11"/>
  <c r="G42" i="11"/>
  <c r="B42" i="11"/>
  <c r="G41" i="11"/>
  <c r="B41" i="11"/>
  <c r="G40" i="11"/>
  <c r="B40" i="11"/>
  <c r="G39" i="11"/>
  <c r="B39" i="11"/>
  <c r="G38" i="11"/>
  <c r="B38" i="11"/>
  <c r="G37" i="11"/>
  <c r="B37" i="11"/>
  <c r="G36" i="11"/>
  <c r="B36" i="11"/>
  <c r="G35" i="11"/>
  <c r="B35" i="11"/>
  <c r="G34" i="11"/>
  <c r="B34" i="11"/>
  <c r="G33" i="11"/>
  <c r="B33" i="11"/>
  <c r="G32" i="11"/>
  <c r="B32" i="11"/>
  <c r="G31" i="11"/>
  <c r="B31" i="11"/>
  <c r="G30" i="11"/>
  <c r="B30" i="11"/>
  <c r="G29" i="11"/>
  <c r="B29" i="11"/>
  <c r="G28" i="11"/>
  <c r="B28" i="11"/>
  <c r="G27" i="11"/>
  <c r="B27" i="11"/>
  <c r="G26" i="11"/>
  <c r="B26" i="11"/>
  <c r="G25" i="11"/>
  <c r="B25" i="11"/>
  <c r="G24" i="11"/>
  <c r="B24" i="11"/>
  <c r="G23" i="11"/>
  <c r="B23" i="11"/>
  <c r="G22" i="11"/>
  <c r="B22" i="11"/>
  <c r="G21" i="11"/>
  <c r="B21" i="11"/>
  <c r="G20" i="11"/>
  <c r="B20" i="11"/>
  <c r="G19" i="11"/>
  <c r="B19" i="11"/>
  <c r="G18" i="11"/>
  <c r="B18" i="11"/>
  <c r="G17" i="11"/>
  <c r="B17" i="11"/>
  <c r="G16" i="11"/>
  <c r="B16" i="11"/>
  <c r="G15" i="11"/>
  <c r="B15" i="11"/>
  <c r="G14" i="11"/>
  <c r="B14" i="11"/>
  <c r="G13" i="11"/>
  <c r="B13" i="11"/>
  <c r="G12" i="11"/>
  <c r="B12" i="11"/>
  <c r="G11" i="11"/>
  <c r="B11" i="11"/>
  <c r="G10" i="11"/>
  <c r="B10" i="11"/>
  <c r="G9" i="11"/>
  <c r="B9" i="11"/>
  <c r="G8" i="11"/>
  <c r="B8" i="11"/>
  <c r="G7" i="11"/>
  <c r="B7" i="11"/>
  <c r="G6" i="11"/>
  <c r="B6" i="11"/>
  <c r="F52" i="12"/>
  <c r="B52" i="12"/>
  <c r="F51" i="12"/>
  <c r="B51" i="12"/>
  <c r="F50" i="12"/>
  <c r="B50" i="12"/>
  <c r="F49" i="12"/>
  <c r="B49" i="12"/>
  <c r="F48" i="12"/>
  <c r="B48" i="12"/>
  <c r="F47" i="12"/>
  <c r="B47" i="12"/>
  <c r="F46" i="12"/>
  <c r="B46" i="12"/>
  <c r="F45" i="12"/>
  <c r="B45" i="12"/>
  <c r="F44" i="12"/>
  <c r="B44" i="12"/>
  <c r="F43" i="12"/>
  <c r="B43" i="12"/>
  <c r="F42" i="12"/>
  <c r="B42" i="12"/>
  <c r="F41" i="12"/>
  <c r="B41" i="12"/>
  <c r="F40" i="12"/>
  <c r="B40" i="12"/>
  <c r="F39" i="12"/>
  <c r="B39" i="12"/>
  <c r="F38" i="12"/>
  <c r="B38" i="12"/>
  <c r="F37" i="12"/>
  <c r="B37" i="12"/>
  <c r="F36" i="12"/>
  <c r="B36" i="12"/>
  <c r="F35" i="12"/>
  <c r="B35" i="12"/>
  <c r="F34" i="12"/>
  <c r="B34" i="12"/>
  <c r="F33" i="12"/>
  <c r="B33" i="12"/>
  <c r="F32" i="12"/>
  <c r="B32" i="12"/>
  <c r="F31" i="12"/>
  <c r="B31" i="12"/>
  <c r="F30" i="12"/>
  <c r="B30" i="12"/>
  <c r="F29" i="12"/>
  <c r="B29" i="12"/>
  <c r="F28" i="12"/>
  <c r="B28" i="12"/>
  <c r="F27" i="12"/>
  <c r="B27" i="12"/>
  <c r="F26" i="12"/>
  <c r="B26" i="12"/>
  <c r="F25" i="12"/>
  <c r="B25" i="12"/>
  <c r="F24" i="12"/>
  <c r="B24" i="12"/>
  <c r="F23" i="12"/>
  <c r="B23" i="12"/>
  <c r="F22" i="12"/>
  <c r="B22" i="12"/>
  <c r="F21" i="12"/>
  <c r="B21" i="12"/>
  <c r="F20" i="12"/>
  <c r="B20" i="12"/>
  <c r="F19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B9" i="12"/>
  <c r="F8" i="12"/>
  <c r="B8" i="12"/>
  <c r="F7" i="12"/>
  <c r="B7" i="12"/>
  <c r="F6" i="12"/>
  <c r="B6" i="12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F6" i="3"/>
  <c r="B6" i="3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26" i="10"/>
  <c r="B26" i="10"/>
  <c r="F25" i="10"/>
  <c r="B25" i="10"/>
  <c r="F24" i="10"/>
  <c r="B24" i="10"/>
  <c r="F23" i="10"/>
  <c r="B23" i="10"/>
  <c r="F22" i="10"/>
  <c r="B22" i="10"/>
  <c r="F21" i="10"/>
  <c r="B21" i="10"/>
  <c r="F20" i="10"/>
  <c r="B20" i="10"/>
  <c r="F19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B6" i="10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F26" i="9"/>
  <c r="B26" i="9"/>
  <c r="F25" i="9"/>
  <c r="B25" i="9"/>
  <c r="F24" i="9"/>
  <c r="B24" i="9"/>
  <c r="F23" i="9"/>
  <c r="B23" i="9"/>
  <c r="F22" i="9"/>
  <c r="B22" i="9"/>
  <c r="F21" i="9"/>
  <c r="B21" i="9"/>
  <c r="F20" i="9"/>
  <c r="B20" i="9"/>
  <c r="F19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B9" i="9"/>
  <c r="F8" i="9"/>
  <c r="B8" i="9"/>
  <c r="F7" i="9"/>
  <c r="B7" i="9"/>
  <c r="F6" i="9"/>
  <c r="B6" i="9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26" i="8"/>
  <c r="B26" i="8"/>
  <c r="F25" i="8"/>
  <c r="B25" i="8"/>
  <c r="F24" i="8"/>
  <c r="B24" i="8"/>
  <c r="F23" i="8"/>
  <c r="B23" i="8"/>
  <c r="F22" i="8"/>
  <c r="B22" i="8"/>
  <c r="F21" i="8"/>
  <c r="B21" i="8"/>
  <c r="F20" i="8"/>
  <c r="B20" i="8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52" i="7"/>
  <c r="B52" i="7"/>
  <c r="F51" i="7"/>
  <c r="B51" i="7"/>
  <c r="F50" i="7"/>
  <c r="B50" i="7"/>
  <c r="F49" i="7"/>
  <c r="B49" i="7"/>
  <c r="F48" i="7"/>
  <c r="B48" i="7"/>
  <c r="F47" i="7"/>
  <c r="B47" i="7"/>
  <c r="F46" i="7"/>
  <c r="B46" i="7"/>
  <c r="F45" i="7"/>
  <c r="B45" i="7"/>
  <c r="F44" i="7"/>
  <c r="B44" i="7"/>
  <c r="F43" i="7"/>
  <c r="B43" i="7"/>
  <c r="F42" i="7"/>
  <c r="B42" i="7"/>
  <c r="F41" i="7"/>
  <c r="B41" i="7"/>
  <c r="F40" i="7"/>
  <c r="B40" i="7"/>
  <c r="F39" i="7"/>
  <c r="B39" i="7"/>
  <c r="F38" i="7"/>
  <c r="B38" i="7"/>
  <c r="F37" i="7"/>
  <c r="B37" i="7"/>
  <c r="F36" i="7"/>
  <c r="B36" i="7"/>
  <c r="F35" i="7"/>
  <c r="B35" i="7"/>
  <c r="F34" i="7"/>
  <c r="B34" i="7"/>
  <c r="F33" i="7"/>
  <c r="B33" i="7"/>
  <c r="F32" i="7"/>
  <c r="B32" i="7"/>
  <c r="F31" i="7"/>
  <c r="B31" i="7"/>
  <c r="F30" i="7"/>
  <c r="B30" i="7"/>
  <c r="F29" i="7"/>
  <c r="B29" i="7"/>
  <c r="F28" i="7"/>
  <c r="B28" i="7"/>
  <c r="F27" i="7"/>
  <c r="B27" i="7"/>
  <c r="F26" i="7"/>
  <c r="B26" i="7"/>
  <c r="F25" i="7"/>
  <c r="B25" i="7"/>
  <c r="F24" i="7"/>
  <c r="B24" i="7"/>
  <c r="F23" i="7"/>
  <c r="B23" i="7"/>
  <c r="F22" i="7"/>
  <c r="B22" i="7"/>
  <c r="F21" i="7"/>
  <c r="B21" i="7"/>
  <c r="F20" i="7"/>
  <c r="B20" i="7"/>
  <c r="F19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B6" i="7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F52" i="4"/>
  <c r="B52" i="4"/>
  <c r="F51" i="4"/>
  <c r="B51" i="4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40" i="4"/>
  <c r="B40" i="4"/>
  <c r="F39" i="4"/>
  <c r="B39" i="4"/>
  <c r="F38" i="4"/>
  <c r="B38" i="4"/>
  <c r="F37" i="4"/>
  <c r="B37" i="4"/>
  <c r="F36" i="4"/>
  <c r="B36" i="4"/>
  <c r="F35" i="4"/>
  <c r="B35" i="4"/>
  <c r="F34" i="4"/>
  <c r="B34" i="4"/>
  <c r="F33" i="4"/>
  <c r="B33" i="4"/>
  <c r="F32" i="4"/>
  <c r="B32" i="4"/>
  <c r="F31" i="4"/>
  <c r="B31" i="4"/>
  <c r="F30" i="4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F6" i="4"/>
  <c r="F28" i="1"/>
  <c r="F27" i="1"/>
  <c r="F6" i="1"/>
  <c r="F52" i="1"/>
  <c r="B50" i="1"/>
  <c r="B51" i="1"/>
  <c r="B5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H52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J52" i="2"/>
  <c r="L52" i="2"/>
  <c r="M52" i="2"/>
  <c r="N52" i="2"/>
  <c r="O52" i="2"/>
  <c r="P52" i="2"/>
  <c r="J51" i="2"/>
  <c r="L51" i="2"/>
  <c r="M51" i="2"/>
  <c r="N51" i="2"/>
  <c r="O51" i="2"/>
  <c r="P51" i="2"/>
  <c r="H27" i="14"/>
  <c r="O27" i="19" s="1"/>
  <c r="H51" i="14"/>
  <c r="H50" i="14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F56" i="6" l="1"/>
  <c r="Q27" i="17"/>
  <c r="P36" i="17"/>
  <c r="J36" i="17" s="1"/>
  <c r="C56" i="14"/>
  <c r="F5" i="17"/>
  <c r="F46" i="17"/>
  <c r="F50" i="17"/>
  <c r="F52" i="17"/>
  <c r="F8" i="17"/>
  <c r="P48" i="17"/>
  <c r="J48" i="17" s="1"/>
  <c r="P32" i="17"/>
  <c r="J32" i="17" s="1"/>
  <c r="P20" i="17"/>
  <c r="J20" i="17" s="1"/>
  <c r="P16" i="17"/>
  <c r="J16" i="17" s="1"/>
  <c r="P12" i="17"/>
  <c r="J12" i="17" s="1"/>
  <c r="P52" i="17"/>
  <c r="J52" i="17" s="1"/>
  <c r="P44" i="17"/>
  <c r="J44" i="17" s="1"/>
  <c r="P40" i="17"/>
  <c r="J40" i="17" s="1"/>
  <c r="P24" i="17"/>
  <c r="J24" i="17" s="1"/>
  <c r="P8" i="17"/>
  <c r="J8" i="17" s="1"/>
  <c r="P7" i="17"/>
  <c r="J7" i="17" s="1"/>
  <c r="P6" i="17"/>
  <c r="J6" i="17" s="1"/>
  <c r="P51" i="17"/>
  <c r="J51" i="17" s="1"/>
  <c r="P50" i="17"/>
  <c r="J50" i="17" s="1"/>
  <c r="P49" i="17"/>
  <c r="J49" i="17" s="1"/>
  <c r="P47" i="17"/>
  <c r="J47" i="17" s="1"/>
  <c r="P46" i="17"/>
  <c r="J46" i="17" s="1"/>
  <c r="P45" i="17"/>
  <c r="J45" i="17" s="1"/>
  <c r="P43" i="17"/>
  <c r="J43" i="17" s="1"/>
  <c r="P42" i="17"/>
  <c r="J42" i="17" s="1"/>
  <c r="P41" i="17"/>
  <c r="J41" i="17" s="1"/>
  <c r="P39" i="17"/>
  <c r="J39" i="17" s="1"/>
  <c r="P38" i="17"/>
  <c r="J38" i="17" s="1"/>
  <c r="P34" i="17"/>
  <c r="J34" i="17" s="1"/>
  <c r="P33" i="17"/>
  <c r="J33" i="17" s="1"/>
  <c r="P31" i="17"/>
  <c r="J31" i="17" s="1"/>
  <c r="P30" i="17"/>
  <c r="J30" i="17" s="1"/>
  <c r="P29" i="17"/>
  <c r="J29" i="17" s="1"/>
  <c r="P27" i="17"/>
  <c r="J27" i="17" s="1"/>
  <c r="P26" i="17"/>
  <c r="J26" i="17" s="1"/>
  <c r="P25" i="17"/>
  <c r="J25" i="17" s="1"/>
  <c r="P23" i="17"/>
  <c r="J23" i="17" s="1"/>
  <c r="P22" i="17"/>
  <c r="J22" i="17" s="1"/>
  <c r="P21" i="17"/>
  <c r="J21" i="17" s="1"/>
  <c r="P19" i="17"/>
  <c r="J19" i="17" s="1"/>
  <c r="P18" i="17"/>
  <c r="J18" i="17" s="1"/>
  <c r="P17" i="17"/>
  <c r="J17" i="17" s="1"/>
  <c r="P15" i="17"/>
  <c r="J15" i="17" s="1"/>
  <c r="P14" i="17"/>
  <c r="J14" i="17" s="1"/>
  <c r="P13" i="17"/>
  <c r="J13" i="17" s="1"/>
  <c r="P10" i="17"/>
  <c r="J10" i="17" s="1"/>
  <c r="P9" i="17"/>
  <c r="J9" i="17" s="1"/>
  <c r="F56" i="14"/>
  <c r="F16" i="17"/>
  <c r="F20" i="17"/>
  <c r="F24" i="17"/>
  <c r="F32" i="17"/>
  <c r="F36" i="17"/>
  <c r="F40" i="17"/>
  <c r="F48" i="17"/>
  <c r="AC54" i="17"/>
  <c r="F12" i="17"/>
  <c r="F28" i="17"/>
  <c r="F44" i="17"/>
  <c r="F6" i="17"/>
  <c r="F10" i="17"/>
  <c r="F14" i="17"/>
  <c r="F18" i="17"/>
  <c r="F22" i="17"/>
  <c r="F26" i="17"/>
  <c r="F30" i="17"/>
  <c r="F34" i="17"/>
  <c r="F38" i="17"/>
  <c r="F42" i="17"/>
  <c r="F7" i="17"/>
  <c r="F15" i="17"/>
  <c r="F19" i="17"/>
  <c r="F23" i="17"/>
  <c r="F27" i="17"/>
  <c r="F31" i="17"/>
  <c r="F39" i="17"/>
  <c r="F43" i="17"/>
  <c r="F47" i="17"/>
  <c r="F51" i="17"/>
  <c r="U54" i="17"/>
  <c r="Y54" i="17"/>
  <c r="F49" i="17"/>
  <c r="F45" i="17"/>
  <c r="F41" i="17"/>
  <c r="F33" i="17"/>
  <c r="F29" i="17"/>
  <c r="F25" i="17"/>
  <c r="F21" i="17"/>
  <c r="F17" i="17"/>
  <c r="F13" i="17"/>
  <c r="F9" i="17"/>
  <c r="V54" i="17"/>
  <c r="C54" i="17"/>
  <c r="S54" i="17"/>
  <c r="W54" i="17"/>
  <c r="AA54" i="17"/>
  <c r="R54" i="17"/>
  <c r="F60" i="17" s="1"/>
  <c r="Z54" i="17"/>
  <c r="T54" i="17"/>
  <c r="X54" i="17"/>
  <c r="AB54" i="17"/>
  <c r="O54" i="2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4" i="2"/>
  <c r="I46" i="2"/>
  <c r="J54" i="17" l="1"/>
  <c r="P54" i="17"/>
  <c r="F54" i="17"/>
  <c r="Q55" i="2"/>
  <c r="I55" i="2"/>
  <c r="H42" i="14"/>
  <c r="Q42" i="17" s="1"/>
  <c r="H23" i="14"/>
  <c r="H43" i="14"/>
  <c r="H7" i="14"/>
  <c r="H49" i="14"/>
  <c r="H48" i="14"/>
  <c r="H47" i="14"/>
  <c r="H46" i="14"/>
  <c r="H45" i="14"/>
  <c r="H44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6" i="14"/>
  <c r="H25" i="14"/>
  <c r="H24" i="14"/>
  <c r="H22" i="14"/>
  <c r="H21" i="14"/>
  <c r="H20" i="14"/>
  <c r="H34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6" i="14"/>
  <c r="F43" i="1"/>
  <c r="F2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4" i="1"/>
  <c r="F20" i="1"/>
  <c r="F21" i="1"/>
  <c r="F22" i="1"/>
  <c r="F23" i="1"/>
  <c r="F25" i="1"/>
  <c r="F26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O47" i="19" l="1"/>
  <c r="Q47" i="17"/>
  <c r="O46" i="19"/>
  <c r="Q46" i="17"/>
  <c r="O32" i="19"/>
  <c r="Q32" i="17"/>
  <c r="O31" i="19"/>
  <c r="Q31" i="17"/>
  <c r="O34" i="19"/>
  <c r="Q34" i="17"/>
  <c r="O33" i="19"/>
  <c r="Q33" i="17"/>
  <c r="O26" i="19"/>
  <c r="Q26" i="17"/>
  <c r="O20" i="19"/>
  <c r="Q20" i="17"/>
  <c r="O19" i="19"/>
  <c r="Q19" i="17"/>
  <c r="G66" i="17"/>
  <c r="H56" i="14"/>
  <c r="Q43" i="17"/>
  <c r="E5" i="14"/>
  <c r="E7" i="14"/>
  <c r="E11" i="14"/>
  <c r="E15" i="14"/>
  <c r="E19" i="14"/>
  <c r="E23" i="14"/>
  <c r="E27" i="14"/>
  <c r="E31" i="14"/>
  <c r="E35" i="14"/>
  <c r="E39" i="14"/>
  <c r="E43" i="14"/>
  <c r="E47" i="14"/>
  <c r="E51" i="14"/>
  <c r="E8" i="14"/>
  <c r="E12" i="14"/>
  <c r="E16" i="14"/>
  <c r="E20" i="14"/>
  <c r="E24" i="14"/>
  <c r="E28" i="14"/>
  <c r="E32" i="14"/>
  <c r="E36" i="14"/>
  <c r="E40" i="14"/>
  <c r="E44" i="14"/>
  <c r="E48" i="14"/>
  <c r="E52" i="14"/>
  <c r="E9" i="14"/>
  <c r="E13" i="14"/>
  <c r="E17" i="14"/>
  <c r="E21" i="14"/>
  <c r="E25" i="14"/>
  <c r="E29" i="14"/>
  <c r="E33" i="14"/>
  <c r="E37" i="14"/>
  <c r="E41" i="14"/>
  <c r="E45" i="14"/>
  <c r="E49" i="14"/>
  <c r="E6" i="14"/>
  <c r="E10" i="14"/>
  <c r="E14" i="14"/>
  <c r="E18" i="14"/>
  <c r="E22" i="14"/>
  <c r="E26" i="14"/>
  <c r="E30" i="14"/>
  <c r="E34" i="14"/>
  <c r="E38" i="14"/>
  <c r="E42" i="14"/>
  <c r="E46" i="14"/>
  <c r="E50" i="14"/>
  <c r="O54" i="19" l="1"/>
  <c r="Q54" i="17"/>
  <c r="D30" i="1"/>
  <c r="D45" i="1"/>
  <c r="D13" i="1"/>
  <c r="D28" i="1"/>
  <c r="D12" i="1"/>
  <c r="D43" i="1"/>
  <c r="D27" i="1"/>
  <c r="D11" i="1"/>
  <c r="D42" i="1"/>
  <c r="D10" i="1"/>
  <c r="D25" i="1"/>
  <c r="D40" i="1"/>
  <c r="D24" i="1"/>
  <c r="D8" i="1"/>
  <c r="D39" i="1"/>
  <c r="D23" i="1"/>
  <c r="D7" i="1"/>
  <c r="D38" i="1"/>
  <c r="D22" i="1"/>
  <c r="D6" i="1"/>
  <c r="D37" i="1"/>
  <c r="D21" i="1"/>
  <c r="D52" i="1"/>
  <c r="D36" i="1"/>
  <c r="D20" i="1"/>
  <c r="D51" i="1"/>
  <c r="D35" i="1"/>
  <c r="D19" i="1"/>
  <c r="D46" i="1"/>
  <c r="D14" i="1"/>
  <c r="D29" i="1"/>
  <c r="D44" i="1"/>
  <c r="D26" i="1"/>
  <c r="D41" i="1"/>
  <c r="D9" i="1"/>
  <c r="D50" i="1"/>
  <c r="D34" i="1"/>
  <c r="D18" i="1"/>
  <c r="D49" i="1"/>
  <c r="D33" i="1"/>
  <c r="D17" i="1"/>
  <c r="D48" i="1"/>
  <c r="D32" i="1"/>
  <c r="D16" i="1"/>
  <c r="D47" i="1"/>
  <c r="D31" i="1"/>
  <c r="D15" i="1"/>
  <c r="E56" i="14"/>
  <c r="D5" i="1"/>
  <c r="D56" i="1" l="1"/>
  <c r="C52" i="1" s="1"/>
  <c r="D52" i="4" s="1"/>
  <c r="C48" i="1" l="1"/>
  <c r="D48" i="4" s="1"/>
  <c r="C39" i="1"/>
  <c r="C51" i="1"/>
  <c r="D51" i="4" s="1"/>
  <c r="C14" i="1"/>
  <c r="D14" i="4" s="1"/>
  <c r="C50" i="1"/>
  <c r="D50" i="4" s="1"/>
  <c r="C38" i="1"/>
  <c r="C34" i="1"/>
  <c r="D34" i="4" s="1"/>
  <c r="C44" i="1"/>
  <c r="D44" i="4" s="1"/>
  <c r="C33" i="1"/>
  <c r="D33" i="4" s="1"/>
  <c r="C46" i="1"/>
  <c r="C37" i="1"/>
  <c r="D37" i="4" s="1"/>
  <c r="C32" i="1"/>
  <c r="D32" i="4" s="1"/>
  <c r="C5" i="1"/>
  <c r="D5" i="4" s="1"/>
  <c r="C25" i="1"/>
  <c r="C27" i="1"/>
  <c r="D27" i="4" s="1"/>
  <c r="C30" i="1"/>
  <c r="D30" i="4" s="1"/>
  <c r="C49" i="1"/>
  <c r="D49" i="4" s="1"/>
  <c r="C36" i="1"/>
  <c r="C6" i="1"/>
  <c r="D6" i="4" s="1"/>
  <c r="C17" i="1"/>
  <c r="D17" i="4" s="1"/>
  <c r="C24" i="1"/>
  <c r="D24" i="4" s="1"/>
  <c r="C41" i="1"/>
  <c r="D41" i="4" s="1"/>
  <c r="C43" i="1"/>
  <c r="D43" i="4" s="1"/>
  <c r="C45" i="1"/>
  <c r="D45" i="4" s="1"/>
  <c r="C47" i="1"/>
  <c r="D47" i="4" s="1"/>
  <c r="C35" i="1"/>
  <c r="C42" i="1"/>
  <c r="D42" i="4" s="1"/>
  <c r="C23" i="1"/>
  <c r="D23" i="4" s="1"/>
  <c r="C40" i="1"/>
  <c r="D40" i="4" s="1"/>
  <c r="C10" i="1"/>
  <c r="D10" i="4" s="1"/>
  <c r="C28" i="1"/>
  <c r="D28" i="4" s="1"/>
  <c r="C18" i="1"/>
  <c r="D18" i="4" s="1"/>
  <c r="C16" i="1"/>
  <c r="D16" i="4" s="1"/>
  <c r="C19" i="1"/>
  <c r="C20" i="1"/>
  <c r="D20" i="4" s="1"/>
  <c r="C21" i="1"/>
  <c r="C15" i="1"/>
  <c r="C26" i="1"/>
  <c r="D26" i="4" s="1"/>
  <c r="C8" i="1"/>
  <c r="D8" i="4" s="1"/>
  <c r="C9" i="1"/>
  <c r="D9" i="4" s="1"/>
  <c r="C31" i="1"/>
  <c r="C22" i="1"/>
  <c r="C29" i="1"/>
  <c r="D29" i="4" s="1"/>
  <c r="D21" i="4"/>
  <c r="D36" i="4"/>
  <c r="D38" i="4"/>
  <c r="D39" i="4"/>
  <c r="C11" i="1"/>
  <c r="C12" i="1"/>
  <c r="C13" i="1"/>
  <c r="C7" i="1"/>
  <c r="D35" i="4"/>
  <c r="D25" i="4"/>
  <c r="D46" i="4"/>
  <c r="D22" i="4" l="1"/>
  <c r="D15" i="4"/>
  <c r="D19" i="4"/>
  <c r="D31" i="4"/>
  <c r="D11" i="4"/>
  <c r="D13" i="4"/>
  <c r="D12" i="4"/>
  <c r="C56" i="1"/>
  <c r="D7" i="4"/>
  <c r="D56" i="4" l="1"/>
  <c r="C9" i="4" s="1"/>
  <c r="C31" i="4" l="1"/>
  <c r="D31" i="5" s="1"/>
  <c r="C23" i="4"/>
  <c r="D23" i="5" s="1"/>
  <c r="C29" i="4"/>
  <c r="D29" i="5" s="1"/>
  <c r="C21" i="4"/>
  <c r="D21" i="5" s="1"/>
  <c r="C42" i="4"/>
  <c r="D42" i="5" s="1"/>
  <c r="C5" i="4"/>
  <c r="C25" i="4"/>
  <c r="D25" i="5" s="1"/>
  <c r="C30" i="4"/>
  <c r="D30" i="5" s="1"/>
  <c r="C11" i="4"/>
  <c r="D11" i="5" s="1"/>
  <c r="C38" i="4"/>
  <c r="D38" i="5" s="1"/>
  <c r="C17" i="4"/>
  <c r="D17" i="5" s="1"/>
  <c r="C37" i="4"/>
  <c r="D37" i="5" s="1"/>
  <c r="C41" i="4"/>
  <c r="D41" i="5" s="1"/>
  <c r="C12" i="4"/>
  <c r="C47" i="4"/>
  <c r="D47" i="5" s="1"/>
  <c r="C45" i="4"/>
  <c r="C20" i="4"/>
  <c r="C33" i="4"/>
  <c r="D33" i="5" s="1"/>
  <c r="C46" i="4"/>
  <c r="D46" i="5" s="1"/>
  <c r="C39" i="4"/>
  <c r="C34" i="4"/>
  <c r="D34" i="5" s="1"/>
  <c r="C50" i="4"/>
  <c r="C36" i="4"/>
  <c r="C18" i="4"/>
  <c r="C6" i="4"/>
  <c r="D6" i="5" s="1"/>
  <c r="C44" i="4"/>
  <c r="D44" i="5" s="1"/>
  <c r="C24" i="4"/>
  <c r="C10" i="4"/>
  <c r="C52" i="4"/>
  <c r="D52" i="5" s="1"/>
  <c r="C49" i="4"/>
  <c r="D49" i="5" s="1"/>
  <c r="C28" i="4"/>
  <c r="C8" i="4"/>
  <c r="C27" i="4"/>
  <c r="D27" i="5" s="1"/>
  <c r="C35" i="4"/>
  <c r="D35" i="5" s="1"/>
  <c r="C43" i="4"/>
  <c r="D43" i="5" s="1"/>
  <c r="C51" i="4"/>
  <c r="C22" i="4"/>
  <c r="D22" i="5" s="1"/>
  <c r="C15" i="4"/>
  <c r="C13" i="4"/>
  <c r="C26" i="4"/>
  <c r="C19" i="4"/>
  <c r="D19" i="5" s="1"/>
  <c r="C14" i="4"/>
  <c r="C7" i="4"/>
  <c r="C40" i="4"/>
  <c r="C16" i="4"/>
  <c r="D16" i="5" s="1"/>
  <c r="C32" i="4"/>
  <c r="C48" i="4"/>
  <c r="D9" i="5"/>
  <c r="D20" i="5"/>
  <c r="D50" i="5"/>
  <c r="D24" i="5"/>
  <c r="D5" i="5"/>
  <c r="C56" i="4" l="1"/>
  <c r="D39" i="5"/>
  <c r="D40" i="5"/>
  <c r="D26" i="5"/>
  <c r="D51" i="5"/>
  <c r="D10" i="5"/>
  <c r="D48" i="5"/>
  <c r="D7" i="5"/>
  <c r="D13" i="5"/>
  <c r="D28" i="5"/>
  <c r="D36" i="5"/>
  <c r="D45" i="5"/>
  <c r="D32" i="5"/>
  <c r="D14" i="5"/>
  <c r="D15" i="5"/>
  <c r="D8" i="5"/>
  <c r="D18" i="5"/>
  <c r="D12" i="5"/>
  <c r="D56" i="5" l="1"/>
  <c r="C12" i="5" s="1"/>
  <c r="C5" i="5" l="1"/>
  <c r="D5" i="7" s="1"/>
  <c r="C19" i="5"/>
  <c r="D19" i="7" s="1"/>
  <c r="C11" i="5"/>
  <c r="D11" i="7" s="1"/>
  <c r="C50" i="5"/>
  <c r="D50" i="7" s="1"/>
  <c r="C22" i="5"/>
  <c r="D22" i="7" s="1"/>
  <c r="C16" i="5"/>
  <c r="D16" i="7" s="1"/>
  <c r="C46" i="5"/>
  <c r="D46" i="7" s="1"/>
  <c r="C27" i="5"/>
  <c r="D27" i="7" s="1"/>
  <c r="C32" i="5"/>
  <c r="D32" i="7" s="1"/>
  <c r="C7" i="5"/>
  <c r="D7" i="7" s="1"/>
  <c r="C23" i="5"/>
  <c r="D23" i="7" s="1"/>
  <c r="C31" i="5"/>
  <c r="D31" i="7" s="1"/>
  <c r="C43" i="5"/>
  <c r="D43" i="7" s="1"/>
  <c r="C41" i="5"/>
  <c r="D41" i="7" s="1"/>
  <c r="C15" i="5"/>
  <c r="D15" i="7" s="1"/>
  <c r="C39" i="5"/>
  <c r="D39" i="7" s="1"/>
  <c r="C35" i="5"/>
  <c r="D35" i="7" s="1"/>
  <c r="C51" i="5"/>
  <c r="D51" i="7" s="1"/>
  <c r="C25" i="5"/>
  <c r="D25" i="7" s="1"/>
  <c r="C37" i="5"/>
  <c r="D37" i="7" s="1"/>
  <c r="C47" i="5"/>
  <c r="D47" i="7" s="1"/>
  <c r="C33" i="5"/>
  <c r="D33" i="7" s="1"/>
  <c r="C17" i="5"/>
  <c r="D17" i="7" s="1"/>
  <c r="C44" i="5"/>
  <c r="D44" i="7" s="1"/>
  <c r="C42" i="5"/>
  <c r="D42" i="7" s="1"/>
  <c r="C48" i="5"/>
  <c r="D48" i="7" s="1"/>
  <c r="C10" i="5"/>
  <c r="D10" i="7" s="1"/>
  <c r="C28" i="5"/>
  <c r="D28" i="7" s="1"/>
  <c r="C45" i="5"/>
  <c r="C18" i="5"/>
  <c r="D18" i="7" s="1"/>
  <c r="C34" i="5"/>
  <c r="D34" i="7" s="1"/>
  <c r="C20" i="5"/>
  <c r="D20" i="7" s="1"/>
  <c r="C29" i="5"/>
  <c r="D29" i="7" s="1"/>
  <c r="C36" i="5"/>
  <c r="D36" i="7" s="1"/>
  <c r="C30" i="5"/>
  <c r="D30" i="7" s="1"/>
  <c r="C14" i="5"/>
  <c r="D14" i="7" s="1"/>
  <c r="C8" i="5"/>
  <c r="D8" i="7" s="1"/>
  <c r="C52" i="5"/>
  <c r="D52" i="7" s="1"/>
  <c r="C21" i="5"/>
  <c r="D21" i="7" s="1"/>
  <c r="C40" i="5"/>
  <c r="D40" i="7" s="1"/>
  <c r="C24" i="5"/>
  <c r="D24" i="7" s="1"/>
  <c r="C38" i="5"/>
  <c r="D38" i="7" s="1"/>
  <c r="C13" i="5"/>
  <c r="D13" i="7" s="1"/>
  <c r="C49" i="5"/>
  <c r="D49" i="7" s="1"/>
  <c r="C9" i="5"/>
  <c r="D9" i="7" s="1"/>
  <c r="C6" i="5"/>
  <c r="D6" i="7" s="1"/>
  <c r="C26" i="5"/>
  <c r="D26" i="7" s="1"/>
  <c r="D12" i="7"/>
  <c r="D45" i="7"/>
  <c r="C56" i="5" l="1"/>
  <c r="D56" i="7"/>
  <c r="C32" i="7" s="1"/>
  <c r="D32" i="8" s="1"/>
  <c r="C28" i="7"/>
  <c r="C44" i="7"/>
  <c r="C15" i="7"/>
  <c r="C13" i="7" l="1"/>
  <c r="D13" i="8" s="1"/>
  <c r="C36" i="7"/>
  <c r="D36" i="8" s="1"/>
  <c r="C38" i="7"/>
  <c r="D38" i="8" s="1"/>
  <c r="C50" i="7"/>
  <c r="C27" i="7"/>
  <c r="D27" i="8" s="1"/>
  <c r="C10" i="7"/>
  <c r="D10" i="8" s="1"/>
  <c r="C47" i="7"/>
  <c r="C16" i="7"/>
  <c r="D16" i="8" s="1"/>
  <c r="C45" i="7"/>
  <c r="D45" i="8" s="1"/>
  <c r="C5" i="7"/>
  <c r="D5" i="8" s="1"/>
  <c r="C30" i="7"/>
  <c r="D30" i="8" s="1"/>
  <c r="C42" i="7"/>
  <c r="C26" i="7"/>
  <c r="D26" i="8" s="1"/>
  <c r="C12" i="7"/>
  <c r="D12" i="8" s="1"/>
  <c r="C33" i="7"/>
  <c r="D33" i="8" s="1"/>
  <c r="C52" i="7"/>
  <c r="D52" i="8" s="1"/>
  <c r="C14" i="7"/>
  <c r="D14" i="8" s="1"/>
  <c r="C11" i="7"/>
  <c r="D11" i="8" s="1"/>
  <c r="C20" i="7"/>
  <c r="D20" i="8" s="1"/>
  <c r="C21" i="7"/>
  <c r="D21" i="8" s="1"/>
  <c r="C35" i="7"/>
  <c r="D35" i="8" s="1"/>
  <c r="C49" i="7"/>
  <c r="D49" i="8" s="1"/>
  <c r="C41" i="7"/>
  <c r="D41" i="8" s="1"/>
  <c r="C39" i="7"/>
  <c r="D39" i="8" s="1"/>
  <c r="C17" i="7"/>
  <c r="D17" i="8" s="1"/>
  <c r="C25" i="7"/>
  <c r="D25" i="8" s="1"/>
  <c r="C19" i="7"/>
  <c r="D19" i="8" s="1"/>
  <c r="C23" i="7"/>
  <c r="D23" i="8" s="1"/>
  <c r="C9" i="7"/>
  <c r="D9" i="8" s="1"/>
  <c r="C7" i="7"/>
  <c r="D7" i="8" s="1"/>
  <c r="C40" i="7"/>
  <c r="D40" i="8" s="1"/>
  <c r="C43" i="7"/>
  <c r="D43" i="8" s="1"/>
  <c r="C46" i="7"/>
  <c r="D46" i="8" s="1"/>
  <c r="C48" i="7"/>
  <c r="D48" i="8" s="1"/>
  <c r="C24" i="7"/>
  <c r="D24" i="8" s="1"/>
  <c r="C22" i="7"/>
  <c r="D22" i="8" s="1"/>
  <c r="C51" i="7"/>
  <c r="D51" i="8" s="1"/>
  <c r="C8" i="7"/>
  <c r="D8" i="8" s="1"/>
  <c r="C6" i="7"/>
  <c r="D6" i="8" s="1"/>
  <c r="C18" i="7"/>
  <c r="D18" i="8" s="1"/>
  <c r="C31" i="7"/>
  <c r="D31" i="8" s="1"/>
  <c r="C37" i="7"/>
  <c r="D37" i="8" s="1"/>
  <c r="C34" i="7"/>
  <c r="D34" i="8" s="1"/>
  <c r="C29" i="7"/>
  <c r="D29" i="8" s="1"/>
  <c r="D47" i="8"/>
  <c r="D15" i="8"/>
  <c r="D50" i="8"/>
  <c r="D42" i="8"/>
  <c r="D44" i="8"/>
  <c r="D28" i="8"/>
  <c r="C56" i="7" l="1"/>
  <c r="D56" i="8"/>
  <c r="C24" i="8" s="1"/>
  <c r="D24" i="9" s="1"/>
  <c r="C37" i="8"/>
  <c r="D37" i="9" s="1"/>
  <c r="C48" i="8"/>
  <c r="D48" i="9" s="1"/>
  <c r="C18" i="8"/>
  <c r="D18" i="9" s="1"/>
  <c r="C9" i="8" l="1"/>
  <c r="D9" i="9" s="1"/>
  <c r="C5" i="8"/>
  <c r="D5" i="9" s="1"/>
  <c r="C36" i="8"/>
  <c r="D36" i="9" s="1"/>
  <c r="C42" i="8"/>
  <c r="D42" i="9" s="1"/>
  <c r="C27" i="8"/>
  <c r="D27" i="9" s="1"/>
  <c r="C16" i="8"/>
  <c r="D16" i="9" s="1"/>
  <c r="C46" i="8"/>
  <c r="C20" i="8"/>
  <c r="D20" i="9" s="1"/>
  <c r="C50" i="8"/>
  <c r="D50" i="9" s="1"/>
  <c r="C21" i="8"/>
  <c r="D21" i="9" s="1"/>
  <c r="C34" i="8"/>
  <c r="D34" i="9" s="1"/>
  <c r="C31" i="8"/>
  <c r="D31" i="9" s="1"/>
  <c r="C43" i="8"/>
  <c r="D43" i="9" s="1"/>
  <c r="C35" i="8"/>
  <c r="D35" i="9" s="1"/>
  <c r="C12" i="8"/>
  <c r="D12" i="9" s="1"/>
  <c r="C26" i="8"/>
  <c r="D26" i="9" s="1"/>
  <c r="C14" i="8"/>
  <c r="D14" i="9" s="1"/>
  <c r="C41" i="8"/>
  <c r="D41" i="9" s="1"/>
  <c r="C13" i="8"/>
  <c r="D13" i="9" s="1"/>
  <c r="C33" i="8"/>
  <c r="D33" i="9" s="1"/>
  <c r="C10" i="8"/>
  <c r="D10" i="9" s="1"/>
  <c r="C45" i="8"/>
  <c r="D45" i="9" s="1"/>
  <c r="C44" i="8"/>
  <c r="D44" i="9" s="1"/>
  <c r="C19" i="8"/>
  <c r="D19" i="9" s="1"/>
  <c r="C30" i="8"/>
  <c r="D30" i="9" s="1"/>
  <c r="C6" i="8"/>
  <c r="D6" i="9" s="1"/>
  <c r="C51" i="8"/>
  <c r="D51" i="9" s="1"/>
  <c r="C15" i="8"/>
  <c r="D15" i="9" s="1"/>
  <c r="C38" i="8"/>
  <c r="D38" i="9" s="1"/>
  <c r="C28" i="8"/>
  <c r="D28" i="9" s="1"/>
  <c r="C47" i="8"/>
  <c r="D47" i="9" s="1"/>
  <c r="C23" i="8"/>
  <c r="D23" i="9" s="1"/>
  <c r="C29" i="8"/>
  <c r="C32" i="8"/>
  <c r="D32" i="9" s="1"/>
  <c r="C8" i="8"/>
  <c r="D8" i="9" s="1"/>
  <c r="C22" i="8"/>
  <c r="D22" i="9" s="1"/>
  <c r="C17" i="8"/>
  <c r="D17" i="9" s="1"/>
  <c r="C40" i="8"/>
  <c r="D40" i="9" s="1"/>
  <c r="C7" i="8"/>
  <c r="D7" i="9" s="1"/>
  <c r="C49" i="8"/>
  <c r="D49" i="9" s="1"/>
  <c r="C25" i="8"/>
  <c r="D25" i="9" s="1"/>
  <c r="C39" i="8"/>
  <c r="D39" i="9" s="1"/>
  <c r="C11" i="8"/>
  <c r="D11" i="9" s="1"/>
  <c r="C52" i="8"/>
  <c r="D52" i="9" s="1"/>
  <c r="D29" i="9"/>
  <c r="D46" i="9"/>
  <c r="C56" i="8" l="1"/>
  <c r="D56" i="9"/>
  <c r="C10" i="9" s="1"/>
  <c r="C28" i="9" l="1"/>
  <c r="D28" i="10" s="1"/>
  <c r="C34" i="9"/>
  <c r="D34" i="10" s="1"/>
  <c r="C8" i="9"/>
  <c r="D8" i="10" s="1"/>
  <c r="C50" i="9"/>
  <c r="C44" i="9"/>
  <c r="D44" i="10" s="1"/>
  <c r="C49" i="9"/>
  <c r="D49" i="10" s="1"/>
  <c r="C12" i="9"/>
  <c r="D12" i="10" s="1"/>
  <c r="C37" i="9"/>
  <c r="D37" i="10" s="1"/>
  <c r="C52" i="9"/>
  <c r="D52" i="10" s="1"/>
  <c r="C31" i="9"/>
  <c r="D31" i="10" s="1"/>
  <c r="C16" i="9"/>
  <c r="D16" i="10" s="1"/>
  <c r="C15" i="9"/>
  <c r="D15" i="10" s="1"/>
  <c r="C48" i="9"/>
  <c r="D48" i="10" s="1"/>
  <c r="C20" i="9"/>
  <c r="D20" i="10" s="1"/>
  <c r="C47" i="9"/>
  <c r="D47" i="10" s="1"/>
  <c r="C35" i="9"/>
  <c r="D35" i="10" s="1"/>
  <c r="C21" i="9"/>
  <c r="D21" i="10" s="1"/>
  <c r="C41" i="9"/>
  <c r="D41" i="10" s="1"/>
  <c r="C14" i="9"/>
  <c r="D14" i="10" s="1"/>
  <c r="C45" i="9"/>
  <c r="D45" i="10" s="1"/>
  <c r="C22" i="9"/>
  <c r="D22" i="10" s="1"/>
  <c r="C19" i="9"/>
  <c r="D19" i="10" s="1"/>
  <c r="C46" i="9"/>
  <c r="D46" i="10" s="1"/>
  <c r="C7" i="9"/>
  <c r="D7" i="10" s="1"/>
  <c r="C29" i="9"/>
  <c r="D29" i="10" s="1"/>
  <c r="C5" i="9"/>
  <c r="D5" i="10" s="1"/>
  <c r="C39" i="9"/>
  <c r="D39" i="10" s="1"/>
  <c r="C33" i="9"/>
  <c r="D33" i="10" s="1"/>
  <c r="C32" i="9"/>
  <c r="D32" i="10" s="1"/>
  <c r="C42" i="9"/>
  <c r="D42" i="10" s="1"/>
  <c r="C18" i="9"/>
  <c r="D18" i="10" s="1"/>
  <c r="C24" i="9"/>
  <c r="D24" i="10" s="1"/>
  <c r="C27" i="9"/>
  <c r="D27" i="10" s="1"/>
  <c r="C11" i="9"/>
  <c r="D11" i="10" s="1"/>
  <c r="C6" i="9"/>
  <c r="D6" i="10" s="1"/>
  <c r="C13" i="9"/>
  <c r="D13" i="10" s="1"/>
  <c r="C51" i="9"/>
  <c r="D51" i="10" s="1"/>
  <c r="C38" i="9"/>
  <c r="D38" i="10" s="1"/>
  <c r="C26" i="9"/>
  <c r="D26" i="10" s="1"/>
  <c r="C25" i="9"/>
  <c r="D25" i="10" s="1"/>
  <c r="C30" i="9"/>
  <c r="D30" i="10" s="1"/>
  <c r="C43" i="9"/>
  <c r="D43" i="10" s="1"/>
  <c r="C23" i="9"/>
  <c r="D23" i="10" s="1"/>
  <c r="C17" i="9"/>
  <c r="D17" i="10" s="1"/>
  <c r="C40" i="9"/>
  <c r="D40" i="10" s="1"/>
  <c r="C36" i="9"/>
  <c r="D36" i="10" s="1"/>
  <c r="C9" i="9"/>
  <c r="D9" i="10" s="1"/>
  <c r="D50" i="10"/>
  <c r="D10" i="10"/>
  <c r="D56" i="10" l="1"/>
  <c r="C50" i="10" s="1"/>
  <c r="D50" i="6" s="1"/>
  <c r="C56" i="9"/>
  <c r="C32" i="10" l="1"/>
  <c r="D32" i="6" s="1"/>
  <c r="C20" i="10"/>
  <c r="D20" i="6" s="1"/>
  <c r="C51" i="10"/>
  <c r="D51" i="6" s="1"/>
  <c r="C9" i="10"/>
  <c r="D9" i="6" s="1"/>
  <c r="C11" i="10"/>
  <c r="D11" i="6" s="1"/>
  <c r="C22" i="10"/>
  <c r="D22" i="6" s="1"/>
  <c r="C10" i="10"/>
  <c r="C21" i="10"/>
  <c r="D21" i="6" s="1"/>
  <c r="C52" i="10"/>
  <c r="D52" i="6" s="1"/>
  <c r="C48" i="10"/>
  <c r="D48" i="6" s="1"/>
  <c r="C29" i="10"/>
  <c r="D29" i="6" s="1"/>
  <c r="C14" i="10"/>
  <c r="D14" i="6" s="1"/>
  <c r="C23" i="10"/>
  <c r="D23" i="6" s="1"/>
  <c r="C38" i="10"/>
  <c r="D38" i="6" s="1"/>
  <c r="C7" i="10"/>
  <c r="D7" i="6" s="1"/>
  <c r="C16" i="10"/>
  <c r="D16" i="6" s="1"/>
  <c r="C12" i="10"/>
  <c r="D12" i="6" s="1"/>
  <c r="C5" i="10"/>
  <c r="D5" i="6" s="1"/>
  <c r="C19" i="10"/>
  <c r="D19" i="6" s="1"/>
  <c r="C37" i="10"/>
  <c r="D37" i="6" s="1"/>
  <c r="C45" i="10"/>
  <c r="D45" i="6" s="1"/>
  <c r="C8" i="10"/>
  <c r="D8" i="6" s="1"/>
  <c r="C6" i="10"/>
  <c r="D6" i="6" s="1"/>
  <c r="C41" i="10"/>
  <c r="D41" i="6" s="1"/>
  <c r="C36" i="10"/>
  <c r="D36" i="6" s="1"/>
  <c r="C46" i="10"/>
  <c r="D46" i="6" s="1"/>
  <c r="C30" i="10"/>
  <c r="D30" i="6" s="1"/>
  <c r="C31" i="10"/>
  <c r="D31" i="6" s="1"/>
  <c r="C40" i="10"/>
  <c r="D40" i="6" s="1"/>
  <c r="C42" i="10"/>
  <c r="D42" i="6" s="1"/>
  <c r="C17" i="10"/>
  <c r="D17" i="6" s="1"/>
  <c r="C18" i="10"/>
  <c r="D18" i="6" s="1"/>
  <c r="C43" i="10"/>
  <c r="D43" i="6" s="1"/>
  <c r="C34" i="10"/>
  <c r="D34" i="6" s="1"/>
  <c r="C47" i="10"/>
  <c r="D47" i="6" s="1"/>
  <c r="C28" i="10"/>
  <c r="D28" i="6" s="1"/>
  <c r="C33" i="10"/>
  <c r="D33" i="6" s="1"/>
  <c r="C24" i="10"/>
  <c r="D24" i="6" s="1"/>
  <c r="C26" i="10"/>
  <c r="D26" i="6" s="1"/>
  <c r="C44" i="10"/>
  <c r="D44" i="6" s="1"/>
  <c r="C13" i="10"/>
  <c r="D13" i="6" s="1"/>
  <c r="C25" i="10"/>
  <c r="D25" i="6" s="1"/>
  <c r="C39" i="10"/>
  <c r="D39" i="6" s="1"/>
  <c r="C15" i="10"/>
  <c r="D15" i="6" s="1"/>
  <c r="C49" i="10"/>
  <c r="D49" i="6" s="1"/>
  <c r="C27" i="10"/>
  <c r="D27" i="6" s="1"/>
  <c r="C35" i="10"/>
  <c r="D35" i="6" s="1"/>
  <c r="D10" i="6"/>
  <c r="D56" i="6" l="1"/>
  <c r="C6" i="6" s="1"/>
  <c r="C56" i="10"/>
  <c r="C8" i="6" l="1"/>
  <c r="D8" i="3" s="1"/>
  <c r="C46" i="6"/>
  <c r="D46" i="3" s="1"/>
  <c r="C39" i="6"/>
  <c r="C37" i="6"/>
  <c r="D37" i="3" s="1"/>
  <c r="C27" i="6"/>
  <c r="D27" i="3" s="1"/>
  <c r="C47" i="6"/>
  <c r="D47" i="3" s="1"/>
  <c r="C26" i="6"/>
  <c r="D26" i="3" s="1"/>
  <c r="C15" i="6"/>
  <c r="D15" i="3" s="1"/>
  <c r="C7" i="6"/>
  <c r="D7" i="3" s="1"/>
  <c r="C52" i="6"/>
  <c r="C38" i="6"/>
  <c r="D38" i="3" s="1"/>
  <c r="C50" i="6"/>
  <c r="D50" i="3" s="1"/>
  <c r="C42" i="6"/>
  <c r="D42" i="3" s="1"/>
  <c r="C5" i="6"/>
  <c r="D5" i="3" s="1"/>
  <c r="C30" i="6"/>
  <c r="D30" i="3" s="1"/>
  <c r="C49" i="6"/>
  <c r="C41" i="6"/>
  <c r="D41" i="3" s="1"/>
  <c r="C36" i="6"/>
  <c r="D36" i="3" s="1"/>
  <c r="C31" i="6"/>
  <c r="D31" i="3" s="1"/>
  <c r="C9" i="6"/>
  <c r="D9" i="3" s="1"/>
  <c r="C14" i="6"/>
  <c r="D14" i="3" s="1"/>
  <c r="C32" i="6"/>
  <c r="D32" i="3" s="1"/>
  <c r="C29" i="6"/>
  <c r="D29" i="3" s="1"/>
  <c r="C34" i="6"/>
  <c r="D34" i="3" s="1"/>
  <c r="C44" i="6"/>
  <c r="D44" i="3" s="1"/>
  <c r="C13" i="6"/>
  <c r="D13" i="3" s="1"/>
  <c r="C25" i="6"/>
  <c r="D25" i="3" s="1"/>
  <c r="C19" i="6"/>
  <c r="D19" i="3" s="1"/>
  <c r="C10" i="6"/>
  <c r="D10" i="3" s="1"/>
  <c r="C48" i="6"/>
  <c r="D48" i="3" s="1"/>
  <c r="C51" i="6"/>
  <c r="D51" i="3" s="1"/>
  <c r="C45" i="6"/>
  <c r="D45" i="3" s="1"/>
  <c r="C33" i="6"/>
  <c r="C21" i="6"/>
  <c r="D21" i="3" s="1"/>
  <c r="C20" i="6"/>
  <c r="C22" i="6"/>
  <c r="D22" i="3" s="1"/>
  <c r="C24" i="6"/>
  <c r="D24" i="3" s="1"/>
  <c r="C28" i="6"/>
  <c r="D28" i="3" s="1"/>
  <c r="C16" i="6"/>
  <c r="D16" i="3" s="1"/>
  <c r="C17" i="6"/>
  <c r="D17" i="3" s="1"/>
  <c r="C23" i="6"/>
  <c r="D23" i="3" s="1"/>
  <c r="C11" i="6"/>
  <c r="D11" i="3" s="1"/>
  <c r="C18" i="6"/>
  <c r="D18" i="3" s="1"/>
  <c r="C12" i="6"/>
  <c r="D12" i="3" s="1"/>
  <c r="C43" i="6"/>
  <c r="D43" i="3" s="1"/>
  <c r="C35" i="6"/>
  <c r="D35" i="3" s="1"/>
  <c r="C40" i="6"/>
  <c r="D40" i="3" s="1"/>
  <c r="D20" i="3"/>
  <c r="D33" i="3"/>
  <c r="D52" i="3"/>
  <c r="D39" i="3"/>
  <c r="D49" i="3"/>
  <c r="D6" i="3"/>
  <c r="C56" i="6" l="1"/>
  <c r="D56" i="3"/>
  <c r="C26" i="3" s="1"/>
  <c r="C18" i="3" l="1"/>
  <c r="D18" i="12" s="1"/>
  <c r="C39" i="3"/>
  <c r="D39" i="12" s="1"/>
  <c r="C48" i="3"/>
  <c r="D48" i="12" s="1"/>
  <c r="C34" i="3"/>
  <c r="D34" i="12" s="1"/>
  <c r="C49" i="3"/>
  <c r="D49" i="12" s="1"/>
  <c r="C37" i="3"/>
  <c r="D37" i="12" s="1"/>
  <c r="C41" i="3"/>
  <c r="D41" i="12" s="1"/>
  <c r="C19" i="3"/>
  <c r="D19" i="12" s="1"/>
  <c r="C30" i="3"/>
  <c r="D30" i="12" s="1"/>
  <c r="C7" i="3"/>
  <c r="D7" i="12" s="1"/>
  <c r="C21" i="3"/>
  <c r="D21" i="12" s="1"/>
  <c r="C9" i="3"/>
  <c r="C5" i="3"/>
  <c r="D5" i="12" s="1"/>
  <c r="C33" i="3"/>
  <c r="D33" i="12" s="1"/>
  <c r="C29" i="3"/>
  <c r="D29" i="12" s="1"/>
  <c r="C31" i="3"/>
  <c r="D31" i="12" s="1"/>
  <c r="C6" i="3"/>
  <c r="D6" i="12" s="1"/>
  <c r="C40" i="3"/>
  <c r="D40" i="12" s="1"/>
  <c r="C22" i="3"/>
  <c r="D22" i="12" s="1"/>
  <c r="C46" i="3"/>
  <c r="D46" i="12" s="1"/>
  <c r="C44" i="3"/>
  <c r="D44" i="12" s="1"/>
  <c r="C52" i="3"/>
  <c r="D52" i="12" s="1"/>
  <c r="C23" i="3"/>
  <c r="D23" i="12" s="1"/>
  <c r="C51" i="3"/>
  <c r="D51" i="12" s="1"/>
  <c r="C36" i="3"/>
  <c r="D36" i="12" s="1"/>
  <c r="C8" i="3"/>
  <c r="D8" i="12" s="1"/>
  <c r="C10" i="3"/>
  <c r="D10" i="12" s="1"/>
  <c r="C43" i="3"/>
  <c r="D43" i="12" s="1"/>
  <c r="C47" i="3"/>
  <c r="D47" i="12" s="1"/>
  <c r="C42" i="3"/>
  <c r="D42" i="12" s="1"/>
  <c r="C28" i="3"/>
  <c r="D28" i="12" s="1"/>
  <c r="C17" i="3"/>
  <c r="D17" i="12" s="1"/>
  <c r="C11" i="3"/>
  <c r="D11" i="12" s="1"/>
  <c r="C16" i="3"/>
  <c r="D16" i="12" s="1"/>
  <c r="C32" i="3"/>
  <c r="D32" i="12" s="1"/>
  <c r="C20" i="3"/>
  <c r="D20" i="12" s="1"/>
  <c r="C14" i="3"/>
  <c r="D14" i="12" s="1"/>
  <c r="C45" i="3"/>
  <c r="D45" i="12" s="1"/>
  <c r="C50" i="3"/>
  <c r="D50" i="12" s="1"/>
  <c r="C13" i="3"/>
  <c r="D13" i="12" s="1"/>
  <c r="C24" i="3"/>
  <c r="D24" i="12" s="1"/>
  <c r="C38" i="3"/>
  <c r="D38" i="12" s="1"/>
  <c r="C12" i="3"/>
  <c r="D12" i="12" s="1"/>
  <c r="C27" i="3"/>
  <c r="D27" i="12" s="1"/>
  <c r="C15" i="3"/>
  <c r="D15" i="12" s="1"/>
  <c r="C35" i="3"/>
  <c r="D35" i="12" s="1"/>
  <c r="C25" i="3"/>
  <c r="D25" i="12" s="1"/>
  <c r="D9" i="12"/>
  <c r="D26" i="12"/>
  <c r="C56" i="3" l="1"/>
  <c r="D56" i="12"/>
  <c r="C8" i="12" s="1"/>
  <c r="C12" i="12" l="1"/>
  <c r="D12" i="11" s="1"/>
  <c r="C35" i="12"/>
  <c r="D35" i="11" s="1"/>
  <c r="C47" i="12"/>
  <c r="D47" i="11" s="1"/>
  <c r="C41" i="12"/>
  <c r="D41" i="11" s="1"/>
  <c r="C20" i="12"/>
  <c r="C24" i="12"/>
  <c r="D24" i="11" s="1"/>
  <c r="C26" i="12"/>
  <c r="D26" i="11" s="1"/>
  <c r="C50" i="12"/>
  <c r="D50" i="11" s="1"/>
  <c r="C6" i="12"/>
  <c r="D6" i="11" s="1"/>
  <c r="C38" i="12"/>
  <c r="D38" i="11" s="1"/>
  <c r="C34" i="12"/>
  <c r="D34" i="11" s="1"/>
  <c r="C37" i="12"/>
  <c r="D37" i="11" s="1"/>
  <c r="C43" i="12"/>
  <c r="D43" i="11" s="1"/>
  <c r="C9" i="12"/>
  <c r="D9" i="11" s="1"/>
  <c r="C49" i="12"/>
  <c r="D49" i="11" s="1"/>
  <c r="C21" i="12"/>
  <c r="D21" i="11" s="1"/>
  <c r="C32" i="12"/>
  <c r="D32" i="11" s="1"/>
  <c r="C18" i="12"/>
  <c r="D18" i="11" s="1"/>
  <c r="C45" i="12"/>
  <c r="D45" i="11" s="1"/>
  <c r="C22" i="12"/>
  <c r="D22" i="11" s="1"/>
  <c r="C25" i="12"/>
  <c r="D25" i="11" s="1"/>
  <c r="C31" i="12"/>
  <c r="D31" i="11" s="1"/>
  <c r="C13" i="12"/>
  <c r="D13" i="11" s="1"/>
  <c r="C48" i="12"/>
  <c r="D48" i="11" s="1"/>
  <c r="C40" i="12"/>
  <c r="D40" i="11" s="1"/>
  <c r="C29" i="12"/>
  <c r="D29" i="11" s="1"/>
  <c r="C7" i="12"/>
  <c r="D7" i="11" s="1"/>
  <c r="C36" i="12"/>
  <c r="D36" i="11" s="1"/>
  <c r="C10" i="12"/>
  <c r="D10" i="11" s="1"/>
  <c r="C28" i="12"/>
  <c r="D28" i="11" s="1"/>
  <c r="C16" i="12"/>
  <c r="D16" i="11" s="1"/>
  <c r="C5" i="12"/>
  <c r="C15" i="12"/>
  <c r="D15" i="11" s="1"/>
  <c r="C44" i="12"/>
  <c r="C39" i="12"/>
  <c r="D39" i="11" s="1"/>
  <c r="C14" i="12"/>
  <c r="D14" i="11" s="1"/>
  <c r="C51" i="12"/>
  <c r="D51" i="11" s="1"/>
  <c r="C17" i="12"/>
  <c r="D17" i="11" s="1"/>
  <c r="C23" i="12"/>
  <c r="D23" i="11" s="1"/>
  <c r="C33" i="12"/>
  <c r="D33" i="11" s="1"/>
  <c r="C46" i="12"/>
  <c r="D46" i="11" s="1"/>
  <c r="C27" i="12"/>
  <c r="D27" i="11" s="1"/>
  <c r="C19" i="12"/>
  <c r="D19" i="11" s="1"/>
  <c r="C42" i="12"/>
  <c r="D42" i="11" s="1"/>
  <c r="C30" i="12"/>
  <c r="D30" i="11" s="1"/>
  <c r="C52" i="12"/>
  <c r="D52" i="11" s="1"/>
  <c r="C11" i="12"/>
  <c r="D11" i="11" s="1"/>
  <c r="D5" i="11"/>
  <c r="D20" i="11"/>
  <c r="D44" i="11"/>
  <c r="D8" i="11"/>
  <c r="C56" i="12" l="1"/>
  <c r="D56" i="11"/>
  <c r="C21" i="11" l="1"/>
  <c r="C37" i="11"/>
  <c r="C15" i="11"/>
  <c r="C6" i="11"/>
  <c r="C48" i="11"/>
  <c r="C50" i="11"/>
  <c r="C36" i="11"/>
  <c r="C12" i="11"/>
  <c r="C11" i="11"/>
  <c r="C46" i="11"/>
  <c r="C26" i="11"/>
  <c r="C27" i="11"/>
  <c r="C23" i="11"/>
  <c r="C32" i="11"/>
  <c r="C17" i="11"/>
  <c r="C35" i="11"/>
  <c r="C30" i="11"/>
  <c r="C33" i="11"/>
  <c r="C7" i="11"/>
  <c r="C49" i="11"/>
  <c r="C45" i="11"/>
  <c r="C25" i="11"/>
  <c r="C18" i="11"/>
  <c r="C28" i="11"/>
  <c r="C31" i="11"/>
  <c r="C22" i="11"/>
  <c r="C43" i="11"/>
  <c r="C9" i="11"/>
  <c r="C52" i="11"/>
  <c r="C14" i="11"/>
  <c r="C44" i="11"/>
  <c r="C8" i="11"/>
  <c r="C51" i="11"/>
  <c r="C5" i="11"/>
  <c r="C29" i="11"/>
  <c r="C20" i="11"/>
  <c r="C24" i="11"/>
  <c r="C42" i="11"/>
  <c r="C39" i="11"/>
  <c r="C38" i="11"/>
  <c r="C34" i="11"/>
  <c r="C19" i="11"/>
  <c r="C40" i="11"/>
  <c r="C41" i="11"/>
  <c r="C10" i="11"/>
  <c r="C16" i="11"/>
  <c r="C47" i="11"/>
  <c r="C13" i="11"/>
  <c r="O54" i="17"/>
  <c r="G64" i="17" s="1"/>
  <c r="N54" i="17"/>
  <c r="G13" i="17" l="1"/>
  <c r="I13" i="17" s="1"/>
  <c r="K13" i="17" s="1"/>
  <c r="F13" i="19"/>
  <c r="H13" i="19" s="1"/>
  <c r="J13" i="19" s="1"/>
  <c r="E13" i="11"/>
  <c r="G38" i="17"/>
  <c r="I38" i="17" s="1"/>
  <c r="K38" i="17" s="1"/>
  <c r="E38" i="11"/>
  <c r="F38" i="19"/>
  <c r="H38" i="19" s="1"/>
  <c r="J38" i="19" s="1"/>
  <c r="G20" i="17"/>
  <c r="I20" i="17" s="1"/>
  <c r="K20" i="17" s="1"/>
  <c r="F20" i="19"/>
  <c r="H20" i="19" s="1"/>
  <c r="J20" i="19" s="1"/>
  <c r="E20" i="11"/>
  <c r="G8" i="17"/>
  <c r="I8" i="17" s="1"/>
  <c r="K8" i="17" s="1"/>
  <c r="E8" i="11"/>
  <c r="F8" i="19"/>
  <c r="H8" i="19" s="1"/>
  <c r="J8" i="19" s="1"/>
  <c r="G9" i="17"/>
  <c r="I9" i="17" s="1"/>
  <c r="K9" i="17" s="1"/>
  <c r="F9" i="19"/>
  <c r="H9" i="19" s="1"/>
  <c r="J9" i="19" s="1"/>
  <c r="E9" i="11"/>
  <c r="G28" i="17"/>
  <c r="I28" i="17" s="1"/>
  <c r="K28" i="17" s="1"/>
  <c r="E28" i="11"/>
  <c r="F28" i="19"/>
  <c r="H28" i="19" s="1"/>
  <c r="J28" i="19" s="1"/>
  <c r="G49" i="17"/>
  <c r="I49" i="17" s="1"/>
  <c r="K49" i="17" s="1"/>
  <c r="E49" i="11"/>
  <c r="F49" i="19"/>
  <c r="H49" i="19" s="1"/>
  <c r="J49" i="19" s="1"/>
  <c r="F35" i="19"/>
  <c r="H35" i="19" s="1"/>
  <c r="J35" i="19" s="1"/>
  <c r="E35" i="11"/>
  <c r="G35" i="19" s="1"/>
  <c r="G27" i="17"/>
  <c r="I27" i="17" s="1"/>
  <c r="K27" i="17" s="1"/>
  <c r="F27" i="19"/>
  <c r="H27" i="19" s="1"/>
  <c r="J27" i="19" s="1"/>
  <c r="E27" i="11"/>
  <c r="G12" i="17"/>
  <c r="I12" i="17" s="1"/>
  <c r="K12" i="17" s="1"/>
  <c r="F12" i="19"/>
  <c r="H12" i="19" s="1"/>
  <c r="J12" i="19" s="1"/>
  <c r="E12" i="11"/>
  <c r="G6" i="17"/>
  <c r="I6" i="17" s="1"/>
  <c r="K6" i="17" s="1"/>
  <c r="E6" i="11"/>
  <c r="F6" i="19"/>
  <c r="H6" i="19" s="1"/>
  <c r="J6" i="19" s="1"/>
  <c r="G47" i="17"/>
  <c r="I47" i="17" s="1"/>
  <c r="K47" i="17" s="1"/>
  <c r="F47" i="19"/>
  <c r="H47" i="19" s="1"/>
  <c r="J47" i="19" s="1"/>
  <c r="E47" i="11"/>
  <c r="G40" i="17"/>
  <c r="I40" i="17" s="1"/>
  <c r="K40" i="17" s="1"/>
  <c r="F40" i="19"/>
  <c r="H40" i="19" s="1"/>
  <c r="J40" i="19" s="1"/>
  <c r="E40" i="11"/>
  <c r="G39" i="17"/>
  <c r="I39" i="17" s="1"/>
  <c r="K39" i="17" s="1"/>
  <c r="E39" i="11"/>
  <c r="F39" i="19"/>
  <c r="H39" i="19" s="1"/>
  <c r="J39" i="19" s="1"/>
  <c r="G29" i="17"/>
  <c r="I29" i="17" s="1"/>
  <c r="K29" i="17" s="1"/>
  <c r="F29" i="19"/>
  <c r="H29" i="19" s="1"/>
  <c r="J29" i="19" s="1"/>
  <c r="E29" i="11"/>
  <c r="G44" i="17"/>
  <c r="I44" i="17" s="1"/>
  <c r="K44" i="17" s="1"/>
  <c r="F44" i="19"/>
  <c r="H44" i="19" s="1"/>
  <c r="J44" i="19" s="1"/>
  <c r="E44" i="11"/>
  <c r="G43" i="17"/>
  <c r="I43" i="17" s="1"/>
  <c r="K43" i="17" s="1"/>
  <c r="E43" i="11"/>
  <c r="F43" i="19"/>
  <c r="H43" i="19" s="1"/>
  <c r="J43" i="19" s="1"/>
  <c r="G18" i="17"/>
  <c r="I18" i="17" s="1"/>
  <c r="K18" i="17" s="1"/>
  <c r="E18" i="11"/>
  <c r="F18" i="19"/>
  <c r="H18" i="19" s="1"/>
  <c r="J18" i="19" s="1"/>
  <c r="G7" i="17"/>
  <c r="I7" i="17" s="1"/>
  <c r="K7" i="17" s="1"/>
  <c r="E7" i="11"/>
  <c r="F7" i="19"/>
  <c r="H7" i="19" s="1"/>
  <c r="J7" i="19" s="1"/>
  <c r="G17" i="17"/>
  <c r="I17" i="17" s="1"/>
  <c r="K17" i="17" s="1"/>
  <c r="E17" i="11"/>
  <c r="F17" i="19"/>
  <c r="H17" i="19" s="1"/>
  <c r="J17" i="19" s="1"/>
  <c r="G26" i="17"/>
  <c r="I26" i="17" s="1"/>
  <c r="K26" i="17" s="1"/>
  <c r="F26" i="19"/>
  <c r="H26" i="19" s="1"/>
  <c r="J26" i="19" s="1"/>
  <c r="E26" i="11"/>
  <c r="G36" i="17"/>
  <c r="I36" i="17" s="1"/>
  <c r="K36" i="17" s="1"/>
  <c r="E36" i="11"/>
  <c r="F36" i="19"/>
  <c r="H36" i="19" s="1"/>
  <c r="J36" i="19" s="1"/>
  <c r="G15" i="17"/>
  <c r="I15" i="17" s="1"/>
  <c r="K15" i="17" s="1"/>
  <c r="F15" i="19"/>
  <c r="H15" i="19" s="1"/>
  <c r="J15" i="19" s="1"/>
  <c r="E15" i="11"/>
  <c r="G16" i="17"/>
  <c r="I16" i="17" s="1"/>
  <c r="K16" i="17" s="1"/>
  <c r="F16" i="19"/>
  <c r="H16" i="19" s="1"/>
  <c r="J16" i="19" s="1"/>
  <c r="E16" i="11"/>
  <c r="G19" i="17"/>
  <c r="I19" i="17" s="1"/>
  <c r="K19" i="17" s="1"/>
  <c r="E19" i="11"/>
  <c r="F19" i="19"/>
  <c r="H19" i="19" s="1"/>
  <c r="J19" i="19" s="1"/>
  <c r="G42" i="17"/>
  <c r="I42" i="17" s="1"/>
  <c r="K42" i="17" s="1"/>
  <c r="E42" i="11"/>
  <c r="F42" i="19"/>
  <c r="H42" i="19" s="1"/>
  <c r="J42" i="19" s="1"/>
  <c r="G5" i="17"/>
  <c r="C56" i="11"/>
  <c r="E5" i="11"/>
  <c r="F5" i="19"/>
  <c r="G14" i="17"/>
  <c r="I14" i="17" s="1"/>
  <c r="K14" i="17" s="1"/>
  <c r="F14" i="19"/>
  <c r="H14" i="19" s="1"/>
  <c r="J14" i="19" s="1"/>
  <c r="E14" i="11"/>
  <c r="G22" i="17"/>
  <c r="I22" i="17" s="1"/>
  <c r="K22" i="17" s="1"/>
  <c r="E22" i="11"/>
  <c r="F22" i="19"/>
  <c r="H22" i="19" s="1"/>
  <c r="J22" i="19" s="1"/>
  <c r="G25" i="17"/>
  <c r="I25" i="17" s="1"/>
  <c r="K25" i="17" s="1"/>
  <c r="F25" i="19"/>
  <c r="H25" i="19" s="1"/>
  <c r="J25" i="19" s="1"/>
  <c r="E25" i="11"/>
  <c r="G33" i="17"/>
  <c r="I33" i="17" s="1"/>
  <c r="K33" i="17" s="1"/>
  <c r="F33" i="19"/>
  <c r="H33" i="19" s="1"/>
  <c r="J33" i="19" s="1"/>
  <c r="E33" i="11"/>
  <c r="G32" i="17"/>
  <c r="I32" i="17" s="1"/>
  <c r="K32" i="17" s="1"/>
  <c r="E32" i="11"/>
  <c r="F32" i="19"/>
  <c r="H32" i="19" s="1"/>
  <c r="J32" i="19" s="1"/>
  <c r="G46" i="17"/>
  <c r="I46" i="17" s="1"/>
  <c r="K46" i="17" s="1"/>
  <c r="E46" i="11"/>
  <c r="F46" i="19"/>
  <c r="H46" i="19" s="1"/>
  <c r="J46" i="19" s="1"/>
  <c r="G50" i="17"/>
  <c r="I50" i="17" s="1"/>
  <c r="K50" i="17" s="1"/>
  <c r="F50" i="19"/>
  <c r="H50" i="19" s="1"/>
  <c r="J50" i="19" s="1"/>
  <c r="E50" i="11"/>
  <c r="F37" i="19"/>
  <c r="H37" i="19" s="1"/>
  <c r="J37" i="19" s="1"/>
  <c r="E37" i="11"/>
  <c r="G37" i="19" s="1"/>
  <c r="G41" i="17"/>
  <c r="I41" i="17" s="1"/>
  <c r="K41" i="17" s="1"/>
  <c r="E41" i="11"/>
  <c r="F41" i="19"/>
  <c r="H41" i="19" s="1"/>
  <c r="J41" i="19" s="1"/>
  <c r="G10" i="17"/>
  <c r="I10" i="17" s="1"/>
  <c r="K10" i="17" s="1"/>
  <c r="F10" i="19"/>
  <c r="H10" i="19" s="1"/>
  <c r="J10" i="19" s="1"/>
  <c r="E10" i="11"/>
  <c r="G34" i="17"/>
  <c r="I34" i="17" s="1"/>
  <c r="K34" i="17" s="1"/>
  <c r="E34" i="11"/>
  <c r="F34" i="19"/>
  <c r="H34" i="19" s="1"/>
  <c r="J34" i="19" s="1"/>
  <c r="G24" i="17"/>
  <c r="I24" i="17" s="1"/>
  <c r="K24" i="17" s="1"/>
  <c r="F24" i="19"/>
  <c r="H24" i="19" s="1"/>
  <c r="J24" i="19" s="1"/>
  <c r="E24" i="11"/>
  <c r="E51" i="11"/>
  <c r="G51" i="17"/>
  <c r="I51" i="17" s="1"/>
  <c r="K51" i="17" s="1"/>
  <c r="F51" i="19"/>
  <c r="H51" i="19" s="1"/>
  <c r="J51" i="19" s="1"/>
  <c r="G52" i="17"/>
  <c r="I52" i="17" s="1"/>
  <c r="K52" i="17" s="1"/>
  <c r="E52" i="11"/>
  <c r="F52" i="19"/>
  <c r="H52" i="19" s="1"/>
  <c r="J52" i="19" s="1"/>
  <c r="G31" i="17"/>
  <c r="I31" i="17" s="1"/>
  <c r="K31" i="17" s="1"/>
  <c r="E31" i="11"/>
  <c r="F31" i="19"/>
  <c r="H31" i="19" s="1"/>
  <c r="J31" i="19" s="1"/>
  <c r="G45" i="17"/>
  <c r="I45" i="17" s="1"/>
  <c r="K45" i="17" s="1"/>
  <c r="F45" i="19"/>
  <c r="H45" i="19" s="1"/>
  <c r="J45" i="19" s="1"/>
  <c r="E45" i="11"/>
  <c r="G30" i="17"/>
  <c r="I30" i="17" s="1"/>
  <c r="K30" i="17" s="1"/>
  <c r="F30" i="19"/>
  <c r="H30" i="19" s="1"/>
  <c r="J30" i="19" s="1"/>
  <c r="E30" i="11"/>
  <c r="G23" i="17"/>
  <c r="I23" i="17" s="1"/>
  <c r="K23" i="17" s="1"/>
  <c r="E23" i="11"/>
  <c r="F23" i="19"/>
  <c r="H23" i="19" s="1"/>
  <c r="J23" i="19" s="1"/>
  <c r="F11" i="19"/>
  <c r="H11" i="19" s="1"/>
  <c r="J11" i="19" s="1"/>
  <c r="E11" i="11"/>
  <c r="G11" i="19" s="1"/>
  <c r="G48" i="17"/>
  <c r="I48" i="17" s="1"/>
  <c r="K48" i="17" s="1"/>
  <c r="E48" i="11"/>
  <c r="F48" i="19"/>
  <c r="H48" i="19" s="1"/>
  <c r="J48" i="19" s="1"/>
  <c r="F21" i="19"/>
  <c r="H21" i="19" s="1"/>
  <c r="J21" i="19" s="1"/>
  <c r="G21" i="17"/>
  <c r="I21" i="17" s="1"/>
  <c r="K21" i="17" s="1"/>
  <c r="E21" i="11"/>
  <c r="G67" i="17"/>
  <c r="K56" i="17" l="1"/>
  <c r="H45" i="17"/>
  <c r="G45" i="19"/>
  <c r="H31" i="17"/>
  <c r="G31" i="19"/>
  <c r="G14" i="19"/>
  <c r="H14" i="17"/>
  <c r="H5" i="17"/>
  <c r="E56" i="11"/>
  <c r="G5" i="19"/>
  <c r="H42" i="17"/>
  <c r="G42" i="19"/>
  <c r="H29" i="17"/>
  <c r="G29" i="19"/>
  <c r="G39" i="19"/>
  <c r="H39" i="17"/>
  <c r="H49" i="17"/>
  <c r="G49" i="19"/>
  <c r="H30" i="17"/>
  <c r="G30" i="19"/>
  <c r="H16" i="17"/>
  <c r="G16" i="19"/>
  <c r="H44" i="17"/>
  <c r="G44" i="19"/>
  <c r="G47" i="19"/>
  <c r="H47" i="17"/>
  <c r="H6" i="17"/>
  <c r="G6" i="19"/>
  <c r="H9" i="17"/>
  <c r="G9" i="19"/>
  <c r="H8" i="17"/>
  <c r="G8" i="19"/>
  <c r="H13" i="17"/>
  <c r="G13" i="19"/>
  <c r="H21" i="17"/>
  <c r="G21" i="19"/>
  <c r="H48" i="17"/>
  <c r="G48" i="19"/>
  <c r="H10" i="17"/>
  <c r="G10" i="19"/>
  <c r="H41" i="17"/>
  <c r="G41" i="19"/>
  <c r="H50" i="17"/>
  <c r="G50" i="19"/>
  <c r="H46" i="17"/>
  <c r="G46" i="19"/>
  <c r="H25" i="17"/>
  <c r="G25" i="19"/>
  <c r="H22" i="17"/>
  <c r="G22" i="19"/>
  <c r="I5" i="17"/>
  <c r="G54" i="17"/>
  <c r="F59" i="17" s="1"/>
  <c r="H57" i="17" s="1"/>
  <c r="H26" i="17"/>
  <c r="G26" i="19"/>
  <c r="H17" i="17"/>
  <c r="G17" i="19"/>
  <c r="H40" i="17"/>
  <c r="G40" i="19"/>
  <c r="H27" i="17"/>
  <c r="G27" i="19"/>
  <c r="H24" i="17"/>
  <c r="G24" i="19"/>
  <c r="H34" i="17"/>
  <c r="G34" i="19"/>
  <c r="G15" i="19"/>
  <c r="H15" i="17"/>
  <c r="G36" i="19"/>
  <c r="H36" i="17"/>
  <c r="G18" i="19"/>
  <c r="H18" i="17"/>
  <c r="H32" i="17"/>
  <c r="G32" i="19"/>
  <c r="J56" i="19"/>
  <c r="H7" i="17"/>
  <c r="G7" i="19"/>
  <c r="H23" i="17"/>
  <c r="G23" i="19"/>
  <c r="H52" i="17"/>
  <c r="G52" i="19"/>
  <c r="H51" i="17"/>
  <c r="G51" i="19"/>
  <c r="H33" i="17"/>
  <c r="G33" i="19"/>
  <c r="H5" i="19"/>
  <c r="F54" i="19"/>
  <c r="E59" i="19" s="1"/>
  <c r="G57" i="19" s="1"/>
  <c r="G19" i="19"/>
  <c r="H19" i="17"/>
  <c r="H43" i="17"/>
  <c r="G43" i="19"/>
  <c r="G12" i="19"/>
  <c r="H12" i="17"/>
  <c r="H28" i="17"/>
  <c r="G28" i="19"/>
  <c r="G20" i="19"/>
  <c r="H20" i="17"/>
  <c r="H38" i="17"/>
  <c r="G38" i="19"/>
  <c r="J5" i="19" l="1"/>
  <c r="H54" i="19"/>
  <c r="H54" i="17"/>
  <c r="K5" i="17"/>
  <c r="K55" i="17" s="1"/>
  <c r="I54" i="17"/>
  <c r="G54" i="19"/>
  <c r="J54" i="19" l="1"/>
  <c r="J55" i="19"/>
  <c r="F62" i="19" s="1"/>
  <c r="G68" i="19" s="1"/>
  <c r="G70" i="19" s="1"/>
  <c r="G62" i="17"/>
  <c r="H69" i="17" s="1"/>
  <c r="H71" i="17" s="1"/>
  <c r="K54" i="17"/>
</calcChain>
</file>

<file path=xl/sharedStrings.xml><?xml version="1.0" encoding="utf-8"?>
<sst xmlns="http://schemas.openxmlformats.org/spreadsheetml/2006/main" count="1529" uniqueCount="226">
  <si>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</si>
  <si>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</si>
  <si>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</si>
  <si>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</si>
  <si>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</si>
  <si>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</si>
  <si>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</si>
  <si>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</si>
  <si>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</si>
  <si>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</si>
  <si>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</si>
  <si>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</si>
  <si>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</si>
  <si>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</si>
  <si>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</si>
  <si>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</si>
  <si>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</si>
  <si>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</si>
  <si>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</si>
  <si>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</si>
  <si>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</si>
  <si>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</si>
  <si>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</si>
  <si>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</si>
  <si>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</si>
  <si>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</si>
  <si>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</si>
  <si>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</si>
  <si>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</si>
  <si>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</si>
  <si>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</si>
  <si>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</si>
  <si>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</si>
  <si>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</si>
  <si>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</si>
  <si>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</si>
  <si>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</si>
  <si>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</si>
  <si>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</si>
  <si>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</si>
  <si>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</si>
  <si>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</si>
  <si>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</si>
  <si>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</si>
  <si>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</si>
  <si>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</si>
  <si>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</si>
  <si>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</si>
  <si>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</si>
  <si>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</si>
  <si>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</si>
  <si>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</si>
  <si>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</si>
  <si>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</si>
  <si>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</si>
  <si>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</si>
  <si>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</si>
  <si>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</si>
  <si>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</si>
  <si>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</si>
  <si>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</si>
  <si>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</si>
  <si>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</si>
  <si>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</si>
  <si>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</si>
  <si>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</si>
  <si>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</si>
  <si>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</si>
  <si>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</si>
  <si>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</si>
  <si>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</si>
  <si>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</si>
  <si>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</si>
  <si>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</si>
  <si>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</si>
  <si>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</si>
  <si>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</si>
  <si>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</si>
  <si>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</si>
  <si>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</si>
  <si>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</si>
  <si>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</si>
  <si>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</si>
  <si>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</si>
  <si>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</si>
  <si>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</si>
  <si>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</si>
  <si>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</si>
  <si>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</si>
  <si>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</si>
  <si>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</si>
  <si>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</si>
  <si>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</si>
  <si>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</si>
  <si>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</si>
  <si>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</si>
  <si>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</si>
  <si>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</si>
  <si>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</si>
  <si>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</si>
  <si>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</si>
  <si>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</si>
  <si>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</si>
  <si>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</si>
  <si>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</si>
  <si>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</si>
  <si>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</si>
  <si>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</si>
  <si>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</si>
  <si>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</si>
  <si>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</si>
  <si>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</si>
  <si>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</si>
  <si>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</si>
  <si>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</si>
  <si>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</si>
  <si>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</si>
  <si>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</si>
  <si>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</si>
  <si>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</si>
  <si>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</si>
  <si>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</si>
  <si>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</si>
  <si>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</si>
  <si>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</si>
  <si>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</si>
  <si>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</si>
  <si>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</si>
  <si>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</si>
  <si>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</si>
  <si>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</si>
  <si>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</si>
  <si>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</si>
  <si>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</si>
  <si>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</si>
  <si>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</si>
  <si>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</si>
  <si>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</si>
  <si>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</si>
  <si>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</si>
  <si>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</si>
  <si>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</si>
  <si>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</si>
  <si>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</si>
  <si>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</si>
  <si>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</si>
  <si>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</si>
  <si>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</si>
  <si>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</si>
  <si>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</si>
  <si>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</si>
  <si>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</si>
  <si>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</si>
  <si>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</si>
  <si>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</si>
  <si>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</si>
  <si>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</si>
  <si>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</si>
  <si>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</si>
  <si>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</si>
  <si>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</si>
  <si>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</si>
  <si>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</si>
  <si>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</si>
  <si>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</si>
  <si>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</si>
  <si>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</si>
  <si>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</si>
  <si>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</si>
  <si>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</si>
  <si>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</si>
  <si>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</si>
  <si>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</si>
  <si>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</si>
  <si>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</si>
  <si>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</si>
  <si>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</si>
  <si>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</si>
  <si>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</si>
  <si>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</si>
  <si>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</si>
  <si>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</si>
  <si>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</si>
  <si>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</si>
  <si>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</si>
  <si>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</si>
  <si>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</si>
  <si>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</si>
  <si>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</si>
  <si>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</si>
  <si>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</si>
  <si>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</si>
  <si>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</si>
  <si>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</si>
  <si>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</si>
  <si>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</si>
  <si>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</si>
  <si>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</si>
  <si>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</si>
  <si>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</si>
  <si>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</si>
  <si>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</si>
  <si>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</si>
  <si>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</si>
  <si>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</si>
  <si>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</si>
  <si>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</si>
  <si>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</si>
  <si>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</si>
  <si>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</si>
  <si>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</si>
  <si>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</si>
  <si>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</si>
  <si>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</si>
  <si>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</si>
  <si>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</si>
  <si>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</si>
  <si>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</si>
  <si>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</si>
  <si>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MONTANT EFFECTIVEMENT VERSE</t>
  </si>
  <si>
    <t>CAPITAL EFFECTIVEMENT DISTRIBUE</t>
  </si>
  <si>
    <t>SORTIE</t>
  </si>
  <si>
    <t>FONDS DISTRIBUE</t>
  </si>
  <si>
    <t>RETOUR BANQUE</t>
  </si>
  <si>
    <t>FRAIS DE TAXI</t>
  </si>
  <si>
    <t>RELIQUAT 2016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</si>
</sst>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K33" sqref="K33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211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</row>
    <row r="5" spans="1:14" x14ac:dyDescent="0.25">
      <c r="A5" s="1" t="s">
        <v>185</v>
      </c>
      <c r="B5" s="1" t="str">
        <f>VLOOKUP(A5,LISTADHERENT!A$5:H$52,2,0)</f>
        <v>ASELBY</v>
      </c>
      <c r="C5" s="1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v>390000</v>
      </c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v>390000</v>
      </c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v>390000</v>
      </c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372800</v>
      </c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C47+48100+20500</f>
        <v>325719</v>
      </c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440000</v>
      </c>
      <c r="J54" s="9">
        <f t="shared" si="0"/>
        <v>0</v>
      </c>
      <c r="K54" s="9">
        <f t="shared" si="0"/>
        <v>698519</v>
      </c>
      <c r="L54" s="9">
        <f t="shared" si="0"/>
        <v>1560000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8" width="15" style="2" bestFit="1" customWidth="1"/>
    <col min="9" max="9" width="15" bestFit="1" customWidth="1"/>
    <col min="10" max="10" width="17.5703125" style="4" bestFit="1" customWidth="1"/>
    <col min="11" max="11" width="15.7109375" style="2" customWidth="1"/>
    <col min="12" max="12" width="12.42578125" style="2" customWidth="1"/>
    <col min="13" max="13" width="9.7109375" style="2" customWidth="1"/>
    <col min="14" max="14" width="18.140625" customWidth="1"/>
    <col min="15" max="15" width="15" bestFit="1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20" x14ac:dyDescent="0.25">
      <c r="A2" s="1" t="s">
        <v>2</v>
      </c>
      <c r="B2" s="1" t="s">
        <v>3</v>
      </c>
      <c r="C2" s="1"/>
      <c r="D2" s="1"/>
      <c r="E2" s="1"/>
      <c r="F2" s="1"/>
      <c r="G2" s="1"/>
    </row>
    <row r="3" spans="1:20" x14ac:dyDescent="0.25">
      <c r="A3" s="1" t="s">
        <v>4</v>
      </c>
      <c r="B3" s="1" t="s">
        <v>5</v>
      </c>
      <c r="C3" s="1"/>
      <c r="D3" s="1"/>
      <c r="E3" s="1"/>
      <c r="F3" s="1"/>
      <c r="G3" s="1"/>
    </row>
    <row r="4" spans="1:20" ht="29.25" x14ac:dyDescent="0.25">
      <c r="A4" s="1" t="s">
        <v>6</v>
      </c>
      <c r="B4" s="1" t="s">
        <v>7</v>
      </c>
      <c r="C4" s="6" t="s">
        <v>188</v>
      </c>
      <c r="D4" s="1" t="s">
        <v>183</v>
      </c>
      <c r="E4" s="5" t="s">
        <v>186</v>
      </c>
      <c r="F4" s="5" t="s">
        <v>187</v>
      </c>
      <c r="G4" s="1" t="s">
        <v>184</v>
      </c>
      <c r="H4" s="5" t="s">
        <v>65</v>
      </c>
      <c r="I4" s="1" t="s">
        <v>57</v>
      </c>
      <c r="J4" s="5" t="s">
        <v>58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8</v>
      </c>
      <c r="R4" s="5" t="s">
        <v>182</v>
      </c>
      <c r="S4" s="5" t="s">
        <v>181</v>
      </c>
    </row>
    <row r="5" spans="1:2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$P$56/$F$56*F5</f>
        <v>1799.2102095459891</v>
      </c>
      <c r="F5" s="6">
        <f>RECAPTONT20000!C5+RECAPTONT20000!D5+TONT20000DEC2015!I5</f>
        <v>318145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</row>
    <row r="6" spans="1:2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2412.1954641402754</v>
      </c>
      <c r="F6" s="6">
        <f>RECAPTONT20000!C6+RECAPTONT20000!D6+TONT20000DEC2015!I6</f>
        <v>426536</v>
      </c>
      <c r="G6" s="6"/>
      <c r="H6" s="7">
        <f>I6+J6+K6+L6+M7+N7</f>
        <v>20000</v>
      </c>
      <c r="I6" s="7">
        <v>3000</v>
      </c>
      <c r="J6" s="7">
        <v>500</v>
      </c>
      <c r="K6" s="7">
        <v>1000</v>
      </c>
      <c r="L6" s="7">
        <v>2500</v>
      </c>
      <c r="M6" s="7"/>
      <c r="N6" s="7">
        <v>13000</v>
      </c>
      <c r="O6" s="7"/>
      <c r="P6" s="7">
        <f>IF(O6&lt;=500000,(O6*1*3/100),(O6*12/100))</f>
        <v>0</v>
      </c>
      <c r="Q6" s="2"/>
      <c r="R6" s="2"/>
      <c r="S6" s="2"/>
    </row>
    <row r="7" spans="1:20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2232.1754751721387</v>
      </c>
      <c r="F7" s="6">
        <f>RECAPTONT20000!C7+RECAPTONT20000!D7+TONT20000DEC2015!I7</f>
        <v>394704</v>
      </c>
      <c r="G7" s="6"/>
      <c r="H7" s="7">
        <f>I7+J7+K7+L7+M8+N8</f>
        <v>20000</v>
      </c>
      <c r="I7" s="7">
        <v>3000</v>
      </c>
      <c r="J7" s="7">
        <v>500</v>
      </c>
      <c r="K7" s="7">
        <v>1000</v>
      </c>
      <c r="L7" s="7">
        <v>2500</v>
      </c>
      <c r="M7" s="7"/>
      <c r="N7" s="7">
        <v>13000</v>
      </c>
      <c r="O7" s="7"/>
      <c r="P7" s="7">
        <f t="shared" ref="P7:P54" si="1">IF(O7&lt;=500000,(O7*1*3/100),(O7*12/100))</f>
        <v>0</v>
      </c>
      <c r="Q7" s="2"/>
      <c r="R7" s="2"/>
      <c r="S7" s="2"/>
    </row>
    <row r="8" spans="1:20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2232.9559086503241</v>
      </c>
      <c r="F8" s="6">
        <f>RECAPTONT20000!C8+RECAPTONT20000!D8+TONT20000DEC2015!I8</f>
        <v>394842</v>
      </c>
      <c r="G8" s="6"/>
      <c r="H8" s="7">
        <f t="shared" ref="H8:H49" si="2">I8+J8+K8+L8+M8+N8</f>
        <v>20000</v>
      </c>
      <c r="I8" s="7">
        <v>3000</v>
      </c>
      <c r="J8" s="7">
        <v>500</v>
      </c>
      <c r="K8" s="7">
        <v>1000</v>
      </c>
      <c r="L8" s="7">
        <v>2500</v>
      </c>
      <c r="M8" s="7"/>
      <c r="N8" s="7">
        <v>13000</v>
      </c>
      <c r="O8" s="2"/>
      <c r="P8" s="7">
        <f t="shared" si="1"/>
        <v>0</v>
      </c>
      <c r="Q8" s="2"/>
      <c r="R8" s="2"/>
      <c r="S8" s="2"/>
    </row>
    <row r="9" spans="1:20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2268.6635679348433</v>
      </c>
      <c r="F9" s="6">
        <f>RECAPTONT20000!C9+RECAPTONT20000!D9+TONT20000DEC2015!I9</f>
        <v>401156</v>
      </c>
      <c r="G9" s="6"/>
      <c r="H9" s="7">
        <f t="shared" si="2"/>
        <v>20000</v>
      </c>
      <c r="I9" s="7">
        <v>3000</v>
      </c>
      <c r="J9" s="7">
        <v>500</v>
      </c>
      <c r="K9" s="7">
        <v>1000</v>
      </c>
      <c r="L9" s="7">
        <v>2500</v>
      </c>
      <c r="M9" s="7"/>
      <c r="N9" s="7">
        <v>13000</v>
      </c>
      <c r="O9" s="2"/>
      <c r="P9" s="7">
        <f t="shared" si="1"/>
        <v>0</v>
      </c>
      <c r="Q9" s="2"/>
      <c r="R9" s="2"/>
      <c r="S9" s="2"/>
    </row>
    <row r="10" spans="1:20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2284.2100290329022</v>
      </c>
      <c r="F10" s="6">
        <f>RECAPTONT20000!C10+RECAPTONT20000!D10+TONT20000DEC2015!I10</f>
        <v>403905</v>
      </c>
      <c r="G10" s="6"/>
      <c r="H10" s="7">
        <f t="shared" si="2"/>
        <v>25000</v>
      </c>
      <c r="I10" s="7">
        <v>8000</v>
      </c>
      <c r="J10" s="7">
        <v>500</v>
      </c>
      <c r="K10" s="7">
        <v>1000</v>
      </c>
      <c r="L10" s="7">
        <v>2500</v>
      </c>
      <c r="M10" s="7"/>
      <c r="N10" s="7">
        <v>13000</v>
      </c>
      <c r="O10" s="2"/>
      <c r="P10" s="7">
        <f t="shared" si="1"/>
        <v>0</v>
      </c>
      <c r="Q10" s="2"/>
      <c r="R10" s="2"/>
      <c r="S10" s="2"/>
    </row>
    <row r="11" spans="1:20" x14ac:dyDescent="0.25">
      <c r="A11" s="1" t="s">
        <v>16</v>
      </c>
      <c r="B11" s="1" t="str">
        <f>VLOOKUP(A11,LISTADHERENT!A$5:H$51,2)</f>
        <v>DJOSSEU JOSUE</v>
      </c>
      <c r="C11" s="6">
        <f>VLOOKUP(A11,FONDSDECAISSE!A$5:C$52,3,0)</f>
        <v>0</v>
      </c>
      <c r="D11" s="6">
        <v>0</v>
      </c>
      <c r="E11" s="6">
        <f t="shared" si="0"/>
        <v>28.276575296578432</v>
      </c>
      <c r="F11" s="6">
        <f>RECAPTONT20000!C11+RECAPTONT20000!D11+TONT20000DEC2015!I11</f>
        <v>5000</v>
      </c>
      <c r="G11" s="6"/>
      <c r="H11" s="7">
        <f t="shared" si="2"/>
        <v>22000</v>
      </c>
      <c r="I11" s="7">
        <v>5000</v>
      </c>
      <c r="J11" s="7">
        <v>500</v>
      </c>
      <c r="K11" s="7">
        <v>1000</v>
      </c>
      <c r="L11" s="7">
        <v>2500</v>
      </c>
      <c r="M11" s="7"/>
      <c r="N11" s="7">
        <v>13000</v>
      </c>
      <c r="O11" s="2"/>
      <c r="P11" s="7">
        <f t="shared" si="1"/>
        <v>0</v>
      </c>
      <c r="Q11" s="2"/>
      <c r="R11" s="2"/>
      <c r="S11" s="2"/>
    </row>
    <row r="12" spans="1:20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7796.3551323069523</v>
      </c>
      <c r="F12" s="6">
        <f>RECAPTONT20000!C12+RECAPTONT20000!D12+TONT20000DEC2015!I12</f>
        <v>1378589</v>
      </c>
      <c r="G12" s="6"/>
      <c r="H12" s="7">
        <f t="shared" si="2"/>
        <v>20000</v>
      </c>
      <c r="I12" s="7">
        <v>3000</v>
      </c>
      <c r="J12" s="7">
        <v>500</v>
      </c>
      <c r="K12" s="7">
        <v>1000</v>
      </c>
      <c r="L12" s="7">
        <v>2500</v>
      </c>
      <c r="M12" s="7"/>
      <c r="N12" s="7">
        <v>13000</v>
      </c>
      <c r="O12" s="2"/>
      <c r="P12" s="7">
        <f t="shared" si="1"/>
        <v>0</v>
      </c>
      <c r="Q12" s="2"/>
      <c r="R12" s="2"/>
      <c r="S12" s="2"/>
    </row>
    <row r="13" spans="1:20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319134</v>
      </c>
      <c r="D13" s="6">
        <v>0</v>
      </c>
      <c r="E13" s="6">
        <f t="shared" si="0"/>
        <v>1821.7692613175993</v>
      </c>
      <c r="F13" s="6">
        <f>RECAPTONT20000!C13+RECAPTONT20000!D13+TONT20000DEC2015!I13</f>
        <v>322134</v>
      </c>
      <c r="G13" s="6"/>
      <c r="H13" s="7">
        <f t="shared" si="2"/>
        <v>20000</v>
      </c>
      <c r="I13" s="7">
        <v>3000</v>
      </c>
      <c r="J13" s="7">
        <v>500</v>
      </c>
      <c r="K13" s="7">
        <v>1000</v>
      </c>
      <c r="L13" s="7">
        <v>2500</v>
      </c>
      <c r="M13" s="7"/>
      <c r="N13" s="7">
        <v>13000</v>
      </c>
      <c r="O13" s="2"/>
      <c r="P13" s="7">
        <f t="shared" si="1"/>
        <v>0</v>
      </c>
      <c r="Q13" s="2"/>
      <c r="R13" s="2"/>
      <c r="S13" s="2"/>
    </row>
    <row r="14" spans="1:20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390000</v>
      </c>
      <c r="D14" s="6">
        <v>44734</v>
      </c>
      <c r="E14" s="6">
        <f t="shared" si="0"/>
        <v>2475.5236821744925</v>
      </c>
      <c r="F14" s="6">
        <f>RECAPTONT20000!C14+RECAPTONT20000!D14+TONT20000DEC2015!I14</f>
        <v>437734</v>
      </c>
      <c r="G14" s="6"/>
      <c r="H14" s="7">
        <f t="shared" si="2"/>
        <v>20000</v>
      </c>
      <c r="I14" s="7">
        <v>3000</v>
      </c>
      <c r="J14" s="7">
        <v>500</v>
      </c>
      <c r="K14" s="7">
        <v>1000</v>
      </c>
      <c r="L14" s="7">
        <v>2500</v>
      </c>
      <c r="M14" s="7"/>
      <c r="N14" s="7">
        <v>13000</v>
      </c>
      <c r="O14" s="2"/>
      <c r="P14" s="7">
        <f t="shared" si="1"/>
        <v>0</v>
      </c>
      <c r="Q14" s="2"/>
      <c r="R14" s="2"/>
      <c r="S14" s="2"/>
    </row>
    <row r="15" spans="1:20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390000</v>
      </c>
      <c r="D15" s="6">
        <v>3318</v>
      </c>
      <c r="E15" s="6">
        <f t="shared" si="0"/>
        <v>2241.303153677874</v>
      </c>
      <c r="F15" s="6">
        <f>RECAPTONT20000!C15+RECAPTONT20000!D15+TONT20000DEC2015!I15</f>
        <v>396318</v>
      </c>
      <c r="G15" s="6"/>
      <c r="H15" s="7">
        <f t="shared" si="2"/>
        <v>20000</v>
      </c>
      <c r="I15" s="7">
        <v>3000</v>
      </c>
      <c r="J15" s="7">
        <v>500</v>
      </c>
      <c r="K15" s="7">
        <v>1000</v>
      </c>
      <c r="L15" s="7">
        <v>2500</v>
      </c>
      <c r="M15" s="7"/>
      <c r="N15" s="7">
        <v>13000</v>
      </c>
      <c r="O15" s="2"/>
      <c r="P15" s="7">
        <f t="shared" si="1"/>
        <v>0</v>
      </c>
      <c r="Q15" s="2"/>
      <c r="R15" s="2"/>
      <c r="S15" s="2"/>
    </row>
    <row r="16" spans="1:20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390000</v>
      </c>
      <c r="D16" s="6"/>
      <c r="E16" s="6">
        <f t="shared" si="0"/>
        <v>2222.5388183110645</v>
      </c>
      <c r="F16" s="6">
        <f>RECAPTONT20000!C16+RECAPTONT20000!D16+TONT20000DEC2015!I16</f>
        <v>393000</v>
      </c>
      <c r="G16" s="6"/>
      <c r="H16" s="7">
        <f t="shared" si="2"/>
        <v>20000</v>
      </c>
      <c r="I16" s="7">
        <v>3000</v>
      </c>
      <c r="J16" s="7">
        <v>500</v>
      </c>
      <c r="K16" s="7">
        <v>1000</v>
      </c>
      <c r="L16" s="7">
        <v>2500</v>
      </c>
      <c r="M16" s="7"/>
      <c r="N16" s="7">
        <v>13000</v>
      </c>
      <c r="O16" s="2"/>
      <c r="P16" s="7">
        <f t="shared" si="1"/>
        <v>0</v>
      </c>
      <c r="Q16" s="2"/>
      <c r="R16" s="2"/>
      <c r="S16" s="2"/>
    </row>
    <row r="17" spans="1:19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0</v>
      </c>
      <c r="D17" s="6">
        <v>0</v>
      </c>
      <c r="E17" s="6">
        <f t="shared" si="0"/>
        <v>16.965945177947059</v>
      </c>
      <c r="F17" s="6">
        <f>RECAPTONT20000!C17+RECAPTONT20000!D17+TONT20000DEC2015!I17</f>
        <v>3000</v>
      </c>
      <c r="G17" s="6"/>
      <c r="H17" s="7">
        <f t="shared" si="2"/>
        <v>20000</v>
      </c>
      <c r="I17" s="7">
        <v>3000</v>
      </c>
      <c r="J17" s="7">
        <v>500</v>
      </c>
      <c r="K17" s="7">
        <v>1000</v>
      </c>
      <c r="L17" s="7">
        <v>2500</v>
      </c>
      <c r="M17" s="7"/>
      <c r="N17" s="7">
        <v>13000</v>
      </c>
      <c r="O17" s="2"/>
      <c r="P17" s="7">
        <f t="shared" si="1"/>
        <v>0</v>
      </c>
      <c r="Q17" s="2"/>
      <c r="R17" s="2"/>
      <c r="S17" s="2"/>
    </row>
    <row r="18" spans="1:19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2271.8701315734752</v>
      </c>
      <c r="F18" s="6">
        <f>RECAPTONT20000!C18+RECAPTONT20000!D18+TONT20000DEC2015!I18</f>
        <v>401723</v>
      </c>
      <c r="G18" s="6"/>
      <c r="H18" s="7">
        <f t="shared" si="2"/>
        <v>20000</v>
      </c>
      <c r="I18" s="7">
        <v>3000</v>
      </c>
      <c r="J18" s="7">
        <v>500</v>
      </c>
      <c r="K18" s="7">
        <v>1000</v>
      </c>
      <c r="L18" s="7">
        <v>2500</v>
      </c>
      <c r="M18" s="7"/>
      <c r="N18" s="7">
        <v>13000</v>
      </c>
      <c r="O18" s="2"/>
      <c r="P18" s="7">
        <f t="shared" si="1"/>
        <v>0</v>
      </c>
      <c r="Q18" s="2"/>
      <c r="R18" s="2"/>
      <c r="S18" s="2"/>
    </row>
    <row r="19" spans="1:19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12795</v>
      </c>
      <c r="E19" s="6">
        <f t="shared" si="0"/>
        <v>89.325701361891262</v>
      </c>
      <c r="F19" s="6">
        <f>RECAPTONT20000!C19+RECAPTONT20000!D19+TONT20000DEC2015!I19</f>
        <v>15795</v>
      </c>
      <c r="G19" s="6"/>
      <c r="H19" s="7">
        <f t="shared" si="2"/>
        <v>20000</v>
      </c>
      <c r="I19" s="7">
        <v>3000</v>
      </c>
      <c r="J19" s="7">
        <v>500</v>
      </c>
      <c r="K19" s="7">
        <v>1000</v>
      </c>
      <c r="L19" s="7">
        <v>2500</v>
      </c>
      <c r="M19" s="7"/>
      <c r="N19" s="7">
        <v>13000</v>
      </c>
      <c r="O19" s="2"/>
      <c r="P19" s="7">
        <f t="shared" si="1"/>
        <v>0</v>
      </c>
      <c r="Q19" s="2"/>
      <c r="R19" s="2"/>
      <c r="S19" s="2"/>
    </row>
    <row r="20" spans="1:19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3297.0317136358672</v>
      </c>
      <c r="F20" s="6">
        <f>RECAPTONT20000!C20+RECAPTONT20000!D20+TONT20000DEC2015!I20</f>
        <v>582997</v>
      </c>
      <c r="G20" s="6"/>
      <c r="H20" s="7">
        <f t="shared" si="2"/>
        <v>23000</v>
      </c>
      <c r="I20" s="7">
        <v>6000</v>
      </c>
      <c r="J20" s="7">
        <v>500</v>
      </c>
      <c r="K20" s="7">
        <v>1000</v>
      </c>
      <c r="L20" s="7">
        <v>2500</v>
      </c>
      <c r="M20" s="7"/>
      <c r="N20" s="7">
        <v>13000</v>
      </c>
      <c r="O20" s="2"/>
      <c r="P20" s="7">
        <f t="shared" si="1"/>
        <v>0</v>
      </c>
      <c r="Q20" s="2"/>
      <c r="R20" s="2"/>
      <c r="S20" s="2"/>
    </row>
    <row r="21" spans="1:19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2237.9382412175814</v>
      </c>
      <c r="F21" s="6">
        <f>RECAPTONT20000!C21+RECAPTONT20000!D21+TONT20000DEC2015!I21</f>
        <v>395723</v>
      </c>
      <c r="G21" s="6"/>
      <c r="H21" s="7">
        <f t="shared" si="2"/>
        <v>20000</v>
      </c>
      <c r="I21" s="7">
        <v>3000</v>
      </c>
      <c r="J21" s="7">
        <v>500</v>
      </c>
      <c r="K21" s="7">
        <v>1000</v>
      </c>
      <c r="L21" s="7">
        <v>2500</v>
      </c>
      <c r="M21" s="7"/>
      <c r="N21" s="7">
        <v>13000</v>
      </c>
      <c r="O21" s="2"/>
      <c r="P21" s="7">
        <f t="shared" si="1"/>
        <v>0</v>
      </c>
      <c r="Q21" s="2"/>
      <c r="R21" s="2"/>
      <c r="S21" s="2"/>
    </row>
    <row r="22" spans="1:19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315000</v>
      </c>
      <c r="D22" s="6">
        <v>2099</v>
      </c>
      <c r="E22" s="6">
        <f t="shared" si="0"/>
        <v>1810.2606951718919</v>
      </c>
      <c r="F22" s="6">
        <f>RECAPTONT20000!C22+RECAPTONT20000!D22+TONT20000DEC2015!I22</f>
        <v>320099</v>
      </c>
      <c r="G22" s="6"/>
      <c r="H22" s="7">
        <f t="shared" si="2"/>
        <v>20000</v>
      </c>
      <c r="I22" s="7">
        <v>3000</v>
      </c>
      <c r="J22" s="7">
        <v>500</v>
      </c>
      <c r="K22" s="7">
        <v>1000</v>
      </c>
      <c r="L22" s="7">
        <v>2500</v>
      </c>
      <c r="M22" s="7"/>
      <c r="N22" s="7">
        <v>13000</v>
      </c>
      <c r="O22" s="2"/>
      <c r="P22" s="7">
        <f t="shared" si="1"/>
        <v>0</v>
      </c>
      <c r="Q22" s="2"/>
      <c r="R22" s="2"/>
      <c r="S22" s="2"/>
    </row>
    <row r="23" spans="1:19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2429.6873536187391</v>
      </c>
      <c r="F23" s="6">
        <f>RECAPTONT20000!C23+RECAPTONT20000!D23+TONT20000DEC2015!I23</f>
        <v>429629</v>
      </c>
      <c r="G23" s="6"/>
      <c r="H23" s="7">
        <f t="shared" si="2"/>
        <v>20000</v>
      </c>
      <c r="I23" s="7">
        <v>3000</v>
      </c>
      <c r="J23" s="7">
        <v>500</v>
      </c>
      <c r="K23" s="7">
        <v>1000</v>
      </c>
      <c r="L23" s="7">
        <v>2500</v>
      </c>
      <c r="M23" s="7"/>
      <c r="N23" s="7">
        <v>13000</v>
      </c>
      <c r="O23" s="2"/>
      <c r="P23" s="7">
        <f t="shared" si="1"/>
        <v>0</v>
      </c>
      <c r="Q23" s="2"/>
      <c r="R23" s="2"/>
      <c r="S23" s="2"/>
    </row>
    <row r="24" spans="1:19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390000</v>
      </c>
      <c r="D24" s="6">
        <v>0</v>
      </c>
      <c r="E24" s="6">
        <f t="shared" si="0"/>
        <v>2222.5388183110645</v>
      </c>
      <c r="F24" s="6">
        <f>RECAPTONT20000!C24+RECAPTONT20000!D24+TONT20000DEC2015!I24</f>
        <v>393000</v>
      </c>
      <c r="G24" s="6"/>
      <c r="H24" s="7">
        <f t="shared" si="2"/>
        <v>20000</v>
      </c>
      <c r="I24" s="7">
        <v>3000</v>
      </c>
      <c r="J24" s="7">
        <v>500</v>
      </c>
      <c r="K24" s="7">
        <v>1000</v>
      </c>
      <c r="L24" s="7">
        <v>2500</v>
      </c>
      <c r="M24" s="7"/>
      <c r="N24" s="7">
        <v>13000</v>
      </c>
      <c r="O24" s="7">
        <v>600000</v>
      </c>
      <c r="P24" s="7">
        <f t="shared" si="1"/>
        <v>72000</v>
      </c>
      <c r="Q24" s="2"/>
      <c r="R24" s="2"/>
      <c r="S24" s="2"/>
    </row>
    <row r="25" spans="1:19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390000</v>
      </c>
      <c r="D25" s="6">
        <v>4331</v>
      </c>
      <c r="E25" s="6">
        <f t="shared" si="0"/>
        <v>2247.031987832961</v>
      </c>
      <c r="F25" s="6">
        <f>RECAPTONT20000!C25+RECAPTONT20000!D25+TONT20000DEC2015!I25</f>
        <v>397331</v>
      </c>
      <c r="G25" s="6"/>
      <c r="H25" s="7">
        <f t="shared" si="2"/>
        <v>20000</v>
      </c>
      <c r="I25" s="7">
        <v>3000</v>
      </c>
      <c r="J25" s="7">
        <v>500</v>
      </c>
      <c r="K25" s="7">
        <v>1000</v>
      </c>
      <c r="L25" s="7">
        <v>2500</v>
      </c>
      <c r="M25" s="7"/>
      <c r="N25" s="7">
        <v>13000</v>
      </c>
      <c r="O25" s="2"/>
      <c r="P25" s="7">
        <f t="shared" si="1"/>
        <v>0</v>
      </c>
      <c r="Q25" s="2"/>
      <c r="R25" s="2"/>
      <c r="S25" s="2"/>
    </row>
    <row r="26" spans="1:19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2247.484413037706</v>
      </c>
      <c r="F26" s="6">
        <f>RECAPTONT20000!C26+RECAPTONT20000!D26+TONT20000DEC2015!I26</f>
        <v>397411</v>
      </c>
      <c r="G26" s="6"/>
      <c r="H26" s="7">
        <f t="shared" si="2"/>
        <v>20000</v>
      </c>
      <c r="I26" s="7">
        <v>3000</v>
      </c>
      <c r="J26" s="7">
        <v>500</v>
      </c>
      <c r="K26" s="7">
        <v>1000</v>
      </c>
      <c r="L26" s="7">
        <v>2500</v>
      </c>
      <c r="M26" s="7"/>
      <c r="N26" s="7">
        <v>13000</v>
      </c>
      <c r="O26" s="2"/>
      <c r="P26" s="7">
        <f t="shared" si="1"/>
        <v>0</v>
      </c>
      <c r="Q26" s="2"/>
      <c r="R26" s="2"/>
      <c r="S26" s="2"/>
    </row>
    <row r="27" spans="1:19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2262.4653426298332</v>
      </c>
      <c r="F27" s="6">
        <f>RECAPTONT20000!C27+RECAPTONT20000!D27+TONT20000DEC2015!I27</f>
        <v>400060</v>
      </c>
      <c r="G27" s="6"/>
      <c r="H27" s="7">
        <f t="shared" si="2"/>
        <v>25000</v>
      </c>
      <c r="I27" s="7">
        <v>8000</v>
      </c>
      <c r="J27" s="7">
        <v>500</v>
      </c>
      <c r="K27" s="7">
        <v>1000</v>
      </c>
      <c r="L27" s="7">
        <v>2500</v>
      </c>
      <c r="M27" s="7"/>
      <c r="N27" s="7">
        <v>13000</v>
      </c>
      <c r="O27" s="7">
        <v>400000</v>
      </c>
      <c r="P27" s="7">
        <f t="shared" si="1"/>
        <v>12000</v>
      </c>
      <c r="Q27" s="2"/>
      <c r="R27" s="2"/>
      <c r="S27" s="2"/>
    </row>
    <row r="28" spans="1:19" x14ac:dyDescent="0.25">
      <c r="A28" s="1" t="s">
        <v>33</v>
      </c>
      <c r="B28" s="1" t="str">
        <f>VLOOKUP(A28,LISTADHERENT!A$5:H$51,2)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RECAPTONT20000!C28+RECAPTONT20000!D28+TONT20000DEC2015!I28</f>
        <v>0</v>
      </c>
      <c r="G28" s="6"/>
      <c r="H28" s="7">
        <f t="shared" si="2"/>
        <v>0</v>
      </c>
      <c r="I28" s="7"/>
      <c r="J28" s="7"/>
      <c r="K28" s="7"/>
      <c r="L28" s="7"/>
      <c r="M28" s="7"/>
      <c r="N28" s="7"/>
      <c r="O28" s="2"/>
      <c r="P28" s="7">
        <f t="shared" si="1"/>
        <v>0</v>
      </c>
      <c r="Q28" s="2"/>
      <c r="R28" s="2"/>
      <c r="S28" s="2"/>
    </row>
    <row r="29" spans="1:19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3238.0863647726196</v>
      </c>
      <c r="F29" s="6">
        <f>RECAPTONT20000!C29+RECAPTONT20000!D29+TONT20000DEC2015!I29</f>
        <v>572574</v>
      </c>
      <c r="G29" s="6"/>
      <c r="H29" s="7">
        <f t="shared" si="2"/>
        <v>20000</v>
      </c>
      <c r="I29" s="7">
        <v>3000</v>
      </c>
      <c r="J29" s="7">
        <v>500</v>
      </c>
      <c r="K29" s="7">
        <v>1000</v>
      </c>
      <c r="L29" s="7">
        <v>2500</v>
      </c>
      <c r="M29" s="7"/>
      <c r="N29" s="7">
        <v>13000</v>
      </c>
      <c r="O29" s="2"/>
      <c r="P29" s="7">
        <f t="shared" si="1"/>
        <v>0</v>
      </c>
      <c r="Q29" s="2"/>
      <c r="R29" s="2"/>
      <c r="S29" s="2"/>
    </row>
    <row r="30" spans="1:19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16.965945177947059</v>
      </c>
      <c r="F30" s="6">
        <f>RECAPTONT20000!C30+RECAPTONT20000!D30+TONT20000DEC2015!I30</f>
        <v>3000</v>
      </c>
      <c r="G30" s="6"/>
      <c r="H30" s="7">
        <f t="shared" si="2"/>
        <v>20000</v>
      </c>
      <c r="I30" s="7">
        <v>3000</v>
      </c>
      <c r="J30" s="7">
        <v>500</v>
      </c>
      <c r="K30" s="7">
        <v>1000</v>
      </c>
      <c r="L30" s="7">
        <v>2500</v>
      </c>
      <c r="M30" s="7"/>
      <c r="N30" s="7">
        <v>13000</v>
      </c>
      <c r="O30" s="2"/>
      <c r="P30" s="7">
        <f t="shared" si="1"/>
        <v>0</v>
      </c>
      <c r="Q30" s="2"/>
      <c r="R30" s="2"/>
      <c r="S30" s="2"/>
    </row>
    <row r="31" spans="1:19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14889</v>
      </c>
      <c r="D31" s="6">
        <v>0</v>
      </c>
      <c r="E31" s="6">
        <f t="shared" si="0"/>
        <v>101.16793109609831</v>
      </c>
      <c r="F31" s="6">
        <f>RECAPTONT20000!C31+RECAPTONT20000!D31+TONT20000DEC2015!I31</f>
        <v>17889</v>
      </c>
      <c r="G31" s="6"/>
      <c r="H31" s="7">
        <f t="shared" si="2"/>
        <v>20000</v>
      </c>
      <c r="I31" s="7">
        <v>3000</v>
      </c>
      <c r="J31" s="7">
        <v>500</v>
      </c>
      <c r="K31" s="7">
        <v>1000</v>
      </c>
      <c r="L31" s="7">
        <v>2500</v>
      </c>
      <c r="M31" s="7"/>
      <c r="N31" s="7">
        <v>13000</v>
      </c>
      <c r="O31" s="2"/>
      <c r="P31" s="7">
        <f t="shared" si="1"/>
        <v>0</v>
      </c>
      <c r="Q31" s="2"/>
      <c r="R31" s="2"/>
      <c r="S31" s="2"/>
    </row>
    <row r="32" spans="1:19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2243.6557647425493</v>
      </c>
      <c r="F32" s="6">
        <f>RECAPTONT20000!C32+RECAPTONT20000!D32+TONT20000DEC2015!I32</f>
        <v>396734</v>
      </c>
      <c r="G32" s="6"/>
      <c r="H32" s="7">
        <f t="shared" si="2"/>
        <v>22000</v>
      </c>
      <c r="I32" s="7">
        <v>5000</v>
      </c>
      <c r="J32" s="7">
        <v>500</v>
      </c>
      <c r="K32" s="7">
        <v>1000</v>
      </c>
      <c r="L32" s="7">
        <v>2500</v>
      </c>
      <c r="M32" s="7"/>
      <c r="N32" s="7">
        <v>13000</v>
      </c>
      <c r="O32" s="2"/>
      <c r="P32" s="7">
        <f t="shared" si="1"/>
        <v>0</v>
      </c>
      <c r="Q32" s="2"/>
      <c r="R32" s="2"/>
      <c r="S32" s="2"/>
    </row>
    <row r="33" spans="1:19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0</v>
      </c>
      <c r="D33" s="6">
        <v>0</v>
      </c>
      <c r="E33" s="6">
        <f t="shared" si="0"/>
        <v>33.931890355894119</v>
      </c>
      <c r="F33" s="6">
        <f>RECAPTONT20000!C33+RECAPTONT20000!D33+TONT20000DEC2015!I33</f>
        <v>6000</v>
      </c>
      <c r="G33" s="6"/>
      <c r="H33" s="10">
        <f t="shared" si="2"/>
        <v>23000</v>
      </c>
      <c r="I33" s="7">
        <v>6000</v>
      </c>
      <c r="J33" s="7">
        <v>500</v>
      </c>
      <c r="K33" s="7">
        <v>1000</v>
      </c>
      <c r="L33" s="7">
        <v>2500</v>
      </c>
      <c r="M33" s="7"/>
      <c r="N33" s="7">
        <v>13000</v>
      </c>
      <c r="O33" s="29"/>
      <c r="P33" s="7">
        <f t="shared" si="1"/>
        <v>0</v>
      </c>
      <c r="Q33" s="29"/>
      <c r="R33" s="2"/>
      <c r="S33" s="2"/>
    </row>
    <row r="34" spans="1:19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2300.2371919110028</v>
      </c>
      <c r="F34" s="6">
        <f>RECAPTONT20000!C34+RECAPTONT20000!D34+TONT20000DEC2015!I34</f>
        <v>406739</v>
      </c>
      <c r="G34" s="6"/>
      <c r="H34" s="7">
        <f t="shared" si="2"/>
        <v>25000</v>
      </c>
      <c r="I34" s="7">
        <v>8000</v>
      </c>
      <c r="J34" s="7">
        <v>500</v>
      </c>
      <c r="K34" s="7">
        <v>1000</v>
      </c>
      <c r="L34" s="7">
        <v>2500</v>
      </c>
      <c r="M34" s="7"/>
      <c r="N34" s="7">
        <v>13000</v>
      </c>
      <c r="O34" s="2"/>
      <c r="P34" s="7">
        <f t="shared" si="1"/>
        <v>0</v>
      </c>
      <c r="Q34" s="2"/>
      <c r="R34" s="29"/>
      <c r="S34" s="29"/>
    </row>
    <row r="35" spans="1:19" x14ac:dyDescent="0.25">
      <c r="A35" s="1" t="s">
        <v>40</v>
      </c>
      <c r="B35" s="1" t="str">
        <f>VLOOKUP(A35,LISTADHERENT!A$5:H$51,2)</f>
        <v>NKEPSEU HENANG RENE</v>
      </c>
      <c r="C35" s="6">
        <f>VLOOKUP(A35,FONDSDECAISSE!A$5:C$52,3,0)</f>
        <v>390000</v>
      </c>
      <c r="D35" s="6">
        <v>7983</v>
      </c>
      <c r="E35" s="6">
        <f t="shared" si="0"/>
        <v>2267.6851984295818</v>
      </c>
      <c r="F35" s="6">
        <f>RECAPTONT20000!C35+RECAPTONT20000!D35+TONT20000DEC2015!I35</f>
        <v>400983</v>
      </c>
      <c r="G35" s="6"/>
      <c r="H35" s="7">
        <f t="shared" si="2"/>
        <v>20000</v>
      </c>
      <c r="I35" s="7">
        <v>3000</v>
      </c>
      <c r="J35" s="7">
        <v>500</v>
      </c>
      <c r="K35" s="7">
        <v>1000</v>
      </c>
      <c r="L35" s="7">
        <v>2500</v>
      </c>
      <c r="M35" s="7"/>
      <c r="N35" s="7">
        <v>13000</v>
      </c>
      <c r="O35" s="2"/>
      <c r="P35" s="7">
        <f t="shared" si="1"/>
        <v>0</v>
      </c>
      <c r="Q35" s="2"/>
      <c r="R35" s="2"/>
      <c r="S35" s="2"/>
    </row>
    <row r="36" spans="1:19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0</v>
      </c>
      <c r="E36" s="6">
        <f t="shared" si="0"/>
        <v>16.965945177947059</v>
      </c>
      <c r="F36" s="6">
        <f>RECAPTONT20000!C36+RECAPTONT20000!D36+TONT20000DEC2015!I36</f>
        <v>3000</v>
      </c>
      <c r="G36" s="6"/>
      <c r="H36" s="7">
        <f t="shared" si="2"/>
        <v>20000</v>
      </c>
      <c r="I36" s="7">
        <v>3000</v>
      </c>
      <c r="J36" s="7">
        <v>500</v>
      </c>
      <c r="K36" s="7">
        <v>1000</v>
      </c>
      <c r="L36" s="7">
        <v>2500</v>
      </c>
      <c r="M36" s="7"/>
      <c r="N36" s="7">
        <v>13000</v>
      </c>
      <c r="O36" s="2"/>
      <c r="P36" s="7">
        <f t="shared" si="1"/>
        <v>0</v>
      </c>
      <c r="Q36" s="2"/>
      <c r="R36" s="2"/>
      <c r="S36" s="2"/>
    </row>
    <row r="37" spans="1:19" x14ac:dyDescent="0.25">
      <c r="A37" s="1" t="s">
        <v>42</v>
      </c>
      <c r="B37" s="1" t="str">
        <f>VLOOKUP(A37,LISTADHERENT!A$5:H$51,2)</f>
        <v>NTOMBOU ADOLPHE</v>
      </c>
      <c r="C37" s="6">
        <f>VLOOKUP(A37,FONDSDECAISSE!A$5:C$52,3,0)</f>
        <v>0</v>
      </c>
      <c r="D37" s="6">
        <v>0</v>
      </c>
      <c r="E37" s="6">
        <f t="shared" si="0"/>
        <v>16.965945177947059</v>
      </c>
      <c r="F37" s="6">
        <f>RECAPTONT20000!C37+RECAPTONT20000!D37+TONT20000DEC2015!I37</f>
        <v>3000</v>
      </c>
      <c r="G37" s="6"/>
      <c r="H37" s="7">
        <f t="shared" si="2"/>
        <v>20000</v>
      </c>
      <c r="I37" s="7">
        <v>3000</v>
      </c>
      <c r="J37" s="7">
        <v>500</v>
      </c>
      <c r="K37" s="7">
        <v>1000</v>
      </c>
      <c r="L37" s="7">
        <v>2500</v>
      </c>
      <c r="M37" s="7"/>
      <c r="N37" s="7">
        <v>13000</v>
      </c>
      <c r="O37" s="2"/>
      <c r="P37" s="7">
        <f t="shared" si="1"/>
        <v>0</v>
      </c>
      <c r="Q37" s="2"/>
      <c r="R37" s="2"/>
      <c r="S37" s="2"/>
    </row>
    <row r="38" spans="1:19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2223.330562419369</v>
      </c>
      <c r="F38" s="6">
        <f>RECAPTONT20000!C38+RECAPTONT20000!D38+TONT20000DEC2015!I38</f>
        <v>393140</v>
      </c>
      <c r="G38" s="6"/>
      <c r="H38" s="7">
        <f t="shared" si="2"/>
        <v>20000</v>
      </c>
      <c r="I38" s="7">
        <v>3000</v>
      </c>
      <c r="J38" s="7">
        <v>500</v>
      </c>
      <c r="K38" s="7">
        <v>1000</v>
      </c>
      <c r="L38" s="7">
        <v>2500</v>
      </c>
      <c r="M38" s="7"/>
      <c r="N38" s="7">
        <v>13000</v>
      </c>
      <c r="O38" s="2"/>
      <c r="P38" s="7">
        <f t="shared" si="1"/>
        <v>0</v>
      </c>
      <c r="Q38" s="2"/>
      <c r="R38" s="2"/>
      <c r="S38" s="2"/>
    </row>
    <row r="39" spans="1:19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2237.4236075471836</v>
      </c>
      <c r="F39" s="6">
        <f>RECAPTONT20000!C39+RECAPTONT20000!D39+TONT20000DEC2015!I39</f>
        <v>395632</v>
      </c>
      <c r="G39" s="6"/>
      <c r="H39" s="7">
        <f t="shared" si="2"/>
        <v>20000</v>
      </c>
      <c r="I39" s="7">
        <v>3000</v>
      </c>
      <c r="J39" s="7">
        <v>500</v>
      </c>
      <c r="K39" s="7">
        <v>1000</v>
      </c>
      <c r="L39" s="7">
        <v>2500</v>
      </c>
      <c r="M39" s="7"/>
      <c r="N39" s="7">
        <v>13000</v>
      </c>
      <c r="O39" s="2"/>
      <c r="P39" s="7">
        <f t="shared" si="1"/>
        <v>0</v>
      </c>
      <c r="Q39" s="2"/>
      <c r="R39" s="2"/>
      <c r="S39" s="2"/>
    </row>
    <row r="40" spans="1:19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0</v>
      </c>
      <c r="D40" s="6">
        <v>0</v>
      </c>
      <c r="E40" s="6">
        <f t="shared" si="0"/>
        <v>16.965945177947059</v>
      </c>
      <c r="F40" s="6">
        <f>RECAPTONT20000!C40+RECAPTONT20000!D40+TONT20000DEC2015!I40</f>
        <v>3000</v>
      </c>
      <c r="G40" s="6"/>
      <c r="H40" s="7">
        <f t="shared" si="2"/>
        <v>20000</v>
      </c>
      <c r="I40" s="7">
        <v>3000</v>
      </c>
      <c r="J40" s="7">
        <v>500</v>
      </c>
      <c r="K40" s="7">
        <v>1000</v>
      </c>
      <c r="L40" s="7">
        <v>2500</v>
      </c>
      <c r="M40" s="7"/>
      <c r="N40" s="7">
        <v>13000</v>
      </c>
      <c r="O40" s="2"/>
      <c r="P40" s="7">
        <f t="shared" si="1"/>
        <v>0</v>
      </c>
      <c r="Q40" s="2"/>
      <c r="R40" s="2"/>
      <c r="S40" s="2"/>
    </row>
    <row r="41" spans="1:19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2228.0923376993128</v>
      </c>
      <c r="F41" s="6">
        <f>RECAPTONT20000!C41+RECAPTONT20000!D41+TONT20000DEC2015!I41</f>
        <v>393982</v>
      </c>
      <c r="G41" s="6"/>
      <c r="H41" s="7">
        <f t="shared" si="2"/>
        <v>20000</v>
      </c>
      <c r="I41" s="7">
        <v>3000</v>
      </c>
      <c r="J41" s="7">
        <v>500</v>
      </c>
      <c r="K41" s="7">
        <v>1000</v>
      </c>
      <c r="L41" s="7">
        <v>2500</v>
      </c>
      <c r="M41" s="7"/>
      <c r="N41" s="7">
        <v>13000</v>
      </c>
      <c r="O41" s="2"/>
      <c r="P41" s="7">
        <f t="shared" si="1"/>
        <v>0</v>
      </c>
      <c r="Q41" s="2"/>
      <c r="R41" s="2"/>
      <c r="S41" s="2"/>
    </row>
    <row r="42" spans="1:19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390000</v>
      </c>
      <c r="D42" s="6">
        <v>636</v>
      </c>
      <c r="E42" s="6">
        <f t="shared" si="0"/>
        <v>2226.1355986887893</v>
      </c>
      <c r="F42" s="6">
        <f>RECAPTONT20000!C42+RECAPTONT20000!D42+TONT20000DEC2015!I42</f>
        <v>393636</v>
      </c>
      <c r="G42" s="6"/>
      <c r="H42" s="7">
        <f t="shared" si="2"/>
        <v>20000</v>
      </c>
      <c r="I42" s="7">
        <v>3000</v>
      </c>
      <c r="J42" s="7">
        <v>500</v>
      </c>
      <c r="K42" s="7">
        <v>1000</v>
      </c>
      <c r="L42" s="7">
        <v>2500</v>
      </c>
      <c r="M42" s="7"/>
      <c r="N42" s="7">
        <v>13000</v>
      </c>
      <c r="O42" s="2"/>
      <c r="P42" s="7">
        <f t="shared" si="1"/>
        <v>0</v>
      </c>
      <c r="Q42" s="2"/>
      <c r="R42" s="2"/>
      <c r="S42" s="2"/>
    </row>
    <row r="43" spans="1:19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390000</v>
      </c>
      <c r="D43" s="6">
        <v>146079</v>
      </c>
      <c r="E43" s="6">
        <f t="shared" si="0"/>
        <v>8025.3388390586442</v>
      </c>
      <c r="F43" s="6">
        <f>RECAPTONT20000!C43+RECAPTONT20000!D43+TONT20000DEC2015!I43</f>
        <v>1419079</v>
      </c>
      <c r="G43" s="6"/>
      <c r="H43" s="7">
        <f t="shared" si="2"/>
        <v>900000</v>
      </c>
      <c r="I43" s="7">
        <v>883000</v>
      </c>
      <c r="J43" s="7">
        <v>500</v>
      </c>
      <c r="K43" s="7">
        <v>1000</v>
      </c>
      <c r="L43" s="7">
        <v>2500</v>
      </c>
      <c r="M43" s="7"/>
      <c r="N43" s="7">
        <v>13000</v>
      </c>
      <c r="O43" s="2"/>
      <c r="P43" s="7">
        <f t="shared" si="1"/>
        <v>0</v>
      </c>
      <c r="Q43" s="2"/>
      <c r="R43" s="2"/>
      <c r="S43" s="2"/>
    </row>
    <row r="44" spans="1:19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0</v>
      </c>
      <c r="D44" s="6">
        <v>0</v>
      </c>
      <c r="E44" s="6">
        <f t="shared" si="0"/>
        <v>16.965945177947059</v>
      </c>
      <c r="F44" s="6">
        <f>RECAPTONT20000!C44+RECAPTONT20000!D44+TONT20000DEC2015!I44</f>
        <v>3000</v>
      </c>
      <c r="G44" s="6"/>
      <c r="H44" s="7">
        <f t="shared" si="2"/>
        <v>20000</v>
      </c>
      <c r="I44" s="7">
        <v>3000</v>
      </c>
      <c r="J44" s="7">
        <v>500</v>
      </c>
      <c r="K44" s="7">
        <v>1000</v>
      </c>
      <c r="L44" s="7">
        <v>2500</v>
      </c>
      <c r="M44" s="7"/>
      <c r="N44" s="7">
        <v>13000</v>
      </c>
      <c r="O44" s="2"/>
      <c r="P44" s="7">
        <f t="shared" si="1"/>
        <v>0</v>
      </c>
      <c r="Q44" s="2"/>
      <c r="R44" s="2"/>
      <c r="S44" s="2"/>
    </row>
    <row r="45" spans="1:19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0</v>
      </c>
      <c r="E45" s="6">
        <f t="shared" si="0"/>
        <v>16.965945177947059</v>
      </c>
      <c r="F45" s="6">
        <f>RECAPTONT20000!C45+RECAPTONT20000!D45+TONT20000DEC2015!I45</f>
        <v>3000</v>
      </c>
      <c r="G45" s="6"/>
      <c r="H45" s="7">
        <f t="shared" si="2"/>
        <v>20000</v>
      </c>
      <c r="I45" s="7">
        <v>3000</v>
      </c>
      <c r="J45" s="7">
        <v>500</v>
      </c>
      <c r="K45" s="7">
        <v>1000</v>
      </c>
      <c r="L45" s="7">
        <v>2500</v>
      </c>
      <c r="M45" s="7"/>
      <c r="N45" s="7">
        <v>13000</v>
      </c>
      <c r="O45" s="2"/>
      <c r="P45" s="7">
        <f t="shared" si="1"/>
        <v>0</v>
      </c>
      <c r="Q45" s="2"/>
      <c r="R45" s="2"/>
      <c r="S45" s="2"/>
    </row>
    <row r="46" spans="1:19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2241.9761361699325</v>
      </c>
      <c r="F46" s="6">
        <f>RECAPTONT20000!C46+RECAPTONT20000!D46+TONT20000DEC2015!I46</f>
        <v>396437</v>
      </c>
      <c r="G46" s="6"/>
      <c r="H46" s="7">
        <f t="shared" si="2"/>
        <v>20000</v>
      </c>
      <c r="I46" s="7">
        <v>3000</v>
      </c>
      <c r="J46" s="7">
        <v>500</v>
      </c>
      <c r="K46" s="7">
        <v>1000</v>
      </c>
      <c r="L46" s="7">
        <v>2500</v>
      </c>
      <c r="M46" s="7"/>
      <c r="N46" s="7">
        <v>13000</v>
      </c>
      <c r="O46" s="7">
        <v>500000</v>
      </c>
      <c r="P46" s="7">
        <f t="shared" si="1"/>
        <v>15000</v>
      </c>
      <c r="Q46" s="2"/>
      <c r="R46" s="2"/>
      <c r="S46" s="2"/>
    </row>
    <row r="47" spans="1:19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257119</v>
      </c>
      <c r="D47" s="6">
        <v>4925</v>
      </c>
      <c r="E47" s="6">
        <f t="shared" si="0"/>
        <v>1515.8732697592138</v>
      </c>
      <c r="F47" s="6">
        <f>RECAPTONT20000!C47+RECAPTONT20000!D47+TONT20000DEC2015!I47</f>
        <v>268044</v>
      </c>
      <c r="G47" s="6"/>
      <c r="H47" s="7">
        <f t="shared" si="2"/>
        <v>23000</v>
      </c>
      <c r="I47" s="7">
        <v>6000</v>
      </c>
      <c r="J47" s="7">
        <v>500</v>
      </c>
      <c r="K47" s="7">
        <v>1000</v>
      </c>
      <c r="L47" s="7">
        <v>2500</v>
      </c>
      <c r="M47" s="7"/>
      <c r="N47" s="7">
        <v>13000</v>
      </c>
      <c r="O47" s="2"/>
      <c r="P47" s="7">
        <f t="shared" si="1"/>
        <v>0</v>
      </c>
      <c r="Q47" s="2"/>
      <c r="R47" s="2"/>
      <c r="S47" s="2"/>
    </row>
    <row r="48" spans="1:19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0</v>
      </c>
      <c r="E48" s="6">
        <f t="shared" si="0"/>
        <v>16.965945177947059</v>
      </c>
      <c r="F48" s="6">
        <f>RECAPTONT20000!C48+RECAPTONT20000!D48+TONT20000DEC2015!I48</f>
        <v>3000</v>
      </c>
      <c r="G48" s="6"/>
      <c r="H48" s="7">
        <f t="shared" si="2"/>
        <v>20000</v>
      </c>
      <c r="I48" s="7">
        <v>3000</v>
      </c>
      <c r="J48" s="7">
        <v>500</v>
      </c>
      <c r="K48" s="7">
        <v>1000</v>
      </c>
      <c r="L48" s="7">
        <v>2500</v>
      </c>
      <c r="M48" s="7"/>
      <c r="N48" s="7">
        <v>13000</v>
      </c>
      <c r="O48" s="2"/>
      <c r="P48" s="7">
        <f t="shared" si="1"/>
        <v>0</v>
      </c>
      <c r="Q48" s="2"/>
      <c r="R48" s="2"/>
      <c r="S48" s="2"/>
    </row>
    <row r="49" spans="1:19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390000</v>
      </c>
      <c r="D49" s="6">
        <v>804</v>
      </c>
      <c r="E49" s="6">
        <f t="shared" si="0"/>
        <v>2227.0856916187545</v>
      </c>
      <c r="F49" s="6">
        <f>RECAPTONT20000!C49+RECAPTONT20000!D49+TONT20000DEC2015!I49</f>
        <v>393804</v>
      </c>
      <c r="G49" s="6"/>
      <c r="H49" s="7">
        <f t="shared" si="2"/>
        <v>20000</v>
      </c>
      <c r="I49" s="7">
        <v>3000</v>
      </c>
      <c r="J49" s="7">
        <v>500</v>
      </c>
      <c r="K49" s="7">
        <v>1000</v>
      </c>
      <c r="L49" s="7">
        <v>2500</v>
      </c>
      <c r="M49" s="7"/>
      <c r="N49" s="7">
        <v>13000</v>
      </c>
      <c r="O49" s="2"/>
      <c r="P49" s="7">
        <f t="shared" si="1"/>
        <v>0</v>
      </c>
      <c r="Q49" s="2"/>
      <c r="R49" s="2"/>
      <c r="S49" s="2"/>
    </row>
    <row r="50" spans="1:19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2322.2759546971561</v>
      </c>
      <c r="F50" s="6">
        <f>RECAPTONT20000!C50+RECAPTONT20000!D50+TONT20000DEC2015!I50</f>
        <v>410636</v>
      </c>
      <c r="G50" s="6"/>
      <c r="H50" s="7">
        <f t="shared" ref="H50:H51" si="3">I50+J50+K50+L50+M50+N50</f>
        <v>20000</v>
      </c>
      <c r="I50" s="7">
        <v>3000</v>
      </c>
      <c r="J50" s="7">
        <v>500</v>
      </c>
      <c r="K50" s="7">
        <v>1000</v>
      </c>
      <c r="L50" s="7">
        <v>2500</v>
      </c>
      <c r="M50" s="7"/>
      <c r="N50" s="7">
        <v>13000</v>
      </c>
      <c r="O50" s="2"/>
      <c r="P50" s="7">
        <f t="shared" si="1"/>
        <v>0</v>
      </c>
      <c r="Q50" s="2"/>
      <c r="R50" s="2"/>
      <c r="S50" s="2"/>
    </row>
    <row r="51" spans="1:19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4604.7667679520264</v>
      </c>
      <c r="F51" s="6">
        <f>RECAPTONT20000!C51+RECAPTONT20000!D51+TONT20000DEC2015!I51</f>
        <v>814237</v>
      </c>
      <c r="G51" s="6"/>
      <c r="H51" s="7">
        <f t="shared" si="3"/>
        <v>20000</v>
      </c>
      <c r="I51" s="7">
        <v>3000</v>
      </c>
      <c r="J51" s="7">
        <v>500</v>
      </c>
      <c r="K51" s="7">
        <v>1000</v>
      </c>
      <c r="L51" s="7">
        <v>2500</v>
      </c>
      <c r="M51" s="7"/>
      <c r="N51" s="7">
        <v>13000</v>
      </c>
      <c r="O51" s="9"/>
      <c r="P51" s="7">
        <f t="shared" si="1"/>
        <v>0</v>
      </c>
      <c r="Q51" s="9"/>
      <c r="R51" s="2"/>
      <c r="S51" s="2"/>
    </row>
    <row r="52" spans="1:19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7896.397655706247</v>
      </c>
      <c r="F52" s="6">
        <f>RECAPTONT20000!C52+RECAPTONT20000!D52+TONT20000DEC2015!I52</f>
        <v>1396279</v>
      </c>
      <c r="G52" s="6"/>
      <c r="H52" s="7">
        <f t="shared" ref="H52" si="4">I52+J52+K52+L52+M52+N52</f>
        <v>20000</v>
      </c>
      <c r="I52" s="7">
        <v>3000</v>
      </c>
      <c r="J52" s="7">
        <v>500</v>
      </c>
      <c r="K52" s="7">
        <v>1000</v>
      </c>
      <c r="L52" s="7">
        <v>2500</v>
      </c>
      <c r="N52" s="7">
        <v>13000</v>
      </c>
      <c r="O52" s="2"/>
      <c r="P52" s="7">
        <f t="shared" si="1"/>
        <v>0</v>
      </c>
      <c r="Q52" s="2"/>
      <c r="R52" s="2"/>
      <c r="S52" s="2"/>
    </row>
    <row r="53" spans="1:19" x14ac:dyDescent="0.25">
      <c r="A53" s="1"/>
      <c r="B53" s="1"/>
      <c r="C53" s="6"/>
      <c r="D53" s="6"/>
      <c r="E53" s="6"/>
      <c r="F53" s="6"/>
      <c r="G53" s="6"/>
      <c r="H53" s="7"/>
      <c r="I53" s="7"/>
      <c r="J53" s="7"/>
      <c r="K53" s="7"/>
      <c r="L53" s="7"/>
      <c r="N53" s="7"/>
      <c r="O53" s="2"/>
      <c r="P53" s="7"/>
      <c r="Q53" s="2"/>
      <c r="R53" s="2"/>
      <c r="S53" s="2"/>
    </row>
    <row r="54" spans="1:19" x14ac:dyDescent="0.25">
      <c r="A54" s="1"/>
      <c r="B54" s="1" t="s">
        <v>180</v>
      </c>
      <c r="C54" s="6"/>
      <c r="D54" s="6"/>
      <c r="E54" s="6"/>
      <c r="F54" s="6"/>
      <c r="G54" s="6"/>
      <c r="I54" s="2"/>
      <c r="J54" s="30"/>
      <c r="N54" s="7">
        <v>104000</v>
      </c>
      <c r="O54" s="2"/>
      <c r="P54" s="7">
        <f t="shared" si="1"/>
        <v>0</v>
      </c>
      <c r="Q54" s="2"/>
      <c r="R54" s="2"/>
      <c r="S54" s="2"/>
    </row>
    <row r="55" spans="1:19" x14ac:dyDescent="0.25">
      <c r="A55" s="1"/>
      <c r="B55" s="1"/>
      <c r="C55" s="1"/>
      <c r="D55" s="1"/>
      <c r="E55" s="1"/>
      <c r="F55" s="1"/>
      <c r="G55" s="1"/>
      <c r="N55" s="7"/>
    </row>
    <row r="56" spans="1:19" ht="18" x14ac:dyDescent="0.25">
      <c r="A56" s="1" t="s">
        <v>56</v>
      </c>
      <c r="B56" s="1"/>
      <c r="C56" s="9">
        <f>SUM(C5:C52)</f>
        <v>12996142</v>
      </c>
      <c r="D56" s="9">
        <f t="shared" ref="D56:R56" si="5">SUM(D5:D52)</f>
        <v>3533219</v>
      </c>
      <c r="E56" s="9">
        <f t="shared" si="5"/>
        <v>98999.999999999971</v>
      </c>
      <c r="F56" s="9">
        <f t="shared" si="5"/>
        <v>17505656</v>
      </c>
      <c r="G56" s="9">
        <f t="shared" si="5"/>
        <v>0</v>
      </c>
      <c r="H56" s="9">
        <f t="shared" si="5"/>
        <v>1828000</v>
      </c>
      <c r="I56" s="9">
        <f t="shared" si="5"/>
        <v>1046000</v>
      </c>
      <c r="J56" s="9">
        <f t="shared" si="5"/>
        <v>23000</v>
      </c>
      <c r="K56" s="9">
        <f t="shared" si="5"/>
        <v>46000</v>
      </c>
      <c r="L56" s="9">
        <f t="shared" si="5"/>
        <v>115000</v>
      </c>
      <c r="M56" s="9">
        <f t="shared" si="5"/>
        <v>0</v>
      </c>
      <c r="N56" s="9">
        <f t="shared" si="5"/>
        <v>598000</v>
      </c>
      <c r="O56" s="9">
        <f t="shared" si="5"/>
        <v>1500000</v>
      </c>
      <c r="P56" s="9">
        <f t="shared" si="5"/>
        <v>99000</v>
      </c>
      <c r="Q56" s="9">
        <f t="shared" si="5"/>
        <v>0</v>
      </c>
      <c r="R56" s="9">
        <f t="shared" si="5"/>
        <v>0</v>
      </c>
    </row>
  </sheetData>
  <autoFilter ref="A4:Q49"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J6:J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3347.8158611404015</v>
      </c>
      <c r="D5" s="6">
        <f>TONT20000DEC2015!F5+TONT20000DEC2015!E5+TONT20000JANV!G5</f>
        <v>319944.21020954597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4519.7974328671799</v>
      </c>
      <c r="D6" s="6">
        <f>TONT20000DEC2015!F6+TONT20000DEC2015!E6+TONT20000JANV!G6</f>
        <v>431948.19546414027</v>
      </c>
      <c r="E6" s="1"/>
      <c r="F6" s="7">
        <f t="shared" ref="F6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4184.8316955718537</v>
      </c>
      <c r="D7" s="6">
        <f>TONT20000DEC2015!F7+TONT20000DEC2015!E7+TONT20000JANV!G7</f>
        <v>399936.17547517212</v>
      </c>
      <c r="E7" s="1"/>
      <c r="F7" s="7">
        <f t="shared" ref="F7:F51" si="2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3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4186.283859172845</v>
      </c>
      <c r="D8" s="6">
        <f>TONT20000DEC2015!F8+TONT20000DEC2015!E8+TONT20000JANV!G8</f>
        <v>400074.9559086503</v>
      </c>
      <c r="E8" s="1"/>
      <c r="F8" s="7">
        <f t="shared" si="2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>
        <v>1000000</v>
      </c>
      <c r="N8" s="7">
        <f>IF(M8&lt;=500000,(M8*1*3/100),(M8*12/100))/2</f>
        <v>60000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4252.7256053805195</v>
      </c>
      <c r="D9" s="6">
        <f>TONT20000DEC2015!F9+TONT20000DEC2015!E9+TONT20000JANV!G9</f>
        <v>406424.66356793483</v>
      </c>
      <c r="E9" s="1"/>
      <c r="F9" s="7">
        <f t="shared" si="2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3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4281.6531252292525</v>
      </c>
      <c r="D10" s="6">
        <f>TONT20000DEC2015!F10+TONT20000DEC2015!E10+TONT20000JANV!G10</f>
        <v>409189.2100290329</v>
      </c>
      <c r="E10" s="1"/>
      <c r="F10" s="7">
        <f t="shared" si="2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3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52.614623224322273</v>
      </c>
      <c r="D11" s="6">
        <f>TONT20000DEC2015!F11+TONT20000DEC2015!E11+TONT20000JANV!G11</f>
        <v>5028.2765752965788</v>
      </c>
      <c r="E11" s="1"/>
      <c r="F11" s="7">
        <f t="shared" si="2"/>
        <v>0</v>
      </c>
      <c r="G11" s="7"/>
      <c r="H11" s="7"/>
      <c r="I11" s="7"/>
      <c r="J11" s="7"/>
      <c r="K11" s="7"/>
      <c r="L11" s="7"/>
      <c r="N11" s="7">
        <f t="shared" si="3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14747.454386752817</v>
      </c>
      <c r="D12" s="6">
        <f>TONT20000DEC2015!F12+TONT20000DEC2015!E12+TONT20000JANV!G12</f>
        <v>1409385.3551323069</v>
      </c>
      <c r="E12" s="1"/>
      <c r="F12" s="7">
        <f t="shared" si="2"/>
        <v>40000</v>
      </c>
      <c r="G12" s="7">
        <v>23000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3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3421.1830540940409</v>
      </c>
      <c r="D13" s="6">
        <f>TONT20000DEC2015!F13+TONT20000DEC2015!E13+TONT20000JANV!G13</f>
        <v>326955.76926131762</v>
      </c>
      <c r="E13" s="1"/>
      <c r="F13" s="7">
        <f t="shared" si="2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3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4637.6331430403716</v>
      </c>
      <c r="D14" s="6">
        <f>TONT20000DEC2015!F14+TONT20000DEC2015!E14+TONT20000JANV!G14</f>
        <v>443209.52368217451</v>
      </c>
      <c r="E14" s="1"/>
      <c r="F14" s="7">
        <f t="shared" si="2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3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4201.815695948666</v>
      </c>
      <c r="D15" s="6">
        <f>TONT20000DEC2015!F15+TONT20000DEC2015!E15+TONT20000JANV!G15</f>
        <v>401559.3031536779</v>
      </c>
      <c r="E15" s="1"/>
      <c r="F15" s="7">
        <f t="shared" si="2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3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4166.9006319770051</v>
      </c>
      <c r="D16" s="6">
        <f>TONT20000DEC2015!F16+TONT20000DEC2015!E16+TONT20000JANV!G16</f>
        <v>398222.53881831106</v>
      </c>
      <c r="E16" s="1"/>
      <c r="F16" s="7">
        <f t="shared" si="2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3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62.960020479868533</v>
      </c>
      <c r="D17" s="6">
        <f>TONT20000DEC2015!F17+TONT20000DEC2015!E17+TONT20000JANV!G17</f>
        <v>6016.9659451779471</v>
      </c>
      <c r="E17" s="1"/>
      <c r="F17" s="7">
        <f t="shared" si="2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3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4258.692103654158</v>
      </c>
      <c r="D18" s="6">
        <f>TONT20000DEC2015!F18+TONT20000DEC2015!E18+TONT20000JANV!G18</f>
        <v>406994.87013157347</v>
      </c>
      <c r="E18" s="1"/>
      <c r="F18" s="7">
        <f t="shared" si="2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3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197.60084131090923</v>
      </c>
      <c r="D19" s="6">
        <f>TONT20000DEC2015!F19+TONT20000DEC2015!E19+TONT20000JANV!G19</f>
        <v>18884.325701361893</v>
      </c>
      <c r="E19" s="1"/>
      <c r="F19" s="7">
        <f t="shared" si="2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3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6197.6159922725919</v>
      </c>
      <c r="D20" s="6">
        <f>TONT20000DEC2015!F20+TONT20000DEC2015!E20+TONT20000JANV!G20</f>
        <v>592294.03171363589</v>
      </c>
      <c r="E20" s="1"/>
      <c r="F20" s="7">
        <f t="shared" si="2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3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4195.5545557849709</v>
      </c>
      <c r="D21" s="6">
        <f>TONT20000DEC2015!F21+TONT20000DEC2015!E21+TONT20000JANV!G21</f>
        <v>400960.93824121758</v>
      </c>
      <c r="E21" s="1"/>
      <c r="F21" s="7">
        <f t="shared" si="2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3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3399.7689024417418</v>
      </c>
      <c r="D22" s="6">
        <f>TONT20000DEC2015!F22+TONT20000DEC2015!E22+TONT20000JANV!G22</f>
        <v>324909.26069517189</v>
      </c>
      <c r="E22" s="1"/>
      <c r="F22" s="7">
        <f t="shared" si="2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3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4552.3448387937451</v>
      </c>
      <c r="D23" s="6">
        <f>TONT20000DEC2015!F23+TONT20000DEC2015!E23+TONT20000JANV!G23</f>
        <v>435058.68735361873</v>
      </c>
      <c r="E23" s="1"/>
      <c r="F23" s="7">
        <f t="shared" si="2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3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4166.9006319770051</v>
      </c>
      <c r="D24" s="6">
        <f>TONT20000DEC2015!F24+TONT20000DEC2015!E24+TONT20000JANV!G24</f>
        <v>398222.53881831106</v>
      </c>
      <c r="E24" s="1"/>
      <c r="F24" s="7">
        <f t="shared" ref="F24" si="4">G24+H24+I24+J24+K24+L24</f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3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4212.4754186139135</v>
      </c>
      <c r="D25" s="6">
        <f>TONT20000DEC2015!F25+TONT20000DEC2015!E25+TONT20000JANV!G25</f>
        <v>402578.03198783298</v>
      </c>
      <c r="E25" s="1"/>
      <c r="F25" s="7">
        <f t="shared" si="2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3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4213.3172525855025</v>
      </c>
      <c r="D26" s="6">
        <f>TONT20000DEC2015!F26+TONT20000DEC2015!E26+TONT20000JANV!G26</f>
        <v>402658.48441303772</v>
      </c>
      <c r="E26" s="1"/>
      <c r="F26" s="7">
        <f t="shared" si="2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3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4293.511224211873</v>
      </c>
      <c r="D27" s="6">
        <f>TONT20000DEC2015!F27+TONT20000DEC2015!E27+TONT20000JANV!G27</f>
        <v>410322.46534262982</v>
      </c>
      <c r="E27" s="1"/>
      <c r="F27" s="7">
        <f t="shared" ref="F27:F28" si="5">G27+H27+I27+J27+K27+L27</f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3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TONT20000DEC2015!F28+TONT20000DEC2015!E28+TONT20000JANV!G28</f>
        <v>0</v>
      </c>
      <c r="E28" s="1"/>
      <c r="F28" s="7">
        <f t="shared" si="5"/>
        <v>0</v>
      </c>
      <c r="G28" s="7"/>
      <c r="H28" s="7"/>
      <c r="I28" s="7"/>
      <c r="J28" s="7"/>
      <c r="K28" s="7"/>
      <c r="L28" s="7"/>
      <c r="N28" s="7">
        <f t="shared" si="3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6056.5443021538949</v>
      </c>
      <c r="D29" s="6">
        <f>TONT20000DEC2015!F29+TONT20000DEC2015!E29+TONT20000JANV!G29</f>
        <v>578812.08636477264</v>
      </c>
      <c r="E29" s="1"/>
      <c r="F29" s="7">
        <f t="shared" si="2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3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62.960020479868533</v>
      </c>
      <c r="D30" s="6">
        <f>TONT20000DEC2015!F30+TONT20000DEC2015!E30+TONT20000JANV!G30</f>
        <v>6016.9659451779471</v>
      </c>
      <c r="E30" s="1"/>
      <c r="F30" s="7">
        <f t="shared" si="2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3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219.63584551725538</v>
      </c>
      <c r="D31" s="6">
        <f>TONT20000DEC2015!F31+TONT20000DEC2015!E31+TONT20000JANV!G31</f>
        <v>20990.167931096097</v>
      </c>
      <c r="E31" s="1"/>
      <c r="F31" s="7">
        <f t="shared" si="2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3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4206.1932326009292</v>
      </c>
      <c r="D32" s="6">
        <f>TONT20000DEC2015!F32+TONT20000DEC2015!E32+TONT20000JANV!G32</f>
        <v>401977.65576474252</v>
      </c>
      <c r="E32" s="1"/>
      <c r="F32" s="7">
        <f t="shared" si="2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3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125.92004095973707</v>
      </c>
      <c r="D33" s="6">
        <f>TONT20000DEC2015!F33+TONT20000DEC2015!E33+TONT20000JANV!G33</f>
        <v>12033.931890355894</v>
      </c>
      <c r="E33" s="1"/>
      <c r="F33" s="7">
        <f t="shared" si="2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3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4363.7938379149236</v>
      </c>
      <c r="D34" s="6">
        <f>TONT20000DEC2015!F34+TONT20000DEC2015!E34+TONT20000JANV!G34</f>
        <v>417039.23719191103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3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4250.9051394169583</v>
      </c>
      <c r="D35" s="6">
        <f>TONT20000DEC2015!F35+TONT20000DEC2015!E35+TONT20000JANV!G35</f>
        <v>406250.68519842956</v>
      </c>
      <c r="E35" s="1"/>
      <c r="F35" s="7">
        <f t="shared" si="2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3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62.960020479868533</v>
      </c>
      <c r="D36" s="6">
        <f>TONT20000DEC2015!F36+TONT20000DEC2015!E36+TONT20000JANV!G36</f>
        <v>6016.9659451779471</v>
      </c>
      <c r="E36" s="1"/>
      <c r="F36" s="7">
        <f t="shared" si="2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3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62.960020479868533</v>
      </c>
      <c r="D37" s="6">
        <f>TONT20000DEC2015!F37+TONT20000DEC2015!E37+TONT20000JANV!G37</f>
        <v>6016.9659451779471</v>
      </c>
      <c r="E37" s="1"/>
      <c r="F37" s="7">
        <f t="shared" si="2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3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4168.3738414272866</v>
      </c>
      <c r="D38" s="6">
        <f>TONT20000DEC2015!F38+TONT20000DEC2015!E38+TONT20000JANV!G38</f>
        <v>398363.33056241937</v>
      </c>
      <c r="E38" s="1"/>
      <c r="F38" s="7">
        <f t="shared" si="2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3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4194.596969642289</v>
      </c>
      <c r="D39" s="6">
        <f>TONT20000DEC2015!F39+TONT20000DEC2015!E39+TONT20000JANV!G39</f>
        <v>400869.42360754719</v>
      </c>
      <c r="E39" s="1"/>
      <c r="F39" s="7">
        <f t="shared" si="2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3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62.960020479868533</v>
      </c>
      <c r="D40" s="6">
        <f>TONT20000DEC2015!F40+TONT20000DEC2015!E40+TONT20000JANV!G40</f>
        <v>6016.9659451779471</v>
      </c>
      <c r="E40" s="1"/>
      <c r="F40" s="7">
        <f t="shared" si="2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3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4177.2341439782622</v>
      </c>
      <c r="D41" s="6">
        <f>TONT20000DEC2015!F41+TONT20000DEC2015!E41+TONT20000JANV!G41</f>
        <v>399210.09233769932</v>
      </c>
      <c r="E41" s="1"/>
      <c r="F41" s="7">
        <f t="shared" si="2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3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4173.5932120511388</v>
      </c>
      <c r="D42" s="6">
        <f>TONT20000DEC2015!F42+TONT20000DEC2015!E42+TONT20000JANV!G42</f>
        <v>398862.13559868879</v>
      </c>
      <c r="E42" s="1"/>
      <c r="F42" s="7">
        <f t="shared" si="2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3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14964.252628654878</v>
      </c>
      <c r="D43" s="6">
        <f>TONT20000DEC2015!F43+TONT20000DEC2015!E43+TONT20000JANV!G43</f>
        <v>1430104.3388390585</v>
      </c>
      <c r="E43" s="1"/>
      <c r="F43" s="7">
        <f t="shared" ref="F43" si="6">G43+H43+I43+J43+K43+L43</f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>IF(M43&lt;=500000,(M43*1*3/100),(M43*12/100))</f>
        <v>6000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62.960020479868533</v>
      </c>
      <c r="D44" s="6">
        <f>TONT20000DEC2015!F44+TONT20000DEC2015!E44+TONT20000JANV!G44</f>
        <v>6016.9659451779471</v>
      </c>
      <c r="E44" s="1"/>
      <c r="F44" s="7">
        <f t="shared" si="2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3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62.960020479868533</v>
      </c>
      <c r="D45" s="6">
        <f>TONT20000DEC2015!F45+TONT20000DEC2015!E45+TONT20000JANV!G45</f>
        <v>6016.9659451779471</v>
      </c>
      <c r="E45" s="1"/>
      <c r="F45" s="7">
        <f t="shared" si="2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3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4203.0679239814044</v>
      </c>
      <c r="D46" s="6">
        <f>TONT20000DEC2015!F46+TONT20000DEC2015!E46+TONT20000JANV!G46</f>
        <v>401678.97613616992</v>
      </c>
      <c r="E46" s="1"/>
      <c r="F46" s="7">
        <f t="shared" si="2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3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2883.3893065985981</v>
      </c>
      <c r="D47" s="6">
        <f>TONT20000DEC2015!F47+TONT20000DEC2015!E47+TONT20000JANV!G47</f>
        <v>275559.87326975923</v>
      </c>
      <c r="E47" s="1"/>
      <c r="F47" s="7">
        <f t="shared" si="2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3"/>
        <v>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31.568773934593359</v>
      </c>
      <c r="D48" s="6">
        <f>TONT20000DEC2015!F48+TONT20000DEC2015!E48+TONT20000JANV!G48</f>
        <v>3016.9659451779471</v>
      </c>
      <c r="E48" s="1"/>
      <c r="F48" s="7">
        <f t="shared" si="2"/>
        <v>0</v>
      </c>
      <c r="G48" s="7"/>
      <c r="H48" s="7"/>
      <c r="I48" s="7"/>
      <c r="J48" s="7"/>
      <c r="K48" s="7"/>
      <c r="L48" s="7"/>
      <c r="N48" s="7">
        <f t="shared" si="3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4175.3610633914759</v>
      </c>
      <c r="D49" s="6">
        <f>TONT20000DEC2015!F49+TONT20000DEC2015!E49+TONT20000JANV!G49</f>
        <v>399031.08569161873</v>
      </c>
      <c r="E49" s="1"/>
      <c r="F49" s="7">
        <f t="shared" si="2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>
        <v>1000000</v>
      </c>
      <c r="N49" s="7">
        <f t="shared" si="3"/>
        <v>120000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4352.4829310138348</v>
      </c>
      <c r="D50" s="6">
        <f>TONT20000DEC2015!F50+TONT20000DEC2015!E50+TONT20000JANV!G50</f>
        <v>415958.27595469716</v>
      </c>
      <c r="E50" s="1"/>
      <c r="F50" s="7">
        <f t="shared" si="2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3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8599.5458406057733</v>
      </c>
      <c r="D51" s="6">
        <f>TONT20000DEC2015!F51+TONT20000DEC2015!E51+TONT20000JANV!G51</f>
        <v>821841.76676795201</v>
      </c>
      <c r="E51" s="1"/>
      <c r="F51" s="7">
        <f t="shared" si="2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3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14724.329946751968</v>
      </c>
      <c r="D52" s="6">
        <f>TONT20000DEC2015!F52+TONT20000DEC2015!E52+TONT20000JANV!G52</f>
        <v>1407175.3976557062</v>
      </c>
      <c r="E52" s="1"/>
      <c r="F52" s="7">
        <f t="shared" ref="F52" si="7">G52+H52+I52+J52+K52+L52</f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3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x14ac:dyDescent="0.25">
      <c r="A54" s="1"/>
      <c r="B54" s="1" t="s">
        <v>180</v>
      </c>
      <c r="C54" s="1"/>
      <c r="D54" s="1"/>
      <c r="E54" s="1"/>
      <c r="F54" s="7"/>
      <c r="G54" s="7"/>
      <c r="H54" s="7"/>
      <c r="I54" s="7"/>
      <c r="J54" s="7"/>
      <c r="L54" s="7"/>
      <c r="N54" s="7">
        <f t="shared" si="3"/>
        <v>0</v>
      </c>
    </row>
    <row r="55" spans="1:17" x14ac:dyDescent="0.25">
      <c r="A55" s="1"/>
      <c r="B55" s="1"/>
      <c r="C55" s="1"/>
      <c r="D55" s="1"/>
      <c r="E55" s="1"/>
      <c r="H55" s="4"/>
    </row>
    <row r="56" spans="1:17" ht="18" x14ac:dyDescent="0.25">
      <c r="A56" s="8" t="s">
        <v>56</v>
      </c>
      <c r="B56" s="8"/>
      <c r="C56" s="9">
        <f>SUM(C5:C52)</f>
        <v>185999.99999999991</v>
      </c>
      <c r="D56" s="9">
        <f t="shared" ref="D56:Q56" si="8">SUM(D5:D52)</f>
        <v>17775656.000000004</v>
      </c>
      <c r="E56" s="9">
        <f t="shared" si="8"/>
        <v>0</v>
      </c>
      <c r="F56" s="9">
        <f t="shared" si="8"/>
        <v>919000</v>
      </c>
      <c r="G56" s="9">
        <f t="shared" si="8"/>
        <v>171000</v>
      </c>
      <c r="H56" s="9">
        <f t="shared" si="8"/>
        <v>22000</v>
      </c>
      <c r="I56" s="9">
        <f t="shared" si="8"/>
        <v>44000</v>
      </c>
      <c r="J56" s="9">
        <f t="shared" si="8"/>
        <v>110000</v>
      </c>
      <c r="K56" s="9">
        <f t="shared" si="8"/>
        <v>0</v>
      </c>
      <c r="L56" s="9">
        <f t="shared" si="8"/>
        <v>572000</v>
      </c>
      <c r="M56" s="9">
        <f t="shared" si="8"/>
        <v>2200000</v>
      </c>
      <c r="N56" s="9">
        <f t="shared" si="8"/>
        <v>186000</v>
      </c>
      <c r="O56" s="9">
        <f t="shared" si="8"/>
        <v>0</v>
      </c>
      <c r="P56" s="9">
        <f t="shared" si="8"/>
        <v>0</v>
      </c>
      <c r="Q56" s="9">
        <f t="shared" si="8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4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401.49071086184892</v>
      </c>
      <c r="D5" s="6">
        <f>TONT20000JANV!C5+TONT20000JANV!D5+TONT20000FEV!G5</f>
        <v>323292.02607068635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545.76761144944282</v>
      </c>
      <c r="D6" s="6">
        <f>TONT20000JANV!C6+TONT20000JANV!D6+TONT20000FEV!G6</f>
        <v>439467.99289700744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505.59645581866323</v>
      </c>
      <c r="D7" s="6">
        <f>TONT20000JANV!C7+TONT20000JANV!D7+TONT20000FEV!G7</f>
        <v>407121.00717074395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505.77060822746716</v>
      </c>
      <c r="D8" s="6">
        <f>TONT20000JANV!C8+TONT20000JANV!D8+TONT20000FEV!G8</f>
        <v>407261.23976782314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/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513.73871191723674</v>
      </c>
      <c r="D9" s="6">
        <f>TONT20000JANV!C9+TONT20000JANV!D9+TONT20000FEV!G9</f>
        <v>413677.38917331537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/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517.20787837957062</v>
      </c>
      <c r="D10" s="6">
        <f>TONT20000JANV!C10+TONT20000JANV!D10+TONT20000FEV!G10</f>
        <v>416470.86315426213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M10" s="7">
        <v>250000</v>
      </c>
      <c r="N10" s="7">
        <f t="shared" si="2"/>
        <v>7500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6.3098698842013716</v>
      </c>
      <c r="D11" s="6">
        <f>TONT20000JANV!C11+TONT20000JANV!D11+TONT20000FEV!G11</f>
        <v>5080.8911985209015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M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1772.3312670347004</v>
      </c>
      <c r="D12" s="6">
        <f>TONT20000JANV!C12+TONT20000JANV!D12+TONT20000FEV!G12</f>
        <v>1427132.8095190597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M12" s="7"/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414.01500431936461</v>
      </c>
      <c r="D13" s="6">
        <f>TONT20000JANV!C13+TONT20000JANV!D13+TONT20000FEV!G13</f>
        <v>333376.95231541165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/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559.89919604210024</v>
      </c>
      <c r="D14" s="6">
        <f>TONT20000JANV!C14+TONT20000JANV!D14+TONT20000FEV!G14</f>
        <v>450847.15682521486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M14" s="7"/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507.63328181728349</v>
      </c>
      <c r="D15" s="6">
        <f>TONT20000JANV!C15+TONT20000JANV!D15+TONT20000FEV!G15</f>
        <v>408761.11884962657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/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503.44605216212744</v>
      </c>
      <c r="D16" s="6">
        <f>TONT20000JANV!C16+TONT20000JANV!D16+TONT20000FEV!G16</f>
        <v>405389.43945028808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M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11.276201194420562</v>
      </c>
      <c r="D17" s="6">
        <f>TONT20000JANV!C17+TONT20000JANV!D17+TONT20000FEV!G17</f>
        <v>9079.9259656578161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M17" s="7"/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514.45425116210515</v>
      </c>
      <c r="D18" s="6">
        <f>TONT20000JANV!C18+TONT20000JANV!D18+TONT20000FEV!G18</f>
        <v>414253.56223522761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M18" s="7"/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27.423158228091868</v>
      </c>
      <c r="D19" s="6">
        <f>TONT20000JANV!C19+TONT20000JANV!D19+TONT20000FEV!G19</f>
        <v>22081.926542672802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M19" s="7"/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750.70760110374874</v>
      </c>
      <c r="D20" s="6">
        <f>TONT20000JANV!C20+TONT20000JANV!D20+TONT20000FEV!G20</f>
        <v>604491.64770590852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M20" s="7"/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506.88240730106349</v>
      </c>
      <c r="D21" s="6">
        <f>TONT20000JANV!C21+TONT20000JANV!D21+TONT20000FEV!G21</f>
        <v>408156.49279700255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/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411.44688727649458</v>
      </c>
      <c r="D22" s="6">
        <f>TONT20000JANV!C22+TONT20000JANV!D22+TONT20000FEV!G22</f>
        <v>331309.02959761361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/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549.67089695980985</v>
      </c>
      <c r="D23" s="6">
        <f>TONT20000JANV!C23+TONT20000JANV!D23+TONT20000FEV!G23</f>
        <v>442611.03219241247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/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503.44605216212744</v>
      </c>
      <c r="D24" s="6">
        <f>TONT20000JANV!C24+TONT20000JANV!D24+TONT20000FEV!G24</f>
        <v>405389.43945028808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508.9116614558227</v>
      </c>
      <c r="D25" s="6">
        <f>TONT20000JANV!C25+TONT20000JANV!D25+TONT20000FEV!G25</f>
        <v>409790.50740644691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/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509.01261937396987</v>
      </c>
      <c r="D26" s="6">
        <f>TONT20000JANV!C26+TONT20000JANV!D26+TONT20000FEV!G26</f>
        <v>409871.80166562321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/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524.83938721178595</v>
      </c>
      <c r="D27" s="6">
        <f>TONT20000JANV!C27+TONT20000JANV!D27+TONT20000FEV!G27</f>
        <v>422615.97656684171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TONT20000JANV!C28+TONT20000JANV!D28+TONT20000FEV!G28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M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730.06376707924278</v>
      </c>
      <c r="D29" s="6">
        <f>TONT20000JANV!C29+TONT20000JANV!D29+TONT20000FEV!G29</f>
        <v>587868.6306669265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M29" s="7"/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11.276201194420562</v>
      </c>
      <c r="D30" s="6">
        <f>TONT20000JANV!C30+TONT20000JANV!D30+TONT20000FEV!G30</f>
        <v>9079.9259656578161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M30" s="7"/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30.065731735595399</v>
      </c>
      <c r="D31" s="6">
        <f>TONT20000JANV!C31+TONT20000JANV!D31+TONT20000FEV!G31</f>
        <v>24209.803776613353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M31" s="7"/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514.36767551167918</v>
      </c>
      <c r="D32" s="6">
        <f>TONT20000JANV!C32+TONT20000JANV!D32+TONT20000FEV!G32</f>
        <v>414183.84899734345</v>
      </c>
      <c r="E32" s="1"/>
      <c r="F32" s="7">
        <f t="shared" si="1"/>
        <v>25000</v>
      </c>
      <c r="G32" s="7">
        <v>8000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/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22.552402388841124</v>
      </c>
      <c r="D33" s="6">
        <f>TONT20000JANV!C33+TONT20000JANV!D33+TONT20000FEV!G33</f>
        <v>18159.851931315632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7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533.26811140310224</v>
      </c>
      <c r="D34" s="6">
        <f>TONT20000JANV!C34+TONT20000JANV!D34+TONT20000FEV!G34</f>
        <v>429403.03102982597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 s="7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513.52039041924331</v>
      </c>
      <c r="D35" s="6">
        <f>TONT20000JANV!C35+TONT20000JANV!D35+TONT20000FEV!G35</f>
        <v>413501.59033784654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M35" s="7"/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7.5505536824024508</v>
      </c>
      <c r="D36" s="6">
        <f>TONT20000JANV!C36+TONT20000JANV!D36+TONT20000FEV!G36</f>
        <v>6079.9259656578161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M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11.276201194420562</v>
      </c>
      <c r="D37" s="6">
        <f>TONT20000JANV!C37+TONT20000JANV!D37+TONT20000FEV!G37</f>
        <v>9079.9259656578161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M37" s="7"/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503.62272851888508</v>
      </c>
      <c r="D38" s="6">
        <f>TONT20000JANV!C38+TONT20000JANV!D38+TONT20000FEV!G38</f>
        <v>405531.70440384664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M38" s="7"/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506.767567669171</v>
      </c>
      <c r="D39" s="6">
        <f>TONT20000JANV!C39+TONT20000JANV!D39+TONT20000FEV!G39</f>
        <v>408064.02057718945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/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11.276201194420562</v>
      </c>
      <c r="D40" s="6">
        <f>TONT20000JANV!C40+TONT20000JANV!D40+TONT20000FEV!G40</f>
        <v>9079.9259656578161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M40" s="7"/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504.68531060738462</v>
      </c>
      <c r="D41" s="6">
        <f>TONT20000JANV!C41+TONT20000JANV!D41+TONT20000FEV!G41</f>
        <v>406387.32648167759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/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504.24866761139788</v>
      </c>
      <c r="D42" s="6">
        <f>TONT20000JANV!C42+TONT20000JANV!D42+TONT20000FEV!G42</f>
        <v>406035.72881073994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/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1798.3310483444188</v>
      </c>
      <c r="D43" s="6">
        <f>TONT20000JANV!C43+TONT20000JANV!D43+TONT20000FEV!G43</f>
        <v>1448068.5914677135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/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11.276201194420562</v>
      </c>
      <c r="D44" s="6">
        <f>TONT20000JANV!C44+TONT20000JANV!D44+TONT20000FEV!G44</f>
        <v>9079.9259656578161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M44" s="7"/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11.276201194420562</v>
      </c>
      <c r="D45" s="6">
        <f>TONT20000JANV!C45+TONT20000JANV!D45+TONT20000FEV!G45</f>
        <v>9079.9259656578161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M45" s="7"/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507.78345672052745</v>
      </c>
      <c r="D46" s="6">
        <f>TONT20000JANV!C46+TONT20000JANV!D46+TONT20000FEV!G46</f>
        <v>408882.04406015133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353.24511117597388</v>
      </c>
      <c r="D47" s="6">
        <f>TONT20000JANV!C47+TONT20000JANV!D47+TONT20000FEV!G47</f>
        <v>284443.26257635781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500000</v>
      </c>
      <c r="N47" s="7">
        <f t="shared" si="2"/>
        <v>15000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7.5115694425389323</v>
      </c>
      <c r="D48" s="6">
        <f>TONT20000JANV!C48+TONT20000JANV!D48+TONT20000FEV!G48</f>
        <v>6048.5347191125402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M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504.46067923950699</v>
      </c>
      <c r="D49" s="6">
        <f>TONT20000JANV!C49+TONT20000JANV!D49+TONT20000FEV!G49</f>
        <v>406206.44675501023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525.70222521768255</v>
      </c>
      <c r="D50" s="6">
        <f>TONT20000JANV!C50+TONT20000JANV!D50+TONT20000FEV!G50</f>
        <v>423310.75888571102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M50" s="7"/>
      <c r="N50" s="7">
        <f t="shared" si="2"/>
        <v>0</v>
      </c>
    </row>
    <row r="51" spans="1:17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1035.0361842443938</v>
      </c>
      <c r="D51" s="6">
        <f>TONT20000JANV!C51+TONT20000JANV!D51+TONT20000FEV!G51</f>
        <v>833441.31260855775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7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1769.5580416724606</v>
      </c>
      <c r="D52" s="6">
        <f>TONT20000JANV!C52+TONT20000JANV!D52+TONT20000FEV!G52</f>
        <v>1424899.7276024581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M52" s="7"/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M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48000</v>
      </c>
      <c r="M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22500</v>
      </c>
      <c r="D56" s="9">
        <f t="shared" ref="D56:Q56" si="3">SUM(D5:D52)</f>
        <v>18117656</v>
      </c>
      <c r="E56" s="9">
        <f t="shared" si="3"/>
        <v>0</v>
      </c>
      <c r="F56" s="9">
        <f t="shared" si="3"/>
        <v>904000</v>
      </c>
      <c r="G56" s="9">
        <f t="shared" si="3"/>
        <v>156000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750000</v>
      </c>
      <c r="N56" s="9">
        <f t="shared" si="3"/>
        <v>22500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1043.2007030282837</v>
      </c>
      <c r="D5" s="6">
        <f>TONT20000FEV!C5+TONT20000FEV!D5+TONT20000MARS!G5</f>
        <v>323693.51678154821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1427.7464405489461</v>
      </c>
      <c r="D6" s="6">
        <f>TONT20000FEV!C6+TONT20000FEV!D6+TONT20000MARS!G6</f>
        <v>443013.76050845691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1323.3689875674552</v>
      </c>
      <c r="D7" s="6">
        <f>TONT20000FEV!C7+TONT20000FEV!D7+TONT20000MARS!G7</f>
        <v>410626.60362656263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1323.8214909763346</v>
      </c>
      <c r="D8" s="6">
        <f>TONT20000FEV!C8+TONT20000FEV!D8+TONT20000MARS!G8</f>
        <v>410767.0103760506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1344.5251614376671</v>
      </c>
      <c r="D9" s="6">
        <f>TONT20000FEV!C9+TONT20000FEV!D9+TONT20000MARS!G9</f>
        <v>417191.12788523262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1353.5391605029508</v>
      </c>
      <c r="D10" s="6">
        <f>TONT20000FEV!C10+TONT20000FEV!D10+TONT20000MARS!G10</f>
        <v>419988.07103264169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16.395051046351256</v>
      </c>
      <c r="D11" s="6">
        <f>TONT20000FEV!C11+TONT20000FEV!D11+TONT20000MARS!G11</f>
        <v>5087.2010684051029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4614.7493604141828</v>
      </c>
      <c r="D12" s="6">
        <f>TONT20000FEV!C12+TONT20000FEV!D12+TONT20000MARS!G12</f>
        <v>1431905.1407860944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1085.4112166807133</v>
      </c>
      <c r="D13" s="6">
        <f>TONT20000FEV!C13+TONT20000FEV!D13+TONT20000MARS!G13</f>
        <v>336790.96731973102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1464.4647968723543</v>
      </c>
      <c r="D14" s="6">
        <f>TONT20000FEV!C14+TONT20000FEV!D14+TONT20000MARS!G14</f>
        <v>454407.05602125695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1328.6613100452178</v>
      </c>
      <c r="D15" s="6">
        <f>TONT20000FEV!C15+TONT20000FEV!D15+TONT20000MARS!G15</f>
        <v>412268.75213144388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1317.781554170859</v>
      </c>
      <c r="D16" s="6">
        <f>TONT20000FEV!C16+TONT20000FEV!D16+TONT20000MARS!G16</f>
        <v>408892.88550245023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38.967572555461153</v>
      </c>
      <c r="D17" s="6">
        <f>TONT20000FEV!C17+TONT20000FEV!D17+TONT20000MARS!G17</f>
        <v>12091.202166852237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1346.3843602263232</v>
      </c>
      <c r="D18" s="6">
        <f>TONT20000FEV!C18+TONT20000FEV!D18+TONT20000MARS!G18</f>
        <v>417768.01648638974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80.922508183074001</v>
      </c>
      <c r="D19" s="6">
        <f>TONT20000FEV!C19+TONT20000FEV!D19+TONT20000MARS!G19</f>
        <v>25109.349700900893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2421.1067339040774</v>
      </c>
      <c r="D20" s="6">
        <f>TONT20000FEV!C20+TONT20000FEV!D20+TONT20000MARS!G20</f>
        <v>751242.35530701221</v>
      </c>
      <c r="E20" s="1"/>
      <c r="F20" s="7">
        <f t="shared" si="1"/>
        <v>163000</v>
      </c>
      <c r="G20" s="7">
        <v>146000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1326.7102989707016</v>
      </c>
      <c r="D21" s="6">
        <f>TONT20000FEV!C21+TONT20000FEV!D21+TONT20000MARS!G21</f>
        <v>411663.37520430359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1078.7384309048482</v>
      </c>
      <c r="D22" s="6">
        <f>TONT20000FEV!C22+TONT20000FEV!D22+TONT20000MARS!G22</f>
        <v>334720.4764848901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1437.8884191262187</v>
      </c>
      <c r="D23" s="6">
        <f>TONT20000FEV!C23+TONT20000FEV!D23+TONT20000MARS!G23</f>
        <v>446160.70308937225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1317.781554170859</v>
      </c>
      <c r="D24" s="6">
        <f>TONT20000FEV!C24+TONT20000FEV!D24+TONT20000MARS!G24</f>
        <v>408892.88550245023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1331.9829473872085</v>
      </c>
      <c r="D25" s="6">
        <f>TONT20000FEV!C25+TONT20000FEV!D25+TONT20000MARS!G25</f>
        <v>413299.41906790272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1332.24526820395</v>
      </c>
      <c r="D26" s="6">
        <f>TONT20000FEV!C26+TONT20000FEV!D26+TONT20000MARS!G26</f>
        <v>413380.81428499718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1389.4822694610575</v>
      </c>
      <c r="D27" s="6">
        <f>TONT20000FEV!C27+TONT20000FEV!D27+TONT20000MARS!G27</f>
        <v>431140.81595405348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TONT20000FEV!C28+TONT20000FEV!D28+TONT20000MARS!G28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1906.6065334903549</v>
      </c>
      <c r="D29" s="6">
        <f>TONT20000FEV!C29+TONT20000FEV!D29+TONT20000MARS!G29</f>
        <v>591598.69443400577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38.967572555461153</v>
      </c>
      <c r="D30" s="6">
        <f>TONT20000FEV!C30+TONT20000FEV!D30+TONT20000MARS!G30</f>
        <v>12091.202166852237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87.78875556128591</v>
      </c>
      <c r="D31" s="6">
        <f>TONT20000FEV!C31+TONT20000FEV!D31+TONT20000MARS!G31</f>
        <v>27239.869508348947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1355.8278205863812</v>
      </c>
      <c r="D32" s="6">
        <f>TONT20000FEV!C32+TONT20000FEV!D32+TONT20000MARS!G32</f>
        <v>420698.21667285514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>
        <v>1000000</v>
      </c>
      <c r="N32" s="7">
        <f>IF(M32&lt;=500000,(M32*1*3/100),(M32*12/100))/4</f>
        <v>30000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77.935145110922306</v>
      </c>
      <c r="D33" s="6">
        <f>TONT20000FEV!C33+TONT20000FEV!D33+TONT20000MARS!G33</f>
        <v>24182.404333704475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1411.3827786487736</v>
      </c>
      <c r="D34" s="6">
        <f>TONT20000FEV!C34+TONT20000FEV!D34+TONT20000MARS!G34</f>
        <v>437936.29914122907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1343.9578926714632</v>
      </c>
      <c r="D35" s="6">
        <f>TONT20000FEV!C35+TONT20000FEV!D35+TONT20000MARS!G35</f>
        <v>417015.11072826578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19.61874259264091</v>
      </c>
      <c r="D36" s="6">
        <f>TONT20000FEV!C36+TONT20000FEV!D36+TONT20000MARS!G36</f>
        <v>6087.4765193402181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38.967572555461153</v>
      </c>
      <c r="D37" s="6">
        <f>TONT20000FEV!C37+TONT20000FEV!D37+TONT20000MARS!G37</f>
        <v>12091.202166852237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1318.2406156001566</v>
      </c>
      <c r="D38" s="6">
        <f>TONT20000FEV!C38+TONT20000FEV!D38+TONT20000MARS!G38</f>
        <v>409035.32713236555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1326.411909041658</v>
      </c>
      <c r="D39" s="6">
        <f>TONT20000FEV!C39+TONT20000FEV!D39+TONT20000MARS!G39</f>
        <v>411570.78814485861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38.967572555461153</v>
      </c>
      <c r="D40" s="6">
        <f>TONT20000FEV!C40+TONT20000FEV!D40+TONT20000MARS!G40</f>
        <v>12091.202166852237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1321.0015421963622</v>
      </c>
      <c r="D41" s="6">
        <f>TONT20000FEV!C41+TONT20000FEV!D41+TONT20000MARS!G41</f>
        <v>409892.01179228496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1319.8670046639547</v>
      </c>
      <c r="D42" s="6">
        <f>TONT20000FEV!C42+TONT20000FEV!D42+TONT20000MARS!G42</f>
        <v>409539.97747835133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4682.3050706886679</v>
      </c>
      <c r="D43" s="6">
        <f>TONT20000FEV!C43+TONT20000FEV!D43+TONT20000MARS!G43</f>
        <v>1452866.922516058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38.967572555461153</v>
      </c>
      <c r="D44" s="6">
        <f>TONT20000FEV!C44+TONT20000FEV!D44+TONT20000MARS!G44</f>
        <v>12091.202166852237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38.967572555461153</v>
      </c>
      <c r="D45" s="6">
        <f>TONT20000FEV!C45+TONT20000FEV!D45+TONT20000MARS!G45</f>
        <v>12091.202166852237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1329.0515122601207</v>
      </c>
      <c r="D46" s="6">
        <f>TONT20000FEV!C46+TONT20000FEV!D46+TONT20000MARS!G46</f>
        <v>412389.82751687185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937.18009638893591</v>
      </c>
      <c r="D47" s="6">
        <f>TONT20000FEV!C47+TONT20000FEV!D47+TONT20000MARS!G47</f>
        <v>290796.5076875338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19.517449124741379</v>
      </c>
      <c r="D48" s="6">
        <f>TONT20000FEV!C48+TONT20000FEV!D48+TONT20000MARS!G48</f>
        <v>6056.0462885550787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1320.4178783791122</v>
      </c>
      <c r="D49" s="6">
        <f>TONT20000FEV!C49+TONT20000FEV!D49+TONT20000MARS!G49</f>
        <v>409710.90743424976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1375.6101782215489</v>
      </c>
      <c r="D50" s="6">
        <f>TONT20000FEV!C50+TONT20000FEV!D50+TONT20000MARS!G50</f>
        <v>426836.46111092868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2699.0219776932313</v>
      </c>
      <c r="D51" s="6">
        <f>TONT20000FEV!C51+TONT20000FEV!D51+TONT20000MARS!G51</f>
        <v>837476.34879280219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4607.5436379173061</v>
      </c>
      <c r="D52" s="6">
        <f>TONT20000FEV!C52+TONT20000FEV!D52+TONT20000MARS!G52</f>
        <v>1429669.2856441305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50500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59400.000000000015</v>
      </c>
      <c r="D56" s="9">
        <f t="shared" ref="D56:Q56" si="3">SUM(D5:D52)</f>
        <v>18431155.999999993</v>
      </c>
      <c r="E56" s="9">
        <f t="shared" si="3"/>
        <v>0</v>
      </c>
      <c r="F56" s="9">
        <f t="shared" si="3"/>
        <v>1022000</v>
      </c>
      <c r="G56" s="9">
        <f t="shared" si="3"/>
        <v>291000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1980000</v>
      </c>
      <c r="N56" s="9">
        <f t="shared" si="3"/>
        <v>59400</v>
      </c>
      <c r="O56" s="9">
        <f t="shared" si="3"/>
        <v>900000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D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" customWidth="1"/>
    <col min="4" max="4" width="20.85546875" customWidth="1"/>
    <col min="5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4206.7983317359185</v>
      </c>
      <c r="D5" s="6">
        <f>TONT20000MARS!C5+TONT20000MARS!D5+TONT20000AVRIL!G5</f>
        <v>324736.71748457651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5796.3762138227676</v>
      </c>
      <c r="D6" s="6">
        <f>TONT20000MARS!C6+TONT20000MARS!D6+TONT20000AVRIL!G6</f>
        <v>447441.50694900588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5375.464979964564</v>
      </c>
      <c r="D7" s="6">
        <f>TONT20000MARS!C7+TONT20000MARS!D7+TONT20000AVRIL!G7</f>
        <v>414949.97261413006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5377.2897396489207</v>
      </c>
      <c r="D8" s="6">
        <f>TONT20000MARS!C8+TONT20000MARS!D8+TONT20000AVRIL!G8</f>
        <v>415090.83186702692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5460.7791066563577</v>
      </c>
      <c r="D9" s="6">
        <f>TONT20000MARS!C9+TONT20000MARS!D9+TONT20000AVRIL!G9</f>
        <v>421535.65304667031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5561.9012949809658</v>
      </c>
      <c r="D10" s="6">
        <f>TONT20000MARS!C10+TONT20000MARS!D10+TONT20000AVRIL!G10</f>
        <v>429341.61019314465</v>
      </c>
      <c r="E10" s="1"/>
      <c r="F10" s="7">
        <f t="shared" si="1"/>
        <v>25000</v>
      </c>
      <c r="G10" s="7">
        <v>8000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66.114481317259731</v>
      </c>
      <c r="D11" s="6">
        <f>TONT20000MARS!C11+TONT20000MARS!D11+TONT20000AVRIL!G11</f>
        <v>5103.5961194514539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18648.245012997726</v>
      </c>
      <c r="D12" s="6">
        <f>TONT20000MARS!C12+TONT20000MARS!D12+TONT20000AVRIL!G12</f>
        <v>1439519.8901465086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4415.8793981258577</v>
      </c>
      <c r="D13" s="6">
        <f>TONT20000MARS!C13+TONT20000MARS!D13+TONT20000AVRIL!G13</f>
        <v>340876.37853641174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5944.4462061809018</v>
      </c>
      <c r="D14" s="6">
        <f>TONT20000MARS!C14+TONT20000MARS!D14+TONT20000AVRIL!G14</f>
        <v>458871.5208181293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5396.8067345337768</v>
      </c>
      <c r="D15" s="6">
        <f>TONT20000MARS!C15+TONT20000MARS!D15+TONT20000AVRIL!G15</f>
        <v>416597.4134414891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>
        <v>1000000</v>
      </c>
      <c r="N15" s="7">
        <f t="shared" si="2"/>
        <v>120000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5352.933164731644</v>
      </c>
      <c r="D16" s="6">
        <f>TONT20000MARS!C16+TONT20000MARS!D16+TONT20000AVRIL!G16</f>
        <v>413210.66705662111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196.00362198538465</v>
      </c>
      <c r="D17" s="6">
        <f>TONT20000MARS!C17+TONT20000MARS!D17+TONT20000AVRIL!G17</f>
        <v>15130.169739407698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5468.2764888377342</v>
      </c>
      <c r="D18" s="6">
        <f>TONT20000MARS!C18+TONT20000MARS!D18+TONT20000AVRIL!G18</f>
        <v>422114.40084661607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365.1905796762523</v>
      </c>
      <c r="D19" s="6">
        <f>TONT20000MARS!C19+TONT20000MARS!D19+TONT20000AVRIL!G19</f>
        <v>28190.272209083967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14245.578551813711</v>
      </c>
      <c r="D20" s="6">
        <f>TONT20000MARS!C20+TONT20000MARS!D20+TONT20000AVRIL!G20</f>
        <v>1099663.4620409163</v>
      </c>
      <c r="E20" s="1"/>
      <c r="F20" s="7">
        <f t="shared" si="1"/>
        <v>363000</v>
      </c>
      <c r="G20" s="7">
        <v>346000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5388.939111257022</v>
      </c>
      <c r="D21" s="6">
        <f>TONT20000MARS!C21+TONT20000MARS!D21+TONT20000AVRIL!G21</f>
        <v>415990.08550327428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4388.9708042297325</v>
      </c>
      <c r="D22" s="6">
        <f>TONT20000MARS!C22+TONT20000MARS!D22+TONT20000AVRIL!G22</f>
        <v>338799.21491579496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5837.2746319656235</v>
      </c>
      <c r="D23" s="6">
        <f>TONT20000MARS!C23+TONT20000MARS!D23+TONT20000AVRIL!G23</f>
        <v>450598.59150849847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5352.933164731644</v>
      </c>
      <c r="D24" s="6">
        <f>TONT20000MARS!C24+TONT20000MARS!D24+TONT20000AVRIL!G24</f>
        <v>413210.66705662111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>
        <v>1000000</v>
      </c>
      <c r="N24" s="7">
        <f t="shared" si="2"/>
        <v>120000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5410.2015284486533</v>
      </c>
      <c r="D25" s="6">
        <f>TONT20000MARS!C25+TONT20000MARS!D25+TONT20000AVRIL!G25</f>
        <v>417631.40201528993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5411.2593601497292</v>
      </c>
      <c r="D26" s="6">
        <f>TONT20000MARS!C26+TONT20000MARS!D26+TONT20000AVRIL!G26</f>
        <v>417713.05955320114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5706.8450343433278</v>
      </c>
      <c r="D27" s="6">
        <f>TONT20000MARS!C27+TONT20000MARS!D27+TONT20000AVRIL!G27</f>
        <v>440530.29822351452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TONT20000MARS!C28+TONT20000MARS!D28+TONT20000AVRIL!G28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7727.4215383447627</v>
      </c>
      <c r="D29" s="6">
        <f>TONT20000MARS!C29+TONT20000MARS!D29+TONT20000AVRIL!G29</f>
        <v>596505.30096749612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196.00362198538465</v>
      </c>
      <c r="D30" s="6">
        <f>TONT20000MARS!C30+TONT20000MARS!D30+TONT20000AVRIL!G30</f>
        <v>15130.169739407698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392.87932445192064</v>
      </c>
      <c r="D31" s="6">
        <f>TONT20000MARS!C31+TONT20000MARS!D31+TONT20000AVRIL!G31</f>
        <v>30327.658263910234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5545.2215389020466</v>
      </c>
      <c r="D32" s="6">
        <f>TONT20000MARS!C32+TONT20000MARS!D32+TONT20000AVRIL!G32</f>
        <v>428054.04449344153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392.00724397076931</v>
      </c>
      <c r="D33" s="6">
        <f>TONT20000MARS!C33+TONT20000MARS!D33+TONT20000AVRIL!G33</f>
        <v>30260.339478815396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5795.1607584869244</v>
      </c>
      <c r="D34" s="6">
        <f>TONT20000MARS!C34+TONT20000MARS!D34+TONT20000AVRIL!G34</f>
        <v>447347.68191987782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5458.4915456027793</v>
      </c>
      <c r="D35" s="6">
        <f>TONT20000MARS!C35+TONT20000MARS!D35+TONT20000AVRIL!G35</f>
        <v>421359.06862093724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79.11430022036761</v>
      </c>
      <c r="D36" s="6">
        <f>TONT20000MARS!C36+TONT20000MARS!D36+TONT20000AVRIL!G36</f>
        <v>6107.0952619328591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196.00362198538465</v>
      </c>
      <c r="D37" s="6">
        <f>TONT20000MARS!C37+TONT20000MARS!D37+TONT20000AVRIL!G37</f>
        <v>15130.169739407698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5354.7843702085256</v>
      </c>
      <c r="D38" s="6">
        <f>TONT20000MARS!C38+TONT20000MARS!D38+TONT20000AVRIL!G38</f>
        <v>413353.56774796569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5387.7358276970481</v>
      </c>
      <c r="D39" s="6">
        <f>TONT20000MARS!C39+TONT20000MARS!D39+TONT20000AVRIL!G39</f>
        <v>415897.20005390025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196.00362198538465</v>
      </c>
      <c r="D40" s="6">
        <f>TONT20000MARS!C40+TONT20000MARS!D40+TONT20000AVRIL!G40</f>
        <v>15130.169739407698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5365.9180488623533</v>
      </c>
      <c r="D41" s="6">
        <f>TONT20000MARS!C41+TONT20000MARS!D41+TONT20000AVRIL!G41</f>
        <v>414213.01333448134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5361.3429267551983</v>
      </c>
      <c r="D42" s="6">
        <f>TONT20000MARS!C42+TONT20000MARS!D42+TONT20000AVRIL!G42</f>
        <v>413859.8444830153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18920.66933983815</v>
      </c>
      <c r="D43" s="6">
        <f>TONT20000MARS!C43+TONT20000MARS!D43+TONT20000AVRIL!G43</f>
        <v>1460549.2275867467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 t="shared" si="2"/>
        <v>6000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196.00362198538465</v>
      </c>
      <c r="D44" s="6">
        <f>TONT20000MARS!C44+TONT20000MARS!D44+TONT20000AVRIL!G44</f>
        <v>15130.169739407698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196.00362198538465</v>
      </c>
      <c r="D45" s="6">
        <f>TONT20000MARS!C45+TONT20000MARS!D45+TONT20000AVRIL!G45</f>
        <v>15130.169739407698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5398.3802591891272</v>
      </c>
      <c r="D46" s="6">
        <f>TONT20000MARS!C46+TONT20000MARS!D46+TONT20000AVRIL!G46</f>
        <v>416718.87902913196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3856.9878724307705</v>
      </c>
      <c r="D47" s="6">
        <f>TONT20000MARS!C47+TONT20000MARS!D47+TONT20000AVRIL!G47</f>
        <v>297733.68778392271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117.56929332466937</v>
      </c>
      <c r="D48" s="6">
        <f>TONT20000MARS!C48+TONT20000MARS!D48+TONT20000AVRIL!G48</f>
        <v>9075.5637376798204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5363.5643733274583</v>
      </c>
      <c r="D49" s="6">
        <f>TONT20000MARS!C49+TONT20000MARS!D49+TONT20000AVRIL!G49</f>
        <v>414031.32531262888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5586.1321632338813</v>
      </c>
      <c r="D50" s="6">
        <f>TONT20000MARS!C50+TONT20000MARS!D50+TONT20000AVRIL!G50</f>
        <v>431212.07128915022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10922.906318059349</v>
      </c>
      <c r="D51" s="6">
        <f>TONT20000MARS!C51+TONT20000MARS!D51+TONT20000AVRIL!G51</f>
        <v>843175.37077049538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18619.187305031446</v>
      </c>
      <c r="D52" s="6">
        <f>TONT20000MARS!C52+TONT20000MARS!D52+TONT20000AVRIL!G52</f>
        <v>1437276.8292820479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60500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245999.99999999988</v>
      </c>
      <c r="D56" s="9">
        <f t="shared" ref="D56:Q56" si="3">SUM(D5:D52)</f>
        <v>18989556.000000004</v>
      </c>
      <c r="E56" s="9">
        <f t="shared" si="3"/>
        <v>0</v>
      </c>
      <c r="F56" s="9">
        <f t="shared" si="3"/>
        <v>1247000</v>
      </c>
      <c r="G56" s="9">
        <f t="shared" si="3"/>
        <v>499000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2200000</v>
      </c>
      <c r="N56" s="9">
        <f t="shared" si="3"/>
        <v>246000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42578125" customWidth="1"/>
    <col min="4" max="4" width="16.85546875" customWidth="1"/>
    <col min="5" max="5" width="14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1489.1392586539394</v>
      </c>
      <c r="D5" s="6">
        <f>TONT20000AVRIL!C5+TONT20000AVRIL!D5+TONT20000MAI!G5</f>
        <v>328943.51581631246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2065.4054888934988</v>
      </c>
      <c r="D6" s="6">
        <f>TONT20000AVRIL!C6+TONT20000AVRIL!D6+TONT20000MAI!G6</f>
        <v>456237.88316282863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1916.409650890474</v>
      </c>
      <c r="D7" s="6">
        <f>TONT20000AVRIL!C7+TONT20000AVRIL!D7+TONT20000MAI!G7</f>
        <v>423325.4375940946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1917.0555866043601</v>
      </c>
      <c r="D8" s="6">
        <f>TONT20000AVRIL!C8+TONT20000AVRIL!D8+TONT20000MAI!G8</f>
        <v>423468.12160667585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1946.6094858614319</v>
      </c>
      <c r="D9" s="6">
        <f>TONT20000AVRIL!C9+TONT20000AVRIL!D9+TONT20000MAI!G9</f>
        <v>429996.43215332669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1982.4051215635675</v>
      </c>
      <c r="D10" s="6">
        <f>TONT20000AVRIL!C10+TONT20000AVRIL!D10+TONT20000MAI!G10</f>
        <v>437903.5114881256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23.403467894418259</v>
      </c>
      <c r="D11" s="6">
        <f>TONT20000AVRIL!C11+TONT20000AVRIL!D11+TONT20000MAI!G11</f>
        <v>5169.7106007687134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8878.2794688617159</v>
      </c>
      <c r="D12" s="6">
        <f>TONT20000AVRIL!C12+TONT20000AVRIL!D12+TONT20000MAI!G12</f>
        <v>1961168.1351595062</v>
      </c>
      <c r="E12" s="1"/>
      <c r="F12" s="7">
        <f t="shared" si="1"/>
        <v>520000</v>
      </c>
      <c r="G12" s="7">
        <v>503000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1576.7317178708879</v>
      </c>
      <c r="D13" s="6">
        <f>TONT20000AVRIL!C13+TONT20000AVRIL!D13+TONT20000MAI!G13</f>
        <v>348292.2579345376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2117.8198955898379</v>
      </c>
      <c r="D14" s="6">
        <f>TONT20000AVRIL!C14+TONT20000AVRIL!D14+TONT20000MAI!G14</f>
        <v>467815.9670243102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1923.9642903267927</v>
      </c>
      <c r="D15" s="6">
        <f>TONT20000AVRIL!C15+TONT20000AVRIL!D15+TONT20000MAI!G15</f>
        <v>424994.22017602285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1908.433749032057</v>
      </c>
      <c r="D16" s="6">
        <f>TONT20000AVRIL!C16+TONT20000AVRIL!D16+TONT20000MAI!G16</f>
        <v>421563.60022135277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82.963253267432648</v>
      </c>
      <c r="D17" s="6">
        <f>TONT20000AVRIL!C17+TONT20000AVRIL!D17+TONT20000MAI!G17</f>
        <v>18326.173361393085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1949.2634391206589</v>
      </c>
      <c r="D18" s="6">
        <f>TONT20000AVRIL!C18+TONT20000AVRIL!D18+TONT20000MAI!G18</f>
        <v>430582.6773354538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142.85272760924894</v>
      </c>
      <c r="D19" s="6">
        <f>TONT20000AVRIL!C19+TONT20000AVRIL!D19+TONT20000MAI!G19</f>
        <v>31555.462788760218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5069.8689540345713</v>
      </c>
      <c r="D20" s="6">
        <f>TONT20000AVRIL!C20+TONT20000AVRIL!D20+TONT20000MAI!G20</f>
        <v>1119909.04059273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1921.1792776473567</v>
      </c>
      <c r="D21" s="6">
        <f>TONT20000AVRIL!C21+TONT20000AVRIL!D21+TONT20000MAI!G21</f>
        <v>424379.02461453131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1567.2065064378594</v>
      </c>
      <c r="D22" s="6">
        <f>TONT20000AVRIL!C22+TONT20000AVRIL!D22+TONT20000MAI!G22</f>
        <v>346188.18572002469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2079.8828741329858</v>
      </c>
      <c r="D23" s="6">
        <f>TONT20000AVRIL!C23+TONT20000AVRIL!D23+TONT20000MAI!G23</f>
        <v>459435.86614046409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1908.433749032057</v>
      </c>
      <c r="D24" s="6">
        <f>TONT20000AVRIL!C24+TONT20000AVRIL!D24+TONT20000MAI!G24</f>
        <v>421563.60022135277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1928.705832922202</v>
      </c>
      <c r="D25" s="6">
        <f>TONT20000AVRIL!C25+TONT20000AVRIL!D25+TONT20000MAI!G25</f>
        <v>426041.6035437386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1929.0802884085124</v>
      </c>
      <c r="D26" s="6">
        <f>TONT20000AVRIL!C26+TONT20000AVRIL!D26+TONT20000MAI!G26</f>
        <v>426124.31891335087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2056.3480665836109</v>
      </c>
      <c r="D27" s="6">
        <f>TONT20000AVRIL!C27+TONT20000AVRIL!D27+TONT20000MAI!G27</f>
        <v>454237.14325785782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TONT20000AVRIL!C28+TONT20000AVRIL!D28+TONT20000MAI!G28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2748.9646177665099</v>
      </c>
      <c r="D29" s="6">
        <f>TONT20000AVRIL!C29+TONT20000AVRIL!D29+TONT20000MAI!G29</f>
        <v>607232.72250584094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82.963253267432648</v>
      </c>
      <c r="D30" s="6">
        <f>TONT20000AVRIL!C30+TONT20000AVRIL!D30+TONT20000MAI!G30</f>
        <v>18326.173361393085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152.65409996343135</v>
      </c>
      <c r="D31" s="6">
        <f>TONT20000AVRIL!C31+TONT20000AVRIL!D31+TONT20000MAI!G31</f>
        <v>33720.53758836216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1976.5007549542843</v>
      </c>
      <c r="D32" s="6">
        <f>TONT20000AVRIL!C32+TONT20000AVRIL!D32+TONT20000MAI!G32</f>
        <v>436599.26603234356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165.9265065348653</v>
      </c>
      <c r="D33" s="6">
        <f>TONT20000AVRIL!C33+TONT20000AVRIL!D33+TONT20000MAI!G33</f>
        <v>36652.346722786169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2087.6104189969756</v>
      </c>
      <c r="D34" s="6">
        <f>TONT20000AVRIL!C34+TONT20000AVRIL!D34+TONT20000MAI!G34</f>
        <v>461142.84267836477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1945.7997258722849</v>
      </c>
      <c r="D35" s="6">
        <f>TONT20000AVRIL!C35+TONT20000AVRIL!D35+TONT20000MAI!G35</f>
        <v>429817.56016654003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28.005195659205434</v>
      </c>
      <c r="D36" s="6">
        <f>TONT20000AVRIL!C36+TONT20000AVRIL!D36+TONT20000MAI!G36</f>
        <v>6186.2095621532271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82.963253267432648</v>
      </c>
      <c r="D37" s="6">
        <f>TONT20000AVRIL!C37+TONT20000AVRIL!D37+TONT20000MAI!G37</f>
        <v>18326.173361393085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1909.0890461331003</v>
      </c>
      <c r="D38" s="6">
        <f>TONT20000AVRIL!C38+TONT20000AVRIL!D38+TONT20000MAI!G38</f>
        <v>421708.3521181742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1920.7533345316781</v>
      </c>
      <c r="D39" s="6">
        <f>TONT20000AVRIL!C39+TONT20000AVRIL!D39+TONT20000MAI!G39</f>
        <v>424284.93588159728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82.963253267432648</v>
      </c>
      <c r="D40" s="6">
        <f>TONT20000AVRIL!C40+TONT20000AVRIL!D40+TONT20000MAI!G40</f>
        <v>18326.173361393085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1913.0301901265204</v>
      </c>
      <c r="D41" s="6">
        <f>TONT20000AVRIL!C41+TONT20000AVRIL!D41+TONT20000MAI!G41</f>
        <v>422578.9313833437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1911.4106701482267</v>
      </c>
      <c r="D42" s="6">
        <f>TONT20000AVRIL!C42+TONT20000AVRIL!D42+TONT20000MAI!G42</f>
        <v>422221.1874097705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6711.1951357594153</v>
      </c>
      <c r="D43" s="6">
        <f>TONT20000AVRIL!C43+TONT20000AVRIL!D43+TONT20000MAI!G43</f>
        <v>1482469.8969265849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82.963253267432648</v>
      </c>
      <c r="D44" s="6">
        <f>TONT20000AVRIL!C44+TONT20000AVRIL!D44+TONT20000MAI!G44</f>
        <v>18326.173361393085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82.963253267432648</v>
      </c>
      <c r="D45" s="6">
        <f>TONT20000AVRIL!C45+TONT20000AVRIL!D45+TONT20000MAI!G45</f>
        <v>18326.173361393085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1924.5212928626795</v>
      </c>
      <c r="D46" s="6">
        <f>TONT20000AVRIL!C46+TONT20000AVRIL!D46+TONT20000MAI!G46</f>
        <v>425117.25928832107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1392.4741747198527</v>
      </c>
      <c r="D47" s="6">
        <f>TONT20000AVRIL!C47+TONT20000AVRIL!D47+TONT20000MAI!G47</f>
        <v>307590.67565635347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750000</v>
      </c>
      <c r="N47" s="7">
        <f t="shared" si="2"/>
        <v>90000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41.617647554243668</v>
      </c>
      <c r="D48" s="6">
        <f>TONT20000AVRIL!C48+TONT20000AVRIL!D48+TONT20000MAI!G48</f>
        <v>9193.1330310044905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1898.6159175697137</v>
      </c>
      <c r="D49" s="6">
        <f>TONT20000AVRIL!C49+TONT20000AVRIL!D49+TONT20000MAI!G49</f>
        <v>419394.88968595635</v>
      </c>
      <c r="E49" s="1"/>
      <c r="F49" s="7">
        <f t="shared" si="1"/>
        <v>0</v>
      </c>
      <c r="G49" s="7"/>
      <c r="H49" s="7"/>
      <c r="I49" s="7"/>
      <c r="J49" s="7"/>
      <c r="K49" s="7"/>
      <c r="L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1990.9824609892487</v>
      </c>
      <c r="D50" s="6">
        <f>TONT20000AVRIL!C50+TONT20000AVRIL!D50+TONT20000MAI!G50</f>
        <v>439798.2034523841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3880.1150701202687</v>
      </c>
      <c r="D51" s="6">
        <f>TONT20000AVRIL!C51+TONT20000AVRIL!D51+TONT20000MAI!G51</f>
        <v>857098.27708855469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6604.4753221608671</v>
      </c>
      <c r="D52" s="6">
        <f>TONT20000AVRIL!C52+TONT20000AVRIL!D52+TONT20000MAI!G52</f>
        <v>1458896.0165870793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52500+140000</f>
        <v>192500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90000.000000000029</v>
      </c>
      <c r="D56" s="9">
        <f t="shared" ref="D56:Q56" si="3">SUM(D5:D52)</f>
        <v>19880555.999999996</v>
      </c>
      <c r="E56" s="9">
        <f t="shared" si="3"/>
        <v>0</v>
      </c>
      <c r="F56" s="9">
        <f t="shared" si="3"/>
        <v>1359000</v>
      </c>
      <c r="G56" s="9">
        <f t="shared" si="3"/>
        <v>645000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0</v>
      </c>
      <c r="L56" s="9">
        <f t="shared" si="3"/>
        <v>546000</v>
      </c>
      <c r="M56" s="9">
        <f t="shared" si="3"/>
        <v>750000</v>
      </c>
      <c r="N56" s="9">
        <f t="shared" si="3"/>
        <v>90000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4585.7297697109252</v>
      </c>
      <c r="D5" s="6">
        <f>TONT20000MAI!C5+TONT20000MAI!D5+TONT20000JUIN!G5</f>
        <v>330432.65507496637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6401.9466331371623</v>
      </c>
      <c r="D6" s="6">
        <f>TONT20000MAI!C6+TONT20000MAI!D6+TONT20000JUIN!G6</f>
        <v>461303.28865172213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5943.1214118404623</v>
      </c>
      <c r="D7" s="6">
        <f>TONT20000MAI!C7+TONT20000MAI!D7+TONT20000JUIN!G7</f>
        <v>428241.84724498505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1" customFormat="1" x14ac:dyDescent="0.25">
      <c r="A8" s="19" t="s">
        <v>13</v>
      </c>
      <c r="B8" s="19" t="str">
        <f>VLOOKUP(A8,LISTADHERENT!A$5:H$51,2)</f>
        <v>CHINGUE FABRICE</v>
      </c>
      <c r="C8" s="6">
        <f t="shared" si="0"/>
        <v>5945.1105385223846</v>
      </c>
      <c r="D8" s="6">
        <f>TONT20000MAI!C8+TONT20000MAI!D8+TONT20000JUIN!G8</f>
        <v>428385.17719328019</v>
      </c>
      <c r="E8" s="19"/>
      <c r="F8" s="20">
        <f t="shared" si="1"/>
        <v>20000</v>
      </c>
      <c r="G8" s="20">
        <v>3000</v>
      </c>
      <c r="H8" s="20">
        <v>500</v>
      </c>
      <c r="I8" s="20">
        <v>1000</v>
      </c>
      <c r="J8" s="20">
        <v>2500</v>
      </c>
      <c r="K8" s="20"/>
      <c r="L8" s="20">
        <v>13000</v>
      </c>
      <c r="M8" s="20">
        <v>1000000</v>
      </c>
      <c r="N8" s="20">
        <f t="shared" si="2"/>
        <v>120000</v>
      </c>
      <c r="O8" s="20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6036.1202912010549</v>
      </c>
      <c r="D9" s="6">
        <f>TONT20000MAI!C9+TONT20000MAI!D9+TONT20000JUIN!G9</f>
        <v>434943.04163918813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6562.6898315546596</v>
      </c>
      <c r="D10" s="6">
        <f>TONT20000MAI!C10+TONT20000MAI!D10+TONT20000JUIN!G10</f>
        <v>472885.91660968919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72.069807316018256</v>
      </c>
      <c r="D11" s="6">
        <f>TONT20000MAI!C11+TONT20000MAI!D11+TONT20000JUIN!G11</f>
        <v>5193.1140686631315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27381.850860139701</v>
      </c>
      <c r="D12" s="6">
        <f>TONT20000MAI!C12+TONT20000MAI!D12+TONT20000JUIN!G12</f>
        <v>1973046.4146283679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4897.1002284557744</v>
      </c>
      <c r="D13" s="6">
        <f>TONT20000MAI!C13+TONT20000MAI!D13+TONT20000JUIN!G13</f>
        <v>352868.98965240846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6563.354173602117</v>
      </c>
      <c r="D14" s="6">
        <f>TONT20000MAI!C14+TONT20000MAI!D14+TONT20000JUIN!G14</f>
        <v>472933.78691990004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5966.3855456420752</v>
      </c>
      <c r="D15" s="6">
        <f>TONT20000MAI!C15+TONT20000MAI!D15+TONT20000JUIN!G15</f>
        <v>429918.18446634966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5918.5600215071654</v>
      </c>
      <c r="D16" s="6">
        <f>TONT20000MAI!C16+TONT20000MAI!D16+TONT20000JUIN!G16</f>
        <v>426472.0339703848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991.01283899713405</v>
      </c>
      <c r="D17" s="6">
        <f>TONT20000MAI!C17+TONT20000MAI!D17+TONT20000JUIN!G17+50000</f>
        <v>71409.136614660514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6044.2930073506905</v>
      </c>
      <c r="D18" s="6">
        <f>TONT20000MAI!C18+TONT20000MAI!D18+TONT20000JUIN!G18</f>
        <v>435531.94077457447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481.54168777943136</v>
      </c>
      <c r="D19" s="6">
        <f>TONT20000MAI!C19+TONT20000MAI!D19+TONT20000JUIN!G19</f>
        <v>34698.315516369468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15695.675275336062</v>
      </c>
      <c r="D20" s="6">
        <f>TONT20000MAI!C20+TONT20000MAI!D20+TONT20000JUIN!G20</f>
        <v>1130978.9095467646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5957.8092385714681</v>
      </c>
      <c r="D21" s="6">
        <f>TONT20000MAI!C21+TONT20000MAI!D21+TONT20000JUIN!G21</f>
        <v>429300.20389217866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5908.6144990872453</v>
      </c>
      <c r="D22" s="6">
        <f>TONT20000MAI!C22+TONT20000MAI!D22+TONT20000JUIN!G22+75000</f>
        <v>425755.39222646254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6446.5290159428505</v>
      </c>
      <c r="D23" s="6">
        <f>TONT20000MAI!C23+TONT20000MAI!D23+TONT20000JUIN!G23</f>
        <v>464515.7490145971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5918.5600215071654</v>
      </c>
      <c r="D24" s="6">
        <f>TONT20000MAI!C24+TONT20000MAI!D24+TONT20000JUIN!G24</f>
        <v>426472.0339703848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5980.9868886043005</v>
      </c>
      <c r="D25" s="6">
        <f>TONT20000MAI!C25+TONT20000MAI!D25+TONT20000JUIN!G25</f>
        <v>430970.30937666079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5982.1400055213562</v>
      </c>
      <c r="D26" s="6">
        <f>TONT20000MAI!C26+TONT20000MAI!D26+TONT20000JUIN!G26</f>
        <v>431053.39920175937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6443.4445335509317</v>
      </c>
      <c r="D27" s="6">
        <f>TONT20000MAI!C27+TONT20000MAI!D27+TONT20000JUIN!G27</f>
        <v>464293.49132444145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8506.932737300498</v>
      </c>
      <c r="D29" s="6">
        <f>TONT20000MAI!C29+TONT20000MAI!D29+TONT20000JUIN!G29</f>
        <v>612981.68712360749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297.1150508577407</v>
      </c>
      <c r="D30" s="6">
        <f>TONT20000MAI!C30+TONT20000MAI!D30+TONT20000JUIN!G30</f>
        <v>21409.136614660518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2177.0792146179242</v>
      </c>
      <c r="D31" s="6">
        <f>TONT20000MAI!C31+TONT20000MAI!D31+TONT20000JUIN!G31</f>
        <v>156873.19168832561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1" customFormat="1" x14ac:dyDescent="0.25">
      <c r="A32" s="19" t="s">
        <v>37</v>
      </c>
      <c r="B32" s="19" t="str">
        <f>VLOOKUP(A32,LISTADHERENT!A$5:H$51,2)</f>
        <v>NJEPDJIO MBOUKAM DELUXE</v>
      </c>
      <c r="C32" s="6">
        <f t="shared" si="0"/>
        <v>6169.8028246816157</v>
      </c>
      <c r="D32" s="6">
        <f>TONT20000MAI!C32+TONT20000MAI!D32+TONT20000JUIN!G32</f>
        <v>444575.76678729785</v>
      </c>
      <c r="E32" s="19"/>
      <c r="F32" s="20">
        <f t="shared" si="1"/>
        <v>23000</v>
      </c>
      <c r="G32" s="20">
        <v>6000</v>
      </c>
      <c r="H32" s="20">
        <v>500</v>
      </c>
      <c r="I32" s="20">
        <v>1000</v>
      </c>
      <c r="J32" s="20">
        <v>2500</v>
      </c>
      <c r="K32" s="20"/>
      <c r="L32" s="20">
        <v>13000</v>
      </c>
      <c r="M32" s="20">
        <v>1000000</v>
      </c>
      <c r="N32" s="20">
        <f t="shared" si="2"/>
        <v>120000</v>
      </c>
      <c r="O32" s="20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594.2301017154814</v>
      </c>
      <c r="D33" s="6">
        <f>TONT20000MAI!C33+TONT20000MAI!D33+TONT20000JUIN!G33</f>
        <v>42818.273229321036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6539.7153821636693</v>
      </c>
      <c r="D34" s="6">
        <f>TONT20000MAI!C34+TONT20000MAI!D34+TONT20000JUIN!G34</f>
        <v>471230.45309736172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6033.6266758679194</v>
      </c>
      <c r="D35" s="6">
        <f>TONT20000MAI!C35+TONT20000MAI!D35+TONT20000JUIN!G35</f>
        <v>434763.35989241232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86.240597509384457</v>
      </c>
      <c r="D36" s="6">
        <f>TONT20000MAI!C36+TONT20000MAI!D36+TONT20000JUIN!G36</f>
        <v>6214.2147578124323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297.1150508577407</v>
      </c>
      <c r="D37" s="6">
        <f>TONT20000MAI!C37+TONT20000MAI!D37+TONT20000JUIN!G37</f>
        <v>21409.136614660518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5920.5779761120129</v>
      </c>
      <c r="D38" s="6">
        <f>TONT20000MAI!C38+TONT20000MAI!D38+TONT20000JUIN!G38</f>
        <v>426617.4411643073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5956.4975680783155</v>
      </c>
      <c r="D39" s="6">
        <f>TONT20000MAI!C39+TONT20000MAI!D39+TONT20000JUIN!G39</f>
        <v>429205.68921612896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297.1150508577407</v>
      </c>
      <c r="D40" s="6">
        <f>TONT20000MAI!C40+TONT20000MAI!D40+TONT20000JUIN!G40</f>
        <v>21409.136614660518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5932.7145316640308</v>
      </c>
      <c r="D41" s="6">
        <f>TONT20000MAI!C41+TONT20000MAI!D41+TONT20000JUIN!G41</f>
        <v>427491.96157347021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5927.7273009977625</v>
      </c>
      <c r="D42" s="6">
        <f>TONT20000MAI!C42+TONT20000MAI!D42+TONT20000JUIN!G42</f>
        <v>427132.59807991871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8845.9213044842309</v>
      </c>
      <c r="D43" s="6">
        <f>TONT20000MAI!C43+TONT20000MAI!D43+TONT20000JUIN!G43-854773</f>
        <v>637408.09206234431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297.1150508577407</v>
      </c>
      <c r="D44" s="6">
        <f>TONT20000MAI!C44+TONT20000MAI!D44+TONT20000JUIN!G44</f>
        <v>21409.136614660518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297.1150508577407</v>
      </c>
      <c r="D45" s="6">
        <f>TONT20000MAI!C45+TONT20000MAI!D45+TONT20000JUIN!G45</f>
        <v>21409.136614660518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5968.1008070561948</v>
      </c>
      <c r="D46" s="6">
        <f>TONT20000MAI!C46+TONT20000MAI!D46+TONT20000JUIN!G46</f>
        <v>430041.78058118373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4371.322219379218</v>
      </c>
      <c r="D47" s="6">
        <f>TONT20000MAI!C47+TONT20000MAI!D47+TONT20000JUIN!G47</f>
        <v>314983.1498310733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128.15946139741337</v>
      </c>
      <c r="D48" s="6">
        <f>TONT20000MAI!C48+TONT20000MAI!D48+TONT20000JUIN!G48</f>
        <v>9234.7506785587339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5888.3265012039219</v>
      </c>
      <c r="D49" s="6">
        <f>TONT20000MAI!C49+TONT20000MAI!D49+TONT20000JUIN!G49</f>
        <v>424293.50560352608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6172.7646458722247</v>
      </c>
      <c r="D50" s="6">
        <f>TONT20000MAI!C50+TONT20000MAI!D50+TONT20000JUIN!G50</f>
        <v>444789.18591337337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11990.253906382681</v>
      </c>
      <c r="D51" s="6">
        <f>TONT20000MAI!C51+TONT20000MAI!D51+TONT20000JUIN!G51</f>
        <v>863978.39215867501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20379.784864348658</v>
      </c>
      <c r="D52" s="6">
        <f>TONT20000MAI!C52+TONT20000MAI!D52+TONT20000JUIN!G52</f>
        <v>1468500.4919092401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271200.00000000006</v>
      </c>
      <c r="D56" s="9">
        <f t="shared" ref="D56:Q56" si="3">SUM(D5:D52)</f>
        <v>19541783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RECAPEMPRUNTREMB</vt:lpstr>
      <vt:lpstr>LISTADHERENT</vt:lpstr>
      <vt:lpstr>TRAVAUXINVENTAIREBACKUP</vt:lpstr>
      <vt:lpstr>TRAVAUXINVENTAIRE</vt:lpstr>
      <vt:lpstr>FONDSDECAISSE</vt:lpstr>
      <vt:lpstr>TONT20000DEC2015</vt:lpstr>
      <vt:lpstr>TONT20000JANV</vt:lpstr>
      <vt:lpstr>TONT20000FEV</vt:lpstr>
      <vt:lpstr>TONT20000MARS</vt:lpstr>
      <vt:lpstr>TONT20000AVRIL</vt:lpstr>
      <vt:lpstr>TONT20000MAI</vt:lpstr>
      <vt:lpstr>TONT20000JUIN</vt:lpstr>
      <vt:lpstr>TONT20000JUIL</vt:lpstr>
      <vt:lpstr>TONT20000AOUT</vt:lpstr>
      <vt:lpstr>TONT20000SEPT</vt:lpstr>
      <vt:lpstr>TONT20000OCT</vt:lpstr>
      <vt:lpstr>TONT20000NOV</vt:lpstr>
      <vt:lpstr>RECAPTONT20000</vt:lpstr>
      <vt:lpstr>LISTADHERENT!Impression_des_titres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ASELBY</cp:lastModifiedBy>
  <dcterms:created xsi:type="dcterms:W3CDTF">2016-12-07T22:17:38Z</dcterms:created>
  <dcterms:modified xsi:type="dcterms:W3CDTF">2017-01-06T09:50:31Z</dcterms:modified>
</cp:coreProperties>
</file>