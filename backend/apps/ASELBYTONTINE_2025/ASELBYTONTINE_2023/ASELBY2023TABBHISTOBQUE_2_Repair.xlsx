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8" sqref="A8"/>
    </sheetView>
  </sheetViews>
  <sheetFormatPr baseColWidth="10" defaultColWidth="11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7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VLOOKUP(A7,[14]TONTMAI24!$A$6:$R$39,12,0)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7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VLOOKUP(A8,[14]TONTMAI24!$A$6:$R$39,12,0)</f>
        <v>0</v>
      </c>
      <c r="Q8" s="2">
        <f>VLOOKUP(A8,[15]TONTMAI24!$A$7:$P$23,10,0)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VLOOKUP(A9,[14]TONTMAI24!$A$6:$R$39,12,0)</f>
        <v>0</v>
      </c>
      <c r="Q9" s="2"/>
      <c r="R9" s="2">
        <f>VLOOKUP(A9,[16]TONTMAI24!$A$7:$P$20,10,0)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7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VLOOKUP(A10,[14]TONTMAI24!$A$6:$R$39,12,0)</f>
        <v>0</v>
      </c>
      <c r="Q10" s="2">
        <f>VLOOKUP(A10,[15]TONTMAI24!$A$7:$P$23,10,0)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VLOOKUP(A11,[14]TONTMAI24!$A$6:$R$39,12,0)</f>
        <v>0</v>
      </c>
      <c r="Q11" s="2">
        <f>VLOOKUP(A11,[15]TONTMAI24!$A$7:$P$23,10,0)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VLOOKUP(A12,[14]TONTMAI24!$A$6:$R$39,12,0)</f>
        <v>0</v>
      </c>
      <c r="Q12" s="2">
        <f>VLOOKUP(A12,[15]TONTMAI24!$A$7:$P$23,10,0)</f>
        <v>0</v>
      </c>
      <c r="R12" s="2">
        <f>VLOOKUP(A12,[16]TONTMAI24!$A$7:$P$20,10,0)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VLOOKUP(A13,[14]TONTMAI24!$A$6:$R$39,12,0)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VLOOKUP(A14,[14]TONTMAI24!$A$6:$R$39,12,0)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VLOOKUP(A15,[14]TONTMAI24!$A$6:$R$39,12,0)</f>
        <v>0</v>
      </c>
      <c r="Q15" s="2">
        <f>VLOOKUP(A15,[15]TONTMAI24!$A$7:$P$23,10,0)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VLOOKUP(A16,[14]TONTMAI24!$A$6:$R$39,12,0)</f>
        <v>0</v>
      </c>
      <c r="Q16" s="2">
        <f>VLOOKUP(A16,[15]TONTMAI24!$A$7:$P$23,10,0)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VLOOKUP(A17,[14]TONTMAI24!$A$6:$R$39,12,0)</f>
        <v>0</v>
      </c>
      <c r="Q17" s="2"/>
      <c r="R17" s="2">
        <f>VLOOKUP(A17,[16]TONTMAI24!$A$7:$P$20,10,0)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VLOOKUP(A18,[14]TONTMAI24!$A$6:$R$39,12,0)</f>
        <v>0</v>
      </c>
      <c r="Q18" s="2"/>
      <c r="R18" s="2">
        <f>VLOOKUP(A18,[16]TONTMAI24!$A$7:$P$20,10,0)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VLOOKUP(A19,[14]TONTMAI24!$A$6:$R$39,12,0)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7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VLOOKUP(A20,[14]TONTMAI24!$A$6:$R$39,12,0)</f>
        <v>0</v>
      </c>
      <c r="Q20" s="2">
        <f>VLOOKUP(A20,[15]TONTMAI24!$A$7:$P$23,10,0)</f>
        <v>0</v>
      </c>
      <c r="R20" s="2">
        <f>VLOOKUP(A20,[16]TONTMAI24!$A$7:$P$20,10,0)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VLOOKUP(A21,[14]TONTMAI24!$A$6:$R$39,12,0)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VLOOKUP(A22,[14]TONTMAI24!$A$6:$R$39,12,0)</f>
        <v>0</v>
      </c>
      <c r="Q22" s="2">
        <f>VLOOKUP(A22,[15]TONTMAI24!$A$7:$P$23,10,0)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VLOOKUP(A23,[14]TONTMAI24!$A$6:$R$39,12,0)</f>
        <v>0</v>
      </c>
      <c r="Q23" s="2"/>
      <c r="R23" s="2">
        <f>VLOOKUP(A23,[16]TONTMAI24!$A$7:$P$20,10,0)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VLOOKUP(A24,[14]TONTMAI24!$A$6:$R$39,12,0)</f>
        <v>0</v>
      </c>
      <c r="Q24" s="2">
        <f>VLOOKUP(A24,[15]TONTMAI24!$A$7:$P$23,10,0)</f>
        <v>0</v>
      </c>
      <c r="R24" s="2">
        <f>VLOOKUP(A24,[16]TONTMAI24!$A$7:$P$20,10,0)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VLOOKUP(A25,[14]TONTMAI24!$A$6:$R$39,12,0)</f>
        <v>0</v>
      </c>
      <c r="Q25" s="2">
        <f>VLOOKUP(A25,[15]TONTMAI24!$A$7:$P$23,10,0)</f>
        <v>0</v>
      </c>
      <c r="R25" s="2">
        <f>VLOOKUP(A25,[16]TONTMAI24!$A$7:$P$20,10,0)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VLOOKUP(A26,[14]TONTMAI24!$A$6:$R$39,12,0)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VLOOKUP(A27,[14]TONTMAI24!$A$6:$R$39,12,0)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VLOOKUP(A28,[14]TONTMAI24!$A$6:$R$39,12,0)</f>
        <v>0</v>
      </c>
      <c r="Q28" s="2">
        <f>VLOOKUP(A28,[15]TONTMAI24!$A$7:$P$23,10,0)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VLOOKUP(A29,[14]TONTMAI24!$A$6:$R$39,12,0)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VLOOKUP(A30,[14]TONTMAI24!$A$6:$R$39,12,0)</f>
        <v>0</v>
      </c>
      <c r="Q30" s="2"/>
      <c r="R30" s="2">
        <f>VLOOKUP(A30,[16]TONTMAI24!$A$7:$P$20,10,0)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VLOOKUP(A31,[14]TONTMAI24!$A$6:$R$39,12,0)</f>
        <v>0</v>
      </c>
      <c r="Q31" s="2"/>
      <c r="R31" s="2">
        <f>VLOOKUP(A31,[16]TONTMAI24!$A$7:$P$20,10,0)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VLOOKUP(A32,[14]TONTMAI24!$A$6:$R$39,12,0)</f>
        <v>0</v>
      </c>
      <c r="Q32" s="2">
        <f>VLOOKUP(A32,[15]TONTMAI24!$A$7:$P$23,10,0)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7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VLOOKUP(A33,[14]TONTMAI24!$A$6:$R$39,12,0)</f>
        <v>0</v>
      </c>
      <c r="Q33" s="2"/>
      <c r="R33" s="2">
        <f>VLOOKUP(A33,[16]TONTMAI24!$A$7:$P$20,10,0)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VLOOKUP(A34,[14]TONTMAI24!$A$6:$R$39,12,0)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7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VLOOKUP(A35,[14]TONTMAI24!$A$6:$R$39,12,0)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7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VLOOKUP(A36,[14]TONTMAI24!$A$6:$R$39,12,0)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7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VLOOKUP(A37,[14]TONTMAI24!$A$6:$R$39,12,0)</f>
        <v>0</v>
      </c>
      <c r="Q37" s="2"/>
      <c r="R37" s="2">
        <f>VLOOKUP(A37,[16]TONTMAI24!$A$7:$P$20,10,0)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7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VLOOKUP(A38,[14]TONTMAI24!$A$6:$R$39,12,0)</f>
        <v>0</v>
      </c>
      <c r="Q38" s="2">
        <f>VLOOKUP(A38,[15]TONTMAI24!$A$7:$P$23,10,0)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7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6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VLOOKUP(A7,[14]TONTJUIN24!$A$6:$R$39,12,0)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6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VLOOKUP(A8,[14]TONTJUIN24!$A$6:$R$39,12,0)</f>
        <v>0</v>
      </c>
      <c r="Q8" s="2">
        <f>VLOOKUP(A8,[15]TONTJUIN24!$A$7:$P$23,10,0)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VLOOKUP(A9,[14]TONTJUIN24!$A$6:$R$39,12,0)</f>
        <v>0</v>
      </c>
      <c r="Q9" s="2"/>
      <c r="R9" s="2">
        <f>VLOOKUP(A9,[16]TONTJUIN24!$A$7:$P$20,10,0)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6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VLOOKUP(A10,[14]TONTJUIN24!$A$6:$R$39,12,0)</f>
        <v>0</v>
      </c>
      <c r="Q10" s="2">
        <f>VLOOKUP(A10,[15]TONTJUIN24!$A$7:$P$23,10,0)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VLOOKUP(A11,[14]TONTJUIN24!$A$6:$R$39,12,0)</f>
        <v>0</v>
      </c>
      <c r="Q11" s="2">
        <f>VLOOKUP(A11,[15]TONTJUIN24!$A$7:$P$23,10,0)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VLOOKUP(A12,[14]TONTJUIN24!$A$6:$R$39,12,0)</f>
        <v>0</v>
      </c>
      <c r="Q12" s="2">
        <f>VLOOKUP(A12,[15]TONTJUIN24!$A$7:$P$23,10,0)</f>
        <v>0</v>
      </c>
      <c r="R12" s="2">
        <f>VLOOKUP(A12,[16]TONTJUIN24!$A$7:$P$20,10,0)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VLOOKUP(A13,[14]TONTJUIN24!$A$6:$R$39,12,0)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VLOOKUP(A14,[14]TONTJUIN24!$A$6:$R$39,12,0)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VLOOKUP(A15,[14]TONTJUIN24!$A$6:$R$39,12,0)</f>
        <v>0</v>
      </c>
      <c r="Q15" s="2">
        <f>VLOOKUP(A15,[15]TONTJUIN24!$A$7:$P$23,10,0)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VLOOKUP(A16,[14]TONTJUIN24!$A$6:$R$39,12,0)</f>
        <v>0</v>
      </c>
      <c r="Q16" s="2">
        <f>VLOOKUP(A16,[15]TONTJUIN24!$A$7:$P$23,10,0)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VLOOKUP(A17,[14]TONTJUIN24!$A$6:$R$39,12,0)</f>
        <v>0</v>
      </c>
      <c r="Q17" s="2"/>
      <c r="R17" s="2">
        <f>VLOOKUP(A17,[16]TONTJUIN24!$A$7:$P$20,10,0)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VLOOKUP(A18,[14]TONTJUIN24!$A$6:$R$39,12,0)</f>
        <v>0</v>
      </c>
      <c r="Q18" s="2"/>
      <c r="R18" s="2">
        <f>VLOOKUP(A18,[16]TONTJUIN24!$A$7:$P$20,10,0)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6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VLOOKUP(A19,[14]TONTJUIN24!$A$6:$R$39,12,0)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6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VLOOKUP(A20,[14]TONTJUIN24!$A$6:$R$39,12,0)</f>
        <v>0</v>
      </c>
      <c r="Q20" s="2">
        <f>VLOOKUP(A20,[15]TONTJUIN24!$A$7:$P$23,10,0)</f>
        <v>0</v>
      </c>
      <c r="R20" s="2">
        <f>VLOOKUP(A20,[16]TONTJUIN24!$A$7:$P$20,10,0)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VLOOKUP(A21,[14]TONTJUIN24!$A$6:$R$39,12,0)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VLOOKUP(A22,[14]TONTJUIN24!$A$6:$R$39,12,0)</f>
        <v>0</v>
      </c>
      <c r="Q22" s="2">
        <f>VLOOKUP(A22,[15]TONTJUIN24!$A$7:$P$23,10,0)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VLOOKUP(A23,[14]TONTJUIN24!$A$6:$R$39,12,0)</f>
        <v>0</v>
      </c>
      <c r="Q23" s="2"/>
      <c r="R23" s="2">
        <f>VLOOKUP(A23,[16]TONTJUIN24!$A$7:$P$20,10,0)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VLOOKUP(A24,[14]TONTJUIN24!$A$6:$R$39,12,0)</f>
        <v>0</v>
      </c>
      <c r="Q24" s="2">
        <f>VLOOKUP(A24,[15]TONTJUIN24!$A$7:$P$23,10,0)</f>
        <v>0</v>
      </c>
      <c r="R24" s="2">
        <f>VLOOKUP(A24,[16]TONTJUIN24!$A$7:$P$20,10,0)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VLOOKUP(A25,[14]TONTJUIN24!$A$6:$R$39,12,0)</f>
        <v>0</v>
      </c>
      <c r="Q25" s="2">
        <f>VLOOKUP(A25,[15]TONTJUIN24!$A$7:$P$23,10,0)</f>
        <v>0</v>
      </c>
      <c r="R25" s="2">
        <f>VLOOKUP(A25,[16]TONTJUIN24!$A$7:$P$20,10,0)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VLOOKUP(A26,[14]TONTJUIN24!$A$6:$R$39,12,0)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6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VLOOKUP(A27,[14]TONTJUIN24!$A$6:$R$39,12,0)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VLOOKUP(A28,[14]TONTJUIN24!$A$6:$R$39,12,0)</f>
        <v>0</v>
      </c>
      <c r="Q28" s="2">
        <f>VLOOKUP(A28,[15]TONTJUIN24!$A$7:$P$23,10,0)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VLOOKUP(A29,[14]TONTJUIN24!$A$6:$R$39,12,0)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VLOOKUP(A30,[14]TONTJUIN24!$A$6:$R$39,12,0)</f>
        <v>0</v>
      </c>
      <c r="Q30" s="2"/>
      <c r="R30" s="2">
        <f>VLOOKUP(A30,[16]TONTJUIN24!$A$7:$P$20,10,0)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VLOOKUP(A31,[14]TONTJUIN24!$A$6:$R$39,12,0)</f>
        <v>0</v>
      </c>
      <c r="Q31" s="2"/>
      <c r="R31" s="2">
        <f>VLOOKUP(A31,[16]TONTJUIN24!$A$7:$P$20,10,0)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VLOOKUP(A32,[14]TONTJUIN24!$A$6:$R$39,12,0)</f>
        <v>0</v>
      </c>
      <c r="Q32" s="2">
        <f>VLOOKUP(A32,[15]TONTJUIN24!$A$7:$P$23,10,0)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6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VLOOKUP(A33,[14]TONTJUIN24!$A$6:$R$39,12,0)</f>
        <v>0</v>
      </c>
      <c r="Q33" s="2"/>
      <c r="R33" s="2">
        <f>VLOOKUP(A33,[16]TONTJUIN24!$A$7:$P$20,10,0)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VLOOKUP(A34,[14]TONTJUIN24!$A$6:$R$39,12,0)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6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VLOOKUP(A35,[14]TONTJUIN24!$A$6:$R$39,12,0)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6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VLOOKUP(A36,[14]TONTJUIN24!$A$6:$R$39,12,0)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6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VLOOKUP(A37,[14]TONTJUIN24!$A$6:$R$39,12,0)</f>
        <v>0</v>
      </c>
      <c r="Q37" s="2"/>
      <c r="R37" s="2">
        <f>VLOOKUP(A37,[16]TONTJUIN24!$A$7:$P$20,10,0)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6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VLOOKUP(A38,[14]TONTJUIN24!$A$6:$R$39,12,0)</f>
        <v>0</v>
      </c>
      <c r="Q38" s="2">
        <f>VLOOKUP(A38,[15]TONTJUIN24!$A$7:$P$23,10,0)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6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P38" sqref="P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5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VLOOKUP(A7,[14]TONTJUIL24!$A$6:$R$39,12,0)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5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VLOOKUP(A8,[14]TONTJUIL24!$A$6:$R$39,12,0)</f>
        <v>0</v>
      </c>
      <c r="Q8" s="2">
        <f>VLOOKUP(A8,[15]TONTJUIL24!$A$7:$P$23,10,0)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VLOOKUP(A9,[14]TONTJUIL24!$A$6:$R$39,12,0)</f>
        <v>0</v>
      </c>
      <c r="Q9" s="2"/>
      <c r="R9" s="2">
        <f>VLOOKUP(A9,[16]TONTJUIL24!$A$7:$P$20,10,0)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5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VLOOKUP(A10,[14]TONTJUIL24!$A$6:$R$39,12,0)</f>
        <v>0</v>
      </c>
      <c r="Q10" s="2">
        <f>VLOOKUP(A10,[15]TONTJUIL24!$A$7:$P$23,10,0)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VLOOKUP(A11,[14]TONTJUIL24!$A$6:$R$39,12,0)</f>
        <v>0</v>
      </c>
      <c r="Q11" s="2">
        <f>VLOOKUP(A11,[15]TONTJUIL24!$A$7:$P$23,10,0)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VLOOKUP(A12,[14]TONTJUIL24!$A$6:$R$39,12,0)</f>
        <v>0</v>
      </c>
      <c r="Q12" s="2">
        <f>VLOOKUP(A12,[15]TONTJUIL24!$A$7:$P$23,10,0)</f>
        <v>0</v>
      </c>
      <c r="R12" s="2">
        <f>VLOOKUP(A12,[16]TONTJUIL24!$A$7:$P$20,10,0)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VLOOKUP(A13,[14]TONTJUIL24!$A$6:$R$39,12,0)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VLOOKUP(A14,[14]TONTJUIL24!$A$6:$R$39,12,0)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VLOOKUP(A15,[14]TONTJUIL24!$A$6:$R$39,12,0)</f>
        <v>0</v>
      </c>
      <c r="Q15" s="2">
        <f>VLOOKUP(A15,[15]TONTJUIL24!$A$7:$P$23,10,0)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VLOOKUP(A16,[14]TONTJUIL24!$A$6:$R$39,12,0)</f>
        <v>0</v>
      </c>
      <c r="Q16" s="2">
        <f>VLOOKUP(A16,[15]TONTJUIL24!$A$7:$P$23,10,0)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VLOOKUP(A17,[14]TONTJUIL24!$A$6:$R$39,12,0)</f>
        <v>0</v>
      </c>
      <c r="Q17" s="2"/>
      <c r="R17" s="2">
        <f>VLOOKUP(A17,[16]TONTJUIL24!$A$7:$P$20,10,0)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VLOOKUP(A18,[14]TONTJUIL24!$A$6:$R$39,12,0)</f>
        <v>0</v>
      </c>
      <c r="Q18" s="2"/>
      <c r="R18" s="2">
        <f>VLOOKUP(A18,[16]TONTJUIL24!$A$7:$P$20,10,0)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VLOOKUP(A19,[14]TONTJUIL24!$A$6:$R$39,12,0)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5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VLOOKUP(A20,[14]TONTJUIL24!$A$6:$R$39,12,0)</f>
        <v>0</v>
      </c>
      <c r="Q20" s="2">
        <f>VLOOKUP(A20,[15]TONTJUIL24!$A$7:$P$23,10,0)</f>
        <v>0</v>
      </c>
      <c r="R20" s="2">
        <f>VLOOKUP(A20,[16]TONTJUIL24!$A$7:$P$20,10,0)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VLOOKUP(A21,[14]TONTJUIL24!$A$6:$R$39,12,0)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VLOOKUP(A22,[14]TONTJUIL24!$A$6:$R$39,12,0)</f>
        <v>0</v>
      </c>
      <c r="Q22" s="2">
        <f>VLOOKUP(A22,[15]TONTJUIL24!$A$7:$P$23,10,0)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VLOOKUP(A23,[14]TONTJUIL24!$A$6:$R$39,12,0)</f>
        <v>0</v>
      </c>
      <c r="Q23" s="2"/>
      <c r="R23" s="2">
        <f>VLOOKUP(A23,[16]TONTJUIL24!$A$7:$P$20,10,0)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5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VLOOKUP(A24,[14]TONTJUIL24!$A$6:$R$39,12,0)</f>
        <v>0</v>
      </c>
      <c r="Q24" s="2">
        <f>VLOOKUP(A24,[15]TONTJUIL24!$A$7:$P$23,10,0)</f>
        <v>0</v>
      </c>
      <c r="R24" s="2">
        <f>VLOOKUP(A24,[16]TONTJUIL24!$A$7:$P$20,10,0)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VLOOKUP(A25,[14]TONTJUIL24!$A$6:$R$39,12,0)</f>
        <v>0</v>
      </c>
      <c r="Q25" s="2">
        <f>VLOOKUP(A25,[15]TONTJUIL24!$A$7:$P$23,10,0)</f>
        <v>0</v>
      </c>
      <c r="R25" s="2">
        <f>VLOOKUP(A25,[16]TONTJUIL24!$A$7:$P$20,10,0)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VLOOKUP(A26,[14]TONTJUIL24!$A$6:$R$39,12,0)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5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VLOOKUP(A27,[14]TONTJUIL24!$A$6:$R$39,12,0)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VLOOKUP(A28,[14]TONTJUIL24!$A$6:$R$39,12,0)</f>
        <v>0</v>
      </c>
      <c r="Q28" s="2">
        <f>VLOOKUP(A28,[15]TONTJUIL24!$A$7:$P$23,10,0)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VLOOKUP(A29,[14]TONTJUIL24!$A$6:$R$39,12,0)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VLOOKUP(A30,[14]TONTJUIL24!$A$6:$R$39,12,0)</f>
        <v>0</v>
      </c>
      <c r="Q30" s="2"/>
      <c r="R30" s="2">
        <f>VLOOKUP(A30,[16]TONTJUIL24!$A$7:$P$20,10,0)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VLOOKUP(A31,[14]TONTJUIL24!$A$6:$R$39,12,0)</f>
        <v>0</v>
      </c>
      <c r="Q31" s="2"/>
      <c r="R31" s="2">
        <f>VLOOKUP(A31,[16]TONTJUIL24!$A$7:$P$20,10,0)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VLOOKUP(A32,[14]TONTJUIL24!$A$6:$R$39,12,0)</f>
        <v>0</v>
      </c>
      <c r="Q32" s="2">
        <f>VLOOKUP(A32,[15]TONTJUIL24!$A$7:$P$23,10,0)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5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VLOOKUP(A33,[14]TONTJUIL24!$A$6:$R$39,12,0)</f>
        <v>0</v>
      </c>
      <c r="Q33" s="2"/>
      <c r="R33" s="2">
        <f>VLOOKUP(A33,[16]TONTJUIL24!$A$7:$P$20,10,0)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VLOOKUP(A34,[14]TONTJUIL24!$A$6:$R$39,12,0)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5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VLOOKUP(A35,[14]TONTJUIL24!$A$6:$R$39,12,0)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5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VLOOKUP(A36,[14]TONTJUIL24!$A$6:$R$39,12,0)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5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VLOOKUP(A37,[14]TONTJUIL24!$A$6:$R$39,12,0)</f>
        <v>0</v>
      </c>
      <c r="Q37" s="2"/>
      <c r="R37" s="2">
        <f>VLOOKUP(A37,[16]TONTJUIL24!$A$7:$P$20,10,0)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5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VLOOKUP(A38,[14]TONTJUIL24!$A$6:$R$39,12,0)</f>
        <v>0</v>
      </c>
      <c r="Q38" s="2">
        <f>VLOOKUP(A38,[15]TONTJUIL24!$A$7:$P$23,10,0)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5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4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VLOOKUP(A7,[14]TONTAOUT24!$A$6:$R$39,12,0)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VLOOKUP(A8,[14]TONTAOUT24!$A$6:$R$39,12,0)</f>
        <v>0</v>
      </c>
      <c r="Q8" s="2">
        <f>VLOOKUP(A8,[15]TONTAOUT24!$A$7:$P$23,10,0)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VLOOKUP(A9,[14]TONTAOUT24!$A$6:$R$39,12,0)</f>
        <v>0</v>
      </c>
      <c r="Q9" s="2"/>
      <c r="R9" s="2">
        <f>VLOOKUP(A9,[16]TONTAOUT24!$A$7:$P$20,10,0)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VLOOKUP(A10,[14]TONTAOUT24!$A$6:$R$39,12,0)</f>
        <v>0</v>
      </c>
      <c r="Q10" s="2">
        <f>VLOOKUP(A10,[15]TONTAOUT24!$A$7:$P$23,10,0)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VLOOKUP(A11,[14]TONTAOUT24!$A$6:$R$39,12,0)</f>
        <v>0</v>
      </c>
      <c r="Q11" s="2">
        <f>VLOOKUP(A11,[15]TONTAOUT24!$A$7:$P$23,10,0)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VLOOKUP(A12,[14]TONTAOUT24!$A$6:$R$39,12,0)</f>
        <v>0</v>
      </c>
      <c r="Q12" s="2">
        <f>VLOOKUP(A12,[15]TONTAOUT24!$A$7:$P$23,10,0)</f>
        <v>0</v>
      </c>
      <c r="R12" s="2">
        <f>VLOOKUP(A12,[16]TONTAOUT24!$A$7:$P$20,10,0)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VLOOKUP(A13,[14]TONTAOUT24!$A$6:$R$39,12,0)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VLOOKUP(A14,[14]TONTAOUT24!$A$6:$R$39,12,0)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VLOOKUP(A15,[14]TONTAOUT24!$A$6:$R$39,12,0)</f>
        <v>0</v>
      </c>
      <c r="Q15" s="2">
        <f>VLOOKUP(A15,[15]TONTAOUT24!$A$7:$P$23,10,0)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VLOOKUP(A16,[14]TONTAOUT24!$A$6:$R$39,12,0)</f>
        <v>0</v>
      </c>
      <c r="Q16" s="2">
        <f>VLOOKUP(A16,[15]TONTAOUT24!$A$7:$P$23,10,0)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VLOOKUP(A17,[14]TONTAOUT24!$A$6:$R$39,12,0)</f>
        <v>0</v>
      </c>
      <c r="Q17" s="2"/>
      <c r="R17" s="2">
        <f>VLOOKUP(A17,[16]TONTAOUT24!$A$7:$P$20,10,0)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VLOOKUP(A18,[14]TONTAOUT24!$A$6:$R$39,12,0)</f>
        <v>0</v>
      </c>
      <c r="Q18" s="2"/>
      <c r="R18" s="2">
        <f>VLOOKUP(A18,[16]TONTAOUT24!$A$7:$P$20,10,0)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VLOOKUP(A19,[14]TONTAOUT24!$A$6:$R$39,12,0)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VLOOKUP(A20,[14]TONTAOUT24!$A$6:$R$39,12,0)</f>
        <v>0</v>
      </c>
      <c r="Q20" s="2">
        <f>VLOOKUP(A20,[15]TONTAOUT24!$A$7:$P$23,10,0)</f>
        <v>0</v>
      </c>
      <c r="R20" s="2">
        <f>VLOOKUP(A20,[16]TONTAOUT24!$A$7:$P$20,10,0)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VLOOKUP(A21,[14]TONTAOUT24!$A$6:$R$39,12,0)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VLOOKUP(A22,[14]TONTAOUT24!$A$6:$R$39,12,0)</f>
        <v>0</v>
      </c>
      <c r="Q22" s="2">
        <f>VLOOKUP(A22,[15]TONTAOUT24!$A$7:$P$23,10,0)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VLOOKUP(A23,[14]TONTAOUT24!$A$6:$R$39,12,0)</f>
        <v>0</v>
      </c>
      <c r="Q23" s="2"/>
      <c r="R23" s="2">
        <f>VLOOKUP(A23,[16]TONTAOUT24!$A$7:$P$20,10,0)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VLOOKUP(A24,[14]TONTAOUT24!$A$6:$R$39,12,0)</f>
        <v>0</v>
      </c>
      <c r="Q24" s="2">
        <f>VLOOKUP(A24,[15]TONTAOUT24!$A$7:$P$23,10,0)</f>
        <v>0</v>
      </c>
      <c r="R24" s="2">
        <f>VLOOKUP(A24,[16]TONTAOUT24!$A$7:$P$20,10,0)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VLOOKUP(A25,[14]TONTAOUT24!$A$6:$R$39,12,0)</f>
        <v>0</v>
      </c>
      <c r="Q25" s="2">
        <f>VLOOKUP(A25,[15]TONTAOUT24!$A$7:$P$23,10,0)</f>
        <v>0</v>
      </c>
      <c r="R25" s="2">
        <f>VLOOKUP(A25,[16]TONTAOUT24!$A$7:$P$20,10,0)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VLOOKUP(A26,[14]TONTAOUT24!$A$6:$R$39,12,0)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VLOOKUP(A27,[14]TONTAOUT24!$A$6:$R$39,12,0)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VLOOKUP(A28,[14]TONTAOUT24!$A$6:$R$39,12,0)</f>
        <v>0</v>
      </c>
      <c r="Q28" s="2">
        <f>VLOOKUP(A28,[15]TONTAOUT24!$A$7:$P$23,10,0)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VLOOKUP(A29,[14]TONTAOUT24!$A$6:$R$39,12,0)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VLOOKUP(A30,[14]TONTAOUT24!$A$6:$R$39,12,0)</f>
        <v>0</v>
      </c>
      <c r="Q30" s="2"/>
      <c r="R30" s="2">
        <f>VLOOKUP(A30,[16]TONTAOUT24!$A$7:$P$20,10,0)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VLOOKUP(A31,[14]TONTAOUT24!$A$6:$R$39,12,0)</f>
        <v>0</v>
      </c>
      <c r="Q31" s="2"/>
      <c r="R31" s="2">
        <f>VLOOKUP(A31,[16]TONTAOUT24!$A$7:$P$20,10,0)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VLOOKUP(A32,[14]TONTAOUT24!$A$6:$R$39,12,0)</f>
        <v>0</v>
      </c>
      <c r="Q32" s="2">
        <f>VLOOKUP(A32,[15]TONTAOUT24!$A$7:$P$23,10,0)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VLOOKUP(A33,[14]TONTAOUT24!$A$6:$R$39,12,0)</f>
        <v>0</v>
      </c>
      <c r="Q33" s="2"/>
      <c r="R33" s="2">
        <f>VLOOKUP(A33,[16]TONTAOUT24!$A$7:$P$20,10,0)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VLOOKUP(A34,[14]TONTAOUT24!$A$6:$R$39,12,0)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VLOOKUP(A35,[14]TONTAOUT24!$A$6:$R$39,12,0)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VLOOKUP(A36,[14]TONTAOUT24!$A$6:$R$39,12,0)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VLOOKUP(A37,[14]TONTAOUT24!$A$6:$R$39,12,0)</f>
        <v>0</v>
      </c>
      <c r="Q37" s="2"/>
      <c r="R37" s="2">
        <f>VLOOKUP(A37,[16]TONTAOUT24!$A$7:$P$20,10,0)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VLOOKUP(A38,[14]TONTAOUT24!$A$6:$R$39,12,0)</f>
        <v>0</v>
      </c>
      <c r="Q38" s="2">
        <f>VLOOKUP(A38,[15]TONTAOUT24!$A$7:$P$23,10,0)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VLOOKUP(A6,[18]HISTOBQUEAOUT23!$A$6:$G$44,3,0)</f>
        <v>175000</v>
      </c>
      <c r="E6" s="9">
        <f>VLOOKUP(A6,[18]HISTOBQUEAOUT23!$A$6:$G$39,4,0)</f>
        <v>0</v>
      </c>
      <c r="F6" s="9">
        <f>VLOOKUP(A6,[18]HISTOBQUEAOUT23!$A$6:$G$39,5,0)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VLOOKUP(A7,[18]HISTOBQUEAOUT23!$A$6:$G$44,3,0)</f>
        <v>40000</v>
      </c>
      <c r="E7" s="9">
        <f>VLOOKUP(A7,[18]HISTOBQUEAOUT23!$A$6:$G$39,4,0)</f>
        <v>0</v>
      </c>
      <c r="F7" s="9">
        <f>VLOOKUP(A7,[18]HISTOBQUEAOUT23!$A$6:$G$39,5,0)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VLOOKUP(A8,[18]HISTOBQUEAOUT23!$A$6:$G$44,3,0)</f>
        <v>115000</v>
      </c>
      <c r="E8" s="9">
        <f>VLOOKUP(A8,[18]HISTOBQUEAOUT23!$A$6:$G$39,4,0)</f>
        <v>0</v>
      </c>
      <c r="F8" s="9">
        <f>VLOOKUP(A8,[18]HISTOBQUEAOUT23!$A$6:$G$39,5,0)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75" x14ac:dyDescent="0.3">
      <c r="A9" s="73" t="s">
        <v>13</v>
      </c>
      <c r="B9" s="73" t="str">
        <f>VLOOKUP(A9,[17]LISTADHERENT!A$5:H$39,3,0)</f>
        <v xml:space="preserve">DJOMO JEAN PAUL </v>
      </c>
      <c r="C9" s="14">
        <f t="shared" si="0"/>
        <v>0</v>
      </c>
      <c r="D9" s="14">
        <f>VLOOKUP(A9,[18]HISTOBQUEAOUT23!$A$6:$G$44,3,0)</f>
        <v>140000</v>
      </c>
      <c r="E9" s="14">
        <f>VLOOKUP(A9,[18]HISTOBQUEAOUT23!$A$6:$G$39,4,0)</f>
        <v>202000</v>
      </c>
      <c r="F9" s="14">
        <f>VLOOKUP(A9,[18]HISTOBQUEAOUT23!$A$6:$G$39,5,0)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VLOOKUP(A10,[18]HISTOBQUEAOUT23!$A$6:$G$44,3,0)</f>
        <v>0</v>
      </c>
      <c r="E10" s="9">
        <f>VLOOKUP(A10,[18]HISTOBQUEAOUT23!$A$6:$G$39,4,0)</f>
        <v>43000</v>
      </c>
      <c r="F10" s="9">
        <f>VLOOKUP(A10,[18]HISTOBQUEAOUT23!$A$6:$G$39,5,0)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VLOOKUP(A11,[18]HISTOBQUEAOUT23!$A$6:$G$44,3,0)</f>
        <v>115000</v>
      </c>
      <c r="E11" s="9">
        <f>VLOOKUP(A11,[18]HISTOBQUEAOUT23!$A$6:$G$39,4,0)</f>
        <v>0</v>
      </c>
      <c r="F11" s="9">
        <f>VLOOKUP(A11,[18]HISTOBQUEAOUT23!$A$6:$G$39,5,0)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VLOOKUP(A12,[18]HISTOBQUEAOUT23!$A$6:$G$44,3,0)</f>
        <v>320000</v>
      </c>
      <c r="E12" s="9">
        <f>VLOOKUP(A12,[18]HISTOBQUEAOUT23!$A$6:$G$39,4,0)</f>
        <v>0</v>
      </c>
      <c r="F12" s="9">
        <f>VLOOKUP(A12,[18]HISTOBQUEAOUT23!$A$6:$G$39,5,0)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VLOOKUP($A12,[13]TONTAOUT23!$A$6:$P$20,10,0)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VLOOKUP(A13,[18]HISTOBQUEAOUT23!$A$6:$G$44,3,0)</f>
        <v>40000</v>
      </c>
      <c r="E13" s="9">
        <f>VLOOKUP(A13,[18]HISTOBQUEAOUT23!$A$6:$G$39,4,0)</f>
        <v>0</v>
      </c>
      <c r="F13" s="9">
        <f>VLOOKUP(A13,[18]HISTOBQUEAOUT23!$A$6:$G$39,5,0)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VLOOKUP(A14,[18]HISTOBQUEAOUT23!$A$6:$G$44,3,0)</f>
        <v>40000</v>
      </c>
      <c r="E14" s="9">
        <f>VLOOKUP(A14,[18]HISTOBQUEAOUT23!$A$6:$G$39,4,0)</f>
        <v>0</v>
      </c>
      <c r="F14" s="9">
        <f>VLOOKUP(A14,[18]HISTOBQUEAOUT23!$A$6:$G$39,5,0)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VLOOKUP(A15,[18]HISTOBQUEAOUT23!$A$6:$G$44,3,0)</f>
        <v>115000</v>
      </c>
      <c r="E15" s="9">
        <f>VLOOKUP(A15,[18]HISTOBQUEAOUT23!$A$6:$G$39,4,0)</f>
        <v>0</v>
      </c>
      <c r="F15" s="9">
        <f>VLOOKUP(A15,[18]HISTOBQUEAOUT23!$A$6:$G$39,5,0)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VLOOKUP(A16,[18]HISTOBQUEAOUT23!$A$6:$G$44,3,0)</f>
        <v>250000</v>
      </c>
      <c r="E16" s="9">
        <f>VLOOKUP(A16,[18]HISTOBQUEAOUT23!$A$6:$G$39,4,0)</f>
        <v>0</v>
      </c>
      <c r="F16" s="9">
        <f>VLOOKUP(A16,[18]HISTOBQUEAOUT23!$A$6:$G$39,5,0)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VLOOKUP($A16,[13]TONTAOUT23!$A$6:$P$20,10,0)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VLOOKUP(A17,[18]HISTOBQUEAOUT23!$A$6:$G$44,3,0)</f>
        <v>241000</v>
      </c>
      <c r="E17" s="9">
        <f>VLOOKUP(A17,[18]HISTOBQUEAOUT23!$A$6:$G$39,4,0)</f>
        <v>0</v>
      </c>
      <c r="F17" s="9">
        <f>VLOOKUP(A17,[18]HISTOBQUEAOUT23!$A$6:$G$39,5,0)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VLOOKUP(A18,[18]HISTOBQUEAOUT23!$A$6:$G$44,3,0)</f>
        <v>215000</v>
      </c>
      <c r="E18" s="9">
        <f>VLOOKUP(A18,[18]HISTOBQUEAOUT23!$A$6:$G$39,4,0)</f>
        <v>0</v>
      </c>
      <c r="F18" s="9">
        <f>VLOOKUP(A18,[18]HISTOBQUEAOUT23!$A$6:$G$39,5,0)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VLOOKUP($A18,[13]TONTAOUT23!$A$6:$P$20,10,0)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VLOOKUP(A19,[18]HISTOBQUEAOUT23!$A$6:$G$44,3,0)</f>
        <v>340000</v>
      </c>
      <c r="E19" s="9">
        <f>VLOOKUP(A19,[18]HISTOBQUEAOUT23!$A$6:$G$39,4,0)</f>
        <v>0</v>
      </c>
      <c r="F19" s="9">
        <f>VLOOKUP(A19,[18]HISTOBQUEAOUT23!$A$6:$G$39,5,0)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VLOOKUP(A20,[18]HISTOBQUEAOUT23!$A$6:$G$44,3,0)</f>
        <v>586500</v>
      </c>
      <c r="E20" s="9">
        <f>VLOOKUP(A20,[18]HISTOBQUEAOUT23!$A$6:$G$39,4,0)</f>
        <v>0</v>
      </c>
      <c r="F20" s="9">
        <f>VLOOKUP(A20,[18]HISTOBQUEAOUT23!$A$6:$G$39,5,0)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VLOOKUP($A20,[13]TONTAOUT23!$A$6:$P$20,10,0)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VLOOKUP(A21,[18]HISTOBQUEAOUT23!$A$6:$G$44,3,0)</f>
        <v>40000</v>
      </c>
      <c r="E21" s="9">
        <f>VLOOKUP(A21,[18]HISTOBQUEAOUT23!$A$6:$G$39,4,0)</f>
        <v>0</v>
      </c>
      <c r="F21" s="9">
        <f>VLOOKUP(A21,[18]HISTOBQUEAOUT23!$A$6:$G$39,5,0)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VLOOKUP(A22,[18]HISTOBQUEAOUT23!$A$6:$G$44,3,0)</f>
        <v>115000</v>
      </c>
      <c r="E22" s="9">
        <f>VLOOKUP(A22,[18]HISTOBQUEAOUT23!$A$6:$G$39,4,0)</f>
        <v>0</v>
      </c>
      <c r="F22" s="9">
        <f>VLOOKUP(A22,[18]HISTOBQUEAOUT23!$A$6:$G$39,5,0)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69">
        <f t="shared" si="0"/>
        <v>-576000</v>
      </c>
      <c r="D23" s="9">
        <f>VLOOKUP(A23,[18]HISTOBQUEAOUT23!$A$6:$G$44,3,0)</f>
        <v>270000</v>
      </c>
      <c r="E23" s="9">
        <f>VLOOKUP(A23,[18]HISTOBQUEAOUT23!$A$6:$G$39,4,0)</f>
        <v>0</v>
      </c>
      <c r="F23" s="9">
        <f>VLOOKUP(A23,[18]HISTOBQUEAOUT23!$A$6:$G$39,5,0)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69">
        <f t="shared" si="0"/>
        <v>-230000</v>
      </c>
      <c r="D24" s="9">
        <f>VLOOKUP(A24,[18]HISTOBQUEAOUT23!$A$6:$G$44,3,0)</f>
        <v>320000</v>
      </c>
      <c r="E24" s="9">
        <f>VLOOKUP(A24,[18]HISTOBQUEAOUT23!$A$6:$G$39,4,0)</f>
        <v>0</v>
      </c>
      <c r="F24" s="9">
        <f>VLOOKUP(A24,[18]HISTOBQUEAOUT23!$A$6:$G$39,5,0)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VLOOKUP($A24,[13]TONTAOUT23!$A$6:$P$20,10,0)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VLOOKUP(A25,[18]HISTOBQUEAOUT23!$A$6:$G$44,3,0)</f>
        <v>400000</v>
      </c>
      <c r="E25" s="9">
        <f>VLOOKUP(A25,[18]HISTOBQUEAOUT23!$A$6:$G$39,4,0)</f>
        <v>0</v>
      </c>
      <c r="F25" s="9">
        <f>VLOOKUP(A25,[18]HISTOBQUEAOUT23!$A$6:$G$39,5,0)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VLOOKUP($A25,[13]TONTAOUT23!$A$6:$P$20,10,0)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69">
        <f t="shared" si="0"/>
        <v>-1000000</v>
      </c>
      <c r="D26" s="9">
        <f>VLOOKUP(A26,[18]HISTOBQUEAOUT23!$A$6:$G$44,3,0)-76000</f>
        <v>40000</v>
      </c>
      <c r="E26" s="9">
        <f>VLOOKUP(A26,[18]HISTOBQUEAOUT23!$A$6:$G$39,4,0)</f>
        <v>0</v>
      </c>
      <c r="F26" s="9">
        <f>VLOOKUP(A26,[18]HISTOBQUEAOUT23!$A$6:$G$39,5,0)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VLOOKUP(A27,[18]HISTOBQUEAOUT23!$A$6:$G$44,3,0)</f>
        <v>50000</v>
      </c>
      <c r="E27" s="9">
        <f>VLOOKUP(A27,[18]HISTOBQUEAOUT23!$A$6:$G$39,4,0)</f>
        <v>0</v>
      </c>
      <c r="F27" s="9">
        <f>VLOOKUP(A27,[18]HISTOBQUEAOUT23!$A$6:$G$39,5,0)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VLOOKUP(A28,[18]HISTOBQUEAOUT23!$A$6:$G$44,3,0)</f>
        <v>115000</v>
      </c>
      <c r="E28" s="9">
        <f>VLOOKUP(A28,[18]HISTOBQUEAOUT23!$A$6:$G$39,4,0)</f>
        <v>0</v>
      </c>
      <c r="F28" s="9">
        <f>VLOOKUP(A28,[18]HISTOBQUEAOUT23!$A$6:$G$39,5,0)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VLOOKUP(A29,[18]HISTOBQUEAOUT23!$A$6:$G$44,3,0)</f>
        <v>40000</v>
      </c>
      <c r="E29" s="9">
        <f>VLOOKUP(A29,[18]HISTOBQUEAOUT23!$A$6:$G$39,4,0)</f>
        <v>0</v>
      </c>
      <c r="F29" s="9">
        <f>VLOOKUP(A29,[18]HISTOBQUEAOUT23!$A$6:$G$39,5,0)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VLOOKUP(A30,[18]HISTOBQUEAOUT23!$A$6:$G$44,3,0)</f>
        <v>115000</v>
      </c>
      <c r="E30" s="9">
        <f>VLOOKUP(A30,[18]HISTOBQUEAOUT23!$A$6:$G$39,4,0)</f>
        <v>0</v>
      </c>
      <c r="F30" s="9">
        <f>VLOOKUP(A30,[18]HISTOBQUEAOUT23!$A$6:$G$39,5,0)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VLOOKUP(A31,[18]HISTOBQUEAOUT23!$A$6:$G$44,3,0)</f>
        <v>140000</v>
      </c>
      <c r="E31" s="9">
        <f>VLOOKUP(A31,[18]HISTOBQUEAOUT23!$A$6:$G$39,4,0)</f>
        <v>0</v>
      </c>
      <c r="F31" s="9">
        <f>VLOOKUP(A31,[18]HISTOBQUEAOUT23!$A$6:$G$39,5,0)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VLOOKUP(A32,[18]HISTOBQUEAOUT23!$A$6:$G$44,3,0)+76000</f>
        <v>441000</v>
      </c>
      <c r="E32" s="14">
        <f>VLOOKUP(A32,[18]HISTOBQUEAOUT23!$A$6:$G$39,4,0)</f>
        <v>0</v>
      </c>
      <c r="F32" s="14">
        <f>VLOOKUP(A32,[18]HISTOBQUEAOUT23!$A$6:$G$39,5,0)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VLOOKUP(A33,[18]HISTOBQUEAOUT23!$A$6:$G$44,3,0)+40000</f>
        <v>40000</v>
      </c>
      <c r="E33" s="9">
        <f>VLOOKUP(A33,[18]HISTOBQUEAOUT23!$A$6:$G$39,4,0)</f>
        <v>0</v>
      </c>
      <c r="F33" s="9">
        <f>VLOOKUP(A33,[18]HISTOBQUEAOUT23!$A$6:$G$39,5,0)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VLOOKUP(A34,[18]HISTOBQUEAOUT23!$A$6:$G$44,3,0)</f>
        <v>100000</v>
      </c>
      <c r="E34" s="9">
        <f>VLOOKUP(A34,[18]HISTOBQUEAOUT23!$A$6:$G$39,4,0)</f>
        <v>0</v>
      </c>
      <c r="F34" s="9">
        <f>VLOOKUP(A34,[18]HISTOBQUEAOUT23!$A$6:$G$39,5,0)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VLOOKUP(A35,[18]HISTOBQUEAOUT23!$A$6:$G$44,3,0)</f>
        <v>40000</v>
      </c>
      <c r="E35" s="9">
        <f>VLOOKUP(A35,[18]HISTOBQUEAOUT23!$A$6:$G$39,4,0)</f>
        <v>0</v>
      </c>
      <c r="F35" s="9">
        <f>VLOOKUP(A35,[18]HISTOBQUEAOUT23!$A$6:$G$39,5,0)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VLOOKUP(A36,[18]HISTOBQUEAOUT23!$A$6:$G$44,3,0)</f>
        <v>290000</v>
      </c>
      <c r="E36" s="9">
        <f>VLOOKUP(A36,[18]HISTOBQUEAOUT23!$A$6:$G$39,4,0)</f>
        <v>0</v>
      </c>
      <c r="F36" s="9">
        <f>VLOOKUP(A36,[18]HISTOBQUEAOUT23!$A$6:$G$39,5,0)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VLOOKUP($A36,[13]TONTAOUT23!$A$6:$P$20,10,0)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75" x14ac:dyDescent="0.3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