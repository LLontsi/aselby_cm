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4\"/>
    </mc:Choice>
  </mc:AlternateContent>
  <bookViews>
    <workbookView xWindow="0" yWindow="0" windowWidth="20490" windowHeight="7095" firstSheet="4" activeTab="7"/>
  </bookViews>
  <sheets>
    <sheet name="MODEVERSEMENT" sheetId="2" r:id="rId1"/>
    <sheet name="HISTOMVTDEPENSE" sheetId="14" r:id="rId2"/>
    <sheet name="COMPTE BANQUE" sheetId="13" r:id="rId3"/>
    <sheet name="HISTODEC22" sheetId="44" r:id="rId4"/>
    <sheet name="HISTOJANV24" sheetId="45" r:id="rId5"/>
    <sheet name="HISTOFEV24" sheetId="46" r:id="rId6"/>
    <sheet name="HISTOMARS24" sheetId="47" r:id="rId7"/>
    <sheet name="HISTOAVRIL24" sheetId="48" r:id="rId8"/>
    <sheet name="HISTOMAI24" sheetId="49" r:id="rId9"/>
    <sheet name="HISTOJUIN24" sheetId="50" r:id="rId10"/>
    <sheet name="HISTOJUIL24" sheetId="51" r:id="rId11"/>
    <sheet name="HISTOAOUT24" sheetId="52" r:id="rId12"/>
    <sheet name="HISTOSEPT24" sheetId="53" r:id="rId13"/>
    <sheet name="HISTOOCT24" sheetId="54" r:id="rId14"/>
    <sheet name="HISTONOV24" sheetId="55" r:id="rId15"/>
    <sheet name="HISTODEC24" sheetId="56" r:id="rId16"/>
    <sheet name="HISTORESUME24" sheetId="57" r:id="rId17"/>
    <sheet name="HISTOJANV23" sheetId="31" r:id="rId18"/>
    <sheet name="HISTOFEV23" sheetId="32" r:id="rId19"/>
    <sheet name="HISTOMARS23" sheetId="33" r:id="rId20"/>
    <sheet name="HISTOAVRIL23" sheetId="34" r:id="rId21"/>
    <sheet name="HISTOMAI23" sheetId="37" r:id="rId22"/>
    <sheet name="HISTOJUIN23" sheetId="38" r:id="rId23"/>
    <sheet name="HISTOJUIL23" sheetId="39" r:id="rId24"/>
    <sheet name="HISTOAOUT23" sheetId="40" r:id="rId25"/>
    <sheet name="HISTOSEPT23" sheetId="35" r:id="rId26"/>
    <sheet name="HISTOOCT23" sheetId="36" r:id="rId27"/>
    <sheet name="HISTONOV23" sheetId="41" r:id="rId28"/>
    <sheet name="HISTODEC23" sheetId="42" r:id="rId29"/>
    <sheet name="HISTORESUME23" sheetId="43" r:id="rId30"/>
    <sheet name="DETAILSORTIE" sheetId="29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xlnm._FilterDatabase" localSheetId="24" hidden="1">HISTOAOUT23!$A$5:$AF$36</definedName>
    <definedName name="_xlnm._FilterDatabase" localSheetId="11" hidden="1">HISTOAOUT24!$A$5:$AF$38</definedName>
    <definedName name="_xlnm._FilterDatabase" localSheetId="20" hidden="1">HISTOAVRIL23!$A$5:$AF$36</definedName>
    <definedName name="_xlnm._FilterDatabase" localSheetId="7" hidden="1">HISTOAVRIL24!$A$5:$AF$38</definedName>
    <definedName name="_xlnm._FilterDatabase" localSheetId="3" hidden="1">HISTODEC22!$A$5:$AF$36</definedName>
    <definedName name="_xlnm._FilterDatabase" localSheetId="28" hidden="1">HISTODEC23!$A$5:$AF$36</definedName>
    <definedName name="_xlnm._FilterDatabase" localSheetId="15" hidden="1">HISTODEC24!$A$5:$AF$38</definedName>
    <definedName name="_xlnm._FilterDatabase" localSheetId="18" hidden="1">HISTOFEV23!$A$5:$AF$36</definedName>
    <definedName name="_xlnm._FilterDatabase" localSheetId="5" hidden="1">HISTOFEV24!$A$5:$AF$38</definedName>
    <definedName name="_xlnm._FilterDatabase" localSheetId="17" hidden="1">HISTOJANV23!$A$5:$AF$36</definedName>
    <definedName name="_xlnm._FilterDatabase" localSheetId="4" hidden="1">HISTOJANV24!$A$5:$AF$38</definedName>
    <definedName name="_xlnm._FilterDatabase" localSheetId="23" hidden="1">HISTOJUIL23!$A$5:$AF$36</definedName>
    <definedName name="_xlnm._FilterDatabase" localSheetId="10" hidden="1">HISTOJUIL24!$A$5:$AF$38</definedName>
    <definedName name="_xlnm._FilterDatabase" localSheetId="22" hidden="1">HISTOJUIN23!$A$5:$AF$36</definedName>
    <definedName name="_xlnm._FilterDatabase" localSheetId="9" hidden="1">HISTOJUIN24!$A$5:$AF$38</definedName>
    <definedName name="_xlnm._FilterDatabase" localSheetId="21" hidden="1">HISTOMAI23!$A$5:$AF$36</definedName>
    <definedName name="_xlnm._FilterDatabase" localSheetId="8" hidden="1">HISTOMAI24!$A$5:$AF$38</definedName>
    <definedName name="_xlnm._FilterDatabase" localSheetId="19" hidden="1">HISTOMARS23!$A$5:$AF$36</definedName>
    <definedName name="_xlnm._FilterDatabase" localSheetId="6" hidden="1">HISTOMARS24!$A$5:$AF$38</definedName>
    <definedName name="_xlnm._FilterDatabase" localSheetId="1" hidden="1">HISTOMVTDEPENSE!$A$5:$AG$37</definedName>
    <definedName name="_xlnm._FilterDatabase" localSheetId="27" hidden="1">HISTONOV23!$A$5:$AF$36</definedName>
    <definedName name="_xlnm._FilterDatabase" localSheetId="14" hidden="1">HISTONOV24!$A$5:$AF$38</definedName>
    <definedName name="_xlnm._FilterDatabase" localSheetId="26" hidden="1">HISTOOCT23!$A$5:$AF$36</definedName>
    <definedName name="_xlnm._FilterDatabase" localSheetId="13" hidden="1">HISTOOCT24!$A$5:$AF$38</definedName>
    <definedName name="_xlnm._FilterDatabase" localSheetId="29" hidden="1">HISTORESUME23!$A$5:$AF$36</definedName>
    <definedName name="_xlnm._FilterDatabase" localSheetId="16" hidden="1">HISTORESUME24!$A$5:$AF$38</definedName>
    <definedName name="_xlnm._FilterDatabase" localSheetId="25" hidden="1">HISTOSEPT23!$A$5:$AF$36</definedName>
    <definedName name="_xlnm._FilterDatabase" localSheetId="12" hidden="1">HISTOSEPT24!$A$5:$AF$38</definedName>
    <definedName name="BANQUE" localSheetId="2">#REF!</definedName>
    <definedName name="BANQUE" localSheetId="24">#REF!</definedName>
    <definedName name="BANQUE" localSheetId="11">#REF!</definedName>
    <definedName name="BANQUE" localSheetId="20">#REF!</definedName>
    <definedName name="BANQUE" localSheetId="7">#REF!</definedName>
    <definedName name="BANQUE" localSheetId="3">#REF!</definedName>
    <definedName name="BANQUE" localSheetId="28">#REF!</definedName>
    <definedName name="BANQUE" localSheetId="15">#REF!</definedName>
    <definedName name="BANQUE" localSheetId="18">#REF!</definedName>
    <definedName name="BANQUE" localSheetId="5">#REF!</definedName>
    <definedName name="BANQUE" localSheetId="17">#REF!</definedName>
    <definedName name="BANQUE" localSheetId="4">#REF!</definedName>
    <definedName name="BANQUE" localSheetId="23">#REF!</definedName>
    <definedName name="BANQUE" localSheetId="10">#REF!</definedName>
    <definedName name="BANQUE" localSheetId="22">#REF!</definedName>
    <definedName name="BANQUE" localSheetId="9">#REF!</definedName>
    <definedName name="BANQUE" localSheetId="21">#REF!</definedName>
    <definedName name="BANQUE" localSheetId="8">#REF!</definedName>
    <definedName name="BANQUE" localSheetId="19">#REF!</definedName>
    <definedName name="BANQUE" localSheetId="6">#REF!</definedName>
    <definedName name="BANQUE" localSheetId="1">#REF!</definedName>
    <definedName name="BANQUE" localSheetId="27">#REF!</definedName>
    <definedName name="BANQUE" localSheetId="14">#REF!</definedName>
    <definedName name="BANQUE" localSheetId="26">#REF!</definedName>
    <definedName name="BANQUE" localSheetId="13">#REF!</definedName>
    <definedName name="BANQUE" localSheetId="29">#REF!</definedName>
    <definedName name="BANQUE" localSheetId="16">#REF!</definedName>
    <definedName name="BANQUE" localSheetId="25">#REF!</definedName>
    <definedName name="BANQUE" localSheetId="12">#REF!</definedName>
    <definedName name="BANQUE" localSheetId="0">#REF!</definedName>
    <definedName name="BANQUE">#REF!</definedName>
    <definedName name="MODEPAID">[1]Feuil2!$A$1:$A$3</definedName>
    <definedName name="MODET25000">[2]MODEVERSEMENT!$A$1:$A$3</definedName>
    <definedName name="MODEVERSEMENT" localSheetId="2">#REF!</definedName>
    <definedName name="MODEVERSEMENT" localSheetId="24">#REF!</definedName>
    <definedName name="MODEVERSEMENT" localSheetId="11">#REF!</definedName>
    <definedName name="MODEVERSEMENT" localSheetId="20">#REF!</definedName>
    <definedName name="MODEVERSEMENT" localSheetId="7">#REF!</definedName>
    <definedName name="MODEVERSEMENT" localSheetId="3">#REF!</definedName>
    <definedName name="MODEVERSEMENT" localSheetId="28">#REF!</definedName>
    <definedName name="MODEVERSEMENT" localSheetId="15">#REF!</definedName>
    <definedName name="MODEVERSEMENT" localSheetId="18">#REF!</definedName>
    <definedName name="MODEVERSEMENT" localSheetId="5">#REF!</definedName>
    <definedName name="MODEVERSEMENT" localSheetId="17">#REF!</definedName>
    <definedName name="MODEVERSEMENT" localSheetId="4">#REF!</definedName>
    <definedName name="MODEVERSEMENT" localSheetId="23">#REF!</definedName>
    <definedName name="MODEVERSEMENT" localSheetId="10">#REF!</definedName>
    <definedName name="MODEVERSEMENT" localSheetId="22">#REF!</definedName>
    <definedName name="MODEVERSEMENT" localSheetId="9">#REF!</definedName>
    <definedName name="MODEVERSEMENT" localSheetId="21">#REF!</definedName>
    <definedName name="MODEVERSEMENT" localSheetId="8">#REF!</definedName>
    <definedName name="MODEVERSEMENT" localSheetId="19">#REF!</definedName>
    <definedName name="MODEVERSEMENT" localSheetId="6">#REF!</definedName>
    <definedName name="MODEVERSEMENT" localSheetId="1">#REF!</definedName>
    <definedName name="MODEVERSEMENT" localSheetId="27">#REF!</definedName>
    <definedName name="MODEVERSEMENT" localSheetId="14">#REF!</definedName>
    <definedName name="MODEVERSEMENT" localSheetId="26">#REF!</definedName>
    <definedName name="MODEVERSEMENT" localSheetId="13">#REF!</definedName>
    <definedName name="MODEVERSEMENT" localSheetId="29">#REF!</definedName>
    <definedName name="MODEVERSEMENT" localSheetId="16">#REF!</definedName>
    <definedName name="MODEVERSEMENT" localSheetId="25">#REF!</definedName>
    <definedName name="MODEVERSEMENT" localSheetId="12">#REF!</definedName>
    <definedName name="MODEVERSEMENT" localSheetId="0">#REF!</definedName>
    <definedName name="MODEVERSEMENT">#REF!</definedName>
    <definedName name="MODEVERSEMENTS" localSheetId="2">[3]MODEVERSEMENT!$A$1:$A$3</definedName>
    <definedName name="MODEVERSEMENTS" localSheetId="24">[3]MODEVERSEMENT!$A$1:$A$3</definedName>
    <definedName name="MODEVERSEMENTS" localSheetId="11">[3]MODEVERSEMENT!$A$1:$A$3</definedName>
    <definedName name="MODEVERSEMENTS" localSheetId="20">[3]MODEVERSEMENT!$A$1:$A$3</definedName>
    <definedName name="MODEVERSEMENTS" localSheetId="7">[3]MODEVERSEMENT!$A$1:$A$3</definedName>
    <definedName name="MODEVERSEMENTS" localSheetId="3">[3]MODEVERSEMENT!$A$1:$A$3</definedName>
    <definedName name="MODEVERSEMENTS" localSheetId="28">[3]MODEVERSEMENT!$A$1:$A$3</definedName>
    <definedName name="MODEVERSEMENTS" localSheetId="15">[3]MODEVERSEMENT!$A$1:$A$3</definedName>
    <definedName name="MODEVERSEMENTS" localSheetId="18">[3]MODEVERSEMENT!$A$1:$A$3</definedName>
    <definedName name="MODEVERSEMENTS" localSheetId="5">[3]MODEVERSEMENT!$A$1:$A$3</definedName>
    <definedName name="MODEVERSEMENTS" localSheetId="17">[3]MODEVERSEMENT!$A$1:$A$3</definedName>
    <definedName name="MODEVERSEMENTS" localSheetId="4">[3]MODEVERSEMENT!$A$1:$A$3</definedName>
    <definedName name="MODEVERSEMENTS" localSheetId="23">[3]MODEVERSEMENT!$A$1:$A$3</definedName>
    <definedName name="MODEVERSEMENTS" localSheetId="10">[3]MODEVERSEMENT!$A$1:$A$3</definedName>
    <definedName name="MODEVERSEMENTS" localSheetId="22">[3]MODEVERSEMENT!$A$1:$A$3</definedName>
    <definedName name="MODEVERSEMENTS" localSheetId="9">[3]MODEVERSEMENT!$A$1:$A$3</definedName>
    <definedName name="MODEVERSEMENTS" localSheetId="21">[3]MODEVERSEMENT!$A$1:$A$3</definedName>
    <definedName name="MODEVERSEMENTS" localSheetId="8">[3]MODEVERSEMENT!$A$1:$A$3</definedName>
    <definedName name="MODEVERSEMENTS" localSheetId="19">[3]MODEVERSEMENT!$A$1:$A$3</definedName>
    <definedName name="MODEVERSEMENTS" localSheetId="6">[3]MODEVERSEMENT!$A$1:$A$3</definedName>
    <definedName name="MODEVERSEMENTS" localSheetId="1">[3]MODEVERSEMENT!$A$1:$A$3</definedName>
    <definedName name="MODEVERSEMENTS" localSheetId="27">[3]MODEVERSEMENT!$A$1:$A$3</definedName>
    <definedName name="MODEVERSEMENTS" localSheetId="14">[3]MODEVERSEMENT!$A$1:$A$3</definedName>
    <definedName name="MODEVERSEMENTS" localSheetId="26">[3]MODEVERSEMENT!$A$1:$A$3</definedName>
    <definedName name="MODEVERSEMENTS" localSheetId="13">[3]MODEVERSEMENT!$A$1:$A$3</definedName>
    <definedName name="MODEVERSEMENTS" localSheetId="29">[3]MODEVERSEMENT!$A$1:$A$3</definedName>
    <definedName name="MODEVERSEMENTS" localSheetId="16">[3]MODEVERSEMENT!$A$1:$A$3</definedName>
    <definedName name="MODEVERSEMENTS" localSheetId="25">[3]MODEVERSEMENT!$A$1:$A$3</definedName>
    <definedName name="MODEVERSEMENTS" localSheetId="12">[3]MODEVERSEMENT!$A$1:$A$3</definedName>
    <definedName name="MODEVERSEMENTS">MODEVERSEMENT!$A$1:$A$3</definedName>
    <definedName name="VALMODEPAID">[4]MODEPAID!$A$1:$A$3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8" sqref="A8"/>
    </sheetView>
  </sheetViews>
  <sheetFormatPr baseColWidth="10" defaultColWidth="11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zoomScale="106" zoomScaleNormal="106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I6" sqref="I6"/>
    </sheetView>
  </sheetViews>
  <sheetFormatPr baseColWidth="10" defaultRowHeight="15.75" x14ac:dyDescent="0.25"/>
  <cols>
    <col min="1" max="1" width="13.85546875" bestFit="1" customWidth="1"/>
    <col min="2" max="2" width="35.140625" bestFit="1" customWidth="1"/>
    <col min="3" max="3" width="15.85546875" bestFit="1" customWidth="1"/>
    <col min="4" max="4" width="20" customWidth="1"/>
    <col min="5" max="5" width="17.5703125" bestFit="1" customWidth="1"/>
    <col min="6" max="8" width="17.5703125" customWidth="1"/>
    <col min="9" max="9" width="16.28515625" customWidth="1"/>
    <col min="10" max="10" width="14.140625" bestFit="1" customWidth="1"/>
    <col min="11" max="11" width="15" bestFit="1" customWidth="1"/>
    <col min="12" max="12" width="15" customWidth="1"/>
    <col min="13" max="13" width="11.28515625" customWidth="1"/>
    <col min="14" max="14" width="15" bestFit="1" customWidth="1"/>
    <col min="15" max="15" width="11.28515625" customWidth="1"/>
    <col min="16" max="16" width="15" bestFit="1" customWidth="1"/>
    <col min="17" max="18" width="16" customWidth="1"/>
    <col min="19" max="19" width="20.42578125" bestFit="1" customWidth="1"/>
    <col min="20" max="20" width="15.140625" style="35" bestFit="1" customWidth="1"/>
    <col min="21" max="21" width="16.140625" style="35" customWidth="1"/>
    <col min="22" max="22" width="20.42578125" style="35" customWidth="1"/>
    <col min="23" max="23" width="14.42578125" style="35" bestFit="1" customWidth="1"/>
    <col min="24" max="24" width="11.42578125" style="35"/>
    <col min="25" max="26" width="13.85546875" style="35" customWidth="1"/>
    <col min="27" max="27" width="16.28515625" style="35" customWidth="1"/>
    <col min="28" max="28" width="13.85546875" style="35" customWidth="1"/>
    <col min="29" max="29" width="18.28515625" style="35" bestFit="1" customWidth="1"/>
    <col min="30" max="30" width="22.5703125" style="35" customWidth="1"/>
    <col min="31" max="32" width="19" style="35" customWidth="1"/>
    <col min="33" max="34" width="16.140625" style="35" customWidth="1"/>
    <col min="35" max="35" width="11.42578125" style="35"/>
    <col min="36" max="41" width="16" style="35" customWidth="1"/>
    <col min="42" max="42" width="15.28515625" style="35" customWidth="1"/>
    <col min="43" max="45" width="11.42578125" style="35"/>
    <col min="46" max="46" width="12.42578125" style="35" bestFit="1" customWidth="1"/>
    <col min="47" max="49" width="11.42578125" style="35"/>
    <col min="50" max="52" width="15" style="35" customWidth="1"/>
    <col min="53" max="53" width="15" style="35" bestFit="1" customWidth="1"/>
    <col min="54" max="55" width="11.42578125" style="35"/>
  </cols>
  <sheetData>
    <row r="1" spans="1:55" x14ac:dyDescent="0.25">
      <c r="A1" s="1" t="s">
        <v>2</v>
      </c>
      <c r="B1" s="1" t="s">
        <v>3</v>
      </c>
      <c r="C1" s="1"/>
      <c r="D1" s="1"/>
    </row>
    <row r="2" spans="1:55" x14ac:dyDescent="0.25">
      <c r="A2" s="1" t="s">
        <v>4</v>
      </c>
      <c r="B2" s="1">
        <v>2022</v>
      </c>
      <c r="C2" s="1"/>
      <c r="D2" s="1"/>
    </row>
    <row r="3" spans="1:55" x14ac:dyDescent="0.25">
      <c r="A3" s="1">
        <v>1</v>
      </c>
      <c r="B3" s="2">
        <v>2</v>
      </c>
      <c r="C3" s="2"/>
      <c r="D3" s="1">
        <v>3</v>
      </c>
      <c r="E3" s="2">
        <v>4</v>
      </c>
      <c r="F3" s="1">
        <v>5</v>
      </c>
      <c r="G3" s="2">
        <v>6</v>
      </c>
      <c r="H3" s="1">
        <v>7</v>
      </c>
      <c r="I3" s="2">
        <v>8</v>
      </c>
      <c r="J3" s="1">
        <v>9</v>
      </c>
      <c r="K3" s="2">
        <v>10</v>
      </c>
      <c r="L3" s="1">
        <v>11</v>
      </c>
      <c r="M3" s="2">
        <v>12</v>
      </c>
      <c r="N3" s="1">
        <v>13</v>
      </c>
      <c r="O3" s="2">
        <v>14</v>
      </c>
      <c r="P3" s="1">
        <v>15</v>
      </c>
      <c r="Q3" s="2">
        <v>16</v>
      </c>
      <c r="R3" s="1">
        <v>17</v>
      </c>
      <c r="S3" s="2">
        <v>18</v>
      </c>
      <c r="T3" s="36"/>
      <c r="U3" s="37"/>
      <c r="V3" s="36"/>
      <c r="W3" s="37"/>
      <c r="X3" s="36"/>
      <c r="Y3" s="37"/>
      <c r="Z3" s="36"/>
      <c r="AA3" s="37"/>
      <c r="AB3" s="36"/>
      <c r="AC3" s="37"/>
      <c r="AD3" s="36"/>
      <c r="AE3" s="37"/>
      <c r="AF3" s="36"/>
      <c r="AG3" s="37"/>
      <c r="AH3" s="36"/>
      <c r="AI3" s="37"/>
      <c r="AJ3" s="36"/>
      <c r="AK3" s="37"/>
      <c r="AL3" s="36"/>
      <c r="AM3" s="37"/>
      <c r="AN3" s="36"/>
      <c r="AO3" s="37"/>
      <c r="AP3" s="36"/>
      <c r="AQ3" s="37"/>
      <c r="AR3" s="36"/>
      <c r="AS3" s="37"/>
      <c r="AT3" s="36"/>
      <c r="AU3" s="37"/>
      <c r="AV3" s="36"/>
      <c r="AW3" s="37"/>
      <c r="AX3" s="36"/>
      <c r="AY3" s="37"/>
      <c r="AZ3" s="36"/>
      <c r="BA3" s="37"/>
      <c r="BB3" s="36"/>
      <c r="BC3" s="37"/>
    </row>
    <row r="4" spans="1:55" ht="29.25" thickBot="1" x14ac:dyDescent="0.5">
      <c r="B4" s="90" t="s">
        <v>113</v>
      </c>
      <c r="C4" s="90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7"/>
      <c r="P4" s="7"/>
      <c r="Q4" s="7"/>
      <c r="R4" s="7"/>
      <c r="S4" s="7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J4" s="38"/>
      <c r="AK4" s="38"/>
      <c r="AL4" s="38"/>
      <c r="AM4" s="38"/>
      <c r="AN4" s="38"/>
      <c r="AO4" s="38"/>
      <c r="AP4" s="38"/>
      <c r="AX4" s="39"/>
      <c r="AY4" s="39"/>
      <c r="AZ4" s="39"/>
    </row>
    <row r="5" spans="1:55" ht="68.25" customHeight="1" thickTop="1" thickBot="1" x14ac:dyDescent="0.3">
      <c r="A5" s="49" t="s">
        <v>0</v>
      </c>
      <c r="B5" s="50" t="s">
        <v>1</v>
      </c>
      <c r="C5" s="50"/>
      <c r="D5" s="92" t="s">
        <v>114</v>
      </c>
      <c r="E5" s="93"/>
      <c r="F5" s="93"/>
      <c r="G5" s="93"/>
      <c r="H5" s="93"/>
      <c r="I5" s="93"/>
      <c r="J5" s="93"/>
      <c r="K5" s="93"/>
      <c r="L5" s="93"/>
      <c r="M5" s="92" t="s">
        <v>123</v>
      </c>
      <c r="N5" s="93"/>
      <c r="O5" s="93"/>
      <c r="P5" s="94" t="s">
        <v>126</v>
      </c>
      <c r="Q5" s="95"/>
      <c r="R5" s="94" t="s">
        <v>50</v>
      </c>
      <c r="S5" s="96"/>
      <c r="T5" s="88" t="s">
        <v>44</v>
      </c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68.25" customHeight="1" thickTop="1" x14ac:dyDescent="0.25">
      <c r="A6" s="46"/>
      <c r="B6" s="47"/>
      <c r="C6" s="48" t="s">
        <v>131</v>
      </c>
      <c r="D6" s="48" t="s">
        <v>115</v>
      </c>
      <c r="E6" s="48" t="s">
        <v>116</v>
      </c>
      <c r="F6" s="48" t="s">
        <v>117</v>
      </c>
      <c r="G6" s="48" t="s">
        <v>132</v>
      </c>
      <c r="H6" s="48" t="s">
        <v>118</v>
      </c>
      <c r="I6" s="48" t="s">
        <v>119</v>
      </c>
      <c r="J6" s="48" t="s">
        <v>120</v>
      </c>
      <c r="K6" s="48" t="s">
        <v>121</v>
      </c>
      <c r="L6" s="48" t="s">
        <v>122</v>
      </c>
      <c r="M6" s="48" t="s">
        <v>124</v>
      </c>
      <c r="N6" s="48" t="s">
        <v>125</v>
      </c>
      <c r="O6" s="48" t="s">
        <v>130</v>
      </c>
      <c r="P6" s="48" t="s">
        <v>126</v>
      </c>
      <c r="Q6" s="48" t="s">
        <v>127</v>
      </c>
      <c r="R6" s="48" t="s">
        <v>128</v>
      </c>
      <c r="S6" s="52" t="s">
        <v>129</v>
      </c>
      <c r="T6" s="89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18.75" x14ac:dyDescent="0.3">
      <c r="A7" s="21" t="s">
        <v>108</v>
      </c>
      <c r="B7" s="22" t="str">
        <f>VLOOKUP(A7,[5]LISTADHERENT!A$5:H$60,3,0)</f>
        <v>ASELBY</v>
      </c>
      <c r="C7" s="22"/>
      <c r="D7" s="23"/>
      <c r="E7" s="24"/>
      <c r="F7" s="24"/>
      <c r="G7" s="24"/>
      <c r="H7" s="23"/>
      <c r="I7" s="25"/>
      <c r="J7" s="26"/>
      <c r="K7" s="26"/>
      <c r="L7" s="26"/>
      <c r="M7" s="27"/>
      <c r="N7" s="26"/>
      <c r="O7" s="27"/>
      <c r="P7" s="26"/>
      <c r="Q7" s="28"/>
      <c r="R7" s="29"/>
      <c r="S7" s="51"/>
      <c r="T7" s="55">
        <f>SUM(D7:S7)</f>
        <v>0</v>
      </c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39"/>
      <c r="AS7" s="39"/>
      <c r="AT7" s="43"/>
      <c r="AW7" s="44"/>
      <c r="AX7" s="44"/>
      <c r="AY7" s="44"/>
      <c r="AZ7" s="44"/>
      <c r="BA7" s="45"/>
      <c r="BC7" s="44"/>
    </row>
    <row r="8" spans="1:55" ht="18.75" x14ac:dyDescent="0.3">
      <c r="A8" s="21" t="s">
        <v>12</v>
      </c>
      <c r="B8" s="22" t="str">
        <f>VLOOKUP(A8,[5]LISTADHERENT!A$5:H$60,3,0)</f>
        <v>BOUTCHOUANG WILLIAM</v>
      </c>
      <c r="C8" s="22"/>
      <c r="D8" s="23"/>
      <c r="E8" s="24"/>
      <c r="F8" s="24"/>
      <c r="G8" s="24"/>
      <c r="H8" s="23"/>
      <c r="I8" s="25"/>
      <c r="J8" s="26"/>
      <c r="K8" s="26"/>
      <c r="L8" s="26"/>
      <c r="M8" s="27"/>
      <c r="N8" s="26"/>
      <c r="O8" s="27"/>
      <c r="P8" s="26"/>
      <c r="Q8" s="28"/>
      <c r="R8" s="29"/>
      <c r="S8" s="51"/>
      <c r="T8" s="55">
        <f t="shared" ref="T8:T37" si="0">SUM(D8:S8)</f>
        <v>0</v>
      </c>
      <c r="U8" s="41"/>
      <c r="V8" s="42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39"/>
      <c r="AS8" s="39"/>
      <c r="AT8" s="43"/>
      <c r="AW8" s="44"/>
      <c r="AX8" s="44"/>
      <c r="AY8" s="44"/>
      <c r="AZ8" s="44"/>
      <c r="BA8" s="45"/>
      <c r="BC8" s="44"/>
    </row>
    <row r="9" spans="1:55" ht="18.75" x14ac:dyDescent="0.3">
      <c r="A9" s="21" t="s">
        <v>13</v>
      </c>
      <c r="B9" s="22" t="str">
        <f>VLOOKUP(A9,[5]LISTADHERENT!A$5:H$60,3,0)</f>
        <v xml:space="preserve">DJOMO JEAN PAUL </v>
      </c>
      <c r="C9" s="22"/>
      <c r="D9" s="23"/>
      <c r="E9" s="24"/>
      <c r="F9" s="24"/>
      <c r="G9" s="24"/>
      <c r="H9" s="23"/>
      <c r="I9" s="25"/>
      <c r="J9" s="26"/>
      <c r="K9" s="26"/>
      <c r="L9" s="26"/>
      <c r="M9" s="27"/>
      <c r="N9" s="26"/>
      <c r="O9" s="27"/>
      <c r="P9" s="26"/>
      <c r="Q9" s="28"/>
      <c r="R9" s="29"/>
      <c r="S9" s="51"/>
      <c r="T9" s="55">
        <f t="shared" si="0"/>
        <v>0</v>
      </c>
      <c r="U9" s="41"/>
      <c r="V9" s="42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J9" s="41"/>
      <c r="AK9" s="41"/>
      <c r="AL9" s="41"/>
      <c r="AM9" s="41"/>
      <c r="AN9" s="41"/>
      <c r="AO9" s="41"/>
      <c r="AP9" s="41"/>
      <c r="AQ9" s="41"/>
      <c r="AR9" s="39"/>
      <c r="AS9" s="39"/>
      <c r="AT9" s="43"/>
      <c r="AW9" s="44"/>
      <c r="AX9" s="44"/>
      <c r="AY9" s="44"/>
      <c r="AZ9" s="44"/>
      <c r="BA9" s="45"/>
      <c r="BC9" s="44"/>
    </row>
    <row r="10" spans="1:55" ht="18.75" x14ac:dyDescent="0.3">
      <c r="A10" s="21" t="s">
        <v>14</v>
      </c>
      <c r="B10" s="22" t="str">
        <f>VLOOKUP(A10,[5]LISTADHERENT!A$5:H$60,3,0)</f>
        <v>DJOMOU TCHANDA</v>
      </c>
      <c r="C10" s="22"/>
      <c r="D10" s="23"/>
      <c r="E10" s="24"/>
      <c r="F10" s="24"/>
      <c r="G10" s="24"/>
      <c r="H10" s="23"/>
      <c r="I10" s="25"/>
      <c r="J10" s="26"/>
      <c r="K10" s="26"/>
      <c r="L10" s="26"/>
      <c r="M10" s="27"/>
      <c r="N10" s="26"/>
      <c r="O10" s="27"/>
      <c r="P10" s="26"/>
      <c r="Q10" s="28"/>
      <c r="R10" s="29"/>
      <c r="S10" s="51"/>
      <c r="T10" s="55">
        <f t="shared" si="0"/>
        <v>0</v>
      </c>
      <c r="U10" s="41"/>
      <c r="V10" s="42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J10" s="41"/>
      <c r="AK10" s="41"/>
      <c r="AL10" s="41"/>
      <c r="AM10" s="41"/>
      <c r="AN10" s="41"/>
      <c r="AO10" s="41"/>
      <c r="AP10" s="41"/>
      <c r="AQ10" s="41"/>
      <c r="AR10" s="39"/>
      <c r="AS10" s="39"/>
      <c r="AT10" s="43"/>
      <c r="AW10" s="44"/>
      <c r="AX10" s="44"/>
      <c r="AY10" s="44"/>
      <c r="AZ10" s="44"/>
      <c r="BA10" s="45"/>
      <c r="BC10" s="44"/>
    </row>
    <row r="11" spans="1:55" ht="18.75" x14ac:dyDescent="0.3">
      <c r="A11" s="21" t="s">
        <v>15</v>
      </c>
      <c r="B11" s="22" t="str">
        <f>VLOOKUP(A11,[5]LISTADHERENT!A$5:H$60,3,0)</f>
        <v>DJOUKWE NANGUEN GUY BLAISE</v>
      </c>
      <c r="C11" s="22"/>
      <c r="D11" s="23"/>
      <c r="E11" s="24"/>
      <c r="F11" s="24"/>
      <c r="G11" s="24"/>
      <c r="H11" s="23"/>
      <c r="I11" s="25"/>
      <c r="J11" s="26"/>
      <c r="K11" s="26"/>
      <c r="L11" s="26"/>
      <c r="M11" s="27"/>
      <c r="N11" s="26"/>
      <c r="O11" s="27"/>
      <c r="P11" s="26"/>
      <c r="Q11" s="28"/>
      <c r="R11" s="29"/>
      <c r="S11" s="51"/>
      <c r="T11" s="55">
        <f t="shared" si="0"/>
        <v>0</v>
      </c>
      <c r="U11" s="41"/>
      <c r="V11" s="42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J11" s="41"/>
      <c r="AK11" s="41"/>
      <c r="AL11" s="41"/>
      <c r="AM11" s="41"/>
      <c r="AN11" s="41"/>
      <c r="AO11" s="41"/>
      <c r="AP11" s="41"/>
      <c r="AQ11" s="41"/>
      <c r="AR11" s="39"/>
      <c r="AS11" s="39"/>
      <c r="AT11" s="43"/>
      <c r="AW11" s="44"/>
      <c r="AX11" s="44"/>
      <c r="AY11" s="44"/>
      <c r="AZ11" s="44"/>
      <c r="BA11" s="45"/>
      <c r="BC11" s="44"/>
    </row>
    <row r="12" spans="1:55" ht="18.75" x14ac:dyDescent="0.3">
      <c r="A12" s="21" t="s">
        <v>16</v>
      </c>
      <c r="B12" s="22" t="str">
        <f>VLOOKUP(A12,[5]LISTADHERENT!A$5:H$60,3,0)</f>
        <v>DJUOMBESSY ANTOINE</v>
      </c>
      <c r="C12" s="22"/>
      <c r="D12" s="23"/>
      <c r="E12" s="24"/>
      <c r="F12" s="24"/>
      <c r="G12" s="24"/>
      <c r="H12" s="23"/>
      <c r="I12" s="25"/>
      <c r="J12" s="26"/>
      <c r="K12" s="26"/>
      <c r="L12" s="26"/>
      <c r="M12" s="27"/>
      <c r="N12" s="26"/>
      <c r="O12" s="27"/>
      <c r="P12" s="26"/>
      <c r="Q12" s="28"/>
      <c r="R12" s="29"/>
      <c r="S12" s="51"/>
      <c r="T12" s="55">
        <f t="shared" si="0"/>
        <v>0</v>
      </c>
      <c r="U12" s="41"/>
      <c r="V12" s="42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J12" s="41"/>
      <c r="AK12" s="41"/>
      <c r="AL12" s="41"/>
      <c r="AM12" s="41"/>
      <c r="AN12" s="41"/>
      <c r="AO12" s="41"/>
      <c r="AP12" s="41"/>
      <c r="AQ12" s="41"/>
      <c r="AR12" s="39"/>
      <c r="AS12" s="39"/>
      <c r="AT12" s="43"/>
      <c r="AW12" s="44"/>
      <c r="AX12" s="44"/>
      <c r="AY12" s="44"/>
      <c r="AZ12" s="44"/>
      <c r="BA12" s="45"/>
      <c r="BC12" s="44"/>
    </row>
    <row r="13" spans="1:55" ht="18.75" x14ac:dyDescent="0.3">
      <c r="A13" s="21" t="s">
        <v>17</v>
      </c>
      <c r="B13" s="22" t="str">
        <f>VLOOKUP(A13,[5]LISTADHERENT!A$5:H$60,3,0)</f>
        <v>DOMOU FABIEN</v>
      </c>
      <c r="C13" s="22"/>
      <c r="D13" s="23"/>
      <c r="E13" s="24"/>
      <c r="F13" s="24"/>
      <c r="G13" s="24"/>
      <c r="H13" s="23"/>
      <c r="I13" s="25"/>
      <c r="J13" s="26"/>
      <c r="K13" s="26"/>
      <c r="L13" s="26"/>
      <c r="M13" s="27"/>
      <c r="N13" s="26"/>
      <c r="O13" s="27"/>
      <c r="P13" s="26"/>
      <c r="Q13" s="28"/>
      <c r="R13" s="29"/>
      <c r="S13" s="51"/>
      <c r="T13" s="55">
        <f t="shared" si="0"/>
        <v>0</v>
      </c>
      <c r="U13" s="41"/>
      <c r="V13" s="42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J13" s="41"/>
      <c r="AK13" s="41"/>
      <c r="AL13" s="41"/>
      <c r="AM13" s="41"/>
      <c r="AN13" s="41"/>
      <c r="AO13" s="41"/>
      <c r="AP13" s="41"/>
      <c r="AQ13" s="41"/>
      <c r="AR13" s="39"/>
      <c r="AS13" s="39"/>
      <c r="AT13" s="43"/>
      <c r="AW13" s="44"/>
      <c r="AX13" s="44"/>
      <c r="AY13" s="44"/>
      <c r="AZ13" s="44"/>
      <c r="BA13" s="45"/>
      <c r="BC13" s="44"/>
    </row>
    <row r="14" spans="1:55" ht="18.75" x14ac:dyDescent="0.3">
      <c r="A14" s="21" t="s">
        <v>18</v>
      </c>
      <c r="B14" s="22" t="str">
        <f>VLOOKUP(A14,[5]LISTADHERENT!A$5:H$60,3,0)</f>
        <v>DONHOU DAVID</v>
      </c>
      <c r="C14" s="22"/>
      <c r="D14" s="23"/>
      <c r="E14" s="24"/>
      <c r="F14" s="24"/>
      <c r="G14" s="24"/>
      <c r="H14" s="23"/>
      <c r="I14" s="25"/>
      <c r="J14" s="26"/>
      <c r="K14" s="26"/>
      <c r="L14" s="26"/>
      <c r="M14" s="27"/>
      <c r="N14" s="26"/>
      <c r="O14" s="27"/>
      <c r="P14" s="26"/>
      <c r="Q14" s="28"/>
      <c r="R14" s="29"/>
      <c r="S14" s="51"/>
      <c r="T14" s="55">
        <f t="shared" si="0"/>
        <v>0</v>
      </c>
      <c r="U14" s="41"/>
      <c r="V14" s="42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J14" s="41"/>
      <c r="AK14" s="41"/>
      <c r="AL14" s="41"/>
      <c r="AM14" s="41"/>
      <c r="AN14" s="41"/>
      <c r="AO14" s="41"/>
      <c r="AP14" s="41"/>
      <c r="AQ14" s="41"/>
      <c r="AR14" s="39"/>
      <c r="AS14" s="39"/>
      <c r="AT14" s="43"/>
      <c r="AW14" s="44"/>
      <c r="AX14" s="44"/>
      <c r="AY14" s="44"/>
      <c r="AZ14" s="44"/>
      <c r="BA14" s="45"/>
      <c r="BC14" s="44"/>
    </row>
    <row r="15" spans="1:55" ht="18.75" x14ac:dyDescent="0.3">
      <c r="A15" s="21" t="s">
        <v>19</v>
      </c>
      <c r="B15" s="22" t="str">
        <f>VLOOKUP(A15,[5]LISTADHERENT!A$5:H$60,3,0)</f>
        <v>FOTSO THOMAS</v>
      </c>
      <c r="C15" s="22"/>
      <c r="D15" s="23"/>
      <c r="E15" s="24"/>
      <c r="F15" s="24"/>
      <c r="G15" s="24"/>
      <c r="H15" s="23"/>
      <c r="I15" s="25"/>
      <c r="J15" s="26"/>
      <c r="K15" s="26"/>
      <c r="L15" s="26"/>
      <c r="M15" s="27"/>
      <c r="N15" s="26"/>
      <c r="O15" s="27"/>
      <c r="P15" s="26"/>
      <c r="Q15" s="28"/>
      <c r="R15" s="29"/>
      <c r="S15" s="51"/>
      <c r="T15" s="55">
        <f t="shared" si="0"/>
        <v>0</v>
      </c>
      <c r="U15" s="41"/>
      <c r="V15" s="42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J15" s="41"/>
      <c r="AK15" s="41"/>
      <c r="AL15" s="41"/>
      <c r="AM15" s="41"/>
      <c r="AN15" s="41"/>
      <c r="AO15" s="41"/>
      <c r="AP15" s="41"/>
      <c r="AQ15" s="41"/>
      <c r="AR15" s="39"/>
      <c r="AS15" s="39"/>
      <c r="AT15" s="43"/>
      <c r="AW15" s="44"/>
      <c r="AX15" s="44"/>
      <c r="AY15" s="44"/>
      <c r="AZ15" s="44"/>
      <c r="BA15" s="45"/>
      <c r="BC15" s="44"/>
    </row>
    <row r="16" spans="1:55" ht="18.75" x14ac:dyDescent="0.3">
      <c r="A16" s="21" t="s">
        <v>20</v>
      </c>
      <c r="B16" s="22" t="str">
        <f>VLOOKUP(A16,[5]LISTADHERENT!A$5:H$60,3,0)</f>
        <v>HENGUE PAUL OMER</v>
      </c>
      <c r="C16" s="22"/>
      <c r="D16" s="23"/>
      <c r="E16" s="24"/>
      <c r="F16" s="24"/>
      <c r="G16" s="24"/>
      <c r="H16" s="23"/>
      <c r="I16" s="25"/>
      <c r="J16" s="26"/>
      <c r="K16" s="26"/>
      <c r="L16" s="26"/>
      <c r="M16" s="27"/>
      <c r="N16" s="26"/>
      <c r="O16" s="27"/>
      <c r="P16" s="26"/>
      <c r="Q16" s="28"/>
      <c r="R16" s="29"/>
      <c r="S16" s="51"/>
      <c r="T16" s="55">
        <f t="shared" si="0"/>
        <v>0</v>
      </c>
      <c r="U16" s="41"/>
      <c r="V16" s="42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J16" s="41"/>
      <c r="AK16" s="41"/>
      <c r="AL16" s="41"/>
      <c r="AM16" s="41"/>
      <c r="AN16" s="41"/>
      <c r="AO16" s="41"/>
      <c r="AP16" s="41"/>
      <c r="AQ16" s="41"/>
      <c r="AR16" s="39"/>
      <c r="AS16" s="39"/>
      <c r="AT16" s="43"/>
      <c r="AW16" s="44"/>
      <c r="AX16" s="44"/>
      <c r="AY16" s="44"/>
      <c r="AZ16" s="44"/>
      <c r="BA16" s="45"/>
      <c r="BC16" s="44"/>
    </row>
    <row r="17" spans="1:55" ht="18.75" x14ac:dyDescent="0.3">
      <c r="A17" s="21" t="s">
        <v>21</v>
      </c>
      <c r="B17" s="22" t="str">
        <f>VLOOKUP(A17,[5]LISTADHERENT!A$5:H$60,3,0)</f>
        <v>HOTCHO BENJAMIN</v>
      </c>
      <c r="C17" s="22"/>
      <c r="D17" s="23"/>
      <c r="E17" s="24"/>
      <c r="F17" s="24"/>
      <c r="G17" s="24"/>
      <c r="H17" s="23"/>
      <c r="I17" s="25"/>
      <c r="J17" s="26"/>
      <c r="K17" s="26"/>
      <c r="L17" s="26"/>
      <c r="M17" s="27"/>
      <c r="N17" s="26"/>
      <c r="O17" s="27"/>
      <c r="P17" s="26"/>
      <c r="Q17" s="28"/>
      <c r="R17" s="29"/>
      <c r="S17" s="51"/>
      <c r="T17" s="55">
        <f t="shared" si="0"/>
        <v>0</v>
      </c>
      <c r="U17" s="41"/>
      <c r="V17" s="42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J17" s="41"/>
      <c r="AK17" s="41"/>
      <c r="AL17" s="41"/>
      <c r="AM17" s="41"/>
      <c r="AN17" s="41"/>
      <c r="AO17" s="41"/>
      <c r="AP17" s="41"/>
      <c r="AQ17" s="41"/>
      <c r="AR17" s="39"/>
      <c r="AS17" s="39"/>
      <c r="AT17" s="43"/>
      <c r="AW17" s="44"/>
      <c r="AX17" s="44"/>
      <c r="AY17" s="44"/>
      <c r="AZ17" s="44"/>
      <c r="BA17" s="45"/>
      <c r="BC17" s="44"/>
    </row>
    <row r="18" spans="1:55" ht="18.75" x14ac:dyDescent="0.3">
      <c r="A18" s="21" t="s">
        <v>22</v>
      </c>
      <c r="B18" s="22" t="str">
        <f>VLOOKUP(A18,[5]LISTADHERENT!A$5:H$60,3,0)</f>
        <v>KOUAMOU MOISE</v>
      </c>
      <c r="C18" s="22"/>
      <c r="D18" s="23"/>
      <c r="E18" s="24"/>
      <c r="F18" s="24"/>
      <c r="G18" s="24"/>
      <c r="H18" s="23"/>
      <c r="I18" s="25"/>
      <c r="J18" s="26"/>
      <c r="K18" s="26"/>
      <c r="L18" s="26"/>
      <c r="M18" s="27"/>
      <c r="N18" s="26"/>
      <c r="O18" s="27"/>
      <c r="P18" s="26"/>
      <c r="Q18" s="28"/>
      <c r="R18" s="29"/>
      <c r="S18" s="51"/>
      <c r="T18" s="55">
        <f t="shared" si="0"/>
        <v>0</v>
      </c>
      <c r="U18" s="41"/>
      <c r="V18" s="42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J18" s="41"/>
      <c r="AK18" s="41"/>
      <c r="AL18" s="41"/>
      <c r="AM18" s="41"/>
      <c r="AN18" s="41"/>
      <c r="AO18" s="41"/>
      <c r="AP18" s="41"/>
      <c r="AQ18" s="41"/>
      <c r="AR18" s="39"/>
      <c r="AS18" s="39"/>
      <c r="AT18" s="43"/>
      <c r="AW18" s="44"/>
      <c r="AX18" s="44"/>
      <c r="AY18" s="44"/>
      <c r="AZ18" s="44"/>
      <c r="BA18" s="45"/>
      <c r="BC18" s="44"/>
    </row>
    <row r="19" spans="1:55" ht="18.75" x14ac:dyDescent="0.3">
      <c r="A19" s="21" t="s">
        <v>23</v>
      </c>
      <c r="B19" s="22" t="str">
        <f>VLOOKUP(A19,[5]LISTADHERENT!A$5:H$60,3,0)</f>
        <v>KOUATCHO MESSACK</v>
      </c>
      <c r="C19" s="22"/>
      <c r="D19" s="23"/>
      <c r="E19" s="24"/>
      <c r="F19" s="24"/>
      <c r="G19" s="24"/>
      <c r="H19" s="23"/>
      <c r="I19" s="25"/>
      <c r="J19" s="26"/>
      <c r="K19" s="26"/>
      <c r="L19" s="26"/>
      <c r="M19" s="27"/>
      <c r="N19" s="26"/>
      <c r="O19" s="27"/>
      <c r="P19" s="26"/>
      <c r="Q19" s="28"/>
      <c r="R19" s="29"/>
      <c r="S19" s="51"/>
      <c r="T19" s="55">
        <f t="shared" si="0"/>
        <v>0</v>
      </c>
      <c r="U19" s="41"/>
      <c r="V19" s="42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J19" s="41"/>
      <c r="AK19" s="41"/>
      <c r="AL19" s="41"/>
      <c r="AM19" s="41"/>
      <c r="AN19" s="41"/>
      <c r="AO19" s="41"/>
      <c r="AP19" s="41"/>
      <c r="AQ19" s="41"/>
      <c r="AR19" s="39"/>
      <c r="AS19" s="39"/>
      <c r="AT19" s="43"/>
      <c r="AW19" s="44"/>
      <c r="AX19" s="44"/>
      <c r="AY19" s="44"/>
      <c r="AZ19" s="44"/>
      <c r="BA19" s="45"/>
      <c r="BC19" s="44"/>
    </row>
    <row r="20" spans="1:55" ht="18.75" x14ac:dyDescent="0.3">
      <c r="A20" s="21" t="s">
        <v>24</v>
      </c>
      <c r="B20" s="22" t="str">
        <f>VLOOKUP(A20,[5]LISTADHERENT!A$5:H$60,3,0)</f>
        <v>LOWE JEAN</v>
      </c>
      <c r="C20" s="22"/>
      <c r="D20" s="23"/>
      <c r="E20" s="24"/>
      <c r="F20" s="24"/>
      <c r="G20" s="24"/>
      <c r="H20" s="23"/>
      <c r="I20" s="25"/>
      <c r="J20" s="26"/>
      <c r="K20" s="26"/>
      <c r="L20" s="26"/>
      <c r="M20" s="27"/>
      <c r="N20" s="26"/>
      <c r="O20" s="27"/>
      <c r="P20" s="26"/>
      <c r="Q20" s="28"/>
      <c r="R20" s="29"/>
      <c r="S20" s="51"/>
      <c r="T20" s="55">
        <f t="shared" si="0"/>
        <v>0</v>
      </c>
      <c r="U20" s="41"/>
      <c r="V20" s="42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J20" s="41"/>
      <c r="AK20" s="41"/>
      <c r="AL20" s="41"/>
      <c r="AM20" s="41"/>
      <c r="AN20" s="41"/>
      <c r="AO20" s="41"/>
      <c r="AP20" s="41"/>
      <c r="AQ20" s="41"/>
      <c r="AR20" s="39"/>
      <c r="AS20" s="39"/>
      <c r="AT20" s="43"/>
      <c r="AW20" s="44"/>
      <c r="AX20" s="44"/>
      <c r="AY20" s="44"/>
      <c r="AZ20" s="44"/>
      <c r="BA20" s="45"/>
      <c r="BC20" s="44"/>
    </row>
    <row r="21" spans="1:55" ht="18.75" x14ac:dyDescent="0.3">
      <c r="A21" s="21" t="s">
        <v>25</v>
      </c>
      <c r="B21" s="22" t="str">
        <f>VLOOKUP(A21,[5]LISTADHERENT!A$5:H$60,3,0)</f>
        <v>MBOGNING TUGMA GUY</v>
      </c>
      <c r="C21" s="22"/>
      <c r="D21" s="23"/>
      <c r="E21" s="24"/>
      <c r="F21" s="24"/>
      <c r="G21" s="24"/>
      <c r="H21" s="23"/>
      <c r="I21" s="25"/>
      <c r="J21" s="26"/>
      <c r="K21" s="26"/>
      <c r="L21" s="26"/>
      <c r="M21" s="27"/>
      <c r="N21" s="26"/>
      <c r="O21" s="27"/>
      <c r="P21" s="26"/>
      <c r="Q21" s="28"/>
      <c r="R21" s="29"/>
      <c r="S21" s="51"/>
      <c r="T21" s="55">
        <f t="shared" si="0"/>
        <v>0</v>
      </c>
      <c r="U21" s="41"/>
      <c r="V21" s="42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J21" s="41"/>
      <c r="AK21" s="41"/>
      <c r="AL21" s="41"/>
      <c r="AM21" s="41"/>
      <c r="AN21" s="41"/>
      <c r="AO21" s="41"/>
      <c r="AP21" s="41"/>
      <c r="AQ21" s="41"/>
      <c r="AR21" s="39"/>
      <c r="AS21" s="39"/>
      <c r="AT21" s="43"/>
      <c r="AW21" s="44"/>
      <c r="AX21" s="44"/>
      <c r="AY21" s="44"/>
      <c r="AZ21" s="44"/>
      <c r="BA21" s="45"/>
      <c r="BC21" s="44"/>
    </row>
    <row r="22" spans="1:55" ht="18.75" x14ac:dyDescent="0.3">
      <c r="A22" s="21" t="s">
        <v>26</v>
      </c>
      <c r="B22" s="22" t="str">
        <f>VLOOKUP(A22,[5]LISTADHERENT!A$5:H$60,3,0)</f>
        <v>NANGUEN MARTIN</v>
      </c>
      <c r="C22" s="22"/>
      <c r="D22" s="23"/>
      <c r="E22" s="24"/>
      <c r="F22" s="24"/>
      <c r="G22" s="24"/>
      <c r="H22" s="23"/>
      <c r="I22" s="25"/>
      <c r="J22" s="26"/>
      <c r="K22" s="26"/>
      <c r="L22" s="26"/>
      <c r="M22" s="27"/>
      <c r="N22" s="26"/>
      <c r="O22" s="27"/>
      <c r="P22" s="26"/>
      <c r="Q22" s="28"/>
      <c r="R22" s="29"/>
      <c r="S22" s="51"/>
      <c r="T22" s="55">
        <f t="shared" si="0"/>
        <v>0</v>
      </c>
      <c r="U22" s="41"/>
      <c r="V22" s="42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J22" s="41"/>
      <c r="AK22" s="41"/>
      <c r="AL22" s="41"/>
      <c r="AM22" s="41"/>
      <c r="AN22" s="41"/>
      <c r="AO22" s="41"/>
      <c r="AP22" s="41"/>
      <c r="AQ22" s="41"/>
      <c r="AR22" s="39"/>
      <c r="AS22" s="39"/>
      <c r="AT22" s="43"/>
      <c r="AW22" s="44"/>
      <c r="AX22" s="44"/>
      <c r="AY22" s="44"/>
      <c r="AZ22" s="44"/>
      <c r="BA22" s="45"/>
      <c r="BC22" s="44"/>
    </row>
    <row r="23" spans="1:55" ht="18.75" x14ac:dyDescent="0.3">
      <c r="A23" s="21" t="s">
        <v>27</v>
      </c>
      <c r="B23" s="22" t="str">
        <f>VLOOKUP(A23,[5]LISTADHERENT!A$5:H$60,3,0)</f>
        <v>NANKAM APPOLINAIRE</v>
      </c>
      <c r="C23" s="22"/>
      <c r="D23" s="23"/>
      <c r="E23" s="24"/>
      <c r="F23" s="24"/>
      <c r="G23" s="24"/>
      <c r="H23" s="23"/>
      <c r="I23" s="25"/>
      <c r="J23" s="26"/>
      <c r="K23" s="26"/>
      <c r="L23" s="26"/>
      <c r="M23" s="27"/>
      <c r="N23" s="26"/>
      <c r="O23" s="27"/>
      <c r="P23" s="26"/>
      <c r="Q23" s="28"/>
      <c r="R23" s="29"/>
      <c r="S23" s="51"/>
      <c r="T23" s="55">
        <f t="shared" si="0"/>
        <v>0</v>
      </c>
      <c r="U23" s="41"/>
      <c r="V23" s="42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J23" s="41"/>
      <c r="AK23" s="41"/>
      <c r="AL23" s="41"/>
      <c r="AM23" s="41"/>
      <c r="AN23" s="41"/>
      <c r="AO23" s="41"/>
      <c r="AP23" s="41"/>
      <c r="AQ23" s="41"/>
      <c r="AR23" s="39"/>
      <c r="AS23" s="39"/>
      <c r="AT23" s="43"/>
      <c r="AW23" s="44"/>
      <c r="AX23" s="44"/>
      <c r="AY23" s="44"/>
      <c r="AZ23" s="44"/>
      <c r="BA23" s="45"/>
      <c r="BC23" s="44"/>
    </row>
    <row r="24" spans="1:55" ht="18.75" x14ac:dyDescent="0.3">
      <c r="A24" s="21" t="s">
        <v>28</v>
      </c>
      <c r="B24" s="22" t="str">
        <f>VLOOKUP(A24,[5]LISTADHERENT!A$5:H$60,3,0)</f>
        <v>NDJOMO ETIENNE</v>
      </c>
      <c r="C24" s="22"/>
      <c r="D24" s="23"/>
      <c r="E24" s="24"/>
      <c r="F24" s="24"/>
      <c r="G24" s="24"/>
      <c r="H24" s="23"/>
      <c r="I24" s="25"/>
      <c r="J24" s="26"/>
      <c r="K24" s="26"/>
      <c r="L24" s="26"/>
      <c r="M24" s="27"/>
      <c r="N24" s="26"/>
      <c r="O24" s="27"/>
      <c r="P24" s="26"/>
      <c r="Q24" s="28"/>
      <c r="R24" s="29"/>
      <c r="S24" s="51"/>
      <c r="T24" s="55">
        <f t="shared" si="0"/>
        <v>0</v>
      </c>
      <c r="U24" s="41"/>
      <c r="V24" s="42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J24" s="41"/>
      <c r="AK24" s="41"/>
      <c r="AL24" s="41"/>
      <c r="AM24" s="41"/>
      <c r="AN24" s="41"/>
      <c r="AO24" s="41"/>
      <c r="AP24" s="41"/>
      <c r="AQ24" s="41"/>
      <c r="AR24" s="39"/>
      <c r="AS24" s="39"/>
      <c r="AT24" s="43"/>
      <c r="AW24" s="44"/>
      <c r="AX24" s="44"/>
      <c r="AY24" s="44"/>
      <c r="AZ24" s="44"/>
      <c r="BA24" s="45"/>
      <c r="BC24" s="44"/>
    </row>
    <row r="25" spans="1:55" ht="18.75" x14ac:dyDescent="0.3">
      <c r="A25" s="21" t="s">
        <v>29</v>
      </c>
      <c r="B25" s="22" t="str">
        <f>VLOOKUP(A25,[5]LISTADHERENT!A$5:H$60,3,0)</f>
        <v>NGONDIEP CLAUDE</v>
      </c>
      <c r="C25" s="22"/>
      <c r="D25" s="23"/>
      <c r="E25" s="24"/>
      <c r="F25" s="24"/>
      <c r="G25" s="24"/>
      <c r="H25" s="23"/>
      <c r="I25" s="25"/>
      <c r="J25" s="26"/>
      <c r="K25" s="26"/>
      <c r="L25" s="26"/>
      <c r="M25" s="27"/>
      <c r="N25" s="26"/>
      <c r="O25" s="27"/>
      <c r="P25" s="26"/>
      <c r="Q25" s="28"/>
      <c r="R25" s="29"/>
      <c r="S25" s="51"/>
      <c r="T25" s="55">
        <f t="shared" si="0"/>
        <v>0</v>
      </c>
      <c r="U25" s="41"/>
      <c r="V25" s="42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J25" s="41"/>
      <c r="AK25" s="41"/>
      <c r="AL25" s="41"/>
      <c r="AM25" s="41"/>
      <c r="AN25" s="41"/>
      <c r="AO25" s="41"/>
      <c r="AP25" s="41"/>
      <c r="AQ25" s="41"/>
      <c r="AR25" s="39"/>
      <c r="AS25" s="39"/>
      <c r="AT25" s="43"/>
      <c r="AW25" s="44"/>
      <c r="AX25" s="44"/>
      <c r="AY25" s="44"/>
      <c r="AZ25" s="44"/>
      <c r="BA25" s="45"/>
      <c r="BC25" s="44"/>
    </row>
    <row r="26" spans="1:55" ht="18.75" x14ac:dyDescent="0.3">
      <c r="A26" s="21" t="s">
        <v>30</v>
      </c>
      <c r="B26" s="22" t="str">
        <f>VLOOKUP(A26,[5]LISTADHERENT!A$5:H$60,3,0)</f>
        <v>NGUIEMEGNI MATHIEU BLAISE</v>
      </c>
      <c r="C26" s="22"/>
      <c r="D26" s="23"/>
      <c r="E26" s="24"/>
      <c r="F26" s="24"/>
      <c r="G26" s="24"/>
      <c r="H26" s="23"/>
      <c r="I26" s="25"/>
      <c r="J26" s="26"/>
      <c r="K26" s="26"/>
      <c r="L26" s="26"/>
      <c r="M26" s="27"/>
      <c r="N26" s="26"/>
      <c r="O26" s="27"/>
      <c r="P26" s="26"/>
      <c r="Q26" s="28"/>
      <c r="R26" s="29"/>
      <c r="S26" s="51"/>
      <c r="T26" s="55">
        <f t="shared" si="0"/>
        <v>0</v>
      </c>
      <c r="U26" s="41"/>
      <c r="V26" s="42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J26" s="41"/>
      <c r="AK26" s="41"/>
      <c r="AL26" s="41"/>
      <c r="AM26" s="41"/>
      <c r="AN26" s="41"/>
      <c r="AO26" s="41"/>
      <c r="AP26" s="41"/>
      <c r="AQ26" s="41"/>
      <c r="AR26" s="39"/>
      <c r="AS26" s="39"/>
      <c r="AT26" s="43"/>
      <c r="AW26" s="44"/>
      <c r="AX26" s="44"/>
      <c r="AY26" s="44"/>
      <c r="AZ26" s="44"/>
      <c r="BA26" s="45"/>
      <c r="BC26" s="44"/>
    </row>
    <row r="27" spans="1:55" ht="18.75" x14ac:dyDescent="0.3">
      <c r="A27" s="21" t="s">
        <v>31</v>
      </c>
      <c r="B27" s="22" t="str">
        <f>VLOOKUP(A27,[5]LISTADHERENT!A$5:H$60,3,0)</f>
        <v>NKAMGANG JUSTIN DEJOLIE</v>
      </c>
      <c r="C27" s="22"/>
      <c r="D27" s="23"/>
      <c r="E27" s="24"/>
      <c r="F27" s="24"/>
      <c r="G27" s="24"/>
      <c r="H27" s="23"/>
      <c r="I27" s="25"/>
      <c r="J27" s="26"/>
      <c r="K27" s="26"/>
      <c r="L27" s="26"/>
      <c r="M27" s="27"/>
      <c r="N27" s="26"/>
      <c r="O27" s="27"/>
      <c r="P27" s="26"/>
      <c r="Q27" s="28"/>
      <c r="R27" s="29"/>
      <c r="S27" s="51"/>
      <c r="T27" s="55">
        <f t="shared" si="0"/>
        <v>0</v>
      </c>
      <c r="U27" s="41"/>
      <c r="V27" s="42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J27" s="41"/>
      <c r="AK27" s="41"/>
      <c r="AL27" s="41"/>
      <c r="AM27" s="41"/>
      <c r="AN27" s="41"/>
      <c r="AO27" s="41"/>
      <c r="AP27" s="41"/>
      <c r="AQ27" s="41"/>
      <c r="AR27" s="39"/>
      <c r="AS27" s="39"/>
      <c r="AT27" s="43"/>
      <c r="AW27" s="44"/>
      <c r="AX27" s="44"/>
      <c r="AY27" s="44"/>
      <c r="AZ27" s="44"/>
      <c r="BA27" s="45"/>
      <c r="BC27" s="44"/>
    </row>
    <row r="28" spans="1:55" ht="18.75" x14ac:dyDescent="0.3">
      <c r="A28" s="21" t="s">
        <v>32</v>
      </c>
      <c r="B28" s="22" t="str">
        <f>VLOOKUP(A28,[5]LISTADHERENT!A$5:H$60,3,0)</f>
        <v>NKEHE DAVID</v>
      </c>
      <c r="C28" s="22"/>
      <c r="D28" s="23"/>
      <c r="E28" s="24"/>
      <c r="F28" s="24"/>
      <c r="G28" s="24"/>
      <c r="H28" s="23"/>
      <c r="I28" s="25"/>
      <c r="J28" s="26"/>
      <c r="K28" s="26"/>
      <c r="L28" s="26"/>
      <c r="M28" s="27"/>
      <c r="N28" s="26"/>
      <c r="O28" s="27"/>
      <c r="P28" s="26"/>
      <c r="Q28" s="28"/>
      <c r="R28" s="29"/>
      <c r="S28" s="51"/>
      <c r="T28" s="55">
        <f t="shared" si="0"/>
        <v>0</v>
      </c>
      <c r="U28" s="41"/>
      <c r="V28" s="42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J28" s="41"/>
      <c r="AK28" s="41"/>
      <c r="AL28" s="41"/>
      <c r="AM28" s="41"/>
      <c r="AN28" s="41"/>
      <c r="AO28" s="41"/>
      <c r="AP28" s="41"/>
      <c r="AQ28" s="41"/>
      <c r="AR28" s="39"/>
      <c r="AS28" s="39"/>
      <c r="AT28" s="43"/>
      <c r="AW28" s="44"/>
      <c r="AX28" s="44"/>
      <c r="AY28" s="44"/>
      <c r="AZ28" s="44"/>
      <c r="BA28" s="45"/>
      <c r="BC28" s="44"/>
    </row>
    <row r="29" spans="1:55" ht="18.75" x14ac:dyDescent="0.3">
      <c r="A29" s="21" t="s">
        <v>33</v>
      </c>
      <c r="B29" s="22" t="str">
        <f>VLOOKUP(A29,[5]LISTADHERENT!A$5:H$60,3,0)</f>
        <v>NKEPSEU DIEUDONNE</v>
      </c>
      <c r="C29" s="22"/>
      <c r="D29" s="23"/>
      <c r="E29" s="24"/>
      <c r="F29" s="24"/>
      <c r="G29" s="24"/>
      <c r="H29" s="23"/>
      <c r="I29" s="25"/>
      <c r="J29" s="26"/>
      <c r="K29" s="26"/>
      <c r="L29" s="26"/>
      <c r="M29" s="27"/>
      <c r="N29" s="26"/>
      <c r="O29" s="27"/>
      <c r="P29" s="26"/>
      <c r="Q29" s="28"/>
      <c r="R29" s="29"/>
      <c r="S29" s="51"/>
      <c r="T29" s="55">
        <f t="shared" si="0"/>
        <v>0</v>
      </c>
      <c r="U29" s="41"/>
      <c r="V29" s="42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J29" s="41"/>
      <c r="AK29" s="41"/>
      <c r="AL29" s="41"/>
      <c r="AM29" s="41"/>
      <c r="AN29" s="41"/>
      <c r="AO29" s="41"/>
      <c r="AP29" s="41"/>
      <c r="AQ29" s="41"/>
      <c r="AR29" s="39"/>
      <c r="AS29" s="39"/>
      <c r="AT29" s="43"/>
      <c r="AW29" s="44"/>
      <c r="AX29" s="44"/>
      <c r="AY29" s="44"/>
      <c r="AZ29" s="44"/>
      <c r="BA29" s="45"/>
      <c r="BC29" s="44"/>
    </row>
    <row r="30" spans="1:55" ht="18.75" x14ac:dyDescent="0.3">
      <c r="A30" s="21" t="s">
        <v>34</v>
      </c>
      <c r="B30" s="22" t="str">
        <f>VLOOKUP(A30,[5]LISTADHERENT!A$5:H$60,3,0)</f>
        <v>PATEGO NJOSSU GUSTAVE</v>
      </c>
      <c r="C30" s="22"/>
      <c r="D30" s="23"/>
      <c r="E30" s="24"/>
      <c r="F30" s="24"/>
      <c r="G30" s="24"/>
      <c r="H30" s="23"/>
      <c r="I30" s="25"/>
      <c r="J30" s="26"/>
      <c r="K30" s="26"/>
      <c r="L30" s="26"/>
      <c r="M30" s="27"/>
      <c r="N30" s="26"/>
      <c r="O30" s="27"/>
      <c r="P30" s="26"/>
      <c r="Q30" s="28"/>
      <c r="R30" s="29"/>
      <c r="S30" s="51"/>
      <c r="T30" s="55">
        <f t="shared" si="0"/>
        <v>0</v>
      </c>
      <c r="U30" s="41"/>
      <c r="V30" s="42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J30" s="41"/>
      <c r="AK30" s="41"/>
      <c r="AL30" s="41"/>
      <c r="AM30" s="41"/>
      <c r="AN30" s="41"/>
      <c r="AO30" s="41"/>
      <c r="AP30" s="41"/>
      <c r="AQ30" s="41"/>
      <c r="AR30" s="39"/>
      <c r="AS30" s="39"/>
      <c r="AT30" s="43"/>
      <c r="AW30" s="44"/>
      <c r="AX30" s="44"/>
      <c r="AY30" s="44"/>
      <c r="AZ30" s="44"/>
      <c r="BA30" s="45"/>
      <c r="BC30" s="44"/>
    </row>
    <row r="31" spans="1:55" ht="18.75" x14ac:dyDescent="0.3">
      <c r="A31" s="21" t="s">
        <v>35</v>
      </c>
      <c r="B31" s="22" t="str">
        <f>VLOOKUP(A31,[5]LISTADHERENT!A$5:H$60,3,0)</f>
        <v>SIME BRICE</v>
      </c>
      <c r="C31" s="22"/>
      <c r="D31" s="23"/>
      <c r="E31" s="24"/>
      <c r="F31" s="24"/>
      <c r="G31" s="24"/>
      <c r="H31" s="23"/>
      <c r="I31" s="25"/>
      <c r="J31" s="26"/>
      <c r="K31" s="26"/>
      <c r="L31" s="26"/>
      <c r="M31" s="27"/>
      <c r="N31" s="26"/>
      <c r="O31" s="27"/>
      <c r="P31" s="26"/>
      <c r="Q31" s="28"/>
      <c r="R31" s="29"/>
      <c r="S31" s="51"/>
      <c r="T31" s="55">
        <f t="shared" si="0"/>
        <v>0</v>
      </c>
      <c r="U31" s="41"/>
      <c r="V31" s="42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J31" s="41"/>
      <c r="AK31" s="41"/>
      <c r="AL31" s="41"/>
      <c r="AM31" s="41"/>
      <c r="AN31" s="41"/>
      <c r="AO31" s="41"/>
      <c r="AP31" s="41"/>
      <c r="AQ31" s="41"/>
      <c r="AR31" s="39"/>
      <c r="AS31" s="39"/>
      <c r="AT31" s="43"/>
      <c r="AW31" s="44"/>
      <c r="AX31" s="44"/>
      <c r="AY31" s="44"/>
      <c r="AZ31" s="44"/>
      <c r="BA31" s="45"/>
      <c r="BC31" s="44"/>
    </row>
    <row r="32" spans="1:55" ht="18.75" x14ac:dyDescent="0.3">
      <c r="A32" s="21" t="s">
        <v>36</v>
      </c>
      <c r="B32" s="22" t="str">
        <f>VLOOKUP(A32,[5]LISTADHERENT!A$5:H$60,3,0)</f>
        <v>SIMO FONGANG ERIC</v>
      </c>
      <c r="C32" s="22"/>
      <c r="D32" s="23"/>
      <c r="E32" s="24"/>
      <c r="F32" s="24"/>
      <c r="G32" s="24"/>
      <c r="H32" s="23"/>
      <c r="I32" s="25"/>
      <c r="J32" s="26"/>
      <c r="K32" s="26"/>
      <c r="L32" s="26"/>
      <c r="M32" s="27"/>
      <c r="N32" s="26"/>
      <c r="O32" s="27"/>
      <c r="P32" s="26"/>
      <c r="Q32" s="28"/>
      <c r="R32" s="29"/>
      <c r="S32" s="51"/>
      <c r="T32" s="55">
        <f t="shared" si="0"/>
        <v>0</v>
      </c>
      <c r="U32" s="41"/>
      <c r="V32" s="42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J32" s="41"/>
      <c r="AK32" s="41"/>
      <c r="AL32" s="41"/>
      <c r="AM32" s="41"/>
      <c r="AN32" s="41"/>
      <c r="AO32" s="41"/>
      <c r="AP32" s="41"/>
      <c r="AQ32" s="41"/>
      <c r="AR32" s="39"/>
      <c r="AS32" s="39"/>
      <c r="AT32" s="43"/>
      <c r="AW32" s="44"/>
      <c r="AX32" s="44"/>
      <c r="AY32" s="44"/>
      <c r="AZ32" s="44"/>
      <c r="BA32" s="45"/>
      <c r="BC32" s="44"/>
    </row>
    <row r="33" spans="1:55" ht="18.75" x14ac:dyDescent="0.3">
      <c r="A33" s="21" t="s">
        <v>37</v>
      </c>
      <c r="B33" s="22" t="str">
        <f>VLOOKUP(A33,[5]LISTADHERENT!A$5:H$60,3,0)</f>
        <v>SIMO PIERRE</v>
      </c>
      <c r="C33" s="22"/>
      <c r="D33" s="23"/>
      <c r="E33" s="24"/>
      <c r="F33" s="24"/>
      <c r="G33" s="24"/>
      <c r="H33" s="23"/>
      <c r="I33" s="25"/>
      <c r="J33" s="26"/>
      <c r="K33" s="26"/>
      <c r="L33" s="26"/>
      <c r="M33" s="27"/>
      <c r="N33" s="26"/>
      <c r="O33" s="27"/>
      <c r="P33" s="26"/>
      <c r="Q33" s="28"/>
      <c r="R33" s="29"/>
      <c r="S33" s="51"/>
      <c r="T33" s="55">
        <f t="shared" si="0"/>
        <v>0</v>
      </c>
      <c r="U33" s="41"/>
      <c r="V33" s="42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J33" s="41"/>
      <c r="AK33" s="41"/>
      <c r="AL33" s="41"/>
      <c r="AM33" s="41"/>
      <c r="AN33" s="41"/>
      <c r="AO33" s="41"/>
      <c r="AP33" s="41"/>
      <c r="AQ33" s="41"/>
      <c r="AR33" s="39"/>
      <c r="AS33" s="39"/>
      <c r="AT33" s="43"/>
      <c r="AW33" s="44"/>
      <c r="AX33" s="44"/>
      <c r="AY33" s="44"/>
      <c r="AZ33" s="44"/>
      <c r="BA33" s="45"/>
      <c r="BC33" s="44"/>
    </row>
    <row r="34" spans="1:55" ht="18.75" x14ac:dyDescent="0.3">
      <c r="A34" s="21" t="s">
        <v>38</v>
      </c>
      <c r="B34" s="22" t="str">
        <f>VLOOKUP(A34,[5]LISTADHERENT!A$5:H$60,3,0)</f>
        <v>TCHOUAMOU MATHIEU</v>
      </c>
      <c r="C34" s="22"/>
      <c r="D34" s="23"/>
      <c r="E34" s="24"/>
      <c r="F34" s="24"/>
      <c r="G34" s="24"/>
      <c r="H34" s="23"/>
      <c r="I34" s="25"/>
      <c r="J34" s="26"/>
      <c r="K34" s="26"/>
      <c r="L34" s="26"/>
      <c r="M34" s="27"/>
      <c r="N34" s="26"/>
      <c r="O34" s="27"/>
      <c r="P34" s="26"/>
      <c r="Q34" s="28"/>
      <c r="R34" s="29"/>
      <c r="S34" s="51"/>
      <c r="T34" s="55">
        <f t="shared" si="0"/>
        <v>0</v>
      </c>
      <c r="U34" s="41"/>
      <c r="V34" s="42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J34" s="41"/>
      <c r="AK34" s="41"/>
      <c r="AL34" s="41"/>
      <c r="AM34" s="41"/>
      <c r="AN34" s="41"/>
      <c r="AO34" s="41"/>
      <c r="AP34" s="41"/>
      <c r="AQ34" s="41"/>
      <c r="AR34" s="39"/>
      <c r="AS34" s="39"/>
      <c r="AT34" s="43"/>
      <c r="AW34" s="44"/>
      <c r="AX34" s="44"/>
      <c r="AY34" s="44"/>
      <c r="AZ34" s="44"/>
      <c r="BA34" s="45"/>
      <c r="BC34" s="44"/>
    </row>
    <row r="35" spans="1:55" ht="18.75" x14ac:dyDescent="0.3">
      <c r="A35" s="21" t="s">
        <v>39</v>
      </c>
      <c r="B35" s="22" t="str">
        <f>VLOOKUP(A35,[5]LISTADHERENT!A$5:H$60,3,0)</f>
        <v>TIEYAM ERNEST</v>
      </c>
      <c r="C35" s="22"/>
      <c r="D35" s="23"/>
      <c r="E35" s="24"/>
      <c r="F35" s="24"/>
      <c r="G35" s="24"/>
      <c r="H35" s="23"/>
      <c r="I35" s="25"/>
      <c r="J35" s="26"/>
      <c r="K35" s="26"/>
      <c r="L35" s="26"/>
      <c r="M35" s="27"/>
      <c r="N35" s="26"/>
      <c r="O35" s="27"/>
      <c r="P35" s="26"/>
      <c r="Q35" s="28"/>
      <c r="R35" s="29"/>
      <c r="S35" s="51"/>
      <c r="T35" s="55">
        <f t="shared" si="0"/>
        <v>0</v>
      </c>
      <c r="U35" s="41"/>
      <c r="V35" s="42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J35" s="41"/>
      <c r="AK35" s="41"/>
      <c r="AL35" s="41"/>
      <c r="AM35" s="41"/>
      <c r="AN35" s="41"/>
      <c r="AO35" s="41"/>
      <c r="AP35" s="41"/>
      <c r="AQ35" s="41"/>
      <c r="AR35" s="39"/>
      <c r="AS35" s="39"/>
      <c r="AT35" s="43"/>
      <c r="AW35" s="44"/>
      <c r="AX35" s="44"/>
      <c r="AY35" s="44"/>
      <c r="AZ35" s="44"/>
      <c r="BA35" s="45"/>
      <c r="BC35" s="44"/>
    </row>
    <row r="36" spans="1:55" ht="18.75" x14ac:dyDescent="0.3">
      <c r="A36" s="21" t="s">
        <v>40</v>
      </c>
      <c r="B36" s="22" t="str">
        <f>VLOOKUP(A36,[5]LISTADHERENT!A$5:H$60,3,0)</f>
        <v>YEPMOU JEAN JACQUES</v>
      </c>
      <c r="C36" s="22"/>
      <c r="D36" s="23"/>
      <c r="E36" s="24"/>
      <c r="F36" s="24"/>
      <c r="G36" s="24"/>
      <c r="H36" s="23"/>
      <c r="I36" s="25"/>
      <c r="J36" s="26"/>
      <c r="K36" s="26"/>
      <c r="L36" s="26"/>
      <c r="M36" s="27"/>
      <c r="N36" s="26"/>
      <c r="O36" s="27"/>
      <c r="P36" s="26"/>
      <c r="Q36" s="28"/>
      <c r="R36" s="29"/>
      <c r="S36" s="51"/>
      <c r="T36" s="55">
        <f t="shared" si="0"/>
        <v>0</v>
      </c>
      <c r="U36" s="41"/>
      <c r="V36" s="42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J36" s="41"/>
      <c r="AK36" s="41"/>
      <c r="AL36" s="41"/>
      <c r="AM36" s="41"/>
      <c r="AN36" s="41"/>
      <c r="AO36" s="41"/>
      <c r="AP36" s="41"/>
      <c r="AQ36" s="41"/>
      <c r="AR36" s="39"/>
      <c r="AS36" s="39"/>
      <c r="AT36" s="43"/>
      <c r="AW36" s="44"/>
      <c r="AX36" s="44"/>
      <c r="AY36" s="44"/>
      <c r="AZ36" s="44"/>
      <c r="BA36" s="45"/>
      <c r="BC36" s="44"/>
    </row>
    <row r="37" spans="1:55" ht="18.75" x14ac:dyDescent="0.3">
      <c r="A37" s="21" t="s">
        <v>41</v>
      </c>
      <c r="B37" s="22" t="str">
        <f>VLOOKUP(A37,[5]LISTADHERENT!A$5:H$60,3,0)</f>
        <v>YOUMBI EMMANUEL</v>
      </c>
      <c r="C37" s="22"/>
      <c r="D37" s="23"/>
      <c r="E37" s="24"/>
      <c r="F37" s="24"/>
      <c r="G37" s="24"/>
      <c r="H37" s="23"/>
      <c r="I37" s="25"/>
      <c r="J37" s="26"/>
      <c r="K37" s="26"/>
      <c r="L37" s="26"/>
      <c r="M37" s="27"/>
      <c r="N37" s="26"/>
      <c r="O37" s="27"/>
      <c r="P37" s="26"/>
      <c r="Q37" s="27"/>
      <c r="R37" s="29"/>
      <c r="S37" s="53"/>
      <c r="T37" s="55">
        <f t="shared" si="0"/>
        <v>0</v>
      </c>
      <c r="U37" s="41"/>
      <c r="V37" s="42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J37" s="41"/>
      <c r="AK37" s="41"/>
      <c r="AL37" s="41"/>
      <c r="AM37" s="41"/>
      <c r="AN37" s="41"/>
      <c r="AO37" s="41"/>
      <c r="AP37" s="41"/>
      <c r="AQ37" s="41"/>
      <c r="AR37" s="39"/>
      <c r="AS37" s="39"/>
      <c r="AT37" s="43"/>
      <c r="AW37" s="44"/>
      <c r="AX37" s="44"/>
      <c r="AY37" s="44"/>
      <c r="AZ37" s="44"/>
      <c r="BA37" s="45"/>
      <c r="BC37" s="44"/>
    </row>
    <row r="38" spans="1:55" ht="18" x14ac:dyDescent="0.25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27"/>
      <c r="R38" s="27"/>
      <c r="S38" s="53"/>
      <c r="T38" s="55"/>
      <c r="AX38" s="44"/>
      <c r="AY38" s="44"/>
      <c r="AZ38" s="44"/>
      <c r="BA38" s="45"/>
    </row>
    <row r="39" spans="1:55" ht="18.75" thickBot="1" x14ac:dyDescent="0.3">
      <c r="A39" s="32"/>
      <c r="B39" s="33" t="s">
        <v>44</v>
      </c>
      <c r="C39" s="34">
        <f t="shared" ref="C39:H39" si="1">SUM(C8:C38)</f>
        <v>0</v>
      </c>
      <c r="D39" s="34">
        <f t="shared" si="1"/>
        <v>0</v>
      </c>
      <c r="E39" s="34">
        <f t="shared" si="1"/>
        <v>0</v>
      </c>
      <c r="F39" s="34">
        <f t="shared" si="1"/>
        <v>0</v>
      </c>
      <c r="G39" s="34">
        <f t="shared" si="1"/>
        <v>0</v>
      </c>
      <c r="H39" s="34">
        <f t="shared" si="1"/>
        <v>0</v>
      </c>
      <c r="I39" s="34"/>
      <c r="J39" s="34">
        <f t="shared" ref="J39:T39" si="2">SUM(J8:J38)</f>
        <v>0</v>
      </c>
      <c r="K39" s="34">
        <f t="shared" si="2"/>
        <v>0</v>
      </c>
      <c r="L39" s="34">
        <f t="shared" si="2"/>
        <v>0</v>
      </c>
      <c r="M39" s="34">
        <f t="shared" si="2"/>
        <v>0</v>
      </c>
      <c r="N39" s="34">
        <f t="shared" si="2"/>
        <v>0</v>
      </c>
      <c r="O39" s="34">
        <f t="shared" si="2"/>
        <v>0</v>
      </c>
      <c r="P39" s="34">
        <f t="shared" si="2"/>
        <v>0</v>
      </c>
      <c r="Q39" s="34">
        <f t="shared" si="2"/>
        <v>0</v>
      </c>
      <c r="R39" s="34">
        <f t="shared" si="2"/>
        <v>0</v>
      </c>
      <c r="S39" s="54">
        <f t="shared" si="2"/>
        <v>0</v>
      </c>
      <c r="T39" s="56">
        <f t="shared" si="2"/>
        <v>0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</row>
    <row r="40" spans="1:55" ht="16.5" thickTop="1" x14ac:dyDescent="0.25">
      <c r="AX40" s="44"/>
      <c r="AY40" s="44"/>
      <c r="AZ40" s="44"/>
      <c r="BA40" s="45"/>
    </row>
    <row r="41" spans="1:55" x14ac:dyDescent="0.25">
      <c r="AX41" s="44"/>
      <c r="AY41" s="44"/>
      <c r="AZ41" s="44"/>
      <c r="BA41" s="45"/>
    </row>
    <row r="42" spans="1:55" x14ac:dyDescent="0.25">
      <c r="AX42" s="44"/>
      <c r="AY42" s="44"/>
      <c r="AZ42" s="44"/>
      <c r="BA42" s="45"/>
    </row>
    <row r="43" spans="1:55" x14ac:dyDescent="0.25">
      <c r="AX43" s="44"/>
      <c r="AY43" s="44"/>
      <c r="AZ43" s="44"/>
      <c r="BA43" s="45"/>
    </row>
    <row r="44" spans="1:55" x14ac:dyDescent="0.25">
      <c r="AX44" s="44"/>
      <c r="AY44" s="44"/>
      <c r="AZ44" s="44"/>
      <c r="BA44" s="45"/>
    </row>
    <row r="45" spans="1:55" x14ac:dyDescent="0.25">
      <c r="AX45" s="44"/>
      <c r="AY45" s="44"/>
      <c r="AZ45" s="44"/>
      <c r="BA45" s="45"/>
    </row>
    <row r="46" spans="1:55" x14ac:dyDescent="0.25">
      <c r="AX46" s="44"/>
      <c r="AY46" s="44"/>
      <c r="AZ46" s="44"/>
      <c r="BA46" s="45"/>
    </row>
    <row r="47" spans="1:55" x14ac:dyDescent="0.25">
      <c r="AX47" s="44"/>
      <c r="AY47" s="44"/>
      <c r="AZ47" s="44"/>
      <c r="BA47" s="45"/>
    </row>
    <row r="48" spans="1:55" x14ac:dyDescent="0.25">
      <c r="AX48" s="44"/>
      <c r="AY48" s="44"/>
      <c r="AZ48" s="44"/>
      <c r="BA48" s="45"/>
    </row>
    <row r="49" spans="50:53" x14ac:dyDescent="0.25">
      <c r="AX49" s="44"/>
      <c r="AY49" s="44"/>
      <c r="AZ49" s="44"/>
      <c r="BA49" s="45"/>
    </row>
    <row r="50" spans="50:53" x14ac:dyDescent="0.25">
      <c r="AX50" s="44"/>
      <c r="AY50" s="44"/>
      <c r="AZ50" s="44"/>
      <c r="BA50" s="45"/>
    </row>
    <row r="51" spans="50:53" x14ac:dyDescent="0.25">
      <c r="AX51" s="44"/>
      <c r="AY51" s="44"/>
      <c r="AZ51" s="44"/>
      <c r="BA51" s="45"/>
    </row>
    <row r="52" spans="50:53" x14ac:dyDescent="0.25">
      <c r="AX52" s="44"/>
      <c r="AY52" s="44"/>
      <c r="AZ52" s="44"/>
      <c r="BA52" s="45"/>
    </row>
    <row r="53" spans="50:53" x14ac:dyDescent="0.25">
      <c r="AX53" s="44"/>
      <c r="AY53" s="44"/>
      <c r="AZ53" s="44"/>
      <c r="BA53" s="45"/>
    </row>
    <row r="54" spans="50:53" x14ac:dyDescent="0.25">
      <c r="AX54" s="44"/>
      <c r="AY54" s="44"/>
      <c r="AZ54" s="44"/>
      <c r="BA54" s="45"/>
    </row>
    <row r="55" spans="50:53" x14ac:dyDescent="0.25">
      <c r="AX55" s="44"/>
      <c r="AY55" s="44"/>
      <c r="AZ55" s="44"/>
      <c r="BA55" s="45"/>
    </row>
    <row r="56" spans="50:53" x14ac:dyDescent="0.25">
      <c r="AX56" s="44"/>
      <c r="AY56" s="44"/>
      <c r="AZ56" s="44"/>
      <c r="BA56" s="45"/>
    </row>
    <row r="57" spans="50:53" x14ac:dyDescent="0.25">
      <c r="AX57" s="44"/>
      <c r="AY57" s="44"/>
      <c r="AZ57" s="44"/>
      <c r="BA57" s="45"/>
    </row>
    <row r="58" spans="50:53" x14ac:dyDescent="0.25">
      <c r="AX58" s="44"/>
      <c r="AY58" s="44"/>
      <c r="AZ58" s="44"/>
      <c r="BA58" s="45"/>
    </row>
    <row r="59" spans="50:53" x14ac:dyDescent="0.25">
      <c r="AX59" s="44"/>
      <c r="AY59" s="44"/>
      <c r="AZ59" s="44"/>
      <c r="BA59" s="45"/>
    </row>
    <row r="60" spans="50:53" x14ac:dyDescent="0.25">
      <c r="AX60" s="44"/>
      <c r="AY60" s="44"/>
      <c r="AZ60" s="44"/>
      <c r="BA60" s="45"/>
    </row>
    <row r="61" spans="50:53" x14ac:dyDescent="0.25">
      <c r="AX61" s="44"/>
      <c r="AY61" s="44"/>
      <c r="AZ61" s="44"/>
      <c r="BA61" s="45"/>
    </row>
    <row r="62" spans="50:53" x14ac:dyDescent="0.25">
      <c r="AX62" s="44"/>
      <c r="AY62" s="44"/>
      <c r="AZ62" s="44"/>
      <c r="BA62" s="45"/>
    </row>
    <row r="63" spans="50:53" x14ac:dyDescent="0.25">
      <c r="AX63" s="44"/>
      <c r="AY63" s="44"/>
      <c r="AZ63" s="44"/>
      <c r="BA63" s="45"/>
    </row>
    <row r="64" spans="50:53" x14ac:dyDescent="0.25">
      <c r="AX64" s="44"/>
      <c r="AY64" s="44"/>
      <c r="AZ64" s="44"/>
      <c r="BA64" s="45"/>
    </row>
    <row r="65" spans="50:53" x14ac:dyDescent="0.25">
      <c r="AX65" s="44"/>
      <c r="AY65" s="44"/>
      <c r="AZ65" s="44"/>
      <c r="BA65" s="45"/>
    </row>
    <row r="66" spans="50:53" x14ac:dyDescent="0.25">
      <c r="AX66" s="44"/>
      <c r="AY66" s="44"/>
      <c r="AZ66" s="44"/>
      <c r="BA66" s="45"/>
    </row>
    <row r="67" spans="50:53" x14ac:dyDescent="0.25">
      <c r="AX67" s="44"/>
      <c r="AY67" s="44"/>
      <c r="AZ67" s="44"/>
      <c r="BA67" s="45"/>
    </row>
    <row r="68" spans="50:53" x14ac:dyDescent="0.25">
      <c r="AX68" s="44"/>
      <c r="AY68" s="44"/>
      <c r="AZ68" s="44"/>
      <c r="BA68" s="45"/>
    </row>
    <row r="69" spans="50:53" x14ac:dyDescent="0.25">
      <c r="AX69" s="44"/>
      <c r="AY69" s="44"/>
      <c r="AZ69" s="44"/>
      <c r="BA69" s="45"/>
    </row>
    <row r="70" spans="50:53" x14ac:dyDescent="0.25">
      <c r="AX70" s="44"/>
      <c r="AY70" s="44"/>
      <c r="AZ70" s="44"/>
      <c r="BA70" s="45"/>
    </row>
    <row r="71" spans="50:53" x14ac:dyDescent="0.25">
      <c r="AX71" s="44"/>
      <c r="AY71" s="44"/>
      <c r="AZ71" s="44"/>
      <c r="BA71" s="45"/>
    </row>
    <row r="72" spans="50:53" x14ac:dyDescent="0.25">
      <c r="AX72" s="44"/>
      <c r="AY72" s="44"/>
      <c r="AZ72" s="44"/>
      <c r="BA72" s="45"/>
    </row>
    <row r="73" spans="50:53" x14ac:dyDescent="0.25">
      <c r="AX73" s="44"/>
      <c r="AY73" s="44"/>
      <c r="AZ73" s="44"/>
      <c r="BA73" s="45"/>
    </row>
    <row r="74" spans="50:53" x14ac:dyDescent="0.25">
      <c r="AX74" s="44"/>
      <c r="AY74" s="44"/>
      <c r="AZ74" s="44"/>
      <c r="BA74" s="45"/>
    </row>
    <row r="75" spans="50:53" x14ac:dyDescent="0.25">
      <c r="AX75" s="44"/>
      <c r="AY75" s="44"/>
      <c r="AZ75" s="44"/>
      <c r="BA75" s="45"/>
    </row>
    <row r="76" spans="50:53" x14ac:dyDescent="0.25">
      <c r="AX76" s="44"/>
      <c r="AY76" s="44"/>
      <c r="AZ76" s="44"/>
      <c r="BA76" s="45"/>
    </row>
    <row r="77" spans="50:53" x14ac:dyDescent="0.25">
      <c r="AX77" s="44"/>
      <c r="AY77" s="44"/>
      <c r="AZ77" s="44"/>
      <c r="BA77" s="45"/>
    </row>
    <row r="79" spans="50:53" x14ac:dyDescent="0.25">
      <c r="AX79" s="37"/>
      <c r="AY79" s="37"/>
      <c r="AZ79" s="37"/>
      <c r="BA79" s="37"/>
    </row>
  </sheetData>
  <mergeCells count="6">
    <mergeCell ref="T5:T6"/>
    <mergeCell ref="B4:N4"/>
    <mergeCell ref="D5:L5"/>
    <mergeCell ref="M5:O5"/>
    <mergeCell ref="P5:Q5"/>
    <mergeCell ref="R5:S5"/>
  </mergeCells>
  <dataValidations count="1">
    <dataValidation type="list" allowBlank="1" showInputMessage="1" showErrorMessage="1" sqref="U7:U37 AB7:AB37 AG7:AG37 AQ7:AQ37">
      <formula1>MODEVERSEMENTS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C6" sqref="C6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16.5703125" bestFit="1" customWidth="1"/>
    <col min="4" max="4" width="15" bestFit="1" customWidth="1"/>
    <col min="5" max="5" width="16.85546875" bestFit="1" customWidth="1"/>
    <col min="7" max="7" width="15" bestFit="1" customWidth="1"/>
    <col min="9" max="9" width="17.5703125" customWidth="1"/>
  </cols>
  <sheetData>
    <row r="1" spans="1:10" ht="26.25" x14ac:dyDescent="0.4">
      <c r="C1" s="97" t="s">
        <v>88</v>
      </c>
      <c r="D1" s="91"/>
      <c r="E1" s="91"/>
      <c r="H1" s="97" t="s">
        <v>107</v>
      </c>
      <c r="I1" s="91"/>
      <c r="J1" s="91"/>
    </row>
    <row r="2" spans="1:10" ht="15.75" x14ac:dyDescent="0.25">
      <c r="A2" s="18" t="s">
        <v>4</v>
      </c>
      <c r="B2" s="18"/>
      <c r="C2" s="98">
        <v>2022</v>
      </c>
      <c r="D2" s="91"/>
      <c r="E2" s="91"/>
      <c r="H2" s="98">
        <v>2022</v>
      </c>
      <c r="I2" s="91"/>
      <c r="J2" s="91"/>
    </row>
    <row r="3" spans="1:10" ht="15.75" x14ac:dyDescent="0.25">
      <c r="A3" s="18"/>
      <c r="B3" s="18"/>
      <c r="C3" s="18"/>
      <c r="D3" s="18"/>
      <c r="E3" s="18"/>
    </row>
    <row r="4" spans="1:10" ht="15.75" x14ac:dyDescent="0.25">
      <c r="A4" s="18" t="s">
        <v>89</v>
      </c>
      <c r="B4" s="18" t="s">
        <v>90</v>
      </c>
      <c r="C4" s="18" t="s">
        <v>91</v>
      </c>
      <c r="D4" s="18" t="s">
        <v>75</v>
      </c>
      <c r="E4" s="18" t="s">
        <v>77</v>
      </c>
      <c r="G4" s="18" t="s">
        <v>106</v>
      </c>
      <c r="H4" s="18" t="s">
        <v>75</v>
      </c>
      <c r="I4" s="18" t="s">
        <v>76</v>
      </c>
      <c r="J4" s="18" t="s">
        <v>77</v>
      </c>
    </row>
    <row r="5" spans="1:10" ht="18" x14ac:dyDescent="0.25">
      <c r="A5" s="18" t="s">
        <v>92</v>
      </c>
      <c r="E5" s="19">
        <f>14283661-6017000</f>
        <v>8266661</v>
      </c>
    </row>
    <row r="6" spans="1:10" ht="18" x14ac:dyDescent="0.25">
      <c r="A6" s="18" t="s">
        <v>93</v>
      </c>
      <c r="C6" s="14" t="e">
        <f>#REF!+HISTOMVTDEPENSE!T39</f>
        <v>#REF!</v>
      </c>
      <c r="D6" s="9" t="e">
        <f>#REF!</f>
        <v>#REF!</v>
      </c>
      <c r="E6" s="19" t="e">
        <f>IF(D6=0,0,E5+D6-C6)</f>
        <v>#REF!</v>
      </c>
    </row>
    <row r="7" spans="1:10" ht="18" x14ac:dyDescent="0.25">
      <c r="A7" s="18" t="s">
        <v>94</v>
      </c>
      <c r="C7" s="14" t="e">
        <f>#REF!</f>
        <v>#REF!</v>
      </c>
      <c r="D7" s="9" t="e">
        <f>#REF!</f>
        <v>#REF!</v>
      </c>
      <c r="E7" s="19" t="e">
        <f>IF(D7=0,0,E6+D7-C7)</f>
        <v>#REF!</v>
      </c>
      <c r="G7" s="19"/>
    </row>
    <row r="8" spans="1:10" ht="18" x14ac:dyDescent="0.25">
      <c r="A8" s="18" t="s">
        <v>95</v>
      </c>
      <c r="C8" s="14" t="e">
        <f>#REF!</f>
        <v>#REF!</v>
      </c>
      <c r="D8" s="9" t="e">
        <f>#REF!</f>
        <v>#REF!</v>
      </c>
      <c r="E8" s="19" t="e">
        <f t="shared" ref="E8:E17" si="0">IF(D8=0,0,E7+D8-C8)</f>
        <v>#REF!</v>
      </c>
    </row>
    <row r="9" spans="1:10" ht="18" x14ac:dyDescent="0.25">
      <c r="A9" s="18" t="s">
        <v>96</v>
      </c>
      <c r="C9" s="14" t="e">
        <f>#REF!</f>
        <v>#REF!</v>
      </c>
      <c r="D9" s="9" t="e">
        <f>#REF!</f>
        <v>#REF!</v>
      </c>
      <c r="E9" s="19" t="e">
        <f t="shared" si="0"/>
        <v>#REF!</v>
      </c>
    </row>
    <row r="10" spans="1:10" ht="18" x14ac:dyDescent="0.25">
      <c r="A10" s="18" t="s">
        <v>97</v>
      </c>
      <c r="C10" s="14" t="e">
        <f>#REF!</f>
        <v>#REF!</v>
      </c>
      <c r="D10" s="9" t="e">
        <f>#REF!</f>
        <v>#REF!</v>
      </c>
      <c r="E10" s="19" t="e">
        <f t="shared" si="0"/>
        <v>#REF!</v>
      </c>
    </row>
    <row r="11" spans="1:10" ht="18" x14ac:dyDescent="0.25">
      <c r="A11" s="18" t="s">
        <v>98</v>
      </c>
      <c r="C11" s="14" t="e">
        <f>#REF!</f>
        <v>#REF!</v>
      </c>
      <c r="D11" s="9" t="e">
        <f>#REF!</f>
        <v>#REF!</v>
      </c>
      <c r="E11" s="19" t="e">
        <f t="shared" si="0"/>
        <v>#REF!</v>
      </c>
    </row>
    <row r="12" spans="1:10" ht="18" x14ac:dyDescent="0.25">
      <c r="A12" s="18" t="s">
        <v>99</v>
      </c>
      <c r="C12" s="14" t="e">
        <f>#REF!</f>
        <v>#REF!</v>
      </c>
      <c r="D12" s="9" t="e">
        <f>#REF!</f>
        <v>#REF!</v>
      </c>
      <c r="E12" s="19" t="e">
        <f t="shared" si="0"/>
        <v>#REF!</v>
      </c>
    </row>
    <row r="13" spans="1:10" ht="18" x14ac:dyDescent="0.25">
      <c r="A13" s="18" t="s">
        <v>100</v>
      </c>
      <c r="C13" s="14" t="e">
        <f>#REF!</f>
        <v>#REF!</v>
      </c>
      <c r="D13" s="9" t="e">
        <f>#REF!</f>
        <v>#REF!</v>
      </c>
      <c r="E13" s="19" t="e">
        <f t="shared" si="0"/>
        <v>#REF!</v>
      </c>
    </row>
    <row r="14" spans="1:10" ht="18" x14ac:dyDescent="0.25">
      <c r="A14" s="18" t="s">
        <v>101</v>
      </c>
      <c r="C14" s="14" t="e">
        <f>#REF!</f>
        <v>#REF!</v>
      </c>
      <c r="D14" s="9" t="e">
        <f>#REF!</f>
        <v>#REF!</v>
      </c>
      <c r="E14" s="19" t="e">
        <f t="shared" si="0"/>
        <v>#REF!</v>
      </c>
    </row>
    <row r="15" spans="1:10" ht="18" x14ac:dyDescent="0.25">
      <c r="A15" s="18" t="s">
        <v>102</v>
      </c>
      <c r="C15" s="14" t="e">
        <f>#REF!</f>
        <v>#REF!</v>
      </c>
      <c r="D15" s="9" t="e">
        <f>#REF!</f>
        <v>#REF!</v>
      </c>
      <c r="E15" s="19" t="e">
        <f t="shared" si="0"/>
        <v>#REF!</v>
      </c>
    </row>
    <row r="16" spans="1:10" ht="18" x14ac:dyDescent="0.25">
      <c r="A16" s="18" t="s">
        <v>103</v>
      </c>
      <c r="C16" s="14" t="e">
        <f>#REF!</f>
        <v>#REF!</v>
      </c>
      <c r="D16" s="9" t="e">
        <f>#REF!</f>
        <v>#REF!</v>
      </c>
      <c r="E16" s="19" t="e">
        <f t="shared" si="0"/>
        <v>#REF!</v>
      </c>
    </row>
    <row r="17" spans="1:5" ht="18" x14ac:dyDescent="0.25">
      <c r="A17" s="18" t="s">
        <v>104</v>
      </c>
      <c r="C17" s="14" t="e">
        <f>#REF!</f>
        <v>#REF!</v>
      </c>
      <c r="D17" s="9" t="e">
        <f>#REF!</f>
        <v>#REF!</v>
      </c>
      <c r="E17" s="19" t="e">
        <f t="shared" si="0"/>
        <v>#REF!</v>
      </c>
    </row>
    <row r="19" spans="1:5" x14ac:dyDescent="0.25">
      <c r="A19" t="s">
        <v>105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3"/>
  <sheetViews>
    <sheetView zoomScale="96" zoomScaleNormal="96" workbookViewId="0">
      <pane xSplit="4" ySplit="5" topLeftCell="E15" activePane="bottomRight" state="frozen"/>
      <selection pane="topRight" activeCell="E1" sqref="E1"/>
      <selection pane="bottomLeft" activeCell="A6" sqref="A6"/>
      <selection pane="bottomRight" activeCell="A25" sqref="A25:XFD25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8" width="16.28515625" customWidth="1"/>
    <col min="9" max="9" width="14.140625" bestFit="1" customWidth="1"/>
    <col min="10" max="10" width="15" bestFit="1" customWidth="1"/>
    <col min="11" max="11" width="15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8" width="16" customWidth="1"/>
    <col min="19" max="19" width="20.28515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3" width="16.140625" customWidth="1"/>
    <col min="35" max="40" width="16" customWidth="1"/>
    <col min="41" max="41" width="15.28515625" customWidth="1"/>
    <col min="45" max="45" width="12.42578125" bestFit="1" customWidth="1"/>
    <col min="46" max="46" width="17.28515625" customWidth="1"/>
    <col min="49" max="51" width="15" customWidth="1"/>
    <col min="52" max="52" width="15" bestFit="1" customWidth="1"/>
    <col min="54" max="55" width="12.42578125" customWidth="1"/>
    <col min="56" max="56" width="15" bestFit="1" customWidth="1"/>
    <col min="58" max="58" width="15" bestFit="1" customWidth="1"/>
    <col min="66" max="66" width="28.7109375" bestFit="1" customWidth="1"/>
    <col min="67" max="67" width="28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2022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1">
        <v>66</v>
      </c>
      <c r="BO3" s="2"/>
      <c r="BP3" s="1"/>
      <c r="BQ3" s="2"/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46</v>
      </c>
      <c r="J5" s="4" t="s">
        <v>66</v>
      </c>
      <c r="K5" s="4" t="s">
        <v>68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67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110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111</v>
      </c>
      <c r="AJ5" s="4" t="s">
        <v>53</v>
      </c>
      <c r="AK5" s="4" t="s">
        <v>54</v>
      </c>
      <c r="AL5" s="4" t="s">
        <v>112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80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60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VLOOKUP(A6,[6]LISTADHERENT!A$5:H$60,3,0)</f>
        <v>ASELBY</v>
      </c>
      <c r="C6" s="5">
        <f>D6+E6+F6-U6-BB6</f>
        <v>0</v>
      </c>
      <c r="D6" s="9">
        <f>VLOOKUP(A6,[7]HISTOBQUEDEC22!$A$6:$G$36,3,0)</f>
        <v>100000</v>
      </c>
      <c r="E6" s="9">
        <f>VLOOKUP(A6,[7]HISTOBQUEDEC22!$A$6:$G$36,4,0)</f>
        <v>0</v>
      </c>
      <c r="F6" s="9">
        <f>VLOOKUP(A6,[7]HISTOBQUEDEC22!$A$6:$G$36,5,0)</f>
        <v>0</v>
      </c>
      <c r="G6" s="5">
        <f t="shared" ref="G6:G36" si="0">IF(H6="ESPECES",3000,0)</f>
        <v>0</v>
      </c>
      <c r="H6" s="10" t="str">
        <f t="shared" ref="H6:H36" si="1">IF($D6&lt;&gt;0,"BANQUE",IF($E6&lt;&gt;0,"ESPECES","ECHEC"))</f>
        <v>BANQUE</v>
      </c>
      <c r="I6" s="11"/>
      <c r="J6" s="11">
        <f t="shared" ref="J6:J36" si="2">IF($D6&lt;&gt;0,I6*30000,IF($E6&lt;&gt;0,I6*30000,0))</f>
        <v>0</v>
      </c>
      <c r="K6" s="11"/>
      <c r="L6" s="6"/>
      <c r="M6" s="11">
        <f t="shared" ref="M6:M36" si="3">IF($D6&lt;&gt;0,L6*75000,IF($E6&lt;&gt;0,L6*75000,0))</f>
        <v>0</v>
      </c>
      <c r="N6" s="6">
        <v>1</v>
      </c>
      <c r="O6" s="11">
        <f t="shared" ref="O6:O36" si="4">IF($D6&lt;&gt;0,N6*100000,IF($E6&lt;&gt;0,N6*100000,0))</f>
        <v>100000</v>
      </c>
      <c r="P6" s="20"/>
      <c r="Q6" s="2"/>
      <c r="R6" s="2">
        <f>VLOOKUP(A6,[8]TONTDEC22!$A$6:$P$21,10,0)</f>
        <v>0</v>
      </c>
      <c r="S6" s="20"/>
      <c r="T6" s="12"/>
      <c r="U6" s="17">
        <f>G6+S6++R6+P6+O6+M6+K6+J6+Q6+V6+W6</f>
        <v>100000</v>
      </c>
      <c r="V6" s="12"/>
      <c r="W6" s="12"/>
      <c r="X6" s="12"/>
      <c r="Y6" s="12"/>
      <c r="Z6" s="12"/>
      <c r="AA6" s="12"/>
      <c r="AB6" s="12"/>
      <c r="AC6" s="12"/>
      <c r="AD6" s="12"/>
      <c r="AE6" s="12">
        <v>100000</v>
      </c>
      <c r="AF6" s="12" t="s">
        <v>8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5">IF(H6="ECHEC",((J6+M6+O6)*20/100),0)</f>
        <v>0</v>
      </c>
      <c r="AR6" s="8">
        <f t="shared" ref="AR6:AR36" si="6">IF(H6="ECHEC",((J6+M6+O6)*20/100),0)</f>
        <v>0</v>
      </c>
      <c r="AS6" s="13"/>
      <c r="AV6" s="15"/>
      <c r="AW6" s="15">
        <f>IF(AC6=0,AI6,(1*23000*13)+(1000+AI6)-AC6)</f>
        <v>0</v>
      </c>
      <c r="AX6" s="15">
        <f>IF(AD6=0,AJ6,(1*75000*16)+(AJ6)-AD6)</f>
        <v>0</v>
      </c>
      <c r="AY6" s="15">
        <f>IF(AE6=0,AK6,(1*100000*13)+(AK6)-AE6)</f>
        <v>1200000</v>
      </c>
      <c r="AZ6" s="16">
        <f>SUM(AV6:AY6)-BF6+Z6-F6+BH6+BI6+BJ6+BK6</f>
        <v>1206000</v>
      </c>
      <c r="BA6" s="58"/>
      <c r="BB6" s="58"/>
      <c r="BC6" s="15"/>
      <c r="BD6" s="57">
        <f>IF(AZ6=0,(AZ6-BA6-BC6),(AZ6-BA6-BB6-BC6))</f>
        <v>1206000</v>
      </c>
      <c r="BF6" s="29">
        <f>Z6*1/100*BG6</f>
        <v>0</v>
      </c>
      <c r="BG6">
        <v>0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12</v>
      </c>
      <c r="B7" s="1" t="str">
        <f>VLOOKUP(A7,[6]LISTADHERENT!A$5:H$60,3,0)</f>
        <v>BOUTCHOUANG WILLIAM</v>
      </c>
      <c r="C7" s="5">
        <f t="shared" ref="C7:C36" si="7">D7+E7+F7-U7-BB7</f>
        <v>0</v>
      </c>
      <c r="D7" s="9">
        <f>VLOOKUP(A7,[7]HISTOBQUEDEC22!$A$6:$G$36,3,0)</f>
        <v>105000</v>
      </c>
      <c r="E7" s="9">
        <f>VLOOKUP(A7,[7]HISTOBQUEDEC22!$A$6:$G$36,4,0)</f>
        <v>0</v>
      </c>
      <c r="F7" s="9">
        <f>VLOOKUP(A7,[7]HISTOBQUEDEC22!$A$6:$G$36,5,0)</f>
        <v>0</v>
      </c>
      <c r="G7" s="5">
        <f t="shared" si="0"/>
        <v>0</v>
      </c>
      <c r="H7" s="10" t="str">
        <f t="shared" si="1"/>
        <v>BANQUE</v>
      </c>
      <c r="I7" s="11">
        <v>1</v>
      </c>
      <c r="J7" s="11">
        <f t="shared" si="2"/>
        <v>30000</v>
      </c>
      <c r="K7" s="11"/>
      <c r="L7" s="6">
        <v>1</v>
      </c>
      <c r="M7" s="11">
        <f t="shared" si="3"/>
        <v>75000</v>
      </c>
      <c r="N7" s="6"/>
      <c r="O7" s="11">
        <f t="shared" si="4"/>
        <v>0</v>
      </c>
      <c r="P7" s="2">
        <f>VLOOKUP(A7,[9]TONTDEC22!$A$6:$R$31,12,0)</f>
        <v>0</v>
      </c>
      <c r="R7" s="2"/>
      <c r="S7" s="20"/>
      <c r="T7" s="12"/>
      <c r="U7" s="17">
        <f t="shared" ref="U7:U36" si="8">G7+S7++R7+P7+O7+M7+K7+J7+Q7+V7+W7</f>
        <v>105000</v>
      </c>
      <c r="V7" s="12"/>
      <c r="W7" s="12"/>
      <c r="X7" s="12"/>
      <c r="Y7" s="12"/>
      <c r="Z7" s="12">
        <v>500000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5"/>
        <v>0</v>
      </c>
      <c r="AR7" s="8">
        <f t="shared" si="6"/>
        <v>0</v>
      </c>
      <c r="AS7" s="13">
        <f t="shared" ref="AS7:AS36" si="9">IF(H7="ECHEC",0,(J7+K7-23000))</f>
        <v>7000</v>
      </c>
      <c r="AT7" s="29">
        <v>20000</v>
      </c>
      <c r="AV7" s="15"/>
      <c r="AW7" s="15">
        <f t="shared" ref="AW7:AW36" si="10">IF(AC7=0,AI7,(1*23000*13)+(1000+AI7)-AC7)</f>
        <v>0</v>
      </c>
      <c r="AX7" s="15">
        <f t="shared" ref="AX7:AX36" si="11">IF(AD7=0,AJ7,(1*75000*16)+(AJ7)-AD7)</f>
        <v>0</v>
      </c>
      <c r="AY7" s="15">
        <f t="shared" ref="AY7:AY36" si="12">IF(AE7=0,AK7,(1*100000*13)+(AK7)-AE7)</f>
        <v>0</v>
      </c>
      <c r="AZ7" s="16">
        <f t="shared" ref="AZ7:AZ36" si="13">SUM(AV7:AY7)-BF7+Z7-F7+BH7+BI7+BJ7+BK7</f>
        <v>490000</v>
      </c>
      <c r="BA7" s="58"/>
      <c r="BB7" s="58"/>
      <c r="BC7" s="15"/>
      <c r="BD7" s="57">
        <f t="shared" ref="BD7:BD36" si="14">IF(AZ7=0,(AZ7-BA7-BC7),(AZ7-BA7-BB7-BC7))</f>
        <v>490000</v>
      </c>
      <c r="BF7" s="29">
        <f t="shared" ref="BF7:BF36" si="15">Z7*1/100*BG7</f>
        <v>10000</v>
      </c>
      <c r="BG7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9" ht="18.75" x14ac:dyDescent="0.3">
      <c r="A8" s="1" t="s">
        <v>13</v>
      </c>
      <c r="B8" s="1" t="str">
        <f>VLOOKUP(A8,[6]LISTADHERENT!A$5:H$60,3,0)</f>
        <v xml:space="preserve">DJOMO JEAN PAUL </v>
      </c>
      <c r="C8" s="5">
        <f t="shared" si="7"/>
        <v>0</v>
      </c>
      <c r="D8" s="9">
        <f>VLOOKUP(A8,[7]HISTOBQUEDEC22!$A$6:$G$36,3,0)</f>
        <v>1105000</v>
      </c>
      <c r="E8" s="9">
        <f>VLOOKUP(A8,[7]HISTOBQUEDEC22!$A$6:$G$36,4,0)</f>
        <v>0</v>
      </c>
      <c r="F8" s="9">
        <f>VLOOKUP(A8,[7]HISTOBQUEDEC22!$A$6:$G$36,5,0)</f>
        <v>0</v>
      </c>
      <c r="G8" s="5">
        <f t="shared" si="0"/>
        <v>0</v>
      </c>
      <c r="H8" s="10" t="str">
        <f t="shared" si="1"/>
        <v>BANQUE</v>
      </c>
      <c r="I8" s="11">
        <v>1</v>
      </c>
      <c r="J8" s="11">
        <f t="shared" si="2"/>
        <v>30000</v>
      </c>
      <c r="K8" s="11"/>
      <c r="L8" s="6">
        <v>1</v>
      </c>
      <c r="M8" s="11">
        <f t="shared" si="3"/>
        <v>75000</v>
      </c>
      <c r="N8" s="6"/>
      <c r="O8" s="11">
        <f t="shared" si="4"/>
        <v>0</v>
      </c>
      <c r="P8" s="2">
        <f>VLOOKUP(A8,[9]TONTDEC22!$A$6:$R$31,12,0)</f>
        <v>0</v>
      </c>
      <c r="Q8" s="2">
        <f>VLOOKUP(A8,[10]TONTDEC22!$A$6:$P$21,10,0)</f>
        <v>0</v>
      </c>
      <c r="R8" s="2"/>
      <c r="S8" s="20">
        <f>775000+130000+95000</f>
        <v>1000000</v>
      </c>
      <c r="T8" s="12" t="s">
        <v>8</v>
      </c>
      <c r="U8" s="17">
        <f t="shared" si="8"/>
        <v>1105000</v>
      </c>
      <c r="V8" s="12"/>
      <c r="W8" s="12"/>
      <c r="X8" s="12"/>
      <c r="Y8" s="12"/>
      <c r="Z8" s="12">
        <v>1000000</v>
      </c>
      <c r="AA8" s="12" t="s">
        <v>8</v>
      </c>
      <c r="AB8" s="12"/>
      <c r="AC8" s="12"/>
      <c r="AD8" s="12"/>
      <c r="AE8" s="12"/>
      <c r="AF8" s="12"/>
      <c r="AG8" s="12"/>
      <c r="AI8" s="12"/>
      <c r="AJ8" s="12"/>
      <c r="AK8" s="12"/>
      <c r="AL8" s="12"/>
      <c r="AM8" s="12"/>
      <c r="AN8" s="12"/>
      <c r="AO8" s="12"/>
      <c r="AP8" s="12"/>
      <c r="AQ8" s="8">
        <f t="shared" si="5"/>
        <v>0</v>
      </c>
      <c r="AR8" s="8">
        <f t="shared" si="6"/>
        <v>0</v>
      </c>
      <c r="AS8" s="13">
        <f t="shared" si="9"/>
        <v>7000</v>
      </c>
      <c r="AT8" s="29">
        <v>20000</v>
      </c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880000</v>
      </c>
      <c r="BA8" s="58"/>
      <c r="BB8" s="58"/>
      <c r="BC8" s="15"/>
      <c r="BD8" s="57">
        <f t="shared" si="14"/>
        <v>880000</v>
      </c>
      <c r="BF8" s="29">
        <f t="shared" si="15"/>
        <v>120000</v>
      </c>
      <c r="BG8">
        <v>12</v>
      </c>
      <c r="BH8" s="15"/>
      <c r="BI8" s="15"/>
      <c r="BJ8" s="15"/>
      <c r="BK8" s="15"/>
      <c r="BL8" s="15"/>
      <c r="BM8" s="15"/>
      <c r="BN8" t="s">
        <v>117</v>
      </c>
      <c r="BO8" t="s">
        <v>114</v>
      </c>
      <c r="BP8" s="6"/>
    </row>
    <row r="9" spans="1:69" ht="18.75" x14ac:dyDescent="0.3">
      <c r="A9" s="1" t="s">
        <v>14</v>
      </c>
      <c r="B9" s="1" t="str">
        <f>VLOOKUP(A9,[6]LISTADHERENT!A$5:H$60,3,0)</f>
        <v>DJOMOU TCHANDA</v>
      </c>
      <c r="C9" s="5">
        <f t="shared" si="7"/>
        <v>0</v>
      </c>
      <c r="D9" s="9">
        <f>VLOOKUP(A9,[7]HISTOBQUEDEC22!$A$6:$G$36,3,0)</f>
        <v>30000</v>
      </c>
      <c r="E9" s="9">
        <f>VLOOKUP(A9,[7]HISTOBQUEDEC22!$A$6:$G$36,4,0)</f>
        <v>0</v>
      </c>
      <c r="F9" s="9">
        <f>VLOOKUP(A9,[7]HISTOBQUEDEC22!$A$6:$G$36,5,0)</f>
        <v>0</v>
      </c>
      <c r="G9" s="5">
        <f t="shared" si="0"/>
        <v>0</v>
      </c>
      <c r="H9" s="10" t="str">
        <f t="shared" si="1"/>
        <v>BANQUE</v>
      </c>
      <c r="I9" s="11">
        <v>1</v>
      </c>
      <c r="J9" s="11">
        <f t="shared" si="2"/>
        <v>30000</v>
      </c>
      <c r="K9" s="11"/>
      <c r="L9" s="6"/>
      <c r="M9" s="11">
        <f t="shared" si="3"/>
        <v>0</v>
      </c>
      <c r="N9" s="6"/>
      <c r="O9" s="11">
        <f t="shared" si="4"/>
        <v>0</v>
      </c>
      <c r="P9" s="2">
        <f>VLOOKUP(A9,[9]TONTDEC22!$A$6:$R$31,12,0)</f>
        <v>0</v>
      </c>
      <c r="Q9" s="2"/>
      <c r="R9" s="2"/>
      <c r="S9" s="20"/>
      <c r="T9" s="12"/>
      <c r="U9" s="17">
        <f t="shared" si="8"/>
        <v>30000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I9" s="12"/>
      <c r="AJ9" s="12"/>
      <c r="AK9" s="12"/>
      <c r="AL9" s="12"/>
      <c r="AM9" s="12"/>
      <c r="AN9" s="12"/>
      <c r="AO9" s="12"/>
      <c r="AP9" s="12"/>
      <c r="AQ9" s="8">
        <f t="shared" si="5"/>
        <v>0</v>
      </c>
      <c r="AR9" s="8">
        <f t="shared" si="6"/>
        <v>0</v>
      </c>
      <c r="AS9" s="13">
        <f t="shared" si="9"/>
        <v>7000</v>
      </c>
      <c r="AT9" s="29">
        <v>20000</v>
      </c>
      <c r="AV9" s="15"/>
      <c r="AW9" s="15">
        <f t="shared" si="10"/>
        <v>0</v>
      </c>
      <c r="AX9" s="15">
        <f t="shared" si="11"/>
        <v>0</v>
      </c>
      <c r="AY9" s="15">
        <f t="shared" si="12"/>
        <v>0</v>
      </c>
      <c r="AZ9" s="16">
        <f t="shared" si="13"/>
        <v>0</v>
      </c>
      <c r="BA9" s="58"/>
      <c r="BB9" s="58"/>
      <c r="BC9" s="15"/>
      <c r="BD9" s="57">
        <f t="shared" si="14"/>
        <v>0</v>
      </c>
      <c r="BF9" s="29">
        <f t="shared" si="15"/>
        <v>0</v>
      </c>
      <c r="BG9">
        <v>0</v>
      </c>
      <c r="BH9" s="15"/>
      <c r="BI9" s="15"/>
      <c r="BJ9" s="15"/>
      <c r="BK9" s="15"/>
      <c r="BL9" s="15"/>
      <c r="BM9" s="15"/>
      <c r="BN9" t="s">
        <v>147</v>
      </c>
      <c r="BO9" t="s">
        <v>114</v>
      </c>
      <c r="BP9" s="6"/>
    </row>
    <row r="10" spans="1:69" ht="18.75" x14ac:dyDescent="0.3">
      <c r="A10" s="1" t="s">
        <v>15</v>
      </c>
      <c r="B10" s="1" t="str">
        <f>VLOOKUP(A10,[6]LISTADHERENT!A$5:H$60,3,0)</f>
        <v>DJOUKWE NANGUEN GUY BLAISE</v>
      </c>
      <c r="C10" s="5">
        <f t="shared" si="7"/>
        <v>0</v>
      </c>
      <c r="D10" s="9">
        <f>VLOOKUP(A10,[7]HISTOBQUEDEC22!$A$6:$G$36,3,0)</f>
        <v>1105000</v>
      </c>
      <c r="E10" s="9">
        <f>VLOOKUP(A10,[7]HISTOBQUEDEC22!$A$6:$G$36,4,0)</f>
        <v>0</v>
      </c>
      <c r="F10" s="9">
        <f>VLOOKUP(A10,[7]HISTOBQUEDEC22!$A$6:$G$36,5,0)</f>
        <v>0</v>
      </c>
      <c r="G10" s="5">
        <f t="shared" si="0"/>
        <v>0</v>
      </c>
      <c r="H10" s="10" t="str">
        <f t="shared" si="1"/>
        <v>BANQUE</v>
      </c>
      <c r="I10" s="11">
        <v>1</v>
      </c>
      <c r="J10" s="11">
        <f t="shared" si="2"/>
        <v>30000</v>
      </c>
      <c r="K10" s="11"/>
      <c r="L10" s="6">
        <v>1</v>
      </c>
      <c r="M10" s="11">
        <f t="shared" si="3"/>
        <v>75000</v>
      </c>
      <c r="N10" s="6"/>
      <c r="O10" s="11">
        <f t="shared" si="4"/>
        <v>0</v>
      </c>
      <c r="P10" s="2">
        <f>VLOOKUP(A10,[9]TONTDEC22!$A$6:$R$31,12,0)</f>
        <v>0</v>
      </c>
      <c r="Q10" s="2">
        <f>VLOOKUP(A10,[10]TONTDEC22!$A$6:$P$21,10,0)</f>
        <v>0</v>
      </c>
      <c r="R10" s="2"/>
      <c r="S10" s="20">
        <f>900000+100000</f>
        <v>1000000</v>
      </c>
      <c r="T10" s="12" t="s">
        <v>8</v>
      </c>
      <c r="U10" s="17">
        <f t="shared" si="8"/>
        <v>1105000</v>
      </c>
      <c r="V10" s="12"/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5"/>
        <v>0</v>
      </c>
      <c r="AR10" s="8">
        <f t="shared" si="6"/>
        <v>0</v>
      </c>
      <c r="AS10" s="13">
        <f t="shared" si="9"/>
        <v>7000</v>
      </c>
      <c r="AT10" s="29">
        <v>20000</v>
      </c>
      <c r="AV10" s="15"/>
      <c r="AW10" s="15">
        <f t="shared" si="10"/>
        <v>0</v>
      </c>
      <c r="AX10" s="15">
        <f t="shared" si="11"/>
        <v>0</v>
      </c>
      <c r="AY10" s="15">
        <f t="shared" si="12"/>
        <v>0</v>
      </c>
      <c r="AZ10" s="16">
        <f t="shared" si="13"/>
        <v>980000</v>
      </c>
      <c r="BA10" s="58"/>
      <c r="BB10" s="58"/>
      <c r="BC10" s="15"/>
      <c r="BD10" s="57">
        <f t="shared" si="14"/>
        <v>980000</v>
      </c>
      <c r="BF10" s="29">
        <f t="shared" si="15"/>
        <v>20000</v>
      </c>
      <c r="BG10">
        <v>2</v>
      </c>
      <c r="BH10" s="15"/>
      <c r="BI10" s="15"/>
      <c r="BJ10" s="15"/>
      <c r="BK10" s="15"/>
      <c r="BL10" s="15"/>
      <c r="BM10" s="15"/>
      <c r="BN10" t="s">
        <v>118</v>
      </c>
      <c r="BO10" t="s">
        <v>114</v>
      </c>
      <c r="BP10" s="6"/>
    </row>
    <row r="11" spans="1:69" ht="18.75" x14ac:dyDescent="0.3">
      <c r="A11" s="1" t="s">
        <v>16</v>
      </c>
      <c r="B11" s="1" t="str">
        <f>VLOOKUP(A11,[6]LISTADHERENT!A$5:H$60,3,0)</f>
        <v>DJUOMBESSY ANTOINE</v>
      </c>
      <c r="C11" s="5">
        <f t="shared" si="7"/>
        <v>0</v>
      </c>
      <c r="D11" s="9">
        <f>VLOOKUP(A11,[7]HISTOBQUEDEC22!$A$6:$G$36,3,0)</f>
        <v>215000</v>
      </c>
      <c r="E11" s="9">
        <f>VLOOKUP(A11,[7]HISTOBQUEDEC22!$A$6:$G$36,4,0)</f>
        <v>0</v>
      </c>
      <c r="F11" s="9">
        <f>VLOOKUP(A11,[7]HISTOBQUEDEC22!$A$6:$G$36,5,0)</f>
        <v>0</v>
      </c>
      <c r="G11" s="5">
        <f t="shared" si="0"/>
        <v>0</v>
      </c>
      <c r="H11" s="10" t="str">
        <f t="shared" si="1"/>
        <v>BANQUE</v>
      </c>
      <c r="I11" s="11">
        <v>1</v>
      </c>
      <c r="J11" s="11">
        <f t="shared" si="2"/>
        <v>30000</v>
      </c>
      <c r="K11" s="11">
        <v>1000</v>
      </c>
      <c r="L11" s="6">
        <v>1</v>
      </c>
      <c r="M11" s="11">
        <f t="shared" si="3"/>
        <v>75000</v>
      </c>
      <c r="N11" s="6">
        <v>1</v>
      </c>
      <c r="O11" s="11">
        <f t="shared" si="4"/>
        <v>100000</v>
      </c>
      <c r="P11" s="2">
        <f>VLOOKUP(A11,[9]TONTDEC22!$A$6:$R$31,12,0)</f>
        <v>0</v>
      </c>
      <c r="Q11" s="2">
        <f>VLOOKUP(A11,[10]TONTDEC22!$A$6:$P$21,10,0)</f>
        <v>0</v>
      </c>
      <c r="R11" s="2">
        <f>VLOOKUP(A11,[8]TONTDEC22!$A$6:$P$21,10,0)</f>
        <v>0</v>
      </c>
      <c r="S11" s="20"/>
      <c r="T11" s="12"/>
      <c r="U11" s="17">
        <f t="shared" si="8"/>
        <v>206000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5"/>
        <v>0</v>
      </c>
      <c r="AR11" s="8">
        <f t="shared" si="6"/>
        <v>0</v>
      </c>
      <c r="AS11" s="13">
        <f t="shared" si="9"/>
        <v>8000</v>
      </c>
      <c r="AT11" s="29">
        <v>20000</v>
      </c>
      <c r="AV11" s="15"/>
      <c r="AW11" s="15">
        <f t="shared" si="10"/>
        <v>0</v>
      </c>
      <c r="AX11" s="15">
        <f t="shared" si="11"/>
        <v>0</v>
      </c>
      <c r="AY11" s="15">
        <f t="shared" si="12"/>
        <v>0</v>
      </c>
      <c r="AZ11" s="16">
        <f t="shared" si="13"/>
        <v>940000</v>
      </c>
      <c r="BA11" s="58"/>
      <c r="BB11" s="58">
        <v>9000</v>
      </c>
      <c r="BC11" s="15"/>
      <c r="BD11" s="57">
        <f t="shared" si="14"/>
        <v>931000</v>
      </c>
      <c r="BF11" s="29">
        <f t="shared" si="15"/>
        <v>60000</v>
      </c>
      <c r="BG11">
        <v>6</v>
      </c>
      <c r="BH11" s="15"/>
      <c r="BI11" s="15"/>
      <c r="BJ11" s="15"/>
      <c r="BK11" s="15"/>
      <c r="BL11" s="15"/>
      <c r="BM11" s="15"/>
      <c r="BN11" t="s">
        <v>119</v>
      </c>
      <c r="BO11" t="s">
        <v>114</v>
      </c>
      <c r="BP11" s="6"/>
    </row>
    <row r="12" spans="1:69" ht="18.75" x14ac:dyDescent="0.3">
      <c r="A12" s="1" t="s">
        <v>17</v>
      </c>
      <c r="B12" s="1" t="str">
        <f>VLOOKUP(A12,[6]LISTADHERENT!A$5:H$60,3,0)</f>
        <v>DOMOU FABIEN</v>
      </c>
      <c r="C12" s="5">
        <f t="shared" si="7"/>
        <v>0</v>
      </c>
      <c r="D12" s="9">
        <f>VLOOKUP(A12,[7]HISTOBQUEDEC22!$A$6:$G$36,3,0)</f>
        <v>1035000</v>
      </c>
      <c r="E12" s="9">
        <f>VLOOKUP(A12,[7]HISTOBQUEDEC22!$A$6:$G$36,4,0)</f>
        <v>0</v>
      </c>
      <c r="F12" s="9">
        <f>VLOOKUP(A12,[7]HISTOBQUEDEC22!$A$6:$G$36,5,0)</f>
        <v>0</v>
      </c>
      <c r="G12" s="5">
        <f t="shared" si="0"/>
        <v>0</v>
      </c>
      <c r="H12" s="10" t="str">
        <f t="shared" si="1"/>
        <v>BANQUE</v>
      </c>
      <c r="I12" s="11">
        <v>1</v>
      </c>
      <c r="J12" s="11">
        <f t="shared" si="2"/>
        <v>30000</v>
      </c>
      <c r="K12" s="11">
        <v>5000</v>
      </c>
      <c r="L12" s="6"/>
      <c r="M12" s="11">
        <f t="shared" si="3"/>
        <v>0</v>
      </c>
      <c r="N12" s="6"/>
      <c r="O12" s="11">
        <f t="shared" si="4"/>
        <v>0</v>
      </c>
      <c r="P12" s="2">
        <f>VLOOKUP(A12,[9]TONTDEC22!$A$6:$R$31,12,0)</f>
        <v>0</v>
      </c>
      <c r="Q12" s="2"/>
      <c r="R12" s="2"/>
      <c r="S12" s="20">
        <v>1000000</v>
      </c>
      <c r="T12" s="12" t="s">
        <v>8</v>
      </c>
      <c r="U12" s="17">
        <f t="shared" si="8"/>
        <v>1035000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5"/>
        <v>0</v>
      </c>
      <c r="AR12" s="8">
        <f t="shared" si="6"/>
        <v>0</v>
      </c>
      <c r="AS12" s="13">
        <f t="shared" si="9"/>
        <v>12000</v>
      </c>
      <c r="AT12" s="29">
        <v>20000</v>
      </c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880000</v>
      </c>
      <c r="BA12" s="58"/>
      <c r="BB12" s="58"/>
      <c r="BC12" s="15"/>
      <c r="BD12" s="57">
        <f t="shared" si="14"/>
        <v>880000</v>
      </c>
      <c r="BF12" s="29">
        <f t="shared" si="15"/>
        <v>120000</v>
      </c>
      <c r="BG12">
        <v>12</v>
      </c>
      <c r="BH12" s="15"/>
      <c r="BI12" s="15"/>
      <c r="BJ12" s="15"/>
      <c r="BK12" s="15"/>
      <c r="BL12" s="15"/>
      <c r="BM12" s="15"/>
      <c r="BN12" t="s">
        <v>120</v>
      </c>
      <c r="BO12" t="s">
        <v>114</v>
      </c>
      <c r="BP12" s="6"/>
    </row>
    <row r="13" spans="1:69" ht="18.75" x14ac:dyDescent="0.3">
      <c r="A13" s="1" t="s">
        <v>18</v>
      </c>
      <c r="B13" s="1" t="str">
        <f>VLOOKUP(A13,[6]LISTADHERENT!A$5:H$60,3,0)</f>
        <v>DONHOU DAVID</v>
      </c>
      <c r="C13" s="5">
        <f t="shared" si="7"/>
        <v>0</v>
      </c>
      <c r="D13" s="9">
        <f>VLOOKUP(A13,[7]HISTOBQUEDEC22!$A$6:$G$36,3,0)</f>
        <v>35000</v>
      </c>
      <c r="E13" s="9">
        <f>VLOOKUP(A13,[7]HISTOBQUEDEC22!$A$6:$G$36,4,0)</f>
        <v>0</v>
      </c>
      <c r="F13" s="9">
        <f>VLOOKUP(A13,[7]HISTOBQUEDEC22!$A$6:$G$36,5,0)</f>
        <v>0</v>
      </c>
      <c r="G13" s="5">
        <f t="shared" si="0"/>
        <v>0</v>
      </c>
      <c r="H13" s="10" t="str">
        <f t="shared" si="1"/>
        <v>BANQUE</v>
      </c>
      <c r="I13" s="11">
        <v>1</v>
      </c>
      <c r="J13" s="11">
        <f t="shared" si="2"/>
        <v>30000</v>
      </c>
      <c r="K13" s="11">
        <v>5000</v>
      </c>
      <c r="L13" s="6"/>
      <c r="M13" s="11">
        <f t="shared" si="3"/>
        <v>0</v>
      </c>
      <c r="N13" s="6"/>
      <c r="O13" s="11">
        <f t="shared" si="4"/>
        <v>0</v>
      </c>
      <c r="P13" s="2">
        <f>VLOOKUP(A13,[9]TONTDEC22!$A$6:$R$31,12,0)</f>
        <v>0</v>
      </c>
      <c r="Q13" s="2"/>
      <c r="R13" s="2"/>
      <c r="S13" s="20"/>
      <c r="T13" s="12"/>
      <c r="U13" s="17">
        <f t="shared" si="8"/>
        <v>35000</v>
      </c>
      <c r="V13" s="12"/>
      <c r="W13" s="12"/>
      <c r="X13" s="12"/>
      <c r="Y13" s="12"/>
      <c r="Z13" s="12"/>
      <c r="AA13" s="12"/>
      <c r="AB13" s="12"/>
      <c r="AC13" s="12">
        <v>23000</v>
      </c>
      <c r="AD13" s="12"/>
      <c r="AE13" s="12"/>
      <c r="AF13" s="12" t="s">
        <v>8</v>
      </c>
      <c r="AG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5"/>
        <v>0</v>
      </c>
      <c r="AR13" s="8">
        <f t="shared" si="6"/>
        <v>0</v>
      </c>
      <c r="AS13" s="13">
        <f t="shared" si="9"/>
        <v>12000</v>
      </c>
      <c r="AT13" s="29">
        <v>20000</v>
      </c>
      <c r="AV13" s="15"/>
      <c r="AW13" s="15">
        <f t="shared" si="10"/>
        <v>277000</v>
      </c>
      <c r="AX13" s="15">
        <f t="shared" si="11"/>
        <v>0</v>
      </c>
      <c r="AY13" s="15">
        <f t="shared" si="12"/>
        <v>0</v>
      </c>
      <c r="AZ13" s="16">
        <f t="shared" si="13"/>
        <v>277000</v>
      </c>
      <c r="BA13" s="58"/>
      <c r="BB13" s="58"/>
      <c r="BC13" s="15"/>
      <c r="BD13" s="57">
        <f t="shared" si="14"/>
        <v>277000</v>
      </c>
      <c r="BF13" s="29">
        <f t="shared" si="15"/>
        <v>0</v>
      </c>
      <c r="BG13">
        <v>0</v>
      </c>
      <c r="BH13" s="15"/>
      <c r="BI13" s="15"/>
      <c r="BJ13" s="15"/>
      <c r="BK13" s="15"/>
      <c r="BL13" s="15"/>
      <c r="BM13" s="15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19</v>
      </c>
      <c r="B14" s="1" t="str">
        <f>VLOOKUP(A14,[6]LISTADHERENT!A$5:H$60,3,0)</f>
        <v>FOTSO THOMAS</v>
      </c>
      <c r="C14" s="5">
        <f t="shared" si="7"/>
        <v>0</v>
      </c>
      <c r="D14" s="9">
        <f>VLOOKUP(A14,[7]HISTOBQUEDEC22!$A$6:$G$36,3,0)</f>
        <v>0</v>
      </c>
      <c r="E14" s="9">
        <f>VLOOKUP(A14,[7]HISTOBQUEDEC22!$A$6:$G$36,4,0)</f>
        <v>0</v>
      </c>
      <c r="F14" s="9">
        <f>VLOOKUP(A14,[7]HISTOBQUEDEC22!$A$6:$G$36,5,0)</f>
        <v>0</v>
      </c>
      <c r="G14" s="5">
        <f t="shared" si="0"/>
        <v>0</v>
      </c>
      <c r="H14" s="10" t="str">
        <f t="shared" si="1"/>
        <v>ECHEC</v>
      </c>
      <c r="I14" s="11"/>
      <c r="J14" s="11">
        <f t="shared" si="2"/>
        <v>0</v>
      </c>
      <c r="K14" s="11"/>
      <c r="L14" s="6"/>
      <c r="M14" s="11">
        <f t="shared" si="3"/>
        <v>0</v>
      </c>
      <c r="N14" s="6"/>
      <c r="O14" s="11">
        <f t="shared" si="4"/>
        <v>0</v>
      </c>
      <c r="P14" s="2"/>
      <c r="Q14" s="2"/>
      <c r="R14" s="2"/>
      <c r="S14" s="20"/>
      <c r="T14" s="12"/>
      <c r="U14" s="17">
        <f t="shared" si="8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5"/>
        <v>0</v>
      </c>
      <c r="AR14" s="8">
        <f t="shared" si="6"/>
        <v>0</v>
      </c>
      <c r="AS14" s="13">
        <f t="shared" si="9"/>
        <v>0</v>
      </c>
      <c r="AT14" s="29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F14" s="29">
        <f t="shared" si="15"/>
        <v>0</v>
      </c>
      <c r="BG14">
        <v>0</v>
      </c>
      <c r="BH14" s="15"/>
      <c r="BI14" s="15"/>
      <c r="BJ14" s="15"/>
      <c r="BK14" s="15"/>
      <c r="BL14" s="15"/>
      <c r="BM14" s="15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VLOOKUP(A15,[6]LISTADHERENT!A$5:H$60,3,0)</f>
        <v>HENGUE PAUL OMER</v>
      </c>
      <c r="C15" s="5">
        <f t="shared" si="7"/>
        <v>0</v>
      </c>
      <c r="D15" s="9">
        <f>VLOOKUP(A15,[7]HISTOBQUEDEC22!$A$6:$G$36,3,0)</f>
        <v>105000</v>
      </c>
      <c r="E15" s="9">
        <f>VLOOKUP(A15,[7]HISTOBQUEDEC22!$A$6:$G$36,4,0)</f>
        <v>0</v>
      </c>
      <c r="F15" s="9">
        <f>VLOOKUP(A15,[7]HISTOBQUEDEC22!$A$6:$G$36,5,0)</f>
        <v>0</v>
      </c>
      <c r="G15" s="5">
        <f t="shared" si="0"/>
        <v>0</v>
      </c>
      <c r="H15" s="10" t="str">
        <f t="shared" si="1"/>
        <v>BANQUE</v>
      </c>
      <c r="I15" s="11">
        <v>1</v>
      </c>
      <c r="J15" s="11">
        <f t="shared" si="2"/>
        <v>30000</v>
      </c>
      <c r="K15" s="11"/>
      <c r="L15" s="6">
        <v>1</v>
      </c>
      <c r="M15" s="11">
        <f t="shared" si="3"/>
        <v>75000</v>
      </c>
      <c r="N15" s="6"/>
      <c r="O15" s="11">
        <f t="shared" si="4"/>
        <v>0</v>
      </c>
      <c r="P15" s="2">
        <f>VLOOKUP(A15,[9]TONTDEC22!$A$6:$R$31,12,0)</f>
        <v>0</v>
      </c>
      <c r="Q15" s="2">
        <f>VLOOKUP(A15,[10]TONTDEC22!$A$6:$P$21,10,0)</f>
        <v>0</v>
      </c>
      <c r="R15" s="2"/>
      <c r="S15" s="20"/>
      <c r="T15" s="12"/>
      <c r="U15" s="17">
        <f t="shared" si="8"/>
        <v>105000</v>
      </c>
      <c r="V15" s="12"/>
      <c r="W15" s="12"/>
      <c r="X15" s="12"/>
      <c r="Y15" s="12"/>
      <c r="Z15" s="12"/>
      <c r="AA15" s="12"/>
      <c r="AB15" s="12"/>
      <c r="AC15" s="12"/>
      <c r="AD15" s="12">
        <v>75000</v>
      </c>
      <c r="AE15" s="12"/>
      <c r="AF15" s="12" t="s">
        <v>8</v>
      </c>
      <c r="AG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5"/>
        <v>0</v>
      </c>
      <c r="AR15" s="8">
        <f t="shared" si="6"/>
        <v>0</v>
      </c>
      <c r="AS15" s="13">
        <f t="shared" si="9"/>
        <v>7000</v>
      </c>
      <c r="AT15" s="29">
        <v>20000</v>
      </c>
      <c r="AV15" s="15"/>
      <c r="AW15" s="15">
        <f t="shared" si="10"/>
        <v>0</v>
      </c>
      <c r="AX15" s="15">
        <f t="shared" si="11"/>
        <v>1125000</v>
      </c>
      <c r="AY15" s="15">
        <f t="shared" si="12"/>
        <v>0</v>
      </c>
      <c r="AZ15" s="16">
        <f t="shared" si="13"/>
        <v>1125000</v>
      </c>
      <c r="BA15" s="58"/>
      <c r="BB15" s="58"/>
      <c r="BC15" s="15"/>
      <c r="BD15" s="57">
        <f t="shared" si="14"/>
        <v>1125000</v>
      </c>
      <c r="BF15" s="29">
        <f t="shared" si="15"/>
        <v>0</v>
      </c>
      <c r="BG15">
        <v>0</v>
      </c>
      <c r="BH15" s="15"/>
      <c r="BI15" s="15"/>
      <c r="BJ15" s="15"/>
      <c r="BK15" s="15"/>
      <c r="BL15" s="15"/>
      <c r="BM15" s="15"/>
      <c r="BP15" s="6"/>
    </row>
    <row r="16" spans="1:69" ht="18.75" x14ac:dyDescent="0.3">
      <c r="A16" s="1" t="s">
        <v>21</v>
      </c>
      <c r="B16" s="1" t="str">
        <f>VLOOKUP(A16,[6]LISTADHERENT!A$5:H$60,3,0)</f>
        <v>HOTCHO BENJAMIN</v>
      </c>
      <c r="C16" s="5">
        <f t="shared" si="7"/>
        <v>0</v>
      </c>
      <c r="D16" s="9">
        <f>VLOOKUP(A16,[7]HISTOBQUEDEC22!$A$6:$G$36,3,0)</f>
        <v>1150000</v>
      </c>
      <c r="E16" s="9">
        <f>VLOOKUP(A16,[7]HISTOBQUEDEC22!$A$6:$G$36,4,0)</f>
        <v>0</v>
      </c>
      <c r="F16" s="9">
        <f>VLOOKUP(A16,[7]HISTOBQUEDEC22!$A$6:$G$36,5,0)</f>
        <v>0</v>
      </c>
      <c r="G16" s="5">
        <f t="shared" si="0"/>
        <v>0</v>
      </c>
      <c r="H16" s="10" t="str">
        <f t="shared" si="1"/>
        <v>BANQUE</v>
      </c>
      <c r="I16" s="11">
        <v>1</v>
      </c>
      <c r="J16" s="11">
        <f t="shared" si="2"/>
        <v>30000</v>
      </c>
      <c r="K16" s="11">
        <v>45000</v>
      </c>
      <c r="L16" s="6">
        <v>1</v>
      </c>
      <c r="M16" s="11">
        <f t="shared" si="3"/>
        <v>75000</v>
      </c>
      <c r="N16" s="6"/>
      <c r="O16" s="11">
        <f t="shared" si="4"/>
        <v>0</v>
      </c>
      <c r="P16" s="2">
        <f>VLOOKUP(A16,[9]TONTDEC22!$A$6:$R$31,12,0)</f>
        <v>0</v>
      </c>
      <c r="Q16" s="2">
        <f>VLOOKUP(A16,[10]TONTDEC22!$A$6:$P$21,10,0)</f>
        <v>0</v>
      </c>
      <c r="R16" s="2"/>
      <c r="S16" s="20">
        <v>1000000</v>
      </c>
      <c r="T16" s="12" t="s">
        <v>8</v>
      </c>
      <c r="U16" s="17">
        <f t="shared" si="8"/>
        <v>1150000</v>
      </c>
      <c r="V16" s="12"/>
      <c r="W16" s="12"/>
      <c r="X16" s="12"/>
      <c r="Y16" s="12"/>
      <c r="Z16" s="12">
        <v>1000000</v>
      </c>
      <c r="AA16" s="12" t="s">
        <v>8</v>
      </c>
      <c r="AB16" s="12"/>
      <c r="AC16" s="12"/>
      <c r="AD16" s="12"/>
      <c r="AE16" s="12"/>
      <c r="AF16" s="12"/>
      <c r="AG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5"/>
        <v>0</v>
      </c>
      <c r="AR16" s="8">
        <f t="shared" si="6"/>
        <v>0</v>
      </c>
      <c r="AS16" s="13">
        <f t="shared" si="9"/>
        <v>52000</v>
      </c>
      <c r="AT16" s="29">
        <v>20000</v>
      </c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880000</v>
      </c>
      <c r="BA16" s="58"/>
      <c r="BB16" s="58"/>
      <c r="BC16" s="15"/>
      <c r="BD16" s="57">
        <f t="shared" si="14"/>
        <v>880000</v>
      </c>
      <c r="BF16" s="29">
        <f t="shared" si="15"/>
        <v>120000</v>
      </c>
      <c r="BG16">
        <v>12</v>
      </c>
      <c r="BH16" s="15"/>
      <c r="BI16" s="15"/>
      <c r="BJ16" s="15"/>
      <c r="BK16" s="15"/>
      <c r="BL16" s="15"/>
      <c r="BM16" s="15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VLOOKUP(A17,[6]LISTADHERENT!A$5:H$60,3,0)</f>
        <v>KOUAMOU MOISE</v>
      </c>
      <c r="C17" s="5">
        <f t="shared" si="7"/>
        <v>0</v>
      </c>
      <c r="D17" s="9">
        <f>VLOOKUP(A17,[7]HISTOBQUEDEC22!$A$6:$G$36,3,0)</f>
        <v>1030000</v>
      </c>
      <c r="E17" s="9">
        <f>VLOOKUP(A17,[7]HISTOBQUEDEC22!$A$6:$G$36,4,0)</f>
        <v>0</v>
      </c>
      <c r="F17" s="9">
        <f>VLOOKUP(A17,[7]HISTOBQUEDEC22!$A$6:$G$36,5,0)</f>
        <v>0</v>
      </c>
      <c r="G17" s="5">
        <f t="shared" si="0"/>
        <v>0</v>
      </c>
      <c r="H17" s="10" t="str">
        <f t="shared" si="1"/>
        <v>BANQUE</v>
      </c>
      <c r="I17" s="11">
        <v>1</v>
      </c>
      <c r="J17" s="11">
        <f t="shared" si="2"/>
        <v>30000</v>
      </c>
      <c r="K17" s="11"/>
      <c r="L17" s="6"/>
      <c r="M17" s="11">
        <f t="shared" si="3"/>
        <v>0</v>
      </c>
      <c r="N17" s="6">
        <v>3</v>
      </c>
      <c r="O17" s="11">
        <f t="shared" si="4"/>
        <v>300000</v>
      </c>
      <c r="P17" s="2">
        <f>VLOOKUP(A17,[9]TONTDEC22!$A$6:$R$31,12,0)</f>
        <v>0</v>
      </c>
      <c r="Q17" s="2"/>
      <c r="R17" s="2">
        <f>VLOOKUP(A17,[8]TONTDEC22!$A$6:$P$21,10,0)</f>
        <v>0</v>
      </c>
      <c r="S17" s="20">
        <v>700000</v>
      </c>
      <c r="T17" s="12" t="s">
        <v>8</v>
      </c>
      <c r="U17" s="17">
        <f t="shared" si="8"/>
        <v>1030000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5"/>
        <v>0</v>
      </c>
      <c r="AR17" s="8">
        <f t="shared" si="6"/>
        <v>0</v>
      </c>
      <c r="AS17" s="13">
        <f t="shared" si="9"/>
        <v>7000</v>
      </c>
      <c r="AT17" s="29">
        <v>20000</v>
      </c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F17" s="29">
        <f t="shared" si="15"/>
        <v>0</v>
      </c>
      <c r="BG17">
        <v>0</v>
      </c>
      <c r="BH17" s="15"/>
      <c r="BI17" s="15"/>
      <c r="BJ17" s="15"/>
      <c r="BK17" s="15"/>
      <c r="BL17" s="15"/>
      <c r="BM17" s="15"/>
      <c r="BN17" s="62"/>
      <c r="BP17" s="6"/>
    </row>
    <row r="18" spans="1:68" ht="18.75" x14ac:dyDescent="0.3">
      <c r="A18" s="1" t="s">
        <v>23</v>
      </c>
      <c r="B18" s="1" t="str">
        <f>VLOOKUP(A18,[6]LISTADHERENT!A$5:H$60,3,0)</f>
        <v>KOUATCHO MESSACK</v>
      </c>
      <c r="C18" s="5">
        <f t="shared" si="7"/>
        <v>0</v>
      </c>
      <c r="D18" s="9">
        <f>VLOOKUP(A18,[7]HISTOBQUEDEC22!$A$6:$G$36,3,0)</f>
        <v>1205000</v>
      </c>
      <c r="E18" s="9">
        <f>VLOOKUP(A18,[7]HISTOBQUEDEC22!$A$6:$G$36,4,0)</f>
        <v>0</v>
      </c>
      <c r="F18" s="9">
        <f>VLOOKUP(A18,[7]HISTOBQUEDEC22!$A$6:$G$36,5,0)</f>
        <v>0</v>
      </c>
      <c r="G18" s="5">
        <f t="shared" si="0"/>
        <v>0</v>
      </c>
      <c r="H18" s="10" t="str">
        <f t="shared" si="1"/>
        <v>BANQUE</v>
      </c>
      <c r="I18" s="11">
        <v>1</v>
      </c>
      <c r="J18" s="11">
        <f t="shared" si="2"/>
        <v>30000</v>
      </c>
      <c r="K18" s="11"/>
      <c r="L18" s="6">
        <v>1</v>
      </c>
      <c r="M18" s="11">
        <f t="shared" si="3"/>
        <v>75000</v>
      </c>
      <c r="N18" s="6">
        <v>1</v>
      </c>
      <c r="O18" s="11">
        <f t="shared" si="4"/>
        <v>100000</v>
      </c>
      <c r="P18" s="2">
        <f>VLOOKUP(A18,[9]TONTDEC22!$A$6:$R$31,12,0)</f>
        <v>0</v>
      </c>
      <c r="Q18" s="2">
        <f>VLOOKUP(A18,[10]TONTDEC22!$A$6:$P$21,10,0)</f>
        <v>0</v>
      </c>
      <c r="R18" s="2">
        <f>VLOOKUP(A18,[8]TONTDEC22!$A$6:$P$21,10,0)</f>
        <v>0</v>
      </c>
      <c r="S18" s="20">
        <v>1000000</v>
      </c>
      <c r="T18" s="12" t="s">
        <v>8</v>
      </c>
      <c r="U18" s="17">
        <f t="shared" si="8"/>
        <v>1205000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5"/>
        <v>0</v>
      </c>
      <c r="AR18" s="8">
        <f t="shared" si="6"/>
        <v>0</v>
      </c>
      <c r="AS18" s="13">
        <f t="shared" si="9"/>
        <v>7000</v>
      </c>
      <c r="AT18" s="29">
        <v>20000</v>
      </c>
      <c r="AV18" s="15"/>
      <c r="AW18" s="15">
        <f t="shared" si="10"/>
        <v>0</v>
      </c>
      <c r="AX18" s="15">
        <f t="shared" si="11"/>
        <v>0</v>
      </c>
      <c r="AY18" s="15">
        <f t="shared" si="12"/>
        <v>0</v>
      </c>
      <c r="AZ18" s="16">
        <f t="shared" si="13"/>
        <v>940000</v>
      </c>
      <c r="BA18" s="58"/>
      <c r="BB18" s="58"/>
      <c r="BC18" s="15"/>
      <c r="BD18" s="57">
        <f t="shared" si="14"/>
        <v>940000</v>
      </c>
      <c r="BF18" s="29">
        <f t="shared" si="15"/>
        <v>60000</v>
      </c>
      <c r="BG18">
        <v>6</v>
      </c>
      <c r="BH18" s="15"/>
      <c r="BI18" s="15"/>
      <c r="BJ18" s="15"/>
      <c r="BK18" s="15"/>
      <c r="BL18" s="15"/>
      <c r="BM18" s="15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VLOOKUP(A19,[6]LISTADHERENT!A$5:H$60,3,0)</f>
        <v>LOWE JEAN</v>
      </c>
      <c r="C19" s="5">
        <f t="shared" si="7"/>
        <v>0</v>
      </c>
      <c r="D19" s="9">
        <f>VLOOKUP(A19,[7]HISTOBQUEDEC22!$A$6:$G$36,3,0)</f>
        <v>1030000</v>
      </c>
      <c r="E19" s="9">
        <f>VLOOKUP(A19,[7]HISTOBQUEDEC22!$A$6:$G$36,4,0)</f>
        <v>0</v>
      </c>
      <c r="F19" s="9">
        <f>VLOOKUP(A19,[7]HISTOBQUEDEC22!$A$6:$G$36,5,0)</f>
        <v>0</v>
      </c>
      <c r="G19" s="5">
        <f t="shared" si="0"/>
        <v>0</v>
      </c>
      <c r="H19" s="10" t="str">
        <f t="shared" si="1"/>
        <v>BANQUE</v>
      </c>
      <c r="I19" s="11">
        <v>1</v>
      </c>
      <c r="J19" s="11">
        <f t="shared" si="2"/>
        <v>30000</v>
      </c>
      <c r="K19" s="11"/>
      <c r="L19" s="6"/>
      <c r="M19" s="11">
        <f t="shared" si="3"/>
        <v>0</v>
      </c>
      <c r="N19" s="6"/>
      <c r="O19" s="11">
        <f t="shared" si="4"/>
        <v>0</v>
      </c>
      <c r="P19" s="2">
        <f>VLOOKUP(A19,[9]TONTDEC22!$A$6:$R$31,12,0)</f>
        <v>0</v>
      </c>
      <c r="Q19" s="2"/>
      <c r="R19" s="2"/>
      <c r="S19" s="20">
        <v>1000000</v>
      </c>
      <c r="T19" s="12" t="s">
        <v>8</v>
      </c>
      <c r="U19" s="17">
        <f t="shared" si="8"/>
        <v>1030000</v>
      </c>
      <c r="V19" s="12"/>
      <c r="W19" s="12"/>
      <c r="X19" s="12"/>
      <c r="Y19" s="12"/>
      <c r="Z19" s="12">
        <v>1000000</v>
      </c>
      <c r="AA19" s="12" t="s">
        <v>8</v>
      </c>
      <c r="AB19" s="12"/>
      <c r="AC19" s="12"/>
      <c r="AD19" s="12"/>
      <c r="AE19" s="12"/>
      <c r="AF19" s="12"/>
      <c r="AG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5"/>
        <v>0</v>
      </c>
      <c r="AR19" s="8">
        <f t="shared" si="6"/>
        <v>0</v>
      </c>
      <c r="AS19" s="13">
        <f t="shared" si="9"/>
        <v>7000</v>
      </c>
      <c r="AT19" s="29">
        <v>20000</v>
      </c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960000</v>
      </c>
      <c r="BA19" s="58"/>
      <c r="BB19" s="58"/>
      <c r="BC19" s="15"/>
      <c r="BD19" s="57">
        <f t="shared" si="14"/>
        <v>960000</v>
      </c>
      <c r="BF19" s="29">
        <f t="shared" si="15"/>
        <v>40000</v>
      </c>
      <c r="BG19">
        <v>4</v>
      </c>
      <c r="BH19" s="15"/>
      <c r="BI19" s="15"/>
      <c r="BJ19" s="15"/>
      <c r="BK19" s="15"/>
      <c r="BL19" s="15"/>
      <c r="BM19" s="15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VLOOKUP(A20,[6]LISTADHERENT!A$5:H$60,3,0)</f>
        <v>MBOGNING TUGMA GUY</v>
      </c>
      <c r="C20" s="5">
        <f t="shared" si="7"/>
        <v>0</v>
      </c>
      <c r="D20" s="9">
        <f>VLOOKUP(A20,[7]HISTOBQUEDEC22!$A$6:$G$36,3,0)</f>
        <v>1627500</v>
      </c>
      <c r="E20" s="9">
        <f>VLOOKUP(A20,[7]HISTOBQUEDEC22!$A$6:$G$36,4,0)</f>
        <v>0</v>
      </c>
      <c r="F20" s="9">
        <f>VLOOKUP(A20,[7]HISTOBQUEDEC22!$A$6:$G$36,5,0)</f>
        <v>0</v>
      </c>
      <c r="G20" s="5">
        <f t="shared" si="0"/>
        <v>0</v>
      </c>
      <c r="H20" s="10" t="str">
        <f t="shared" si="1"/>
        <v>BANQUE</v>
      </c>
      <c r="I20" s="11">
        <v>1</v>
      </c>
      <c r="J20" s="11">
        <f t="shared" si="2"/>
        <v>30000</v>
      </c>
      <c r="K20" s="11"/>
      <c r="L20" s="6">
        <v>3</v>
      </c>
      <c r="M20" s="11">
        <f t="shared" si="3"/>
        <v>225000</v>
      </c>
      <c r="N20" s="6">
        <v>2</v>
      </c>
      <c r="O20" s="11">
        <f t="shared" si="4"/>
        <v>200000</v>
      </c>
      <c r="P20" s="2">
        <f>VLOOKUP(A20,[9]TONTDEC22!$A$6:$R$31,12,0)</f>
        <v>0</v>
      </c>
      <c r="Q20" s="2">
        <f>VLOOKUP(A20,[10]TONTDEC22!$A$6:$P$21,10,0)</f>
        <v>0</v>
      </c>
      <c r="R20" s="2">
        <f>VLOOKUP(A20,[8]TONTDEC22!$A$6:$P$21,10,0)</f>
        <v>172500</v>
      </c>
      <c r="S20" s="20">
        <v>1000000</v>
      </c>
      <c r="T20" s="12" t="s">
        <v>8</v>
      </c>
      <c r="U20" s="17">
        <f t="shared" si="8"/>
        <v>1627500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5"/>
        <v>0</v>
      </c>
      <c r="AR20" s="8">
        <f t="shared" si="6"/>
        <v>0</v>
      </c>
      <c r="AS20" s="13">
        <f t="shared" si="9"/>
        <v>7000</v>
      </c>
      <c r="AT20" s="29">
        <v>20000</v>
      </c>
      <c r="AV20" s="15"/>
      <c r="AW20" s="15">
        <f t="shared" si="10"/>
        <v>0</v>
      </c>
      <c r="AX20" s="15">
        <f t="shared" si="11"/>
        <v>0</v>
      </c>
      <c r="AY20" s="15">
        <f t="shared" si="12"/>
        <v>0</v>
      </c>
      <c r="AZ20" s="16">
        <f t="shared" si="13"/>
        <v>940000</v>
      </c>
      <c r="BA20" s="58"/>
      <c r="BB20" s="58"/>
      <c r="BC20" s="15"/>
      <c r="BD20" s="57">
        <f t="shared" si="14"/>
        <v>940000</v>
      </c>
      <c r="BF20" s="29">
        <f t="shared" si="15"/>
        <v>60000</v>
      </c>
      <c r="BG20">
        <v>6</v>
      </c>
      <c r="BH20" s="15"/>
      <c r="BI20" s="15"/>
      <c r="BJ20" s="15"/>
      <c r="BK20" s="15"/>
      <c r="BL20" s="15"/>
      <c r="BM20" s="15"/>
      <c r="BP20" s="6"/>
    </row>
    <row r="21" spans="1:68" ht="18.75" x14ac:dyDescent="0.3">
      <c r="A21" s="1" t="s">
        <v>26</v>
      </c>
      <c r="B21" s="1" t="str">
        <f>VLOOKUP(A21,[6]LISTADHERENT!A$5:H$60,3,0)</f>
        <v>NANGUEN MARTIN</v>
      </c>
      <c r="C21" s="5">
        <f t="shared" si="7"/>
        <v>0</v>
      </c>
      <c r="D21" s="9">
        <f>VLOOKUP(A21,[7]HISTOBQUEDEC22!$A$6:$G$36,3,0)</f>
        <v>30000</v>
      </c>
      <c r="E21" s="9">
        <f>VLOOKUP(A21,[7]HISTOBQUEDEC22!$A$6:$G$36,4,0)</f>
        <v>0</v>
      </c>
      <c r="F21" s="9">
        <f>VLOOKUP(A21,[7]HISTOBQUEDEC22!$A$6:$G$36,5,0)</f>
        <v>0</v>
      </c>
      <c r="G21" s="5">
        <f t="shared" si="0"/>
        <v>0</v>
      </c>
      <c r="H21" s="10" t="str">
        <f t="shared" si="1"/>
        <v>BANQUE</v>
      </c>
      <c r="I21" s="11">
        <v>1</v>
      </c>
      <c r="J21" s="11">
        <f t="shared" si="2"/>
        <v>30000</v>
      </c>
      <c r="K21" s="11"/>
      <c r="L21" s="6"/>
      <c r="M21" s="11">
        <f t="shared" si="3"/>
        <v>0</v>
      </c>
      <c r="N21" s="6"/>
      <c r="O21" s="11">
        <f t="shared" si="4"/>
        <v>0</v>
      </c>
      <c r="P21" s="2">
        <f>VLOOKUP(A21,[9]TONTDEC22!$A$6:$R$31,12,0)</f>
        <v>0</v>
      </c>
      <c r="Q21" s="2"/>
      <c r="R21" s="2"/>
      <c r="S21" s="20"/>
      <c r="T21" s="12"/>
      <c r="U21" s="17">
        <f t="shared" si="8"/>
        <v>30000</v>
      </c>
      <c r="V21" s="12"/>
      <c r="W21" s="12"/>
      <c r="X21" s="12"/>
      <c r="Y21" s="12"/>
      <c r="Z21" s="12">
        <v>500000</v>
      </c>
      <c r="AA21" s="12" t="s">
        <v>8</v>
      </c>
      <c r="AB21" s="12"/>
      <c r="AC21" s="12"/>
      <c r="AD21" s="12"/>
      <c r="AE21" s="12"/>
      <c r="AF21" s="12"/>
      <c r="AG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5"/>
        <v>0</v>
      </c>
      <c r="AR21" s="8">
        <f t="shared" si="6"/>
        <v>0</v>
      </c>
      <c r="AS21" s="13">
        <f t="shared" si="9"/>
        <v>7000</v>
      </c>
      <c r="AT21" s="29">
        <v>20000</v>
      </c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510000</v>
      </c>
      <c r="BA21" s="58"/>
      <c r="BB21" s="58"/>
      <c r="BC21" s="15"/>
      <c r="BD21" s="57">
        <f t="shared" si="14"/>
        <v>510000</v>
      </c>
      <c r="BF21" s="29">
        <f t="shared" si="15"/>
        <v>60000</v>
      </c>
      <c r="BG21">
        <v>12</v>
      </c>
      <c r="BH21" s="15"/>
      <c r="BI21" s="15"/>
      <c r="BJ21" s="15"/>
      <c r="BK21" s="15">
        <v>70000</v>
      </c>
      <c r="BL21" s="15"/>
      <c r="BM21" s="15"/>
      <c r="BP21" s="6"/>
    </row>
    <row r="22" spans="1:68" ht="18.75" x14ac:dyDescent="0.3">
      <c r="A22" s="1" t="s">
        <v>27</v>
      </c>
      <c r="B22" s="1" t="str">
        <f>VLOOKUP(A22,[6]LISTADHERENT!A$5:H$60,3,0)</f>
        <v>NANKAM APPOLINAIRE</v>
      </c>
      <c r="C22" s="5">
        <f t="shared" si="7"/>
        <v>0</v>
      </c>
      <c r="D22" s="9">
        <f>VLOOKUP(A22,[7]HISTOBQUEDEC22!$A$6:$G$36,3,0)</f>
        <v>1105000</v>
      </c>
      <c r="E22" s="9">
        <f>VLOOKUP(A22,[7]HISTOBQUEDEC22!$A$6:$G$36,4,0)</f>
        <v>0</v>
      </c>
      <c r="F22" s="9">
        <f>VLOOKUP(A22,[7]HISTOBQUEDEC22!$A$6:$G$36,5,0)</f>
        <v>0</v>
      </c>
      <c r="G22" s="5">
        <f t="shared" si="0"/>
        <v>0</v>
      </c>
      <c r="H22" s="10" t="str">
        <f t="shared" si="1"/>
        <v>BANQUE</v>
      </c>
      <c r="I22" s="11">
        <v>1</v>
      </c>
      <c r="J22" s="11">
        <f t="shared" si="2"/>
        <v>30000</v>
      </c>
      <c r="K22" s="11"/>
      <c r="L22" s="6">
        <v>1</v>
      </c>
      <c r="M22" s="11">
        <f t="shared" si="3"/>
        <v>75000</v>
      </c>
      <c r="N22" s="6"/>
      <c r="O22" s="11">
        <f t="shared" si="4"/>
        <v>0</v>
      </c>
      <c r="P22" s="2">
        <f>VLOOKUP(A22,[9]TONTDEC22!$A$6:$R$31,12,0)</f>
        <v>0</v>
      </c>
      <c r="Q22" s="2">
        <f>VLOOKUP(A22,[10]TONTDEC22!$A$6:$P$21,10,0)</f>
        <v>0</v>
      </c>
      <c r="R22" s="2"/>
      <c r="S22" s="20">
        <v>1000000</v>
      </c>
      <c r="T22" s="12" t="s">
        <v>8</v>
      </c>
      <c r="U22" s="17">
        <f t="shared" si="8"/>
        <v>1105000</v>
      </c>
      <c r="V22" s="12"/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5"/>
        <v>0</v>
      </c>
      <c r="AR22" s="8">
        <f t="shared" si="6"/>
        <v>0</v>
      </c>
      <c r="AS22" s="13">
        <f t="shared" si="9"/>
        <v>7000</v>
      </c>
      <c r="AT22" s="29">
        <v>20000</v>
      </c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>SUM(AV22:AY22)-BF22+Z22-F22+BH22+BI22+BJ22+BK22</f>
        <v>880000</v>
      </c>
      <c r="BA22" s="58"/>
      <c r="BB22" s="58"/>
      <c r="BC22" s="15"/>
      <c r="BD22" s="57">
        <f>IF(AZ22=0,(AZ22-BA22-BC22),(AZ22-BA22-BB22-BC22))+71000</f>
        <v>951000</v>
      </c>
      <c r="BF22" s="29">
        <f t="shared" si="15"/>
        <v>120000</v>
      </c>
      <c r="BG22">
        <v>12</v>
      </c>
      <c r="BH22" s="15"/>
      <c r="BI22" s="15"/>
      <c r="BJ22" s="15"/>
      <c r="BK22" s="15"/>
      <c r="BL22" s="15"/>
      <c r="BM22" s="15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VLOOKUP(A23,[6]LISTADHERENT!A$5:H$60,3,0)</f>
        <v>NDJOMO ETIENNE</v>
      </c>
      <c r="C23" s="5">
        <f t="shared" si="7"/>
        <v>0</v>
      </c>
      <c r="D23" s="9">
        <f>VLOOKUP(A23,[7]HISTOBQUEDEC22!$A$6:$G$36,3,0)</f>
        <v>680000</v>
      </c>
      <c r="E23" s="9">
        <f>VLOOKUP(A23,[7]HISTOBQUEDEC22!$A$6:$G$36,4,0)</f>
        <v>101000</v>
      </c>
      <c r="F23" s="9">
        <f>VLOOKUP(A23,[7]HISTOBQUEDEC22!$A$6:$G$36,5,0)</f>
        <v>0</v>
      </c>
      <c r="G23" s="5">
        <f t="shared" si="0"/>
        <v>0</v>
      </c>
      <c r="H23" s="10" t="str">
        <f t="shared" si="1"/>
        <v>BANQUE</v>
      </c>
      <c r="I23" s="11">
        <v>1</v>
      </c>
      <c r="J23" s="11">
        <f t="shared" si="2"/>
        <v>30000</v>
      </c>
      <c r="K23" s="11">
        <v>20000</v>
      </c>
      <c r="L23" s="6"/>
      <c r="M23" s="11">
        <f t="shared" si="3"/>
        <v>0</v>
      </c>
      <c r="N23" s="6">
        <v>1</v>
      </c>
      <c r="O23" s="11">
        <f t="shared" si="4"/>
        <v>100000</v>
      </c>
      <c r="P23" s="2">
        <f>VLOOKUP(A23,[9]TONTDEC22!$A$6:$R$31,12,0)</f>
        <v>0</v>
      </c>
      <c r="Q23" s="2"/>
      <c r="R23" s="2">
        <f>VLOOKUP(A23,[8]TONTDEC22!$A$6:$P$21,10,0)</f>
        <v>101000</v>
      </c>
      <c r="S23" s="20">
        <f>449000+81000</f>
        <v>530000</v>
      </c>
      <c r="T23" s="12" t="s">
        <v>8</v>
      </c>
      <c r="U23" s="17">
        <f t="shared" si="8"/>
        <v>781000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/>
      <c r="AF23" s="12"/>
      <c r="AG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5"/>
        <v>0</v>
      </c>
      <c r="AR23" s="8">
        <f t="shared" si="6"/>
        <v>0</v>
      </c>
      <c r="AS23" s="13">
        <f t="shared" si="9"/>
        <v>27000</v>
      </c>
      <c r="AT23" s="29">
        <v>20000</v>
      </c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552000</v>
      </c>
      <c r="BA23" s="58"/>
      <c r="BB23" s="58"/>
      <c r="BC23" s="15"/>
      <c r="BD23" s="57">
        <f t="shared" si="14"/>
        <v>552000</v>
      </c>
      <c r="BF23" s="29">
        <f t="shared" si="15"/>
        <v>48000</v>
      </c>
      <c r="BG23">
        <v>8</v>
      </c>
      <c r="BH23" s="15"/>
      <c r="BI23" s="15"/>
      <c r="BJ23" s="15"/>
      <c r="BK23" s="15"/>
      <c r="BL23" s="15"/>
      <c r="BM23" s="15"/>
    </row>
    <row r="24" spans="1:68" ht="18.75" x14ac:dyDescent="0.3">
      <c r="A24" s="1" t="s">
        <v>29</v>
      </c>
      <c r="B24" s="1" t="str">
        <f>VLOOKUP(A24,[6]LISTADHERENT!A$5:H$60,3,0)</f>
        <v>NGONDIEP CLAUDE</v>
      </c>
      <c r="C24" s="5">
        <f t="shared" si="7"/>
        <v>0</v>
      </c>
      <c r="D24" s="9">
        <f>VLOOKUP(A24,[7]HISTOBQUEDEC22!$A$6:$G$36,3,0)</f>
        <v>1240000</v>
      </c>
      <c r="E24" s="9">
        <f>VLOOKUP(A24,[7]HISTOBQUEDEC22!$A$6:$G$36,4,0)</f>
        <v>0</v>
      </c>
      <c r="F24" s="9">
        <f>VLOOKUP(A24,[7]HISTOBQUEDEC22!$A$6:$G$36,5,0)</f>
        <v>0</v>
      </c>
      <c r="G24" s="5">
        <f t="shared" si="0"/>
        <v>0</v>
      </c>
      <c r="H24" s="10" t="str">
        <f t="shared" si="1"/>
        <v>BANQUE</v>
      </c>
      <c r="I24" s="11">
        <v>1</v>
      </c>
      <c r="J24" s="11">
        <f t="shared" si="2"/>
        <v>30000</v>
      </c>
      <c r="K24" s="11">
        <v>35000</v>
      </c>
      <c r="L24" s="6">
        <v>1</v>
      </c>
      <c r="M24" s="11">
        <f t="shared" si="3"/>
        <v>75000</v>
      </c>
      <c r="N24" s="6">
        <v>1</v>
      </c>
      <c r="O24" s="11">
        <f t="shared" si="4"/>
        <v>100000</v>
      </c>
      <c r="P24" s="2">
        <f>VLOOKUP(A24,[9]TONTDEC22!$A$6:$R$31,12,0)</f>
        <v>0</v>
      </c>
      <c r="Q24" s="2">
        <f>VLOOKUP(A24,[10]TONTDEC22!$A$6:$P$21,10,0)</f>
        <v>0</v>
      </c>
      <c r="R24" s="2">
        <f>VLOOKUP(A24,[8]TONTDEC22!$A$6:$P$21,10,0)</f>
        <v>0</v>
      </c>
      <c r="S24" s="20">
        <v>1000000</v>
      </c>
      <c r="T24" s="12" t="s">
        <v>8</v>
      </c>
      <c r="U24" s="17">
        <f t="shared" si="8"/>
        <v>1240000</v>
      </c>
      <c r="V24" s="12"/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5"/>
        <v>0</v>
      </c>
      <c r="AR24" s="8">
        <f t="shared" si="6"/>
        <v>0</v>
      </c>
      <c r="AS24" s="13">
        <f t="shared" si="9"/>
        <v>42000</v>
      </c>
      <c r="AT24" s="29">
        <v>20000</v>
      </c>
      <c r="AV24" s="15"/>
      <c r="AW24" s="15">
        <f t="shared" si="10"/>
        <v>0</v>
      </c>
      <c r="AX24" s="15">
        <f t="shared" si="11"/>
        <v>0</v>
      </c>
      <c r="AY24" s="15">
        <f t="shared" si="12"/>
        <v>0</v>
      </c>
      <c r="AZ24" s="16">
        <f t="shared" si="13"/>
        <v>880000</v>
      </c>
      <c r="BA24" s="58"/>
      <c r="BB24" s="58"/>
      <c r="BC24" s="15"/>
      <c r="BD24" s="57">
        <f t="shared" si="14"/>
        <v>880000</v>
      </c>
      <c r="BF24" s="29">
        <f t="shared" si="15"/>
        <v>120000</v>
      </c>
      <c r="BG24">
        <v>12</v>
      </c>
      <c r="BH24" s="15"/>
      <c r="BI24" s="15"/>
      <c r="BJ24" s="15"/>
      <c r="BK24" s="15"/>
      <c r="BL24" s="15"/>
      <c r="BM24" s="15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VLOOKUP(A25,[6]LISTADHERENT!A$5:H$60,3,0)</f>
        <v>NGUIEMEGNI MATHIEU BLAISE</v>
      </c>
      <c r="C25" s="5">
        <f t="shared" si="7"/>
        <v>0</v>
      </c>
      <c r="D25" s="9">
        <f>VLOOKUP(A25,[7]HISTOBQUEDEC22!$A$6:$G$36,3,0)</f>
        <v>1280000</v>
      </c>
      <c r="E25" s="9">
        <f>VLOOKUP(A25,[7]HISTOBQUEDEC22!$A$6:$G$36,4,0)</f>
        <v>0</v>
      </c>
      <c r="F25" s="9">
        <f>VLOOKUP(A25,[7]HISTOBQUEDEC22!$A$6:$G$36,5,0)</f>
        <v>0</v>
      </c>
      <c r="G25" s="5">
        <f t="shared" si="0"/>
        <v>0</v>
      </c>
      <c r="H25" s="10" t="str">
        <f t="shared" si="1"/>
        <v>BANQUE</v>
      </c>
      <c r="I25" s="11">
        <v>1</v>
      </c>
      <c r="J25" s="11">
        <f t="shared" si="2"/>
        <v>30000</v>
      </c>
      <c r="K25" s="11"/>
      <c r="L25" s="6">
        <v>2</v>
      </c>
      <c r="M25" s="11">
        <f t="shared" si="3"/>
        <v>150000</v>
      </c>
      <c r="N25" s="6">
        <v>1</v>
      </c>
      <c r="O25" s="11">
        <f t="shared" si="4"/>
        <v>100000</v>
      </c>
      <c r="P25" s="2">
        <f>VLOOKUP(A25,[9]TONTDEC22!$A$6:$R$31,12,0)</f>
        <v>0</v>
      </c>
      <c r="Q25" s="2">
        <f>VLOOKUP(A25,[10]TONTDEC22!$A$6:$P$21,10,0)</f>
        <v>0</v>
      </c>
      <c r="R25" s="2">
        <f>VLOOKUP(A25,[8]TONTDEC22!$A$6:$P$21,10,0)</f>
        <v>0</v>
      </c>
      <c r="S25" s="20">
        <v>1000000</v>
      </c>
      <c r="T25" s="12" t="s">
        <v>8</v>
      </c>
      <c r="U25" s="17">
        <f t="shared" si="8"/>
        <v>1280000</v>
      </c>
      <c r="V25" s="12"/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5"/>
        <v>0</v>
      </c>
      <c r="AR25" s="8">
        <f t="shared" si="6"/>
        <v>0</v>
      </c>
      <c r="AS25" s="13">
        <f t="shared" si="9"/>
        <v>7000</v>
      </c>
      <c r="AT25" s="29">
        <v>20000</v>
      </c>
      <c r="AV25" s="15"/>
      <c r="AW25" s="15">
        <f t="shared" si="10"/>
        <v>0</v>
      </c>
      <c r="AX25" s="15">
        <f t="shared" si="11"/>
        <v>0</v>
      </c>
      <c r="AY25" s="15">
        <f t="shared" si="12"/>
        <v>0</v>
      </c>
      <c r="AZ25" s="16">
        <f t="shared" si="13"/>
        <v>880000</v>
      </c>
      <c r="BA25" s="58"/>
      <c r="BB25" s="58"/>
      <c r="BC25" s="15"/>
      <c r="BD25" s="57">
        <f t="shared" si="14"/>
        <v>880000</v>
      </c>
      <c r="BF25" s="29">
        <f t="shared" si="15"/>
        <v>120000</v>
      </c>
      <c r="BG25">
        <v>12</v>
      </c>
      <c r="BH25" s="15"/>
      <c r="BI25" s="15"/>
      <c r="BJ25" s="15"/>
      <c r="BK25" s="15"/>
      <c r="BL25" s="15"/>
      <c r="BM25" s="15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VLOOKUP(A26,[6]LISTADHERENT!A$5:H$60,3,0)</f>
        <v>NKAMGANG JUSTIN DEJOLIE</v>
      </c>
      <c r="C26" s="5">
        <f t="shared" si="7"/>
        <v>0</v>
      </c>
      <c r="D26" s="9">
        <f>VLOOKUP(A26,[7]HISTOBQUEDEC22!$A$6:$G$36,3,0)</f>
        <v>1105000</v>
      </c>
      <c r="E26" s="9">
        <f>VLOOKUP(A26,[7]HISTOBQUEDEC22!$A$6:$G$36,4,0)</f>
        <v>79500</v>
      </c>
      <c r="F26" s="9">
        <f>VLOOKUP(A26,[7]HISTOBQUEDEC22!$A$6:$G$36,5,0)</f>
        <v>0</v>
      </c>
      <c r="G26" s="5">
        <f t="shared" si="0"/>
        <v>0</v>
      </c>
      <c r="H26" s="10" t="str">
        <f t="shared" si="1"/>
        <v>BANQUE</v>
      </c>
      <c r="I26" s="11">
        <v>1</v>
      </c>
      <c r="J26" s="11">
        <f t="shared" si="2"/>
        <v>30000</v>
      </c>
      <c r="K26" s="11"/>
      <c r="L26" s="6">
        <v>1</v>
      </c>
      <c r="M26" s="11">
        <f t="shared" si="3"/>
        <v>75000</v>
      </c>
      <c r="N26" s="6"/>
      <c r="O26" s="11">
        <f t="shared" si="4"/>
        <v>0</v>
      </c>
      <c r="P26" s="2">
        <f>VLOOKUP(A26,[9]TONTDEC22!$A$6:$R$31,12,0)</f>
        <v>41000</v>
      </c>
      <c r="Q26" s="2">
        <f>VLOOKUP(A26,[10]TONTDEC22!$A$6:$P$21,10,0)</f>
        <v>38500</v>
      </c>
      <c r="R26" s="2"/>
      <c r="S26" s="20">
        <v>1000000</v>
      </c>
      <c r="T26" s="12" t="s">
        <v>8</v>
      </c>
      <c r="U26" s="17">
        <f t="shared" si="8"/>
        <v>1184500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I26" s="12"/>
      <c r="AJ26" s="12"/>
      <c r="AK26" s="12"/>
      <c r="AL26" s="12"/>
      <c r="AM26" s="12"/>
      <c r="AN26" s="12"/>
      <c r="AO26" s="12"/>
      <c r="AP26" s="12" t="s">
        <v>8</v>
      </c>
      <c r="AQ26" s="8">
        <f t="shared" si="5"/>
        <v>0</v>
      </c>
      <c r="AR26" s="8">
        <f t="shared" si="6"/>
        <v>0</v>
      </c>
      <c r="AS26" s="13">
        <f t="shared" si="9"/>
        <v>7000</v>
      </c>
      <c r="AT26" s="29">
        <v>20000</v>
      </c>
      <c r="AV26" s="15"/>
      <c r="AW26" s="15">
        <f t="shared" si="10"/>
        <v>0</v>
      </c>
      <c r="AX26" s="15">
        <f t="shared" si="11"/>
        <v>0</v>
      </c>
      <c r="AY26" s="15">
        <f t="shared" si="12"/>
        <v>0</v>
      </c>
      <c r="AZ26" s="16">
        <f t="shared" si="13"/>
        <v>980000</v>
      </c>
      <c r="BA26" s="58"/>
      <c r="BB26" s="58"/>
      <c r="BC26" s="15"/>
      <c r="BD26" s="57">
        <f t="shared" si="14"/>
        <v>980000</v>
      </c>
      <c r="BF26" s="29">
        <f t="shared" si="15"/>
        <v>20000</v>
      </c>
      <c r="BG26">
        <v>2</v>
      </c>
      <c r="BH26" s="15"/>
      <c r="BI26" s="15"/>
      <c r="BJ26" s="15"/>
      <c r="BK26" s="15"/>
      <c r="BL26" s="15"/>
      <c r="BM26" s="15"/>
      <c r="BN26" t="s">
        <v>144</v>
      </c>
      <c r="BO26" t="s">
        <v>143</v>
      </c>
      <c r="BP26" s="62"/>
    </row>
    <row r="27" spans="1:68" ht="18.75" x14ac:dyDescent="0.3">
      <c r="A27" s="1" t="s">
        <v>32</v>
      </c>
      <c r="B27" s="1" t="str">
        <f>VLOOKUP(A27,[6]LISTADHERENT!A$5:H$60,3,0)</f>
        <v>NKEHE DAVID</v>
      </c>
      <c r="C27" s="5">
        <f t="shared" si="7"/>
        <v>520000</v>
      </c>
      <c r="D27" s="9">
        <f>VLOOKUP(A27,[7]HISTOBQUEDEC22!$A$6:$G$36,3,0)</f>
        <v>520000</v>
      </c>
      <c r="E27" s="9">
        <f>VLOOKUP(A27,[7]HISTOBQUEDEC22!$A$6:$G$36,4,0)</f>
        <v>0</v>
      </c>
      <c r="F27" s="9">
        <f>VLOOKUP(A27,[7]HISTOBQUEDEC22!$A$6:$G$36,5,0)</f>
        <v>0</v>
      </c>
      <c r="G27" s="5">
        <f t="shared" si="0"/>
        <v>0</v>
      </c>
      <c r="H27" s="10" t="str">
        <f t="shared" si="1"/>
        <v>BANQUE</v>
      </c>
      <c r="I27" s="11">
        <v>0</v>
      </c>
      <c r="J27" s="11">
        <f t="shared" si="2"/>
        <v>0</v>
      </c>
      <c r="K27" s="11"/>
      <c r="L27" s="6"/>
      <c r="M27" s="11">
        <f t="shared" si="3"/>
        <v>0</v>
      </c>
      <c r="N27" s="6">
        <v>0</v>
      </c>
      <c r="O27" s="11">
        <f t="shared" si="4"/>
        <v>0</v>
      </c>
      <c r="P27" s="2"/>
      <c r="Q27" s="2"/>
      <c r="R27" s="2"/>
      <c r="S27" s="20"/>
      <c r="T27" s="12"/>
      <c r="U27" s="17">
        <f t="shared" si="8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5"/>
        <v>0</v>
      </c>
      <c r="AR27" s="8">
        <f t="shared" si="6"/>
        <v>0</v>
      </c>
      <c r="AS27" s="13">
        <f>IF(H27="ECHEC",0,(J27+K27))</f>
        <v>0</v>
      </c>
      <c r="AT27" s="29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F27" s="29">
        <f t="shared" si="15"/>
        <v>0</v>
      </c>
      <c r="BG27">
        <v>0</v>
      </c>
      <c r="BH27" s="15"/>
      <c r="BI27" s="15"/>
      <c r="BJ27" s="15"/>
      <c r="BK27" s="15"/>
      <c r="BL27" s="15"/>
      <c r="BM27" s="15"/>
      <c r="BP27" s="6"/>
    </row>
    <row r="28" spans="1:68" ht="18.75" x14ac:dyDescent="0.3">
      <c r="A28" s="1" t="s">
        <v>33</v>
      </c>
      <c r="B28" s="1" t="str">
        <f>VLOOKUP(A28,[6]LISTADHERENT!A$5:H$60,3,0)</f>
        <v>NKEPSEU DIEUDONNE</v>
      </c>
      <c r="C28" s="5">
        <f t="shared" si="7"/>
        <v>0</v>
      </c>
      <c r="D28" s="9">
        <f>VLOOKUP(A28,[7]HISTOBQUEDEC22!$A$6:$G$36,3,0)</f>
        <v>1130000</v>
      </c>
      <c r="E28" s="9">
        <f>VLOOKUP(A28,[7]HISTOBQUEDEC22!$A$6:$G$36,4,0)</f>
        <v>0</v>
      </c>
      <c r="F28" s="9">
        <f>VLOOKUP(A28,[7]HISTOBQUEDEC22!$A$6:$G$36,5,0)</f>
        <v>0</v>
      </c>
      <c r="G28" s="5">
        <f t="shared" si="0"/>
        <v>0</v>
      </c>
      <c r="H28" s="10" t="str">
        <f t="shared" si="1"/>
        <v>BANQUE</v>
      </c>
      <c r="I28" s="11">
        <v>1</v>
      </c>
      <c r="J28" s="11">
        <f t="shared" si="2"/>
        <v>30000</v>
      </c>
      <c r="K28" s="11"/>
      <c r="L28" s="6"/>
      <c r="M28" s="11">
        <f t="shared" si="3"/>
        <v>0</v>
      </c>
      <c r="N28" s="6">
        <v>1</v>
      </c>
      <c r="O28" s="11">
        <f t="shared" si="4"/>
        <v>100000</v>
      </c>
      <c r="P28" s="2">
        <f>VLOOKUP(A28,[9]TONTDEC22!$A$6:$R$31,12,0)</f>
        <v>0</v>
      </c>
      <c r="Q28" s="2"/>
      <c r="R28" s="2">
        <f>VLOOKUP(A28,[8]TONTDEC22!$A$6:$P$21,10,0)</f>
        <v>0</v>
      </c>
      <c r="S28" s="20">
        <f>600000+400000</f>
        <v>1000000</v>
      </c>
      <c r="T28" s="12" t="s">
        <v>8</v>
      </c>
      <c r="U28" s="17">
        <f t="shared" si="8"/>
        <v>1130000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5"/>
        <v>0</v>
      </c>
      <c r="AR28" s="8">
        <f t="shared" si="6"/>
        <v>0</v>
      </c>
      <c r="AS28" s="13">
        <f t="shared" si="9"/>
        <v>7000</v>
      </c>
      <c r="AT28" s="29">
        <v>20000</v>
      </c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F28" s="29">
        <f t="shared" si="15"/>
        <v>0</v>
      </c>
      <c r="BG28">
        <v>0</v>
      </c>
      <c r="BH28" s="15"/>
      <c r="BI28" s="15"/>
      <c r="BJ28" s="15"/>
      <c r="BK28" s="15"/>
      <c r="BL28" s="15"/>
      <c r="BM28" s="15"/>
      <c r="BN28" s="62" t="s">
        <v>142</v>
      </c>
      <c r="BP28" s="62">
        <f>SUM(BP24:BP26)</f>
        <v>0</v>
      </c>
    </row>
    <row r="29" spans="1:68" ht="18.75" x14ac:dyDescent="0.3">
      <c r="A29" s="1" t="s">
        <v>34</v>
      </c>
      <c r="B29" s="1" t="str">
        <f>VLOOKUP(A29,[6]LISTADHERENT!A$5:H$60,3,0)</f>
        <v>PATEGO NJOSSU GUSTAVE</v>
      </c>
      <c r="C29" s="5">
        <f t="shared" si="7"/>
        <v>0</v>
      </c>
      <c r="D29" s="9">
        <f>VLOOKUP(A29,[7]HISTOBQUEDEC22!$A$6:$G$36,3,0)</f>
        <v>105000</v>
      </c>
      <c r="E29" s="9">
        <f>VLOOKUP(A29,[7]HISTOBQUEDEC22!$A$6:$G$36,4,0)</f>
        <v>0</v>
      </c>
      <c r="F29" s="9">
        <f>VLOOKUP(A29,[7]HISTOBQUEDEC22!$A$6:$G$36,5,0)</f>
        <v>0</v>
      </c>
      <c r="G29" s="5">
        <f t="shared" si="0"/>
        <v>0</v>
      </c>
      <c r="H29" s="10" t="str">
        <f t="shared" si="1"/>
        <v>BANQUE</v>
      </c>
      <c r="I29" s="11">
        <v>1</v>
      </c>
      <c r="J29" s="11">
        <f t="shared" si="2"/>
        <v>30000</v>
      </c>
      <c r="K29" s="11"/>
      <c r="L29" s="6">
        <v>1</v>
      </c>
      <c r="M29" s="11">
        <f t="shared" si="3"/>
        <v>75000</v>
      </c>
      <c r="N29" s="6"/>
      <c r="O29" s="11">
        <f t="shared" si="4"/>
        <v>0</v>
      </c>
      <c r="P29" s="2">
        <f>VLOOKUP(A29,[9]TONTDEC22!$A$6:$R$31,12,0)</f>
        <v>0</v>
      </c>
      <c r="Q29" s="2">
        <f>VLOOKUP(A29,[10]TONTDEC22!$A$6:$P$21,10,0)</f>
        <v>0</v>
      </c>
      <c r="R29" s="2"/>
      <c r="S29" s="20"/>
      <c r="T29" s="12"/>
      <c r="U29" s="17">
        <f t="shared" si="8"/>
        <v>105000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5"/>
        <v>0</v>
      </c>
      <c r="AR29" s="8">
        <f t="shared" si="6"/>
        <v>0</v>
      </c>
      <c r="AS29" s="13">
        <f t="shared" si="9"/>
        <v>7000</v>
      </c>
      <c r="AT29" s="29">
        <v>20000</v>
      </c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F29" s="29">
        <f t="shared" si="15"/>
        <v>0</v>
      </c>
      <c r="BG29">
        <v>0</v>
      </c>
      <c r="BH29" s="15"/>
      <c r="BI29" s="15"/>
      <c r="BJ29" s="15"/>
      <c r="BK29" s="15"/>
      <c r="BL29" s="15"/>
      <c r="BM29" s="15"/>
      <c r="BN29" s="62"/>
      <c r="BP29" s="6"/>
    </row>
    <row r="30" spans="1:68" ht="18.75" x14ac:dyDescent="0.3">
      <c r="A30" s="1" t="s">
        <v>35</v>
      </c>
      <c r="B30" s="1" t="str">
        <f>VLOOKUP(A30,[6]LISTADHERENT!A$5:H$60,3,0)</f>
        <v>SIME BRICE</v>
      </c>
      <c r="C30" s="5">
        <f t="shared" si="7"/>
        <v>-100000</v>
      </c>
      <c r="D30" s="9">
        <f>VLOOKUP(A30,[7]HISTOBQUEDEC22!$A$6:$G$36,3,0)</f>
        <v>105000</v>
      </c>
      <c r="E30" s="9">
        <f>VLOOKUP(A30,[7]HISTOBQUEDEC22!$A$6:$G$36,4,0)</f>
        <v>0</v>
      </c>
      <c r="F30" s="9">
        <f>VLOOKUP(A30,[7]HISTOBQUEDEC22!$A$6:$G$36,5,0)</f>
        <v>0</v>
      </c>
      <c r="G30" s="5">
        <f t="shared" si="0"/>
        <v>0</v>
      </c>
      <c r="H30" s="10" t="str">
        <f t="shared" si="1"/>
        <v>BANQUE</v>
      </c>
      <c r="I30" s="11">
        <v>1</v>
      </c>
      <c r="J30" s="11">
        <f t="shared" si="2"/>
        <v>30000</v>
      </c>
      <c r="K30" s="11"/>
      <c r="L30" s="6">
        <v>1</v>
      </c>
      <c r="M30" s="11">
        <f t="shared" si="3"/>
        <v>75000</v>
      </c>
      <c r="N30" s="6"/>
      <c r="O30" s="11">
        <f t="shared" si="4"/>
        <v>0</v>
      </c>
      <c r="P30" s="2">
        <f>VLOOKUP(A30,[9]TONTDEC22!$A$6:$R$31,12,0)</f>
        <v>0</v>
      </c>
      <c r="Q30" s="2">
        <f>VLOOKUP(A30,[10]TONTDEC22!$A$6:$P$21,10,0)</f>
        <v>0</v>
      </c>
      <c r="R30" s="2"/>
      <c r="S30" s="20"/>
      <c r="T30" s="12"/>
      <c r="U30" s="17">
        <f t="shared" si="8"/>
        <v>105000</v>
      </c>
      <c r="V30" s="12"/>
      <c r="W30" s="12"/>
      <c r="X30" s="12"/>
      <c r="Y30" s="12"/>
      <c r="Z30" s="12"/>
      <c r="AA30" s="12"/>
      <c r="AB30" s="12"/>
      <c r="AC30" s="12">
        <v>23000</v>
      </c>
      <c r="AD30" s="12"/>
      <c r="AE30" s="12"/>
      <c r="AF30" s="12" t="s">
        <v>8</v>
      </c>
      <c r="AG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5"/>
        <v>0</v>
      </c>
      <c r="AR30" s="8">
        <f t="shared" si="6"/>
        <v>0</v>
      </c>
      <c r="AS30" s="13">
        <f t="shared" si="9"/>
        <v>7000</v>
      </c>
      <c r="AT30" s="29">
        <v>20000</v>
      </c>
      <c r="AV30" s="15"/>
      <c r="AW30" s="15">
        <f t="shared" si="10"/>
        <v>277000</v>
      </c>
      <c r="AX30" s="15">
        <f t="shared" si="11"/>
        <v>0</v>
      </c>
      <c r="AY30" s="15">
        <f t="shared" si="12"/>
        <v>0</v>
      </c>
      <c r="AZ30" s="16">
        <f t="shared" si="13"/>
        <v>277000</v>
      </c>
      <c r="BA30" s="58"/>
      <c r="BB30" s="58">
        <v>100000</v>
      </c>
      <c r="BC30" s="15"/>
      <c r="BD30" s="57">
        <f t="shared" si="14"/>
        <v>177000</v>
      </c>
      <c r="BF30" s="29">
        <f t="shared" si="15"/>
        <v>0</v>
      </c>
      <c r="BG30">
        <v>0</v>
      </c>
      <c r="BH30" s="15"/>
      <c r="BI30" s="15"/>
      <c r="BJ30" s="15"/>
      <c r="BK30" s="15"/>
      <c r="BL30" s="15"/>
      <c r="BM30" s="15"/>
      <c r="BN30" t="s">
        <v>128</v>
      </c>
      <c r="BO30" t="s">
        <v>50</v>
      </c>
      <c r="BP30" s="6"/>
    </row>
    <row r="31" spans="1:68" ht="18.75" x14ac:dyDescent="0.3">
      <c r="A31" s="1" t="s">
        <v>36</v>
      </c>
      <c r="B31" s="1" t="str">
        <f>VLOOKUP(A31,[6]LISTADHERENT!A$5:H$60,3,0)</f>
        <v>SIMO FONGANG ERIC</v>
      </c>
      <c r="C31" s="5">
        <f t="shared" si="7"/>
        <v>0</v>
      </c>
      <c r="D31" s="9">
        <f>VLOOKUP(A31,[7]HISTOBQUEDEC22!$A$6:$G$36,3,0)</f>
        <v>0</v>
      </c>
      <c r="E31" s="9">
        <f>VLOOKUP(A31,[7]HISTOBQUEDEC22!$A$6:$G$36,4,0)</f>
        <v>0</v>
      </c>
      <c r="F31" s="9">
        <f>VLOOKUP(A31,[7]HISTOBQUEDEC22!$A$6:$G$36,5,0)</f>
        <v>0</v>
      </c>
      <c r="G31" s="5">
        <f t="shared" si="0"/>
        <v>0</v>
      </c>
      <c r="H31" s="10" t="str">
        <f t="shared" si="1"/>
        <v>ECHEC</v>
      </c>
      <c r="I31" s="11"/>
      <c r="J31" s="11">
        <f t="shared" si="2"/>
        <v>0</v>
      </c>
      <c r="K31" s="11"/>
      <c r="L31" s="6"/>
      <c r="M31" s="11">
        <f t="shared" si="3"/>
        <v>0</v>
      </c>
      <c r="N31" s="6"/>
      <c r="O31" s="11">
        <f t="shared" si="4"/>
        <v>0</v>
      </c>
      <c r="P31" s="2"/>
      <c r="Q31" s="2"/>
      <c r="R31" s="2"/>
      <c r="S31" s="20"/>
      <c r="T31" s="12"/>
      <c r="U31" s="17">
        <f t="shared" si="8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5"/>
        <v>0</v>
      </c>
      <c r="AR31" s="8">
        <f t="shared" si="6"/>
        <v>0</v>
      </c>
      <c r="AS31" s="13">
        <f t="shared" si="9"/>
        <v>0</v>
      </c>
      <c r="AT31" s="29">
        <v>20000</v>
      </c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F31" s="29">
        <f t="shared" si="15"/>
        <v>0</v>
      </c>
      <c r="BG31">
        <v>0</v>
      </c>
      <c r="BH31" s="15"/>
      <c r="BI31" s="15"/>
      <c r="BJ31" s="15"/>
      <c r="BK31" s="15"/>
      <c r="BL31" s="15"/>
      <c r="BM31" s="15"/>
      <c r="BN31" t="s">
        <v>129</v>
      </c>
      <c r="BO31" t="s">
        <v>50</v>
      </c>
      <c r="BP31" s="6"/>
    </row>
    <row r="32" spans="1:68" ht="18.75" x14ac:dyDescent="0.3">
      <c r="A32" s="1" t="s">
        <v>37</v>
      </c>
      <c r="B32" s="1" t="str">
        <f>VLOOKUP(A32,[6]LISTADHERENT!A$5:H$60,3,0)</f>
        <v>SIMO PIERRE</v>
      </c>
      <c r="C32" s="5">
        <f t="shared" si="7"/>
        <v>0</v>
      </c>
      <c r="D32" s="9">
        <f>VLOOKUP(A32,[7]HISTOBQUEDEC22!$A$6:$G$36,3,0)</f>
        <v>905000</v>
      </c>
      <c r="E32" s="9">
        <f>VLOOKUP(A32,[7]HISTOBQUEDEC22!$A$6:$G$36,4,0)</f>
        <v>0</v>
      </c>
      <c r="F32" s="9">
        <f>VLOOKUP(A32,[7]HISTOBQUEDEC22!$A$6:$G$36,5,0)</f>
        <v>0</v>
      </c>
      <c r="G32" s="5">
        <f t="shared" si="0"/>
        <v>0</v>
      </c>
      <c r="H32" s="10" t="str">
        <f t="shared" si="1"/>
        <v>BANQUE</v>
      </c>
      <c r="I32" s="11">
        <v>1</v>
      </c>
      <c r="J32" s="11">
        <f t="shared" si="2"/>
        <v>30000</v>
      </c>
      <c r="K32" s="11"/>
      <c r="L32" s="6">
        <v>1</v>
      </c>
      <c r="M32" s="11">
        <f t="shared" si="3"/>
        <v>75000</v>
      </c>
      <c r="N32" s="6"/>
      <c r="O32" s="11">
        <f t="shared" si="4"/>
        <v>0</v>
      </c>
      <c r="P32" s="2">
        <f>VLOOKUP(A32,[9]TONTDEC22!$A$6:$R$31,12,0)</f>
        <v>0</v>
      </c>
      <c r="Q32" s="2">
        <f>VLOOKUP(A32,[10]TONTDEC22!$A$6:$P$21,10,0)</f>
        <v>0</v>
      </c>
      <c r="R32" s="2"/>
      <c r="S32" s="20">
        <f>395000+378000+27000</f>
        <v>800000</v>
      </c>
      <c r="T32" s="12" t="s">
        <v>8</v>
      </c>
      <c r="U32" s="17">
        <f t="shared" si="8"/>
        <v>905000</v>
      </c>
      <c r="V32" s="12"/>
      <c r="W32" s="12"/>
      <c r="X32" s="12"/>
      <c r="Y32" s="12"/>
      <c r="Z32" s="12">
        <v>1000000</v>
      </c>
      <c r="AA32" s="12" t="s">
        <v>8</v>
      </c>
      <c r="AB32" s="12"/>
      <c r="AC32" s="12"/>
      <c r="AD32" s="12"/>
      <c r="AE32" s="12"/>
      <c r="AF32" s="12"/>
      <c r="AG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5"/>
        <v>0</v>
      </c>
      <c r="AR32" s="8">
        <f t="shared" si="6"/>
        <v>0</v>
      </c>
      <c r="AS32" s="13">
        <f t="shared" si="9"/>
        <v>7000</v>
      </c>
      <c r="AT32" s="29">
        <v>20000</v>
      </c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880000</v>
      </c>
      <c r="BA32" s="58"/>
      <c r="BB32" s="58"/>
      <c r="BC32" s="15"/>
      <c r="BD32" s="57">
        <f t="shared" si="14"/>
        <v>880000</v>
      </c>
      <c r="BF32" s="29">
        <f t="shared" si="15"/>
        <v>120000</v>
      </c>
      <c r="BG32">
        <v>12</v>
      </c>
      <c r="BH32" s="15"/>
      <c r="BI32" s="15"/>
      <c r="BJ32" s="15"/>
      <c r="BK32" s="15"/>
      <c r="BL32" s="15"/>
      <c r="BM32" s="15"/>
    </row>
    <row r="33" spans="1:68" ht="18.75" x14ac:dyDescent="0.3">
      <c r="A33" s="1" t="s">
        <v>38</v>
      </c>
      <c r="B33" s="1" t="str">
        <f>VLOOKUP(A33,[6]LISTADHERENT!A$5:H$60,3,0)</f>
        <v>TCHOUAMOU MATHIEU</v>
      </c>
      <c r="C33" s="5">
        <f t="shared" si="7"/>
        <v>0</v>
      </c>
      <c r="D33" s="9">
        <f>VLOOKUP(A33,[7]HISTOBQUEDEC22!$A$6:$G$36,3,0)</f>
        <v>1030000</v>
      </c>
      <c r="E33" s="9">
        <f>VLOOKUP(A33,[7]HISTOBQUEDEC22!$A$6:$G$36,4,0)</f>
        <v>0</v>
      </c>
      <c r="F33" s="9">
        <f>VLOOKUP(A33,[7]HISTOBQUEDEC22!$A$6:$G$36,5,0)</f>
        <v>0</v>
      </c>
      <c r="G33" s="5">
        <f t="shared" si="0"/>
        <v>0</v>
      </c>
      <c r="H33" s="10" t="str">
        <f t="shared" si="1"/>
        <v>BANQUE</v>
      </c>
      <c r="I33" s="11">
        <v>1</v>
      </c>
      <c r="J33" s="11">
        <f t="shared" si="2"/>
        <v>30000</v>
      </c>
      <c r="K33" s="11"/>
      <c r="L33" s="6"/>
      <c r="M33" s="11">
        <f t="shared" si="3"/>
        <v>0</v>
      </c>
      <c r="N33" s="6"/>
      <c r="O33" s="11">
        <f t="shared" si="4"/>
        <v>0</v>
      </c>
      <c r="P33" s="2">
        <f>VLOOKUP(A33,[9]TONTDEC22!$A$6:$R$31,12,0)</f>
        <v>0</v>
      </c>
      <c r="Q33" s="2"/>
      <c r="R33" s="2"/>
      <c r="S33" s="20">
        <v>1000000</v>
      </c>
      <c r="T33" s="12" t="s">
        <v>8</v>
      </c>
      <c r="U33" s="17">
        <f t="shared" si="8"/>
        <v>1030000</v>
      </c>
      <c r="V33" s="12"/>
      <c r="W33" s="12"/>
      <c r="X33" s="12"/>
      <c r="Y33" s="12"/>
      <c r="Z33" s="12">
        <v>1000000</v>
      </c>
      <c r="AA33" s="12" t="s">
        <v>8</v>
      </c>
      <c r="AB33" s="12"/>
      <c r="AC33" s="12"/>
      <c r="AD33" s="12"/>
      <c r="AE33" s="12"/>
      <c r="AF33" s="12"/>
      <c r="AG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5"/>
        <v>0</v>
      </c>
      <c r="AR33" s="8">
        <f t="shared" si="6"/>
        <v>0</v>
      </c>
      <c r="AS33" s="13">
        <f t="shared" si="9"/>
        <v>7000</v>
      </c>
      <c r="AT33" s="29">
        <v>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970000</v>
      </c>
      <c r="BA33" s="58"/>
      <c r="BB33" s="58"/>
      <c r="BC33" s="15"/>
      <c r="BD33" s="57">
        <f t="shared" si="14"/>
        <v>970000</v>
      </c>
      <c r="BF33" s="29">
        <f t="shared" si="15"/>
        <v>30000</v>
      </c>
      <c r="BG33">
        <v>3</v>
      </c>
      <c r="BH33" s="15"/>
      <c r="BI33" s="15"/>
      <c r="BJ33" s="15"/>
      <c r="BK33" s="15"/>
      <c r="BL33" s="15"/>
      <c r="BM33" s="15"/>
      <c r="BN33" s="62" t="s">
        <v>142</v>
      </c>
      <c r="BP33" s="62">
        <f>SUM(BP30:BP32)</f>
        <v>0</v>
      </c>
    </row>
    <row r="34" spans="1:68" ht="18.75" x14ac:dyDescent="0.3">
      <c r="A34" s="1" t="s">
        <v>39</v>
      </c>
      <c r="B34" s="1" t="str">
        <f>VLOOKUP(A34,[6]LISTADHERENT!A$5:H$60,3,0)</f>
        <v>TIEYAM ERNEST</v>
      </c>
      <c r="C34" s="5">
        <f t="shared" si="7"/>
        <v>0</v>
      </c>
      <c r="D34" s="9">
        <f>VLOOKUP(A34,[7]HISTOBQUEDEC22!$A$6:$G$36,3,0)</f>
        <v>0</v>
      </c>
      <c r="E34" s="9">
        <f>VLOOKUP(A34,[7]HISTOBQUEDEC22!$A$6:$G$36,4,0)</f>
        <v>0</v>
      </c>
      <c r="F34" s="9">
        <f>VLOOKUP(A34,[7]HISTOBQUEDEC22!$A$6:$G$36,5,0)</f>
        <v>0</v>
      </c>
      <c r="G34" s="5">
        <f t="shared" si="0"/>
        <v>0</v>
      </c>
      <c r="H34" s="10" t="str">
        <f t="shared" si="1"/>
        <v>ECHEC</v>
      </c>
      <c r="I34" s="11">
        <v>0</v>
      </c>
      <c r="J34" s="11">
        <f t="shared" si="2"/>
        <v>0</v>
      </c>
      <c r="K34" s="11"/>
      <c r="L34" s="6"/>
      <c r="M34" s="11">
        <f t="shared" si="3"/>
        <v>0</v>
      </c>
      <c r="N34" s="6">
        <v>0</v>
      </c>
      <c r="O34" s="11">
        <f t="shared" si="4"/>
        <v>0</v>
      </c>
      <c r="P34" s="2"/>
      <c r="Q34" s="2"/>
      <c r="R34" s="2"/>
      <c r="S34" s="20"/>
      <c r="T34" s="12"/>
      <c r="U34" s="17">
        <f t="shared" si="8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5"/>
        <v>0</v>
      </c>
      <c r="AR34" s="8">
        <f t="shared" si="6"/>
        <v>0</v>
      </c>
      <c r="AS34" s="13">
        <f>IF(H34="ECHEC",0,(J34+K34))</f>
        <v>0</v>
      </c>
      <c r="AT34" s="29"/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F34" s="29">
        <f t="shared" si="15"/>
        <v>0</v>
      </c>
      <c r="BG34">
        <v>0</v>
      </c>
      <c r="BH34" s="15"/>
      <c r="BI34" s="15"/>
      <c r="BJ34" s="15"/>
      <c r="BK34" s="15"/>
      <c r="BL34" s="15"/>
      <c r="BM34" s="15"/>
    </row>
    <row r="35" spans="1:68" ht="18.75" x14ac:dyDescent="0.3">
      <c r="A35" s="1" t="s">
        <v>40</v>
      </c>
      <c r="B35" s="1" t="str">
        <f>VLOOKUP(A35,[6]LISTADHERENT!A$5:H$60,3,0)</f>
        <v>YEPMOU JEAN JACQUES</v>
      </c>
      <c r="C35" s="5">
        <f t="shared" si="7"/>
        <v>0</v>
      </c>
      <c r="D35" s="9">
        <f>VLOOKUP(A35,[7]HISTOBQUEDEC22!$A$6:$G$36,3,0)</f>
        <v>1041250</v>
      </c>
      <c r="E35" s="9">
        <f>VLOOKUP(A35,[7]HISTOBQUEDEC22!$A$6:$G$36,4,0)</f>
        <v>0</v>
      </c>
      <c r="F35" s="9">
        <f>VLOOKUP(A35,[7]HISTOBQUEDEC22!$A$6:$G$36,5,0)</f>
        <v>0</v>
      </c>
      <c r="G35" s="5">
        <f t="shared" si="0"/>
        <v>0</v>
      </c>
      <c r="H35" s="10" t="str">
        <f t="shared" si="1"/>
        <v>BANQUE</v>
      </c>
      <c r="I35" s="11">
        <v>1</v>
      </c>
      <c r="J35" s="11">
        <f t="shared" si="2"/>
        <v>30000</v>
      </c>
      <c r="K35" s="11"/>
      <c r="L35" s="6"/>
      <c r="M35" s="11">
        <f t="shared" si="3"/>
        <v>0</v>
      </c>
      <c r="N35" s="6"/>
      <c r="O35" s="11">
        <f t="shared" si="4"/>
        <v>0</v>
      </c>
      <c r="P35" s="2">
        <f>VLOOKUP(A35,[9]TONTDEC22!$A$6:$R$31,12,0)</f>
        <v>0</v>
      </c>
      <c r="Q35" s="2"/>
      <c r="R35" s="2"/>
      <c r="S35" s="20">
        <v>1011250</v>
      </c>
      <c r="T35" s="12" t="s">
        <v>8</v>
      </c>
      <c r="U35" s="17">
        <f t="shared" si="8"/>
        <v>1041250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5"/>
        <v>0</v>
      </c>
      <c r="AR35" s="8">
        <f t="shared" si="6"/>
        <v>0</v>
      </c>
      <c r="AS35" s="13">
        <f t="shared" si="9"/>
        <v>7000</v>
      </c>
      <c r="AT35" s="29">
        <v>20000</v>
      </c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F35" s="29">
        <f t="shared" si="15"/>
        <v>0</v>
      </c>
      <c r="BG35">
        <v>0</v>
      </c>
      <c r="BH35" s="15"/>
      <c r="BI35" s="15"/>
      <c r="BJ35" s="15"/>
      <c r="BK35" s="15"/>
      <c r="BL35" s="15"/>
      <c r="BM35" s="15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VLOOKUP(A36,[6]LISTADHERENT!A$5:H$60,3,0)</f>
        <v>YOUMBI EMMANUEL</v>
      </c>
      <c r="C36" s="5">
        <f t="shared" si="7"/>
        <v>0</v>
      </c>
      <c r="D36" s="9">
        <f>VLOOKUP(A36,[7]HISTOBQUEDEC22!$A$6:$G$36,3,0)</f>
        <v>280000</v>
      </c>
      <c r="E36" s="9">
        <f>VLOOKUP(A36,[7]HISTOBQUEDEC22!$A$6:$G$36,4,0)</f>
        <v>0</v>
      </c>
      <c r="F36" s="9">
        <f>VLOOKUP(A36,[7]HISTOBQUEDEC22!$A$6:$G$36,5,0)</f>
        <v>0</v>
      </c>
      <c r="G36" s="5">
        <f t="shared" si="0"/>
        <v>0</v>
      </c>
      <c r="H36" s="10" t="str">
        <f t="shared" si="1"/>
        <v>BANQUE</v>
      </c>
      <c r="I36" s="11">
        <v>1</v>
      </c>
      <c r="J36" s="11">
        <f t="shared" si="2"/>
        <v>30000</v>
      </c>
      <c r="K36" s="11"/>
      <c r="L36" s="6">
        <v>2</v>
      </c>
      <c r="M36" s="11">
        <f t="shared" si="3"/>
        <v>150000</v>
      </c>
      <c r="N36" s="6">
        <v>1</v>
      </c>
      <c r="O36" s="11">
        <f t="shared" si="4"/>
        <v>100000</v>
      </c>
      <c r="P36" s="2">
        <f>VLOOKUP(A36,[9]TONTDEC22!$A$6:$R$31,12,0)</f>
        <v>0</v>
      </c>
      <c r="Q36" s="2">
        <f>VLOOKUP(A36,[10]TONTDEC22!$A$6:$P$21,10,0)</f>
        <v>0</v>
      </c>
      <c r="R36" s="2">
        <f>VLOOKUP(A36,[8]TONTDEC22!$A$6:$P$21,10,0)</f>
        <v>0</v>
      </c>
      <c r="S36" s="6"/>
      <c r="T36" s="12"/>
      <c r="U36" s="17">
        <f t="shared" si="8"/>
        <v>280000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5"/>
        <v>0</v>
      </c>
      <c r="AR36" s="8">
        <f t="shared" si="6"/>
        <v>0</v>
      </c>
      <c r="AS36" s="13">
        <f t="shared" si="9"/>
        <v>7000</v>
      </c>
      <c r="AT36" s="29">
        <v>20000</v>
      </c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F36" s="29">
        <f t="shared" si="15"/>
        <v>0</v>
      </c>
      <c r="BG36">
        <v>0</v>
      </c>
      <c r="BH36" s="15"/>
      <c r="BI36" s="15"/>
      <c r="BJ36" s="15"/>
      <c r="BK36" s="15"/>
      <c r="BL36" s="15"/>
      <c r="BM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AH38" si="16">SUM(C6:C37)</f>
        <v>420000</v>
      </c>
      <c r="D38" s="5">
        <f t="shared" si="16"/>
        <v>20433750</v>
      </c>
      <c r="E38" s="5">
        <f t="shared" si="16"/>
        <v>180500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26</v>
      </c>
      <c r="J38" s="5">
        <f t="shared" si="16"/>
        <v>780000</v>
      </c>
      <c r="K38" s="5">
        <f t="shared" si="16"/>
        <v>111000</v>
      </c>
      <c r="L38" s="5">
        <f t="shared" si="16"/>
        <v>20</v>
      </c>
      <c r="M38" s="5">
        <f t="shared" si="16"/>
        <v>1500000</v>
      </c>
      <c r="N38" s="5">
        <f t="shared" si="16"/>
        <v>13</v>
      </c>
      <c r="O38" s="5">
        <f t="shared" si="16"/>
        <v>1300000</v>
      </c>
      <c r="P38" s="5">
        <f t="shared" si="16"/>
        <v>41000</v>
      </c>
      <c r="Q38" s="5">
        <f t="shared" si="16"/>
        <v>38500</v>
      </c>
      <c r="R38" s="5">
        <f t="shared" si="16"/>
        <v>273500</v>
      </c>
      <c r="S38" s="5">
        <f t="shared" si="16"/>
        <v>16041250</v>
      </c>
      <c r="T38" s="5">
        <f t="shared" si="16"/>
        <v>0</v>
      </c>
      <c r="U38" s="5">
        <f t="shared" si="16"/>
        <v>20085250</v>
      </c>
      <c r="V38" s="5">
        <f t="shared" si="16"/>
        <v>0</v>
      </c>
      <c r="W38" s="5">
        <f t="shared" si="16"/>
        <v>0</v>
      </c>
      <c r="X38" s="5">
        <f t="shared" si="16"/>
        <v>0</v>
      </c>
      <c r="Y38" s="5">
        <f t="shared" si="16"/>
        <v>0</v>
      </c>
      <c r="Z38" s="5">
        <f t="shared" si="16"/>
        <v>15600000</v>
      </c>
      <c r="AA38" s="5">
        <f t="shared" si="16"/>
        <v>0</v>
      </c>
      <c r="AB38" s="5">
        <f t="shared" si="16"/>
        <v>0</v>
      </c>
      <c r="AC38" s="5">
        <f t="shared" si="16"/>
        <v>46000</v>
      </c>
      <c r="AD38" s="5">
        <f t="shared" si="16"/>
        <v>75000</v>
      </c>
      <c r="AE38" s="5">
        <f t="shared" si="16"/>
        <v>100000</v>
      </c>
      <c r="AF38" s="5">
        <f t="shared" si="16"/>
        <v>0</v>
      </c>
      <c r="AG38" s="5">
        <f t="shared" si="16"/>
        <v>0</v>
      </c>
      <c r="AH38" s="5">
        <f t="shared" si="16"/>
        <v>0</v>
      </c>
      <c r="AI38" s="5">
        <f t="shared" ref="AI38:BD38" si="17">SUM(AI6:AI37)</f>
        <v>0</v>
      </c>
      <c r="AJ38" s="5">
        <f t="shared" si="17"/>
        <v>0</v>
      </c>
      <c r="AK38" s="5">
        <f t="shared" si="17"/>
        <v>0</v>
      </c>
      <c r="AL38" s="5">
        <f t="shared" si="17"/>
        <v>0</v>
      </c>
      <c r="AM38" s="5">
        <f t="shared" si="17"/>
        <v>0</v>
      </c>
      <c r="AN38" s="5">
        <f t="shared" si="17"/>
        <v>0</v>
      </c>
      <c r="AO38" s="5">
        <f t="shared" si="17"/>
        <v>0</v>
      </c>
      <c r="AP38" s="5">
        <f t="shared" si="17"/>
        <v>0</v>
      </c>
      <c r="AQ38" s="5">
        <f t="shared" si="17"/>
        <v>0</v>
      </c>
      <c r="AR38" s="5">
        <f t="shared" si="17"/>
        <v>0</v>
      </c>
      <c r="AS38" s="5">
        <f t="shared" si="17"/>
        <v>293000</v>
      </c>
      <c r="AT38" s="5">
        <f t="shared" si="17"/>
        <v>540000</v>
      </c>
      <c r="AU38" s="5">
        <f t="shared" si="17"/>
        <v>0</v>
      </c>
      <c r="AV38" s="5">
        <f t="shared" si="17"/>
        <v>0</v>
      </c>
      <c r="AW38" s="5">
        <f t="shared" si="17"/>
        <v>554000</v>
      </c>
      <c r="AX38" s="5">
        <f t="shared" si="17"/>
        <v>1125000</v>
      </c>
      <c r="AY38" s="5">
        <f t="shared" si="17"/>
        <v>1200000</v>
      </c>
      <c r="AZ38" s="5">
        <f t="shared" si="17"/>
        <v>17307000</v>
      </c>
      <c r="BA38" s="5">
        <f t="shared" si="17"/>
        <v>0</v>
      </c>
      <c r="BB38" s="5">
        <f t="shared" si="17"/>
        <v>109000</v>
      </c>
      <c r="BC38" s="5">
        <f t="shared" si="17"/>
        <v>0</v>
      </c>
      <c r="BD38" s="5">
        <f t="shared" si="17"/>
        <v>17269000</v>
      </c>
      <c r="BF38" s="5">
        <f t="shared" ref="BF38:BM38" si="18">SUM(BF6:BF37)</f>
        <v>1248000</v>
      </c>
      <c r="BH38" s="5">
        <f t="shared" si="18"/>
        <v>6000</v>
      </c>
      <c r="BI38" s="5">
        <f t="shared" si="18"/>
        <v>0</v>
      </c>
      <c r="BJ38" s="5">
        <f t="shared" si="18"/>
        <v>0</v>
      </c>
      <c r="BK38" s="5">
        <f t="shared" si="18"/>
        <v>70000</v>
      </c>
      <c r="BL38" s="5">
        <f t="shared" si="18"/>
        <v>0</v>
      </c>
      <c r="BM38" s="5">
        <f t="shared" si="18"/>
        <v>0</v>
      </c>
      <c r="BN38" s="62" t="s">
        <v>142</v>
      </c>
      <c r="BP38" s="62">
        <f>SUM(BP35:BP37)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AW40" s="15"/>
      <c r="AX40" s="15"/>
      <c r="AY40" s="15"/>
      <c r="AZ40" s="16"/>
    </row>
    <row r="41" spans="1:68" ht="18.75" x14ac:dyDescent="0.3">
      <c r="B41" s="1"/>
      <c r="H41" s="1"/>
      <c r="AW41" s="15"/>
      <c r="AX41" s="15"/>
      <c r="AY41" s="15"/>
      <c r="AZ41" s="16"/>
    </row>
    <row r="42" spans="1:68" ht="18.75" x14ac:dyDescent="0.3">
      <c r="C42" s="3" t="s">
        <v>8</v>
      </c>
      <c r="D42" s="68"/>
      <c r="E42" s="68"/>
      <c r="F42" s="3" t="s">
        <v>9</v>
      </c>
      <c r="G42" s="68"/>
      <c r="H42" s="68"/>
      <c r="AI42" s="5"/>
      <c r="AV42" s="3"/>
      <c r="AW42" s="68"/>
      <c r="AX42" s="15"/>
      <c r="AY42" s="15"/>
      <c r="AZ42" s="16"/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AI43" s="5"/>
      <c r="AW43" s="15"/>
      <c r="AX43" s="15"/>
      <c r="AY43" s="15"/>
      <c r="AZ43" s="16"/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17307000</v>
      </c>
      <c r="D45" s="9">
        <f>SUMIFS(D7:D38,H7:H38,"BANQUE")</f>
        <v>20333750</v>
      </c>
      <c r="F45" s="9">
        <f>E38</f>
        <v>180500</v>
      </c>
      <c r="G45" s="14"/>
      <c r="I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SUM(AZ7:AZ82)</f>
        <v>33408000</v>
      </c>
    </row>
  </sheetData>
  <autoFilter ref="A5:AF36"/>
  <mergeCells count="1">
    <mergeCell ref="B4:M4"/>
  </mergeCells>
  <dataValidations count="1">
    <dataValidation type="list" allowBlank="1" showInputMessage="1" showErrorMessage="1" sqref="T6:T36 AA6:AA36 AF6:AF36 AP6:AP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