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</workbook>
</file>

<file path=xl/calcChain.xml><?xml version="1.0" encoding="utf-8"?>
<calcChain xmlns="http://schemas.openxmlformats.org/spreadsheetml/2006/main">
  <c r="Q38" i="50" l="1"/>
  <c r="P38" i="50"/>
  <c r="R37" i="50"/>
  <c r="P37" i="50"/>
  <c r="P36" i="50"/>
  <c r="P35" i="50"/>
  <c r="P34" i="50"/>
  <c r="R33" i="50"/>
  <c r="P33" i="50"/>
  <c r="Q32" i="50"/>
  <c r="P32" i="50"/>
  <c r="R31" i="50"/>
  <c r="P31" i="50"/>
  <c r="R30" i="50"/>
  <c r="P30" i="50"/>
  <c r="P29" i="50"/>
  <c r="Q28" i="50"/>
  <c r="P28" i="50"/>
  <c r="P27" i="50"/>
  <c r="P26" i="50"/>
  <c r="R25" i="50"/>
  <c r="Q25" i="50"/>
  <c r="P25" i="50"/>
  <c r="R24" i="50"/>
  <c r="Q24" i="50"/>
  <c r="P24" i="50"/>
  <c r="R23" i="50"/>
  <c r="P23" i="50"/>
  <c r="Q22" i="50"/>
  <c r="P22" i="50"/>
  <c r="P21" i="50"/>
  <c r="R20" i="50"/>
  <c r="Q20" i="50"/>
  <c r="P20" i="50"/>
  <c r="P19" i="50"/>
  <c r="R18" i="50"/>
  <c r="P18" i="50"/>
  <c r="R17" i="50"/>
  <c r="P17" i="50"/>
  <c r="Q16" i="50"/>
  <c r="P16" i="50"/>
  <c r="Q15" i="50"/>
  <c r="P15" i="50"/>
  <c r="P14" i="50"/>
  <c r="P13" i="50"/>
  <c r="R12" i="50"/>
  <c r="Q12" i="50"/>
  <c r="P12" i="50"/>
  <c r="Q11" i="50"/>
  <c r="P11" i="50"/>
  <c r="Q10" i="50"/>
  <c r="P10" i="50"/>
  <c r="R9" i="50"/>
  <c r="P9" i="50"/>
  <c r="Q8" i="50"/>
  <c r="P8" i="50"/>
  <c r="P7" i="50"/>
  <c r="P38" i="49"/>
  <c r="P37" i="49"/>
  <c r="P36" i="49"/>
  <c r="P35" i="49"/>
  <c r="P34" i="49"/>
  <c r="P33" i="49"/>
  <c r="P32" i="49"/>
  <c r="P31" i="49"/>
  <c r="P30" i="49"/>
  <c r="P29" i="49"/>
  <c r="P28" i="49"/>
  <c r="P27" i="49"/>
  <c r="P26" i="49"/>
  <c r="P25" i="49"/>
  <c r="P24" i="49"/>
  <c r="P23" i="49"/>
  <c r="P22" i="49"/>
  <c r="P21" i="49"/>
  <c r="P20" i="49"/>
  <c r="P19" i="49"/>
  <c r="P18" i="49"/>
  <c r="P17" i="49"/>
  <c r="P16" i="49"/>
  <c r="P15" i="49"/>
  <c r="P14" i="49"/>
  <c r="P13" i="49"/>
  <c r="P12" i="49"/>
  <c r="P11" i="49"/>
  <c r="P10" i="49"/>
  <c r="P9" i="49"/>
  <c r="P8" i="49"/>
  <c r="P7" i="49"/>
  <c r="BF7" i="56"/>
  <c r="BF8" i="56"/>
  <c r="BF9" i="56"/>
  <c r="BF10" i="56"/>
  <c r="BF11" i="56"/>
  <c r="BF12" i="56"/>
  <c r="BF13" i="56"/>
  <c r="BF14" i="56"/>
  <c r="BF15" i="56"/>
  <c r="BF16" i="56"/>
  <c r="BF17" i="56"/>
  <c r="BF18" i="56"/>
  <c r="BF19" i="56"/>
  <c r="BF20" i="56"/>
  <c r="BF21" i="56"/>
  <c r="BF22" i="56"/>
  <c r="BF23" i="56"/>
  <c r="BF24" i="56"/>
  <c r="BF25" i="56"/>
  <c r="BF26" i="56"/>
  <c r="BF27" i="56"/>
  <c r="BF28" i="56"/>
  <c r="BF29" i="56"/>
  <c r="BF30" i="56"/>
  <c r="BF31" i="56"/>
  <c r="BF32" i="56"/>
  <c r="BF33" i="56"/>
  <c r="BF34" i="56"/>
  <c r="BF35" i="56"/>
  <c r="BF36" i="56"/>
  <c r="BF37" i="56"/>
  <c r="BF38" i="56"/>
  <c r="AZ7" i="56"/>
  <c r="BD7" i="56" s="1"/>
  <c r="AZ8" i="56"/>
  <c r="BD8" i="56" s="1"/>
  <c r="AZ9" i="56"/>
  <c r="BD9" i="56" s="1"/>
  <c r="AZ10" i="56"/>
  <c r="BD10" i="56" s="1"/>
  <c r="AZ11" i="56"/>
  <c r="BD11" i="56" s="1"/>
  <c r="AZ12" i="56"/>
  <c r="BD12" i="56" s="1"/>
  <c r="AZ13" i="56"/>
  <c r="BD13" i="56" s="1"/>
  <c r="AZ14" i="56"/>
  <c r="BD14" i="56" s="1"/>
  <c r="AZ15" i="56"/>
  <c r="BD15" i="56" s="1"/>
  <c r="AZ16" i="56"/>
  <c r="BD16" i="56" s="1"/>
  <c r="AZ17" i="56"/>
  <c r="BD17" i="56" s="1"/>
  <c r="AZ18" i="56"/>
  <c r="BD18" i="56" s="1"/>
  <c r="AZ19" i="56"/>
  <c r="BD19" i="56" s="1"/>
  <c r="AZ20" i="56"/>
  <c r="BD20" i="56" s="1"/>
  <c r="AZ21" i="56"/>
  <c r="BD21" i="56" s="1"/>
  <c r="AZ22" i="56"/>
  <c r="BD22" i="56" s="1"/>
  <c r="AZ23" i="56"/>
  <c r="BD23" i="56" s="1"/>
  <c r="AZ24" i="56"/>
  <c r="BD24" i="56" s="1"/>
  <c r="AZ25" i="56"/>
  <c r="BD25" i="56" s="1"/>
  <c r="AZ26" i="56"/>
  <c r="BD26" i="56" s="1"/>
  <c r="AZ27" i="56"/>
  <c r="BD27" i="56" s="1"/>
  <c r="AZ28" i="56"/>
  <c r="BD28" i="56" s="1"/>
  <c r="AZ29" i="56"/>
  <c r="BD29" i="56" s="1"/>
  <c r="AZ30" i="56"/>
  <c r="BD30" i="56" s="1"/>
  <c r="AZ31" i="56"/>
  <c r="BD31" i="56" s="1"/>
  <c r="AZ32" i="56"/>
  <c r="BD32" i="56" s="1"/>
  <c r="AZ33" i="56"/>
  <c r="BD33" i="56" s="1"/>
  <c r="AZ34" i="56"/>
  <c r="BD34" i="56" s="1"/>
  <c r="AZ35" i="56"/>
  <c r="BD35" i="56" s="1"/>
  <c r="AZ36" i="56"/>
  <c r="BD36" i="56" s="1"/>
  <c r="AZ37" i="56"/>
  <c r="BD37" i="56" s="1"/>
  <c r="AZ38" i="56"/>
  <c r="BD38" i="56" s="1"/>
  <c r="BF7" i="55"/>
  <c r="BF8" i="55"/>
  <c r="BF9" i="55"/>
  <c r="BF10" i="55"/>
  <c r="BF11" i="55"/>
  <c r="BF12" i="55"/>
  <c r="BF13" i="55"/>
  <c r="BF14" i="55"/>
  <c r="BF15" i="55"/>
  <c r="BF16" i="55"/>
  <c r="BF17" i="55"/>
  <c r="BF18" i="55"/>
  <c r="BF19" i="55"/>
  <c r="BF20" i="55"/>
  <c r="BF21" i="55"/>
  <c r="BF22" i="55"/>
  <c r="BF23" i="55"/>
  <c r="BF24" i="55"/>
  <c r="BF25" i="55"/>
  <c r="BF26" i="55"/>
  <c r="BF27" i="55"/>
  <c r="BF28" i="55"/>
  <c r="BF29" i="55"/>
  <c r="BF30" i="55"/>
  <c r="BF31" i="55"/>
  <c r="BF32" i="55"/>
  <c r="BF33" i="55"/>
  <c r="BF34" i="55"/>
  <c r="BF35" i="55"/>
  <c r="BF36" i="55"/>
  <c r="BF37" i="55"/>
  <c r="BF38" i="55"/>
  <c r="AZ7" i="55"/>
  <c r="BD7" i="55" s="1"/>
  <c r="AZ8" i="55"/>
  <c r="BD8" i="55" s="1"/>
  <c r="AZ9" i="55"/>
  <c r="BD9" i="55" s="1"/>
  <c r="AZ10" i="55"/>
  <c r="BD10" i="55" s="1"/>
  <c r="AZ11" i="55"/>
  <c r="BD11" i="55" s="1"/>
  <c r="AZ12" i="55"/>
  <c r="BD12" i="55" s="1"/>
  <c r="AZ13" i="55"/>
  <c r="BD13" i="55" s="1"/>
  <c r="AZ14" i="55"/>
  <c r="BD14" i="55" s="1"/>
  <c r="AZ15" i="55"/>
  <c r="BD15" i="55" s="1"/>
  <c r="AZ16" i="55"/>
  <c r="BD16" i="55" s="1"/>
  <c r="AZ17" i="55"/>
  <c r="BD17" i="55" s="1"/>
  <c r="AZ18" i="55"/>
  <c r="BD18" i="55" s="1"/>
  <c r="AZ19" i="55"/>
  <c r="BD19" i="55" s="1"/>
  <c r="AZ20" i="55"/>
  <c r="BD20" i="55" s="1"/>
  <c r="AZ21" i="55"/>
  <c r="BD21" i="55" s="1"/>
  <c r="AZ22" i="55"/>
  <c r="BD22" i="55" s="1"/>
  <c r="AZ23" i="55"/>
  <c r="BD23" i="55" s="1"/>
  <c r="AZ24" i="55"/>
  <c r="BD24" i="55" s="1"/>
  <c r="AZ25" i="55"/>
  <c r="BD25" i="55" s="1"/>
  <c r="AZ26" i="55"/>
  <c r="BD26" i="55" s="1"/>
  <c r="AZ27" i="55"/>
  <c r="BD27" i="55" s="1"/>
  <c r="AZ28" i="55"/>
  <c r="BD28" i="55" s="1"/>
  <c r="AZ29" i="55"/>
  <c r="BD29" i="55" s="1"/>
  <c r="AZ30" i="55"/>
  <c r="BD30" i="55" s="1"/>
  <c r="AZ31" i="55"/>
  <c r="BD31" i="55" s="1"/>
  <c r="AZ32" i="55"/>
  <c r="BD32" i="55" s="1"/>
  <c r="AZ33" i="55"/>
  <c r="BD33" i="55" s="1"/>
  <c r="AZ34" i="55"/>
  <c r="BD34" i="55" s="1"/>
  <c r="AZ35" i="55"/>
  <c r="BD35" i="55" s="1"/>
  <c r="AZ36" i="55"/>
  <c r="BD36" i="55" s="1"/>
  <c r="AZ37" i="55"/>
  <c r="BD37" i="55" s="1"/>
  <c r="AZ38" i="55"/>
  <c r="BD38" i="55" s="1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21" i="54"/>
  <c r="BF22" i="54"/>
  <c r="BF23" i="54"/>
  <c r="BF24" i="54"/>
  <c r="BF25" i="54"/>
  <c r="BF26" i="54"/>
  <c r="BF27" i="54"/>
  <c r="BF28" i="54"/>
  <c r="BF29" i="54"/>
  <c r="BF30" i="54"/>
  <c r="BF31" i="54"/>
  <c r="BF32" i="54"/>
  <c r="BF33" i="54"/>
  <c r="BF34" i="54"/>
  <c r="BF35" i="54"/>
  <c r="BF36" i="54"/>
  <c r="BF37" i="54"/>
  <c r="BF38" i="54"/>
  <c r="AZ7" i="54"/>
  <c r="BD7" i="54" s="1"/>
  <c r="AZ8" i="54"/>
  <c r="BD8" i="54" s="1"/>
  <c r="AZ9" i="54"/>
  <c r="BD9" i="54" s="1"/>
  <c r="AZ10" i="54"/>
  <c r="BD10" i="54" s="1"/>
  <c r="AZ11" i="54"/>
  <c r="BD11" i="54" s="1"/>
  <c r="AZ12" i="54"/>
  <c r="BD12" i="54" s="1"/>
  <c r="AZ13" i="54"/>
  <c r="BD13" i="54" s="1"/>
  <c r="AZ14" i="54"/>
  <c r="BD14" i="54" s="1"/>
  <c r="AZ15" i="54"/>
  <c r="BD15" i="54" s="1"/>
  <c r="AZ16" i="54"/>
  <c r="BD16" i="54" s="1"/>
  <c r="AZ17" i="54"/>
  <c r="BD17" i="54" s="1"/>
  <c r="AZ18" i="54"/>
  <c r="BD18" i="54" s="1"/>
  <c r="AZ19" i="54"/>
  <c r="BD19" i="54" s="1"/>
  <c r="AZ20" i="54"/>
  <c r="BD20" i="54" s="1"/>
  <c r="AZ21" i="54"/>
  <c r="BD21" i="54" s="1"/>
  <c r="AZ22" i="54"/>
  <c r="BD22" i="54" s="1"/>
  <c r="AZ23" i="54"/>
  <c r="BD23" i="54" s="1"/>
  <c r="AZ24" i="54"/>
  <c r="BD24" i="54" s="1"/>
  <c r="AZ25" i="54"/>
  <c r="BD25" i="54" s="1"/>
  <c r="AZ26" i="54"/>
  <c r="BD26" i="54" s="1"/>
  <c r="AZ27" i="54"/>
  <c r="BD27" i="54" s="1"/>
  <c r="AZ28" i="54"/>
  <c r="BD28" i="54" s="1"/>
  <c r="AZ29" i="54"/>
  <c r="BD29" i="54" s="1"/>
  <c r="AZ30" i="54"/>
  <c r="BD30" i="54" s="1"/>
  <c r="AZ31" i="54"/>
  <c r="BD31" i="54" s="1"/>
  <c r="AZ32" i="54"/>
  <c r="BD32" i="54" s="1"/>
  <c r="AZ33" i="54"/>
  <c r="BD33" i="54" s="1"/>
  <c r="AZ34" i="54"/>
  <c r="BD34" i="54" s="1"/>
  <c r="AZ35" i="54"/>
  <c r="BD35" i="54" s="1"/>
  <c r="AZ36" i="54"/>
  <c r="BD36" i="54" s="1"/>
  <c r="AZ37" i="54"/>
  <c r="BD37" i="54" s="1"/>
  <c r="AZ38" i="54"/>
  <c r="BD38" i="54" s="1"/>
  <c r="BF7" i="53"/>
  <c r="BF8" i="53"/>
  <c r="BF9" i="53"/>
  <c r="BF10" i="53"/>
  <c r="BF11" i="53"/>
  <c r="BF12" i="53"/>
  <c r="BF13" i="53"/>
  <c r="BF14" i="53"/>
  <c r="BF15" i="53"/>
  <c r="BF16" i="53"/>
  <c r="BF17" i="53"/>
  <c r="BF18" i="53"/>
  <c r="BF19" i="53"/>
  <c r="BF20" i="53"/>
  <c r="BF21" i="53"/>
  <c r="BF22" i="53"/>
  <c r="BF23" i="53"/>
  <c r="BF24" i="53"/>
  <c r="BF25" i="53"/>
  <c r="BF26" i="53"/>
  <c r="BF27" i="53"/>
  <c r="BF28" i="53"/>
  <c r="BF29" i="53"/>
  <c r="BF30" i="53"/>
  <c r="BF31" i="53"/>
  <c r="BF32" i="53"/>
  <c r="BF33" i="53"/>
  <c r="BF34" i="53"/>
  <c r="BF35" i="53"/>
  <c r="BF36" i="53"/>
  <c r="BF37" i="53"/>
  <c r="BF38" i="53"/>
  <c r="AZ7" i="53"/>
  <c r="BD7" i="53" s="1"/>
  <c r="AZ8" i="53"/>
  <c r="BD8" i="53" s="1"/>
  <c r="AZ9" i="53"/>
  <c r="BD9" i="53" s="1"/>
  <c r="AZ10" i="53"/>
  <c r="BD10" i="53" s="1"/>
  <c r="AZ11" i="53"/>
  <c r="BD11" i="53" s="1"/>
  <c r="AZ12" i="53"/>
  <c r="BD12" i="53" s="1"/>
  <c r="AZ13" i="53"/>
  <c r="BD13" i="53" s="1"/>
  <c r="AZ14" i="53"/>
  <c r="BD14" i="53" s="1"/>
  <c r="AZ15" i="53"/>
  <c r="BD15" i="53" s="1"/>
  <c r="AZ16" i="53"/>
  <c r="BD16" i="53" s="1"/>
  <c r="AZ17" i="53"/>
  <c r="BD17" i="53" s="1"/>
  <c r="AZ18" i="53"/>
  <c r="BD18" i="53" s="1"/>
  <c r="AZ19" i="53"/>
  <c r="BD19" i="53" s="1"/>
  <c r="AZ20" i="53"/>
  <c r="BD20" i="53" s="1"/>
  <c r="AZ21" i="53"/>
  <c r="BD21" i="53" s="1"/>
  <c r="AZ22" i="53"/>
  <c r="BD22" i="53" s="1"/>
  <c r="AZ23" i="53"/>
  <c r="BD23" i="53" s="1"/>
  <c r="AZ24" i="53"/>
  <c r="BD24" i="53" s="1"/>
  <c r="AZ25" i="53"/>
  <c r="BD25" i="53" s="1"/>
  <c r="AZ26" i="53"/>
  <c r="BD26" i="53" s="1"/>
  <c r="AZ27" i="53"/>
  <c r="BD27" i="53" s="1"/>
  <c r="AZ28" i="53"/>
  <c r="BD28" i="53" s="1"/>
  <c r="AZ29" i="53"/>
  <c r="BD29" i="53" s="1"/>
  <c r="AZ30" i="53"/>
  <c r="BD30" i="53" s="1"/>
  <c r="AZ31" i="53"/>
  <c r="BD31" i="53" s="1"/>
  <c r="AZ32" i="53"/>
  <c r="BD32" i="53" s="1"/>
  <c r="AZ33" i="53"/>
  <c r="BD33" i="53" s="1"/>
  <c r="AZ34" i="53"/>
  <c r="BD34" i="53" s="1"/>
  <c r="AZ35" i="53"/>
  <c r="BD35" i="53" s="1"/>
  <c r="AZ36" i="53"/>
  <c r="BD36" i="53" s="1"/>
  <c r="AZ37" i="53"/>
  <c r="BD37" i="53" s="1"/>
  <c r="AZ38" i="53"/>
  <c r="BD38" i="53" s="1"/>
  <c r="BF7" i="52"/>
  <c r="BF8" i="52"/>
  <c r="BF9" i="52"/>
  <c r="BF10" i="52"/>
  <c r="BF11" i="52"/>
  <c r="BF12" i="52"/>
  <c r="BF13" i="52"/>
  <c r="BF14" i="52"/>
  <c r="BF15" i="52"/>
  <c r="BF16" i="52"/>
  <c r="BF17" i="52"/>
  <c r="BF18" i="52"/>
  <c r="BF19" i="52"/>
  <c r="BF20" i="52"/>
  <c r="BF21" i="52"/>
  <c r="BF22" i="52"/>
  <c r="BF23" i="52"/>
  <c r="BF24" i="52"/>
  <c r="BF25" i="52"/>
  <c r="BF26" i="52"/>
  <c r="BF27" i="52"/>
  <c r="BF28" i="52"/>
  <c r="BF29" i="52"/>
  <c r="BF30" i="52"/>
  <c r="BF31" i="52"/>
  <c r="BF32" i="52"/>
  <c r="BF33" i="52"/>
  <c r="BF34" i="52"/>
  <c r="BF35" i="52"/>
  <c r="BF36" i="52"/>
  <c r="BF37" i="52"/>
  <c r="BF38" i="52"/>
  <c r="AZ7" i="52"/>
  <c r="BD7" i="52" s="1"/>
  <c r="AZ8" i="52"/>
  <c r="BD8" i="52" s="1"/>
  <c r="AZ9" i="52"/>
  <c r="BD9" i="52" s="1"/>
  <c r="AZ10" i="52"/>
  <c r="BD10" i="52" s="1"/>
  <c r="AZ11" i="52"/>
  <c r="BD11" i="52" s="1"/>
  <c r="AZ12" i="52"/>
  <c r="BD12" i="52" s="1"/>
  <c r="AZ13" i="52"/>
  <c r="BD13" i="52" s="1"/>
  <c r="AZ14" i="52"/>
  <c r="BD14" i="52" s="1"/>
  <c r="AZ15" i="52"/>
  <c r="BD15" i="52" s="1"/>
  <c r="AZ16" i="52"/>
  <c r="BD16" i="52" s="1"/>
  <c r="AZ17" i="52"/>
  <c r="BD17" i="52" s="1"/>
  <c r="AZ18" i="52"/>
  <c r="BD18" i="52" s="1"/>
  <c r="AZ19" i="52"/>
  <c r="BD19" i="52" s="1"/>
  <c r="AZ20" i="52"/>
  <c r="BD20" i="52" s="1"/>
  <c r="AZ21" i="52"/>
  <c r="BD21" i="52" s="1"/>
  <c r="AZ22" i="52"/>
  <c r="BD22" i="52" s="1"/>
  <c r="AZ23" i="52"/>
  <c r="BD23" i="52" s="1"/>
  <c r="AZ24" i="52"/>
  <c r="BD24" i="52" s="1"/>
  <c r="AZ25" i="52"/>
  <c r="BD25" i="52" s="1"/>
  <c r="AZ26" i="52"/>
  <c r="BD26" i="52" s="1"/>
  <c r="AZ27" i="52"/>
  <c r="BD27" i="52" s="1"/>
  <c r="AZ28" i="52"/>
  <c r="BD28" i="52" s="1"/>
  <c r="AZ29" i="52"/>
  <c r="BD29" i="52" s="1"/>
  <c r="AZ30" i="52"/>
  <c r="BD30" i="52" s="1"/>
  <c r="AZ31" i="52"/>
  <c r="BD31" i="52" s="1"/>
  <c r="AZ32" i="52"/>
  <c r="BD32" i="52" s="1"/>
  <c r="AZ33" i="52"/>
  <c r="BD33" i="52" s="1"/>
  <c r="AZ34" i="52"/>
  <c r="BD34" i="52" s="1"/>
  <c r="AZ35" i="52"/>
  <c r="BD35" i="52" s="1"/>
  <c r="AZ36" i="52"/>
  <c r="BD36" i="52" s="1"/>
  <c r="AZ37" i="52"/>
  <c r="BD37" i="52" s="1"/>
  <c r="AZ38" i="52"/>
  <c r="BD38" i="52" s="1"/>
  <c r="BF7" i="51"/>
  <c r="BF8" i="51"/>
  <c r="BF9" i="51"/>
  <c r="BF10" i="51"/>
  <c r="BF11" i="51"/>
  <c r="BF12" i="51"/>
  <c r="BF13" i="51"/>
  <c r="BF14" i="51"/>
  <c r="BF15" i="51"/>
  <c r="BF16" i="51"/>
  <c r="BF17" i="51"/>
  <c r="BF18" i="51"/>
  <c r="BF19" i="51"/>
  <c r="BF20" i="51"/>
  <c r="BF21" i="51"/>
  <c r="BF22" i="51"/>
  <c r="BF23" i="51"/>
  <c r="BF24" i="51"/>
  <c r="BF25" i="51"/>
  <c r="BF26" i="51"/>
  <c r="BF27" i="51"/>
  <c r="BF28" i="51"/>
  <c r="BF29" i="51"/>
  <c r="BF30" i="51"/>
  <c r="BF31" i="51"/>
  <c r="BF32" i="51"/>
  <c r="BF33" i="51"/>
  <c r="BF34" i="51"/>
  <c r="BF35" i="51"/>
  <c r="BF36" i="51"/>
  <c r="BF37" i="51"/>
  <c r="BF38" i="51"/>
  <c r="AZ7" i="51"/>
  <c r="BD7" i="51" s="1"/>
  <c r="AZ8" i="51"/>
  <c r="BD8" i="51" s="1"/>
  <c r="AZ9" i="51"/>
  <c r="BD9" i="51" s="1"/>
  <c r="AZ10" i="51"/>
  <c r="BD10" i="51" s="1"/>
  <c r="AZ11" i="51"/>
  <c r="BD11" i="51" s="1"/>
  <c r="AZ12" i="51"/>
  <c r="BD12" i="51" s="1"/>
  <c r="AZ13" i="51"/>
  <c r="BD13" i="51" s="1"/>
  <c r="AZ14" i="51"/>
  <c r="BD14" i="51" s="1"/>
  <c r="AZ15" i="51"/>
  <c r="BD15" i="51" s="1"/>
  <c r="AZ16" i="51"/>
  <c r="BD16" i="51" s="1"/>
  <c r="AZ17" i="51"/>
  <c r="BD17" i="51" s="1"/>
  <c r="AZ18" i="51"/>
  <c r="BD18" i="51" s="1"/>
  <c r="AZ19" i="51"/>
  <c r="BD19" i="51" s="1"/>
  <c r="AZ20" i="51"/>
  <c r="BD20" i="51" s="1"/>
  <c r="AZ21" i="51"/>
  <c r="BD21" i="51" s="1"/>
  <c r="AZ22" i="51"/>
  <c r="BD22" i="51" s="1"/>
  <c r="AZ23" i="51"/>
  <c r="BD23" i="51" s="1"/>
  <c r="AZ24" i="51"/>
  <c r="BD24" i="51" s="1"/>
  <c r="AZ25" i="51"/>
  <c r="BD25" i="51" s="1"/>
  <c r="AZ26" i="51"/>
  <c r="BD26" i="51" s="1"/>
  <c r="AZ27" i="51"/>
  <c r="BD27" i="51" s="1"/>
  <c r="AZ28" i="51"/>
  <c r="BD28" i="51" s="1"/>
  <c r="AZ29" i="51"/>
  <c r="BD29" i="51" s="1"/>
  <c r="AZ30" i="51"/>
  <c r="BD30" i="51" s="1"/>
  <c r="AZ31" i="51"/>
  <c r="BD31" i="51" s="1"/>
  <c r="AZ32" i="51"/>
  <c r="BD32" i="51" s="1"/>
  <c r="AZ33" i="51"/>
  <c r="BD33" i="51" s="1"/>
  <c r="AZ34" i="51"/>
  <c r="BD34" i="51" s="1"/>
  <c r="AZ35" i="51"/>
  <c r="BD35" i="51" s="1"/>
  <c r="AZ36" i="51"/>
  <c r="BD36" i="51" s="1"/>
  <c r="AZ37" i="51"/>
  <c r="BD37" i="51" s="1"/>
  <c r="AZ38" i="51"/>
  <c r="BD38" i="51" s="1"/>
  <c r="BF7" i="50"/>
  <c r="BF8" i="50"/>
  <c r="BF9" i="50"/>
  <c r="BF10" i="50"/>
  <c r="BF11" i="50"/>
  <c r="BF12" i="50"/>
  <c r="BF13" i="50"/>
  <c r="BF14" i="50"/>
  <c r="BF15" i="50"/>
  <c r="BF16" i="50"/>
  <c r="BF17" i="50"/>
  <c r="BF18" i="50"/>
  <c r="BF19" i="50"/>
  <c r="BF20" i="50"/>
  <c r="BF21" i="50"/>
  <c r="BF22" i="50"/>
  <c r="BF23" i="50"/>
  <c r="BF24" i="50"/>
  <c r="BF25" i="50"/>
  <c r="BF26" i="50"/>
  <c r="BF27" i="50"/>
  <c r="BF28" i="50"/>
  <c r="BF29" i="50"/>
  <c r="BF30" i="50"/>
  <c r="BF31" i="50"/>
  <c r="BF32" i="50"/>
  <c r="BF33" i="50"/>
  <c r="BF34" i="50"/>
  <c r="BF35" i="50"/>
  <c r="BF36" i="50"/>
  <c r="BF37" i="50"/>
  <c r="BF38" i="50"/>
  <c r="AZ7" i="50"/>
  <c r="BD7" i="50" s="1"/>
  <c r="AZ8" i="50"/>
  <c r="BD8" i="50" s="1"/>
  <c r="AZ9" i="50"/>
  <c r="BD9" i="50" s="1"/>
  <c r="AZ10" i="50"/>
  <c r="BD10" i="50" s="1"/>
  <c r="AZ11" i="50"/>
  <c r="BD11" i="50" s="1"/>
  <c r="AZ12" i="50"/>
  <c r="BD12" i="50" s="1"/>
  <c r="AZ13" i="50"/>
  <c r="BD13" i="50" s="1"/>
  <c r="AZ14" i="50"/>
  <c r="BD14" i="50" s="1"/>
  <c r="AZ15" i="50"/>
  <c r="BD15" i="50" s="1"/>
  <c r="AZ16" i="50"/>
  <c r="BD16" i="50" s="1"/>
  <c r="AZ17" i="50"/>
  <c r="BD17" i="50" s="1"/>
  <c r="AZ18" i="50"/>
  <c r="BD18" i="50" s="1"/>
  <c r="AZ19" i="50"/>
  <c r="BD19" i="50" s="1"/>
  <c r="AZ20" i="50"/>
  <c r="BD20" i="50" s="1"/>
  <c r="AZ21" i="50"/>
  <c r="BD21" i="50" s="1"/>
  <c r="AZ22" i="50"/>
  <c r="BD22" i="50" s="1"/>
  <c r="AZ23" i="50"/>
  <c r="BD23" i="50" s="1"/>
  <c r="AZ24" i="50"/>
  <c r="BD24" i="50" s="1"/>
  <c r="AZ25" i="50"/>
  <c r="BD25" i="50" s="1"/>
  <c r="AZ26" i="50"/>
  <c r="BD26" i="50" s="1"/>
  <c r="AZ27" i="50"/>
  <c r="BD27" i="50" s="1"/>
  <c r="AZ28" i="50"/>
  <c r="BD28" i="50" s="1"/>
  <c r="AZ29" i="50"/>
  <c r="BD29" i="50" s="1"/>
  <c r="AZ30" i="50"/>
  <c r="BD30" i="50" s="1"/>
  <c r="AZ31" i="50"/>
  <c r="BD31" i="50" s="1"/>
  <c r="AZ32" i="50"/>
  <c r="BD32" i="50" s="1"/>
  <c r="AZ33" i="50"/>
  <c r="BD33" i="50" s="1"/>
  <c r="AZ34" i="50"/>
  <c r="BD34" i="50" s="1"/>
  <c r="AZ35" i="50"/>
  <c r="BD35" i="50" s="1"/>
  <c r="AZ36" i="50"/>
  <c r="BD36" i="50" s="1"/>
  <c r="AZ37" i="50"/>
  <c r="BD37" i="50" s="1"/>
  <c r="AZ38" i="50"/>
  <c r="BD38" i="50" s="1"/>
  <c r="BF7" i="49"/>
  <c r="BF8" i="49"/>
  <c r="BF9" i="49"/>
  <c r="BF10" i="49"/>
  <c r="BF11" i="49"/>
  <c r="BF12" i="49"/>
  <c r="BF13" i="49"/>
  <c r="BF14" i="49"/>
  <c r="BF15" i="49"/>
  <c r="BF16" i="49"/>
  <c r="BF17" i="49"/>
  <c r="BF18" i="49"/>
  <c r="BF19" i="49"/>
  <c r="BF20" i="49"/>
  <c r="BF21" i="49"/>
  <c r="BF22" i="49"/>
  <c r="BF23" i="49"/>
  <c r="BF24" i="49"/>
  <c r="BF25" i="49"/>
  <c r="BF26" i="49"/>
  <c r="BF27" i="49"/>
  <c r="BF28" i="49"/>
  <c r="BF29" i="49"/>
  <c r="BF30" i="49"/>
  <c r="BF31" i="49"/>
  <c r="BF32" i="49"/>
  <c r="BF33" i="49"/>
  <c r="BF34" i="49"/>
  <c r="BF35" i="49"/>
  <c r="BF36" i="49"/>
  <c r="BF37" i="49"/>
  <c r="BF38" i="49"/>
  <c r="AZ7" i="49"/>
  <c r="BD7" i="49" s="1"/>
  <c r="AZ8" i="49"/>
  <c r="BD8" i="49" s="1"/>
  <c r="AZ9" i="49"/>
  <c r="BD9" i="49" s="1"/>
  <c r="AZ10" i="49"/>
  <c r="BD10" i="49" s="1"/>
  <c r="AZ11" i="49"/>
  <c r="BD11" i="49" s="1"/>
  <c r="AZ12" i="49"/>
  <c r="BD12" i="49" s="1"/>
  <c r="AZ13" i="49"/>
  <c r="BD13" i="49" s="1"/>
  <c r="AZ14" i="49"/>
  <c r="BD14" i="49" s="1"/>
  <c r="AZ15" i="49"/>
  <c r="BD15" i="49" s="1"/>
  <c r="AZ16" i="49"/>
  <c r="BD16" i="49" s="1"/>
  <c r="AZ17" i="49"/>
  <c r="BD17" i="49" s="1"/>
  <c r="AZ18" i="49"/>
  <c r="BD18" i="49" s="1"/>
  <c r="AZ19" i="49"/>
  <c r="BD19" i="49" s="1"/>
  <c r="AZ20" i="49"/>
  <c r="BD20" i="49" s="1"/>
  <c r="AZ21" i="49"/>
  <c r="BD21" i="49" s="1"/>
  <c r="AZ22" i="49"/>
  <c r="BD22" i="49" s="1"/>
  <c r="AZ23" i="49"/>
  <c r="BD23" i="49" s="1"/>
  <c r="AZ24" i="49"/>
  <c r="BD24" i="49" s="1"/>
  <c r="AZ25" i="49"/>
  <c r="BD25" i="49" s="1"/>
  <c r="AZ26" i="49"/>
  <c r="BD26" i="49" s="1"/>
  <c r="AZ27" i="49"/>
  <c r="BD27" i="49" s="1"/>
  <c r="AZ28" i="49"/>
  <c r="BD28" i="49" s="1"/>
  <c r="AZ29" i="49"/>
  <c r="BD29" i="49" s="1"/>
  <c r="AZ30" i="49"/>
  <c r="BD30" i="49" s="1"/>
  <c r="AZ31" i="49"/>
  <c r="BD31" i="49" s="1"/>
  <c r="AZ32" i="49"/>
  <c r="BD32" i="49" s="1"/>
  <c r="AZ33" i="49"/>
  <c r="BD33" i="49" s="1"/>
  <c r="AZ34" i="49"/>
  <c r="BD34" i="49" s="1"/>
  <c r="AZ35" i="49"/>
  <c r="BD35" i="49" s="1"/>
  <c r="AZ36" i="49"/>
  <c r="BD36" i="49" s="1"/>
  <c r="AZ37" i="49"/>
  <c r="BD37" i="49" s="1"/>
  <c r="AZ38" i="49"/>
  <c r="BD38" i="49" s="1"/>
  <c r="BF7" i="48"/>
  <c r="BF8" i="48"/>
  <c r="BF9" i="48"/>
  <c r="BF10" i="48"/>
  <c r="BF11" i="48"/>
  <c r="BF12" i="48"/>
  <c r="BF13" i="48"/>
  <c r="BF14" i="48"/>
  <c r="BF15" i="48"/>
  <c r="BF16" i="48"/>
  <c r="BF17" i="48"/>
  <c r="BF18" i="48"/>
  <c r="BF19" i="48"/>
  <c r="BF20" i="48"/>
  <c r="BF21" i="48"/>
  <c r="BF22" i="48"/>
  <c r="BF23" i="48"/>
  <c r="BF24" i="48"/>
  <c r="BF25" i="48"/>
  <c r="BF26" i="48"/>
  <c r="BF27" i="48"/>
  <c r="BF28" i="48"/>
  <c r="BF29" i="48"/>
  <c r="BF30" i="48"/>
  <c r="BF31" i="48"/>
  <c r="BF32" i="48"/>
  <c r="BF33" i="48"/>
  <c r="BF34" i="48"/>
  <c r="BF35" i="48"/>
  <c r="BF36" i="48"/>
  <c r="BF37" i="48"/>
  <c r="BF38" i="48"/>
  <c r="AZ7" i="48"/>
  <c r="BD7" i="48" s="1"/>
  <c r="AZ8" i="48"/>
  <c r="BD8" i="48" s="1"/>
  <c r="AZ9" i="48"/>
  <c r="BD9" i="48" s="1"/>
  <c r="AZ10" i="48"/>
  <c r="BD10" i="48" s="1"/>
  <c r="AZ11" i="48"/>
  <c r="BD11" i="48" s="1"/>
  <c r="AZ12" i="48"/>
  <c r="BD12" i="48" s="1"/>
  <c r="AZ13" i="48"/>
  <c r="BD13" i="48" s="1"/>
  <c r="AZ14" i="48"/>
  <c r="BD14" i="48" s="1"/>
  <c r="AZ15" i="48"/>
  <c r="BD15" i="48" s="1"/>
  <c r="AZ16" i="48"/>
  <c r="BD16" i="48" s="1"/>
  <c r="AZ17" i="48"/>
  <c r="BD17" i="48" s="1"/>
  <c r="AZ18" i="48"/>
  <c r="BD18" i="48" s="1"/>
  <c r="AZ19" i="48"/>
  <c r="BD19" i="48" s="1"/>
  <c r="AZ20" i="48"/>
  <c r="BD20" i="48" s="1"/>
  <c r="AZ21" i="48"/>
  <c r="BD21" i="48" s="1"/>
  <c r="AZ22" i="48"/>
  <c r="BD22" i="48" s="1"/>
  <c r="AZ23" i="48"/>
  <c r="BD23" i="48" s="1"/>
  <c r="AZ24" i="48"/>
  <c r="BD24" i="48" s="1"/>
  <c r="AZ25" i="48"/>
  <c r="BD25" i="48" s="1"/>
  <c r="AZ26" i="48"/>
  <c r="BD26" i="48" s="1"/>
  <c r="AZ27" i="48"/>
  <c r="BD27" i="48" s="1"/>
  <c r="AZ28" i="48"/>
  <c r="BD28" i="48" s="1"/>
  <c r="AZ29" i="48"/>
  <c r="BD29" i="48" s="1"/>
  <c r="AZ30" i="48"/>
  <c r="BD30" i="48" s="1"/>
  <c r="AZ31" i="48"/>
  <c r="BD31" i="48" s="1"/>
  <c r="AZ32" i="48"/>
  <c r="BD32" i="48" s="1"/>
  <c r="AZ33" i="48"/>
  <c r="BD33" i="48" s="1"/>
  <c r="AZ34" i="48"/>
  <c r="BD34" i="48" s="1"/>
  <c r="AZ35" i="48"/>
  <c r="BD35" i="48" s="1"/>
  <c r="AZ36" i="48"/>
  <c r="BD36" i="48" s="1"/>
  <c r="AZ37" i="48"/>
  <c r="BD37" i="48" s="1"/>
  <c r="AZ38" i="48"/>
  <c r="BD38" i="48" s="1"/>
  <c r="R33" i="52" l="1"/>
  <c r="R12" i="55"/>
  <c r="R9" i="53"/>
  <c r="R17" i="56"/>
  <c r="R37" i="55"/>
  <c r="R30" i="55"/>
  <c r="R24" i="55"/>
  <c r="R18" i="53"/>
  <c r="R30" i="53"/>
  <c r="R30" i="56"/>
  <c r="R23" i="54"/>
  <c r="R18" i="56"/>
  <c r="R12" i="54"/>
  <c r="R17" i="54"/>
  <c r="R17" i="55"/>
  <c r="R37" i="56"/>
  <c r="R18" i="51"/>
  <c r="R33" i="51"/>
  <c r="R23" i="52"/>
  <c r="R30" i="54"/>
  <c r="R33" i="54"/>
  <c r="R31" i="54"/>
  <c r="R37" i="54"/>
  <c r="R31" i="56"/>
  <c r="R33" i="55"/>
  <c r="R20" i="56"/>
  <c r="R9" i="56"/>
  <c r="R24" i="56"/>
  <c r="R33" i="56"/>
  <c r="R37" i="51"/>
  <c r="R25" i="53"/>
  <c r="R20" i="55"/>
  <c r="R23" i="51"/>
  <c r="R25" i="51"/>
  <c r="R31" i="55"/>
  <c r="R17" i="49"/>
  <c r="R12" i="56"/>
  <c r="R25" i="56"/>
  <c r="R24" i="49"/>
  <c r="R31" i="53"/>
  <c r="R23" i="55"/>
  <c r="R20" i="54"/>
  <c r="R31" i="49"/>
  <c r="R30" i="51"/>
  <c r="R31" i="51"/>
  <c r="R18" i="52"/>
  <c r="R24" i="54"/>
  <c r="R9" i="51"/>
  <c r="R37" i="53"/>
  <c r="R9" i="49"/>
  <c r="R12" i="49"/>
  <c r="R18" i="49"/>
  <c r="R20" i="49"/>
  <c r="R25" i="49"/>
  <c r="R30" i="49"/>
  <c r="R37" i="49"/>
  <c r="R9" i="52"/>
  <c r="R12" i="51"/>
  <c r="R17" i="51"/>
  <c r="R20" i="51"/>
  <c r="R24" i="51"/>
  <c r="R23" i="56"/>
  <c r="R12" i="52"/>
  <c r="R17" i="52"/>
  <c r="R20" i="52"/>
  <c r="R24" i="52"/>
  <c r="R25" i="52"/>
  <c r="R30" i="52"/>
  <c r="R31" i="52"/>
  <c r="R37" i="52"/>
  <c r="R12" i="53"/>
  <c r="R17" i="53"/>
  <c r="R20" i="53"/>
  <c r="R23" i="53"/>
  <c r="R24" i="53"/>
  <c r="R33" i="53"/>
  <c r="R9" i="54"/>
  <c r="R18" i="54"/>
  <c r="R25" i="54"/>
  <c r="R9" i="55"/>
  <c r="R18" i="55"/>
  <c r="R25" i="55"/>
  <c r="R23" i="49"/>
  <c r="R33" i="49"/>
  <c r="Q8" i="49" l="1"/>
  <c r="Q38" i="54"/>
  <c r="Q12" i="51"/>
  <c r="Q25" i="54"/>
  <c r="Q32" i="54"/>
  <c r="Q12" i="56"/>
  <c r="Q22" i="56"/>
  <c r="Q32" i="56"/>
  <c r="Q10" i="53"/>
  <c r="Q11" i="55"/>
  <c r="Q10" i="51"/>
  <c r="Q22" i="54"/>
  <c r="Q20" i="55"/>
  <c r="Q10" i="55"/>
  <c r="Q22" i="52"/>
  <c r="Q25" i="55"/>
  <c r="Q22" i="55"/>
  <c r="Q12" i="54"/>
  <c r="Q28" i="55"/>
  <c r="Q15" i="55"/>
  <c r="Q15" i="53"/>
  <c r="Q8" i="54"/>
  <c r="Q16" i="54"/>
  <c r="Q25" i="53"/>
  <c r="Q8" i="51"/>
  <c r="Q16" i="51"/>
  <c r="Q24" i="51"/>
  <c r="Q38" i="51"/>
  <c r="Q32" i="52"/>
  <c r="Q8" i="56"/>
  <c r="Q16" i="56"/>
  <c r="Q24" i="56"/>
  <c r="Q38" i="56"/>
  <c r="Q22" i="53"/>
  <c r="Q11" i="53"/>
  <c r="Q20" i="53"/>
  <c r="Q28" i="53"/>
  <c r="Q32" i="51"/>
  <c r="Q10" i="49"/>
  <c r="Q10" i="52"/>
  <c r="Q32" i="53"/>
  <c r="Q15" i="56"/>
  <c r="Q10" i="54"/>
  <c r="Q38" i="49"/>
  <c r="Q12" i="55"/>
  <c r="Q22" i="51"/>
  <c r="Q15" i="52"/>
  <c r="Q25" i="56"/>
  <c r="Q25" i="51"/>
  <c r="Q24" i="54"/>
  <c r="Q12" i="52"/>
  <c r="Q10" i="56"/>
  <c r="Q24" i="49"/>
  <c r="Q25" i="49"/>
  <c r="Q15" i="51"/>
  <c r="Q25" i="52"/>
  <c r="Q12" i="53"/>
  <c r="Q15" i="54"/>
  <c r="Q32" i="55"/>
  <c r="Q16" i="49"/>
  <c r="Q15" i="49"/>
  <c r="Q11" i="51"/>
  <c r="Q20" i="51"/>
  <c r="Q28" i="51"/>
  <c r="Q11" i="52"/>
  <c r="Q20" i="52"/>
  <c r="Q28" i="52"/>
  <c r="Q8" i="53"/>
  <c r="Q16" i="53"/>
  <c r="Q24" i="53"/>
  <c r="Q38" i="53"/>
  <c r="Q11" i="54"/>
  <c r="Q20" i="54"/>
  <c r="Q28" i="54"/>
  <c r="Q8" i="55"/>
  <c r="Q16" i="55"/>
  <c r="Q24" i="55"/>
  <c r="Q38" i="55"/>
  <c r="Q11" i="56"/>
  <c r="Q20" i="56"/>
  <c r="Q28" i="56"/>
  <c r="Q38" i="52"/>
  <c r="Q24" i="52"/>
  <c r="Q16" i="52"/>
  <c r="Q8" i="52"/>
  <c r="Q11" i="49"/>
  <c r="Q20" i="49"/>
  <c r="Q28" i="49"/>
  <c r="Q12" i="49"/>
  <c r="Q22" i="49"/>
  <c r="Q32" i="49"/>
  <c r="P14" i="56" l="1"/>
  <c r="P24" i="55"/>
  <c r="P23" i="54"/>
  <c r="P16" i="55"/>
  <c r="P36" i="55"/>
  <c r="P27" i="52"/>
  <c r="P22" i="56"/>
  <c r="P24" i="53"/>
  <c r="P38" i="56"/>
  <c r="P18" i="52"/>
  <c r="P27" i="56"/>
  <c r="P37" i="55"/>
  <c r="P19" i="52"/>
  <c r="P19" i="54"/>
  <c r="P21" i="56"/>
  <c r="P30" i="56"/>
  <c r="P25" i="53"/>
  <c r="P28" i="51"/>
  <c r="P32" i="51"/>
  <c r="P27" i="51"/>
  <c r="P37" i="56"/>
  <c r="P11" i="56"/>
  <c r="P31" i="51"/>
  <c r="P7" i="52"/>
  <c r="P9" i="54"/>
  <c r="P22" i="55"/>
  <c r="P19" i="51"/>
  <c r="P13" i="54"/>
  <c r="P21" i="55"/>
  <c r="P20" i="55"/>
  <c r="P16" i="53"/>
  <c r="P13" i="51"/>
  <c r="P32" i="53"/>
  <c r="P9" i="56"/>
  <c r="P28" i="53"/>
  <c r="P17" i="54"/>
  <c r="P25" i="56"/>
  <c r="P22" i="53"/>
  <c r="P26" i="53"/>
  <c r="P7" i="54"/>
  <c r="P29" i="54"/>
  <c r="P38" i="54"/>
  <c r="P35" i="52"/>
  <c r="P25" i="51"/>
  <c r="P25" i="54"/>
  <c r="P18" i="55"/>
  <c r="P28" i="55"/>
  <c r="P32" i="55"/>
  <c r="P29" i="56"/>
  <c r="P11" i="52"/>
  <c r="P35" i="54"/>
  <c r="P31" i="54"/>
  <c r="P17" i="51"/>
  <c r="P10" i="51"/>
  <c r="P35" i="51"/>
  <c r="P37" i="52"/>
  <c r="P14" i="53"/>
  <c r="P33" i="56"/>
  <c r="P34" i="56"/>
  <c r="P31" i="52"/>
  <c r="P17" i="53"/>
  <c r="P29" i="55"/>
  <c r="P35" i="56"/>
  <c r="P9" i="51"/>
  <c r="P9" i="52"/>
  <c r="P15" i="52"/>
  <c r="P8" i="53"/>
  <c r="P12" i="53"/>
  <c r="P15" i="53"/>
  <c r="P29" i="53"/>
  <c r="P34" i="53"/>
  <c r="P37" i="53"/>
  <c r="P12" i="55"/>
  <c r="P33" i="55"/>
  <c r="P34" i="55"/>
  <c r="P26" i="52"/>
  <c r="P20" i="53"/>
  <c r="P30" i="53"/>
  <c r="P15" i="54"/>
  <c r="P13" i="55"/>
  <c r="P38" i="55"/>
  <c r="P17" i="56"/>
  <c r="P18" i="53"/>
  <c r="P33" i="54"/>
  <c r="P37" i="54"/>
  <c r="P19" i="56"/>
  <c r="P8" i="51"/>
  <c r="P20" i="51"/>
  <c r="P21" i="51"/>
  <c r="P30" i="52"/>
  <c r="P21" i="54"/>
  <c r="P33" i="51"/>
  <c r="P23" i="51"/>
  <c r="P11" i="51"/>
  <c r="P34" i="52"/>
  <c r="P23" i="52"/>
  <c r="P10" i="52"/>
  <c r="P10" i="53"/>
  <c r="P27" i="54"/>
  <c r="P24" i="51"/>
  <c r="P17" i="52"/>
  <c r="P21" i="52"/>
  <c r="P33" i="52"/>
  <c r="P27" i="53"/>
  <c r="P12" i="54"/>
  <c r="P14" i="54"/>
  <c r="P32" i="54"/>
  <c r="P36" i="54"/>
  <c r="P13" i="56"/>
  <c r="P13" i="52"/>
  <c r="P33" i="53"/>
  <c r="P22" i="52"/>
  <c r="P36" i="53"/>
  <c r="P8" i="55"/>
  <c r="P38" i="52"/>
  <c r="P38" i="53"/>
  <c r="P29" i="51"/>
  <c r="P11" i="53"/>
  <c r="P7" i="51"/>
  <c r="P15" i="51"/>
  <c r="P12" i="51"/>
  <c r="P16" i="51"/>
  <c r="P22" i="51"/>
  <c r="P26" i="51"/>
  <c r="P34" i="51"/>
  <c r="P38" i="51"/>
  <c r="P23" i="53"/>
  <c r="P14" i="51"/>
  <c r="P18" i="51"/>
  <c r="P30" i="51"/>
  <c r="P36" i="51"/>
  <c r="P37" i="51"/>
  <c r="P14" i="52"/>
  <c r="P13" i="53"/>
  <c r="P19" i="53"/>
  <c r="P10" i="54"/>
  <c r="P16" i="54"/>
  <c r="P18" i="54"/>
  <c r="P24" i="54"/>
  <c r="P26" i="54"/>
  <c r="P17" i="55"/>
  <c r="P25" i="52"/>
  <c r="P29" i="52"/>
  <c r="P7" i="53"/>
  <c r="P9" i="53"/>
  <c r="P21" i="53"/>
  <c r="P31" i="53"/>
  <c r="P35" i="53"/>
  <c r="P8" i="54"/>
  <c r="P20" i="54"/>
  <c r="P30" i="54"/>
  <c r="P28" i="54"/>
  <c r="P34" i="54"/>
  <c r="P25" i="55"/>
  <c r="P7" i="56"/>
  <c r="P10" i="56"/>
  <c r="P15" i="56"/>
  <c r="P18" i="56"/>
  <c r="P26" i="56"/>
  <c r="P22" i="54"/>
  <c r="P9" i="55"/>
  <c r="P20" i="56"/>
  <c r="P28" i="56"/>
  <c r="P36" i="56"/>
  <c r="P23" i="56"/>
  <c r="P12" i="56"/>
  <c r="P8" i="56"/>
  <c r="P16" i="56"/>
  <c r="P24" i="56"/>
  <c r="P32" i="56"/>
  <c r="P31" i="56"/>
  <c r="P15" i="55"/>
  <c r="P23" i="55"/>
  <c r="P31" i="55"/>
  <c r="P26" i="55"/>
  <c r="P10" i="55"/>
  <c r="P11" i="55"/>
  <c r="P19" i="55"/>
  <c r="P27" i="55"/>
  <c r="P35" i="55"/>
  <c r="P30" i="55"/>
  <c r="P14" i="55"/>
  <c r="P7" i="55"/>
  <c r="P11" i="54"/>
  <c r="P36" i="52"/>
  <c r="P32" i="52"/>
  <c r="P28" i="52"/>
  <c r="P24" i="52"/>
  <c r="P20" i="52"/>
  <c r="P16" i="52"/>
  <c r="P12" i="52"/>
  <c r="P8" i="52"/>
  <c r="BK6" i="57" l="1"/>
  <c r="BK40" i="57" s="1"/>
  <c r="BJ6" i="57"/>
  <c r="BI6" i="57"/>
  <c r="BH6" i="57"/>
  <c r="BH40" i="57" s="1"/>
  <c r="BB38" i="57"/>
  <c r="BB37" i="57"/>
  <c r="BB36" i="57"/>
  <c r="BB35" i="57"/>
  <c r="BB34" i="57"/>
  <c r="BB33" i="57"/>
  <c r="BB32" i="57"/>
  <c r="BB31" i="57"/>
  <c r="BB30" i="57"/>
  <c r="BB29" i="57"/>
  <c r="BB28" i="57"/>
  <c r="BB27" i="57"/>
  <c r="BB26" i="57"/>
  <c r="BB25" i="57"/>
  <c r="BB24" i="57"/>
  <c r="BB23" i="57"/>
  <c r="BB22" i="57"/>
  <c r="BB21" i="57"/>
  <c r="BB20" i="57"/>
  <c r="BB19" i="57"/>
  <c r="BB18" i="57"/>
  <c r="BB17" i="57"/>
  <c r="BB16" i="57"/>
  <c r="BB15" i="57"/>
  <c r="BB14" i="57"/>
  <c r="BB13" i="57"/>
  <c r="BB12" i="57"/>
  <c r="BB11" i="57"/>
  <c r="BB10" i="57"/>
  <c r="BB9" i="57"/>
  <c r="BB8" i="57"/>
  <c r="BB7" i="57"/>
  <c r="BB6" i="57"/>
  <c r="BA38" i="57"/>
  <c r="BA37" i="57"/>
  <c r="BA36" i="57"/>
  <c r="BA35" i="57"/>
  <c r="BA34" i="57"/>
  <c r="BA33" i="57"/>
  <c r="BA32" i="57"/>
  <c r="BA31" i="57"/>
  <c r="BA30" i="57"/>
  <c r="BA29" i="57"/>
  <c r="BA28" i="57"/>
  <c r="BA27" i="57"/>
  <c r="BA26" i="57"/>
  <c r="BA25" i="57"/>
  <c r="BA24" i="57"/>
  <c r="BA23" i="57"/>
  <c r="BA22" i="57"/>
  <c r="BA21" i="57"/>
  <c r="BA20" i="57"/>
  <c r="BA19" i="57"/>
  <c r="BA18" i="57"/>
  <c r="BA17" i="57"/>
  <c r="BA16" i="57"/>
  <c r="BA15" i="57"/>
  <c r="BA14" i="57"/>
  <c r="BA13" i="57"/>
  <c r="BA12" i="57"/>
  <c r="BA11" i="57"/>
  <c r="BA10" i="57"/>
  <c r="BA9" i="57"/>
  <c r="BA8" i="57"/>
  <c r="BA40" i="57" s="1"/>
  <c r="BA7" i="57"/>
  <c r="BA6" i="57"/>
  <c r="AY38" i="57"/>
  <c r="AX38" i="57"/>
  <c r="AY37" i="57"/>
  <c r="AX37" i="57"/>
  <c r="AY36" i="57"/>
  <c r="AX36" i="57"/>
  <c r="AY35" i="57"/>
  <c r="AX35" i="57"/>
  <c r="AY34" i="57"/>
  <c r="AX34" i="57"/>
  <c r="AY33" i="57"/>
  <c r="AX33" i="57"/>
  <c r="AY32" i="57"/>
  <c r="AX32" i="57"/>
  <c r="AY31" i="57"/>
  <c r="AX31" i="57"/>
  <c r="AY30" i="57"/>
  <c r="AX30" i="57"/>
  <c r="AY29" i="57"/>
  <c r="AX29" i="57"/>
  <c r="AY28" i="57"/>
  <c r="AX28" i="57"/>
  <c r="AY27" i="57"/>
  <c r="AX27" i="57"/>
  <c r="AY26" i="57"/>
  <c r="AX26" i="57"/>
  <c r="AY25" i="57"/>
  <c r="AX25" i="57"/>
  <c r="AY24" i="57"/>
  <c r="AX24" i="57"/>
  <c r="AY23" i="57"/>
  <c r="AX23" i="57"/>
  <c r="AY22" i="57"/>
  <c r="AX22" i="57"/>
  <c r="AY21" i="57"/>
  <c r="AX21" i="57"/>
  <c r="AY20" i="57"/>
  <c r="AX20" i="57"/>
  <c r="AY19" i="57"/>
  <c r="AX19" i="57"/>
  <c r="AY18" i="57"/>
  <c r="AX18" i="57"/>
  <c r="AY17" i="57"/>
  <c r="AX17" i="57"/>
  <c r="AY16" i="57"/>
  <c r="AX16" i="57"/>
  <c r="AY15" i="57"/>
  <c r="AX15" i="57"/>
  <c r="AY14" i="57"/>
  <c r="AX14" i="57"/>
  <c r="AY13" i="57"/>
  <c r="AX13" i="57"/>
  <c r="AY12" i="57"/>
  <c r="AX12" i="57"/>
  <c r="AY11" i="57"/>
  <c r="AX11" i="57"/>
  <c r="AY10" i="57"/>
  <c r="AX10" i="57"/>
  <c r="AY9" i="57"/>
  <c r="AX9" i="57"/>
  <c r="AY8" i="57"/>
  <c r="AX8" i="57"/>
  <c r="AY7" i="57"/>
  <c r="AX7" i="57"/>
  <c r="AY6" i="57"/>
  <c r="AX6" i="57"/>
  <c r="AW38" i="57"/>
  <c r="AW37" i="57"/>
  <c r="AW36" i="57"/>
  <c r="AW35" i="57"/>
  <c r="AW34" i="57"/>
  <c r="AW33" i="57"/>
  <c r="AW32" i="57"/>
  <c r="AW31" i="57"/>
  <c r="AW30" i="57"/>
  <c r="AW29" i="57"/>
  <c r="AW28" i="57"/>
  <c r="AW27" i="57"/>
  <c r="AW26" i="57"/>
  <c r="AW25" i="57"/>
  <c r="AW24" i="57"/>
  <c r="AW23" i="57"/>
  <c r="AW22" i="57"/>
  <c r="AW21" i="57"/>
  <c r="AW20" i="57"/>
  <c r="AW19" i="57"/>
  <c r="AW18" i="57"/>
  <c r="AW17" i="57"/>
  <c r="AW16" i="57"/>
  <c r="AW15" i="57"/>
  <c r="AW14" i="57"/>
  <c r="AW13" i="57"/>
  <c r="AW12" i="57"/>
  <c r="AW11" i="57"/>
  <c r="AW10" i="57"/>
  <c r="AW9" i="57"/>
  <c r="AW8" i="57"/>
  <c r="AW7" i="57"/>
  <c r="AW6" i="57"/>
  <c r="AN38" i="57"/>
  <c r="AM38" i="57"/>
  <c r="AL38" i="57"/>
  <c r="AK38" i="57"/>
  <c r="AJ38" i="57"/>
  <c r="AI38" i="57"/>
  <c r="AN37" i="57"/>
  <c r="AM37" i="57"/>
  <c r="AL37" i="57"/>
  <c r="AK37" i="57"/>
  <c r="AJ37" i="57"/>
  <c r="AI37" i="57"/>
  <c r="AN36" i="57"/>
  <c r="AM36" i="57"/>
  <c r="AL36" i="57"/>
  <c r="AK36" i="57"/>
  <c r="AJ36" i="57"/>
  <c r="AI36" i="57"/>
  <c r="AN35" i="57"/>
  <c r="AM35" i="57"/>
  <c r="AL35" i="57"/>
  <c r="AK35" i="57"/>
  <c r="AJ35" i="57"/>
  <c r="AI35" i="57"/>
  <c r="AN34" i="57"/>
  <c r="AM34" i="57"/>
  <c r="AL34" i="57"/>
  <c r="AK34" i="57"/>
  <c r="AJ34" i="57"/>
  <c r="AI34" i="57"/>
  <c r="AN33" i="57"/>
  <c r="AM33" i="57"/>
  <c r="AL33" i="57"/>
  <c r="AK33" i="57"/>
  <c r="AJ33" i="57"/>
  <c r="AI33" i="57"/>
  <c r="AN32" i="57"/>
  <c r="AM32" i="57"/>
  <c r="AL32" i="57"/>
  <c r="AK32" i="57"/>
  <c r="AJ32" i="57"/>
  <c r="AI32" i="57"/>
  <c r="AN31" i="57"/>
  <c r="AM31" i="57"/>
  <c r="AL31" i="57"/>
  <c r="AK31" i="57"/>
  <c r="AJ31" i="57"/>
  <c r="AI31" i="57"/>
  <c r="AN30" i="57"/>
  <c r="AM30" i="57"/>
  <c r="AL30" i="57"/>
  <c r="AK30" i="57"/>
  <c r="AJ30" i="57"/>
  <c r="AI30" i="57"/>
  <c r="AN29" i="57"/>
  <c r="AM29" i="57"/>
  <c r="AL29" i="57"/>
  <c r="AK29" i="57"/>
  <c r="AJ29" i="57"/>
  <c r="AI29" i="57"/>
  <c r="AN28" i="57"/>
  <c r="AM28" i="57"/>
  <c r="AL28" i="57"/>
  <c r="AK28" i="57"/>
  <c r="AJ28" i="57"/>
  <c r="AI28" i="57"/>
  <c r="AN27" i="57"/>
  <c r="AM27" i="57"/>
  <c r="AL27" i="57"/>
  <c r="AK27" i="57"/>
  <c r="AJ27" i="57"/>
  <c r="AI27" i="57"/>
  <c r="AN26" i="57"/>
  <c r="AM26" i="57"/>
  <c r="AL26" i="57"/>
  <c r="AK26" i="57"/>
  <c r="AJ26" i="57"/>
  <c r="AI26" i="57"/>
  <c r="AN25" i="57"/>
  <c r="AM25" i="57"/>
  <c r="AL25" i="57"/>
  <c r="AK25" i="57"/>
  <c r="AJ25" i="57"/>
  <c r="AI25" i="57"/>
  <c r="AN24" i="57"/>
  <c r="AM24" i="57"/>
  <c r="AL24" i="57"/>
  <c r="AK24" i="57"/>
  <c r="AJ24" i="57"/>
  <c r="AI24" i="57"/>
  <c r="AN23" i="57"/>
  <c r="AM23" i="57"/>
  <c r="AL23" i="57"/>
  <c r="AK23" i="57"/>
  <c r="AJ23" i="57"/>
  <c r="AI23" i="57"/>
  <c r="AN22" i="57"/>
  <c r="AM22" i="57"/>
  <c r="AL22" i="57"/>
  <c r="AK22" i="57"/>
  <c r="AJ22" i="57"/>
  <c r="AI22" i="57"/>
  <c r="AN21" i="57"/>
  <c r="AM21" i="57"/>
  <c r="AL21" i="57"/>
  <c r="AK21" i="57"/>
  <c r="AJ21" i="57"/>
  <c r="AI21" i="57"/>
  <c r="AN20" i="57"/>
  <c r="AM20" i="57"/>
  <c r="AL20" i="57"/>
  <c r="AK20" i="57"/>
  <c r="AJ20" i="57"/>
  <c r="AI20" i="57"/>
  <c r="AN19" i="57"/>
  <c r="AM19" i="57"/>
  <c r="AL19" i="57"/>
  <c r="AK19" i="57"/>
  <c r="AJ19" i="57"/>
  <c r="AI19" i="57"/>
  <c r="AN18" i="57"/>
  <c r="AM18" i="57"/>
  <c r="AL18" i="57"/>
  <c r="AK18" i="57"/>
  <c r="AJ18" i="57"/>
  <c r="AI18" i="57"/>
  <c r="AN17" i="57"/>
  <c r="AM17" i="57"/>
  <c r="AL17" i="57"/>
  <c r="AK17" i="57"/>
  <c r="AJ17" i="57"/>
  <c r="AI17" i="57"/>
  <c r="AN16" i="57"/>
  <c r="AM16" i="57"/>
  <c r="AL16" i="57"/>
  <c r="AK16" i="57"/>
  <c r="AJ16" i="57"/>
  <c r="AI16" i="57"/>
  <c r="AN15" i="57"/>
  <c r="AM15" i="57"/>
  <c r="AL15" i="57"/>
  <c r="AK15" i="57"/>
  <c r="AJ15" i="57"/>
  <c r="AI15" i="57"/>
  <c r="AN14" i="57"/>
  <c r="AM14" i="57"/>
  <c r="AL14" i="57"/>
  <c r="AK14" i="57"/>
  <c r="AJ14" i="57"/>
  <c r="AI14" i="57"/>
  <c r="AN13" i="57"/>
  <c r="AM13" i="57"/>
  <c r="AL13" i="57"/>
  <c r="AK13" i="57"/>
  <c r="AJ13" i="57"/>
  <c r="AI13" i="57"/>
  <c r="AN12" i="57"/>
  <c r="AM12" i="57"/>
  <c r="AL12" i="57"/>
  <c r="AK12" i="57"/>
  <c r="AJ12" i="57"/>
  <c r="AI12" i="57"/>
  <c r="AN11" i="57"/>
  <c r="AM11" i="57"/>
  <c r="AL11" i="57"/>
  <c r="AK11" i="57"/>
  <c r="AJ11" i="57"/>
  <c r="AI11" i="57"/>
  <c r="AN10" i="57"/>
  <c r="AM10" i="57"/>
  <c r="AL10" i="57"/>
  <c r="AK10" i="57"/>
  <c r="AJ10" i="57"/>
  <c r="AI10" i="57"/>
  <c r="AN9" i="57"/>
  <c r="AM9" i="57"/>
  <c r="AL9" i="57"/>
  <c r="AK9" i="57"/>
  <c r="AJ9" i="57"/>
  <c r="AI9" i="57"/>
  <c r="AN8" i="57"/>
  <c r="AM8" i="57"/>
  <c r="AL8" i="57"/>
  <c r="AK8" i="57"/>
  <c r="AJ8" i="57"/>
  <c r="AI8" i="57"/>
  <c r="AN7" i="57"/>
  <c r="AM7" i="57"/>
  <c r="AL7" i="57"/>
  <c r="AK7" i="57"/>
  <c r="AJ7" i="57"/>
  <c r="AI7" i="57"/>
  <c r="AN6" i="57"/>
  <c r="AM6" i="57"/>
  <c r="AL6" i="57"/>
  <c r="AK6" i="57"/>
  <c r="AJ6" i="57"/>
  <c r="AI6" i="57"/>
  <c r="AH38" i="57"/>
  <c r="AH37" i="57"/>
  <c r="AH36" i="57"/>
  <c r="AH35" i="57"/>
  <c r="AH34" i="57"/>
  <c r="AH33" i="57"/>
  <c r="AH32" i="57"/>
  <c r="AH31" i="57"/>
  <c r="AH30" i="57"/>
  <c r="AH29" i="57"/>
  <c r="AH28" i="57"/>
  <c r="AH27" i="57"/>
  <c r="AH26" i="57"/>
  <c r="AH25" i="57"/>
  <c r="AH24" i="57"/>
  <c r="AH23" i="57"/>
  <c r="AH22" i="57"/>
  <c r="AH21" i="57"/>
  <c r="AH20" i="57"/>
  <c r="AH19" i="57"/>
  <c r="AH18" i="57"/>
  <c r="AH17" i="57"/>
  <c r="AH16" i="57"/>
  <c r="AH15" i="57"/>
  <c r="AH14" i="57"/>
  <c r="AH13" i="57"/>
  <c r="AH12" i="57"/>
  <c r="AH11" i="57"/>
  <c r="AH10" i="57"/>
  <c r="AH9" i="57"/>
  <c r="AH8" i="57"/>
  <c r="AH7" i="57"/>
  <c r="AH6" i="57"/>
  <c r="AE38" i="57"/>
  <c r="AE37" i="57"/>
  <c r="AE36" i="57"/>
  <c r="AE35" i="57"/>
  <c r="AE34" i="57"/>
  <c r="AE33" i="57"/>
  <c r="AE32" i="57"/>
  <c r="AE31" i="57"/>
  <c r="AE30" i="57"/>
  <c r="AE29" i="57"/>
  <c r="AE28" i="57"/>
  <c r="AE27" i="57"/>
  <c r="AE26" i="57"/>
  <c r="AE25" i="57"/>
  <c r="AE24" i="57"/>
  <c r="AE23" i="57"/>
  <c r="AE22" i="57"/>
  <c r="AE21" i="57"/>
  <c r="AE20" i="57"/>
  <c r="AE19" i="57"/>
  <c r="AE18" i="57"/>
  <c r="AE17" i="57"/>
  <c r="AE16" i="57"/>
  <c r="AE15" i="57"/>
  <c r="AE14" i="57"/>
  <c r="AE13" i="57"/>
  <c r="AE12" i="57"/>
  <c r="AE11" i="57"/>
  <c r="AE10" i="57"/>
  <c r="AE9" i="57"/>
  <c r="AE8" i="57"/>
  <c r="AE7" i="57"/>
  <c r="AE6" i="57"/>
  <c r="AD38" i="57"/>
  <c r="AD37" i="57"/>
  <c r="AD36" i="57"/>
  <c r="AD35" i="57"/>
  <c r="AD34" i="57"/>
  <c r="AD33" i="57"/>
  <c r="AD32" i="57"/>
  <c r="AD31" i="57"/>
  <c r="AD30" i="57"/>
  <c r="AD29" i="57"/>
  <c r="AD28" i="57"/>
  <c r="AD27" i="57"/>
  <c r="AD26" i="57"/>
  <c r="AD25" i="57"/>
  <c r="AD24" i="57"/>
  <c r="AD23" i="57"/>
  <c r="AD22" i="57"/>
  <c r="AD21" i="57"/>
  <c r="AD20" i="57"/>
  <c r="AD19" i="57"/>
  <c r="AD18" i="57"/>
  <c r="AD17" i="57"/>
  <c r="AD16" i="57"/>
  <c r="AD15" i="57"/>
  <c r="AD14" i="57"/>
  <c r="AD13" i="57"/>
  <c r="AD12" i="57"/>
  <c r="AD11" i="57"/>
  <c r="AD10" i="57"/>
  <c r="AD9" i="57"/>
  <c r="AD8" i="57"/>
  <c r="AD7" i="57"/>
  <c r="AD6" i="57"/>
  <c r="AC38" i="57"/>
  <c r="AC37" i="57"/>
  <c r="AC36" i="57"/>
  <c r="AC35" i="57"/>
  <c r="AC34" i="57"/>
  <c r="AC33" i="57"/>
  <c r="AC32" i="57"/>
  <c r="AC31" i="57"/>
  <c r="AC30" i="57"/>
  <c r="AC29" i="57"/>
  <c r="AC28" i="57"/>
  <c r="AC27" i="57"/>
  <c r="AC26" i="57"/>
  <c r="AC25" i="57"/>
  <c r="AC24" i="57"/>
  <c r="AC23" i="57"/>
  <c r="AC22" i="57"/>
  <c r="AC21" i="57"/>
  <c r="AC20" i="57"/>
  <c r="AC19" i="57"/>
  <c r="AC18" i="57"/>
  <c r="AC17" i="57"/>
  <c r="AC16" i="57"/>
  <c r="AC15" i="57"/>
  <c r="AC14" i="57"/>
  <c r="AC13" i="57"/>
  <c r="AC12" i="57"/>
  <c r="AC11" i="57"/>
  <c r="AC10" i="57"/>
  <c r="AC9" i="57"/>
  <c r="AC8" i="57"/>
  <c r="AC7" i="57"/>
  <c r="AC6" i="57"/>
  <c r="AC40" i="57" s="1"/>
  <c r="Z38" i="57"/>
  <c r="Y38" i="57"/>
  <c r="X38" i="57"/>
  <c r="W38" i="57"/>
  <c r="Z37" i="57"/>
  <c r="Y37" i="57"/>
  <c r="X37" i="57"/>
  <c r="W37" i="57"/>
  <c r="Z36" i="57"/>
  <c r="Y36" i="57"/>
  <c r="X36" i="57"/>
  <c r="W36" i="57"/>
  <c r="Z35" i="57"/>
  <c r="Y35" i="57"/>
  <c r="X35" i="57"/>
  <c r="W35" i="57"/>
  <c r="Z34" i="57"/>
  <c r="Y34" i="57"/>
  <c r="X34" i="57"/>
  <c r="W34" i="57"/>
  <c r="Z33" i="57"/>
  <c r="Y33" i="57"/>
  <c r="X33" i="57"/>
  <c r="W33" i="57"/>
  <c r="Z32" i="57"/>
  <c r="Y32" i="57"/>
  <c r="X32" i="57"/>
  <c r="W32" i="57"/>
  <c r="Z31" i="57"/>
  <c r="Y31" i="57"/>
  <c r="X31" i="57"/>
  <c r="W31" i="57"/>
  <c r="Z30" i="57"/>
  <c r="Y30" i="57"/>
  <c r="X30" i="57"/>
  <c r="W30" i="57"/>
  <c r="Z29" i="57"/>
  <c r="Y29" i="57"/>
  <c r="X29" i="57"/>
  <c r="W29" i="57"/>
  <c r="Z28" i="57"/>
  <c r="Y28" i="57"/>
  <c r="X28" i="57"/>
  <c r="W28" i="57"/>
  <c r="Z27" i="57"/>
  <c r="Y27" i="57"/>
  <c r="X27" i="57"/>
  <c r="W27" i="57"/>
  <c r="Z26" i="57"/>
  <c r="Y26" i="57"/>
  <c r="X26" i="57"/>
  <c r="W26" i="57"/>
  <c r="Z25" i="57"/>
  <c r="Y25" i="57"/>
  <c r="X25" i="57"/>
  <c r="W25" i="57"/>
  <c r="Z24" i="57"/>
  <c r="Y24" i="57"/>
  <c r="X24" i="57"/>
  <c r="W24" i="57"/>
  <c r="Z23" i="57"/>
  <c r="Y23" i="57"/>
  <c r="X23" i="57"/>
  <c r="W23" i="57"/>
  <c r="Z22" i="57"/>
  <c r="Y22" i="57"/>
  <c r="X22" i="57"/>
  <c r="W22" i="57"/>
  <c r="Z21" i="57"/>
  <c r="Y21" i="57"/>
  <c r="X21" i="57"/>
  <c r="W21" i="57"/>
  <c r="Z20" i="57"/>
  <c r="Y20" i="57"/>
  <c r="X20" i="57"/>
  <c r="W20" i="57"/>
  <c r="Z19" i="57"/>
  <c r="Y19" i="57"/>
  <c r="X19" i="57"/>
  <c r="W19" i="57"/>
  <c r="Z18" i="57"/>
  <c r="Y18" i="57"/>
  <c r="X18" i="57"/>
  <c r="W18" i="57"/>
  <c r="Z17" i="57"/>
  <c r="Y17" i="57"/>
  <c r="X17" i="57"/>
  <c r="W17" i="57"/>
  <c r="Z16" i="57"/>
  <c r="Y16" i="57"/>
  <c r="X16" i="57"/>
  <c r="W16" i="57"/>
  <c r="Z15" i="57"/>
  <c r="Y15" i="57"/>
  <c r="X15" i="57"/>
  <c r="W15" i="57"/>
  <c r="Z14" i="57"/>
  <c r="Y14" i="57"/>
  <c r="X14" i="57"/>
  <c r="W14" i="57"/>
  <c r="Z13" i="57"/>
  <c r="Y13" i="57"/>
  <c r="X13" i="57"/>
  <c r="W13" i="57"/>
  <c r="Z12" i="57"/>
  <c r="Y12" i="57"/>
  <c r="X12" i="57"/>
  <c r="W12" i="57"/>
  <c r="Z11" i="57"/>
  <c r="Y11" i="57"/>
  <c r="X11" i="57"/>
  <c r="W11" i="57"/>
  <c r="Z10" i="57"/>
  <c r="Y10" i="57"/>
  <c r="X10" i="57"/>
  <c r="W10" i="57"/>
  <c r="Z9" i="57"/>
  <c r="Y9" i="57"/>
  <c r="X9" i="57"/>
  <c r="W9" i="57"/>
  <c r="Z8" i="57"/>
  <c r="Y8" i="57"/>
  <c r="X8" i="57"/>
  <c r="W8" i="57"/>
  <c r="Z7" i="57"/>
  <c r="Y7" i="57"/>
  <c r="X7" i="57"/>
  <c r="W7" i="57"/>
  <c r="Z6" i="57"/>
  <c r="Z40" i="57" s="1"/>
  <c r="Y6" i="57"/>
  <c r="X6" i="57"/>
  <c r="W6" i="57"/>
  <c r="W40" i="57" s="1"/>
  <c r="V38" i="57"/>
  <c r="V37" i="57"/>
  <c r="V36" i="57"/>
  <c r="V35" i="57"/>
  <c r="V34" i="57"/>
  <c r="V33" i="57"/>
  <c r="V32" i="57"/>
  <c r="V31" i="57"/>
  <c r="V30" i="57"/>
  <c r="V29" i="57"/>
  <c r="V28" i="57"/>
  <c r="V27" i="57"/>
  <c r="V26" i="57"/>
  <c r="V25" i="57"/>
  <c r="V24" i="57"/>
  <c r="V23" i="57"/>
  <c r="V22" i="57"/>
  <c r="V21" i="57"/>
  <c r="V20" i="57"/>
  <c r="V19" i="57"/>
  <c r="V18" i="57"/>
  <c r="V17" i="57"/>
  <c r="V16" i="57"/>
  <c r="V15" i="57"/>
  <c r="V14" i="57"/>
  <c r="V13" i="57"/>
  <c r="V12" i="57"/>
  <c r="V11" i="57"/>
  <c r="V10" i="57"/>
  <c r="V9" i="57"/>
  <c r="V8" i="57"/>
  <c r="V7" i="57"/>
  <c r="V40" i="57" s="1"/>
  <c r="V6" i="57"/>
  <c r="S38" i="57"/>
  <c r="S37" i="57"/>
  <c r="S36" i="57"/>
  <c r="S35" i="57"/>
  <c r="S34" i="57"/>
  <c r="S33" i="57"/>
  <c r="S32" i="57"/>
  <c r="S31" i="57"/>
  <c r="S30" i="57"/>
  <c r="S29" i="57"/>
  <c r="S28" i="57"/>
  <c r="S27" i="57"/>
  <c r="S26" i="57"/>
  <c r="S25" i="57"/>
  <c r="S24" i="57"/>
  <c r="S23" i="57"/>
  <c r="S22" i="57"/>
  <c r="S21" i="57"/>
  <c r="S20" i="57"/>
  <c r="S19" i="57"/>
  <c r="S18" i="57"/>
  <c r="S17" i="57"/>
  <c r="S16" i="57"/>
  <c r="S15" i="57"/>
  <c r="S14" i="57"/>
  <c r="S13" i="57"/>
  <c r="S12" i="57"/>
  <c r="S11" i="57"/>
  <c r="S10" i="57"/>
  <c r="S9" i="57"/>
  <c r="S8" i="57"/>
  <c r="S7" i="57"/>
  <c r="S40" i="57" s="1"/>
  <c r="S6" i="57"/>
  <c r="R38" i="57"/>
  <c r="R36" i="57"/>
  <c r="R35" i="57"/>
  <c r="R34" i="57"/>
  <c r="R32" i="57"/>
  <c r="R29" i="57"/>
  <c r="R28" i="57"/>
  <c r="R27" i="57"/>
  <c r="R26" i="57"/>
  <c r="R22" i="57"/>
  <c r="R21" i="57"/>
  <c r="R19" i="57"/>
  <c r="R15" i="57"/>
  <c r="R14" i="57"/>
  <c r="R13" i="57"/>
  <c r="R11" i="57"/>
  <c r="R10" i="57"/>
  <c r="R8" i="57"/>
  <c r="R7" i="57"/>
  <c r="R6" i="57"/>
  <c r="Q37" i="57"/>
  <c r="Q36" i="57"/>
  <c r="Q35" i="57"/>
  <c r="Q34" i="57"/>
  <c r="Q33" i="57"/>
  <c r="Q31" i="57"/>
  <c r="Q30" i="57"/>
  <c r="Q29" i="57"/>
  <c r="Q27" i="57"/>
  <c r="Q26" i="57"/>
  <c r="Q23" i="57"/>
  <c r="Q21" i="57"/>
  <c r="Q19" i="57"/>
  <c r="Q18" i="57"/>
  <c r="Q17" i="57"/>
  <c r="Q14" i="57"/>
  <c r="Q13" i="57"/>
  <c r="Q9" i="57"/>
  <c r="Q7" i="57"/>
  <c r="Q6" i="57"/>
  <c r="P6" i="57"/>
  <c r="I38" i="57"/>
  <c r="I37" i="57"/>
  <c r="I36" i="57"/>
  <c r="I35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I8" i="57"/>
  <c r="I7" i="57"/>
  <c r="I6" i="57"/>
  <c r="BP45" i="57"/>
  <c r="BP40" i="57"/>
  <c r="BL40" i="57"/>
  <c r="BE40" i="57"/>
  <c r="BC40" i="57"/>
  <c r="BB40" i="57"/>
  <c r="AV40" i="57"/>
  <c r="AU40" i="57"/>
  <c r="AT40" i="57"/>
  <c r="AP40" i="57"/>
  <c r="AO40" i="57"/>
  <c r="AN40" i="57"/>
  <c r="AM40" i="57"/>
  <c r="AL40" i="57"/>
  <c r="AK40" i="57"/>
  <c r="AJ40" i="57"/>
  <c r="AI40" i="57"/>
  <c r="AG40" i="57"/>
  <c r="AF40" i="57"/>
  <c r="AD40" i="57"/>
  <c r="AA40" i="57"/>
  <c r="Y40" i="57"/>
  <c r="X40" i="57"/>
  <c r="N40" i="57"/>
  <c r="L40" i="57"/>
  <c r="J40" i="57"/>
  <c r="I40" i="57"/>
  <c r="B38" i="57"/>
  <c r="B37" i="57"/>
  <c r="B36" i="57"/>
  <c r="B35" i="57"/>
  <c r="B34" i="57"/>
  <c r="BP33" i="57"/>
  <c r="BP34" i="57" s="1"/>
  <c r="B33" i="57"/>
  <c r="B32" i="57"/>
  <c r="B31" i="57"/>
  <c r="B30" i="57"/>
  <c r="B29" i="57"/>
  <c r="BP28" i="57"/>
  <c r="B28" i="57"/>
  <c r="B27" i="57"/>
  <c r="B26" i="57"/>
  <c r="B25" i="57"/>
  <c r="B24" i="57"/>
  <c r="B23" i="57"/>
  <c r="BP22" i="57"/>
  <c r="B22" i="57"/>
  <c r="B21" i="57"/>
  <c r="B20" i="57"/>
  <c r="B19" i="57"/>
  <c r="B18" i="57"/>
  <c r="B17" i="57"/>
  <c r="BP16" i="57"/>
  <c r="B16" i="57"/>
  <c r="B15" i="57"/>
  <c r="B14" i="57"/>
  <c r="B13" i="57"/>
  <c r="B12" i="57"/>
  <c r="B11" i="57"/>
  <c r="B10" i="57"/>
  <c r="B9" i="57"/>
  <c r="B8" i="57"/>
  <c r="B7" i="57"/>
  <c r="BM6" i="57"/>
  <c r="BM40" i="57" s="1"/>
  <c r="BI40" i="57"/>
  <c r="B6" i="57"/>
  <c r="BP45" i="56"/>
  <c r="BP40" i="56"/>
  <c r="BL40" i="56"/>
  <c r="BE40" i="56"/>
  <c r="BC40" i="56"/>
  <c r="BB40" i="56"/>
  <c r="BA40" i="56"/>
  <c r="AV40" i="56"/>
  <c r="AU40" i="56"/>
  <c r="AT40" i="56"/>
  <c r="AP40" i="56"/>
  <c r="AO40" i="56"/>
  <c r="AN40" i="56"/>
  <c r="AM40" i="56"/>
  <c r="AL40" i="56"/>
  <c r="AK40" i="56"/>
  <c r="AJ40" i="56"/>
  <c r="AI40" i="56"/>
  <c r="AG40" i="56"/>
  <c r="AF40" i="56"/>
  <c r="AE40" i="56"/>
  <c r="AD40" i="56"/>
  <c r="AC40" i="56"/>
  <c r="AA40" i="56"/>
  <c r="Z40" i="56"/>
  <c r="Y40" i="56"/>
  <c r="X40" i="56"/>
  <c r="W40" i="56"/>
  <c r="V40" i="56"/>
  <c r="S40" i="56"/>
  <c r="N40" i="56"/>
  <c r="L40" i="56"/>
  <c r="J40" i="56"/>
  <c r="I40" i="56"/>
  <c r="AY38" i="56"/>
  <c r="AX38" i="56"/>
  <c r="AW38" i="56"/>
  <c r="F38" i="56"/>
  <c r="E38" i="56"/>
  <c r="D38" i="56"/>
  <c r="B38" i="56"/>
  <c r="AY37" i="56"/>
  <c r="AX37" i="56"/>
  <c r="AW37" i="56"/>
  <c r="F37" i="56"/>
  <c r="E37" i="56"/>
  <c r="D37" i="56"/>
  <c r="B37" i="56"/>
  <c r="AY36" i="56"/>
  <c r="AX36" i="56"/>
  <c r="AW36" i="56"/>
  <c r="F36" i="56"/>
  <c r="E36" i="56"/>
  <c r="H36" i="56" s="1"/>
  <c r="D36" i="56"/>
  <c r="B36" i="56"/>
  <c r="AY35" i="56"/>
  <c r="AX35" i="56"/>
  <c r="AW35" i="56"/>
  <c r="F35" i="56"/>
  <c r="E35" i="56"/>
  <c r="D35" i="56"/>
  <c r="B35" i="56"/>
  <c r="AY34" i="56"/>
  <c r="AX34" i="56"/>
  <c r="AW34" i="56"/>
  <c r="F34" i="56"/>
  <c r="E34" i="56"/>
  <c r="D34" i="56"/>
  <c r="B34" i="56"/>
  <c r="BP33" i="56"/>
  <c r="AY33" i="56"/>
  <c r="AX33" i="56"/>
  <c r="AW33" i="56"/>
  <c r="F33" i="56"/>
  <c r="E33" i="56"/>
  <c r="D33" i="56"/>
  <c r="B33" i="56"/>
  <c r="AY32" i="56"/>
  <c r="AX32" i="56"/>
  <c r="AW32" i="56"/>
  <c r="F32" i="56"/>
  <c r="E32" i="56"/>
  <c r="D32" i="56"/>
  <c r="B32" i="56"/>
  <c r="AY31" i="56"/>
  <c r="AX31" i="56"/>
  <c r="AW31" i="56"/>
  <c r="F31" i="56"/>
  <c r="E31" i="56"/>
  <c r="D31" i="56"/>
  <c r="B31" i="56"/>
  <c r="AY30" i="56"/>
  <c r="AX30" i="56"/>
  <c r="AW30" i="56"/>
  <c r="F30" i="56"/>
  <c r="E30" i="56"/>
  <c r="D30" i="56"/>
  <c r="H30" i="56" s="1"/>
  <c r="B30" i="56"/>
  <c r="AY29" i="56"/>
  <c r="AX29" i="56"/>
  <c r="AW29" i="56"/>
  <c r="F29" i="56"/>
  <c r="E29" i="56"/>
  <c r="K29" i="56" s="1"/>
  <c r="D29" i="56"/>
  <c r="B29" i="56"/>
  <c r="BP28" i="56"/>
  <c r="AY28" i="56"/>
  <c r="AX28" i="56"/>
  <c r="AW28" i="56"/>
  <c r="F28" i="56"/>
  <c r="E28" i="56"/>
  <c r="D28" i="56"/>
  <c r="B28" i="56"/>
  <c r="AY27" i="56"/>
  <c r="AX27" i="56"/>
  <c r="AW27" i="56"/>
  <c r="F27" i="56"/>
  <c r="E27" i="56"/>
  <c r="D27" i="56"/>
  <c r="B27" i="56"/>
  <c r="AY26" i="56"/>
  <c r="AX26" i="56"/>
  <c r="AW26" i="56"/>
  <c r="F26" i="56"/>
  <c r="E26" i="56"/>
  <c r="D26" i="56"/>
  <c r="B26" i="56"/>
  <c r="AY25" i="56"/>
  <c r="AX25" i="56"/>
  <c r="AW25" i="56"/>
  <c r="F25" i="56"/>
  <c r="E25" i="56"/>
  <c r="D25" i="56"/>
  <c r="H25" i="56" s="1"/>
  <c r="B25" i="56"/>
  <c r="AY24" i="56"/>
  <c r="AX24" i="56"/>
  <c r="AW24" i="56"/>
  <c r="H24" i="56"/>
  <c r="F24" i="56"/>
  <c r="E24" i="56"/>
  <c r="D24" i="56"/>
  <c r="B24" i="56"/>
  <c r="AY23" i="56"/>
  <c r="AX23" i="56"/>
  <c r="AW23" i="56"/>
  <c r="F23" i="56"/>
  <c r="E23" i="56"/>
  <c r="D23" i="56"/>
  <c r="B23" i="56"/>
  <c r="BP22" i="56"/>
  <c r="AY22" i="56"/>
  <c r="AX22" i="56"/>
  <c r="AW22" i="56"/>
  <c r="F22" i="56"/>
  <c r="E22" i="56"/>
  <c r="D22" i="56"/>
  <c r="B22" i="56"/>
  <c r="AY21" i="56"/>
  <c r="AX21" i="56"/>
  <c r="AW21" i="56"/>
  <c r="F21" i="56"/>
  <c r="E21" i="56"/>
  <c r="D21" i="56"/>
  <c r="B21" i="56"/>
  <c r="AY20" i="56"/>
  <c r="AX20" i="56"/>
  <c r="AW20" i="56"/>
  <c r="F20" i="56"/>
  <c r="E20" i="56"/>
  <c r="D20" i="56"/>
  <c r="B20" i="56"/>
  <c r="AY19" i="56"/>
  <c r="AX19" i="56"/>
  <c r="AW19" i="56"/>
  <c r="F19" i="56"/>
  <c r="E19" i="56"/>
  <c r="D19" i="56"/>
  <c r="B19" i="56"/>
  <c r="AY18" i="56"/>
  <c r="AX18" i="56"/>
  <c r="AW18" i="56"/>
  <c r="F18" i="56"/>
  <c r="E18" i="56"/>
  <c r="D18" i="56"/>
  <c r="H18" i="56" s="1"/>
  <c r="B18" i="56"/>
  <c r="AY17" i="56"/>
  <c r="AX17" i="56"/>
  <c r="AW17" i="56"/>
  <c r="F17" i="56"/>
  <c r="E17" i="56"/>
  <c r="D17" i="56"/>
  <c r="B17" i="56"/>
  <c r="BP16" i="56"/>
  <c r="AY16" i="56"/>
  <c r="AX16" i="56"/>
  <c r="AW16" i="56"/>
  <c r="F16" i="56"/>
  <c r="E16" i="56"/>
  <c r="D16" i="56"/>
  <c r="B16" i="56"/>
  <c r="AY15" i="56"/>
  <c r="AX15" i="56"/>
  <c r="AW15" i="56"/>
  <c r="F15" i="56"/>
  <c r="E15" i="56"/>
  <c r="D15" i="56"/>
  <c r="B15" i="56"/>
  <c r="AY14" i="56"/>
  <c r="AX14" i="56"/>
  <c r="AW14" i="56"/>
  <c r="F14" i="56"/>
  <c r="E14" i="56"/>
  <c r="D14" i="56"/>
  <c r="B14" i="56"/>
  <c r="AY13" i="56"/>
  <c r="AX13" i="56"/>
  <c r="AW13" i="56"/>
  <c r="F13" i="56"/>
  <c r="E13" i="56"/>
  <c r="D13" i="56"/>
  <c r="B13" i="56"/>
  <c r="AY12" i="56"/>
  <c r="AY40" i="56" s="1"/>
  <c r="AX12" i="56"/>
  <c r="AW12" i="56"/>
  <c r="F12" i="56"/>
  <c r="E12" i="56"/>
  <c r="D12" i="56"/>
  <c r="B12" i="56"/>
  <c r="AY11" i="56"/>
  <c r="AX11" i="56"/>
  <c r="AW11" i="56"/>
  <c r="F11" i="56"/>
  <c r="E11" i="56"/>
  <c r="D11" i="56"/>
  <c r="B11" i="56"/>
  <c r="AY10" i="56"/>
  <c r="AX10" i="56"/>
  <c r="AW10" i="56"/>
  <c r="F10" i="56"/>
  <c r="E10" i="56"/>
  <c r="K10" i="56" s="1"/>
  <c r="D10" i="56"/>
  <c r="B10" i="56"/>
  <c r="AY9" i="56"/>
  <c r="AX9" i="56"/>
  <c r="AW9" i="56"/>
  <c r="F9" i="56"/>
  <c r="E9" i="56"/>
  <c r="D9" i="56"/>
  <c r="B9" i="56"/>
  <c r="AY8" i="56"/>
  <c r="AX8" i="56"/>
  <c r="AW8" i="56"/>
  <c r="F8" i="56"/>
  <c r="E8" i="56"/>
  <c r="D8" i="56"/>
  <c r="B8" i="56"/>
  <c r="AY7" i="56"/>
  <c r="AX7" i="56"/>
  <c r="AW7" i="56"/>
  <c r="F7" i="56"/>
  <c r="E7" i="56"/>
  <c r="D7" i="56"/>
  <c r="B7" i="56"/>
  <c r="BM6" i="56"/>
  <c r="BM40" i="56" s="1"/>
  <c r="BK6" i="56"/>
  <c r="BK40" i="56" s="1"/>
  <c r="BI6" i="56"/>
  <c r="BI40" i="56" s="1"/>
  <c r="BH6" i="56"/>
  <c r="BH40" i="56" s="1"/>
  <c r="BF6" i="56"/>
  <c r="AY6" i="56"/>
  <c r="AX6" i="56"/>
  <c r="AW6" i="56"/>
  <c r="F6" i="56"/>
  <c r="E6" i="56"/>
  <c r="D6" i="56"/>
  <c r="B6" i="56"/>
  <c r="BP45" i="55"/>
  <c r="BP40" i="55"/>
  <c r="BL40" i="55"/>
  <c r="BE40" i="55"/>
  <c r="BC40" i="55"/>
  <c r="BB40" i="55"/>
  <c r="BA40" i="55"/>
  <c r="AV40" i="55"/>
  <c r="AU40" i="55"/>
  <c r="AT40" i="55"/>
  <c r="AP40" i="55"/>
  <c r="AO40" i="55"/>
  <c r="AN40" i="55"/>
  <c r="AM40" i="55"/>
  <c r="AL40" i="55"/>
  <c r="AK40" i="55"/>
  <c r="AJ40" i="55"/>
  <c r="AI40" i="55"/>
  <c r="AG40" i="55"/>
  <c r="AF40" i="55"/>
  <c r="AE40" i="55"/>
  <c r="AD40" i="55"/>
  <c r="AC40" i="55"/>
  <c r="AA40" i="55"/>
  <c r="Z40" i="55"/>
  <c r="Y40" i="55"/>
  <c r="X40" i="55"/>
  <c r="W40" i="55"/>
  <c r="V40" i="55"/>
  <c r="S40" i="55"/>
  <c r="N40" i="55"/>
  <c r="L40" i="55"/>
  <c r="J40" i="55"/>
  <c r="I40" i="55"/>
  <c r="AY38" i="55"/>
  <c r="AX38" i="55"/>
  <c r="AW38" i="55"/>
  <c r="F38" i="55"/>
  <c r="E38" i="55"/>
  <c r="D38" i="55"/>
  <c r="B38" i="55"/>
  <c r="AY37" i="55"/>
  <c r="AX37" i="55"/>
  <c r="AW37" i="55"/>
  <c r="F37" i="55"/>
  <c r="E37" i="55"/>
  <c r="D37" i="55"/>
  <c r="B37" i="55"/>
  <c r="AY36" i="55"/>
  <c r="AX36" i="55"/>
  <c r="AW36" i="55"/>
  <c r="F36" i="55"/>
  <c r="E36" i="55"/>
  <c r="D36" i="55"/>
  <c r="B36" i="55"/>
  <c r="AY35" i="55"/>
  <c r="AX35" i="55"/>
  <c r="AW35" i="55"/>
  <c r="F35" i="55"/>
  <c r="E35" i="55"/>
  <c r="D35" i="55"/>
  <c r="B35" i="55"/>
  <c r="AY34" i="55"/>
  <c r="AX34" i="55"/>
  <c r="AW34" i="55"/>
  <c r="F34" i="55"/>
  <c r="E34" i="55"/>
  <c r="K34" i="55" s="1"/>
  <c r="D34" i="55"/>
  <c r="B34" i="55"/>
  <c r="BP33" i="55"/>
  <c r="BP34" i="55" s="1"/>
  <c r="AY33" i="55"/>
  <c r="AX33" i="55"/>
  <c r="AW33" i="55"/>
  <c r="F33" i="55"/>
  <c r="E33" i="55"/>
  <c r="D33" i="55"/>
  <c r="B33" i="55"/>
  <c r="AY32" i="55"/>
  <c r="AX32" i="55"/>
  <c r="AW32" i="55"/>
  <c r="F32" i="55"/>
  <c r="E32" i="55"/>
  <c r="D32" i="55"/>
  <c r="B32" i="55"/>
  <c r="AY31" i="55"/>
  <c r="AX31" i="55"/>
  <c r="AW31" i="55"/>
  <c r="F31" i="55"/>
  <c r="E31" i="55"/>
  <c r="D31" i="55"/>
  <c r="H31" i="55" s="1"/>
  <c r="B31" i="55"/>
  <c r="AY30" i="55"/>
  <c r="AX30" i="55"/>
  <c r="AW30" i="55"/>
  <c r="F30" i="55"/>
  <c r="E30" i="55"/>
  <c r="H30" i="55" s="1"/>
  <c r="D30" i="55"/>
  <c r="B30" i="55"/>
  <c r="AY29" i="55"/>
  <c r="AX29" i="55"/>
  <c r="AW29" i="55"/>
  <c r="F29" i="55"/>
  <c r="E29" i="55"/>
  <c r="D29" i="55"/>
  <c r="B29" i="55"/>
  <c r="BP28" i="55"/>
  <c r="BI6" i="55" s="1"/>
  <c r="BI40" i="55" s="1"/>
  <c r="AY28" i="55"/>
  <c r="AX28" i="55"/>
  <c r="AW28" i="55"/>
  <c r="F28" i="55"/>
  <c r="E28" i="55"/>
  <c r="D28" i="55"/>
  <c r="B28" i="55"/>
  <c r="AY27" i="55"/>
  <c r="AX27" i="55"/>
  <c r="AW27" i="55"/>
  <c r="F27" i="55"/>
  <c r="E27" i="55"/>
  <c r="D27" i="55"/>
  <c r="B27" i="55"/>
  <c r="AY26" i="55"/>
  <c r="AX26" i="55"/>
  <c r="AW26" i="55"/>
  <c r="F26" i="55"/>
  <c r="E26" i="55"/>
  <c r="D26" i="55"/>
  <c r="M26" i="55" s="1"/>
  <c r="B26" i="55"/>
  <c r="AY25" i="55"/>
  <c r="AX25" i="55"/>
  <c r="AW25" i="55"/>
  <c r="F25" i="55"/>
  <c r="E25" i="55"/>
  <c r="D25" i="55"/>
  <c r="B25" i="55"/>
  <c r="AY24" i="55"/>
  <c r="AX24" i="55"/>
  <c r="AW24" i="55"/>
  <c r="F24" i="55"/>
  <c r="E24" i="55"/>
  <c r="D24" i="55"/>
  <c r="B24" i="55"/>
  <c r="AY23" i="55"/>
  <c r="AX23" i="55"/>
  <c r="AW23" i="55"/>
  <c r="F23" i="55"/>
  <c r="E23" i="55"/>
  <c r="D23" i="55"/>
  <c r="B23" i="55"/>
  <c r="BP22" i="55"/>
  <c r="AY22" i="55"/>
  <c r="AX22" i="55"/>
  <c r="AW22" i="55"/>
  <c r="F22" i="55"/>
  <c r="E22" i="55"/>
  <c r="D22" i="55"/>
  <c r="B22" i="55"/>
  <c r="AY21" i="55"/>
  <c r="AX21" i="55"/>
  <c r="AW21" i="55"/>
  <c r="F21" i="55"/>
  <c r="E21" i="55"/>
  <c r="D21" i="55"/>
  <c r="B21" i="55"/>
  <c r="AY20" i="55"/>
  <c r="AX20" i="55"/>
  <c r="AW20" i="55"/>
  <c r="F20" i="55"/>
  <c r="E20" i="55"/>
  <c r="D20" i="55"/>
  <c r="B20" i="55"/>
  <c r="AY19" i="55"/>
  <c r="AX19" i="55"/>
  <c r="AW19" i="55"/>
  <c r="F19" i="55"/>
  <c r="E19" i="55"/>
  <c r="D19" i="55"/>
  <c r="B19" i="55"/>
  <c r="AY18" i="55"/>
  <c r="AX18" i="55"/>
  <c r="AW18" i="55"/>
  <c r="F18" i="55"/>
  <c r="E18" i="55"/>
  <c r="D18" i="55"/>
  <c r="B18" i="55"/>
  <c r="AY17" i="55"/>
  <c r="AX17" i="55"/>
  <c r="AW17" i="55"/>
  <c r="F17" i="55"/>
  <c r="E17" i="55"/>
  <c r="D17" i="55"/>
  <c r="O17" i="55" s="1"/>
  <c r="B17" i="55"/>
  <c r="BP16" i="55"/>
  <c r="AY16" i="55"/>
  <c r="AX16" i="55"/>
  <c r="AW16" i="55"/>
  <c r="F16" i="55"/>
  <c r="E16" i="55"/>
  <c r="D16" i="55"/>
  <c r="B16" i="55"/>
  <c r="AY15" i="55"/>
  <c r="AX15" i="55"/>
  <c r="AW15" i="55"/>
  <c r="F15" i="55"/>
  <c r="E15" i="55"/>
  <c r="D15" i="55"/>
  <c r="B15" i="55"/>
  <c r="AY14" i="55"/>
  <c r="AX14" i="55"/>
  <c r="AW14" i="55"/>
  <c r="F14" i="55"/>
  <c r="E14" i="55"/>
  <c r="D14" i="55"/>
  <c r="B14" i="55"/>
  <c r="AY13" i="55"/>
  <c r="AX13" i="55"/>
  <c r="AW13" i="55"/>
  <c r="F13" i="55"/>
  <c r="E13" i="55"/>
  <c r="D13" i="55"/>
  <c r="B13" i="55"/>
  <c r="AY12" i="55"/>
  <c r="AX12" i="55"/>
  <c r="AW12" i="55"/>
  <c r="F12" i="55"/>
  <c r="E12" i="55"/>
  <c r="D12" i="55"/>
  <c r="B12" i="55"/>
  <c r="AY11" i="55"/>
  <c r="AX11" i="55"/>
  <c r="AW11" i="55"/>
  <c r="F11" i="55"/>
  <c r="E11" i="55"/>
  <c r="D11" i="55"/>
  <c r="B11" i="55"/>
  <c r="AY10" i="55"/>
  <c r="AX10" i="55"/>
  <c r="AW10" i="55"/>
  <c r="F10" i="55"/>
  <c r="E10" i="55"/>
  <c r="D10" i="55"/>
  <c r="B10" i="55"/>
  <c r="AY9" i="55"/>
  <c r="AX9" i="55"/>
  <c r="AW9" i="55"/>
  <c r="F9" i="55"/>
  <c r="E9" i="55"/>
  <c r="D9" i="55"/>
  <c r="B9" i="55"/>
  <c r="AY8" i="55"/>
  <c r="AX8" i="55"/>
  <c r="AW8" i="55"/>
  <c r="F8" i="55"/>
  <c r="E8" i="55"/>
  <c r="H8" i="55" s="1"/>
  <c r="AS8" i="55" s="1"/>
  <c r="D8" i="55"/>
  <c r="B8" i="55"/>
  <c r="AY7" i="55"/>
  <c r="AX7" i="55"/>
  <c r="AW7" i="55"/>
  <c r="F7" i="55"/>
  <c r="E7" i="55"/>
  <c r="D7" i="55"/>
  <c r="B7" i="55"/>
  <c r="BM6" i="55"/>
  <c r="BM40" i="55" s="1"/>
  <c r="BK6" i="55"/>
  <c r="BK40" i="55" s="1"/>
  <c r="BJ6" i="55"/>
  <c r="BJ40" i="55" s="1"/>
  <c r="BH6" i="55"/>
  <c r="BH40" i="55" s="1"/>
  <c r="BF6" i="55"/>
  <c r="AY6" i="55"/>
  <c r="AX6" i="55"/>
  <c r="AW6" i="55"/>
  <c r="F6" i="55"/>
  <c r="E6" i="55"/>
  <c r="D6" i="55"/>
  <c r="B6" i="55"/>
  <c r="BP45" i="54"/>
  <c r="BP40" i="54"/>
  <c r="BL40" i="54"/>
  <c r="BE40" i="54"/>
  <c r="BC40" i="54"/>
  <c r="BB40" i="54"/>
  <c r="BA40" i="54"/>
  <c r="AV40" i="54"/>
  <c r="AU40" i="54"/>
  <c r="AT40" i="54"/>
  <c r="AP40" i="54"/>
  <c r="AO40" i="54"/>
  <c r="AN40" i="54"/>
  <c r="AM40" i="54"/>
  <c r="AL40" i="54"/>
  <c r="AK40" i="54"/>
  <c r="AJ40" i="54"/>
  <c r="AI40" i="54"/>
  <c r="AG40" i="54"/>
  <c r="AF40" i="54"/>
  <c r="AE40" i="54"/>
  <c r="AD40" i="54"/>
  <c r="AC40" i="54"/>
  <c r="AA40" i="54"/>
  <c r="Z40" i="54"/>
  <c r="Y40" i="54"/>
  <c r="X40" i="54"/>
  <c r="W40" i="54"/>
  <c r="V40" i="54"/>
  <c r="S40" i="54"/>
  <c r="N40" i="54"/>
  <c r="L40" i="54"/>
  <c r="J40" i="54"/>
  <c r="I40" i="54"/>
  <c r="AY38" i="54"/>
  <c r="AX38" i="54"/>
  <c r="AW38" i="54"/>
  <c r="F38" i="54"/>
  <c r="E38" i="54"/>
  <c r="D38" i="54"/>
  <c r="B38" i="54"/>
  <c r="AY37" i="54"/>
  <c r="AX37" i="54"/>
  <c r="AW37" i="54"/>
  <c r="F37" i="54"/>
  <c r="E37" i="54"/>
  <c r="O37" i="54" s="1"/>
  <c r="D37" i="54"/>
  <c r="B37" i="54"/>
  <c r="AY36" i="54"/>
  <c r="AX36" i="54"/>
  <c r="AW36" i="54"/>
  <c r="F36" i="54"/>
  <c r="E36" i="54"/>
  <c r="D36" i="54"/>
  <c r="B36" i="54"/>
  <c r="AY35" i="54"/>
  <c r="AX35" i="54"/>
  <c r="AW35" i="54"/>
  <c r="F35" i="54"/>
  <c r="E35" i="54"/>
  <c r="D35" i="54"/>
  <c r="B35" i="54"/>
  <c r="BP34" i="54"/>
  <c r="AY34" i="54"/>
  <c r="AX34" i="54"/>
  <c r="AW34" i="54"/>
  <c r="F34" i="54"/>
  <c r="E34" i="54"/>
  <c r="D34" i="54"/>
  <c r="B34" i="54"/>
  <c r="BP33" i="54"/>
  <c r="AY33" i="54"/>
  <c r="AX33" i="54"/>
  <c r="AW33" i="54"/>
  <c r="F33" i="54"/>
  <c r="E33" i="54"/>
  <c r="D33" i="54"/>
  <c r="B33" i="54"/>
  <c r="AY32" i="54"/>
  <c r="AX32" i="54"/>
  <c r="AW32" i="54"/>
  <c r="F32" i="54"/>
  <c r="E32" i="54"/>
  <c r="D32" i="54"/>
  <c r="B32" i="54"/>
  <c r="AY31" i="54"/>
  <c r="AX31" i="54"/>
  <c r="AW31" i="54"/>
  <c r="F31" i="54"/>
  <c r="E31" i="54"/>
  <c r="D31" i="54"/>
  <c r="B31" i="54"/>
  <c r="AY30" i="54"/>
  <c r="AX30" i="54"/>
  <c r="AW30" i="54"/>
  <c r="F30" i="54"/>
  <c r="E30" i="54"/>
  <c r="D30" i="54"/>
  <c r="B30" i="54"/>
  <c r="AY29" i="54"/>
  <c r="AX29" i="54"/>
  <c r="AW29" i="54"/>
  <c r="F29" i="54"/>
  <c r="E29" i="54"/>
  <c r="D29" i="54"/>
  <c r="B29" i="54"/>
  <c r="BP28" i="54"/>
  <c r="AY28" i="54"/>
  <c r="AX28" i="54"/>
  <c r="AW28" i="54"/>
  <c r="F28" i="54"/>
  <c r="E28" i="54"/>
  <c r="D28" i="54"/>
  <c r="B28" i="54"/>
  <c r="AY27" i="54"/>
  <c r="AX27" i="54"/>
  <c r="AW27" i="54"/>
  <c r="F27" i="54"/>
  <c r="E27" i="54"/>
  <c r="D27" i="54"/>
  <c r="B27" i="54"/>
  <c r="AY26" i="54"/>
  <c r="AX26" i="54"/>
  <c r="AW26" i="54"/>
  <c r="F26" i="54"/>
  <c r="E26" i="54"/>
  <c r="D26" i="54"/>
  <c r="B26" i="54"/>
  <c r="AY25" i="54"/>
  <c r="AX25" i="54"/>
  <c r="AW25" i="54"/>
  <c r="F25" i="54"/>
  <c r="E25" i="54"/>
  <c r="D25" i="54"/>
  <c r="B25" i="54"/>
  <c r="AY24" i="54"/>
  <c r="AX24" i="54"/>
  <c r="AW24" i="54"/>
  <c r="F24" i="54"/>
  <c r="E24" i="54"/>
  <c r="D24" i="54"/>
  <c r="B24" i="54"/>
  <c r="AY23" i="54"/>
  <c r="AX23" i="54"/>
  <c r="AW23" i="54"/>
  <c r="F23" i="54"/>
  <c r="E23" i="54"/>
  <c r="D23" i="54"/>
  <c r="B23" i="54"/>
  <c r="BP22" i="54"/>
  <c r="AY22" i="54"/>
  <c r="AX22" i="54"/>
  <c r="AW22" i="54"/>
  <c r="F22" i="54"/>
  <c r="E22" i="54"/>
  <c r="D22" i="54"/>
  <c r="B22" i="54"/>
  <c r="AY21" i="54"/>
  <c r="AX21" i="54"/>
  <c r="AW21" i="54"/>
  <c r="F21" i="54"/>
  <c r="E21" i="54"/>
  <c r="D21" i="54"/>
  <c r="B21" i="54"/>
  <c r="AY20" i="54"/>
  <c r="AX20" i="54"/>
  <c r="AW20" i="54"/>
  <c r="F20" i="54"/>
  <c r="E20" i="54"/>
  <c r="D20" i="54"/>
  <c r="B20" i="54"/>
  <c r="AY19" i="54"/>
  <c r="AX19" i="54"/>
  <c r="AW19" i="54"/>
  <c r="F19" i="54"/>
  <c r="E19" i="54"/>
  <c r="D19" i="54"/>
  <c r="B19" i="54"/>
  <c r="AY18" i="54"/>
  <c r="AX18" i="54"/>
  <c r="AW18" i="54"/>
  <c r="F18" i="54"/>
  <c r="E18" i="54"/>
  <c r="D18" i="54"/>
  <c r="B18" i="54"/>
  <c r="AY17" i="54"/>
  <c r="AX17" i="54"/>
  <c r="AW17" i="54"/>
  <c r="F17" i="54"/>
  <c r="E17" i="54"/>
  <c r="D17" i="54"/>
  <c r="M17" i="54" s="1"/>
  <c r="B17" i="54"/>
  <c r="BP16" i="54"/>
  <c r="AY16" i="54"/>
  <c r="AX16" i="54"/>
  <c r="AW16" i="54"/>
  <c r="F16" i="54"/>
  <c r="E16" i="54"/>
  <c r="D16" i="54"/>
  <c r="B16" i="54"/>
  <c r="AY15" i="54"/>
  <c r="AX15" i="54"/>
  <c r="AW15" i="54"/>
  <c r="F15" i="54"/>
  <c r="E15" i="54"/>
  <c r="D15" i="54"/>
  <c r="B15" i="54"/>
  <c r="AY14" i="54"/>
  <c r="AX14" i="54"/>
  <c r="AW14" i="54"/>
  <c r="F14" i="54"/>
  <c r="E14" i="54"/>
  <c r="M14" i="54" s="1"/>
  <c r="D14" i="54"/>
  <c r="B14" i="54"/>
  <c r="AY13" i="54"/>
  <c r="AX13" i="54"/>
  <c r="AW13" i="54"/>
  <c r="F13" i="54"/>
  <c r="E13" i="54"/>
  <c r="D13" i="54"/>
  <c r="B13" i="54"/>
  <c r="AY12" i="54"/>
  <c r="AX12" i="54"/>
  <c r="AW12" i="54"/>
  <c r="F12" i="54"/>
  <c r="E12" i="54"/>
  <c r="D12" i="54"/>
  <c r="B12" i="54"/>
  <c r="AY11" i="54"/>
  <c r="AX11" i="54"/>
  <c r="AW11" i="54"/>
  <c r="F11" i="54"/>
  <c r="E11" i="54"/>
  <c r="D11" i="54"/>
  <c r="B11" i="54"/>
  <c r="AY10" i="54"/>
  <c r="AX10" i="54"/>
  <c r="AW10" i="54"/>
  <c r="F10" i="54"/>
  <c r="E10" i="54"/>
  <c r="D10" i="54"/>
  <c r="B10" i="54"/>
  <c r="AY9" i="54"/>
  <c r="AX9" i="54"/>
  <c r="AW9" i="54"/>
  <c r="F9" i="54"/>
  <c r="E9" i="54"/>
  <c r="D9" i="54"/>
  <c r="B9" i="54"/>
  <c r="AY8" i="54"/>
  <c r="AX8" i="54"/>
  <c r="AW8" i="54"/>
  <c r="F8" i="54"/>
  <c r="E8" i="54"/>
  <c r="D8" i="54"/>
  <c r="B8" i="54"/>
  <c r="AY7" i="54"/>
  <c r="AX7" i="54"/>
  <c r="AW7" i="54"/>
  <c r="F7" i="54"/>
  <c r="E7" i="54"/>
  <c r="D7" i="54"/>
  <c r="B7" i="54"/>
  <c r="BM6" i="54"/>
  <c r="BM40" i="54" s="1"/>
  <c r="BK6" i="54"/>
  <c r="BK40" i="54" s="1"/>
  <c r="BJ6" i="54"/>
  <c r="BJ40" i="54" s="1"/>
  <c r="BI6" i="54"/>
  <c r="BI40" i="54" s="1"/>
  <c r="BH6" i="54"/>
  <c r="BH40" i="54" s="1"/>
  <c r="BF6" i="54"/>
  <c r="AY6" i="54"/>
  <c r="AY40" i="54" s="1"/>
  <c r="AX6" i="54"/>
  <c r="AW6" i="54"/>
  <c r="AW40" i="54" s="1"/>
  <c r="F6" i="54"/>
  <c r="E6" i="54"/>
  <c r="D6" i="54"/>
  <c r="B6" i="54"/>
  <c r="BP45" i="53"/>
  <c r="BP40" i="53"/>
  <c r="BK6" i="53" s="1"/>
  <c r="BK40" i="53" s="1"/>
  <c r="BL40" i="53"/>
  <c r="BI40" i="53"/>
  <c r="BE40" i="53"/>
  <c r="BC40" i="53"/>
  <c r="BB40" i="53"/>
  <c r="BA40" i="53"/>
  <c r="AV40" i="53"/>
  <c r="AU40" i="53"/>
  <c r="AT40" i="53"/>
  <c r="AP40" i="53"/>
  <c r="AO40" i="53"/>
  <c r="AN40" i="53"/>
  <c r="AM40" i="53"/>
  <c r="AL40" i="53"/>
  <c r="AK40" i="53"/>
  <c r="AJ40" i="53"/>
  <c r="AI40" i="53"/>
  <c r="AG40" i="53"/>
  <c r="AF40" i="53"/>
  <c r="AE40" i="53"/>
  <c r="AD40" i="53"/>
  <c r="AC40" i="53"/>
  <c r="AA40" i="53"/>
  <c r="Z40" i="53"/>
  <c r="Y40" i="53"/>
  <c r="X40" i="53"/>
  <c r="W40" i="53"/>
  <c r="V40" i="53"/>
  <c r="S40" i="53"/>
  <c r="N40" i="53"/>
  <c r="L40" i="53"/>
  <c r="J40" i="53"/>
  <c r="I40" i="53"/>
  <c r="AY38" i="53"/>
  <c r="AX38" i="53"/>
  <c r="AW38" i="53"/>
  <c r="F38" i="53"/>
  <c r="E38" i="53"/>
  <c r="D38" i="53"/>
  <c r="B38" i="53"/>
  <c r="AY37" i="53"/>
  <c r="AX37" i="53"/>
  <c r="AW37" i="53"/>
  <c r="F37" i="53"/>
  <c r="E37" i="53"/>
  <c r="D37" i="53"/>
  <c r="B37" i="53"/>
  <c r="AY36" i="53"/>
  <c r="AX36" i="53"/>
  <c r="AW36" i="53"/>
  <c r="F36" i="53"/>
  <c r="E36" i="53"/>
  <c r="D36" i="53"/>
  <c r="B36" i="53"/>
  <c r="AY35" i="53"/>
  <c r="AX35" i="53"/>
  <c r="AW35" i="53"/>
  <c r="F35" i="53"/>
  <c r="E35" i="53"/>
  <c r="D35" i="53"/>
  <c r="M35" i="53" s="1"/>
  <c r="B35" i="53"/>
  <c r="AY34" i="53"/>
  <c r="AX34" i="53"/>
  <c r="AW34" i="53"/>
  <c r="F34" i="53"/>
  <c r="E34" i="53"/>
  <c r="D34" i="53"/>
  <c r="B34" i="53"/>
  <c r="BP33" i="53"/>
  <c r="BP34" i="53" s="1"/>
  <c r="AY33" i="53"/>
  <c r="AX33" i="53"/>
  <c r="AW33" i="53"/>
  <c r="F33" i="53"/>
  <c r="E33" i="53"/>
  <c r="D33" i="53"/>
  <c r="B33" i="53"/>
  <c r="AY32" i="53"/>
  <c r="AX32" i="53"/>
  <c r="AW32" i="53"/>
  <c r="F32" i="53"/>
  <c r="E32" i="53"/>
  <c r="D32" i="53"/>
  <c r="B32" i="53"/>
  <c r="AY31" i="53"/>
  <c r="AX31" i="53"/>
  <c r="AW31" i="53"/>
  <c r="F31" i="53"/>
  <c r="E31" i="53"/>
  <c r="D31" i="53"/>
  <c r="B31" i="53"/>
  <c r="AY30" i="53"/>
  <c r="AX30" i="53"/>
  <c r="AW30" i="53"/>
  <c r="F30" i="53"/>
  <c r="E30" i="53"/>
  <c r="D30" i="53"/>
  <c r="B30" i="53"/>
  <c r="AY29" i="53"/>
  <c r="AX29" i="53"/>
  <c r="AW29" i="53"/>
  <c r="F29" i="53"/>
  <c r="E29" i="53"/>
  <c r="M29" i="53" s="1"/>
  <c r="D29" i="53"/>
  <c r="B29" i="53"/>
  <c r="BP28" i="53"/>
  <c r="AY28" i="53"/>
  <c r="AX28" i="53"/>
  <c r="AW28" i="53"/>
  <c r="F28" i="53"/>
  <c r="E28" i="53"/>
  <c r="D28" i="53"/>
  <c r="B28" i="53"/>
  <c r="AY27" i="53"/>
  <c r="AX27" i="53"/>
  <c r="AW27" i="53"/>
  <c r="F27" i="53"/>
  <c r="E27" i="53"/>
  <c r="D27" i="53"/>
  <c r="M27" i="53" s="1"/>
  <c r="B27" i="53"/>
  <c r="AY26" i="53"/>
  <c r="AX26" i="53"/>
  <c r="AW26" i="53"/>
  <c r="F26" i="53"/>
  <c r="E26" i="53"/>
  <c r="D26" i="53"/>
  <c r="B26" i="53"/>
  <c r="AY25" i="53"/>
  <c r="AX25" i="53"/>
  <c r="AW25" i="53"/>
  <c r="F25" i="53"/>
  <c r="E25" i="53"/>
  <c r="K25" i="53" s="1"/>
  <c r="D25" i="53"/>
  <c r="B25" i="53"/>
  <c r="AY24" i="53"/>
  <c r="AX24" i="53"/>
  <c r="AW24" i="53"/>
  <c r="F24" i="53"/>
  <c r="E24" i="53"/>
  <c r="D24" i="53"/>
  <c r="B24" i="53"/>
  <c r="AY23" i="53"/>
  <c r="AX23" i="53"/>
  <c r="AW23" i="53"/>
  <c r="F23" i="53"/>
  <c r="E23" i="53"/>
  <c r="H23" i="53" s="1"/>
  <c r="D23" i="53"/>
  <c r="B23" i="53"/>
  <c r="BP22" i="53"/>
  <c r="AY22" i="53"/>
  <c r="AX22" i="53"/>
  <c r="AW22" i="53"/>
  <c r="F22" i="53"/>
  <c r="E22" i="53"/>
  <c r="D22" i="53"/>
  <c r="B22" i="53"/>
  <c r="AY21" i="53"/>
  <c r="AX21" i="53"/>
  <c r="AW21" i="53"/>
  <c r="F21" i="53"/>
  <c r="E21" i="53"/>
  <c r="D21" i="53"/>
  <c r="H21" i="53" s="1"/>
  <c r="B21" i="53"/>
  <c r="AY20" i="53"/>
  <c r="AX20" i="53"/>
  <c r="AW20" i="53"/>
  <c r="F20" i="53"/>
  <c r="E20" i="53"/>
  <c r="D20" i="53"/>
  <c r="H20" i="53" s="1"/>
  <c r="G20" i="53" s="1"/>
  <c r="B20" i="53"/>
  <c r="AY19" i="53"/>
  <c r="AX19" i="53"/>
  <c r="AW19" i="53"/>
  <c r="F19" i="53"/>
  <c r="E19" i="53"/>
  <c r="D19" i="53"/>
  <c r="O19" i="53" s="1"/>
  <c r="B19" i="53"/>
  <c r="AY18" i="53"/>
  <c r="AX18" i="53"/>
  <c r="AW18" i="53"/>
  <c r="F18" i="53"/>
  <c r="E18" i="53"/>
  <c r="D18" i="53"/>
  <c r="B18" i="53"/>
  <c r="AY17" i="53"/>
  <c r="AX17" i="53"/>
  <c r="AW17" i="53"/>
  <c r="F17" i="53"/>
  <c r="E17" i="53"/>
  <c r="D17" i="53"/>
  <c r="B17" i="53"/>
  <c r="BP16" i="53"/>
  <c r="AY16" i="53"/>
  <c r="AX16" i="53"/>
  <c r="AW16" i="53"/>
  <c r="F16" i="53"/>
  <c r="E16" i="53"/>
  <c r="D16" i="53"/>
  <c r="B16" i="53"/>
  <c r="AY15" i="53"/>
  <c r="AX15" i="53"/>
  <c r="AW15" i="53"/>
  <c r="F15" i="53"/>
  <c r="E15" i="53"/>
  <c r="D15" i="53"/>
  <c r="B15" i="53"/>
  <c r="AY14" i="53"/>
  <c r="AX14" i="53"/>
  <c r="AW14" i="53"/>
  <c r="F14" i="53"/>
  <c r="E14" i="53"/>
  <c r="D14" i="53"/>
  <c r="B14" i="53"/>
  <c r="AY13" i="53"/>
  <c r="AX13" i="53"/>
  <c r="AW13" i="53"/>
  <c r="F13" i="53"/>
  <c r="E13" i="53"/>
  <c r="D13" i="53"/>
  <c r="B13" i="53"/>
  <c r="AY12" i="53"/>
  <c r="AX12" i="53"/>
  <c r="AW12" i="53"/>
  <c r="F12" i="53"/>
  <c r="E12" i="53"/>
  <c r="D12" i="53"/>
  <c r="B12" i="53"/>
  <c r="AY11" i="53"/>
  <c r="AX11" i="53"/>
  <c r="AW11" i="53"/>
  <c r="F11" i="53"/>
  <c r="E11" i="53"/>
  <c r="D11" i="53"/>
  <c r="B11" i="53"/>
  <c r="AY10" i="53"/>
  <c r="AX10" i="53"/>
  <c r="AW10" i="53"/>
  <c r="F10" i="53"/>
  <c r="E10" i="53"/>
  <c r="D10" i="53"/>
  <c r="B10" i="53"/>
  <c r="AY9" i="53"/>
  <c r="AX9" i="53"/>
  <c r="AW9" i="53"/>
  <c r="F9" i="53"/>
  <c r="E9" i="53"/>
  <c r="D9" i="53"/>
  <c r="H9" i="53" s="1"/>
  <c r="B9" i="53"/>
  <c r="AY8" i="53"/>
  <c r="AX8" i="53"/>
  <c r="AW8" i="53"/>
  <c r="F8" i="53"/>
  <c r="E8" i="53"/>
  <c r="D8" i="53"/>
  <c r="B8" i="53"/>
  <c r="AY7" i="53"/>
  <c r="AX7" i="53"/>
  <c r="AW7" i="53"/>
  <c r="F7" i="53"/>
  <c r="E7" i="53"/>
  <c r="D7" i="53"/>
  <c r="B7" i="53"/>
  <c r="BM6" i="53"/>
  <c r="BM40" i="53" s="1"/>
  <c r="BJ6" i="53"/>
  <c r="BJ40" i="53" s="1"/>
  <c r="BI6" i="53"/>
  <c r="BH6" i="53"/>
  <c r="BH40" i="53" s="1"/>
  <c r="BF6" i="53"/>
  <c r="AY6" i="53"/>
  <c r="AX6" i="53"/>
  <c r="AW6" i="53"/>
  <c r="AW40" i="53" s="1"/>
  <c r="F6" i="53"/>
  <c r="E6" i="53"/>
  <c r="D6" i="53"/>
  <c r="B6" i="53"/>
  <c r="BP45" i="52"/>
  <c r="BP40" i="52"/>
  <c r="BM40" i="52"/>
  <c r="BL40" i="52"/>
  <c r="BE40" i="52"/>
  <c r="BC40" i="52"/>
  <c r="BB40" i="52"/>
  <c r="BA40" i="52"/>
  <c r="AV40" i="52"/>
  <c r="AU40" i="52"/>
  <c r="AT40" i="52"/>
  <c r="AP40" i="52"/>
  <c r="AO40" i="52"/>
  <c r="AN40" i="52"/>
  <c r="AM40" i="52"/>
  <c r="AL40" i="52"/>
  <c r="AK40" i="52"/>
  <c r="AJ40" i="52"/>
  <c r="AI40" i="52"/>
  <c r="AG40" i="52"/>
  <c r="AF40" i="52"/>
  <c r="AE40" i="52"/>
  <c r="AD40" i="52"/>
  <c r="AC40" i="52"/>
  <c r="AA40" i="52"/>
  <c r="Z40" i="52"/>
  <c r="Y40" i="52"/>
  <c r="X40" i="52"/>
  <c r="W40" i="52"/>
  <c r="V40" i="52"/>
  <c r="S40" i="52"/>
  <c r="N40" i="52"/>
  <c r="L40" i="52"/>
  <c r="J40" i="52"/>
  <c r="I40" i="52"/>
  <c r="AY38" i="52"/>
  <c r="AX38" i="52"/>
  <c r="AW38" i="52"/>
  <c r="F38" i="52"/>
  <c r="E38" i="52"/>
  <c r="D38" i="52"/>
  <c r="M38" i="52" s="1"/>
  <c r="B38" i="52"/>
  <c r="AY37" i="52"/>
  <c r="AX37" i="52"/>
  <c r="AW37" i="52"/>
  <c r="F37" i="52"/>
  <c r="E37" i="52"/>
  <c r="D37" i="52"/>
  <c r="B37" i="52"/>
  <c r="AY36" i="52"/>
  <c r="AX36" i="52"/>
  <c r="AW36" i="52"/>
  <c r="F36" i="52"/>
  <c r="E36" i="52"/>
  <c r="D36" i="52"/>
  <c r="B36" i="52"/>
  <c r="AY35" i="52"/>
  <c r="AX35" i="52"/>
  <c r="AW35" i="52"/>
  <c r="F35" i="52"/>
  <c r="E35" i="52"/>
  <c r="D35" i="52"/>
  <c r="B35" i="52"/>
  <c r="AY34" i="52"/>
  <c r="AX34" i="52"/>
  <c r="AW34" i="52"/>
  <c r="F34" i="52"/>
  <c r="E34" i="52"/>
  <c r="D34" i="52"/>
  <c r="B34" i="52"/>
  <c r="BP33" i="52"/>
  <c r="BP34" i="52" s="1"/>
  <c r="AY33" i="52"/>
  <c r="AX33" i="52"/>
  <c r="AW33" i="52"/>
  <c r="F33" i="52"/>
  <c r="E33" i="52"/>
  <c r="D33" i="52"/>
  <c r="B33" i="52"/>
  <c r="AY32" i="52"/>
  <c r="AX32" i="52"/>
  <c r="AW32" i="52"/>
  <c r="F32" i="52"/>
  <c r="E32" i="52"/>
  <c r="D32" i="52"/>
  <c r="B32" i="52"/>
  <c r="AY31" i="52"/>
  <c r="AX31" i="52"/>
  <c r="AW31" i="52"/>
  <c r="F31" i="52"/>
  <c r="E31" i="52"/>
  <c r="D31" i="52"/>
  <c r="B31" i="52"/>
  <c r="AY30" i="52"/>
  <c r="AX30" i="52"/>
  <c r="AW30" i="52"/>
  <c r="F30" i="52"/>
  <c r="E30" i="52"/>
  <c r="D30" i="52"/>
  <c r="B30" i="52"/>
  <c r="AY29" i="52"/>
  <c r="AX29" i="52"/>
  <c r="AW29" i="52"/>
  <c r="F29" i="52"/>
  <c r="E29" i="52"/>
  <c r="M29" i="52" s="1"/>
  <c r="D29" i="52"/>
  <c r="B29" i="52"/>
  <c r="BP28" i="52"/>
  <c r="AY28" i="52"/>
  <c r="AX28" i="52"/>
  <c r="AW28" i="52"/>
  <c r="F28" i="52"/>
  <c r="E28" i="52"/>
  <c r="D28" i="52"/>
  <c r="B28" i="52"/>
  <c r="AY27" i="52"/>
  <c r="AX27" i="52"/>
  <c r="AW27" i="52"/>
  <c r="F27" i="52"/>
  <c r="E27" i="52"/>
  <c r="D27" i="52"/>
  <c r="H27" i="52" s="1"/>
  <c r="B27" i="52"/>
  <c r="AY26" i="52"/>
  <c r="AX26" i="52"/>
  <c r="AW26" i="52"/>
  <c r="F26" i="52"/>
  <c r="E26" i="52"/>
  <c r="D26" i="52"/>
  <c r="O26" i="52" s="1"/>
  <c r="B26" i="52"/>
  <c r="AY25" i="52"/>
  <c r="AX25" i="52"/>
  <c r="AW25" i="52"/>
  <c r="F25" i="52"/>
  <c r="E25" i="52"/>
  <c r="D25" i="52"/>
  <c r="B25" i="52"/>
  <c r="AY24" i="52"/>
  <c r="AX24" i="52"/>
  <c r="AW24" i="52"/>
  <c r="F24" i="52"/>
  <c r="E24" i="52"/>
  <c r="D24" i="52"/>
  <c r="B24" i="52"/>
  <c r="AY23" i="52"/>
  <c r="AX23" i="52"/>
  <c r="AW23" i="52"/>
  <c r="M23" i="52"/>
  <c r="F23" i="52"/>
  <c r="E23" i="52"/>
  <c r="D23" i="52"/>
  <c r="B23" i="52"/>
  <c r="BP22" i="52"/>
  <c r="AY22" i="52"/>
  <c r="AX22" i="52"/>
  <c r="AW22" i="52"/>
  <c r="F22" i="52"/>
  <c r="E22" i="52"/>
  <c r="D22" i="52"/>
  <c r="B22" i="52"/>
  <c r="AY21" i="52"/>
  <c r="AX21" i="52"/>
  <c r="AW21" i="52"/>
  <c r="F21" i="52"/>
  <c r="E21" i="52"/>
  <c r="D21" i="52"/>
  <c r="B21" i="52"/>
  <c r="AY20" i="52"/>
  <c r="AX20" i="52"/>
  <c r="AW20" i="52"/>
  <c r="F20" i="52"/>
  <c r="E20" i="52"/>
  <c r="D20" i="52"/>
  <c r="B20" i="52"/>
  <c r="AY19" i="52"/>
  <c r="AX19" i="52"/>
  <c r="AW19" i="52"/>
  <c r="F19" i="52"/>
  <c r="E19" i="52"/>
  <c r="D19" i="52"/>
  <c r="B19" i="52"/>
  <c r="AY18" i="52"/>
  <c r="AX18" i="52"/>
  <c r="AW18" i="52"/>
  <c r="F18" i="52"/>
  <c r="E18" i="52"/>
  <c r="D18" i="52"/>
  <c r="B18" i="52"/>
  <c r="AY17" i="52"/>
  <c r="AX17" i="52"/>
  <c r="AW17" i="52"/>
  <c r="F17" i="52"/>
  <c r="E17" i="52"/>
  <c r="D17" i="52"/>
  <c r="K17" i="52" s="1"/>
  <c r="B17" i="52"/>
  <c r="BP16" i="52"/>
  <c r="AY16" i="52"/>
  <c r="AX16" i="52"/>
  <c r="AW16" i="52"/>
  <c r="F16" i="52"/>
  <c r="E16" i="52"/>
  <c r="D16" i="52"/>
  <c r="B16" i="52"/>
  <c r="AY15" i="52"/>
  <c r="AX15" i="52"/>
  <c r="AW15" i="52"/>
  <c r="F15" i="52"/>
  <c r="E15" i="52"/>
  <c r="D15" i="52"/>
  <c r="B15" i="52"/>
  <c r="AY14" i="52"/>
  <c r="AX14" i="52"/>
  <c r="AW14" i="52"/>
  <c r="F14" i="52"/>
  <c r="E14" i="52"/>
  <c r="D14" i="52"/>
  <c r="B14" i="52"/>
  <c r="AY13" i="52"/>
  <c r="AX13" i="52"/>
  <c r="AW13" i="52"/>
  <c r="F13" i="52"/>
  <c r="E13" i="52"/>
  <c r="M13" i="52" s="1"/>
  <c r="D13" i="52"/>
  <c r="B13" i="52"/>
  <c r="AY12" i="52"/>
  <c r="AX12" i="52"/>
  <c r="AW12" i="52"/>
  <c r="F12" i="52"/>
  <c r="E12" i="52"/>
  <c r="D12" i="52"/>
  <c r="B12" i="52"/>
  <c r="AY11" i="52"/>
  <c r="AX11" i="52"/>
  <c r="AW11" i="52"/>
  <c r="F11" i="52"/>
  <c r="E11" i="52"/>
  <c r="D11" i="52"/>
  <c r="B11" i="52"/>
  <c r="AY10" i="52"/>
  <c r="AX10" i="52"/>
  <c r="AW10" i="52"/>
  <c r="F10" i="52"/>
  <c r="E10" i="52"/>
  <c r="D10" i="52"/>
  <c r="B10" i="52"/>
  <c r="AY9" i="52"/>
  <c r="AX9" i="52"/>
  <c r="AW9" i="52"/>
  <c r="F9" i="52"/>
  <c r="E9" i="52"/>
  <c r="D9" i="52"/>
  <c r="B9" i="52"/>
  <c r="AY8" i="52"/>
  <c r="AX8" i="52"/>
  <c r="AW8" i="52"/>
  <c r="F8" i="52"/>
  <c r="E8" i="52"/>
  <c r="D8" i="52"/>
  <c r="B8" i="52"/>
  <c r="AY7" i="52"/>
  <c r="AX7" i="52"/>
  <c r="AW7" i="52"/>
  <c r="F7" i="52"/>
  <c r="E7" i="52"/>
  <c r="D7" i="52"/>
  <c r="M7" i="52" s="1"/>
  <c r="B7" i="52"/>
  <c r="BM6" i="52"/>
  <c r="BK6" i="52"/>
  <c r="BK40" i="52" s="1"/>
  <c r="BJ6" i="52"/>
  <c r="BJ40" i="52" s="1"/>
  <c r="BI6" i="52"/>
  <c r="BI40" i="52" s="1"/>
  <c r="BH6" i="52"/>
  <c r="BH40" i="52" s="1"/>
  <c r="BF6" i="52"/>
  <c r="AY6" i="52"/>
  <c r="AX6" i="52"/>
  <c r="AW6" i="52"/>
  <c r="AW40" i="52" s="1"/>
  <c r="F6" i="52"/>
  <c r="E6" i="52"/>
  <c r="M6" i="52" s="1"/>
  <c r="D6" i="52"/>
  <c r="B6" i="52"/>
  <c r="BP45" i="51"/>
  <c r="BP40" i="51"/>
  <c r="BL40" i="51"/>
  <c r="BE40" i="51"/>
  <c r="BC40" i="51"/>
  <c r="BB40" i="51"/>
  <c r="BA40" i="51"/>
  <c r="AV40" i="51"/>
  <c r="AU40" i="51"/>
  <c r="AT40" i="51"/>
  <c r="AP40" i="51"/>
  <c r="AO40" i="51"/>
  <c r="AN40" i="51"/>
  <c r="AM40" i="51"/>
  <c r="AL40" i="51"/>
  <c r="AK40" i="51"/>
  <c r="AJ40" i="51"/>
  <c r="AI40" i="51"/>
  <c r="AG40" i="51"/>
  <c r="AF40" i="51"/>
  <c r="AE40" i="51"/>
  <c r="AD40" i="51"/>
  <c r="AC40" i="51"/>
  <c r="AA40" i="51"/>
  <c r="Z40" i="51"/>
  <c r="Y40" i="51"/>
  <c r="X40" i="51"/>
  <c r="W40" i="51"/>
  <c r="V40" i="51"/>
  <c r="S40" i="51"/>
  <c r="N40" i="51"/>
  <c r="L40" i="51"/>
  <c r="J40" i="51"/>
  <c r="I40" i="51"/>
  <c r="AY38" i="51"/>
  <c r="AX38" i="51"/>
  <c r="AW38" i="51"/>
  <c r="F38" i="51"/>
  <c r="E38" i="51"/>
  <c r="D38" i="51"/>
  <c r="B38" i="51"/>
  <c r="AY37" i="51"/>
  <c r="AX37" i="51"/>
  <c r="AW37" i="51"/>
  <c r="F37" i="51"/>
  <c r="E37" i="51"/>
  <c r="K37" i="51" s="1"/>
  <c r="D37" i="51"/>
  <c r="B37" i="51"/>
  <c r="AY36" i="51"/>
  <c r="AX36" i="51"/>
  <c r="AW36" i="51"/>
  <c r="F36" i="51"/>
  <c r="E36" i="51"/>
  <c r="D36" i="51"/>
  <c r="B36" i="51"/>
  <c r="AY35" i="51"/>
  <c r="AX35" i="51"/>
  <c r="AW35" i="51"/>
  <c r="F35" i="51"/>
  <c r="E35" i="51"/>
  <c r="K35" i="51" s="1"/>
  <c r="D35" i="51"/>
  <c r="B35" i="51"/>
  <c r="AY34" i="51"/>
  <c r="AX34" i="51"/>
  <c r="AW34" i="51"/>
  <c r="F34" i="51"/>
  <c r="E34" i="51"/>
  <c r="D34" i="51"/>
  <c r="B34" i="51"/>
  <c r="BP33" i="51"/>
  <c r="AY33" i="51"/>
  <c r="AX33" i="51"/>
  <c r="AW33" i="51"/>
  <c r="F33" i="51"/>
  <c r="E33" i="51"/>
  <c r="D33" i="51"/>
  <c r="B33" i="51"/>
  <c r="AY32" i="51"/>
  <c r="AX32" i="51"/>
  <c r="AW32" i="51"/>
  <c r="F32" i="51"/>
  <c r="E32" i="51"/>
  <c r="D32" i="51"/>
  <c r="B32" i="51"/>
  <c r="AY31" i="51"/>
  <c r="AX31" i="51"/>
  <c r="AW31" i="51"/>
  <c r="F31" i="51"/>
  <c r="E31" i="51"/>
  <c r="D31" i="51"/>
  <c r="B31" i="51"/>
  <c r="AY30" i="51"/>
  <c r="AX30" i="51"/>
  <c r="AW30" i="51"/>
  <c r="H30" i="51"/>
  <c r="F30" i="51"/>
  <c r="E30" i="51"/>
  <c r="D30" i="51"/>
  <c r="B30" i="51"/>
  <c r="AY29" i="51"/>
  <c r="AX29" i="51"/>
  <c r="AW29" i="51"/>
  <c r="F29" i="51"/>
  <c r="E29" i="51"/>
  <c r="D29" i="51"/>
  <c r="B29" i="51"/>
  <c r="BP28" i="51"/>
  <c r="AY28" i="51"/>
  <c r="AX28" i="51"/>
  <c r="AW28" i="51"/>
  <c r="F28" i="51"/>
  <c r="E28" i="51"/>
  <c r="D28" i="51"/>
  <c r="B28" i="51"/>
  <c r="AY27" i="51"/>
  <c r="AX27" i="51"/>
  <c r="AW27" i="51"/>
  <c r="F27" i="51"/>
  <c r="E27" i="51"/>
  <c r="D27" i="51"/>
  <c r="H27" i="51" s="1"/>
  <c r="B27" i="51"/>
  <c r="AY26" i="51"/>
  <c r="AX26" i="51"/>
  <c r="AW26" i="51"/>
  <c r="F26" i="51"/>
  <c r="E26" i="51"/>
  <c r="D26" i="51"/>
  <c r="B26" i="51"/>
  <c r="AY25" i="51"/>
  <c r="AX25" i="51"/>
  <c r="AW25" i="51"/>
  <c r="F25" i="51"/>
  <c r="E25" i="51"/>
  <c r="D25" i="51"/>
  <c r="H25" i="51" s="1"/>
  <c r="B25" i="51"/>
  <c r="AY24" i="51"/>
  <c r="AX24" i="51"/>
  <c r="AW24" i="51"/>
  <c r="F24" i="51"/>
  <c r="E24" i="51"/>
  <c r="D24" i="51"/>
  <c r="B24" i="51"/>
  <c r="AY23" i="51"/>
  <c r="AX23" i="51"/>
  <c r="AW23" i="51"/>
  <c r="F23" i="51"/>
  <c r="E23" i="51"/>
  <c r="D23" i="51"/>
  <c r="B23" i="51"/>
  <c r="BP22" i="51"/>
  <c r="AY22" i="51"/>
  <c r="AX22" i="51"/>
  <c r="AW22" i="51"/>
  <c r="F22" i="51"/>
  <c r="E22" i="51"/>
  <c r="D22" i="51"/>
  <c r="B22" i="51"/>
  <c r="AY21" i="51"/>
  <c r="AX21" i="51"/>
  <c r="AW21" i="51"/>
  <c r="F21" i="51"/>
  <c r="E21" i="51"/>
  <c r="D21" i="51"/>
  <c r="B21" i="51"/>
  <c r="AY20" i="51"/>
  <c r="AX20" i="51"/>
  <c r="AW20" i="51"/>
  <c r="F20" i="51"/>
  <c r="E20" i="51"/>
  <c r="D20" i="51"/>
  <c r="B20" i="51"/>
  <c r="AY19" i="51"/>
  <c r="AX19" i="51"/>
  <c r="AW19" i="51"/>
  <c r="F19" i="51"/>
  <c r="E19" i="51"/>
  <c r="M19" i="51" s="1"/>
  <c r="D19" i="51"/>
  <c r="B19" i="51"/>
  <c r="AY18" i="51"/>
  <c r="AX18" i="51"/>
  <c r="AW18" i="51"/>
  <c r="F18" i="51"/>
  <c r="E18" i="51"/>
  <c r="D18" i="51"/>
  <c r="B18" i="51"/>
  <c r="AY17" i="51"/>
  <c r="AX17" i="51"/>
  <c r="AW17" i="51"/>
  <c r="F17" i="51"/>
  <c r="E17" i="51"/>
  <c r="D17" i="51"/>
  <c r="B17" i="51"/>
  <c r="BP16" i="51"/>
  <c r="AY16" i="51"/>
  <c r="AX16" i="51"/>
  <c r="AW16" i="51"/>
  <c r="F16" i="51"/>
  <c r="E16" i="51"/>
  <c r="D16" i="51"/>
  <c r="B16" i="51"/>
  <c r="AY15" i="51"/>
  <c r="AX15" i="51"/>
  <c r="AW15" i="51"/>
  <c r="F15" i="51"/>
  <c r="E15" i="51"/>
  <c r="D15" i="51"/>
  <c r="B15" i="51"/>
  <c r="AY14" i="51"/>
  <c r="AX14" i="51"/>
  <c r="AW14" i="51"/>
  <c r="F14" i="51"/>
  <c r="E14" i="51"/>
  <c r="D14" i="51"/>
  <c r="M14" i="51" s="1"/>
  <c r="B14" i="51"/>
  <c r="AY13" i="51"/>
  <c r="AX13" i="51"/>
  <c r="AW13" i="51"/>
  <c r="F13" i="51"/>
  <c r="E13" i="51"/>
  <c r="D13" i="51"/>
  <c r="B13" i="51"/>
  <c r="AY12" i="51"/>
  <c r="AX12" i="51"/>
  <c r="AW12" i="51"/>
  <c r="F12" i="51"/>
  <c r="E12" i="51"/>
  <c r="D12" i="51"/>
  <c r="B12" i="51"/>
  <c r="AY11" i="51"/>
  <c r="AX11" i="51"/>
  <c r="AW11" i="51"/>
  <c r="F11" i="51"/>
  <c r="E11" i="51"/>
  <c r="D11" i="51"/>
  <c r="B11" i="51"/>
  <c r="AY10" i="51"/>
  <c r="AX10" i="51"/>
  <c r="AW10" i="51"/>
  <c r="F10" i="51"/>
  <c r="E10" i="51"/>
  <c r="D10" i="51"/>
  <c r="M10" i="51" s="1"/>
  <c r="B10" i="51"/>
  <c r="AY9" i="51"/>
  <c r="AX9" i="51"/>
  <c r="AW9" i="51"/>
  <c r="F9" i="51"/>
  <c r="E9" i="51"/>
  <c r="D9" i="51"/>
  <c r="B9" i="51"/>
  <c r="AY8" i="51"/>
  <c r="AX8" i="51"/>
  <c r="AW8" i="51"/>
  <c r="F8" i="51"/>
  <c r="E8" i="51"/>
  <c r="D8" i="51"/>
  <c r="B8" i="51"/>
  <c r="AY7" i="51"/>
  <c r="AX7" i="51"/>
  <c r="AW7" i="51"/>
  <c r="F7" i="51"/>
  <c r="E7" i="51"/>
  <c r="D7" i="51"/>
  <c r="H7" i="51" s="1"/>
  <c r="B7" i="51"/>
  <c r="BM6" i="51"/>
  <c r="BM40" i="51" s="1"/>
  <c r="BK6" i="51"/>
  <c r="BK40" i="51" s="1"/>
  <c r="BI6" i="51"/>
  <c r="BI40" i="51" s="1"/>
  <c r="BH6" i="51"/>
  <c r="BH40" i="51" s="1"/>
  <c r="BF6" i="51"/>
  <c r="AY6" i="51"/>
  <c r="AX6" i="51"/>
  <c r="AX40" i="51" s="1"/>
  <c r="AW6" i="51"/>
  <c r="F6" i="51"/>
  <c r="E6" i="51"/>
  <c r="D6" i="51"/>
  <c r="B6" i="51"/>
  <c r="BP45" i="50"/>
  <c r="BP40" i="50"/>
  <c r="BL40" i="50"/>
  <c r="BE40" i="50"/>
  <c r="BC40" i="50"/>
  <c r="BB40" i="50"/>
  <c r="BA40" i="50"/>
  <c r="AV40" i="50"/>
  <c r="AU40" i="50"/>
  <c r="AT40" i="50"/>
  <c r="AP40" i="50"/>
  <c r="AO40" i="50"/>
  <c r="AN40" i="50"/>
  <c r="AM40" i="50"/>
  <c r="AL40" i="50"/>
  <c r="AK40" i="50"/>
  <c r="AJ40" i="50"/>
  <c r="AI40" i="50"/>
  <c r="AG40" i="50"/>
  <c r="AF40" i="50"/>
  <c r="AE40" i="50"/>
  <c r="AD40" i="50"/>
  <c r="AC40" i="50"/>
  <c r="AA40" i="50"/>
  <c r="Z40" i="50"/>
  <c r="Y40" i="50"/>
  <c r="X40" i="50"/>
  <c r="W40" i="50"/>
  <c r="V40" i="50"/>
  <c r="S40" i="50"/>
  <c r="N40" i="50"/>
  <c r="L40" i="50"/>
  <c r="J40" i="50"/>
  <c r="I40" i="50"/>
  <c r="AY38" i="50"/>
  <c r="AX38" i="50"/>
  <c r="AW38" i="50"/>
  <c r="F38" i="50"/>
  <c r="E38" i="50"/>
  <c r="D38" i="50"/>
  <c r="K38" i="50" s="1"/>
  <c r="B38" i="50"/>
  <c r="AY37" i="50"/>
  <c r="AX37" i="50"/>
  <c r="AW37" i="50"/>
  <c r="F37" i="50"/>
  <c r="E37" i="50"/>
  <c r="O37" i="50" s="1"/>
  <c r="D37" i="50"/>
  <c r="B37" i="50"/>
  <c r="AY36" i="50"/>
  <c r="AX36" i="50"/>
  <c r="AW36" i="50"/>
  <c r="F36" i="50"/>
  <c r="E36" i="50"/>
  <c r="D36" i="50"/>
  <c r="B36" i="50"/>
  <c r="AY35" i="50"/>
  <c r="AX35" i="50"/>
  <c r="AW35" i="50"/>
  <c r="F35" i="50"/>
  <c r="E35" i="50"/>
  <c r="D35" i="50"/>
  <c r="B35" i="50"/>
  <c r="BP34" i="50"/>
  <c r="AY34" i="50"/>
  <c r="AX34" i="50"/>
  <c r="AW34" i="50"/>
  <c r="F34" i="50"/>
  <c r="E34" i="50"/>
  <c r="D34" i="50"/>
  <c r="M34" i="50" s="1"/>
  <c r="B34" i="50"/>
  <c r="BP33" i="50"/>
  <c r="AY33" i="50"/>
  <c r="AX33" i="50"/>
  <c r="AW33" i="50"/>
  <c r="F33" i="50"/>
  <c r="E33" i="50"/>
  <c r="D33" i="50"/>
  <c r="B33" i="50"/>
  <c r="AY32" i="50"/>
  <c r="AX32" i="50"/>
  <c r="AW32" i="50"/>
  <c r="F32" i="50"/>
  <c r="E32" i="50"/>
  <c r="D32" i="50"/>
  <c r="B32" i="50"/>
  <c r="AY31" i="50"/>
  <c r="AX31" i="50"/>
  <c r="AW31" i="50"/>
  <c r="F31" i="50"/>
  <c r="E31" i="50"/>
  <c r="D31" i="50"/>
  <c r="B31" i="50"/>
  <c r="AY30" i="50"/>
  <c r="AX30" i="50"/>
  <c r="AW30" i="50"/>
  <c r="F30" i="50"/>
  <c r="E30" i="50"/>
  <c r="D30" i="50"/>
  <c r="B30" i="50"/>
  <c r="AY29" i="50"/>
  <c r="AX29" i="50"/>
  <c r="AW29" i="50"/>
  <c r="F29" i="50"/>
  <c r="E29" i="50"/>
  <c r="D29" i="50"/>
  <c r="B29" i="50"/>
  <c r="BP28" i="50"/>
  <c r="AY28" i="50"/>
  <c r="AX28" i="50"/>
  <c r="AW28" i="50"/>
  <c r="F28" i="50"/>
  <c r="E28" i="50"/>
  <c r="D28" i="50"/>
  <c r="B28" i="50"/>
  <c r="AY27" i="50"/>
  <c r="AX27" i="50"/>
  <c r="AW27" i="50"/>
  <c r="F27" i="50"/>
  <c r="E27" i="50"/>
  <c r="D27" i="50"/>
  <c r="B27" i="50"/>
  <c r="AY26" i="50"/>
  <c r="AX26" i="50"/>
  <c r="AW26" i="50"/>
  <c r="F26" i="50"/>
  <c r="E26" i="50"/>
  <c r="D26" i="50"/>
  <c r="B26" i="50"/>
  <c r="AY25" i="50"/>
  <c r="AX25" i="50"/>
  <c r="AW25" i="50"/>
  <c r="F25" i="50"/>
  <c r="E25" i="50"/>
  <c r="D25" i="50"/>
  <c r="B25" i="50"/>
  <c r="AY24" i="50"/>
  <c r="AX24" i="50"/>
  <c r="AW24" i="50"/>
  <c r="F24" i="50"/>
  <c r="E24" i="50"/>
  <c r="D24" i="50"/>
  <c r="H24" i="50" s="1"/>
  <c r="B24" i="50"/>
  <c r="AY23" i="50"/>
  <c r="AX23" i="50"/>
  <c r="AW23" i="50"/>
  <c r="F23" i="50"/>
  <c r="E23" i="50"/>
  <c r="D23" i="50"/>
  <c r="M23" i="50" s="1"/>
  <c r="B23" i="50"/>
  <c r="BP22" i="50"/>
  <c r="AY22" i="50"/>
  <c r="AX22" i="50"/>
  <c r="AW22" i="50"/>
  <c r="F22" i="50"/>
  <c r="E22" i="50"/>
  <c r="D22" i="50"/>
  <c r="B22" i="50"/>
  <c r="AY21" i="50"/>
  <c r="AX21" i="50"/>
  <c r="AW21" i="50"/>
  <c r="F21" i="50"/>
  <c r="E21" i="50"/>
  <c r="D21" i="50"/>
  <c r="B21" i="50"/>
  <c r="AY20" i="50"/>
  <c r="AX20" i="50"/>
  <c r="AW20" i="50"/>
  <c r="F20" i="50"/>
  <c r="E20" i="50"/>
  <c r="D20" i="50"/>
  <c r="B20" i="50"/>
  <c r="AY19" i="50"/>
  <c r="AX19" i="50"/>
  <c r="AW19" i="50"/>
  <c r="F19" i="50"/>
  <c r="E19" i="50"/>
  <c r="D19" i="50"/>
  <c r="B19" i="50"/>
  <c r="AY18" i="50"/>
  <c r="AX18" i="50"/>
  <c r="AW18" i="50"/>
  <c r="F18" i="50"/>
  <c r="E18" i="50"/>
  <c r="D18" i="50"/>
  <c r="B18" i="50"/>
  <c r="AY17" i="50"/>
  <c r="AX17" i="50"/>
  <c r="AW17" i="50"/>
  <c r="F17" i="50"/>
  <c r="E17" i="50"/>
  <c r="D17" i="50"/>
  <c r="B17" i="50"/>
  <c r="BP16" i="50"/>
  <c r="AY16" i="50"/>
  <c r="AX16" i="50"/>
  <c r="AW16" i="50"/>
  <c r="F16" i="50"/>
  <c r="E16" i="50"/>
  <c r="D16" i="50"/>
  <c r="M16" i="50" s="1"/>
  <c r="B16" i="50"/>
  <c r="AY15" i="50"/>
  <c r="AX15" i="50"/>
  <c r="AW15" i="50"/>
  <c r="F15" i="50"/>
  <c r="E15" i="50"/>
  <c r="D15" i="50"/>
  <c r="B15" i="50"/>
  <c r="AY14" i="50"/>
  <c r="AX14" i="50"/>
  <c r="AW14" i="50"/>
  <c r="F14" i="50"/>
  <c r="E14" i="50"/>
  <c r="D14" i="50"/>
  <c r="B14" i="50"/>
  <c r="AY13" i="50"/>
  <c r="AX13" i="50"/>
  <c r="AW13" i="50"/>
  <c r="F13" i="50"/>
  <c r="E13" i="50"/>
  <c r="D13" i="50"/>
  <c r="H13" i="50" s="1"/>
  <c r="B13" i="50"/>
  <c r="AY12" i="50"/>
  <c r="AX12" i="50"/>
  <c r="AW12" i="50"/>
  <c r="F12" i="50"/>
  <c r="E12" i="50"/>
  <c r="D12" i="50"/>
  <c r="O12" i="50" s="1"/>
  <c r="B12" i="50"/>
  <c r="AY11" i="50"/>
  <c r="AX11" i="50"/>
  <c r="AW11" i="50"/>
  <c r="F11" i="50"/>
  <c r="E11" i="50"/>
  <c r="D11" i="50"/>
  <c r="H11" i="50" s="1"/>
  <c r="B11" i="50"/>
  <c r="AY10" i="50"/>
  <c r="AX10" i="50"/>
  <c r="AW10" i="50"/>
  <c r="F10" i="50"/>
  <c r="E10" i="50"/>
  <c r="D10" i="50"/>
  <c r="B10" i="50"/>
  <c r="AY9" i="50"/>
  <c r="AX9" i="50"/>
  <c r="AW9" i="50"/>
  <c r="F9" i="50"/>
  <c r="E9" i="50"/>
  <c r="D9" i="50"/>
  <c r="B9" i="50"/>
  <c r="AY8" i="50"/>
  <c r="AX8" i="50"/>
  <c r="AW8" i="50"/>
  <c r="F8" i="50"/>
  <c r="E8" i="50"/>
  <c r="D8" i="50"/>
  <c r="O8" i="50" s="1"/>
  <c r="B8" i="50"/>
  <c r="AY7" i="50"/>
  <c r="AX7" i="50"/>
  <c r="AW7" i="50"/>
  <c r="F7" i="50"/>
  <c r="E7" i="50"/>
  <c r="D7" i="50"/>
  <c r="B7" i="50"/>
  <c r="BM6" i="50"/>
  <c r="BM40" i="50" s="1"/>
  <c r="BK6" i="50"/>
  <c r="BK40" i="50" s="1"/>
  <c r="BJ6" i="50"/>
  <c r="BJ40" i="50" s="1"/>
  <c r="BI6" i="50"/>
  <c r="BI40" i="50" s="1"/>
  <c r="BH6" i="50"/>
  <c r="BH40" i="50" s="1"/>
  <c r="BF6" i="50"/>
  <c r="AY6" i="50"/>
  <c r="AY40" i="50" s="1"/>
  <c r="AX6" i="50"/>
  <c r="AW6" i="50"/>
  <c r="F6" i="50"/>
  <c r="E6" i="50"/>
  <c r="D6" i="50"/>
  <c r="B6" i="50"/>
  <c r="BP45" i="49"/>
  <c r="BP40" i="49"/>
  <c r="BL40" i="49"/>
  <c r="BE40" i="49"/>
  <c r="BC40" i="49"/>
  <c r="BB40" i="49"/>
  <c r="BA40" i="49"/>
  <c r="AV40" i="49"/>
  <c r="AU40" i="49"/>
  <c r="AT40" i="49"/>
  <c r="AP40" i="49"/>
  <c r="AO40" i="49"/>
  <c r="AN40" i="49"/>
  <c r="AM40" i="49"/>
  <c r="AL40" i="49"/>
  <c r="AK40" i="49"/>
  <c r="AJ40" i="49"/>
  <c r="AI40" i="49"/>
  <c r="AG40" i="49"/>
  <c r="AF40" i="49"/>
  <c r="AE40" i="49"/>
  <c r="AD40" i="49"/>
  <c r="AC40" i="49"/>
  <c r="AA40" i="49"/>
  <c r="Z40" i="49"/>
  <c r="Y40" i="49"/>
  <c r="X40" i="49"/>
  <c r="W40" i="49"/>
  <c r="V40" i="49"/>
  <c r="S40" i="49"/>
  <c r="N40" i="49"/>
  <c r="L40" i="49"/>
  <c r="J40" i="49"/>
  <c r="I40" i="49"/>
  <c r="AY38" i="49"/>
  <c r="AX38" i="49"/>
  <c r="AW38" i="49"/>
  <c r="F38" i="49"/>
  <c r="E38" i="49"/>
  <c r="D38" i="49"/>
  <c r="B38" i="49"/>
  <c r="AY37" i="49"/>
  <c r="AX37" i="49"/>
  <c r="AW37" i="49"/>
  <c r="F37" i="49"/>
  <c r="E37" i="49"/>
  <c r="D37" i="49"/>
  <c r="B37" i="49"/>
  <c r="AY36" i="49"/>
  <c r="AX36" i="49"/>
  <c r="AW36" i="49"/>
  <c r="F36" i="49"/>
  <c r="E36" i="49"/>
  <c r="D36" i="49"/>
  <c r="B36" i="49"/>
  <c r="AY35" i="49"/>
  <c r="AX35" i="49"/>
  <c r="AW35" i="49"/>
  <c r="F35" i="49"/>
  <c r="E35" i="49"/>
  <c r="D35" i="49"/>
  <c r="B35" i="49"/>
  <c r="AY34" i="49"/>
  <c r="AX34" i="49"/>
  <c r="AW34" i="49"/>
  <c r="F34" i="49"/>
  <c r="E34" i="49"/>
  <c r="D34" i="49"/>
  <c r="B34" i="49"/>
  <c r="BP33" i="49"/>
  <c r="BP34" i="49" s="1"/>
  <c r="AY33" i="49"/>
  <c r="AX33" i="49"/>
  <c r="AW33" i="49"/>
  <c r="F33" i="49"/>
  <c r="E33" i="49"/>
  <c r="D33" i="49"/>
  <c r="B33" i="49"/>
  <c r="AY32" i="49"/>
  <c r="AX32" i="49"/>
  <c r="AW32" i="49"/>
  <c r="F32" i="49"/>
  <c r="E32" i="49"/>
  <c r="D32" i="49"/>
  <c r="B32" i="49"/>
  <c r="AY31" i="49"/>
  <c r="AX31" i="49"/>
  <c r="AW31" i="49"/>
  <c r="F31" i="49"/>
  <c r="E31" i="49"/>
  <c r="D31" i="49"/>
  <c r="B31" i="49"/>
  <c r="AY30" i="49"/>
  <c r="AX30" i="49"/>
  <c r="AW30" i="49"/>
  <c r="F30" i="49"/>
  <c r="E30" i="49"/>
  <c r="D30" i="49"/>
  <c r="K30" i="49" s="1"/>
  <c r="B30" i="49"/>
  <c r="AY29" i="49"/>
  <c r="AX29" i="49"/>
  <c r="AW29" i="49"/>
  <c r="F29" i="49"/>
  <c r="E29" i="49"/>
  <c r="D29" i="49"/>
  <c r="B29" i="49"/>
  <c r="BP28" i="49"/>
  <c r="AY28" i="49"/>
  <c r="AX28" i="49"/>
  <c r="AW28" i="49"/>
  <c r="F28" i="49"/>
  <c r="E28" i="49"/>
  <c r="D28" i="49"/>
  <c r="B28" i="49"/>
  <c r="AY27" i="49"/>
  <c r="AX27" i="49"/>
  <c r="AW27" i="49"/>
  <c r="F27" i="49"/>
  <c r="E27" i="49"/>
  <c r="D27" i="49"/>
  <c r="B27" i="49"/>
  <c r="AY26" i="49"/>
  <c r="AX26" i="49"/>
  <c r="AW26" i="49"/>
  <c r="F26" i="49"/>
  <c r="E26" i="49"/>
  <c r="D26" i="49"/>
  <c r="B26" i="49"/>
  <c r="AY25" i="49"/>
  <c r="AX25" i="49"/>
  <c r="AW25" i="49"/>
  <c r="F25" i="49"/>
  <c r="E25" i="49"/>
  <c r="D25" i="49"/>
  <c r="B25" i="49"/>
  <c r="AY24" i="49"/>
  <c r="AX24" i="49"/>
  <c r="AW24" i="49"/>
  <c r="F24" i="49"/>
  <c r="E24" i="49"/>
  <c r="K24" i="49" s="1"/>
  <c r="D24" i="49"/>
  <c r="B24" i="49"/>
  <c r="AY23" i="49"/>
  <c r="AX23" i="49"/>
  <c r="AW23" i="49"/>
  <c r="F23" i="49"/>
  <c r="E23" i="49"/>
  <c r="D23" i="49"/>
  <c r="B23" i="49"/>
  <c r="BP22" i="49"/>
  <c r="AY22" i="49"/>
  <c r="AX22" i="49"/>
  <c r="AW22" i="49"/>
  <c r="F22" i="49"/>
  <c r="E22" i="49"/>
  <c r="D22" i="49"/>
  <c r="B22" i="49"/>
  <c r="AY21" i="49"/>
  <c r="AX21" i="49"/>
  <c r="AW21" i="49"/>
  <c r="F21" i="49"/>
  <c r="E21" i="49"/>
  <c r="D21" i="49"/>
  <c r="O21" i="49" s="1"/>
  <c r="B21" i="49"/>
  <c r="AY20" i="49"/>
  <c r="AX20" i="49"/>
  <c r="AW20" i="49"/>
  <c r="F20" i="49"/>
  <c r="E20" i="49"/>
  <c r="D20" i="49"/>
  <c r="B20" i="49"/>
  <c r="AY19" i="49"/>
  <c r="AX19" i="49"/>
  <c r="AW19" i="49"/>
  <c r="F19" i="49"/>
  <c r="E19" i="49"/>
  <c r="D19" i="49"/>
  <c r="H19" i="49" s="1"/>
  <c r="AS19" i="49" s="1"/>
  <c r="B19" i="49"/>
  <c r="AY18" i="49"/>
  <c r="AX18" i="49"/>
  <c r="AW18" i="49"/>
  <c r="F18" i="49"/>
  <c r="E18" i="49"/>
  <c r="D18" i="49"/>
  <c r="H18" i="49" s="1"/>
  <c r="B18" i="49"/>
  <c r="AY17" i="49"/>
  <c r="AX17" i="49"/>
  <c r="AW17" i="49"/>
  <c r="F17" i="49"/>
  <c r="E17" i="49"/>
  <c r="D17" i="49"/>
  <c r="K17" i="49" s="1"/>
  <c r="B17" i="49"/>
  <c r="BP16" i="49"/>
  <c r="AY16" i="49"/>
  <c r="AX16" i="49"/>
  <c r="AW16" i="49"/>
  <c r="F16" i="49"/>
  <c r="E16" i="49"/>
  <c r="D16" i="49"/>
  <c r="B16" i="49"/>
  <c r="AY15" i="49"/>
  <c r="AX15" i="49"/>
  <c r="AW15" i="49"/>
  <c r="F15" i="49"/>
  <c r="E15" i="49"/>
  <c r="M15" i="49" s="1"/>
  <c r="D15" i="49"/>
  <c r="B15" i="49"/>
  <c r="AY14" i="49"/>
  <c r="AX14" i="49"/>
  <c r="AW14" i="49"/>
  <c r="F14" i="49"/>
  <c r="E14" i="49"/>
  <c r="D14" i="49"/>
  <c r="B14" i="49"/>
  <c r="AY13" i="49"/>
  <c r="AX13" i="49"/>
  <c r="AW13" i="49"/>
  <c r="F13" i="49"/>
  <c r="E13" i="49"/>
  <c r="D13" i="49"/>
  <c r="B13" i="49"/>
  <c r="AY12" i="49"/>
  <c r="AX12" i="49"/>
  <c r="AW12" i="49"/>
  <c r="F12" i="49"/>
  <c r="E12" i="49"/>
  <c r="D12" i="49"/>
  <c r="B12" i="49"/>
  <c r="AY11" i="49"/>
  <c r="AX11" i="49"/>
  <c r="AW11" i="49"/>
  <c r="F11" i="49"/>
  <c r="E11" i="49"/>
  <c r="D11" i="49"/>
  <c r="B11" i="49"/>
  <c r="AY10" i="49"/>
  <c r="AX10" i="49"/>
  <c r="AW10" i="49"/>
  <c r="F10" i="49"/>
  <c r="E10" i="49"/>
  <c r="D10" i="49"/>
  <c r="B10" i="49"/>
  <c r="AY9" i="49"/>
  <c r="AX9" i="49"/>
  <c r="AW9" i="49"/>
  <c r="F9" i="49"/>
  <c r="E9" i="49"/>
  <c r="D9" i="49"/>
  <c r="B9" i="49"/>
  <c r="AY8" i="49"/>
  <c r="AX8" i="49"/>
  <c r="AW8" i="49"/>
  <c r="F8" i="49"/>
  <c r="E8" i="49"/>
  <c r="D8" i="49"/>
  <c r="B8" i="49"/>
  <c r="AY7" i="49"/>
  <c r="AX7" i="49"/>
  <c r="AW7" i="49"/>
  <c r="AW40" i="49" s="1"/>
  <c r="F7" i="49"/>
  <c r="E7" i="49"/>
  <c r="D7" i="49"/>
  <c r="B7" i="49"/>
  <c r="BM6" i="49"/>
  <c r="BM40" i="49" s="1"/>
  <c r="BK6" i="49"/>
  <c r="BK40" i="49" s="1"/>
  <c r="BI6" i="49"/>
  <c r="BI40" i="49" s="1"/>
  <c r="BH6" i="49"/>
  <c r="BH40" i="49" s="1"/>
  <c r="BF6" i="49"/>
  <c r="AY6" i="49"/>
  <c r="AX6" i="49"/>
  <c r="AX40" i="49" s="1"/>
  <c r="AW6" i="49"/>
  <c r="F6" i="49"/>
  <c r="E6" i="49"/>
  <c r="D6" i="49"/>
  <c r="B6" i="49"/>
  <c r="F7" i="48"/>
  <c r="F8" i="48"/>
  <c r="F9" i="48"/>
  <c r="F10" i="48"/>
  <c r="F11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27" i="48"/>
  <c r="F28" i="48"/>
  <c r="F29" i="48"/>
  <c r="F30" i="48"/>
  <c r="F31" i="48"/>
  <c r="F32" i="48"/>
  <c r="F33" i="48"/>
  <c r="F34" i="48"/>
  <c r="F35" i="48"/>
  <c r="F36" i="48"/>
  <c r="F37" i="48"/>
  <c r="F38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33" i="48"/>
  <c r="E34" i="48"/>
  <c r="E35" i="48"/>
  <c r="E36" i="48"/>
  <c r="E37" i="48"/>
  <c r="E38" i="48"/>
  <c r="D7" i="48"/>
  <c r="D8" i="48"/>
  <c r="M8" i="48" s="1"/>
  <c r="D9" i="48"/>
  <c r="M9" i="48" s="1"/>
  <c r="D10" i="48"/>
  <c r="M10" i="48" s="1"/>
  <c r="D11" i="48"/>
  <c r="D12" i="48"/>
  <c r="D13" i="48"/>
  <c r="O13" i="48" s="1"/>
  <c r="D14" i="48"/>
  <c r="O14" i="48" s="1"/>
  <c r="D15" i="48"/>
  <c r="D16" i="48"/>
  <c r="D17" i="48"/>
  <c r="M17" i="48" s="1"/>
  <c r="D18" i="48"/>
  <c r="O18" i="48" s="1"/>
  <c r="D19" i="48"/>
  <c r="D20" i="48"/>
  <c r="M20" i="48" s="1"/>
  <c r="D21" i="48"/>
  <c r="K21" i="48" s="1"/>
  <c r="D22" i="48"/>
  <c r="O22" i="48" s="1"/>
  <c r="D23" i="48"/>
  <c r="D24" i="48"/>
  <c r="H24" i="48" s="1"/>
  <c r="G24" i="48" s="1"/>
  <c r="D25" i="48"/>
  <c r="M25" i="48" s="1"/>
  <c r="D26" i="48"/>
  <c r="K26" i="48" s="1"/>
  <c r="D27" i="48"/>
  <c r="D28" i="48"/>
  <c r="M28" i="48" s="1"/>
  <c r="D29" i="48"/>
  <c r="M29" i="48" s="1"/>
  <c r="D30" i="48"/>
  <c r="K30" i="48" s="1"/>
  <c r="D31" i="48"/>
  <c r="M31" i="48" s="1"/>
  <c r="D32" i="48"/>
  <c r="D33" i="48"/>
  <c r="M33" i="48" s="1"/>
  <c r="D34" i="48"/>
  <c r="M34" i="48" s="1"/>
  <c r="D35" i="48"/>
  <c r="K35" i="48" s="1"/>
  <c r="D36" i="48"/>
  <c r="D37" i="48"/>
  <c r="M37" i="48" s="1"/>
  <c r="D38" i="48"/>
  <c r="H38" i="48" s="1"/>
  <c r="AS38" i="48" s="1"/>
  <c r="K7" i="48"/>
  <c r="F6" i="48"/>
  <c r="E6" i="48"/>
  <c r="K6" i="48" s="1"/>
  <c r="D6" i="48"/>
  <c r="BP45" i="48"/>
  <c r="BP40" i="48"/>
  <c r="BL40" i="48"/>
  <c r="BE40" i="48"/>
  <c r="BC40" i="48"/>
  <c r="BB40" i="48"/>
  <c r="AV40" i="48"/>
  <c r="AU40" i="48"/>
  <c r="AT40" i="48"/>
  <c r="AP40" i="48"/>
  <c r="AO40" i="48"/>
  <c r="AN40" i="48"/>
  <c r="AM40" i="48"/>
  <c r="AL40" i="48"/>
  <c r="AK40" i="48"/>
  <c r="AJ40" i="48"/>
  <c r="AI40" i="48"/>
  <c r="AG40" i="48"/>
  <c r="AF40" i="48"/>
  <c r="AE40" i="48"/>
  <c r="AD40" i="48"/>
  <c r="AC40" i="48"/>
  <c r="AA40" i="48"/>
  <c r="Z40" i="48"/>
  <c r="Y40" i="48"/>
  <c r="X40" i="48"/>
  <c r="W40" i="48"/>
  <c r="V40" i="48"/>
  <c r="S40" i="48"/>
  <c r="N40" i="48"/>
  <c r="L40" i="48"/>
  <c r="J40" i="48"/>
  <c r="I40" i="48"/>
  <c r="AY38" i="48"/>
  <c r="AX38" i="48"/>
  <c r="AW38" i="48"/>
  <c r="B38" i="48"/>
  <c r="AY37" i="48"/>
  <c r="AX37" i="48"/>
  <c r="AW37" i="48"/>
  <c r="B37" i="48"/>
  <c r="AY36" i="48"/>
  <c r="AX36" i="48"/>
  <c r="AW36" i="48"/>
  <c r="H36" i="48"/>
  <c r="G36" i="48" s="1"/>
  <c r="B36" i="48"/>
  <c r="AY35" i="48"/>
  <c r="AX35" i="48"/>
  <c r="AW35" i="48"/>
  <c r="H35" i="48"/>
  <c r="G35" i="48" s="1"/>
  <c r="B35" i="48"/>
  <c r="BP34" i="48"/>
  <c r="AY34" i="48"/>
  <c r="AX34" i="48"/>
  <c r="AW34" i="48"/>
  <c r="B34" i="48"/>
  <c r="BP33" i="48"/>
  <c r="AY33" i="48"/>
  <c r="AX33" i="48"/>
  <c r="AW33" i="48"/>
  <c r="B33" i="48"/>
  <c r="AY32" i="48"/>
  <c r="AX32" i="48"/>
  <c r="AW32" i="48"/>
  <c r="B32" i="48"/>
  <c r="AY31" i="48"/>
  <c r="AX31" i="48"/>
  <c r="AW31" i="48"/>
  <c r="O31" i="48"/>
  <c r="K31" i="48"/>
  <c r="H31" i="48"/>
  <c r="G31" i="48" s="1"/>
  <c r="B31" i="48"/>
  <c r="AY30" i="48"/>
  <c r="AX30" i="48"/>
  <c r="AW30" i="48"/>
  <c r="B30" i="48"/>
  <c r="AY29" i="48"/>
  <c r="AX29" i="48"/>
  <c r="AW29" i="48"/>
  <c r="B29" i="48"/>
  <c r="BP28" i="48"/>
  <c r="BI6" i="48" s="1"/>
  <c r="BI40" i="48" s="1"/>
  <c r="AY28" i="48"/>
  <c r="AX28" i="48"/>
  <c r="AW28" i="48"/>
  <c r="B28" i="48"/>
  <c r="AY27" i="48"/>
  <c r="AX27" i="48"/>
  <c r="AW27" i="48"/>
  <c r="O27" i="48"/>
  <c r="M27" i="48"/>
  <c r="K27" i="48"/>
  <c r="H27" i="48"/>
  <c r="AS27" i="48" s="1"/>
  <c r="B27" i="48"/>
  <c r="AY26" i="48"/>
  <c r="AX26" i="48"/>
  <c r="AW26" i="48"/>
  <c r="B26" i="48"/>
  <c r="AY25" i="48"/>
  <c r="AX25" i="48"/>
  <c r="AW25" i="48"/>
  <c r="B25" i="48"/>
  <c r="AY24" i="48"/>
  <c r="AX24" i="48"/>
  <c r="AW24" i="48"/>
  <c r="B24" i="48"/>
  <c r="AY23" i="48"/>
  <c r="AX23" i="48"/>
  <c r="AW23" i="48"/>
  <c r="O23" i="48"/>
  <c r="K23" i="48"/>
  <c r="B23" i="48"/>
  <c r="BP22" i="48"/>
  <c r="AY22" i="48"/>
  <c r="AX22" i="48"/>
  <c r="AW22" i="48"/>
  <c r="B22" i="48"/>
  <c r="AY21" i="48"/>
  <c r="AX21" i="48"/>
  <c r="AW21" i="48"/>
  <c r="B21" i="48"/>
  <c r="BA40" i="48"/>
  <c r="AY20" i="48"/>
  <c r="AX20" i="48"/>
  <c r="AW20" i="48"/>
  <c r="O20" i="48"/>
  <c r="B20" i="48"/>
  <c r="AY19" i="48"/>
  <c r="AX19" i="48"/>
  <c r="AW19" i="48"/>
  <c r="O19" i="48"/>
  <c r="K19" i="48"/>
  <c r="M19" i="48"/>
  <c r="B19" i="48"/>
  <c r="AY18" i="48"/>
  <c r="AX18" i="48"/>
  <c r="AW18" i="48"/>
  <c r="B18" i="48"/>
  <c r="AY17" i="48"/>
  <c r="AX17" i="48"/>
  <c r="AW17" i="48"/>
  <c r="B17" i="48"/>
  <c r="BP16" i="48"/>
  <c r="AY16" i="48"/>
  <c r="AX16" i="48"/>
  <c r="AW16" i="48"/>
  <c r="M16" i="48"/>
  <c r="B16" i="48"/>
  <c r="AY15" i="48"/>
  <c r="AX15" i="48"/>
  <c r="AW15" i="48"/>
  <c r="O15" i="48"/>
  <c r="M15" i="48"/>
  <c r="K15" i="48"/>
  <c r="B15" i="48"/>
  <c r="AY14" i="48"/>
  <c r="AX14" i="48"/>
  <c r="AW14" i="48"/>
  <c r="B14" i="48"/>
  <c r="AY13" i="48"/>
  <c r="AX13" i="48"/>
  <c r="AW13" i="48"/>
  <c r="B13" i="48"/>
  <c r="AY12" i="48"/>
  <c r="AX12" i="48"/>
  <c r="AW12" i="48"/>
  <c r="M12" i="48"/>
  <c r="B12" i="48"/>
  <c r="AY11" i="48"/>
  <c r="AX11" i="48"/>
  <c r="AW11" i="48"/>
  <c r="M11" i="48"/>
  <c r="K11" i="48"/>
  <c r="H11" i="48"/>
  <c r="G11" i="48" s="1"/>
  <c r="B11" i="48"/>
  <c r="AY10" i="48"/>
  <c r="AX10" i="48"/>
  <c r="AW10" i="48"/>
  <c r="B10" i="48"/>
  <c r="AY9" i="48"/>
  <c r="AX9" i="48"/>
  <c r="AW9" i="48"/>
  <c r="K9" i="48"/>
  <c r="B9" i="48"/>
  <c r="AY8" i="48"/>
  <c r="AX8" i="48"/>
  <c r="AW8" i="48"/>
  <c r="B8" i="48"/>
  <c r="AY7" i="48"/>
  <c r="AX7" i="48"/>
  <c r="AW7" i="48"/>
  <c r="O7" i="48"/>
  <c r="B7" i="48"/>
  <c r="BM6" i="48"/>
  <c r="BM40" i="48" s="1"/>
  <c r="BK6" i="48"/>
  <c r="BK40" i="48" s="1"/>
  <c r="BJ6" i="48"/>
  <c r="BJ40" i="48" s="1"/>
  <c r="BH6" i="48"/>
  <c r="BH40" i="48" s="1"/>
  <c r="BF6" i="48"/>
  <c r="AY6" i="48"/>
  <c r="AX6" i="48"/>
  <c r="AW6" i="48"/>
  <c r="B6" i="48"/>
  <c r="M21" i="48" l="1"/>
  <c r="O25" i="48"/>
  <c r="K28" i="49"/>
  <c r="K29" i="50"/>
  <c r="H28" i="51"/>
  <c r="H29" i="51"/>
  <c r="AS29" i="51" s="1"/>
  <c r="M21" i="52"/>
  <c r="K36" i="52"/>
  <c r="K6" i="53"/>
  <c r="M7" i="53"/>
  <c r="H12" i="53"/>
  <c r="K14" i="53"/>
  <c r="H15" i="53"/>
  <c r="G15" i="53" s="1"/>
  <c r="H20" i="54"/>
  <c r="K22" i="54"/>
  <c r="H20" i="55"/>
  <c r="G20" i="55" s="1"/>
  <c r="H21" i="55"/>
  <c r="H22" i="55"/>
  <c r="AS22" i="55" s="1"/>
  <c r="M36" i="55"/>
  <c r="H38" i="55"/>
  <c r="G38" i="55" s="1"/>
  <c r="M19" i="56"/>
  <c r="M31" i="56"/>
  <c r="H35" i="56"/>
  <c r="G35" i="56" s="1"/>
  <c r="M25" i="53"/>
  <c r="O33" i="48"/>
  <c r="H6" i="49"/>
  <c r="H7" i="49"/>
  <c r="K9" i="49"/>
  <c r="K11" i="49"/>
  <c r="K32" i="49"/>
  <c r="H35" i="49"/>
  <c r="AS35" i="49" s="1"/>
  <c r="H36" i="49"/>
  <c r="AS36" i="49" s="1"/>
  <c r="O7" i="50"/>
  <c r="K17" i="50"/>
  <c r="H18" i="50"/>
  <c r="M19" i="50"/>
  <c r="K20" i="50"/>
  <c r="M16" i="51"/>
  <c r="K17" i="51"/>
  <c r="H18" i="51"/>
  <c r="G18" i="51" s="1"/>
  <c r="H36" i="51"/>
  <c r="O9" i="52"/>
  <c r="O11" i="52"/>
  <c r="H12" i="52"/>
  <c r="AS12" i="52" s="1"/>
  <c r="O14" i="52"/>
  <c r="H15" i="52"/>
  <c r="K16" i="52"/>
  <c r="H33" i="52"/>
  <c r="AS33" i="52" s="1"/>
  <c r="H38" i="53"/>
  <c r="M6" i="54"/>
  <c r="H7" i="54"/>
  <c r="G7" i="54" s="1"/>
  <c r="M10" i="54"/>
  <c r="K16" i="54"/>
  <c r="M25" i="54"/>
  <c r="M26" i="54"/>
  <c r="M27" i="54"/>
  <c r="H29" i="54"/>
  <c r="M33" i="54"/>
  <c r="K9" i="55"/>
  <c r="M10" i="55"/>
  <c r="K11" i="55"/>
  <c r="H15" i="55"/>
  <c r="AS15" i="55" s="1"/>
  <c r="H16" i="55"/>
  <c r="H24" i="55"/>
  <c r="H13" i="56"/>
  <c r="K16" i="56"/>
  <c r="H26" i="56"/>
  <c r="AS26" i="56" s="1"/>
  <c r="K27" i="56"/>
  <c r="M11" i="49"/>
  <c r="K20" i="49"/>
  <c r="AR20" i="49" s="1"/>
  <c r="K27" i="49"/>
  <c r="M28" i="49"/>
  <c r="M38" i="49"/>
  <c r="M9" i="50"/>
  <c r="K10" i="50"/>
  <c r="M14" i="50"/>
  <c r="K26" i="50"/>
  <c r="K12" i="51"/>
  <c r="H24" i="51"/>
  <c r="K27" i="51"/>
  <c r="K7" i="52"/>
  <c r="M12" i="52"/>
  <c r="M17" i="52"/>
  <c r="K23" i="52"/>
  <c r="K31" i="52"/>
  <c r="K32" i="52"/>
  <c r="H34" i="52"/>
  <c r="H35" i="52"/>
  <c r="G35" i="52" s="1"/>
  <c r="H37" i="52"/>
  <c r="M15" i="53"/>
  <c r="H17" i="53"/>
  <c r="M30" i="53"/>
  <c r="K32" i="53"/>
  <c r="H24" i="54"/>
  <c r="G24" i="54" s="1"/>
  <c r="K38" i="54"/>
  <c r="H12" i="55"/>
  <c r="AS12" i="55" s="1"/>
  <c r="M13" i="55"/>
  <c r="O27" i="55"/>
  <c r="H28" i="55"/>
  <c r="O22" i="56"/>
  <c r="K25" i="56"/>
  <c r="H28" i="56"/>
  <c r="G28" i="56" s="1"/>
  <c r="H29" i="56"/>
  <c r="M37" i="56"/>
  <c r="M7" i="50"/>
  <c r="F40" i="51"/>
  <c r="O14" i="54"/>
  <c r="K22" i="49"/>
  <c r="H25" i="49"/>
  <c r="G25" i="49" s="1"/>
  <c r="H26" i="49"/>
  <c r="AS26" i="49" s="1"/>
  <c r="M29" i="49"/>
  <c r="M30" i="49"/>
  <c r="O31" i="49"/>
  <c r="O33" i="49"/>
  <c r="M6" i="50"/>
  <c r="K19" i="50"/>
  <c r="M20" i="50"/>
  <c r="K21" i="50"/>
  <c r="K22" i="50"/>
  <c r="M29" i="50"/>
  <c r="H31" i="50"/>
  <c r="AR31" i="50" s="1"/>
  <c r="H32" i="50"/>
  <c r="M21" i="51"/>
  <c r="K25" i="51"/>
  <c r="H26" i="51"/>
  <c r="AS26" i="51" s="1"/>
  <c r="K29" i="51"/>
  <c r="H32" i="51"/>
  <c r="AS32" i="51" s="1"/>
  <c r="H35" i="51"/>
  <c r="G35" i="51" s="1"/>
  <c r="O6" i="52"/>
  <c r="K13" i="52"/>
  <c r="M16" i="52"/>
  <c r="O19" i="52"/>
  <c r="H20" i="52"/>
  <c r="AS20" i="52" s="1"/>
  <c r="K21" i="52"/>
  <c r="K24" i="52"/>
  <c r="K28" i="52"/>
  <c r="H11" i="53"/>
  <c r="AS11" i="53" s="1"/>
  <c r="H16" i="53"/>
  <c r="O26" i="53"/>
  <c r="M28" i="53"/>
  <c r="K36" i="53"/>
  <c r="K10" i="54"/>
  <c r="M11" i="54"/>
  <c r="H12" i="54"/>
  <c r="M21" i="54"/>
  <c r="M22" i="54"/>
  <c r="M31" i="54"/>
  <c r="K33" i="54"/>
  <c r="D40" i="55"/>
  <c r="H19" i="55"/>
  <c r="H33" i="55"/>
  <c r="AS33" i="55" s="1"/>
  <c r="M34" i="55"/>
  <c r="O38" i="55"/>
  <c r="H7" i="56"/>
  <c r="G7" i="56" s="1"/>
  <c r="M10" i="56"/>
  <c r="M16" i="56"/>
  <c r="H27" i="56"/>
  <c r="H32" i="56"/>
  <c r="G32" i="56" s="1"/>
  <c r="K35" i="56"/>
  <c r="O34" i="48"/>
  <c r="K22" i="48"/>
  <c r="K14" i="48"/>
  <c r="G38" i="48"/>
  <c r="O17" i="50"/>
  <c r="H22" i="53"/>
  <c r="M22" i="53"/>
  <c r="O35" i="55"/>
  <c r="K35" i="55"/>
  <c r="O9" i="56"/>
  <c r="K9" i="56"/>
  <c r="H22" i="48"/>
  <c r="G22" i="48" s="1"/>
  <c r="O29" i="48"/>
  <c r="H17" i="48"/>
  <c r="G17" i="48" s="1"/>
  <c r="M9" i="49"/>
  <c r="M17" i="49"/>
  <c r="K25" i="49"/>
  <c r="O25" i="49"/>
  <c r="M35" i="49"/>
  <c r="F40" i="50"/>
  <c r="H7" i="50"/>
  <c r="O10" i="50"/>
  <c r="M11" i="50"/>
  <c r="K12" i="50"/>
  <c r="H15" i="50"/>
  <c r="K16" i="50"/>
  <c r="O16" i="50"/>
  <c r="H20" i="50"/>
  <c r="AS20" i="50" s="1"/>
  <c r="M21" i="50"/>
  <c r="M22" i="50"/>
  <c r="M26" i="50"/>
  <c r="M27" i="50"/>
  <c r="H29" i="50"/>
  <c r="AS29" i="50" s="1"/>
  <c r="M31" i="50"/>
  <c r="K33" i="50"/>
  <c r="O34" i="50"/>
  <c r="K35" i="50"/>
  <c r="M37" i="50"/>
  <c r="M8" i="51"/>
  <c r="O9" i="51"/>
  <c r="O10" i="51"/>
  <c r="H10" i="52"/>
  <c r="M10" i="52"/>
  <c r="K22" i="52"/>
  <c r="M22" i="52"/>
  <c r="H29" i="53"/>
  <c r="O29" i="53"/>
  <c r="H30" i="48"/>
  <c r="G30" i="48" s="1"/>
  <c r="M36" i="49"/>
  <c r="H33" i="50"/>
  <c r="O33" i="50"/>
  <c r="AQ33" i="50" s="1"/>
  <c r="H8" i="51"/>
  <c r="K8" i="51"/>
  <c r="F40" i="49"/>
  <c r="H15" i="49"/>
  <c r="AS15" i="49" s="1"/>
  <c r="O17" i="49"/>
  <c r="M20" i="49"/>
  <c r="M22" i="49"/>
  <c r="M24" i="49"/>
  <c r="M27" i="49"/>
  <c r="O35" i="49"/>
  <c r="O11" i="50"/>
  <c r="O21" i="50"/>
  <c r="O26" i="50"/>
  <c r="O31" i="50"/>
  <c r="H13" i="51"/>
  <c r="G13" i="51" s="1"/>
  <c r="K8" i="52"/>
  <c r="M8" i="52"/>
  <c r="H19" i="52"/>
  <c r="AS19" i="52" s="1"/>
  <c r="M19" i="52"/>
  <c r="AQ19" i="52" s="1"/>
  <c r="K26" i="52"/>
  <c r="M26" i="52"/>
  <c r="K13" i="54"/>
  <c r="M13" i="54"/>
  <c r="M25" i="49"/>
  <c r="H8" i="54"/>
  <c r="M8" i="54"/>
  <c r="K19" i="54"/>
  <c r="M19" i="54"/>
  <c r="K23" i="54"/>
  <c r="M23" i="54"/>
  <c r="M34" i="54"/>
  <c r="O34" i="54"/>
  <c r="H7" i="55"/>
  <c r="AS7" i="55" s="1"/>
  <c r="K7" i="55"/>
  <c r="H32" i="48"/>
  <c r="G32" i="48" s="1"/>
  <c r="K20" i="48"/>
  <c r="G27" i="48"/>
  <c r="H13" i="49"/>
  <c r="AS13" i="49" s="1"/>
  <c r="H20" i="49"/>
  <c r="O20" i="49"/>
  <c r="AQ20" i="49" s="1"/>
  <c r="H22" i="49"/>
  <c r="O22" i="49"/>
  <c r="O24" i="49"/>
  <c r="H27" i="49"/>
  <c r="G27" i="49" s="1"/>
  <c r="O27" i="49"/>
  <c r="H29" i="49"/>
  <c r="AS29" i="49" s="1"/>
  <c r="O29" i="49"/>
  <c r="K36" i="49"/>
  <c r="H38" i="49"/>
  <c r="O38" i="49"/>
  <c r="H6" i="50"/>
  <c r="G6" i="50" s="1"/>
  <c r="K8" i="50"/>
  <c r="K9" i="50"/>
  <c r="O9" i="50"/>
  <c r="K11" i="50"/>
  <c r="AR11" i="50" s="1"/>
  <c r="M13" i="50"/>
  <c r="M17" i="50"/>
  <c r="H19" i="50"/>
  <c r="AS19" i="50" s="1"/>
  <c r="O19" i="50"/>
  <c r="K23" i="50"/>
  <c r="O23" i="50"/>
  <c r="M25" i="50"/>
  <c r="K31" i="50"/>
  <c r="M33" i="50"/>
  <c r="K10" i="51"/>
  <c r="M17" i="51"/>
  <c r="K25" i="52"/>
  <c r="M25" i="52"/>
  <c r="K19" i="53"/>
  <c r="M19" i="53"/>
  <c r="O22" i="53"/>
  <c r="H27" i="53"/>
  <c r="O27" i="53"/>
  <c r="O19" i="54"/>
  <c r="O23" i="54"/>
  <c r="K20" i="55"/>
  <c r="O38" i="51"/>
  <c r="O7" i="52"/>
  <c r="K10" i="52"/>
  <c r="M14" i="52"/>
  <c r="O17" i="52"/>
  <c r="K19" i="52"/>
  <c r="M20" i="52"/>
  <c r="O21" i="52"/>
  <c r="O23" i="52"/>
  <c r="M27" i="52"/>
  <c r="H29" i="52"/>
  <c r="O33" i="52"/>
  <c r="M35" i="52"/>
  <c r="H38" i="52"/>
  <c r="AS38" i="52" s="1"/>
  <c r="H8" i="53"/>
  <c r="M13" i="53"/>
  <c r="K22" i="53"/>
  <c r="M24" i="53"/>
  <c r="H25" i="53"/>
  <c r="O25" i="53"/>
  <c r="AQ25" i="53" s="1"/>
  <c r="K27" i="53"/>
  <c r="AQ27" i="53" s="1"/>
  <c r="H35" i="53"/>
  <c r="AS35" i="53" s="1"/>
  <c r="O35" i="53"/>
  <c r="M38" i="53"/>
  <c r="M7" i="54"/>
  <c r="K8" i="54"/>
  <c r="M9" i="54"/>
  <c r="H10" i="54"/>
  <c r="M12" i="54"/>
  <c r="M16" i="54"/>
  <c r="K17" i="54"/>
  <c r="O17" i="54"/>
  <c r="K20" i="54"/>
  <c r="K29" i="54"/>
  <c r="H32" i="54"/>
  <c r="H33" i="54"/>
  <c r="AQ33" i="54" s="1"/>
  <c r="O33" i="54"/>
  <c r="O7" i="55"/>
  <c r="H10" i="55"/>
  <c r="AS10" i="55" s="1"/>
  <c r="H13" i="55"/>
  <c r="K13" i="55"/>
  <c r="K14" i="55"/>
  <c r="G22" i="55"/>
  <c r="H23" i="55"/>
  <c r="O34" i="55"/>
  <c r="O22" i="51"/>
  <c r="M25" i="51"/>
  <c r="O29" i="51"/>
  <c r="O34" i="51"/>
  <c r="O35" i="51"/>
  <c r="K12" i="52"/>
  <c r="AR12" i="52" s="1"/>
  <c r="O13" i="52"/>
  <c r="O16" i="52"/>
  <c r="M20" i="53"/>
  <c r="O38" i="53"/>
  <c r="O7" i="54"/>
  <c r="O16" i="54"/>
  <c r="F40" i="55"/>
  <c r="AR13" i="55"/>
  <c r="O13" i="55"/>
  <c r="K22" i="55"/>
  <c r="K17" i="56"/>
  <c r="M17" i="56"/>
  <c r="K11" i="51"/>
  <c r="M12" i="51"/>
  <c r="K16" i="51"/>
  <c r="M27" i="51"/>
  <c r="M31" i="51"/>
  <c r="M37" i="51"/>
  <c r="E40" i="52"/>
  <c r="F47" i="52" s="1"/>
  <c r="H8" i="52"/>
  <c r="G8" i="52" s="1"/>
  <c r="H18" i="52"/>
  <c r="G18" i="52" s="1"/>
  <c r="K20" i="52"/>
  <c r="H22" i="52"/>
  <c r="G22" i="52" s="1"/>
  <c r="H25" i="52"/>
  <c r="AS25" i="52" s="1"/>
  <c r="K27" i="52"/>
  <c r="AR27" i="52" s="1"/>
  <c r="K30" i="52"/>
  <c r="H31" i="52"/>
  <c r="G31" i="52" s="1"/>
  <c r="O31" i="52"/>
  <c r="K33" i="52"/>
  <c r="M36" i="52"/>
  <c r="K20" i="53"/>
  <c r="AQ20" i="53" s="1"/>
  <c r="O20" i="53"/>
  <c r="H36" i="53"/>
  <c r="G36" i="53" s="1"/>
  <c r="M36" i="53"/>
  <c r="D40" i="54"/>
  <c r="O6" i="54"/>
  <c r="K7" i="54"/>
  <c r="K12" i="54"/>
  <c r="H13" i="54"/>
  <c r="O13" i="54"/>
  <c r="M15" i="54"/>
  <c r="H18" i="54"/>
  <c r="M20" i="54"/>
  <c r="K21" i="54"/>
  <c r="O21" i="54"/>
  <c r="K26" i="54"/>
  <c r="O26" i="54"/>
  <c r="M29" i="54"/>
  <c r="K31" i="54"/>
  <c r="O31" i="54"/>
  <c r="M35" i="54"/>
  <c r="M37" i="54"/>
  <c r="M18" i="55"/>
  <c r="M22" i="55"/>
  <c r="O10" i="56"/>
  <c r="O29" i="56"/>
  <c r="O38" i="56"/>
  <c r="K17" i="55"/>
  <c r="M20" i="55"/>
  <c r="H35" i="55"/>
  <c r="AS35" i="55" s="1"/>
  <c r="K38" i="55"/>
  <c r="M8" i="56"/>
  <c r="H9" i="56"/>
  <c r="G9" i="56" s="1"/>
  <c r="K11" i="56"/>
  <c r="M21" i="56"/>
  <c r="M25" i="56"/>
  <c r="M27" i="56"/>
  <c r="AQ27" i="56" s="1"/>
  <c r="O34" i="56"/>
  <c r="O35" i="56"/>
  <c r="K37" i="56"/>
  <c r="AY40" i="57"/>
  <c r="AE40" i="57"/>
  <c r="AX40" i="57"/>
  <c r="AW40" i="57"/>
  <c r="AR38" i="57"/>
  <c r="AR15" i="57"/>
  <c r="AQ25" i="57"/>
  <c r="AR25" i="57"/>
  <c r="AQ29" i="57"/>
  <c r="AQ20" i="57"/>
  <c r="AR20" i="57"/>
  <c r="BJ40" i="57"/>
  <c r="AR22" i="57"/>
  <c r="G13" i="56"/>
  <c r="AS13" i="56"/>
  <c r="F40" i="56"/>
  <c r="AS29" i="56"/>
  <c r="G29" i="56"/>
  <c r="K31" i="56"/>
  <c r="O31" i="56"/>
  <c r="H31" i="56"/>
  <c r="O6" i="56"/>
  <c r="K6" i="56"/>
  <c r="D40" i="56"/>
  <c r="M6" i="56"/>
  <c r="AX40" i="56"/>
  <c r="H8" i="56"/>
  <c r="K8" i="56"/>
  <c r="O11" i="56"/>
  <c r="M12" i="56"/>
  <c r="K12" i="56"/>
  <c r="M14" i="56"/>
  <c r="O15" i="56"/>
  <c r="M15" i="56"/>
  <c r="H15" i="56"/>
  <c r="M20" i="56"/>
  <c r="K20" i="56"/>
  <c r="K23" i="56"/>
  <c r="O23" i="56"/>
  <c r="H23" i="56"/>
  <c r="G24" i="56"/>
  <c r="AS24" i="56"/>
  <c r="G26" i="56"/>
  <c r="AS28" i="56"/>
  <c r="O7" i="56"/>
  <c r="K7" i="56"/>
  <c r="M7" i="56"/>
  <c r="O8" i="56"/>
  <c r="O12" i="56"/>
  <c r="O13" i="56"/>
  <c r="K13" i="56"/>
  <c r="M13" i="56"/>
  <c r="K21" i="56"/>
  <c r="O21" i="56"/>
  <c r="H21" i="56"/>
  <c r="AS27" i="56"/>
  <c r="G27" i="56"/>
  <c r="G30" i="56"/>
  <c r="AS30" i="56"/>
  <c r="G18" i="56"/>
  <c r="AS18" i="56"/>
  <c r="M22" i="56"/>
  <c r="K22" i="56"/>
  <c r="H6" i="56"/>
  <c r="AW40" i="56"/>
  <c r="BF40" i="56"/>
  <c r="H11" i="56"/>
  <c r="K15" i="56"/>
  <c r="K19" i="56"/>
  <c r="O19" i="56"/>
  <c r="H19" i="56"/>
  <c r="O20" i="56"/>
  <c r="M23" i="56"/>
  <c r="AS25" i="56"/>
  <c r="G25" i="56"/>
  <c r="BP34" i="56"/>
  <c r="BJ6" i="56"/>
  <c r="BJ40" i="56" s="1"/>
  <c r="K33" i="56"/>
  <c r="O33" i="56"/>
  <c r="M33" i="56"/>
  <c r="G36" i="56"/>
  <c r="AS36" i="56"/>
  <c r="E40" i="56"/>
  <c r="F47" i="56" s="1"/>
  <c r="M9" i="56"/>
  <c r="H10" i="56"/>
  <c r="M11" i="56"/>
  <c r="H12" i="56"/>
  <c r="H14" i="56"/>
  <c r="K14" i="56"/>
  <c r="H16" i="56"/>
  <c r="O17" i="56"/>
  <c r="O18" i="56"/>
  <c r="K18" i="56"/>
  <c r="M18" i="56"/>
  <c r="O25" i="56"/>
  <c r="K26" i="56"/>
  <c r="O26" i="56"/>
  <c r="M26" i="56"/>
  <c r="O27" i="56"/>
  <c r="O32" i="56"/>
  <c r="K32" i="56"/>
  <c r="M32" i="56"/>
  <c r="M34" i="56"/>
  <c r="K34" i="56"/>
  <c r="O36" i="56"/>
  <c r="K36" i="56"/>
  <c r="M36" i="56"/>
  <c r="O37" i="56"/>
  <c r="H38" i="56"/>
  <c r="K38" i="56"/>
  <c r="O14" i="56"/>
  <c r="O16" i="56"/>
  <c r="H17" i="56"/>
  <c r="H20" i="56"/>
  <c r="H22" i="56"/>
  <c r="O24" i="56"/>
  <c r="K24" i="56"/>
  <c r="M24" i="56"/>
  <c r="O28" i="56"/>
  <c r="K28" i="56"/>
  <c r="M28" i="56"/>
  <c r="O30" i="56"/>
  <c r="K30" i="56"/>
  <c r="M30" i="56"/>
  <c r="H33" i="56"/>
  <c r="M29" i="56"/>
  <c r="AQ29" i="56" s="1"/>
  <c r="H34" i="56"/>
  <c r="M35" i="56"/>
  <c r="H37" i="56"/>
  <c r="M38" i="56"/>
  <c r="K29" i="55"/>
  <c r="O32" i="55"/>
  <c r="K32" i="55"/>
  <c r="H32" i="55"/>
  <c r="K37" i="55"/>
  <c r="H11" i="55"/>
  <c r="G28" i="55"/>
  <c r="AS28" i="55"/>
  <c r="O6" i="55"/>
  <c r="AW40" i="55"/>
  <c r="G7" i="55"/>
  <c r="O11" i="55"/>
  <c r="O12" i="55"/>
  <c r="K12" i="55"/>
  <c r="AQ13" i="55"/>
  <c r="H14" i="55"/>
  <c r="O14" i="55"/>
  <c r="M14" i="55"/>
  <c r="O18" i="55"/>
  <c r="K18" i="55"/>
  <c r="H18" i="55"/>
  <c r="M32" i="55"/>
  <c r="H6" i="55"/>
  <c r="G8" i="55"/>
  <c r="H9" i="55"/>
  <c r="M12" i="55"/>
  <c r="O15" i="55"/>
  <c r="M15" i="55"/>
  <c r="K15" i="55"/>
  <c r="M25" i="55"/>
  <c r="K25" i="55"/>
  <c r="G30" i="55"/>
  <c r="AS30" i="55"/>
  <c r="AS31" i="55"/>
  <c r="G31" i="55"/>
  <c r="AS38" i="55"/>
  <c r="E40" i="55"/>
  <c r="F47" i="55" s="1"/>
  <c r="K6" i="55"/>
  <c r="AY40" i="55"/>
  <c r="M7" i="55"/>
  <c r="AR7" i="55" s="1"/>
  <c r="O8" i="55"/>
  <c r="K8" i="55"/>
  <c r="AR8" i="55" s="1"/>
  <c r="M9" i="55"/>
  <c r="G10" i="55"/>
  <c r="G16" i="55"/>
  <c r="M27" i="55"/>
  <c r="K27" i="55"/>
  <c r="K31" i="55"/>
  <c r="O31" i="55"/>
  <c r="AR31" i="55" s="1"/>
  <c r="M31" i="55"/>
  <c r="O36" i="55"/>
  <c r="K36" i="55"/>
  <c r="H36" i="55"/>
  <c r="M6" i="55"/>
  <c r="AZ6" i="55"/>
  <c r="M8" i="55"/>
  <c r="O9" i="55"/>
  <c r="O10" i="55"/>
  <c r="K10" i="55"/>
  <c r="M11" i="55"/>
  <c r="K16" i="55"/>
  <c r="O16" i="55"/>
  <c r="M16" i="55"/>
  <c r="AS16" i="55"/>
  <c r="G24" i="55"/>
  <c r="AS24" i="55"/>
  <c r="O25" i="55"/>
  <c r="K26" i="55"/>
  <c r="O26" i="55"/>
  <c r="H26" i="55"/>
  <c r="O29" i="55"/>
  <c r="O37" i="55"/>
  <c r="AX40" i="55"/>
  <c r="BF40" i="55"/>
  <c r="M17" i="55"/>
  <c r="K19" i="55"/>
  <c r="O19" i="55"/>
  <c r="M19" i="55"/>
  <c r="O20" i="55"/>
  <c r="K21" i="55"/>
  <c r="O21" i="55"/>
  <c r="M21" i="55"/>
  <c r="O22" i="55"/>
  <c r="K23" i="55"/>
  <c r="O23" i="55"/>
  <c r="M23" i="55"/>
  <c r="H25" i="55"/>
  <c r="H27" i="55"/>
  <c r="H29" i="55"/>
  <c r="K33" i="55"/>
  <c r="O33" i="55"/>
  <c r="M33" i="55"/>
  <c r="M37" i="55"/>
  <c r="H17" i="55"/>
  <c r="G19" i="55"/>
  <c r="AS19" i="55"/>
  <c r="G21" i="55"/>
  <c r="AS21" i="55"/>
  <c r="O24" i="55"/>
  <c r="K24" i="55"/>
  <c r="M24" i="55"/>
  <c r="O28" i="55"/>
  <c r="K28" i="55"/>
  <c r="M28" i="55"/>
  <c r="O30" i="55"/>
  <c r="K30" i="55"/>
  <c r="M30" i="55"/>
  <c r="M29" i="55"/>
  <c r="H34" i="55"/>
  <c r="M35" i="55"/>
  <c r="H37" i="55"/>
  <c r="M38" i="55"/>
  <c r="G10" i="54"/>
  <c r="AS10" i="54"/>
  <c r="G8" i="54"/>
  <c r="AS8" i="54"/>
  <c r="G12" i="54"/>
  <c r="AS12" i="54"/>
  <c r="AS13" i="54"/>
  <c r="G13" i="54"/>
  <c r="AQ13" i="54"/>
  <c r="AS7" i="54"/>
  <c r="G18" i="54"/>
  <c r="AS18" i="54"/>
  <c r="G32" i="54"/>
  <c r="AS32" i="54"/>
  <c r="O30" i="54"/>
  <c r="M30" i="54"/>
  <c r="K30" i="54"/>
  <c r="F40" i="54"/>
  <c r="AZ6" i="54"/>
  <c r="O9" i="54"/>
  <c r="O11" i="54"/>
  <c r="O15" i="54"/>
  <c r="K15" i="54"/>
  <c r="H27" i="54"/>
  <c r="O28" i="54"/>
  <c r="M28" i="54"/>
  <c r="K28" i="54"/>
  <c r="H30" i="54"/>
  <c r="H35" i="54"/>
  <c r="O36" i="54"/>
  <c r="M36" i="54"/>
  <c r="K36" i="54"/>
  <c r="AS29" i="54"/>
  <c r="G29" i="54"/>
  <c r="H6" i="54"/>
  <c r="AX40" i="54"/>
  <c r="BF40" i="54"/>
  <c r="O8" i="54"/>
  <c r="AQ8" i="54" s="1"/>
  <c r="K9" i="54"/>
  <c r="O10" i="54"/>
  <c r="AR10" i="54" s="1"/>
  <c r="K11" i="54"/>
  <c r="O12" i="54"/>
  <c r="H22" i="54"/>
  <c r="O24" i="54"/>
  <c r="M24" i="54"/>
  <c r="K24" i="54"/>
  <c r="K25" i="54"/>
  <c r="H38" i="54"/>
  <c r="H9" i="54"/>
  <c r="H11" i="54"/>
  <c r="G20" i="54"/>
  <c r="AS20" i="54"/>
  <c r="AS24" i="54"/>
  <c r="E40" i="54"/>
  <c r="F47" i="54" s="1"/>
  <c r="K6" i="54"/>
  <c r="H14" i="54"/>
  <c r="K14" i="54"/>
  <c r="H15" i="54"/>
  <c r="O18" i="54"/>
  <c r="M18" i="54"/>
  <c r="K18" i="54"/>
  <c r="H25" i="54"/>
  <c r="K27" i="54"/>
  <c r="H28" i="54"/>
  <c r="O32" i="54"/>
  <c r="M32" i="54"/>
  <c r="K32" i="54"/>
  <c r="K35" i="54"/>
  <c r="H36" i="54"/>
  <c r="H34" i="54"/>
  <c r="H37" i="54"/>
  <c r="M38" i="54"/>
  <c r="H16" i="54"/>
  <c r="H17" i="54"/>
  <c r="H19" i="54"/>
  <c r="O20" i="54"/>
  <c r="H21" i="54"/>
  <c r="O22" i="54"/>
  <c r="H23" i="54"/>
  <c r="O25" i="54"/>
  <c r="H26" i="54"/>
  <c r="O27" i="54"/>
  <c r="O29" i="54"/>
  <c r="H31" i="54"/>
  <c r="K34" i="54"/>
  <c r="O35" i="54"/>
  <c r="K37" i="54"/>
  <c r="O38" i="54"/>
  <c r="G12" i="53"/>
  <c r="AS12" i="53"/>
  <c r="G8" i="53"/>
  <c r="AS8" i="53"/>
  <c r="G16" i="53"/>
  <c r="AS16" i="53"/>
  <c r="O7" i="53"/>
  <c r="F40" i="53"/>
  <c r="AS9" i="53"/>
  <c r="G9" i="53"/>
  <c r="O10" i="53"/>
  <c r="K10" i="53"/>
  <c r="M10" i="53"/>
  <c r="O13" i="53"/>
  <c r="O18" i="53"/>
  <c r="H18" i="53"/>
  <c r="M18" i="53"/>
  <c r="G21" i="53"/>
  <c r="K31" i="53"/>
  <c r="M31" i="53"/>
  <c r="O31" i="53"/>
  <c r="K9" i="53"/>
  <c r="O9" i="53"/>
  <c r="M9" i="53"/>
  <c r="K21" i="53"/>
  <c r="M21" i="53"/>
  <c r="O21" i="53"/>
  <c r="G22" i="53"/>
  <c r="AR25" i="53"/>
  <c r="G25" i="53"/>
  <c r="AS25" i="53"/>
  <c r="E40" i="53"/>
  <c r="F47" i="53" s="1"/>
  <c r="M6" i="53"/>
  <c r="O6" i="53"/>
  <c r="AY40" i="53"/>
  <c r="O8" i="53"/>
  <c r="K8" i="53"/>
  <c r="M8" i="53"/>
  <c r="O12" i="53"/>
  <c r="K12" i="53"/>
  <c r="M12" i="53"/>
  <c r="H14" i="53"/>
  <c r="M14" i="53"/>
  <c r="O14" i="53"/>
  <c r="K16" i="53"/>
  <c r="M16" i="53"/>
  <c r="O16" i="53"/>
  <c r="AS17" i="53"/>
  <c r="G17" i="53"/>
  <c r="AS21" i="53"/>
  <c r="AS23" i="53"/>
  <c r="G23" i="53"/>
  <c r="K24" i="53"/>
  <c r="K28" i="53"/>
  <c r="K30" i="53"/>
  <c r="AZ6" i="53"/>
  <c r="H7" i="53"/>
  <c r="K7" i="53"/>
  <c r="H10" i="53"/>
  <c r="K11" i="53"/>
  <c r="O11" i="53"/>
  <c r="M11" i="53"/>
  <c r="H13" i="53"/>
  <c r="K13" i="53"/>
  <c r="K17" i="53"/>
  <c r="M17" i="53"/>
  <c r="O17" i="53"/>
  <c r="K18" i="53"/>
  <c r="K23" i="53"/>
  <c r="M23" i="53"/>
  <c r="O23" i="53"/>
  <c r="H31" i="53"/>
  <c r="O32" i="53"/>
  <c r="K33" i="53"/>
  <c r="M33" i="53"/>
  <c r="H33" i="53"/>
  <c r="M34" i="53"/>
  <c r="O34" i="53"/>
  <c r="K34" i="53"/>
  <c r="M37" i="53"/>
  <c r="O37" i="53"/>
  <c r="K37" i="53"/>
  <c r="AS38" i="53"/>
  <c r="O15" i="53"/>
  <c r="K15" i="53"/>
  <c r="O24" i="53"/>
  <c r="K26" i="53"/>
  <c r="M26" i="53"/>
  <c r="H26" i="53"/>
  <c r="O33" i="53"/>
  <c r="AS36" i="53"/>
  <c r="D40" i="53"/>
  <c r="H6" i="53"/>
  <c r="AX40" i="53"/>
  <c r="BF40" i="53"/>
  <c r="H19" i="53"/>
  <c r="AS20" i="53"/>
  <c r="O28" i="53"/>
  <c r="O30" i="53"/>
  <c r="H32" i="53"/>
  <c r="M32" i="53"/>
  <c r="H34" i="53"/>
  <c r="G35" i="53"/>
  <c r="O36" i="53"/>
  <c r="H37" i="53"/>
  <c r="G38" i="53"/>
  <c r="H24" i="53"/>
  <c r="H28" i="53"/>
  <c r="K29" i="53"/>
  <c r="H30" i="53"/>
  <c r="K35" i="53"/>
  <c r="AQ35" i="53" s="1"/>
  <c r="K38" i="53"/>
  <c r="G15" i="52"/>
  <c r="AS15" i="52"/>
  <c r="AS8" i="52"/>
  <c r="AS10" i="52"/>
  <c r="G10" i="52"/>
  <c r="AS37" i="52"/>
  <c r="G37" i="52"/>
  <c r="D40" i="52"/>
  <c r="H6" i="52"/>
  <c r="AX40" i="52"/>
  <c r="BF40" i="52"/>
  <c r="H7" i="52"/>
  <c r="O8" i="52"/>
  <c r="K9" i="52"/>
  <c r="O10" i="52"/>
  <c r="K11" i="52"/>
  <c r="O12" i="52"/>
  <c r="H13" i="52"/>
  <c r="AS22" i="52"/>
  <c r="AS31" i="52"/>
  <c r="G34" i="52"/>
  <c r="M37" i="52"/>
  <c r="K37" i="52"/>
  <c r="O37" i="52"/>
  <c r="AS29" i="52"/>
  <c r="G29" i="52"/>
  <c r="K6" i="52"/>
  <c r="AY40" i="52"/>
  <c r="M9" i="52"/>
  <c r="M11" i="52"/>
  <c r="H14" i="52"/>
  <c r="K14" i="52"/>
  <c r="G19" i="52"/>
  <c r="O24" i="52"/>
  <c r="O28" i="52"/>
  <c r="M32" i="52"/>
  <c r="M34" i="52"/>
  <c r="K34" i="52"/>
  <c r="O34" i="52"/>
  <c r="AS35" i="52"/>
  <c r="O36" i="52"/>
  <c r="H9" i="52"/>
  <c r="H11" i="52"/>
  <c r="F40" i="52"/>
  <c r="AZ6" i="52"/>
  <c r="O15" i="52"/>
  <c r="M15" i="52"/>
  <c r="K15" i="52"/>
  <c r="O18" i="52"/>
  <c r="M18" i="52"/>
  <c r="K18" i="52"/>
  <c r="G25" i="52"/>
  <c r="AS27" i="52"/>
  <c r="G27" i="52"/>
  <c r="O30" i="52"/>
  <c r="O32" i="52"/>
  <c r="AS34" i="52"/>
  <c r="H24" i="52"/>
  <c r="H28" i="52"/>
  <c r="K29" i="52"/>
  <c r="AQ29" i="52" s="1"/>
  <c r="H30" i="52"/>
  <c r="M31" i="52"/>
  <c r="AQ31" i="52" s="1"/>
  <c r="H32" i="52"/>
  <c r="M33" i="52"/>
  <c r="AQ33" i="52" s="1"/>
  <c r="K35" i="52"/>
  <c r="H36" i="52"/>
  <c r="K38" i="52"/>
  <c r="H16" i="52"/>
  <c r="H17" i="52"/>
  <c r="O20" i="52"/>
  <c r="H21" i="52"/>
  <c r="O22" i="52"/>
  <c r="AQ22" i="52" s="1"/>
  <c r="H23" i="52"/>
  <c r="M24" i="52"/>
  <c r="O25" i="52"/>
  <c r="H26" i="52"/>
  <c r="O27" i="52"/>
  <c r="M28" i="52"/>
  <c r="O29" i="52"/>
  <c r="M30" i="52"/>
  <c r="O35" i="52"/>
  <c r="O38" i="52"/>
  <c r="O6" i="51"/>
  <c r="K6" i="51"/>
  <c r="D40" i="51"/>
  <c r="M6" i="51"/>
  <c r="G7" i="51"/>
  <c r="AS7" i="51"/>
  <c r="O11" i="51"/>
  <c r="AS13" i="51"/>
  <c r="O15" i="51"/>
  <c r="M15" i="51"/>
  <c r="H15" i="51"/>
  <c r="M20" i="51"/>
  <c r="K20" i="51"/>
  <c r="K23" i="51"/>
  <c r="O23" i="51"/>
  <c r="H23" i="51"/>
  <c r="G24" i="51"/>
  <c r="AS24" i="51"/>
  <c r="G28" i="51"/>
  <c r="AS28" i="51"/>
  <c r="O7" i="51"/>
  <c r="K7" i="51"/>
  <c r="M7" i="51"/>
  <c r="O8" i="51"/>
  <c r="AS8" i="51"/>
  <c r="H9" i="51"/>
  <c r="K9" i="51"/>
  <c r="O12" i="51"/>
  <c r="AY40" i="51"/>
  <c r="O13" i="51"/>
  <c r="K13" i="51"/>
  <c r="M13" i="51"/>
  <c r="K21" i="51"/>
  <c r="O21" i="51"/>
  <c r="H21" i="51"/>
  <c r="AS27" i="51"/>
  <c r="G27" i="51"/>
  <c r="G30" i="51"/>
  <c r="AS30" i="51"/>
  <c r="AS18" i="51"/>
  <c r="M22" i="51"/>
  <c r="K22" i="51"/>
  <c r="G29" i="51"/>
  <c r="K31" i="51"/>
  <c r="O31" i="51"/>
  <c r="H31" i="51"/>
  <c r="G32" i="51"/>
  <c r="H6" i="51"/>
  <c r="AW40" i="51"/>
  <c r="BF40" i="51"/>
  <c r="G8" i="51"/>
  <c r="H11" i="51"/>
  <c r="K15" i="51"/>
  <c r="K19" i="51"/>
  <c r="O19" i="51"/>
  <c r="H19" i="51"/>
  <c r="O20" i="51"/>
  <c r="M23" i="51"/>
  <c r="AS25" i="51"/>
  <c r="G25" i="51"/>
  <c r="BP34" i="51"/>
  <c r="BJ6" i="51"/>
  <c r="BJ40" i="51" s="1"/>
  <c r="K33" i="51"/>
  <c r="O33" i="51"/>
  <c r="M33" i="51"/>
  <c r="G36" i="51"/>
  <c r="AS36" i="51"/>
  <c r="E40" i="51"/>
  <c r="F47" i="51" s="1"/>
  <c r="M9" i="51"/>
  <c r="H10" i="51"/>
  <c r="M11" i="51"/>
  <c r="H12" i="51"/>
  <c r="H14" i="51"/>
  <c r="K14" i="51"/>
  <c r="H16" i="51"/>
  <c r="O17" i="51"/>
  <c r="O18" i="51"/>
  <c r="K18" i="51"/>
  <c r="M18" i="51"/>
  <c r="O25" i="51"/>
  <c r="AR25" i="51" s="1"/>
  <c r="K26" i="51"/>
  <c r="O26" i="51"/>
  <c r="M26" i="51"/>
  <c r="O27" i="51"/>
  <c r="O32" i="51"/>
  <c r="K32" i="51"/>
  <c r="M32" i="51"/>
  <c r="M34" i="51"/>
  <c r="K34" i="51"/>
  <c r="O36" i="51"/>
  <c r="K36" i="51"/>
  <c r="M36" i="51"/>
  <c r="O37" i="51"/>
  <c r="H38" i="51"/>
  <c r="K38" i="51"/>
  <c r="AS35" i="51"/>
  <c r="O14" i="51"/>
  <c r="O16" i="51"/>
  <c r="H17" i="51"/>
  <c r="H20" i="51"/>
  <c r="H22" i="51"/>
  <c r="O24" i="51"/>
  <c r="K24" i="51"/>
  <c r="M24" i="51"/>
  <c r="O28" i="51"/>
  <c r="K28" i="51"/>
  <c r="M28" i="51"/>
  <c r="O30" i="51"/>
  <c r="K30" i="51"/>
  <c r="M30" i="51"/>
  <c r="H33" i="51"/>
  <c r="M29" i="51"/>
  <c r="H34" i="51"/>
  <c r="M35" i="51"/>
  <c r="AQ35" i="51" s="1"/>
  <c r="H37" i="51"/>
  <c r="M38" i="51"/>
  <c r="AS11" i="50"/>
  <c r="G11" i="50"/>
  <c r="AS13" i="50"/>
  <c r="G13" i="50"/>
  <c r="AS7" i="50"/>
  <c r="G7" i="50"/>
  <c r="G15" i="50"/>
  <c r="AS15" i="50"/>
  <c r="G18" i="50"/>
  <c r="AS18" i="50"/>
  <c r="G32" i="50"/>
  <c r="AS32" i="50"/>
  <c r="O30" i="50"/>
  <c r="M30" i="50"/>
  <c r="K30" i="50"/>
  <c r="E40" i="50"/>
  <c r="F47" i="50" s="1"/>
  <c r="K6" i="50"/>
  <c r="K7" i="50"/>
  <c r="AR7" i="50" s="1"/>
  <c r="H8" i="50"/>
  <c r="H10" i="50"/>
  <c r="H12" i="50"/>
  <c r="K13" i="50"/>
  <c r="H14" i="50"/>
  <c r="K14" i="50"/>
  <c r="H27" i="50"/>
  <c r="O28" i="50"/>
  <c r="M28" i="50"/>
  <c r="K28" i="50"/>
  <c r="H30" i="50"/>
  <c r="H35" i="50"/>
  <c r="O36" i="50"/>
  <c r="M36" i="50"/>
  <c r="K36" i="50"/>
  <c r="AZ6" i="50"/>
  <c r="O15" i="50"/>
  <c r="K15" i="50"/>
  <c r="O6" i="50"/>
  <c r="AW40" i="50"/>
  <c r="M8" i="50"/>
  <c r="H9" i="50"/>
  <c r="M10" i="50"/>
  <c r="M12" i="50"/>
  <c r="O13" i="50"/>
  <c r="O14" i="50"/>
  <c r="M15" i="50"/>
  <c r="H22" i="50"/>
  <c r="O24" i="50"/>
  <c r="M24" i="50"/>
  <c r="K24" i="50"/>
  <c r="K25" i="50"/>
  <c r="H38" i="50"/>
  <c r="D40" i="50"/>
  <c r="G20" i="50"/>
  <c r="G24" i="50"/>
  <c r="AS24" i="50"/>
  <c r="AQ31" i="50"/>
  <c r="AX40" i="50"/>
  <c r="BF40" i="50"/>
  <c r="O18" i="50"/>
  <c r="M18" i="50"/>
  <c r="K18" i="50"/>
  <c r="H25" i="50"/>
  <c r="K27" i="50"/>
  <c r="H28" i="50"/>
  <c r="O32" i="50"/>
  <c r="M32" i="50"/>
  <c r="K32" i="50"/>
  <c r="AS33" i="50"/>
  <c r="G33" i="50"/>
  <c r="H36" i="50"/>
  <c r="H34" i="50"/>
  <c r="M35" i="50"/>
  <c r="H37" i="50"/>
  <c r="M38" i="50"/>
  <c r="H16" i="50"/>
  <c r="H17" i="50"/>
  <c r="O20" i="50"/>
  <c r="AR20" i="50" s="1"/>
  <c r="H21" i="50"/>
  <c r="O22" i="50"/>
  <c r="H23" i="50"/>
  <c r="O25" i="50"/>
  <c r="H26" i="50"/>
  <c r="O27" i="50"/>
  <c r="O29" i="50"/>
  <c r="K34" i="50"/>
  <c r="O35" i="50"/>
  <c r="K37" i="50"/>
  <c r="O38" i="50"/>
  <c r="G13" i="49"/>
  <c r="G6" i="49"/>
  <c r="G7" i="49"/>
  <c r="AS7" i="49"/>
  <c r="BF40" i="49"/>
  <c r="G18" i="49"/>
  <c r="AS18" i="49"/>
  <c r="AS20" i="49"/>
  <c r="G20" i="49"/>
  <c r="O9" i="49"/>
  <c r="O11" i="49"/>
  <c r="O18" i="49"/>
  <c r="M18" i="49"/>
  <c r="K18" i="49"/>
  <c r="K23" i="49"/>
  <c r="M23" i="49"/>
  <c r="O23" i="49"/>
  <c r="H23" i="49"/>
  <c r="D40" i="49"/>
  <c r="M6" i="49"/>
  <c r="O6" i="49"/>
  <c r="K6" i="49"/>
  <c r="M7" i="49"/>
  <c r="O7" i="49"/>
  <c r="K7" i="49"/>
  <c r="K8" i="49"/>
  <c r="M8" i="49"/>
  <c r="H8" i="49"/>
  <c r="K10" i="49"/>
  <c r="M10" i="49"/>
  <c r="H10" i="49"/>
  <c r="K12" i="49"/>
  <c r="M12" i="49"/>
  <c r="H12" i="49"/>
  <c r="G15" i="49"/>
  <c r="K16" i="49"/>
  <c r="M16" i="49"/>
  <c r="O16" i="49"/>
  <c r="H16" i="49"/>
  <c r="G19" i="49"/>
  <c r="G26" i="49"/>
  <c r="E40" i="49"/>
  <c r="F47" i="49" s="1"/>
  <c r="AY40" i="49"/>
  <c r="O8" i="49"/>
  <c r="O10" i="49"/>
  <c r="O12" i="49"/>
  <c r="M13" i="49"/>
  <c r="O13" i="49"/>
  <c r="K13" i="49"/>
  <c r="H14" i="49"/>
  <c r="M14" i="49"/>
  <c r="O14" i="49"/>
  <c r="K14" i="49"/>
  <c r="K19" i="49"/>
  <c r="M19" i="49"/>
  <c r="O19" i="49"/>
  <c r="K26" i="49"/>
  <c r="M26" i="49"/>
  <c r="O26" i="49"/>
  <c r="G29" i="49"/>
  <c r="AR25" i="49"/>
  <c r="BJ6" i="49"/>
  <c r="BJ40" i="49" s="1"/>
  <c r="H9" i="49"/>
  <c r="H11" i="49"/>
  <c r="H17" i="49"/>
  <c r="K21" i="49"/>
  <c r="M21" i="49"/>
  <c r="H21" i="49"/>
  <c r="AS22" i="49"/>
  <c r="AS25" i="49"/>
  <c r="K31" i="49"/>
  <c r="M31" i="49"/>
  <c r="H31" i="49"/>
  <c r="O32" i="49"/>
  <c r="K33" i="49"/>
  <c r="M33" i="49"/>
  <c r="H33" i="49"/>
  <c r="M34" i="49"/>
  <c r="O34" i="49"/>
  <c r="K34" i="49"/>
  <c r="M37" i="49"/>
  <c r="O37" i="49"/>
  <c r="K37" i="49"/>
  <c r="AS38" i="49"/>
  <c r="O15" i="49"/>
  <c r="K15" i="49"/>
  <c r="G22" i="49"/>
  <c r="O28" i="49"/>
  <c r="O30" i="49"/>
  <c r="H32" i="49"/>
  <c r="M32" i="49"/>
  <c r="H34" i="49"/>
  <c r="G35" i="49"/>
  <c r="O36" i="49"/>
  <c r="AQ36" i="49" s="1"/>
  <c r="H37" i="49"/>
  <c r="G38" i="49"/>
  <c r="H24" i="49"/>
  <c r="H28" i="49"/>
  <c r="K29" i="49"/>
  <c r="H30" i="49"/>
  <c r="K35" i="49"/>
  <c r="AR35" i="49" s="1"/>
  <c r="K38" i="49"/>
  <c r="AQ38" i="49" s="1"/>
  <c r="E40" i="48"/>
  <c r="F47" i="48" s="1"/>
  <c r="AQ27" i="48"/>
  <c r="D40" i="48"/>
  <c r="M14" i="48"/>
  <c r="M22" i="48"/>
  <c r="AR22" i="48" s="1"/>
  <c r="K38" i="48"/>
  <c r="H9" i="48"/>
  <c r="K13" i="48"/>
  <c r="M18" i="48"/>
  <c r="AS22" i="48"/>
  <c r="K25" i="48"/>
  <c r="AR27" i="48"/>
  <c r="K29" i="48"/>
  <c r="K33" i="48"/>
  <c r="O37" i="48"/>
  <c r="K18" i="48"/>
  <c r="H25" i="48"/>
  <c r="G25" i="48" s="1"/>
  <c r="H29" i="48"/>
  <c r="G29" i="48" s="1"/>
  <c r="H33" i="48"/>
  <c r="G33" i="48" s="1"/>
  <c r="AY40" i="48"/>
  <c r="AS11" i="48"/>
  <c r="H6" i="48"/>
  <c r="AX40" i="48"/>
  <c r="BF40" i="48"/>
  <c r="H7" i="48"/>
  <c r="G7" i="48" s="1"/>
  <c r="O8" i="48"/>
  <c r="O10" i="48"/>
  <c r="O12" i="48"/>
  <c r="H13" i="48"/>
  <c r="G13" i="48" s="1"/>
  <c r="O16" i="48"/>
  <c r="K16" i="48"/>
  <c r="H21" i="48"/>
  <c r="G21" i="48" s="1"/>
  <c r="M23" i="48"/>
  <c r="AS25" i="48"/>
  <c r="O28" i="48"/>
  <c r="K28" i="48"/>
  <c r="AS31" i="48"/>
  <c r="AR31" i="48"/>
  <c r="AQ31" i="48"/>
  <c r="H8" i="48"/>
  <c r="G8" i="48" s="1"/>
  <c r="H10" i="48"/>
  <c r="G10" i="48" s="1"/>
  <c r="H12" i="48"/>
  <c r="G12" i="48" s="1"/>
  <c r="O24" i="48"/>
  <c r="K24" i="48"/>
  <c r="AS24" i="48" s="1"/>
  <c r="H26" i="48"/>
  <c r="G26" i="48" s="1"/>
  <c r="AS35" i="48"/>
  <c r="O36" i="48"/>
  <c r="M36" i="48"/>
  <c r="K36" i="48"/>
  <c r="AS36" i="48" s="1"/>
  <c r="F40" i="48"/>
  <c r="M6" i="48"/>
  <c r="AZ6" i="48"/>
  <c r="M7" i="48"/>
  <c r="K8" i="48"/>
  <c r="O9" i="48"/>
  <c r="K10" i="48"/>
  <c r="O11" i="48"/>
  <c r="AR11" i="48" s="1"/>
  <c r="K12" i="48"/>
  <c r="M13" i="48"/>
  <c r="H15" i="48"/>
  <c r="G15" i="48" s="1"/>
  <c r="H18" i="48"/>
  <c r="G18" i="48" s="1"/>
  <c r="H20" i="48"/>
  <c r="G20" i="48" s="1"/>
  <c r="O21" i="48"/>
  <c r="M24" i="48"/>
  <c r="M26" i="48"/>
  <c r="O6" i="48"/>
  <c r="AW40" i="48"/>
  <c r="H14" i="48"/>
  <c r="G14" i="48" s="1"/>
  <c r="H16" i="48"/>
  <c r="G16" i="48" s="1"/>
  <c r="O17" i="48"/>
  <c r="K17" i="48"/>
  <c r="AS17" i="48" s="1"/>
  <c r="H19" i="48"/>
  <c r="G19" i="48" s="1"/>
  <c r="H23" i="48"/>
  <c r="G23" i="48" s="1"/>
  <c r="O26" i="48"/>
  <c r="H28" i="48"/>
  <c r="G28" i="48" s="1"/>
  <c r="AS30" i="48"/>
  <c r="O32" i="48"/>
  <c r="M32" i="48"/>
  <c r="K32" i="48"/>
  <c r="AS32" i="48" s="1"/>
  <c r="M30" i="48"/>
  <c r="H34" i="48"/>
  <c r="G34" i="48" s="1"/>
  <c r="M35" i="48"/>
  <c r="H37" i="48"/>
  <c r="G37" i="48" s="1"/>
  <c r="M38" i="48"/>
  <c r="O30" i="48"/>
  <c r="K34" i="48"/>
  <c r="O35" i="48"/>
  <c r="K37" i="48"/>
  <c r="O38" i="48"/>
  <c r="G36" i="49" l="1"/>
  <c r="AR33" i="50"/>
  <c r="AQ29" i="51"/>
  <c r="AR15" i="53"/>
  <c r="AR38" i="55"/>
  <c r="G15" i="55"/>
  <c r="AR32" i="50"/>
  <c r="AS31" i="50"/>
  <c r="AR13" i="50"/>
  <c r="AR30" i="51"/>
  <c r="G20" i="52"/>
  <c r="AS18" i="52"/>
  <c r="G12" i="52"/>
  <c r="AS15" i="53"/>
  <c r="AR35" i="55"/>
  <c r="G33" i="55"/>
  <c r="G12" i="55"/>
  <c r="AR24" i="56"/>
  <c r="AR32" i="56"/>
  <c r="AS32" i="56"/>
  <c r="AS7" i="56"/>
  <c r="AS27" i="49"/>
  <c r="AR13" i="49"/>
  <c r="AQ7" i="49"/>
  <c r="G33" i="52"/>
  <c r="G11" i="53"/>
  <c r="AS33" i="54"/>
  <c r="AS20" i="55"/>
  <c r="AS35" i="56"/>
  <c r="AR7" i="54"/>
  <c r="AR13" i="54"/>
  <c r="AQ25" i="49"/>
  <c r="AQ23" i="53"/>
  <c r="AQ17" i="53"/>
  <c r="AQ9" i="53"/>
  <c r="AQ15" i="55"/>
  <c r="AQ35" i="48"/>
  <c r="AR29" i="49"/>
  <c r="G31" i="50"/>
  <c r="AR29" i="50"/>
  <c r="AR8" i="51"/>
  <c r="AR35" i="52"/>
  <c r="AQ27" i="52"/>
  <c r="AR31" i="52"/>
  <c r="AR38" i="53"/>
  <c r="AQ36" i="53"/>
  <c r="AR20" i="53"/>
  <c r="AR35" i="53"/>
  <c r="AQ32" i="54"/>
  <c r="AQ18" i="54"/>
  <c r="AR24" i="54"/>
  <c r="AQ28" i="55"/>
  <c r="AR33" i="55"/>
  <c r="AR20" i="55"/>
  <c r="AQ36" i="56"/>
  <c r="AQ25" i="56"/>
  <c r="AQ23" i="55"/>
  <c r="AQ7" i="54"/>
  <c r="AQ20" i="55"/>
  <c r="AR22" i="49"/>
  <c r="AR22" i="53"/>
  <c r="AQ15" i="49"/>
  <c r="AQ24" i="50"/>
  <c r="AQ19" i="50"/>
  <c r="AR32" i="51"/>
  <c r="AR27" i="51"/>
  <c r="AQ18" i="51"/>
  <c r="G26" i="51"/>
  <c r="AR25" i="52"/>
  <c r="AR19" i="52"/>
  <c r="AQ15" i="52"/>
  <c r="AQ29" i="54"/>
  <c r="AQ35" i="56"/>
  <c r="AR7" i="56"/>
  <c r="AS33" i="48"/>
  <c r="AQ22" i="48"/>
  <c r="AQ27" i="49"/>
  <c r="AQ26" i="49"/>
  <c r="H40" i="49"/>
  <c r="AQ18" i="50"/>
  <c r="G29" i="50"/>
  <c r="AR15" i="50"/>
  <c r="AQ11" i="50"/>
  <c r="AR28" i="51"/>
  <c r="AR35" i="51"/>
  <c r="AQ32" i="51"/>
  <c r="AQ26" i="51"/>
  <c r="AR20" i="52"/>
  <c r="AR34" i="52"/>
  <c r="G38" i="52"/>
  <c r="AR22" i="52"/>
  <c r="AR10" i="52"/>
  <c r="AR27" i="53"/>
  <c r="AQ11" i="53"/>
  <c r="AR17" i="53"/>
  <c r="AQ16" i="53"/>
  <c r="AQ8" i="53"/>
  <c r="AQ22" i="53"/>
  <c r="AR9" i="53"/>
  <c r="AR20" i="54"/>
  <c r="AR33" i="54"/>
  <c r="AR32" i="54"/>
  <c r="AR8" i="54"/>
  <c r="AQ24" i="55"/>
  <c r="AS23" i="55"/>
  <c r="AQ21" i="55"/>
  <c r="AR19" i="55"/>
  <c r="AQ16" i="55"/>
  <c r="AQ10" i="55"/>
  <c r="AQ32" i="56"/>
  <c r="AS9" i="56"/>
  <c r="AQ22" i="49"/>
  <c r="AS9" i="48"/>
  <c r="G9" i="48"/>
  <c r="AQ19" i="49"/>
  <c r="AR18" i="50"/>
  <c r="G19" i="50"/>
  <c r="H40" i="50"/>
  <c r="AR36" i="51"/>
  <c r="AQ13" i="51"/>
  <c r="AQ18" i="52"/>
  <c r="M40" i="52"/>
  <c r="AQ12" i="52"/>
  <c r="AQ8" i="52"/>
  <c r="AQ29" i="53"/>
  <c r="AR29" i="53"/>
  <c r="K40" i="53"/>
  <c r="AQ12" i="53"/>
  <c r="AS22" i="53"/>
  <c r="AR21" i="53"/>
  <c r="G33" i="54"/>
  <c r="AQ33" i="55"/>
  <c r="AQ30" i="55"/>
  <c r="G23" i="55"/>
  <c r="AR23" i="55"/>
  <c r="G35" i="55"/>
  <c r="AQ31" i="55"/>
  <c r="AQ35" i="55"/>
  <c r="AQ12" i="55"/>
  <c r="AR28" i="56"/>
  <c r="AR27" i="56"/>
  <c r="AR18" i="56"/>
  <c r="AQ13" i="56"/>
  <c r="AS27" i="53"/>
  <c r="G27" i="53"/>
  <c r="AS29" i="53"/>
  <c r="G29" i="53"/>
  <c r="M40" i="50"/>
  <c r="AS13" i="55"/>
  <c r="G13" i="55"/>
  <c r="AQ24" i="48"/>
  <c r="AR33" i="48"/>
  <c r="AR38" i="48"/>
  <c r="AR19" i="49"/>
  <c r="AQ13" i="49"/>
  <c r="AR7" i="49"/>
  <c r="AR18" i="49"/>
  <c r="AQ29" i="50"/>
  <c r="AQ32" i="50"/>
  <c r="AR19" i="50"/>
  <c r="AR6" i="50"/>
  <c r="AQ15" i="50"/>
  <c r="AQ13" i="50"/>
  <c r="AQ36" i="51"/>
  <c r="AQ24" i="51"/>
  <c r="AR29" i="51"/>
  <c r="AR7" i="51"/>
  <c r="AQ38" i="52"/>
  <c r="AQ25" i="52"/>
  <c r="AR18" i="52"/>
  <c r="AR37" i="52"/>
  <c r="AR11" i="53"/>
  <c r="AR16" i="53"/>
  <c r="AR18" i="54"/>
  <c r="AR12" i="54"/>
  <c r="O40" i="54"/>
  <c r="AR15" i="55"/>
  <c r="AQ38" i="55"/>
  <c r="AR30" i="56"/>
  <c r="AR36" i="56"/>
  <c r="AQ26" i="56"/>
  <c r="AR27" i="49"/>
  <c r="AQ36" i="57"/>
  <c r="AQ34" i="57"/>
  <c r="AR34" i="57"/>
  <c r="AQ33" i="57"/>
  <c r="AR33" i="57"/>
  <c r="AQ26" i="57"/>
  <c r="AR26" i="57"/>
  <c r="AR23" i="57"/>
  <c r="AQ23" i="57"/>
  <c r="AQ30" i="57"/>
  <c r="AR30" i="57"/>
  <c r="AQ31" i="57"/>
  <c r="AR31" i="57"/>
  <c r="AR12" i="57"/>
  <c r="AQ12" i="57"/>
  <c r="AQ6" i="57"/>
  <c r="AQ28" i="57"/>
  <c r="AR28" i="57"/>
  <c r="AQ37" i="57"/>
  <c r="AR37" i="57"/>
  <c r="AQ32" i="57"/>
  <c r="AR32" i="57"/>
  <c r="AR36" i="57"/>
  <c r="AR35" i="57"/>
  <c r="AQ11" i="57"/>
  <c r="AR11" i="57"/>
  <c r="AR27" i="57"/>
  <c r="AQ18" i="57"/>
  <c r="AR18" i="57"/>
  <c r="AQ14" i="57"/>
  <c r="AR14" i="57"/>
  <c r="AQ19" i="57"/>
  <c r="AR10" i="57"/>
  <c r="AQ10" i="57"/>
  <c r="AQ9" i="57"/>
  <c r="AR9" i="57"/>
  <c r="AQ8" i="57"/>
  <c r="AR8" i="57"/>
  <c r="H40" i="57"/>
  <c r="D47" i="57" s="1"/>
  <c r="AQ24" i="57"/>
  <c r="AR24" i="57"/>
  <c r="AR16" i="57"/>
  <c r="AQ16" i="57"/>
  <c r="AQ21" i="57"/>
  <c r="AR21" i="57"/>
  <c r="AR17" i="57"/>
  <c r="AQ17" i="57"/>
  <c r="AQ7" i="57"/>
  <c r="AR7" i="57"/>
  <c r="AR35" i="56"/>
  <c r="AR38" i="56"/>
  <c r="AS38" i="56"/>
  <c r="AQ38" i="56"/>
  <c r="G38" i="56"/>
  <c r="AS14" i="56"/>
  <c r="AR14" i="56"/>
  <c r="G14" i="56"/>
  <c r="AQ14" i="56"/>
  <c r="AR19" i="56"/>
  <c r="G19" i="56"/>
  <c r="AS19" i="56"/>
  <c r="AQ19" i="56"/>
  <c r="AQ30" i="56"/>
  <c r="AR21" i="56"/>
  <c r="G21" i="56"/>
  <c r="AS21" i="56"/>
  <c r="AQ21" i="56"/>
  <c r="AR26" i="56"/>
  <c r="AQ15" i="56"/>
  <c r="G15" i="56"/>
  <c r="AR15" i="56"/>
  <c r="AS15" i="56"/>
  <c r="AQ7" i="56"/>
  <c r="AR25" i="56"/>
  <c r="AQ34" i="56"/>
  <c r="AS34" i="56"/>
  <c r="AR34" i="56"/>
  <c r="G34" i="56"/>
  <c r="AS33" i="56"/>
  <c r="AQ33" i="56"/>
  <c r="G33" i="56"/>
  <c r="AR33" i="56"/>
  <c r="AR22" i="56"/>
  <c r="AQ22" i="56"/>
  <c r="AS22" i="56"/>
  <c r="G22" i="56"/>
  <c r="AS17" i="56"/>
  <c r="AQ17" i="56"/>
  <c r="G17" i="56"/>
  <c r="AR17" i="56"/>
  <c r="AS12" i="56"/>
  <c r="AQ12" i="56"/>
  <c r="G12" i="56"/>
  <c r="AR12" i="56"/>
  <c r="AQ9" i="56"/>
  <c r="AQ28" i="56"/>
  <c r="AS23" i="56"/>
  <c r="AQ23" i="56"/>
  <c r="G23" i="56"/>
  <c r="AR23" i="56"/>
  <c r="M40" i="56"/>
  <c r="O40" i="56"/>
  <c r="AR13" i="56"/>
  <c r="AQ20" i="56"/>
  <c r="AS20" i="56"/>
  <c r="AR20" i="56"/>
  <c r="G20" i="56"/>
  <c r="AR16" i="56"/>
  <c r="AS16" i="56"/>
  <c r="AQ16" i="56"/>
  <c r="G16" i="56"/>
  <c r="AR29" i="56"/>
  <c r="AR11" i="56"/>
  <c r="AQ11" i="56"/>
  <c r="AS11" i="56"/>
  <c r="G11" i="56"/>
  <c r="AQ18" i="56"/>
  <c r="AR9" i="56"/>
  <c r="AQ24" i="56"/>
  <c r="AS31" i="56"/>
  <c r="AQ31" i="56"/>
  <c r="G31" i="56"/>
  <c r="AR31" i="56"/>
  <c r="AZ6" i="56"/>
  <c r="AR37" i="56"/>
  <c r="G37" i="56"/>
  <c r="AS37" i="56"/>
  <c r="AQ37" i="56"/>
  <c r="AR10" i="56"/>
  <c r="AS10" i="56"/>
  <c r="G10" i="56"/>
  <c r="AQ10" i="56"/>
  <c r="G6" i="56"/>
  <c r="H40" i="56"/>
  <c r="AQ6" i="56"/>
  <c r="AR6" i="56"/>
  <c r="D47" i="56"/>
  <c r="AR8" i="56"/>
  <c r="G8" i="56"/>
  <c r="AQ8" i="56"/>
  <c r="AS8" i="56"/>
  <c r="K40" i="56"/>
  <c r="AQ34" i="55"/>
  <c r="AS34" i="55"/>
  <c r="G34" i="55"/>
  <c r="AR34" i="55"/>
  <c r="AR24" i="55"/>
  <c r="AR28" i="55"/>
  <c r="AQ32" i="55"/>
  <c r="G32" i="55"/>
  <c r="AS32" i="55"/>
  <c r="AR32" i="55"/>
  <c r="AR12" i="55"/>
  <c r="AS29" i="55"/>
  <c r="AQ29" i="55"/>
  <c r="G29" i="55"/>
  <c r="AR29" i="55"/>
  <c r="AR36" i="55"/>
  <c r="G36" i="55"/>
  <c r="AQ36" i="55"/>
  <c r="AS36" i="55"/>
  <c r="AQ8" i="55"/>
  <c r="AR22" i="55"/>
  <c r="AQ25" i="55"/>
  <c r="AS25" i="55"/>
  <c r="G25" i="55"/>
  <c r="AR25" i="55"/>
  <c r="M40" i="55"/>
  <c r="AR16" i="55"/>
  <c r="AQ7" i="55"/>
  <c r="AR30" i="55"/>
  <c r="AS9" i="55"/>
  <c r="AQ9" i="55"/>
  <c r="AR9" i="55"/>
  <c r="G9" i="55"/>
  <c r="AR6" i="55"/>
  <c r="AQ6" i="55"/>
  <c r="H40" i="55"/>
  <c r="G6" i="55"/>
  <c r="AQ18" i="55"/>
  <c r="G18" i="55"/>
  <c r="AS18" i="55"/>
  <c r="AR18" i="55"/>
  <c r="AQ19" i="55"/>
  <c r="AR26" i="55"/>
  <c r="G26" i="55"/>
  <c r="AQ26" i="55"/>
  <c r="AS26" i="55"/>
  <c r="AS11" i="55"/>
  <c r="AR11" i="55"/>
  <c r="AQ11" i="55"/>
  <c r="G11" i="55"/>
  <c r="AR10" i="55"/>
  <c r="AR37" i="55"/>
  <c r="G37" i="55"/>
  <c r="AQ37" i="55"/>
  <c r="AS37" i="55"/>
  <c r="AQ22" i="55"/>
  <c r="AR21" i="55"/>
  <c r="AS17" i="55"/>
  <c r="AR17" i="55"/>
  <c r="AQ17" i="55"/>
  <c r="G17" i="55"/>
  <c r="AS27" i="55"/>
  <c r="AQ27" i="55"/>
  <c r="G27" i="55"/>
  <c r="AR27" i="55"/>
  <c r="AZ40" i="55"/>
  <c r="C47" i="55" s="1"/>
  <c r="BD6" i="55"/>
  <c r="BD40" i="55" s="1"/>
  <c r="K40" i="55"/>
  <c r="D47" i="55"/>
  <c r="AS14" i="55"/>
  <c r="AR14" i="55"/>
  <c r="G14" i="55"/>
  <c r="AQ14" i="55"/>
  <c r="O40" i="55"/>
  <c r="AS37" i="54"/>
  <c r="AR37" i="54"/>
  <c r="AQ37" i="54"/>
  <c r="G37" i="54"/>
  <c r="AZ40" i="54"/>
  <c r="C47" i="54" s="1"/>
  <c r="BD6" i="54"/>
  <c r="BD40" i="54" s="1"/>
  <c r="AS26" i="54"/>
  <c r="AR26" i="54"/>
  <c r="G26" i="54"/>
  <c r="AQ26" i="54"/>
  <c r="AQ28" i="54"/>
  <c r="G28" i="54"/>
  <c r="AS28" i="54"/>
  <c r="AR28" i="54"/>
  <c r="AQ15" i="54"/>
  <c r="G15" i="54"/>
  <c r="AS15" i="54"/>
  <c r="AR15" i="54"/>
  <c r="AQ20" i="54"/>
  <c r="H40" i="54"/>
  <c r="AQ6" i="54"/>
  <c r="G6" i="54"/>
  <c r="AR6" i="54"/>
  <c r="AR29" i="54"/>
  <c r="AS35" i="54"/>
  <c r="AR35" i="54"/>
  <c r="G35" i="54"/>
  <c r="AQ35" i="54"/>
  <c r="AZ85" i="54"/>
  <c r="AS19" i="54"/>
  <c r="AR19" i="54"/>
  <c r="AQ19" i="54"/>
  <c r="G19" i="54"/>
  <c r="AS11" i="54"/>
  <c r="AQ11" i="54"/>
  <c r="G11" i="54"/>
  <c r="AR11" i="54"/>
  <c r="AQ30" i="54"/>
  <c r="G30" i="54"/>
  <c r="AS30" i="54"/>
  <c r="AR30" i="54"/>
  <c r="AS21" i="54"/>
  <c r="AR21" i="54"/>
  <c r="G21" i="54"/>
  <c r="AQ21" i="54"/>
  <c r="AS17" i="54"/>
  <c r="AR17" i="54"/>
  <c r="G17" i="54"/>
  <c r="AQ17" i="54"/>
  <c r="AQ34" i="54"/>
  <c r="AS34" i="54"/>
  <c r="G34" i="54"/>
  <c r="AR34" i="54"/>
  <c r="AQ25" i="54"/>
  <c r="G25" i="54"/>
  <c r="AS25" i="54"/>
  <c r="AR25" i="54"/>
  <c r="AS14" i="54"/>
  <c r="G14" i="54"/>
  <c r="AQ14" i="54"/>
  <c r="AR14" i="54"/>
  <c r="AQ24" i="54"/>
  <c r="AS9" i="54"/>
  <c r="AR9" i="54"/>
  <c r="AQ9" i="54"/>
  <c r="G9" i="54"/>
  <c r="AR22" i="54"/>
  <c r="AQ22" i="54"/>
  <c r="G22" i="54"/>
  <c r="AS22" i="54"/>
  <c r="AS27" i="54"/>
  <c r="AR27" i="54"/>
  <c r="G27" i="54"/>
  <c r="AQ27" i="54"/>
  <c r="M40" i="54"/>
  <c r="AQ12" i="54"/>
  <c r="D47" i="54"/>
  <c r="AQ10" i="54"/>
  <c r="AS31" i="54"/>
  <c r="AR31" i="54"/>
  <c r="AQ31" i="54"/>
  <c r="G31" i="54"/>
  <c r="AS23" i="54"/>
  <c r="AR23" i="54"/>
  <c r="AQ23" i="54"/>
  <c r="G23" i="54"/>
  <c r="AR16" i="54"/>
  <c r="AQ16" i="54"/>
  <c r="AS16" i="54"/>
  <c r="G16" i="54"/>
  <c r="AR36" i="54"/>
  <c r="G36" i="54"/>
  <c r="AQ36" i="54"/>
  <c r="AS36" i="54"/>
  <c r="K40" i="54"/>
  <c r="AR38" i="54"/>
  <c r="AQ38" i="54"/>
  <c r="G38" i="54"/>
  <c r="AS38" i="54"/>
  <c r="AQ28" i="53"/>
  <c r="G28" i="53"/>
  <c r="AR28" i="53"/>
  <c r="AS28" i="53"/>
  <c r="AQ19" i="53"/>
  <c r="AS19" i="53"/>
  <c r="AR19" i="53"/>
  <c r="G19" i="53"/>
  <c r="AQ38" i="53"/>
  <c r="AQ26" i="53"/>
  <c r="AS26" i="53"/>
  <c r="AR26" i="53"/>
  <c r="G26" i="53"/>
  <c r="AS13" i="53"/>
  <c r="AQ13" i="53"/>
  <c r="AR13" i="53"/>
  <c r="G13" i="53"/>
  <c r="H40" i="53"/>
  <c r="D47" i="53" s="1"/>
  <c r="AR6" i="53"/>
  <c r="AQ6" i="53"/>
  <c r="G6" i="53"/>
  <c r="AS33" i="53"/>
  <c r="G33" i="53"/>
  <c r="AR33" i="53"/>
  <c r="AQ33" i="53"/>
  <c r="AS7" i="53"/>
  <c r="AQ7" i="53"/>
  <c r="AR7" i="53"/>
  <c r="G7" i="53"/>
  <c r="AR12" i="53"/>
  <c r="AQ30" i="53"/>
  <c r="G30" i="53"/>
  <c r="AR30" i="53"/>
  <c r="AS30" i="53"/>
  <c r="AQ15" i="53"/>
  <c r="AQ10" i="53"/>
  <c r="G10" i="53"/>
  <c r="AS10" i="53"/>
  <c r="AR10" i="53"/>
  <c r="AZ40" i="53"/>
  <c r="C47" i="53" s="1"/>
  <c r="BD6" i="53"/>
  <c r="AS14" i="53"/>
  <c r="G14" i="53"/>
  <c r="AQ14" i="53"/>
  <c r="AR14" i="53"/>
  <c r="O40" i="53"/>
  <c r="AQ21" i="53"/>
  <c r="AQ34" i="53"/>
  <c r="AR34" i="53"/>
  <c r="G34" i="53"/>
  <c r="AS34" i="53"/>
  <c r="AQ18" i="53"/>
  <c r="G18" i="53"/>
  <c r="AR18" i="53"/>
  <c r="AS18" i="53"/>
  <c r="G24" i="53"/>
  <c r="AQ24" i="53"/>
  <c r="AR24" i="53"/>
  <c r="AS24" i="53"/>
  <c r="AR8" i="53"/>
  <c r="AQ37" i="53"/>
  <c r="G37" i="53"/>
  <c r="AR37" i="53"/>
  <c r="AS37" i="53"/>
  <c r="AQ32" i="53"/>
  <c r="G32" i="53"/>
  <c r="AR32" i="53"/>
  <c r="AS32" i="53"/>
  <c r="AR36" i="53"/>
  <c r="AS31" i="53"/>
  <c r="G31" i="53"/>
  <c r="AR31" i="53"/>
  <c r="AQ31" i="53"/>
  <c r="AR23" i="53"/>
  <c r="M40" i="53"/>
  <c r="AS23" i="52"/>
  <c r="AR23" i="52"/>
  <c r="G23" i="52"/>
  <c r="AQ23" i="52"/>
  <c r="AQ32" i="52"/>
  <c r="G32" i="52"/>
  <c r="AR32" i="52"/>
  <c r="AS32" i="52"/>
  <c r="AQ9" i="52"/>
  <c r="G9" i="52"/>
  <c r="AR9" i="52"/>
  <c r="AS9" i="52"/>
  <c r="AS14" i="52"/>
  <c r="AQ14" i="52"/>
  <c r="G14" i="52"/>
  <c r="AR14" i="52"/>
  <c r="AR38" i="52"/>
  <c r="AQ13" i="52"/>
  <c r="AR13" i="52"/>
  <c r="G13" i="52"/>
  <c r="AS13" i="52"/>
  <c r="AQ10" i="52"/>
  <c r="AS21" i="52"/>
  <c r="AQ21" i="52"/>
  <c r="AR21" i="52"/>
  <c r="G21" i="52"/>
  <c r="AR16" i="52"/>
  <c r="AQ16" i="52"/>
  <c r="G16" i="52"/>
  <c r="AS16" i="52"/>
  <c r="AQ11" i="52"/>
  <c r="G11" i="52"/>
  <c r="AS11" i="52"/>
  <c r="AR11" i="52"/>
  <c r="AQ34" i="52"/>
  <c r="AQ20" i="52"/>
  <c r="AQ7" i="52"/>
  <c r="G7" i="52"/>
  <c r="AR7" i="52"/>
  <c r="AS7" i="52"/>
  <c r="AR33" i="52"/>
  <c r="AR8" i="52"/>
  <c r="AR15" i="52"/>
  <c r="AS26" i="52"/>
  <c r="AQ26" i="52"/>
  <c r="AR26" i="52"/>
  <c r="G26" i="52"/>
  <c r="O40" i="52"/>
  <c r="AR36" i="52"/>
  <c r="G36" i="52"/>
  <c r="AQ36" i="52"/>
  <c r="AS36" i="52"/>
  <c r="G24" i="52"/>
  <c r="AS24" i="52"/>
  <c r="AQ24" i="52"/>
  <c r="AR24" i="52"/>
  <c r="BD6" i="52"/>
  <c r="BD40" i="52" s="1"/>
  <c r="AZ40" i="52"/>
  <c r="C47" i="52" s="1"/>
  <c r="AQ37" i="52"/>
  <c r="AQ28" i="52"/>
  <c r="G28" i="52"/>
  <c r="AR28" i="52"/>
  <c r="AS28" i="52"/>
  <c r="K40" i="52"/>
  <c r="AS17" i="52"/>
  <c r="AR17" i="52"/>
  <c r="G17" i="52"/>
  <c r="AQ17" i="52"/>
  <c r="AQ35" i="52"/>
  <c r="AQ30" i="52"/>
  <c r="G30" i="52"/>
  <c r="AR30" i="52"/>
  <c r="AS30" i="52"/>
  <c r="AR29" i="52"/>
  <c r="H40" i="52"/>
  <c r="D47" i="52" s="1"/>
  <c r="AR6" i="52"/>
  <c r="AR40" i="52" s="1"/>
  <c r="G6" i="52"/>
  <c r="AQ6" i="52"/>
  <c r="AR37" i="51"/>
  <c r="G37" i="51"/>
  <c r="AS37" i="51"/>
  <c r="AQ37" i="51"/>
  <c r="AQ20" i="51"/>
  <c r="AS20" i="51"/>
  <c r="AR20" i="51"/>
  <c r="G20" i="51"/>
  <c r="AR16" i="51"/>
  <c r="AS16" i="51"/>
  <c r="AQ16" i="51"/>
  <c r="G16" i="51"/>
  <c r="G6" i="51"/>
  <c r="H40" i="51"/>
  <c r="AQ6" i="51"/>
  <c r="AR6" i="51"/>
  <c r="AR18" i="51"/>
  <c r="AR9" i="51"/>
  <c r="AS9" i="51"/>
  <c r="AQ9" i="51"/>
  <c r="G9" i="51"/>
  <c r="AR24" i="51"/>
  <c r="AQ15" i="51"/>
  <c r="G15" i="51"/>
  <c r="AR15" i="51"/>
  <c r="AS15" i="51"/>
  <c r="AQ8" i="51"/>
  <c r="K40" i="51"/>
  <c r="AR10" i="51"/>
  <c r="AS10" i="51"/>
  <c r="AQ10" i="51"/>
  <c r="G10" i="51"/>
  <c r="AR11" i="51"/>
  <c r="AQ11" i="51"/>
  <c r="G11" i="51"/>
  <c r="AS11" i="51"/>
  <c r="AQ7" i="51"/>
  <c r="AZ6" i="51"/>
  <c r="AQ30" i="51"/>
  <c r="AR21" i="51"/>
  <c r="G21" i="51"/>
  <c r="AS21" i="51"/>
  <c r="AQ21" i="51"/>
  <c r="AR26" i="51"/>
  <c r="AQ34" i="51"/>
  <c r="AS34" i="51"/>
  <c r="AR34" i="51"/>
  <c r="G34" i="51"/>
  <c r="AR38" i="51"/>
  <c r="AS38" i="51"/>
  <c r="AQ38" i="51"/>
  <c r="G38" i="51"/>
  <c r="AS14" i="51"/>
  <c r="AR14" i="51"/>
  <c r="G14" i="51"/>
  <c r="AQ14" i="51"/>
  <c r="AR19" i="51"/>
  <c r="G19" i="51"/>
  <c r="AS19" i="51"/>
  <c r="AQ19" i="51"/>
  <c r="AS31" i="51"/>
  <c r="AQ31" i="51"/>
  <c r="G31" i="51"/>
  <c r="AR31" i="51"/>
  <c r="AQ28" i="51"/>
  <c r="AS23" i="51"/>
  <c r="AQ23" i="51"/>
  <c r="G23" i="51"/>
  <c r="AR23" i="51"/>
  <c r="AR13" i="51"/>
  <c r="D47" i="51"/>
  <c r="M40" i="51"/>
  <c r="O40" i="51"/>
  <c r="AS33" i="51"/>
  <c r="AQ33" i="51"/>
  <c r="G33" i="51"/>
  <c r="AR33" i="51"/>
  <c r="AR22" i="51"/>
  <c r="AQ22" i="51"/>
  <c r="AS22" i="51"/>
  <c r="G22" i="51"/>
  <c r="AS17" i="51"/>
  <c r="AQ17" i="51"/>
  <c r="G17" i="51"/>
  <c r="AR17" i="51"/>
  <c r="AS12" i="51"/>
  <c r="AQ12" i="51"/>
  <c r="G12" i="51"/>
  <c r="AR12" i="51"/>
  <c r="AQ25" i="51"/>
  <c r="AQ27" i="51"/>
  <c r="AQ28" i="50"/>
  <c r="G28" i="50"/>
  <c r="AS28" i="50"/>
  <c r="AR28" i="50"/>
  <c r="AS9" i="50"/>
  <c r="AQ9" i="50"/>
  <c r="G9" i="50"/>
  <c r="AR9" i="50"/>
  <c r="AS21" i="50"/>
  <c r="AR21" i="50"/>
  <c r="G21" i="50"/>
  <c r="AQ21" i="50"/>
  <c r="AR16" i="50"/>
  <c r="AQ16" i="50"/>
  <c r="AS16" i="50"/>
  <c r="G16" i="50"/>
  <c r="AQ34" i="50"/>
  <c r="AS34" i="50"/>
  <c r="G34" i="50"/>
  <c r="AR34" i="50"/>
  <c r="AR24" i="50"/>
  <c r="AR38" i="50"/>
  <c r="AQ38" i="50"/>
  <c r="G38" i="50"/>
  <c r="AS38" i="50"/>
  <c r="AQ30" i="50"/>
  <c r="G30" i="50"/>
  <c r="AS30" i="50"/>
  <c r="AR30" i="50"/>
  <c r="G12" i="50"/>
  <c r="AR12" i="50"/>
  <c r="AS12" i="50"/>
  <c r="AQ12" i="50"/>
  <c r="K40" i="50"/>
  <c r="AQ7" i="50"/>
  <c r="AS23" i="50"/>
  <c r="AR23" i="50"/>
  <c r="AQ23" i="50"/>
  <c r="G23" i="50"/>
  <c r="AQ20" i="50"/>
  <c r="AQ10" i="50"/>
  <c r="G10" i="50"/>
  <c r="AS10" i="50"/>
  <c r="AR10" i="50"/>
  <c r="AS26" i="50"/>
  <c r="AR26" i="50"/>
  <c r="G26" i="50"/>
  <c r="AQ26" i="50"/>
  <c r="AS37" i="50"/>
  <c r="AR37" i="50"/>
  <c r="AQ37" i="50"/>
  <c r="G37" i="50"/>
  <c r="AZ40" i="50"/>
  <c r="C47" i="50" s="1"/>
  <c r="BD6" i="50"/>
  <c r="BD40" i="50" s="1"/>
  <c r="AS14" i="50"/>
  <c r="G14" i="50"/>
  <c r="AQ14" i="50"/>
  <c r="AR14" i="50"/>
  <c r="D47" i="50"/>
  <c r="AQ8" i="50"/>
  <c r="G8" i="50"/>
  <c r="AR8" i="50"/>
  <c r="AS8" i="50"/>
  <c r="AQ6" i="50"/>
  <c r="AR36" i="50"/>
  <c r="G36" i="50"/>
  <c r="AQ36" i="50"/>
  <c r="AS36" i="50"/>
  <c r="O40" i="50"/>
  <c r="AS27" i="50"/>
  <c r="AR27" i="50"/>
  <c r="G27" i="50"/>
  <c r="AQ27" i="50"/>
  <c r="AS17" i="50"/>
  <c r="AR17" i="50"/>
  <c r="G17" i="50"/>
  <c r="AQ17" i="50"/>
  <c r="AQ25" i="50"/>
  <c r="G25" i="50"/>
  <c r="AS25" i="50"/>
  <c r="AR25" i="50"/>
  <c r="AR22" i="50"/>
  <c r="AQ22" i="50"/>
  <c r="G22" i="50"/>
  <c r="AS22" i="50"/>
  <c r="AS35" i="50"/>
  <c r="AR35" i="50"/>
  <c r="G35" i="50"/>
  <c r="AQ35" i="50"/>
  <c r="U6" i="50"/>
  <c r="G24" i="49"/>
  <c r="AQ24" i="49"/>
  <c r="AS24" i="49"/>
  <c r="AR24" i="49"/>
  <c r="AS33" i="49"/>
  <c r="G33" i="49"/>
  <c r="AQ33" i="49"/>
  <c r="AR33" i="49"/>
  <c r="AQ11" i="49"/>
  <c r="G11" i="49"/>
  <c r="AR11" i="49"/>
  <c r="AS11" i="49"/>
  <c r="AS14" i="49"/>
  <c r="AQ14" i="49"/>
  <c r="AR14" i="49"/>
  <c r="G14" i="49"/>
  <c r="AR26" i="49"/>
  <c r="AR12" i="49"/>
  <c r="AS12" i="49"/>
  <c r="G12" i="49"/>
  <c r="AQ12" i="49"/>
  <c r="M40" i="49"/>
  <c r="AQ30" i="49"/>
  <c r="G30" i="49"/>
  <c r="AR30" i="49"/>
  <c r="AS30" i="49"/>
  <c r="AQ35" i="49"/>
  <c r="AR38" i="49"/>
  <c r="AS31" i="49"/>
  <c r="G31" i="49"/>
  <c r="AQ31" i="49"/>
  <c r="AR31" i="49"/>
  <c r="AQ9" i="49"/>
  <c r="G9" i="49"/>
  <c r="AR9" i="49"/>
  <c r="AS9" i="49"/>
  <c r="AR16" i="49"/>
  <c r="AS16" i="49"/>
  <c r="AQ16" i="49"/>
  <c r="G16" i="49"/>
  <c r="AR15" i="49"/>
  <c r="K40" i="49"/>
  <c r="AQ18" i="49"/>
  <c r="AQ6" i="49"/>
  <c r="AQ37" i="49"/>
  <c r="G37" i="49"/>
  <c r="AR37" i="49"/>
  <c r="AS37" i="49"/>
  <c r="AQ32" i="49"/>
  <c r="G32" i="49"/>
  <c r="AR32" i="49"/>
  <c r="AS32" i="49"/>
  <c r="AR36" i="49"/>
  <c r="AQ29" i="49"/>
  <c r="AS8" i="49"/>
  <c r="D47" i="49"/>
  <c r="AR8" i="49"/>
  <c r="AQ8" i="49"/>
  <c r="G8" i="49"/>
  <c r="AZ6" i="49"/>
  <c r="U6" i="49"/>
  <c r="AQ28" i="49"/>
  <c r="G28" i="49"/>
  <c r="AR28" i="49"/>
  <c r="AS28" i="49"/>
  <c r="AQ34" i="49"/>
  <c r="AR34" i="49"/>
  <c r="G34" i="49"/>
  <c r="AS34" i="49"/>
  <c r="AQ21" i="49"/>
  <c r="AR21" i="49"/>
  <c r="G21" i="49"/>
  <c r="AS21" i="49"/>
  <c r="AS17" i="49"/>
  <c r="AR17" i="49"/>
  <c r="G17" i="49"/>
  <c r="AQ17" i="49"/>
  <c r="AS10" i="49"/>
  <c r="AR10" i="49"/>
  <c r="AQ10" i="49"/>
  <c r="G10" i="49"/>
  <c r="O40" i="49"/>
  <c r="AS23" i="49"/>
  <c r="AR23" i="49"/>
  <c r="AQ23" i="49"/>
  <c r="G23" i="49"/>
  <c r="AR6" i="49"/>
  <c r="AQ11" i="48"/>
  <c r="AR35" i="48"/>
  <c r="AQ25" i="48"/>
  <c r="AR30" i="48"/>
  <c r="AQ17" i="48"/>
  <c r="AQ36" i="48"/>
  <c r="AR17" i="48"/>
  <c r="AS29" i="48"/>
  <c r="AR29" i="48"/>
  <c r="K40" i="48"/>
  <c r="AQ29" i="48"/>
  <c r="AQ9" i="48"/>
  <c r="AQ32" i="48"/>
  <c r="AQ38" i="48"/>
  <c r="AQ33" i="48"/>
  <c r="AQ30" i="48"/>
  <c r="AR25" i="48"/>
  <c r="AR9" i="48"/>
  <c r="AR24" i="48"/>
  <c r="AR36" i="48"/>
  <c r="AR32" i="48"/>
  <c r="O40" i="48"/>
  <c r="AS37" i="48"/>
  <c r="AR37" i="48"/>
  <c r="AQ37" i="48"/>
  <c r="AR10" i="48"/>
  <c r="AS10" i="48"/>
  <c r="AQ10" i="48"/>
  <c r="AQ34" i="48"/>
  <c r="AS34" i="48"/>
  <c r="AR34" i="48"/>
  <c r="AR20" i="48"/>
  <c r="AS20" i="48"/>
  <c r="AQ20" i="48"/>
  <c r="AS15" i="48"/>
  <c r="AR15" i="48"/>
  <c r="AQ15" i="48"/>
  <c r="AZ40" i="48"/>
  <c r="C47" i="48" s="1"/>
  <c r="BD6" i="48"/>
  <c r="BD40" i="48" s="1"/>
  <c r="AS21" i="48"/>
  <c r="AR21" i="48"/>
  <c r="AQ21" i="48"/>
  <c r="AR13" i="48"/>
  <c r="AS13" i="48"/>
  <c r="AQ13" i="48"/>
  <c r="AR7" i="48"/>
  <c r="AQ7" i="48"/>
  <c r="AS7" i="48"/>
  <c r="AQ28" i="48"/>
  <c r="AS28" i="48"/>
  <c r="AR28" i="48"/>
  <c r="AQ14" i="48"/>
  <c r="AS14" i="48"/>
  <c r="AR14" i="48"/>
  <c r="AQ19" i="48"/>
  <c r="AR19" i="48"/>
  <c r="AS19" i="48"/>
  <c r="AS16" i="48"/>
  <c r="AR16" i="48"/>
  <c r="AQ16" i="48"/>
  <c r="M40" i="48"/>
  <c r="AS26" i="48"/>
  <c r="AR26" i="48"/>
  <c r="AQ26" i="48"/>
  <c r="AS12" i="48"/>
  <c r="AQ12" i="48"/>
  <c r="AR12" i="48"/>
  <c r="AR18" i="48"/>
  <c r="AS18" i="48"/>
  <c r="AQ18" i="48"/>
  <c r="AS23" i="48"/>
  <c r="AQ23" i="48"/>
  <c r="AR23" i="48"/>
  <c r="AS8" i="48"/>
  <c r="AQ8" i="48"/>
  <c r="AR8" i="48"/>
  <c r="G6" i="48"/>
  <c r="AR6" i="48"/>
  <c r="AQ6" i="48"/>
  <c r="H40" i="48"/>
  <c r="D47" i="48" s="1"/>
  <c r="AZ85" i="52" l="1"/>
  <c r="AS40" i="51"/>
  <c r="AZ85" i="50"/>
  <c r="AR40" i="56"/>
  <c r="AS40" i="50"/>
  <c r="AR40" i="49"/>
  <c r="AR40" i="50"/>
  <c r="AS40" i="54"/>
  <c r="AS40" i="56"/>
  <c r="AZ85" i="48"/>
  <c r="AS40" i="49"/>
  <c r="Q40" i="49"/>
  <c r="R24" i="48"/>
  <c r="R25" i="48"/>
  <c r="R30" i="48"/>
  <c r="R20" i="48"/>
  <c r="R31" i="48"/>
  <c r="R17" i="48"/>
  <c r="R37" i="48"/>
  <c r="R9" i="48"/>
  <c r="Q40" i="50"/>
  <c r="Q40" i="54"/>
  <c r="R12" i="48"/>
  <c r="R23" i="48"/>
  <c r="R33" i="48"/>
  <c r="Q40" i="51"/>
  <c r="Q40" i="56"/>
  <c r="Q40" i="52"/>
  <c r="R18" i="48"/>
  <c r="Q40" i="55"/>
  <c r="Q40" i="53"/>
  <c r="C40" i="57"/>
  <c r="G40" i="56"/>
  <c r="U6" i="56"/>
  <c r="AQ40" i="56"/>
  <c r="AZ40" i="56"/>
  <c r="BD6" i="56"/>
  <c r="BD40" i="56" s="1"/>
  <c r="AZ85" i="55"/>
  <c r="G40" i="55"/>
  <c r="U6" i="55"/>
  <c r="AQ40" i="55"/>
  <c r="AR40" i="55"/>
  <c r="AS40" i="55"/>
  <c r="AR40" i="54"/>
  <c r="AQ40" i="54"/>
  <c r="G40" i="54"/>
  <c r="U6" i="54"/>
  <c r="AS40" i="53"/>
  <c r="AR40" i="53"/>
  <c r="AZ85" i="53"/>
  <c r="G40" i="53"/>
  <c r="U6" i="53"/>
  <c r="BD40" i="53"/>
  <c r="AQ40" i="53"/>
  <c r="G40" i="52"/>
  <c r="U6" i="52"/>
  <c r="AQ40" i="52"/>
  <c r="AS40" i="52"/>
  <c r="AR40" i="51"/>
  <c r="AQ40" i="51"/>
  <c r="AZ40" i="51"/>
  <c r="BD6" i="51"/>
  <c r="BD40" i="51" s="1"/>
  <c r="G40" i="51"/>
  <c r="U6" i="51"/>
  <c r="C6" i="50"/>
  <c r="AQ40" i="50"/>
  <c r="G40" i="50"/>
  <c r="C6" i="49"/>
  <c r="G40" i="49"/>
  <c r="AZ40" i="49"/>
  <c r="BD6" i="49"/>
  <c r="BD40" i="49" s="1"/>
  <c r="AQ40" i="49"/>
  <c r="AS40" i="48"/>
  <c r="AR40" i="48"/>
  <c r="AQ40" i="48"/>
  <c r="G40" i="48"/>
  <c r="U6" i="48"/>
  <c r="C6" i="56" l="1"/>
  <c r="C47" i="56"/>
  <c r="AZ85" i="56"/>
  <c r="C6" i="55"/>
  <c r="C6" i="54"/>
  <c r="C6" i="53"/>
  <c r="C6" i="52"/>
  <c r="C47" i="51"/>
  <c r="AZ85" i="51"/>
  <c r="C6" i="51"/>
  <c r="C47" i="49"/>
  <c r="AZ85" i="49"/>
  <c r="C6" i="48"/>
  <c r="R16" i="52" l="1"/>
  <c r="R16" i="54"/>
  <c r="R16" i="53"/>
  <c r="R16" i="50"/>
  <c r="R16" i="55"/>
  <c r="R16" i="51"/>
  <c r="R16" i="56"/>
  <c r="R16" i="49"/>
  <c r="R16" i="48"/>
  <c r="R40" i="49" l="1"/>
  <c r="R40" i="50"/>
  <c r="R40" i="56"/>
  <c r="R40" i="53"/>
  <c r="R40" i="51"/>
  <c r="R40" i="54"/>
  <c r="R40" i="55"/>
  <c r="R40" i="52"/>
  <c r="Q10" i="48" l="1"/>
  <c r="Q15" i="48"/>
  <c r="Q20" i="48"/>
  <c r="Q28" i="48"/>
  <c r="Q12" i="48"/>
  <c r="Q22" i="48"/>
  <c r="Q32" i="48"/>
  <c r="Q25" i="48"/>
  <c r="Q11" i="48"/>
  <c r="Q8" i="48"/>
  <c r="Q16" i="48"/>
  <c r="Q24" i="48"/>
  <c r="Q38" i="48"/>
  <c r="Q40" i="48" l="1"/>
  <c r="U8" i="50" l="1"/>
  <c r="C8" i="50" s="1"/>
  <c r="U10" i="50"/>
  <c r="C10" i="50" s="1"/>
  <c r="U8" i="52"/>
  <c r="C8" i="52" s="1"/>
  <c r="U11" i="52"/>
  <c r="C11" i="52" s="1"/>
  <c r="U7" i="50"/>
  <c r="U10" i="52"/>
  <c r="C10" i="52" s="1"/>
  <c r="U8" i="49"/>
  <c r="C8" i="49" s="1"/>
  <c r="U8" i="56"/>
  <c r="C8" i="56" s="1"/>
  <c r="U8" i="54"/>
  <c r="C8" i="54" s="1"/>
  <c r="U8" i="55"/>
  <c r="C8" i="55" s="1"/>
  <c r="U11" i="51"/>
  <c r="C11" i="51" s="1"/>
  <c r="U11" i="53"/>
  <c r="C11" i="53" s="1"/>
  <c r="U7" i="49"/>
  <c r="U7" i="55"/>
  <c r="U10" i="55"/>
  <c r="C10" i="55" s="1"/>
  <c r="U10" i="54"/>
  <c r="C10" i="54" s="1"/>
  <c r="U8" i="51"/>
  <c r="C8" i="51" s="1"/>
  <c r="U11" i="50"/>
  <c r="C11" i="50" s="1"/>
  <c r="U11" i="55"/>
  <c r="C11" i="55" s="1"/>
  <c r="U7" i="51"/>
  <c r="U7" i="52"/>
  <c r="U10" i="49"/>
  <c r="C10" i="49" s="1"/>
  <c r="U8" i="53"/>
  <c r="C8" i="53" s="1"/>
  <c r="U11" i="56"/>
  <c r="C11" i="56" s="1"/>
  <c r="U7" i="53"/>
  <c r="U10" i="53"/>
  <c r="C10" i="53" s="1"/>
  <c r="U11" i="49"/>
  <c r="C11" i="49" s="1"/>
  <c r="U11" i="54"/>
  <c r="C11" i="54" s="1"/>
  <c r="U7" i="54"/>
  <c r="U7" i="56"/>
  <c r="U10" i="51"/>
  <c r="C10" i="51" s="1"/>
  <c r="U10" i="56"/>
  <c r="C10" i="56" s="1"/>
  <c r="P40" i="56" l="1"/>
  <c r="P40" i="54"/>
  <c r="P40" i="53"/>
  <c r="P40" i="49"/>
  <c r="U22" i="55"/>
  <c r="C22" i="55" s="1"/>
  <c r="U37" i="51"/>
  <c r="C37" i="51" s="1"/>
  <c r="U21" i="49"/>
  <c r="C21" i="49" s="1"/>
  <c r="U35" i="53"/>
  <c r="C35" i="53" s="1"/>
  <c r="U19" i="54"/>
  <c r="C19" i="54" s="1"/>
  <c r="U18" i="55"/>
  <c r="C18" i="55" s="1"/>
  <c r="U13" i="55"/>
  <c r="C13" i="55" s="1"/>
  <c r="U24" i="51"/>
  <c r="C24" i="51" s="1"/>
  <c r="C7" i="52"/>
  <c r="U30" i="53"/>
  <c r="C30" i="53" s="1"/>
  <c r="U14" i="52"/>
  <c r="C14" i="52" s="1"/>
  <c r="U29" i="53"/>
  <c r="C29" i="53" s="1"/>
  <c r="U36" i="50"/>
  <c r="C36" i="50" s="1"/>
  <c r="C7" i="55"/>
  <c r="U31" i="53"/>
  <c r="C31" i="53" s="1"/>
  <c r="U23" i="56"/>
  <c r="C23" i="56" s="1"/>
  <c r="U15" i="52"/>
  <c r="C15" i="52" s="1"/>
  <c r="U26" i="52"/>
  <c r="C26" i="52" s="1"/>
  <c r="U33" i="52"/>
  <c r="C33" i="52" s="1"/>
  <c r="U17" i="52"/>
  <c r="C17" i="52" s="1"/>
  <c r="U9" i="54"/>
  <c r="C9" i="54" s="1"/>
  <c r="U28" i="49"/>
  <c r="C28" i="49" s="1"/>
  <c r="U20" i="52"/>
  <c r="C20" i="52" s="1"/>
  <c r="U12" i="54"/>
  <c r="C12" i="54" s="1"/>
  <c r="U38" i="53"/>
  <c r="C38" i="53" s="1"/>
  <c r="U27" i="49"/>
  <c r="C27" i="49" s="1"/>
  <c r="U34" i="56"/>
  <c r="C34" i="56" s="1"/>
  <c r="U25" i="50"/>
  <c r="C25" i="50" s="1"/>
  <c r="U32" i="56"/>
  <c r="C32" i="56" s="1"/>
  <c r="U22" i="51"/>
  <c r="C22" i="51" s="1"/>
  <c r="U37" i="52"/>
  <c r="C37" i="52" s="1"/>
  <c r="U21" i="56"/>
  <c r="C21" i="56" s="1"/>
  <c r="U35" i="56"/>
  <c r="C35" i="56" s="1"/>
  <c r="U19" i="51"/>
  <c r="C19" i="51" s="1"/>
  <c r="U18" i="54"/>
  <c r="C18" i="54" s="1"/>
  <c r="U13" i="49"/>
  <c r="C13" i="49" s="1"/>
  <c r="U24" i="56"/>
  <c r="C24" i="56" s="1"/>
  <c r="P40" i="52"/>
  <c r="U30" i="56"/>
  <c r="C30" i="56" s="1"/>
  <c r="U14" i="49"/>
  <c r="C14" i="49" s="1"/>
  <c r="U14" i="53"/>
  <c r="C14" i="53" s="1"/>
  <c r="U29" i="49"/>
  <c r="C29" i="49" s="1"/>
  <c r="U36" i="49"/>
  <c r="C36" i="49" s="1"/>
  <c r="P40" i="55"/>
  <c r="U31" i="51"/>
  <c r="C31" i="51" s="1"/>
  <c r="U23" i="53"/>
  <c r="C23" i="53" s="1"/>
  <c r="U15" i="53"/>
  <c r="C15" i="53" s="1"/>
  <c r="U15" i="51"/>
  <c r="C15" i="51" s="1"/>
  <c r="U26" i="53"/>
  <c r="C26" i="53" s="1"/>
  <c r="U33" i="55"/>
  <c r="C33" i="55" s="1"/>
  <c r="U17" i="53"/>
  <c r="C17" i="53" s="1"/>
  <c r="U9" i="55"/>
  <c r="C9" i="55" s="1"/>
  <c r="U28" i="52"/>
  <c r="C28" i="52" s="1"/>
  <c r="U20" i="53"/>
  <c r="C20" i="53" s="1"/>
  <c r="U12" i="56"/>
  <c r="C12" i="56" s="1"/>
  <c r="U38" i="51"/>
  <c r="C38" i="51" s="1"/>
  <c r="U27" i="54"/>
  <c r="C27" i="54" s="1"/>
  <c r="U34" i="49"/>
  <c r="C34" i="49" s="1"/>
  <c r="U25" i="49"/>
  <c r="C25" i="49" s="1"/>
  <c r="U32" i="51"/>
  <c r="C32" i="51" s="1"/>
  <c r="U16" i="51"/>
  <c r="C16" i="51" s="1"/>
  <c r="C7" i="54"/>
  <c r="U22" i="52"/>
  <c r="C22" i="52" s="1"/>
  <c r="U37" i="56"/>
  <c r="C37" i="56" s="1"/>
  <c r="C7" i="56"/>
  <c r="U22" i="56"/>
  <c r="C22" i="56" s="1"/>
  <c r="U22" i="54"/>
  <c r="C22" i="54" s="1"/>
  <c r="U37" i="54"/>
  <c r="C37" i="54" s="1"/>
  <c r="U37" i="55"/>
  <c r="C37" i="55" s="1"/>
  <c r="U21" i="51"/>
  <c r="C21" i="51" s="1"/>
  <c r="U21" i="52"/>
  <c r="C21" i="52" s="1"/>
  <c r="C7" i="53"/>
  <c r="U35" i="54"/>
  <c r="C35" i="54" s="1"/>
  <c r="U35" i="52"/>
  <c r="C35" i="52" s="1"/>
  <c r="U19" i="49"/>
  <c r="C19" i="49" s="1"/>
  <c r="U19" i="56"/>
  <c r="C19" i="56" s="1"/>
  <c r="U18" i="50"/>
  <c r="C18" i="50" s="1"/>
  <c r="U18" i="56"/>
  <c r="C18" i="56" s="1"/>
  <c r="U13" i="52"/>
  <c r="C13" i="52" s="1"/>
  <c r="U13" i="51"/>
  <c r="C13" i="51" s="1"/>
  <c r="U24" i="52"/>
  <c r="C24" i="52" s="1"/>
  <c r="U24" i="54"/>
  <c r="C24" i="54" s="1"/>
  <c r="C7" i="51"/>
  <c r="U30" i="52"/>
  <c r="C30" i="52" s="1"/>
  <c r="U30" i="51"/>
  <c r="C30" i="51" s="1"/>
  <c r="U14" i="51"/>
  <c r="C14" i="51" s="1"/>
  <c r="U14" i="56"/>
  <c r="C14" i="56" s="1"/>
  <c r="U29" i="50"/>
  <c r="C29" i="50" s="1"/>
  <c r="U29" i="56"/>
  <c r="C29" i="56" s="1"/>
  <c r="U36" i="54"/>
  <c r="C36" i="54" s="1"/>
  <c r="U36" i="56"/>
  <c r="C36" i="56" s="1"/>
  <c r="C7" i="49"/>
  <c r="U31" i="50"/>
  <c r="C31" i="50" s="1"/>
  <c r="U31" i="55"/>
  <c r="C31" i="55" s="1"/>
  <c r="U23" i="52"/>
  <c r="C23" i="52" s="1"/>
  <c r="U23" i="54"/>
  <c r="C23" i="54" s="1"/>
  <c r="U15" i="55"/>
  <c r="C15" i="55" s="1"/>
  <c r="U15" i="54"/>
  <c r="C15" i="54" s="1"/>
  <c r="U26" i="49"/>
  <c r="C26" i="49" s="1"/>
  <c r="U26" i="50"/>
  <c r="C26" i="50" s="1"/>
  <c r="U33" i="51"/>
  <c r="C33" i="51" s="1"/>
  <c r="U33" i="56"/>
  <c r="C33" i="56" s="1"/>
  <c r="U17" i="49"/>
  <c r="C17" i="49" s="1"/>
  <c r="U17" i="51"/>
  <c r="C17" i="51" s="1"/>
  <c r="U9" i="49"/>
  <c r="C9" i="49" s="1"/>
  <c r="U9" i="52"/>
  <c r="C9" i="52" s="1"/>
  <c r="U28" i="50"/>
  <c r="C28" i="50" s="1"/>
  <c r="U28" i="55"/>
  <c r="C28" i="55" s="1"/>
  <c r="U20" i="50"/>
  <c r="C20" i="50" s="1"/>
  <c r="U20" i="51"/>
  <c r="C20" i="51" s="1"/>
  <c r="U12" i="52"/>
  <c r="C12" i="52" s="1"/>
  <c r="U12" i="51"/>
  <c r="C12" i="51" s="1"/>
  <c r="U38" i="54"/>
  <c r="C38" i="54" s="1"/>
  <c r="U38" i="55"/>
  <c r="C38" i="55" s="1"/>
  <c r="U27" i="55"/>
  <c r="C27" i="55" s="1"/>
  <c r="U27" i="53"/>
  <c r="C27" i="53" s="1"/>
  <c r="U34" i="52"/>
  <c r="C34" i="52" s="1"/>
  <c r="U34" i="54"/>
  <c r="C34" i="54" s="1"/>
  <c r="U25" i="53"/>
  <c r="C25" i="53" s="1"/>
  <c r="U25" i="51"/>
  <c r="C25" i="51" s="1"/>
  <c r="U32" i="55"/>
  <c r="C32" i="55" s="1"/>
  <c r="U32" i="53"/>
  <c r="C32" i="53" s="1"/>
  <c r="U16" i="49"/>
  <c r="C16" i="49" s="1"/>
  <c r="U16" i="53"/>
  <c r="C16" i="53" s="1"/>
  <c r="U22" i="50"/>
  <c r="C22" i="50" s="1"/>
  <c r="U37" i="50"/>
  <c r="C37" i="50" s="1"/>
  <c r="U21" i="55"/>
  <c r="C21" i="55" s="1"/>
  <c r="U35" i="49"/>
  <c r="C35" i="49" s="1"/>
  <c r="U19" i="55"/>
  <c r="C19" i="55" s="1"/>
  <c r="U18" i="49"/>
  <c r="C18" i="49" s="1"/>
  <c r="U13" i="53"/>
  <c r="C13" i="53" s="1"/>
  <c r="U24" i="50"/>
  <c r="C24" i="50" s="1"/>
  <c r="P40" i="51"/>
  <c r="U30" i="50"/>
  <c r="C30" i="50" s="1"/>
  <c r="U14" i="54"/>
  <c r="C14" i="54" s="1"/>
  <c r="U29" i="54"/>
  <c r="C29" i="54" s="1"/>
  <c r="U36" i="55"/>
  <c r="C36" i="55" s="1"/>
  <c r="U31" i="49"/>
  <c r="C31" i="49" s="1"/>
  <c r="U23" i="51"/>
  <c r="C23" i="51" s="1"/>
  <c r="U15" i="49"/>
  <c r="C15" i="49" s="1"/>
  <c r="U26" i="51"/>
  <c r="C26" i="51" s="1"/>
  <c r="U33" i="50"/>
  <c r="C33" i="50" s="1"/>
  <c r="U17" i="54"/>
  <c r="C17" i="54" s="1"/>
  <c r="U9" i="51"/>
  <c r="C9" i="51" s="1"/>
  <c r="U28" i="53"/>
  <c r="C28" i="53" s="1"/>
  <c r="U20" i="55"/>
  <c r="C20" i="55" s="1"/>
  <c r="U12" i="53"/>
  <c r="C12" i="53" s="1"/>
  <c r="U38" i="50"/>
  <c r="C38" i="50" s="1"/>
  <c r="C7" i="50"/>
  <c r="U27" i="56"/>
  <c r="C27" i="56" s="1"/>
  <c r="U34" i="53"/>
  <c r="C34" i="53" s="1"/>
  <c r="U25" i="55"/>
  <c r="C25" i="55" s="1"/>
  <c r="U32" i="49"/>
  <c r="C32" i="49" s="1"/>
  <c r="U16" i="50"/>
  <c r="C16" i="50" s="1"/>
  <c r="U16" i="56"/>
  <c r="C16" i="56" s="1"/>
  <c r="U22" i="49"/>
  <c r="C22" i="49" s="1"/>
  <c r="U37" i="49"/>
  <c r="C37" i="49" s="1"/>
  <c r="U21" i="54"/>
  <c r="C21" i="54" s="1"/>
  <c r="U35" i="55"/>
  <c r="C35" i="55" s="1"/>
  <c r="U19" i="52"/>
  <c r="C19" i="52" s="1"/>
  <c r="U18" i="51"/>
  <c r="C18" i="51" s="1"/>
  <c r="U13" i="54"/>
  <c r="C13" i="54" s="1"/>
  <c r="U24" i="53"/>
  <c r="C24" i="53" s="1"/>
  <c r="U30" i="54"/>
  <c r="C30" i="54" s="1"/>
  <c r="U29" i="51"/>
  <c r="C29" i="51" s="1"/>
  <c r="U36" i="51"/>
  <c r="C36" i="51" s="1"/>
  <c r="U31" i="52"/>
  <c r="C31" i="52" s="1"/>
  <c r="U23" i="55"/>
  <c r="C23" i="55" s="1"/>
  <c r="U26" i="54"/>
  <c r="C26" i="54" s="1"/>
  <c r="U33" i="54"/>
  <c r="C33" i="54" s="1"/>
  <c r="U17" i="55"/>
  <c r="C17" i="55" s="1"/>
  <c r="U9" i="53"/>
  <c r="C9" i="53" s="1"/>
  <c r="U28" i="56"/>
  <c r="C28" i="56" s="1"/>
  <c r="U20" i="56"/>
  <c r="C20" i="56" s="1"/>
  <c r="U12" i="55"/>
  <c r="C12" i="55" s="1"/>
  <c r="U38" i="56"/>
  <c r="C38" i="56" s="1"/>
  <c r="P40" i="50"/>
  <c r="U27" i="51"/>
  <c r="C27" i="51" s="1"/>
  <c r="U34" i="55"/>
  <c r="C34" i="55" s="1"/>
  <c r="U25" i="54"/>
  <c r="C25" i="54" s="1"/>
  <c r="U32" i="54"/>
  <c r="C32" i="54" s="1"/>
  <c r="U16" i="54"/>
  <c r="C16" i="54" s="1"/>
  <c r="U22" i="53"/>
  <c r="C22" i="53" s="1"/>
  <c r="U37" i="53"/>
  <c r="C37" i="53" s="1"/>
  <c r="U21" i="50"/>
  <c r="C21" i="50" s="1"/>
  <c r="U21" i="53"/>
  <c r="C21" i="53" s="1"/>
  <c r="U35" i="50"/>
  <c r="C35" i="50" s="1"/>
  <c r="U35" i="51"/>
  <c r="C35" i="51" s="1"/>
  <c r="U19" i="50"/>
  <c r="C19" i="50" s="1"/>
  <c r="U19" i="53"/>
  <c r="C19" i="53" s="1"/>
  <c r="U18" i="53"/>
  <c r="C18" i="53" s="1"/>
  <c r="U18" i="52"/>
  <c r="C18" i="52" s="1"/>
  <c r="U13" i="50"/>
  <c r="C13" i="50" s="1"/>
  <c r="U13" i="56"/>
  <c r="C13" i="56" s="1"/>
  <c r="U24" i="49"/>
  <c r="C24" i="49" s="1"/>
  <c r="U24" i="55"/>
  <c r="C24" i="55" s="1"/>
  <c r="U30" i="49"/>
  <c r="C30" i="49" s="1"/>
  <c r="U30" i="55"/>
  <c r="C30" i="55" s="1"/>
  <c r="U14" i="50"/>
  <c r="C14" i="50" s="1"/>
  <c r="U14" i="55"/>
  <c r="C14" i="55" s="1"/>
  <c r="U29" i="52"/>
  <c r="C29" i="52" s="1"/>
  <c r="U29" i="55"/>
  <c r="C29" i="55" s="1"/>
  <c r="U36" i="52"/>
  <c r="C36" i="52" s="1"/>
  <c r="U36" i="53"/>
  <c r="C36" i="53" s="1"/>
  <c r="U31" i="56"/>
  <c r="C31" i="56" s="1"/>
  <c r="U31" i="54"/>
  <c r="C31" i="54" s="1"/>
  <c r="U23" i="50"/>
  <c r="C23" i="50" s="1"/>
  <c r="U23" i="49"/>
  <c r="C23" i="49" s="1"/>
  <c r="U15" i="56"/>
  <c r="C15" i="56" s="1"/>
  <c r="U15" i="50"/>
  <c r="C15" i="50" s="1"/>
  <c r="U26" i="55"/>
  <c r="C26" i="55" s="1"/>
  <c r="U26" i="56"/>
  <c r="C26" i="56" s="1"/>
  <c r="U33" i="49"/>
  <c r="C33" i="49" s="1"/>
  <c r="U33" i="53"/>
  <c r="C33" i="53" s="1"/>
  <c r="U17" i="50"/>
  <c r="C17" i="50" s="1"/>
  <c r="U17" i="56"/>
  <c r="C17" i="56" s="1"/>
  <c r="U9" i="50"/>
  <c r="C9" i="50" s="1"/>
  <c r="U9" i="56"/>
  <c r="C9" i="56" s="1"/>
  <c r="U28" i="54"/>
  <c r="C28" i="54" s="1"/>
  <c r="U28" i="51"/>
  <c r="C28" i="51" s="1"/>
  <c r="U20" i="49"/>
  <c r="C20" i="49" s="1"/>
  <c r="U20" i="54"/>
  <c r="C20" i="54" s="1"/>
  <c r="U12" i="50"/>
  <c r="C12" i="50" s="1"/>
  <c r="U12" i="49"/>
  <c r="C12" i="49" s="1"/>
  <c r="U38" i="49"/>
  <c r="C38" i="49" s="1"/>
  <c r="U38" i="52"/>
  <c r="C38" i="52" s="1"/>
  <c r="U27" i="50"/>
  <c r="C27" i="50" s="1"/>
  <c r="U27" i="52"/>
  <c r="C27" i="52" s="1"/>
  <c r="U34" i="51"/>
  <c r="C34" i="51" s="1"/>
  <c r="U34" i="50"/>
  <c r="C34" i="50" s="1"/>
  <c r="U25" i="52"/>
  <c r="C25" i="52" s="1"/>
  <c r="U25" i="56"/>
  <c r="C25" i="56" s="1"/>
  <c r="U32" i="50"/>
  <c r="C32" i="50" s="1"/>
  <c r="U32" i="52"/>
  <c r="C32" i="52" s="1"/>
  <c r="U16" i="52"/>
  <c r="C16" i="52" s="1"/>
  <c r="U16" i="55"/>
  <c r="C16" i="55" s="1"/>
  <c r="U40" i="50" l="1"/>
  <c r="C40" i="50"/>
  <c r="U40" i="49"/>
  <c r="U40" i="54"/>
  <c r="U40" i="52"/>
  <c r="U40" i="51"/>
  <c r="U40" i="56"/>
  <c r="U40" i="55"/>
  <c r="C40" i="51"/>
  <c r="C40" i="56"/>
  <c r="C40" i="55"/>
  <c r="U40" i="53"/>
  <c r="C40" i="49"/>
  <c r="C40" i="53"/>
  <c r="C40" i="54"/>
  <c r="C40" i="52"/>
  <c r="P16" i="48"/>
  <c r="P20" i="48"/>
  <c r="P24" i="48"/>
  <c r="P28" i="48"/>
  <c r="P8" i="48"/>
  <c r="P12" i="48"/>
  <c r="P9" i="48"/>
  <c r="P13" i="48"/>
  <c r="P17" i="48"/>
  <c r="P21" i="48"/>
  <c r="P25" i="48"/>
  <c r="P29" i="48"/>
  <c r="P33" i="48"/>
  <c r="P37" i="48"/>
  <c r="P7" i="48"/>
  <c r="P11" i="48"/>
  <c r="P15" i="48"/>
  <c r="P19" i="48"/>
  <c r="P23" i="48"/>
  <c r="P27" i="48"/>
  <c r="P31" i="48"/>
  <c r="P35" i="48"/>
  <c r="P32" i="48"/>
  <c r="P36" i="48"/>
  <c r="P10" i="48"/>
  <c r="P14" i="48"/>
  <c r="P18" i="48"/>
  <c r="P22" i="48"/>
  <c r="P26" i="48"/>
  <c r="P30" i="48"/>
  <c r="P34" i="48"/>
  <c r="P38" i="48"/>
  <c r="U30" i="48" l="1"/>
  <c r="C30" i="48" s="1"/>
  <c r="U32" i="48"/>
  <c r="C32" i="48" s="1"/>
  <c r="U29" i="48"/>
  <c r="C29" i="48" s="1"/>
  <c r="U26" i="48"/>
  <c r="C26" i="48" s="1"/>
  <c r="U10" i="48"/>
  <c r="C10" i="48" s="1"/>
  <c r="U25" i="48"/>
  <c r="C25" i="48" s="1"/>
  <c r="U38" i="48"/>
  <c r="C38" i="48" s="1"/>
  <c r="U22" i="48"/>
  <c r="C22" i="48" s="1"/>
  <c r="U36" i="48"/>
  <c r="C36" i="48" s="1"/>
  <c r="U35" i="48"/>
  <c r="C35" i="48" s="1"/>
  <c r="U19" i="48"/>
  <c r="C19" i="48" s="1"/>
  <c r="U37" i="48"/>
  <c r="C37" i="48" s="1"/>
  <c r="U21" i="48"/>
  <c r="C21" i="48" s="1"/>
  <c r="U14" i="48"/>
  <c r="C14" i="48" s="1"/>
  <c r="U27" i="48"/>
  <c r="C27" i="48" s="1"/>
  <c r="U11" i="48"/>
  <c r="C11" i="48" s="1"/>
  <c r="U13" i="48"/>
  <c r="C13" i="48" s="1"/>
  <c r="U23" i="48"/>
  <c r="C23" i="48" s="1"/>
  <c r="P40" i="48"/>
  <c r="U7" i="48"/>
  <c r="U9" i="48"/>
  <c r="C9" i="48" s="1"/>
  <c r="U12" i="48"/>
  <c r="C12" i="48" s="1"/>
  <c r="U28" i="48"/>
  <c r="C28" i="48" s="1"/>
  <c r="U34" i="48"/>
  <c r="C34" i="48" s="1"/>
  <c r="U18" i="48"/>
  <c r="C18" i="48" s="1"/>
  <c r="U31" i="48"/>
  <c r="C31" i="48" s="1"/>
  <c r="U15" i="48"/>
  <c r="C15" i="48" s="1"/>
  <c r="U33" i="48"/>
  <c r="C33" i="48" s="1"/>
  <c r="U17" i="48"/>
  <c r="C17" i="48" s="1"/>
  <c r="U8" i="48"/>
  <c r="C8" i="48" s="1"/>
  <c r="U24" i="48"/>
  <c r="C24" i="48" s="1"/>
  <c r="U16" i="48"/>
  <c r="C16" i="48" s="1"/>
  <c r="C7" i="48" l="1"/>
  <c r="BF31" i="47" l="1"/>
  <c r="BA20" i="47"/>
  <c r="BF26" i="47"/>
  <c r="BF8" i="47"/>
  <c r="BF7" i="47" l="1"/>
  <c r="R31" i="47"/>
  <c r="R33" i="47"/>
  <c r="R23" i="47"/>
  <c r="R24" i="47" l="1"/>
  <c r="R17" i="47"/>
  <c r="R30" i="47"/>
  <c r="R12" i="47"/>
  <c r="R37" i="47"/>
  <c r="R25" i="47"/>
  <c r="R18" i="47"/>
  <c r="R9" i="47"/>
  <c r="R16" i="47" l="1"/>
  <c r="BF9" i="47" l="1"/>
  <c r="BF10" i="47"/>
  <c r="BF11" i="47"/>
  <c r="BF12" i="47"/>
  <c r="BF13" i="47"/>
  <c r="BF14" i="47"/>
  <c r="BF15" i="47"/>
  <c r="BF16" i="47"/>
  <c r="BF17" i="47"/>
  <c r="BF18" i="47"/>
  <c r="BF19" i="47"/>
  <c r="BF20" i="47"/>
  <c r="BF21" i="47"/>
  <c r="BF22" i="47"/>
  <c r="BF23" i="47"/>
  <c r="BF24" i="47"/>
  <c r="BF25" i="47"/>
  <c r="BF27" i="47"/>
  <c r="BF28" i="47"/>
  <c r="BF29" i="47"/>
  <c r="BF30" i="47"/>
  <c r="BF32" i="47"/>
  <c r="BF33" i="47"/>
  <c r="BF34" i="47"/>
  <c r="BF35" i="47"/>
  <c r="BF36" i="47"/>
  <c r="BF37" i="47"/>
  <c r="BF38" i="47"/>
  <c r="I40" i="47"/>
  <c r="J40" i="47"/>
  <c r="L40" i="47"/>
  <c r="N40" i="47"/>
  <c r="S40" i="47"/>
  <c r="E7" i="47"/>
  <c r="E8" i="47"/>
  <c r="E9" i="47"/>
  <c r="E10" i="47"/>
  <c r="E11" i="47"/>
  <c r="E12" i="47"/>
  <c r="E13" i="47"/>
  <c r="E14" i="47"/>
  <c r="E15" i="47"/>
  <c r="E16" i="47"/>
  <c r="E17" i="47"/>
  <c r="E18" i="47"/>
  <c r="E19" i="47"/>
  <c r="E20" i="47"/>
  <c r="E21" i="47"/>
  <c r="E22" i="47"/>
  <c r="E23" i="47"/>
  <c r="E24" i="47"/>
  <c r="E25" i="47"/>
  <c r="E26" i="47"/>
  <c r="E27" i="47"/>
  <c r="E28" i="47"/>
  <c r="E29" i="47"/>
  <c r="E30" i="47"/>
  <c r="E31" i="47"/>
  <c r="E32" i="47"/>
  <c r="E33" i="47"/>
  <c r="E34" i="47"/>
  <c r="E35" i="47"/>
  <c r="E36" i="47"/>
  <c r="E37" i="47"/>
  <c r="E38" i="47"/>
  <c r="F7" i="47"/>
  <c r="F8" i="47"/>
  <c r="F9" i="47"/>
  <c r="F10" i="47"/>
  <c r="F11" i="47"/>
  <c r="F12" i="47"/>
  <c r="F13" i="47"/>
  <c r="F14" i="47"/>
  <c r="F15" i="47"/>
  <c r="F16" i="47"/>
  <c r="F17" i="47"/>
  <c r="F18" i="47"/>
  <c r="F19" i="47"/>
  <c r="F20" i="47"/>
  <c r="F21" i="47"/>
  <c r="F22" i="47"/>
  <c r="F23" i="47"/>
  <c r="F24" i="47"/>
  <c r="F25" i="47"/>
  <c r="F26" i="47"/>
  <c r="F27" i="47"/>
  <c r="F28" i="47"/>
  <c r="F29" i="47"/>
  <c r="F30" i="47"/>
  <c r="F31" i="47"/>
  <c r="F32" i="47"/>
  <c r="F33" i="47"/>
  <c r="F34" i="47"/>
  <c r="F35" i="47"/>
  <c r="F36" i="47"/>
  <c r="F37" i="47"/>
  <c r="F38" i="47"/>
  <c r="F6" i="47"/>
  <c r="E6" i="47"/>
  <c r="BF11" i="57" l="1"/>
  <c r="AZ16" i="47"/>
  <c r="BD16" i="47" s="1"/>
  <c r="AZ34" i="47"/>
  <c r="BD34" i="47" s="1"/>
  <c r="E40" i="47"/>
  <c r="F40" i="47"/>
  <c r="BP45" i="47"/>
  <c r="BP40" i="47"/>
  <c r="BL40" i="47"/>
  <c r="BE40" i="47"/>
  <c r="BC40" i="47"/>
  <c r="BB40" i="47"/>
  <c r="BA40" i="47"/>
  <c r="AV40" i="47"/>
  <c r="AU40" i="47"/>
  <c r="AT40" i="47"/>
  <c r="AP40" i="47"/>
  <c r="AO40" i="47"/>
  <c r="AN40" i="47"/>
  <c r="AM40" i="47"/>
  <c r="AL40" i="47"/>
  <c r="AJ40" i="47"/>
  <c r="AI40" i="47"/>
  <c r="AG40" i="47"/>
  <c r="AF40" i="47"/>
  <c r="AE40" i="47"/>
  <c r="AD40" i="47"/>
  <c r="AC40" i="47"/>
  <c r="AA40" i="47"/>
  <c r="Z40" i="47"/>
  <c r="Y40" i="47"/>
  <c r="X40" i="47"/>
  <c r="W40" i="47"/>
  <c r="V40" i="47"/>
  <c r="AY38" i="47"/>
  <c r="AX38" i="47"/>
  <c r="AW38" i="47"/>
  <c r="AZ38" i="47" s="1"/>
  <c r="BD38" i="47" s="1"/>
  <c r="B38" i="47"/>
  <c r="AY37" i="47"/>
  <c r="AX37" i="47"/>
  <c r="AW37" i="47"/>
  <c r="AZ37" i="47" s="1"/>
  <c r="BD37" i="47" s="1"/>
  <c r="B37" i="47"/>
  <c r="AY36" i="47"/>
  <c r="AX36" i="47"/>
  <c r="AW36" i="47"/>
  <c r="AZ36" i="47" s="1"/>
  <c r="BD36" i="47" s="1"/>
  <c r="B36" i="47"/>
  <c r="AY35" i="47"/>
  <c r="AX35" i="47"/>
  <c r="AW35" i="47"/>
  <c r="AZ35" i="47" s="1"/>
  <c r="BD35" i="47" s="1"/>
  <c r="B35" i="47"/>
  <c r="AY34" i="47"/>
  <c r="AX34" i="47"/>
  <c r="AW34" i="47"/>
  <c r="B34" i="47"/>
  <c r="BP33" i="47"/>
  <c r="BJ6" i="47" s="1"/>
  <c r="BJ40" i="47" s="1"/>
  <c r="AY33" i="47"/>
  <c r="AX33" i="47"/>
  <c r="AW33" i="47"/>
  <c r="AZ33" i="47" s="1"/>
  <c r="BD33" i="47" s="1"/>
  <c r="B33" i="47"/>
  <c r="AY32" i="47"/>
  <c r="AX32" i="47"/>
  <c r="AW32" i="47"/>
  <c r="AZ32" i="47" s="1"/>
  <c r="BD32" i="47" s="1"/>
  <c r="B32" i="47"/>
  <c r="AY31" i="47"/>
  <c r="AX31" i="47"/>
  <c r="AW31" i="47"/>
  <c r="AZ31" i="47" s="1"/>
  <c r="BD31" i="47" s="1"/>
  <c r="B31" i="47"/>
  <c r="AY30" i="47"/>
  <c r="AX30" i="47"/>
  <c r="AW30" i="47"/>
  <c r="AZ30" i="47" s="1"/>
  <c r="BD30" i="47" s="1"/>
  <c r="B30" i="47"/>
  <c r="AY29" i="47"/>
  <c r="AX29" i="47"/>
  <c r="AW29" i="47"/>
  <c r="AZ29" i="47" s="1"/>
  <c r="BD29" i="47" s="1"/>
  <c r="B29" i="47"/>
  <c r="BP28" i="47"/>
  <c r="AY28" i="47"/>
  <c r="AX28" i="47"/>
  <c r="AW28" i="47"/>
  <c r="AZ28" i="47" s="1"/>
  <c r="BD28" i="47" s="1"/>
  <c r="B28" i="47"/>
  <c r="AY27" i="47"/>
  <c r="AX27" i="47"/>
  <c r="AW27" i="47"/>
  <c r="AZ27" i="47" s="1"/>
  <c r="BD27" i="47" s="1"/>
  <c r="B27" i="47"/>
  <c r="AY26" i="47"/>
  <c r="AX26" i="47"/>
  <c r="AW26" i="47"/>
  <c r="AZ26" i="47" s="1"/>
  <c r="BD26" i="47" s="1"/>
  <c r="B26" i="47"/>
  <c r="AY25" i="47"/>
  <c r="AX25" i="47"/>
  <c r="AW25" i="47"/>
  <c r="B25" i="47"/>
  <c r="AY24" i="47"/>
  <c r="AX24" i="47"/>
  <c r="AW24" i="47"/>
  <c r="B24" i="47"/>
  <c r="AY23" i="47"/>
  <c r="AX23" i="47"/>
  <c r="AW23" i="47"/>
  <c r="B23" i="47"/>
  <c r="BP22" i="47"/>
  <c r="BM6" i="47" s="1"/>
  <c r="BM40" i="47" s="1"/>
  <c r="AY22" i="47"/>
  <c r="AX22" i="47"/>
  <c r="AW22" i="47"/>
  <c r="B22" i="47"/>
  <c r="AY21" i="47"/>
  <c r="AZ21" i="47" s="1"/>
  <c r="BD21" i="47" s="1"/>
  <c r="AX21" i="47"/>
  <c r="AW21" i="47"/>
  <c r="B21" i="47"/>
  <c r="AX20" i="47"/>
  <c r="AW20" i="47"/>
  <c r="AY20" i="47"/>
  <c r="B20" i="47"/>
  <c r="AY19" i="47"/>
  <c r="AX19" i="47"/>
  <c r="AW19" i="47"/>
  <c r="AZ19" i="47" s="1"/>
  <c r="BD19" i="47" s="1"/>
  <c r="B19" i="47"/>
  <c r="AY18" i="47"/>
  <c r="AZ18" i="47" s="1"/>
  <c r="BD18" i="47" s="1"/>
  <c r="AX18" i="47"/>
  <c r="AW18" i="47"/>
  <c r="B18" i="47"/>
  <c r="AY17" i="47"/>
  <c r="AZ17" i="47" s="1"/>
  <c r="BD17" i="47" s="1"/>
  <c r="AX17" i="47"/>
  <c r="AW17" i="47"/>
  <c r="B17" i="47"/>
  <c r="BP16" i="47"/>
  <c r="BH6" i="47" s="1"/>
  <c r="BH40" i="47" s="1"/>
  <c r="AY16" i="47"/>
  <c r="AX16" i="47"/>
  <c r="AW16" i="47"/>
  <c r="B16" i="47"/>
  <c r="AY15" i="47"/>
  <c r="AX15" i="47"/>
  <c r="AW15" i="47"/>
  <c r="AZ15" i="47" s="1"/>
  <c r="BD15" i="47" s="1"/>
  <c r="B15" i="47"/>
  <c r="AY14" i="47"/>
  <c r="AX14" i="47"/>
  <c r="AW14" i="47"/>
  <c r="AZ14" i="47" s="1"/>
  <c r="BD14" i="47" s="1"/>
  <c r="B14" i="47"/>
  <c r="AY13" i="47"/>
  <c r="AX13" i="47"/>
  <c r="AW13" i="47"/>
  <c r="AZ13" i="47" s="1"/>
  <c r="BD13" i="47" s="1"/>
  <c r="B13" i="47"/>
  <c r="AY12" i="47"/>
  <c r="AX12" i="47"/>
  <c r="AW12" i="47"/>
  <c r="AZ12" i="47" s="1"/>
  <c r="BD12" i="47" s="1"/>
  <c r="B12" i="47"/>
  <c r="AY11" i="47"/>
  <c r="AX11" i="47"/>
  <c r="AW11" i="47"/>
  <c r="B11" i="47"/>
  <c r="AY10" i="47"/>
  <c r="AX10" i="47"/>
  <c r="AW10" i="47"/>
  <c r="B10" i="47"/>
  <c r="AY9" i="47"/>
  <c r="AX9" i="47"/>
  <c r="AW9" i="47"/>
  <c r="B9" i="47"/>
  <c r="AY8" i="47"/>
  <c r="AX8" i="47"/>
  <c r="AW8" i="47"/>
  <c r="AZ8" i="47" s="1"/>
  <c r="BD8" i="47" s="1"/>
  <c r="B8" i="47"/>
  <c r="AY7" i="47"/>
  <c r="AX7" i="47"/>
  <c r="AW7" i="47"/>
  <c r="AZ7" i="47" s="1"/>
  <c r="BD7" i="47" s="1"/>
  <c r="B7" i="47"/>
  <c r="BK6" i="47"/>
  <c r="BK40" i="47" s="1"/>
  <c r="BI6" i="47"/>
  <c r="BI40" i="47" s="1"/>
  <c r="BF6" i="47"/>
  <c r="AY6" i="47"/>
  <c r="AX6" i="47"/>
  <c r="AW6" i="47"/>
  <c r="B6" i="47"/>
  <c r="AZ23" i="47" l="1"/>
  <c r="BD23" i="47" s="1"/>
  <c r="AZ25" i="47"/>
  <c r="BD25" i="47" s="1"/>
  <c r="AZ10" i="47"/>
  <c r="BD10" i="47" s="1"/>
  <c r="AZ22" i="47"/>
  <c r="BD22" i="47" s="1"/>
  <c r="AZ24" i="47"/>
  <c r="BD24" i="47" s="1"/>
  <c r="AZ9" i="47"/>
  <c r="BD9" i="47" s="1"/>
  <c r="AZ20" i="47"/>
  <c r="BD20" i="47" s="1"/>
  <c r="AZ11" i="47"/>
  <c r="BD11" i="47" s="1"/>
  <c r="AY40" i="47"/>
  <c r="AW40" i="47"/>
  <c r="BP34" i="47"/>
  <c r="F47" i="47"/>
  <c r="AZ6" i="47"/>
  <c r="BF40" i="47"/>
  <c r="AX40" i="47"/>
  <c r="AK40" i="47"/>
  <c r="F11" i="46"/>
  <c r="AN20" i="46"/>
  <c r="AK20" i="46"/>
  <c r="AZ40" i="47" l="1"/>
  <c r="C47" i="47" s="1"/>
  <c r="BD6" i="47"/>
  <c r="BD40" i="47" s="1"/>
  <c r="BF7" i="45"/>
  <c r="BF7" i="46"/>
  <c r="BF7" i="57" l="1"/>
  <c r="U20" i="48"/>
  <c r="R40" i="48"/>
  <c r="R20" i="47"/>
  <c r="AZ85" i="47"/>
  <c r="F38" i="46"/>
  <c r="E38" i="46"/>
  <c r="F37" i="46"/>
  <c r="F36" i="46"/>
  <c r="E36" i="46"/>
  <c r="F35" i="46"/>
  <c r="E35" i="46"/>
  <c r="F34" i="46"/>
  <c r="E34" i="46"/>
  <c r="F33" i="46"/>
  <c r="E33" i="46"/>
  <c r="F32" i="46"/>
  <c r="E32" i="46"/>
  <c r="F31" i="46"/>
  <c r="E31" i="46"/>
  <c r="F30" i="46"/>
  <c r="E30" i="46"/>
  <c r="F29" i="46"/>
  <c r="E29" i="46"/>
  <c r="F28" i="46"/>
  <c r="E28" i="46"/>
  <c r="F27" i="46"/>
  <c r="E27" i="46"/>
  <c r="F26" i="46"/>
  <c r="E26" i="46"/>
  <c r="F25" i="46"/>
  <c r="E25" i="46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E11" i="46"/>
  <c r="F10" i="46"/>
  <c r="E10" i="46"/>
  <c r="F9" i="46"/>
  <c r="E9" i="46"/>
  <c r="F8" i="46"/>
  <c r="E8" i="46"/>
  <c r="F7" i="46"/>
  <c r="E7" i="46"/>
  <c r="F6" i="46"/>
  <c r="E6" i="46"/>
  <c r="BP45" i="46"/>
  <c r="BP40" i="46"/>
  <c r="BL40" i="46"/>
  <c r="BE40" i="46"/>
  <c r="BC40" i="46"/>
  <c r="BB40" i="46"/>
  <c r="BA40" i="46"/>
  <c r="AV40" i="46"/>
  <c r="AU40" i="46"/>
  <c r="AT40" i="46"/>
  <c r="AP40" i="46"/>
  <c r="AO40" i="46"/>
  <c r="AN40" i="46"/>
  <c r="AM40" i="46"/>
  <c r="AL40" i="46"/>
  <c r="AK40" i="46"/>
  <c r="AI40" i="46"/>
  <c r="AG40" i="46"/>
  <c r="AF40" i="46"/>
  <c r="AE40" i="46"/>
  <c r="AD40" i="46"/>
  <c r="AC40" i="46"/>
  <c r="AA40" i="46"/>
  <c r="Z40" i="46"/>
  <c r="Y40" i="46"/>
  <c r="X40" i="46"/>
  <c r="W40" i="46"/>
  <c r="V40" i="46"/>
  <c r="S40" i="46"/>
  <c r="N40" i="46"/>
  <c r="L40" i="46"/>
  <c r="J40" i="46"/>
  <c r="I40" i="46"/>
  <c r="BF38" i="46"/>
  <c r="AY38" i="46"/>
  <c r="AX38" i="46"/>
  <c r="AW38" i="46"/>
  <c r="B38" i="46"/>
  <c r="BF37" i="46"/>
  <c r="AY37" i="46"/>
  <c r="AX37" i="46"/>
  <c r="AW37" i="46"/>
  <c r="B37" i="46"/>
  <c r="BF36" i="46"/>
  <c r="AY36" i="46"/>
  <c r="AX36" i="46"/>
  <c r="AW36" i="46"/>
  <c r="B36" i="46"/>
  <c r="BF35" i="46"/>
  <c r="AY35" i="46"/>
  <c r="AX35" i="46"/>
  <c r="AW35" i="46"/>
  <c r="B35" i="46"/>
  <c r="BF34" i="46"/>
  <c r="AY34" i="46"/>
  <c r="AX34" i="46"/>
  <c r="AW34" i="46"/>
  <c r="B34" i="46"/>
  <c r="BP33" i="46"/>
  <c r="BP34" i="46" s="1"/>
  <c r="BF33" i="46"/>
  <c r="AY33" i="46"/>
  <c r="AX33" i="46"/>
  <c r="AW33" i="46"/>
  <c r="B33" i="46"/>
  <c r="BF32" i="46"/>
  <c r="AY32" i="46"/>
  <c r="AX32" i="46"/>
  <c r="AW32" i="46"/>
  <c r="B32" i="46"/>
  <c r="BF31" i="46"/>
  <c r="AY31" i="46"/>
  <c r="AX31" i="46"/>
  <c r="AW31" i="46"/>
  <c r="B31" i="46"/>
  <c r="BF30" i="46"/>
  <c r="AY30" i="46"/>
  <c r="AX30" i="46"/>
  <c r="AW30" i="46"/>
  <c r="B30" i="46"/>
  <c r="BF29" i="46"/>
  <c r="AY29" i="46"/>
  <c r="AX29" i="46"/>
  <c r="AW29" i="46"/>
  <c r="B29" i="46"/>
  <c r="BP28" i="46"/>
  <c r="BI6" i="46" s="1"/>
  <c r="BI40" i="46" s="1"/>
  <c r="BF28" i="46"/>
  <c r="AY28" i="46"/>
  <c r="AX28" i="46"/>
  <c r="AW28" i="46"/>
  <c r="B28" i="46"/>
  <c r="BF27" i="46"/>
  <c r="AY27" i="46"/>
  <c r="AX27" i="46"/>
  <c r="AW27" i="46"/>
  <c r="B27" i="46"/>
  <c r="BF26" i="46"/>
  <c r="AY26" i="46"/>
  <c r="AX26" i="46"/>
  <c r="AW26" i="46"/>
  <c r="B26" i="46"/>
  <c r="BF25" i="46"/>
  <c r="AY25" i="46"/>
  <c r="AX25" i="46"/>
  <c r="AW25" i="46"/>
  <c r="B25" i="46"/>
  <c r="BF24" i="46"/>
  <c r="AY24" i="46"/>
  <c r="AX24" i="46"/>
  <c r="AW24" i="46"/>
  <c r="B24" i="46"/>
  <c r="BF23" i="46"/>
  <c r="AY23" i="46"/>
  <c r="AX23" i="46"/>
  <c r="AW23" i="46"/>
  <c r="B23" i="46"/>
  <c r="BP22" i="46"/>
  <c r="BF22" i="46"/>
  <c r="AY22" i="46"/>
  <c r="AX22" i="46"/>
  <c r="AW22" i="46"/>
  <c r="B22" i="46"/>
  <c r="BF21" i="46"/>
  <c r="AY21" i="46"/>
  <c r="AX21" i="46"/>
  <c r="AW21" i="46"/>
  <c r="B21" i="46"/>
  <c r="BF20" i="46"/>
  <c r="AY20" i="46"/>
  <c r="AX20" i="46"/>
  <c r="AW20" i="46"/>
  <c r="B20" i="46"/>
  <c r="BF19" i="46"/>
  <c r="AY19" i="46"/>
  <c r="AX19" i="46"/>
  <c r="AW19" i="46"/>
  <c r="B19" i="46"/>
  <c r="BF18" i="46"/>
  <c r="AY18" i="46"/>
  <c r="AX18" i="46"/>
  <c r="AW18" i="46"/>
  <c r="B18" i="46"/>
  <c r="BF17" i="46"/>
  <c r="AY17" i="46"/>
  <c r="AX17" i="46"/>
  <c r="AW17" i="46"/>
  <c r="B17" i="46"/>
  <c r="BP16" i="46"/>
  <c r="BH6" i="46" s="1"/>
  <c r="BH40" i="46" s="1"/>
  <c r="BF16" i="46"/>
  <c r="AY16" i="46"/>
  <c r="AX16" i="46"/>
  <c r="AW16" i="46"/>
  <c r="B16" i="46"/>
  <c r="BF15" i="46"/>
  <c r="AY15" i="46"/>
  <c r="AX15" i="46"/>
  <c r="AW15" i="46"/>
  <c r="B15" i="46"/>
  <c r="BF14" i="46"/>
  <c r="AY14" i="46"/>
  <c r="AX14" i="46"/>
  <c r="AW14" i="46"/>
  <c r="B14" i="46"/>
  <c r="BF13" i="46"/>
  <c r="AY13" i="46"/>
  <c r="AX13" i="46"/>
  <c r="AW13" i="46"/>
  <c r="B13" i="46"/>
  <c r="BF12" i="46"/>
  <c r="AY12" i="46"/>
  <c r="AX12" i="46"/>
  <c r="AW12" i="46"/>
  <c r="B12" i="46"/>
  <c r="BF11" i="46"/>
  <c r="AY11" i="46"/>
  <c r="AW11" i="46"/>
  <c r="AX11" i="46"/>
  <c r="B11" i="46"/>
  <c r="BF10" i="46"/>
  <c r="AY10" i="46"/>
  <c r="AX10" i="46"/>
  <c r="AW10" i="46"/>
  <c r="B10" i="46"/>
  <c r="BF9" i="46"/>
  <c r="AY9" i="46"/>
  <c r="AX9" i="46"/>
  <c r="AW9" i="46"/>
  <c r="B9" i="46"/>
  <c r="BF8" i="46"/>
  <c r="AY8" i="46"/>
  <c r="AX8" i="46"/>
  <c r="AW8" i="46"/>
  <c r="B8" i="46"/>
  <c r="AY7" i="46"/>
  <c r="AX7" i="46"/>
  <c r="AW7" i="46"/>
  <c r="B7" i="46"/>
  <c r="BM6" i="46"/>
  <c r="BM40" i="46" s="1"/>
  <c r="BK6" i="46"/>
  <c r="BK40" i="46" s="1"/>
  <c r="BF6" i="46"/>
  <c r="AY6" i="46"/>
  <c r="AX6" i="46"/>
  <c r="AW6" i="46"/>
  <c r="B6" i="46"/>
  <c r="BF14" i="57" l="1"/>
  <c r="BF28" i="57"/>
  <c r="BF15" i="57"/>
  <c r="BF18" i="57"/>
  <c r="BF22" i="57"/>
  <c r="BF25" i="57"/>
  <c r="BF32" i="57"/>
  <c r="BF35" i="57"/>
  <c r="BF24" i="57"/>
  <c r="BF38" i="57"/>
  <c r="BF12" i="57"/>
  <c r="BF16" i="57"/>
  <c r="BF19" i="57"/>
  <c r="BF26" i="57"/>
  <c r="BF29" i="57"/>
  <c r="BF33" i="57"/>
  <c r="BF36" i="57"/>
  <c r="BF17" i="57"/>
  <c r="BF21" i="57"/>
  <c r="BF31" i="57"/>
  <c r="BF34" i="57"/>
  <c r="BF13" i="57"/>
  <c r="BF20" i="57"/>
  <c r="BF23" i="57"/>
  <c r="BF27" i="57"/>
  <c r="BF30" i="57"/>
  <c r="BF37" i="57"/>
  <c r="BF8" i="57"/>
  <c r="BF10" i="57"/>
  <c r="BF9" i="57"/>
  <c r="BF6" i="57"/>
  <c r="C20" i="48"/>
  <c r="C40" i="48" s="1"/>
  <c r="U40" i="48"/>
  <c r="R40" i="47"/>
  <c r="AZ7" i="46"/>
  <c r="BD7" i="46" s="1"/>
  <c r="BJ6" i="46"/>
  <c r="BJ40" i="46" s="1"/>
  <c r="AZ14" i="46"/>
  <c r="BD14" i="46" s="1"/>
  <c r="AZ16" i="46"/>
  <c r="BD16" i="46" s="1"/>
  <c r="AZ18" i="46"/>
  <c r="BD18" i="46" s="1"/>
  <c r="AZ19" i="46"/>
  <c r="BD19" i="46" s="1"/>
  <c r="AZ21" i="46"/>
  <c r="BD21" i="46" s="1"/>
  <c r="AZ23" i="46"/>
  <c r="BD23" i="46" s="1"/>
  <c r="AZ25" i="46"/>
  <c r="BD25" i="46" s="1"/>
  <c r="AZ27" i="46"/>
  <c r="BD27" i="46" s="1"/>
  <c r="AZ29" i="46"/>
  <c r="BD29" i="46" s="1"/>
  <c r="AZ31" i="46"/>
  <c r="BD31" i="46" s="1"/>
  <c r="AZ33" i="46"/>
  <c r="BD33" i="46" s="1"/>
  <c r="AZ35" i="46"/>
  <c r="BD35" i="46" s="1"/>
  <c r="AZ37" i="46"/>
  <c r="BD37" i="46" s="1"/>
  <c r="AZ11" i="46"/>
  <c r="BD11" i="46" s="1"/>
  <c r="AZ15" i="46"/>
  <c r="BD15" i="46" s="1"/>
  <c r="AZ17" i="46"/>
  <c r="BD17" i="46" s="1"/>
  <c r="AZ20" i="46"/>
  <c r="BD20" i="46" s="1"/>
  <c r="AZ22" i="46"/>
  <c r="BD22" i="46" s="1"/>
  <c r="AZ24" i="46"/>
  <c r="BD24" i="46" s="1"/>
  <c r="AZ26" i="46"/>
  <c r="BD26" i="46" s="1"/>
  <c r="AZ28" i="46"/>
  <c r="BD28" i="46" s="1"/>
  <c r="AZ30" i="46"/>
  <c r="BD30" i="46" s="1"/>
  <c r="AZ32" i="46"/>
  <c r="BD32" i="46" s="1"/>
  <c r="AZ34" i="46"/>
  <c r="BD34" i="46" s="1"/>
  <c r="AZ36" i="46"/>
  <c r="BD36" i="46" s="1"/>
  <c r="AZ38" i="46"/>
  <c r="BD38" i="46" s="1"/>
  <c r="AZ9" i="46"/>
  <c r="BD9" i="46" s="1"/>
  <c r="AZ12" i="46"/>
  <c r="BD12" i="46" s="1"/>
  <c r="AY40" i="46"/>
  <c r="AW40" i="46"/>
  <c r="AZ10" i="46"/>
  <c r="BD10" i="46" s="1"/>
  <c r="BF40" i="46"/>
  <c r="AZ6" i="46"/>
  <c r="BD6" i="46" s="1"/>
  <c r="AX40" i="46"/>
  <c r="AZ13" i="46"/>
  <c r="BD13" i="46" s="1"/>
  <c r="F40" i="46"/>
  <c r="AZ8" i="46"/>
  <c r="BD8" i="46" s="1"/>
  <c r="AJ40" i="46"/>
  <c r="AJ10" i="45"/>
  <c r="BF40" i="57" l="1"/>
  <c r="AZ40" i="46"/>
  <c r="C47" i="46" s="1"/>
  <c r="AJ11" i="45"/>
  <c r="BF19" i="45"/>
  <c r="AY19" i="45"/>
  <c r="AX19" i="45"/>
  <c r="AW19" i="45"/>
  <c r="F19" i="45"/>
  <c r="F19" i="57" s="1"/>
  <c r="E19" i="45"/>
  <c r="E19" i="57" s="1"/>
  <c r="B19" i="45"/>
  <c r="BD40" i="46" l="1"/>
  <c r="AZ85" i="46"/>
  <c r="AZ19" i="45"/>
  <c r="BD19" i="45" l="1"/>
  <c r="BD19" i="57" s="1"/>
  <c r="AZ19" i="57"/>
  <c r="BF34" i="45"/>
  <c r="AY34" i="45"/>
  <c r="AX34" i="45"/>
  <c r="AW34" i="45"/>
  <c r="F34" i="45"/>
  <c r="F34" i="57" s="1"/>
  <c r="E34" i="45"/>
  <c r="E34" i="57" s="1"/>
  <c r="B34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5" i="45"/>
  <c r="B36" i="45"/>
  <c r="B37" i="45"/>
  <c r="B38" i="45"/>
  <c r="B6" i="45"/>
  <c r="BF37" i="45"/>
  <c r="AY37" i="45"/>
  <c r="AX37" i="45"/>
  <c r="AW37" i="45"/>
  <c r="F37" i="45"/>
  <c r="F37" i="57" s="1"/>
  <c r="E37" i="45"/>
  <c r="AZ34" i="45" l="1"/>
  <c r="AZ37" i="45"/>
  <c r="BD37" i="45" l="1"/>
  <c r="BD37" i="57" s="1"/>
  <c r="AZ37" i="57"/>
  <c r="BD34" i="45"/>
  <c r="BD34" i="57" s="1"/>
  <c r="AZ34" i="57"/>
  <c r="F7" i="45"/>
  <c r="F7" i="57" s="1"/>
  <c r="F8" i="45"/>
  <c r="F8" i="57" s="1"/>
  <c r="F9" i="45"/>
  <c r="F9" i="57" s="1"/>
  <c r="F10" i="45"/>
  <c r="F10" i="57" s="1"/>
  <c r="F11" i="45"/>
  <c r="F11" i="57" s="1"/>
  <c r="F12" i="45"/>
  <c r="F12" i="57" s="1"/>
  <c r="F13" i="45"/>
  <c r="F13" i="57" s="1"/>
  <c r="F14" i="45"/>
  <c r="F14" i="57" s="1"/>
  <c r="F15" i="45"/>
  <c r="F15" i="57" s="1"/>
  <c r="F16" i="45"/>
  <c r="F16" i="57" s="1"/>
  <c r="F17" i="45"/>
  <c r="F17" i="57" s="1"/>
  <c r="F18" i="45"/>
  <c r="F18" i="57" s="1"/>
  <c r="F20" i="45"/>
  <c r="F20" i="57" s="1"/>
  <c r="F21" i="45"/>
  <c r="F21" i="57" s="1"/>
  <c r="F22" i="45"/>
  <c r="F22" i="57" s="1"/>
  <c r="F23" i="45"/>
  <c r="F23" i="57" s="1"/>
  <c r="F24" i="45"/>
  <c r="F24" i="57" s="1"/>
  <c r="F25" i="45"/>
  <c r="F25" i="57" s="1"/>
  <c r="F26" i="45"/>
  <c r="F26" i="57" s="1"/>
  <c r="F27" i="45"/>
  <c r="F27" i="57" s="1"/>
  <c r="F28" i="45"/>
  <c r="F28" i="57" s="1"/>
  <c r="F29" i="45"/>
  <c r="F29" i="57" s="1"/>
  <c r="F30" i="45"/>
  <c r="F30" i="57" s="1"/>
  <c r="F31" i="45"/>
  <c r="F31" i="57" s="1"/>
  <c r="F32" i="45"/>
  <c r="F32" i="57" s="1"/>
  <c r="F33" i="45"/>
  <c r="F33" i="57" s="1"/>
  <c r="F35" i="45"/>
  <c r="F35" i="57" s="1"/>
  <c r="F36" i="45"/>
  <c r="F36" i="57" s="1"/>
  <c r="F38" i="45"/>
  <c r="F38" i="57" s="1"/>
  <c r="F6" i="45"/>
  <c r="F6" i="57" s="1"/>
  <c r="E7" i="45"/>
  <c r="E7" i="57" s="1"/>
  <c r="E8" i="45"/>
  <c r="E8" i="57" s="1"/>
  <c r="E9" i="45"/>
  <c r="E9" i="57" s="1"/>
  <c r="E10" i="45"/>
  <c r="E10" i="57" s="1"/>
  <c r="E11" i="45"/>
  <c r="E11" i="57" s="1"/>
  <c r="E12" i="45"/>
  <c r="E12" i="57" s="1"/>
  <c r="E13" i="45"/>
  <c r="E13" i="57" s="1"/>
  <c r="E14" i="45"/>
  <c r="E14" i="57" s="1"/>
  <c r="E15" i="45"/>
  <c r="E15" i="57" s="1"/>
  <c r="E16" i="45"/>
  <c r="E16" i="57" s="1"/>
  <c r="E17" i="45"/>
  <c r="E17" i="57" s="1"/>
  <c r="E18" i="45"/>
  <c r="E18" i="57" s="1"/>
  <c r="E20" i="45"/>
  <c r="E20" i="57" s="1"/>
  <c r="E21" i="45"/>
  <c r="E21" i="57" s="1"/>
  <c r="E22" i="45"/>
  <c r="E22" i="57" s="1"/>
  <c r="E23" i="45"/>
  <c r="E23" i="57" s="1"/>
  <c r="E24" i="45"/>
  <c r="E24" i="57" s="1"/>
  <c r="E25" i="45"/>
  <c r="E25" i="57" s="1"/>
  <c r="E26" i="45"/>
  <c r="E26" i="57" s="1"/>
  <c r="E27" i="45"/>
  <c r="E27" i="57" s="1"/>
  <c r="E28" i="45"/>
  <c r="E28" i="57" s="1"/>
  <c r="E29" i="45"/>
  <c r="E29" i="57" s="1"/>
  <c r="E30" i="45"/>
  <c r="E30" i="57" s="1"/>
  <c r="E31" i="45"/>
  <c r="E31" i="57" s="1"/>
  <c r="E32" i="45"/>
  <c r="E32" i="57" s="1"/>
  <c r="E33" i="45"/>
  <c r="E33" i="57" s="1"/>
  <c r="E35" i="45"/>
  <c r="E35" i="57" s="1"/>
  <c r="E36" i="45"/>
  <c r="E36" i="57" s="1"/>
  <c r="E38" i="45"/>
  <c r="E38" i="57" s="1"/>
  <c r="E6" i="45"/>
  <c r="E6" i="57" s="1"/>
  <c r="BP45" i="45"/>
  <c r="BP40" i="45"/>
  <c r="BK6" i="45" s="1"/>
  <c r="BK40" i="45" s="1"/>
  <c r="BL40" i="45"/>
  <c r="BC40" i="45"/>
  <c r="BB40" i="45"/>
  <c r="BA40" i="45"/>
  <c r="AV40" i="45"/>
  <c r="AU40" i="45"/>
  <c r="AT40" i="45"/>
  <c r="AP40" i="45"/>
  <c r="AO40" i="45"/>
  <c r="AN40" i="45"/>
  <c r="AM40" i="45"/>
  <c r="AL40" i="45"/>
  <c r="AK40" i="45"/>
  <c r="AI40" i="45"/>
  <c r="AG40" i="45"/>
  <c r="AF40" i="45"/>
  <c r="AE40" i="45"/>
  <c r="AD40" i="45"/>
  <c r="AC40" i="45"/>
  <c r="AA40" i="45"/>
  <c r="Z40" i="45"/>
  <c r="Y40" i="45"/>
  <c r="X40" i="45"/>
  <c r="W40" i="45"/>
  <c r="V40" i="45"/>
  <c r="S40" i="45"/>
  <c r="R40" i="45"/>
  <c r="P40" i="45"/>
  <c r="N40" i="45"/>
  <c r="L40" i="45"/>
  <c r="J40" i="45"/>
  <c r="I40" i="45"/>
  <c r="BF38" i="45"/>
  <c r="AY38" i="45"/>
  <c r="AX38" i="45"/>
  <c r="AW38" i="45"/>
  <c r="Q38" i="45"/>
  <c r="BF36" i="45"/>
  <c r="AY36" i="45"/>
  <c r="AX36" i="45"/>
  <c r="AW36" i="45"/>
  <c r="BF35" i="45"/>
  <c r="AY35" i="45"/>
  <c r="AX35" i="45"/>
  <c r="AW35" i="45"/>
  <c r="BP33" i="45"/>
  <c r="BP34" i="45" s="1"/>
  <c r="BF33" i="45"/>
  <c r="AY33" i="45"/>
  <c r="AX33" i="45"/>
  <c r="AW33" i="45"/>
  <c r="BF32" i="45"/>
  <c r="AY32" i="45"/>
  <c r="AX32" i="45"/>
  <c r="AW32" i="45"/>
  <c r="BF31" i="45"/>
  <c r="AY31" i="45"/>
  <c r="AX31" i="45"/>
  <c r="AW31" i="45"/>
  <c r="BF30" i="45"/>
  <c r="AY30" i="45"/>
  <c r="AX30" i="45"/>
  <c r="AW30" i="45"/>
  <c r="BF29" i="45"/>
  <c r="AY29" i="45"/>
  <c r="AX29" i="45"/>
  <c r="AW29" i="45"/>
  <c r="BP28" i="45"/>
  <c r="BI6" i="45" s="1"/>
  <c r="BI40" i="45" s="1"/>
  <c r="BF28" i="45"/>
  <c r="AY28" i="45"/>
  <c r="AX28" i="45"/>
  <c r="AW28" i="45"/>
  <c r="Q28" i="45"/>
  <c r="BF27" i="45"/>
  <c r="AY27" i="45"/>
  <c r="AX27" i="45"/>
  <c r="AW27" i="45"/>
  <c r="BF26" i="45"/>
  <c r="AY26" i="45"/>
  <c r="AX26" i="45"/>
  <c r="AW26" i="45"/>
  <c r="BF25" i="45"/>
  <c r="AX25" i="45"/>
  <c r="AW25" i="45"/>
  <c r="AY25" i="45"/>
  <c r="Q25" i="45"/>
  <c r="BF24" i="45"/>
  <c r="AY24" i="45"/>
  <c r="AW24" i="45"/>
  <c r="AX24" i="45"/>
  <c r="Q24" i="45"/>
  <c r="BF23" i="45"/>
  <c r="AY23" i="45"/>
  <c r="AX23" i="45"/>
  <c r="AW23" i="45"/>
  <c r="BP22" i="45"/>
  <c r="BF22" i="45"/>
  <c r="AY22" i="45"/>
  <c r="AX22" i="45"/>
  <c r="AW22" i="45"/>
  <c r="Q22" i="45"/>
  <c r="BF21" i="45"/>
  <c r="AY21" i="45"/>
  <c r="AX21" i="45"/>
  <c r="AW21" i="45"/>
  <c r="BF20" i="45"/>
  <c r="AY20" i="45"/>
  <c r="AW20" i="45"/>
  <c r="AX20" i="45"/>
  <c r="Q20" i="45"/>
  <c r="BF18" i="45"/>
  <c r="AY18" i="45"/>
  <c r="AX18" i="45"/>
  <c r="AW18" i="45"/>
  <c r="BF17" i="45"/>
  <c r="AY17" i="45"/>
  <c r="AX17" i="45"/>
  <c r="AW17" i="45"/>
  <c r="BP16" i="45"/>
  <c r="BH6" i="45" s="1"/>
  <c r="BH40" i="45" s="1"/>
  <c r="BF16" i="45"/>
  <c r="AY16" i="45"/>
  <c r="AX16" i="45"/>
  <c r="AW16" i="45"/>
  <c r="Q16" i="45"/>
  <c r="BF15" i="45"/>
  <c r="AY15" i="45"/>
  <c r="AX15" i="45"/>
  <c r="AW15" i="45"/>
  <c r="Q15" i="45"/>
  <c r="BF14" i="45"/>
  <c r="AY14" i="45"/>
  <c r="AX14" i="45"/>
  <c r="AW14" i="45"/>
  <c r="BF13" i="45"/>
  <c r="AY13" i="45"/>
  <c r="AX13" i="45"/>
  <c r="AW13" i="45"/>
  <c r="BF12" i="45"/>
  <c r="AY12" i="45"/>
  <c r="AX12" i="45"/>
  <c r="AW12" i="45"/>
  <c r="Q12" i="45"/>
  <c r="BF11" i="45"/>
  <c r="AY11" i="45"/>
  <c r="AX11" i="45"/>
  <c r="AW11" i="45"/>
  <c r="Q11" i="45"/>
  <c r="BF10" i="45"/>
  <c r="AY10" i="45"/>
  <c r="AX10" i="45"/>
  <c r="AW10" i="45"/>
  <c r="BF9" i="45"/>
  <c r="AY9" i="45"/>
  <c r="AX9" i="45"/>
  <c r="AW9" i="45"/>
  <c r="BF8" i="45"/>
  <c r="AY8" i="45"/>
  <c r="AX8" i="45"/>
  <c r="AW8" i="45"/>
  <c r="Q8" i="45"/>
  <c r="AY7" i="45"/>
  <c r="AX7" i="45"/>
  <c r="AW7" i="45"/>
  <c r="BM6" i="45"/>
  <c r="BM40" i="45" s="1"/>
  <c r="BJ6" i="45"/>
  <c r="BF6" i="45"/>
  <c r="AY6" i="45"/>
  <c r="AX6" i="45"/>
  <c r="AW6" i="45"/>
  <c r="F40" i="57" l="1"/>
  <c r="AZ17" i="45"/>
  <c r="AZ7" i="45"/>
  <c r="AZ33" i="45"/>
  <c r="Q40" i="45"/>
  <c r="AZ22" i="45"/>
  <c r="AZ25" i="45"/>
  <c r="AZ27" i="45"/>
  <c r="AZ9" i="45"/>
  <c r="AZ11" i="45"/>
  <c r="AZ20" i="45"/>
  <c r="AZ21" i="45"/>
  <c r="AZ14" i="45"/>
  <c r="AW40" i="45"/>
  <c r="AZ30" i="45"/>
  <c r="AZ15" i="45"/>
  <c r="AZ10" i="45"/>
  <c r="AZ8" i="45"/>
  <c r="AZ38" i="45"/>
  <c r="AZ16" i="45"/>
  <c r="AZ31" i="45"/>
  <c r="AZ32" i="45"/>
  <c r="AY40" i="45"/>
  <c r="AX40" i="45"/>
  <c r="AZ12" i="45"/>
  <c r="AZ29" i="45"/>
  <c r="E40" i="45"/>
  <c r="F47" i="45" s="1"/>
  <c r="BJ40" i="45"/>
  <c r="AZ18" i="45"/>
  <c r="F40" i="45"/>
  <c r="BF40" i="45"/>
  <c r="AZ6" i="45"/>
  <c r="AZ13" i="45"/>
  <c r="AZ35" i="45"/>
  <c r="AJ40" i="45"/>
  <c r="AZ23" i="45"/>
  <c r="AZ26" i="45"/>
  <c r="AZ28" i="45"/>
  <c r="AZ36" i="45"/>
  <c r="AZ24" i="45"/>
  <c r="BD30" i="42"/>
  <c r="BD21" i="42"/>
  <c r="BD16" i="42"/>
  <c r="BD13" i="42"/>
  <c r="BD22" i="42"/>
  <c r="BD24" i="42"/>
  <c r="BD12" i="42"/>
  <c r="BD31" i="42"/>
  <c r="BD10" i="42"/>
  <c r="BD25" i="42"/>
  <c r="E20" i="42"/>
  <c r="E16" i="42"/>
  <c r="S16" i="42"/>
  <c r="E35" i="42"/>
  <c r="D35" i="42"/>
  <c r="E18" i="42"/>
  <c r="E26" i="42"/>
  <c r="D26" i="42"/>
  <c r="E12" i="42"/>
  <c r="F35" i="42"/>
  <c r="D20" i="42"/>
  <c r="I12" i="42"/>
  <c r="E11" i="42"/>
  <c r="BD24" i="45" l="1"/>
  <c r="BD24" i="57" s="1"/>
  <c r="AZ24" i="57"/>
  <c r="BD23" i="45"/>
  <c r="BD23" i="57" s="1"/>
  <c r="AZ23" i="57"/>
  <c r="BD6" i="45"/>
  <c r="BD6" i="57" s="1"/>
  <c r="AZ6" i="57"/>
  <c r="BD16" i="45"/>
  <c r="BD16" i="57" s="1"/>
  <c r="AZ16" i="57"/>
  <c r="BD15" i="45"/>
  <c r="BD15" i="57" s="1"/>
  <c r="AZ15" i="57"/>
  <c r="BD21" i="45"/>
  <c r="BD21" i="57" s="1"/>
  <c r="AZ21" i="57"/>
  <c r="BD27" i="45"/>
  <c r="BD27" i="57" s="1"/>
  <c r="AZ27" i="57"/>
  <c r="BD33" i="45"/>
  <c r="BD33" i="57" s="1"/>
  <c r="AZ33" i="57"/>
  <c r="BD36" i="45"/>
  <c r="BD36" i="57" s="1"/>
  <c r="AZ36" i="57"/>
  <c r="BD38" i="45"/>
  <c r="BD38" i="57" s="1"/>
  <c r="AZ38" i="57"/>
  <c r="BD30" i="45"/>
  <c r="BD30" i="57" s="1"/>
  <c r="AZ30" i="57"/>
  <c r="BD20" i="45"/>
  <c r="BD20" i="57" s="1"/>
  <c r="AZ20" i="57"/>
  <c r="BD25" i="45"/>
  <c r="BD25" i="57" s="1"/>
  <c r="AZ25" i="57"/>
  <c r="BD7" i="45"/>
  <c r="BD7" i="57" s="1"/>
  <c r="AZ7" i="57"/>
  <c r="BD28" i="45"/>
  <c r="BD28" i="57" s="1"/>
  <c r="AZ28" i="57"/>
  <c r="BD35" i="45"/>
  <c r="BD35" i="57" s="1"/>
  <c r="AZ35" i="57"/>
  <c r="BD29" i="45"/>
  <c r="BD29" i="57" s="1"/>
  <c r="AZ29" i="57"/>
  <c r="BD32" i="45"/>
  <c r="BD32" i="57" s="1"/>
  <c r="AZ32" i="57"/>
  <c r="BD8" i="45"/>
  <c r="BD8" i="57" s="1"/>
  <c r="AZ8" i="57"/>
  <c r="BD11" i="45"/>
  <c r="BD11" i="57" s="1"/>
  <c r="AZ11" i="57"/>
  <c r="BD22" i="45"/>
  <c r="BD22" i="57" s="1"/>
  <c r="AZ22" i="57"/>
  <c r="BD17" i="45"/>
  <c r="BD17" i="57" s="1"/>
  <c r="AZ17" i="57"/>
  <c r="BD26" i="45"/>
  <c r="BD26" i="57" s="1"/>
  <c r="AZ26" i="57"/>
  <c r="BD13" i="45"/>
  <c r="BD13" i="57" s="1"/>
  <c r="AZ13" i="57"/>
  <c r="BD18" i="45"/>
  <c r="BD18" i="57" s="1"/>
  <c r="AZ18" i="57"/>
  <c r="BD12" i="45"/>
  <c r="BD12" i="57" s="1"/>
  <c r="AZ12" i="57"/>
  <c r="BD31" i="45"/>
  <c r="BD31" i="57" s="1"/>
  <c r="AZ31" i="57"/>
  <c r="BD10" i="45"/>
  <c r="BD10" i="57" s="1"/>
  <c r="AZ10" i="57"/>
  <c r="BD14" i="45"/>
  <c r="BD14" i="57" s="1"/>
  <c r="AZ14" i="57"/>
  <c r="BD9" i="45"/>
  <c r="BD9" i="57" s="1"/>
  <c r="AZ9" i="57"/>
  <c r="BE40" i="45"/>
  <c r="AZ40" i="45"/>
  <c r="C47" i="45" s="1"/>
  <c r="E18" i="36"/>
  <c r="I27" i="35"/>
  <c r="F27" i="35"/>
  <c r="AZ27" i="35" s="1"/>
  <c r="BD40" i="45" l="1"/>
  <c r="AZ40" i="57"/>
  <c r="C47" i="57" s="1"/>
  <c r="BD40" i="57"/>
  <c r="AZ85" i="45"/>
  <c r="AW11" i="34"/>
  <c r="F11" i="34"/>
  <c r="AZ11" i="34" s="1"/>
  <c r="BD11" i="34" s="1"/>
  <c r="F18" i="33"/>
  <c r="AZ18" i="33" s="1"/>
  <c r="V30" i="42"/>
  <c r="V25" i="42"/>
  <c r="V24" i="42"/>
  <c r="V22" i="42"/>
  <c r="V19" i="42"/>
  <c r="V16" i="42"/>
  <c r="V15" i="42"/>
  <c r="V10" i="42"/>
  <c r="V8" i="42"/>
  <c r="V36" i="42"/>
  <c r="AZ85" i="57" l="1"/>
  <c r="BF26" i="37"/>
  <c r="AM20" i="41" l="1"/>
  <c r="AJ20" i="41"/>
  <c r="I34" i="36"/>
  <c r="BD29" i="35"/>
  <c r="AZ29" i="35"/>
  <c r="D25" i="37"/>
  <c r="E7" i="41"/>
  <c r="E8" i="41"/>
  <c r="E9" i="41"/>
  <c r="E10" i="41"/>
  <c r="E11" i="41"/>
  <c r="E12" i="41"/>
  <c r="E13" i="41"/>
  <c r="E14" i="41"/>
  <c r="E15" i="41"/>
  <c r="E16" i="41"/>
  <c r="E17" i="41"/>
  <c r="E18" i="41"/>
  <c r="E19" i="41"/>
  <c r="E20" i="41"/>
  <c r="E21" i="41"/>
  <c r="E22" i="41"/>
  <c r="E23" i="41"/>
  <c r="E24" i="41"/>
  <c r="E25" i="41"/>
  <c r="E26" i="41"/>
  <c r="E27" i="41"/>
  <c r="E28" i="41"/>
  <c r="E29" i="41"/>
  <c r="E30" i="41"/>
  <c r="E31" i="41"/>
  <c r="E32" i="41"/>
  <c r="E33" i="41"/>
  <c r="E34" i="41"/>
  <c r="E35" i="41"/>
  <c r="E36" i="41"/>
  <c r="D18" i="36"/>
  <c r="D10" i="36"/>
  <c r="D9" i="38"/>
  <c r="Q8" i="42" l="1"/>
  <c r="BA18" i="41" l="1"/>
  <c r="BK6" i="41"/>
  <c r="BP35" i="41"/>
  <c r="AK20" i="41"/>
  <c r="Q12" i="42" l="1"/>
  <c r="Q11" i="42" l="1"/>
  <c r="D33" i="41" l="1"/>
  <c r="AY8" i="36" l="1"/>
  <c r="BP38" i="42"/>
  <c r="BP38" i="41"/>
  <c r="BP38" i="36"/>
  <c r="BP38" i="35"/>
  <c r="BP38" i="40"/>
  <c r="BP38" i="39"/>
  <c r="BP38" i="38"/>
  <c r="BP38" i="34"/>
  <c r="BP38" i="33"/>
  <c r="BP38" i="32"/>
  <c r="BP38" i="31"/>
  <c r="BP36" i="43"/>
  <c r="BP35" i="43"/>
  <c r="BP31" i="43"/>
  <c r="BP30" i="43"/>
  <c r="BP25" i="43"/>
  <c r="BP26" i="43"/>
  <c r="BP24" i="43"/>
  <c r="BP19" i="43"/>
  <c r="BP18" i="43"/>
  <c r="BP7" i="43"/>
  <c r="BP8" i="43"/>
  <c r="BP9" i="43"/>
  <c r="BP10" i="43"/>
  <c r="BP11" i="43"/>
  <c r="BP12" i="43"/>
  <c r="BP13" i="43"/>
  <c r="BP14" i="43"/>
  <c r="BP6" i="43"/>
  <c r="BP38" i="43" l="1"/>
  <c r="D36" i="36"/>
  <c r="D10" i="35"/>
  <c r="D9" i="35"/>
  <c r="D20" i="39"/>
  <c r="F32" i="39"/>
  <c r="E10" i="38"/>
  <c r="D17" i="34"/>
  <c r="D16" i="34"/>
  <c r="B29" i="36" l="1"/>
  <c r="B30" i="36"/>
  <c r="B34" i="36"/>
  <c r="B30" i="35"/>
  <c r="B31" i="35"/>
  <c r="B32" i="35"/>
  <c r="B33" i="35"/>
  <c r="B34" i="35"/>
  <c r="B29" i="35"/>
  <c r="BA20" i="39" l="1"/>
  <c r="BP28" i="33"/>
  <c r="BE38" i="32"/>
  <c r="BE18" i="31" l="1"/>
  <c r="BE24" i="31"/>
  <c r="BE38" i="33"/>
  <c r="BE30" i="40"/>
  <c r="BP25" i="36"/>
  <c r="BE38" i="36"/>
  <c r="BK6" i="36"/>
  <c r="BE20" i="36"/>
  <c r="BE16" i="36"/>
  <c r="BE18" i="36"/>
  <c r="BE20" i="35"/>
  <c r="BE38" i="35" s="1"/>
  <c r="BK6" i="35"/>
  <c r="BE38" i="40"/>
  <c r="BE11" i="40"/>
  <c r="BE20" i="40"/>
  <c r="BE23" i="40"/>
  <c r="F24" i="37" l="1"/>
  <c r="BE23" i="38" l="1"/>
  <c r="BE22" i="38"/>
  <c r="F12" i="38"/>
  <c r="BE38" i="39"/>
  <c r="BK6" i="39"/>
  <c r="BE17" i="39"/>
  <c r="BE20" i="39"/>
  <c r="BE15" i="39"/>
  <c r="BE38" i="38"/>
  <c r="BK6" i="38"/>
  <c r="BE7" i="38"/>
  <c r="BE11" i="38"/>
  <c r="BE20" i="38"/>
  <c r="BE36" i="38"/>
  <c r="E35" i="34" l="1"/>
  <c r="D35" i="34"/>
  <c r="BE11" i="37" l="1"/>
  <c r="BE12" i="37"/>
  <c r="D11" i="33"/>
  <c r="AX18" i="34"/>
  <c r="D19" i="34"/>
  <c r="D18" i="34"/>
  <c r="BE11" i="34"/>
  <c r="BK6" i="34" l="1"/>
  <c r="F11" i="33" l="1"/>
  <c r="AZ11" i="33" s="1"/>
  <c r="F13" i="33"/>
  <c r="F9" i="33"/>
  <c r="AX32" i="33"/>
  <c r="D32" i="33"/>
  <c r="F16" i="32"/>
  <c r="BA25" i="31"/>
  <c r="F9" i="31"/>
  <c r="F18" i="31"/>
  <c r="BK6" i="31"/>
  <c r="F34" i="36"/>
  <c r="F8" i="36"/>
  <c r="BA20" i="36"/>
  <c r="F22" i="35"/>
  <c r="F23" i="35"/>
  <c r="AJ11" i="40"/>
  <c r="AM24" i="39" l="1"/>
  <c r="AJ24" i="39"/>
  <c r="AN20" i="39" l="1"/>
  <c r="AK20" i="39"/>
  <c r="AN9" i="39"/>
  <c r="AK9" i="39"/>
  <c r="E10" i="39"/>
  <c r="D20" i="38" l="1"/>
  <c r="D12" i="38"/>
  <c r="D11" i="38"/>
  <c r="BP38" i="37" l="1"/>
  <c r="BK6" i="37" s="1"/>
  <c r="AM11" i="37"/>
  <c r="AJ11" i="37"/>
  <c r="E35" i="37"/>
  <c r="BE32" i="34" l="1"/>
  <c r="BE25" i="34"/>
  <c r="BE20" i="33"/>
  <c r="BE16" i="32"/>
  <c r="BE17" i="32"/>
  <c r="AY24" i="31" l="1"/>
  <c r="AY7" i="31"/>
  <c r="AY8" i="31"/>
  <c r="AY9" i="31"/>
  <c r="AY10" i="31"/>
  <c r="AY11" i="31"/>
  <c r="AY12" i="31"/>
  <c r="AY13" i="31"/>
  <c r="AY14" i="31"/>
  <c r="AY15" i="31"/>
  <c r="AY16" i="31"/>
  <c r="AY17" i="31"/>
  <c r="AY18" i="31"/>
  <c r="AY19" i="31"/>
  <c r="AY20" i="31"/>
  <c r="AY21" i="31"/>
  <c r="AY22" i="31"/>
  <c r="AY23" i="31"/>
  <c r="AY25" i="31"/>
  <c r="AY26" i="31"/>
  <c r="AY27" i="31"/>
  <c r="AY28" i="31"/>
  <c r="AY29" i="31"/>
  <c r="AY30" i="31"/>
  <c r="AY31" i="31"/>
  <c r="AY32" i="31"/>
  <c r="AY33" i="31"/>
  <c r="AY34" i="31"/>
  <c r="AY35" i="31"/>
  <c r="AY36" i="31"/>
  <c r="AY6" i="31"/>
  <c r="AX7" i="31"/>
  <c r="AX8" i="31"/>
  <c r="AX9" i="31"/>
  <c r="AX10" i="31"/>
  <c r="AX11" i="31"/>
  <c r="AX12" i="31"/>
  <c r="AX13" i="31"/>
  <c r="AX14" i="31"/>
  <c r="AX15" i="31"/>
  <c r="AX16" i="31"/>
  <c r="AX17" i="31"/>
  <c r="AX18" i="31"/>
  <c r="AX19" i="31"/>
  <c r="AX20" i="31"/>
  <c r="AX21" i="31"/>
  <c r="AX22" i="31"/>
  <c r="AX23" i="31"/>
  <c r="AX24" i="31"/>
  <c r="AX25" i="31"/>
  <c r="AX26" i="31"/>
  <c r="AX27" i="31"/>
  <c r="AX28" i="31"/>
  <c r="AX29" i="31"/>
  <c r="AX30" i="31"/>
  <c r="AX31" i="31"/>
  <c r="AX32" i="31"/>
  <c r="AX33" i="31"/>
  <c r="AX34" i="31"/>
  <c r="AX35" i="31"/>
  <c r="AX36" i="31"/>
  <c r="AX6" i="31"/>
  <c r="BP43" i="31"/>
  <c r="AJ32" i="34" l="1"/>
  <c r="AJ11" i="34"/>
  <c r="E24" i="33"/>
  <c r="F36" i="42" l="1"/>
  <c r="E36" i="42"/>
  <c r="F34" i="42"/>
  <c r="E34" i="42"/>
  <c r="F33" i="42"/>
  <c r="E33" i="42"/>
  <c r="F32" i="42"/>
  <c r="E32" i="42"/>
  <c r="F31" i="42"/>
  <c r="E31" i="42"/>
  <c r="F30" i="42"/>
  <c r="E30" i="42"/>
  <c r="F29" i="42"/>
  <c r="E29" i="42"/>
  <c r="F28" i="42"/>
  <c r="E28" i="42"/>
  <c r="F27" i="42"/>
  <c r="E27" i="42"/>
  <c r="F26" i="42"/>
  <c r="F25" i="42"/>
  <c r="E25" i="42"/>
  <c r="F24" i="42"/>
  <c r="E24" i="42"/>
  <c r="F23" i="42"/>
  <c r="E23" i="42"/>
  <c r="F22" i="42"/>
  <c r="E22" i="42"/>
  <c r="F21" i="42"/>
  <c r="E21" i="42"/>
  <c r="F20" i="42"/>
  <c r="F19" i="42"/>
  <c r="E19" i="42"/>
  <c r="F18" i="42"/>
  <c r="F17" i="42"/>
  <c r="E17" i="42"/>
  <c r="F16" i="42"/>
  <c r="F15" i="42"/>
  <c r="E15" i="42"/>
  <c r="F14" i="42"/>
  <c r="E14" i="42"/>
  <c r="F13" i="42"/>
  <c r="E13" i="42"/>
  <c r="F12" i="42"/>
  <c r="F11" i="42"/>
  <c r="F10" i="42"/>
  <c r="E10" i="42"/>
  <c r="F9" i="42"/>
  <c r="E9" i="42"/>
  <c r="F8" i="42"/>
  <c r="E8" i="42"/>
  <c r="F7" i="42"/>
  <c r="E7" i="42"/>
  <c r="F6" i="42"/>
  <c r="E6" i="42"/>
  <c r="F36" i="41"/>
  <c r="F35" i="41"/>
  <c r="F34" i="41"/>
  <c r="F33" i="41"/>
  <c r="F32" i="41"/>
  <c r="F31" i="41"/>
  <c r="F30" i="41"/>
  <c r="F29" i="41"/>
  <c r="F28" i="41"/>
  <c r="F27" i="41"/>
  <c r="F26" i="41"/>
  <c r="F25" i="41"/>
  <c r="F24" i="41"/>
  <c r="F23" i="41"/>
  <c r="F22" i="41"/>
  <c r="F21" i="41"/>
  <c r="F20" i="41"/>
  <c r="F19" i="41"/>
  <c r="F18" i="41"/>
  <c r="F17" i="41"/>
  <c r="F16" i="41"/>
  <c r="AZ16" i="41" s="1"/>
  <c r="F15" i="41"/>
  <c r="F14" i="41"/>
  <c r="F13" i="41"/>
  <c r="F12" i="41"/>
  <c r="AZ12" i="41" s="1"/>
  <c r="F11" i="41"/>
  <c r="AZ11" i="41" s="1"/>
  <c r="F10" i="41"/>
  <c r="F9" i="41"/>
  <c r="F8" i="41"/>
  <c r="F7" i="41"/>
  <c r="AZ7" i="41" s="1"/>
  <c r="F6" i="41"/>
  <c r="E6" i="41"/>
  <c r="F36" i="36"/>
  <c r="E36" i="36"/>
  <c r="F35" i="36"/>
  <c r="E35" i="36"/>
  <c r="E34" i="36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F17" i="36"/>
  <c r="E17" i="36"/>
  <c r="F16" i="36"/>
  <c r="E16" i="36"/>
  <c r="F15" i="36"/>
  <c r="E15" i="36"/>
  <c r="F14" i="36"/>
  <c r="E14" i="36"/>
  <c r="F13" i="36"/>
  <c r="E13" i="36"/>
  <c r="F12" i="36"/>
  <c r="E12" i="36"/>
  <c r="F11" i="36"/>
  <c r="E11" i="36"/>
  <c r="F10" i="36"/>
  <c r="E10" i="36"/>
  <c r="F9" i="36"/>
  <c r="E9" i="36"/>
  <c r="E8" i="36"/>
  <c r="F7" i="36"/>
  <c r="E7" i="36"/>
  <c r="F6" i="36"/>
  <c r="E6" i="36"/>
  <c r="F36" i="35"/>
  <c r="E36" i="35"/>
  <c r="F35" i="35"/>
  <c r="E35" i="35"/>
  <c r="F34" i="35"/>
  <c r="E34" i="35"/>
  <c r="F33" i="35"/>
  <c r="E33" i="35"/>
  <c r="F32" i="35"/>
  <c r="E32" i="35"/>
  <c r="F31" i="35"/>
  <c r="E31" i="35"/>
  <c r="F30" i="35"/>
  <c r="E30" i="35"/>
  <c r="E29" i="35"/>
  <c r="F28" i="35"/>
  <c r="E28" i="35"/>
  <c r="E27" i="35"/>
  <c r="F26" i="35"/>
  <c r="E26" i="35"/>
  <c r="F25" i="35"/>
  <c r="E25" i="35"/>
  <c r="F24" i="35"/>
  <c r="E24" i="35"/>
  <c r="E23" i="35"/>
  <c r="E22" i="35"/>
  <c r="F21" i="35"/>
  <c r="E21" i="35"/>
  <c r="F20" i="35"/>
  <c r="E20" i="35"/>
  <c r="F19" i="35"/>
  <c r="E19" i="35"/>
  <c r="F18" i="35"/>
  <c r="E18" i="35"/>
  <c r="F17" i="35"/>
  <c r="E17" i="35"/>
  <c r="F16" i="35"/>
  <c r="E16" i="35"/>
  <c r="F15" i="35"/>
  <c r="E15" i="35"/>
  <c r="F14" i="35"/>
  <c r="E14" i="35"/>
  <c r="F13" i="35"/>
  <c r="E13" i="35"/>
  <c r="F12" i="35"/>
  <c r="E12" i="35"/>
  <c r="F11" i="35"/>
  <c r="E11" i="35"/>
  <c r="F10" i="35"/>
  <c r="E10" i="35"/>
  <c r="F9" i="35"/>
  <c r="E9" i="35"/>
  <c r="F8" i="35"/>
  <c r="E8" i="35"/>
  <c r="F7" i="35"/>
  <c r="E7" i="35"/>
  <c r="F6" i="35"/>
  <c r="E6" i="35"/>
  <c r="F36" i="40"/>
  <c r="E36" i="40"/>
  <c r="F35" i="40"/>
  <c r="E35" i="40"/>
  <c r="F34" i="40"/>
  <c r="E34" i="40"/>
  <c r="F33" i="40"/>
  <c r="E33" i="40"/>
  <c r="F32" i="40"/>
  <c r="E32" i="40"/>
  <c r="F31" i="40"/>
  <c r="E31" i="40"/>
  <c r="F30" i="40"/>
  <c r="E30" i="40"/>
  <c r="F29" i="40"/>
  <c r="E29" i="40"/>
  <c r="F28" i="40"/>
  <c r="E28" i="40"/>
  <c r="F27" i="40"/>
  <c r="E27" i="40"/>
  <c r="F26" i="40"/>
  <c r="E26" i="40"/>
  <c r="F25" i="40"/>
  <c r="E25" i="40"/>
  <c r="F24" i="40"/>
  <c r="E24" i="40"/>
  <c r="F23" i="40"/>
  <c r="E23" i="40"/>
  <c r="F22" i="40"/>
  <c r="E22" i="40"/>
  <c r="F21" i="40"/>
  <c r="E21" i="40"/>
  <c r="F20" i="40"/>
  <c r="E20" i="40"/>
  <c r="F19" i="40"/>
  <c r="E19" i="40"/>
  <c r="F18" i="40"/>
  <c r="E18" i="40"/>
  <c r="F17" i="40"/>
  <c r="E17" i="40"/>
  <c r="F16" i="40"/>
  <c r="E16" i="40"/>
  <c r="F15" i="40"/>
  <c r="E15" i="40"/>
  <c r="F14" i="40"/>
  <c r="E14" i="40"/>
  <c r="F13" i="40"/>
  <c r="E13" i="40"/>
  <c r="F12" i="40"/>
  <c r="E12" i="40"/>
  <c r="F11" i="40"/>
  <c r="E11" i="40"/>
  <c r="F10" i="40"/>
  <c r="E10" i="40"/>
  <c r="F9" i="40"/>
  <c r="E9" i="40"/>
  <c r="F8" i="40"/>
  <c r="E8" i="40"/>
  <c r="F7" i="40"/>
  <c r="E7" i="40"/>
  <c r="F6" i="40"/>
  <c r="E6" i="40"/>
  <c r="BP38" i="44"/>
  <c r="BL38" i="44"/>
  <c r="BK38" i="44"/>
  <c r="BC38" i="44"/>
  <c r="BB38" i="44"/>
  <c r="BA38" i="44"/>
  <c r="AV38" i="44"/>
  <c r="AU38" i="44"/>
  <c r="AT38" i="44"/>
  <c r="AP38" i="44"/>
  <c r="AO38" i="44"/>
  <c r="AN38" i="44"/>
  <c r="AM38" i="44"/>
  <c r="AL38" i="44"/>
  <c r="AK38" i="44"/>
  <c r="AJ38" i="44"/>
  <c r="AI38" i="44"/>
  <c r="AH38" i="44"/>
  <c r="AG38" i="44"/>
  <c r="AF38" i="44"/>
  <c r="AE38" i="44"/>
  <c r="AD38" i="44"/>
  <c r="AC38" i="44"/>
  <c r="AB38" i="44"/>
  <c r="AA38" i="44"/>
  <c r="Z38" i="44"/>
  <c r="Y38" i="44"/>
  <c r="X38" i="44"/>
  <c r="W38" i="44"/>
  <c r="V38" i="44"/>
  <c r="T38" i="44"/>
  <c r="N38" i="44"/>
  <c r="L38" i="44"/>
  <c r="K38" i="44"/>
  <c r="I38" i="44"/>
  <c r="BF36" i="44"/>
  <c r="AY36" i="44"/>
  <c r="AX36" i="44"/>
  <c r="AW36" i="44"/>
  <c r="R36" i="44"/>
  <c r="Q36" i="44"/>
  <c r="P36" i="44"/>
  <c r="F36" i="44"/>
  <c r="AZ36" i="44" s="1"/>
  <c r="BD36" i="44" s="1"/>
  <c r="E36" i="44"/>
  <c r="D36" i="44"/>
  <c r="H36" i="44" s="1"/>
  <c r="B36" i="44"/>
  <c r="BF35" i="44"/>
  <c r="AY35" i="44"/>
  <c r="AX35" i="44"/>
  <c r="AW35" i="44"/>
  <c r="P35" i="44"/>
  <c r="F35" i="44"/>
  <c r="E35" i="44"/>
  <c r="D35" i="44"/>
  <c r="H35" i="44" s="1"/>
  <c r="B35" i="44"/>
  <c r="BF34" i="44"/>
  <c r="AY34" i="44"/>
  <c r="AX34" i="44"/>
  <c r="AW34" i="44"/>
  <c r="F34" i="44"/>
  <c r="E34" i="44"/>
  <c r="D34" i="44"/>
  <c r="B34" i="44"/>
  <c r="BP33" i="44"/>
  <c r="BJ6" i="44" s="1"/>
  <c r="BJ38" i="44" s="1"/>
  <c r="BF33" i="44"/>
  <c r="AY33" i="44"/>
  <c r="AX33" i="44"/>
  <c r="AW33" i="44"/>
  <c r="P33" i="44"/>
  <c r="F33" i="44"/>
  <c r="E33" i="44"/>
  <c r="D33" i="44"/>
  <c r="M33" i="44" s="1"/>
  <c r="B33" i="44"/>
  <c r="BF32" i="44"/>
  <c r="AY32" i="44"/>
  <c r="AX32" i="44"/>
  <c r="AW32" i="44"/>
  <c r="S32" i="44"/>
  <c r="Q32" i="44"/>
  <c r="P32" i="44"/>
  <c r="F32" i="44"/>
  <c r="AZ32" i="44" s="1"/>
  <c r="BD32" i="44" s="1"/>
  <c r="E32" i="44"/>
  <c r="D32" i="44"/>
  <c r="B32" i="44"/>
  <c r="BF31" i="44"/>
  <c r="AY31" i="44"/>
  <c r="AX31" i="44"/>
  <c r="AW31" i="44"/>
  <c r="F31" i="44"/>
  <c r="E31" i="44"/>
  <c r="D31" i="44"/>
  <c r="H31" i="44" s="1"/>
  <c r="B31" i="44"/>
  <c r="BF30" i="44"/>
  <c r="AY30" i="44"/>
  <c r="AX30" i="44"/>
  <c r="AW30" i="44"/>
  <c r="Q30" i="44"/>
  <c r="P30" i="44"/>
  <c r="H30" i="44"/>
  <c r="F30" i="44"/>
  <c r="AZ30" i="44" s="1"/>
  <c r="BD30" i="44" s="1"/>
  <c r="E30" i="44"/>
  <c r="D30" i="44"/>
  <c r="B30" i="44"/>
  <c r="BF29" i="44"/>
  <c r="AY29" i="44"/>
  <c r="AX29" i="44"/>
  <c r="AW29" i="44"/>
  <c r="Q29" i="44"/>
  <c r="P29" i="44"/>
  <c r="M29" i="44"/>
  <c r="F29" i="44"/>
  <c r="E29" i="44"/>
  <c r="D29" i="44"/>
  <c r="J29" i="44" s="1"/>
  <c r="B29" i="44"/>
  <c r="BP28" i="44"/>
  <c r="BI6" i="44" s="1"/>
  <c r="BI38" i="44" s="1"/>
  <c r="BF28" i="44"/>
  <c r="AY28" i="44"/>
  <c r="AX28" i="44"/>
  <c r="AW28" i="44"/>
  <c r="S28" i="44"/>
  <c r="R28" i="44"/>
  <c r="P28" i="44"/>
  <c r="F28" i="44"/>
  <c r="E28" i="44"/>
  <c r="D28" i="44"/>
  <c r="B28" i="44"/>
  <c r="BF27" i="44"/>
  <c r="AY27" i="44"/>
  <c r="AX27" i="44"/>
  <c r="AW27" i="44"/>
  <c r="M27" i="44"/>
  <c r="F27" i="44"/>
  <c r="AZ27" i="44" s="1"/>
  <c r="BD27" i="44" s="1"/>
  <c r="E27" i="44"/>
  <c r="D27" i="44"/>
  <c r="J27" i="44" s="1"/>
  <c r="B27" i="44"/>
  <c r="BF26" i="44"/>
  <c r="AY26" i="44"/>
  <c r="AX26" i="44"/>
  <c r="AW26" i="44"/>
  <c r="Q26" i="44"/>
  <c r="P26" i="44"/>
  <c r="F26" i="44"/>
  <c r="E26" i="44"/>
  <c r="D26" i="44"/>
  <c r="M26" i="44" s="1"/>
  <c r="B26" i="44"/>
  <c r="BF25" i="44"/>
  <c r="AY25" i="44"/>
  <c r="AX25" i="44"/>
  <c r="AW25" i="44"/>
  <c r="R25" i="44"/>
  <c r="Q25" i="44"/>
  <c r="P25" i="44"/>
  <c r="F25" i="44"/>
  <c r="E25" i="44"/>
  <c r="D25" i="44"/>
  <c r="J25" i="44" s="1"/>
  <c r="B25" i="44"/>
  <c r="BF24" i="44"/>
  <c r="AY24" i="44"/>
  <c r="AX24" i="44"/>
  <c r="AW24" i="44"/>
  <c r="R24" i="44"/>
  <c r="Q24" i="44"/>
  <c r="P24" i="44"/>
  <c r="F24" i="44"/>
  <c r="E24" i="44"/>
  <c r="D24" i="44"/>
  <c r="M24" i="44" s="1"/>
  <c r="B24" i="44"/>
  <c r="BF23" i="44"/>
  <c r="AY23" i="44"/>
  <c r="AX23" i="44"/>
  <c r="AW23" i="44"/>
  <c r="S23" i="44"/>
  <c r="R23" i="44"/>
  <c r="P23" i="44"/>
  <c r="F23" i="44"/>
  <c r="E23" i="44"/>
  <c r="D23" i="44"/>
  <c r="H23" i="44" s="1"/>
  <c r="AQ23" i="44" s="1"/>
  <c r="B23" i="44"/>
  <c r="BP22" i="44"/>
  <c r="BM6" i="44" s="1"/>
  <c r="BM38" i="44" s="1"/>
  <c r="BF22" i="44"/>
  <c r="AY22" i="44"/>
  <c r="AX22" i="44"/>
  <c r="AW22" i="44"/>
  <c r="Q22" i="44"/>
  <c r="P22" i="44"/>
  <c r="H22" i="44"/>
  <c r="F22" i="44"/>
  <c r="E22" i="44"/>
  <c r="D22" i="44"/>
  <c r="M22" i="44" s="1"/>
  <c r="B22" i="44"/>
  <c r="BF21" i="44"/>
  <c r="AY21" i="44"/>
  <c r="AX21" i="44"/>
  <c r="AW21" i="44"/>
  <c r="P21" i="44"/>
  <c r="F21" i="44"/>
  <c r="E21" i="44"/>
  <c r="D21" i="44"/>
  <c r="H21" i="44" s="1"/>
  <c r="B21" i="44"/>
  <c r="BF20" i="44"/>
  <c r="AY20" i="44"/>
  <c r="AX20" i="44"/>
  <c r="AW20" i="44"/>
  <c r="R20" i="44"/>
  <c r="Q20" i="44"/>
  <c r="P20" i="44"/>
  <c r="F20" i="44"/>
  <c r="E20" i="44"/>
  <c r="D20" i="44"/>
  <c r="M20" i="44" s="1"/>
  <c r="B20" i="44"/>
  <c r="BF19" i="44"/>
  <c r="AY19" i="44"/>
  <c r="AX19" i="44"/>
  <c r="AW19" i="44"/>
  <c r="P19" i="44"/>
  <c r="F19" i="44"/>
  <c r="E19" i="44"/>
  <c r="D19" i="44"/>
  <c r="H19" i="44" s="1"/>
  <c r="G19" i="44" s="1"/>
  <c r="B19" i="44"/>
  <c r="BF18" i="44"/>
  <c r="AY18" i="44"/>
  <c r="AX18" i="44"/>
  <c r="AW18" i="44"/>
  <c r="R18" i="44"/>
  <c r="Q18" i="44"/>
  <c r="P18" i="44"/>
  <c r="F18" i="44"/>
  <c r="E18" i="44"/>
  <c r="D18" i="44"/>
  <c r="M18" i="44" s="1"/>
  <c r="B18" i="44"/>
  <c r="BF17" i="44"/>
  <c r="AY17" i="44"/>
  <c r="AX17" i="44"/>
  <c r="AW17" i="44"/>
  <c r="R17" i="44"/>
  <c r="P17" i="44"/>
  <c r="H17" i="44"/>
  <c r="F17" i="44"/>
  <c r="E17" i="44"/>
  <c r="D17" i="44"/>
  <c r="B17" i="44"/>
  <c r="BP16" i="44"/>
  <c r="BF16" i="44"/>
  <c r="AY16" i="44"/>
  <c r="AX16" i="44"/>
  <c r="AW16" i="44"/>
  <c r="Q16" i="44"/>
  <c r="P16" i="44"/>
  <c r="F16" i="44"/>
  <c r="E16" i="44"/>
  <c r="D16" i="44"/>
  <c r="H16" i="44" s="1"/>
  <c r="B16" i="44"/>
  <c r="BF15" i="44"/>
  <c r="AY15" i="44"/>
  <c r="AX15" i="44"/>
  <c r="AW15" i="44"/>
  <c r="Q15" i="44"/>
  <c r="P15" i="44"/>
  <c r="F15" i="44"/>
  <c r="E15" i="44"/>
  <c r="D15" i="44"/>
  <c r="B15" i="44"/>
  <c r="BF14" i="44"/>
  <c r="AY14" i="44"/>
  <c r="AX14" i="44"/>
  <c r="AW14" i="44"/>
  <c r="F14" i="44"/>
  <c r="E14" i="44"/>
  <c r="D14" i="44"/>
  <c r="J14" i="44" s="1"/>
  <c r="B14" i="44"/>
  <c r="BF13" i="44"/>
  <c r="AY13" i="44"/>
  <c r="AX13" i="44"/>
  <c r="AW13" i="44"/>
  <c r="P13" i="44"/>
  <c r="F13" i="44"/>
  <c r="E13" i="44"/>
  <c r="D13" i="44"/>
  <c r="H13" i="44" s="1"/>
  <c r="B13" i="44"/>
  <c r="BF12" i="44"/>
  <c r="AY12" i="44"/>
  <c r="AX12" i="44"/>
  <c r="AW12" i="44"/>
  <c r="P12" i="44"/>
  <c r="F12" i="44"/>
  <c r="E12" i="44"/>
  <c r="D12" i="44"/>
  <c r="H12" i="44" s="1"/>
  <c r="B12" i="44"/>
  <c r="BF11" i="44"/>
  <c r="AY11" i="44"/>
  <c r="AX11" i="44"/>
  <c r="AW11" i="44"/>
  <c r="R11" i="44"/>
  <c r="Q11" i="44"/>
  <c r="P11" i="44"/>
  <c r="F11" i="44"/>
  <c r="E11" i="44"/>
  <c r="D11" i="44"/>
  <c r="J11" i="44" s="1"/>
  <c r="B11" i="44"/>
  <c r="BF10" i="44"/>
  <c r="AY10" i="44"/>
  <c r="AX10" i="44"/>
  <c r="AW10" i="44"/>
  <c r="S10" i="44"/>
  <c r="Q10" i="44"/>
  <c r="P10" i="44"/>
  <c r="F10" i="44"/>
  <c r="E10" i="44"/>
  <c r="D10" i="44"/>
  <c r="H10" i="44" s="1"/>
  <c r="AQ10" i="44" s="1"/>
  <c r="B10" i="44"/>
  <c r="BF9" i="44"/>
  <c r="AY9" i="44"/>
  <c r="AX9" i="44"/>
  <c r="AW9" i="44"/>
  <c r="P9" i="44"/>
  <c r="F9" i="44"/>
  <c r="E9" i="44"/>
  <c r="D9" i="44"/>
  <c r="J9" i="44" s="1"/>
  <c r="B9" i="44"/>
  <c r="BF8" i="44"/>
  <c r="AY8" i="44"/>
  <c r="AX8" i="44"/>
  <c r="AW8" i="44"/>
  <c r="S8" i="44"/>
  <c r="Q8" i="44"/>
  <c r="P8" i="44"/>
  <c r="G8" i="44"/>
  <c r="F8" i="44"/>
  <c r="E8" i="44"/>
  <c r="D8" i="44"/>
  <c r="H8" i="44" s="1"/>
  <c r="AQ8" i="44" s="1"/>
  <c r="B8" i="44"/>
  <c r="BF7" i="44"/>
  <c r="AY7" i="44"/>
  <c r="AX7" i="44"/>
  <c r="AW7" i="44"/>
  <c r="P7" i="44"/>
  <c r="F7" i="44"/>
  <c r="E7" i="44"/>
  <c r="D7" i="44"/>
  <c r="H7" i="44" s="1"/>
  <c r="B7" i="44"/>
  <c r="BH6" i="44"/>
  <c r="BH38" i="44" s="1"/>
  <c r="BF6" i="44"/>
  <c r="AY6" i="44"/>
  <c r="AX6" i="44"/>
  <c r="AW6" i="44"/>
  <c r="R6" i="44"/>
  <c r="M6" i="44"/>
  <c r="F6" i="44"/>
  <c r="E6" i="44"/>
  <c r="D6" i="44"/>
  <c r="O6" i="44" s="1"/>
  <c r="B6" i="44"/>
  <c r="G10" i="44" l="1"/>
  <c r="P38" i="44"/>
  <c r="H20" i="44"/>
  <c r="G20" i="44" s="1"/>
  <c r="J21" i="44"/>
  <c r="AS21" i="44" s="1"/>
  <c r="J33" i="44"/>
  <c r="AZ22" i="44"/>
  <c r="BD22" i="44" s="1"/>
  <c r="O8" i="44"/>
  <c r="AR8" i="44"/>
  <c r="O10" i="44"/>
  <c r="AR10" i="44"/>
  <c r="AZ14" i="44"/>
  <c r="BD14" i="44" s="1"/>
  <c r="AZ18" i="44"/>
  <c r="BD18" i="44" s="1"/>
  <c r="AZ34" i="44"/>
  <c r="BD34" i="44" s="1"/>
  <c r="F38" i="44"/>
  <c r="M9" i="44"/>
  <c r="O11" i="44"/>
  <c r="J12" i="44"/>
  <c r="AS12" i="44" s="1"/>
  <c r="H18" i="44"/>
  <c r="G18" i="44" s="1"/>
  <c r="AZ20" i="44"/>
  <c r="BD20" i="44" s="1"/>
  <c r="AZ26" i="44"/>
  <c r="BD26" i="44" s="1"/>
  <c r="AZ31" i="44"/>
  <c r="BD31" i="44" s="1"/>
  <c r="J35" i="44"/>
  <c r="AZ13" i="44"/>
  <c r="BD13" i="44" s="1"/>
  <c r="M16" i="44"/>
  <c r="J19" i="44"/>
  <c r="AS19" i="44" s="1"/>
  <c r="J23" i="44"/>
  <c r="AZ28" i="44"/>
  <c r="BD28" i="44" s="1"/>
  <c r="O14" i="44"/>
  <c r="O16" i="44"/>
  <c r="AQ18" i="44"/>
  <c r="M19" i="44"/>
  <c r="M23" i="44"/>
  <c r="J8" i="44"/>
  <c r="O9" i="44"/>
  <c r="J10" i="44"/>
  <c r="AS10" i="44" s="1"/>
  <c r="M12" i="44"/>
  <c r="AZ15" i="44"/>
  <c r="BD15" i="44" s="1"/>
  <c r="AR18" i="44"/>
  <c r="O19" i="44"/>
  <c r="M21" i="44"/>
  <c r="O23" i="44"/>
  <c r="AR23" i="44"/>
  <c r="AZ24" i="44"/>
  <c r="BD24" i="44" s="1"/>
  <c r="O33" i="44"/>
  <c r="AZ33" i="44"/>
  <c r="BD33" i="44" s="1"/>
  <c r="M35" i="44"/>
  <c r="AZ6" i="44"/>
  <c r="BD6" i="44" s="1"/>
  <c r="M8" i="44"/>
  <c r="M10" i="44"/>
  <c r="AZ10" i="44"/>
  <c r="BD10" i="44" s="1"/>
  <c r="O12" i="44"/>
  <c r="J16" i="44"/>
  <c r="AS16" i="44" s="1"/>
  <c r="AZ19" i="44"/>
  <c r="BD19" i="44" s="1"/>
  <c r="O21" i="44"/>
  <c r="G23" i="44"/>
  <c r="O27" i="44"/>
  <c r="O29" i="44"/>
  <c r="J34" i="44"/>
  <c r="O35" i="44"/>
  <c r="G7" i="44"/>
  <c r="AR7" i="44"/>
  <c r="AZ11" i="44"/>
  <c r="BD11" i="44" s="1"/>
  <c r="J7" i="44"/>
  <c r="AS7" i="44" s="1"/>
  <c r="O7" i="44"/>
  <c r="M7" i="44"/>
  <c r="AY38" i="44"/>
  <c r="AQ17" i="44"/>
  <c r="G17" i="44"/>
  <c r="AR17" i="44"/>
  <c r="AQ21" i="44"/>
  <c r="G21" i="44"/>
  <c r="AR21" i="44"/>
  <c r="AQ7" i="44"/>
  <c r="AZ8" i="44"/>
  <c r="BD8" i="44" s="1"/>
  <c r="J17" i="44"/>
  <c r="AS17" i="44" s="1"/>
  <c r="O17" i="44"/>
  <c r="M17" i="44"/>
  <c r="J24" i="44"/>
  <c r="H24" i="44"/>
  <c r="O24" i="44"/>
  <c r="AZ7" i="44"/>
  <c r="AR13" i="44"/>
  <c r="G13" i="44"/>
  <c r="AQ13" i="44"/>
  <c r="AZ16" i="44"/>
  <c r="BD16" i="44" s="1"/>
  <c r="AZ23" i="44"/>
  <c r="BD23" i="44" s="1"/>
  <c r="O26" i="44"/>
  <c r="H26" i="44"/>
  <c r="J26" i="44"/>
  <c r="O34" i="44"/>
  <c r="G36" i="44"/>
  <c r="AR36" i="44"/>
  <c r="AQ36" i="44"/>
  <c r="AW38" i="44"/>
  <c r="AZ9" i="44"/>
  <c r="BD9" i="44" s="1"/>
  <c r="G12" i="44"/>
  <c r="AQ12" i="44"/>
  <c r="O13" i="44"/>
  <c r="J13" i="44"/>
  <c r="AS13" i="44" s="1"/>
  <c r="J28" i="44"/>
  <c r="O28" i="44"/>
  <c r="H28" i="44"/>
  <c r="AQ30" i="44"/>
  <c r="G30" i="44"/>
  <c r="G31" i="44"/>
  <c r="AS31" i="44"/>
  <c r="AS35" i="44"/>
  <c r="G35" i="44"/>
  <c r="AQ35" i="44"/>
  <c r="O36" i="44"/>
  <c r="M36" i="44"/>
  <c r="J36" i="44"/>
  <c r="AS36" i="44"/>
  <c r="R38" i="44"/>
  <c r="AX38" i="44"/>
  <c r="Q38" i="44"/>
  <c r="H11" i="44"/>
  <c r="AR12" i="44"/>
  <c r="M13" i="44"/>
  <c r="M15" i="44"/>
  <c r="O15" i="44"/>
  <c r="H15" i="44"/>
  <c r="AR16" i="44"/>
  <c r="G16" i="44"/>
  <c r="AZ17" i="44"/>
  <c r="BD17" i="44" s="1"/>
  <c r="AQ19" i="44"/>
  <c r="AZ21" i="44"/>
  <c r="BD21" i="44" s="1"/>
  <c r="AZ25" i="44"/>
  <c r="BD25" i="44" s="1"/>
  <c r="M28" i="44"/>
  <c r="O30" i="44"/>
  <c r="J30" i="44"/>
  <c r="AS30" i="44" s="1"/>
  <c r="J31" i="44"/>
  <c r="M31" i="44"/>
  <c r="J32" i="44"/>
  <c r="M32" i="44"/>
  <c r="H32" i="44"/>
  <c r="AR35" i="44"/>
  <c r="D38" i="44"/>
  <c r="J6" i="44"/>
  <c r="H6" i="44"/>
  <c r="S38" i="44"/>
  <c r="H9" i="44"/>
  <c r="M11" i="44"/>
  <c r="J15" i="44"/>
  <c r="AQ16" i="44"/>
  <c r="AR19" i="44"/>
  <c r="AQ22" i="44"/>
  <c r="G22" i="44"/>
  <c r="AR22" i="44"/>
  <c r="M25" i="44"/>
  <c r="O25" i="44"/>
  <c r="H25" i="44"/>
  <c r="M30" i="44"/>
  <c r="AR30" i="44"/>
  <c r="O31" i="44"/>
  <c r="O32" i="44"/>
  <c r="M34" i="44"/>
  <c r="E38" i="44"/>
  <c r="F45" i="44" s="1"/>
  <c r="BF38" i="44"/>
  <c r="AZ12" i="44"/>
  <c r="BD12" i="44" s="1"/>
  <c r="M14" i="44"/>
  <c r="H14" i="44"/>
  <c r="O18" i="44"/>
  <c r="J18" i="44"/>
  <c r="AS18" i="44" s="1"/>
  <c r="O20" i="44"/>
  <c r="J20" i="44"/>
  <c r="O22" i="44"/>
  <c r="J22" i="44"/>
  <c r="AS22" i="44" s="1"/>
  <c r="AS23" i="44"/>
  <c r="H27" i="44"/>
  <c r="H29" i="44"/>
  <c r="AZ29" i="44"/>
  <c r="BD29" i="44" s="1"/>
  <c r="H33" i="44"/>
  <c r="H34" i="44"/>
  <c r="AZ35" i="44"/>
  <c r="BD35" i="44" s="1"/>
  <c r="AR20" i="44" l="1"/>
  <c r="U16" i="44"/>
  <c r="C16" i="44" s="1"/>
  <c r="AS20" i="44"/>
  <c r="U10" i="44"/>
  <c r="C10" i="44" s="1"/>
  <c r="U8" i="44"/>
  <c r="C8" i="44" s="1"/>
  <c r="U23" i="44"/>
  <c r="C23" i="44" s="1"/>
  <c r="U20" i="44"/>
  <c r="C20" i="44" s="1"/>
  <c r="AQ20" i="44"/>
  <c r="M38" i="44"/>
  <c r="AS8" i="44"/>
  <c r="U19" i="44"/>
  <c r="C19" i="44" s="1"/>
  <c r="U21" i="44"/>
  <c r="C21" i="44" s="1"/>
  <c r="O38" i="44"/>
  <c r="AR31" i="44"/>
  <c r="U35" i="44"/>
  <c r="C35" i="44" s="1"/>
  <c r="U12" i="44"/>
  <c r="C12" i="44" s="1"/>
  <c r="AS29" i="44"/>
  <c r="AR29" i="44"/>
  <c r="AQ29" i="44"/>
  <c r="G29" i="44"/>
  <c r="U29" i="44" s="1"/>
  <c r="C29" i="44" s="1"/>
  <c r="AR14" i="44"/>
  <c r="AQ14" i="44"/>
  <c r="AS14" i="44"/>
  <c r="G14" i="44"/>
  <c r="U14" i="44" s="1"/>
  <c r="C14" i="44" s="1"/>
  <c r="AR11" i="44"/>
  <c r="AS11" i="44"/>
  <c r="AQ11" i="44"/>
  <c r="G11" i="44"/>
  <c r="U11" i="44" s="1"/>
  <c r="C11" i="44" s="1"/>
  <c r="U31" i="44"/>
  <c r="C31" i="44" s="1"/>
  <c r="U36" i="44"/>
  <c r="C36" i="44" s="1"/>
  <c r="U7" i="44"/>
  <c r="C7" i="44" s="1"/>
  <c r="AR34" i="44"/>
  <c r="AS34" i="44"/>
  <c r="G34" i="44"/>
  <c r="U34" i="44" s="1"/>
  <c r="C34" i="44" s="1"/>
  <c r="AQ34" i="44"/>
  <c r="AQ27" i="44"/>
  <c r="AR27" i="44"/>
  <c r="G27" i="44"/>
  <c r="U27" i="44" s="1"/>
  <c r="C27" i="44" s="1"/>
  <c r="AS27" i="44"/>
  <c r="H38" i="44"/>
  <c r="D45" i="44" s="1"/>
  <c r="AQ6" i="44"/>
  <c r="G6" i="44"/>
  <c r="AR6" i="44"/>
  <c r="AQ31" i="44"/>
  <c r="AR28" i="44"/>
  <c r="AS28" i="44"/>
  <c r="AQ28" i="44"/>
  <c r="G28" i="44"/>
  <c r="U28" i="44" s="1"/>
  <c r="C28" i="44" s="1"/>
  <c r="BD7" i="44"/>
  <c r="BD38" i="44" s="1"/>
  <c r="AQ33" i="44"/>
  <c r="AS33" i="44"/>
  <c r="AR33" i="44"/>
  <c r="G33" i="44"/>
  <c r="U33" i="44" s="1"/>
  <c r="C33" i="44" s="1"/>
  <c r="AS25" i="44"/>
  <c r="G25" i="44"/>
  <c r="U25" i="44" s="1"/>
  <c r="C25" i="44" s="1"/>
  <c r="AR25" i="44"/>
  <c r="AQ25" i="44"/>
  <c r="U22" i="44"/>
  <c r="C22" i="44" s="1"/>
  <c r="U18" i="44"/>
  <c r="C18" i="44" s="1"/>
  <c r="J38" i="44"/>
  <c r="AR15" i="44"/>
  <c r="AS15" i="44"/>
  <c r="AQ15" i="44"/>
  <c r="G15" i="44"/>
  <c r="U15" i="44" s="1"/>
  <c r="C15" i="44" s="1"/>
  <c r="U13" i="44"/>
  <c r="C13" i="44" s="1"/>
  <c r="AQ9" i="44"/>
  <c r="G9" i="44"/>
  <c r="U9" i="44" s="1"/>
  <c r="C9" i="44" s="1"/>
  <c r="AS9" i="44"/>
  <c r="AR9" i="44"/>
  <c r="AR32" i="44"/>
  <c r="AS32" i="44"/>
  <c r="G32" i="44"/>
  <c r="U32" i="44" s="1"/>
  <c r="C32" i="44" s="1"/>
  <c r="AQ32" i="44"/>
  <c r="U30" i="44"/>
  <c r="C30" i="44" s="1"/>
  <c r="AQ26" i="44"/>
  <c r="G26" i="44"/>
  <c r="U26" i="44" s="1"/>
  <c r="C26" i="44" s="1"/>
  <c r="AS26" i="44"/>
  <c r="AR26" i="44"/>
  <c r="AR24" i="44"/>
  <c r="AQ24" i="44"/>
  <c r="G24" i="44"/>
  <c r="U24" i="44" s="1"/>
  <c r="C24" i="44" s="1"/>
  <c r="AS24" i="44"/>
  <c r="U17" i="44"/>
  <c r="C17" i="44" s="1"/>
  <c r="AZ38" i="44"/>
  <c r="C45" i="44" s="1"/>
  <c r="AS38" i="44" l="1"/>
  <c r="AR38" i="44"/>
  <c r="U6" i="44"/>
  <c r="G38" i="44"/>
  <c r="AZ83" i="44"/>
  <c r="AQ38" i="44"/>
  <c r="U38" i="44" l="1"/>
  <c r="C6" i="44"/>
  <c r="C38" i="44" s="1"/>
  <c r="F36" i="39" l="1"/>
  <c r="E36" i="39"/>
  <c r="F35" i="39"/>
  <c r="E35" i="39"/>
  <c r="F34" i="39"/>
  <c r="E34" i="39"/>
  <c r="F33" i="39"/>
  <c r="E33" i="39"/>
  <c r="E32" i="39"/>
  <c r="F31" i="39"/>
  <c r="E31" i="39"/>
  <c r="F30" i="39"/>
  <c r="E30" i="39"/>
  <c r="F29" i="39"/>
  <c r="E29" i="39"/>
  <c r="F28" i="39"/>
  <c r="E28" i="39"/>
  <c r="F27" i="39"/>
  <c r="E27" i="39"/>
  <c r="F26" i="39"/>
  <c r="E26" i="39"/>
  <c r="F25" i="39"/>
  <c r="E25" i="39"/>
  <c r="F24" i="39"/>
  <c r="E24" i="39"/>
  <c r="F23" i="39"/>
  <c r="E23" i="39"/>
  <c r="F22" i="39"/>
  <c r="E22" i="39"/>
  <c r="F21" i="39"/>
  <c r="E21" i="39"/>
  <c r="F20" i="39"/>
  <c r="E20" i="39"/>
  <c r="F19" i="39"/>
  <c r="E19" i="39"/>
  <c r="F18" i="39"/>
  <c r="E18" i="39"/>
  <c r="F17" i="39"/>
  <c r="E17" i="39"/>
  <c r="F16" i="39"/>
  <c r="E16" i="39"/>
  <c r="F15" i="39"/>
  <c r="E15" i="39"/>
  <c r="F14" i="39"/>
  <c r="E14" i="39"/>
  <c r="F13" i="39"/>
  <c r="E13" i="39"/>
  <c r="F12" i="39"/>
  <c r="E12" i="39"/>
  <c r="F11" i="39"/>
  <c r="E11" i="39"/>
  <c r="F10" i="39"/>
  <c r="F9" i="39"/>
  <c r="E9" i="39"/>
  <c r="F8" i="39"/>
  <c r="E8" i="39"/>
  <c r="F7" i="39"/>
  <c r="E7" i="39"/>
  <c r="F6" i="39"/>
  <c r="E6" i="39"/>
  <c r="F36" i="38"/>
  <c r="E36" i="38"/>
  <c r="F35" i="38"/>
  <c r="E35" i="38"/>
  <c r="F34" i="38"/>
  <c r="E34" i="38"/>
  <c r="F33" i="38"/>
  <c r="E33" i="38"/>
  <c r="F32" i="38"/>
  <c r="E32" i="38"/>
  <c r="F31" i="38"/>
  <c r="E31" i="38"/>
  <c r="F30" i="38"/>
  <c r="E30" i="38"/>
  <c r="F29" i="38"/>
  <c r="E29" i="38"/>
  <c r="F28" i="38"/>
  <c r="E28" i="38"/>
  <c r="F27" i="38"/>
  <c r="E27" i="38"/>
  <c r="F26" i="38"/>
  <c r="E26" i="38"/>
  <c r="F25" i="38"/>
  <c r="E25" i="38"/>
  <c r="F24" i="38"/>
  <c r="E24" i="38"/>
  <c r="F23" i="38"/>
  <c r="E23" i="38"/>
  <c r="F22" i="38"/>
  <c r="E22" i="38"/>
  <c r="F21" i="38"/>
  <c r="E21" i="38"/>
  <c r="F20" i="38"/>
  <c r="E20" i="38"/>
  <c r="F19" i="38"/>
  <c r="E19" i="38"/>
  <c r="F18" i="38"/>
  <c r="E18" i="38"/>
  <c r="F17" i="38"/>
  <c r="E17" i="38"/>
  <c r="F16" i="38"/>
  <c r="E16" i="38"/>
  <c r="F15" i="38"/>
  <c r="E15" i="38"/>
  <c r="F14" i="38"/>
  <c r="E14" i="38"/>
  <c r="F13" i="38"/>
  <c r="E13" i="38"/>
  <c r="E12" i="38"/>
  <c r="F11" i="38"/>
  <c r="E11" i="38"/>
  <c r="F10" i="38"/>
  <c r="F9" i="38"/>
  <c r="E9" i="38"/>
  <c r="F8" i="38"/>
  <c r="E8" i="38"/>
  <c r="F7" i="38"/>
  <c r="E7" i="38"/>
  <c r="F6" i="38"/>
  <c r="E6" i="38"/>
  <c r="D32" i="38"/>
  <c r="D27" i="38"/>
  <c r="D25" i="38"/>
  <c r="D23" i="38"/>
  <c r="D18" i="38"/>
  <c r="F36" i="37"/>
  <c r="E36" i="37"/>
  <c r="D36" i="37"/>
  <c r="F35" i="37"/>
  <c r="D35" i="37"/>
  <c r="F34" i="37"/>
  <c r="E34" i="37"/>
  <c r="D34" i="37"/>
  <c r="F33" i="37"/>
  <c r="E33" i="37"/>
  <c r="D33" i="37"/>
  <c r="F32" i="37"/>
  <c r="E32" i="37"/>
  <c r="D32" i="37"/>
  <c r="F31" i="37"/>
  <c r="E31" i="37"/>
  <c r="D31" i="37"/>
  <c r="F30" i="37"/>
  <c r="E30" i="37"/>
  <c r="D30" i="37"/>
  <c r="F29" i="37"/>
  <c r="E29" i="37"/>
  <c r="D29" i="37"/>
  <c r="F28" i="37"/>
  <c r="E28" i="37"/>
  <c r="D28" i="37"/>
  <c r="F27" i="37"/>
  <c r="E27" i="37"/>
  <c r="D27" i="37"/>
  <c r="F26" i="37"/>
  <c r="E26" i="37"/>
  <c r="D26" i="37"/>
  <c r="F25" i="37"/>
  <c r="E25" i="37"/>
  <c r="E24" i="37"/>
  <c r="D24" i="37"/>
  <c r="F23" i="37"/>
  <c r="E23" i="37"/>
  <c r="D23" i="37"/>
  <c r="F22" i="37"/>
  <c r="E22" i="37"/>
  <c r="D22" i="37"/>
  <c r="F21" i="37"/>
  <c r="E21" i="37"/>
  <c r="D21" i="37"/>
  <c r="F20" i="37"/>
  <c r="E20" i="37"/>
  <c r="D20" i="37"/>
  <c r="F19" i="37"/>
  <c r="E19" i="37"/>
  <c r="D19" i="37"/>
  <c r="F18" i="37"/>
  <c r="E18" i="37"/>
  <c r="D18" i="37"/>
  <c r="F17" i="37"/>
  <c r="E17" i="37"/>
  <c r="D17" i="37"/>
  <c r="F16" i="37"/>
  <c r="E16" i="37"/>
  <c r="D16" i="37"/>
  <c r="F15" i="37"/>
  <c r="E15" i="37"/>
  <c r="D15" i="37"/>
  <c r="F14" i="37"/>
  <c r="E14" i="37"/>
  <c r="D14" i="37"/>
  <c r="F13" i="37"/>
  <c r="E13" i="37"/>
  <c r="D13" i="37"/>
  <c r="F12" i="37"/>
  <c r="AZ12" i="37" s="1"/>
  <c r="BD12" i="37" s="1"/>
  <c r="E12" i="37"/>
  <c r="D12" i="37"/>
  <c r="F11" i="37"/>
  <c r="E11" i="37"/>
  <c r="D11" i="37"/>
  <c r="F10" i="37"/>
  <c r="E10" i="37"/>
  <c r="D10" i="37"/>
  <c r="F9" i="37"/>
  <c r="E9" i="37"/>
  <c r="D9" i="37"/>
  <c r="F8" i="37"/>
  <c r="E8" i="37"/>
  <c r="D8" i="37"/>
  <c r="F7" i="37"/>
  <c r="E7" i="37"/>
  <c r="D7" i="37"/>
  <c r="F6" i="37"/>
  <c r="E6" i="37"/>
  <c r="D6" i="37"/>
  <c r="F36" i="34" l="1"/>
  <c r="F35" i="34"/>
  <c r="F34" i="34"/>
  <c r="F33" i="34"/>
  <c r="F32" i="34"/>
  <c r="AZ32" i="34" s="1"/>
  <c r="F31" i="34"/>
  <c r="F30" i="34"/>
  <c r="F29" i="34"/>
  <c r="AZ29" i="34" s="1"/>
  <c r="BD29" i="34" s="1"/>
  <c r="F28" i="34"/>
  <c r="F27" i="34"/>
  <c r="F26" i="34"/>
  <c r="F25" i="34"/>
  <c r="F24" i="34"/>
  <c r="AZ24" i="34" s="1"/>
  <c r="BD24" i="34" s="1"/>
  <c r="F23" i="34"/>
  <c r="F22" i="34"/>
  <c r="F21" i="34"/>
  <c r="F20" i="34"/>
  <c r="F19" i="34"/>
  <c r="AZ19" i="34" s="1"/>
  <c r="F18" i="34"/>
  <c r="AZ18" i="34" s="1"/>
  <c r="F17" i="34"/>
  <c r="F16" i="34"/>
  <c r="F15" i="34"/>
  <c r="F14" i="34"/>
  <c r="F13" i="34"/>
  <c r="F12" i="34"/>
  <c r="F10" i="34"/>
  <c r="F9" i="34"/>
  <c r="F8" i="34"/>
  <c r="F7" i="34"/>
  <c r="F6" i="34"/>
  <c r="E7" i="34"/>
  <c r="E8" i="34"/>
  <c r="E9" i="34"/>
  <c r="E10" i="34"/>
  <c r="E11" i="34"/>
  <c r="E12" i="34"/>
  <c r="E13" i="34"/>
  <c r="E14" i="34"/>
  <c r="E15" i="34"/>
  <c r="E16" i="34"/>
  <c r="E17" i="34"/>
  <c r="E18" i="34"/>
  <c r="E19" i="34"/>
  <c r="E20" i="34"/>
  <c r="E21" i="34"/>
  <c r="E22" i="34"/>
  <c r="E23" i="34"/>
  <c r="E24" i="34"/>
  <c r="E25" i="34"/>
  <c r="E26" i="34"/>
  <c r="E27" i="34"/>
  <c r="E28" i="34"/>
  <c r="E29" i="34"/>
  <c r="E30" i="34"/>
  <c r="E31" i="34"/>
  <c r="E32" i="34"/>
  <c r="E33" i="34"/>
  <c r="E34" i="34"/>
  <c r="E36" i="34"/>
  <c r="E6" i="34"/>
  <c r="D7" i="34"/>
  <c r="D8" i="34"/>
  <c r="D9" i="34"/>
  <c r="D10" i="34"/>
  <c r="D11" i="34"/>
  <c r="D12" i="34"/>
  <c r="D13" i="34"/>
  <c r="D14" i="34"/>
  <c r="D15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6" i="34"/>
  <c r="D6" i="34"/>
  <c r="V7" i="43"/>
  <c r="W7" i="43"/>
  <c r="X7" i="43"/>
  <c r="Y7" i="43"/>
  <c r="Z7" i="43"/>
  <c r="AA7" i="43"/>
  <c r="AB7" i="43"/>
  <c r="AC7" i="43"/>
  <c r="AD7" i="43"/>
  <c r="AE7" i="43"/>
  <c r="AF7" i="43"/>
  <c r="AG7" i="43"/>
  <c r="AH7" i="43"/>
  <c r="AI7" i="43"/>
  <c r="AJ7" i="43"/>
  <c r="AK7" i="43"/>
  <c r="AL7" i="43"/>
  <c r="AM7" i="43"/>
  <c r="AN7" i="43"/>
  <c r="AO7" i="43"/>
  <c r="AP7" i="43"/>
  <c r="AT7" i="43"/>
  <c r="AU7" i="43"/>
  <c r="AV7" i="43"/>
  <c r="AX7" i="43"/>
  <c r="BA7" i="43"/>
  <c r="BB7" i="43"/>
  <c r="BC7" i="43"/>
  <c r="BE7" i="43"/>
  <c r="BG7" i="43"/>
  <c r="BK7" i="43"/>
  <c r="BL7" i="43"/>
  <c r="V8" i="43"/>
  <c r="W8" i="43"/>
  <c r="X8" i="43"/>
  <c r="Y8" i="43"/>
  <c r="Z8" i="43"/>
  <c r="AA8" i="43"/>
  <c r="AB8" i="43"/>
  <c r="AC8" i="43"/>
  <c r="AD8" i="43"/>
  <c r="AE8" i="43"/>
  <c r="AF8" i="43"/>
  <c r="AG8" i="43"/>
  <c r="AH8" i="43"/>
  <c r="AI8" i="43"/>
  <c r="AJ8" i="43"/>
  <c r="AK8" i="43"/>
  <c r="AL8" i="43"/>
  <c r="AM8" i="43"/>
  <c r="AN8" i="43"/>
  <c r="AO8" i="43"/>
  <c r="AP8" i="43"/>
  <c r="AT8" i="43"/>
  <c r="AU8" i="43"/>
  <c r="AV8" i="43"/>
  <c r="BA8" i="43"/>
  <c r="BB8" i="43"/>
  <c r="BC8" i="43"/>
  <c r="BE8" i="43"/>
  <c r="BG8" i="43"/>
  <c r="BH8" i="43"/>
  <c r="BI8" i="43"/>
  <c r="BJ8" i="43"/>
  <c r="BK8" i="43"/>
  <c r="BL8" i="43"/>
  <c r="BM8" i="43"/>
  <c r="V9" i="43"/>
  <c r="W9" i="43"/>
  <c r="X9" i="43"/>
  <c r="Y9" i="43"/>
  <c r="Z9" i="43"/>
  <c r="AA9" i="43"/>
  <c r="AB9" i="43"/>
  <c r="AC9" i="43"/>
  <c r="AD9" i="43"/>
  <c r="AE9" i="43"/>
  <c r="AF9" i="43"/>
  <c r="AG9" i="43"/>
  <c r="AH9" i="43"/>
  <c r="AI9" i="43"/>
  <c r="AJ9" i="43"/>
  <c r="AK9" i="43"/>
  <c r="AL9" i="43"/>
  <c r="AM9" i="43"/>
  <c r="AN9" i="43"/>
  <c r="AO9" i="43"/>
  <c r="AP9" i="43"/>
  <c r="AT9" i="43"/>
  <c r="AU9" i="43"/>
  <c r="AV9" i="43"/>
  <c r="BA9" i="43"/>
  <c r="BB9" i="43"/>
  <c r="BC9" i="43"/>
  <c r="BE9" i="43"/>
  <c r="BG9" i="43"/>
  <c r="BH9" i="43"/>
  <c r="BI9" i="43"/>
  <c r="BJ9" i="43"/>
  <c r="BK9" i="43"/>
  <c r="BL9" i="43"/>
  <c r="BM9" i="43"/>
  <c r="V10" i="43"/>
  <c r="W10" i="43"/>
  <c r="X10" i="43"/>
  <c r="Y10" i="43"/>
  <c r="Z10" i="43"/>
  <c r="AA10" i="43"/>
  <c r="AB10" i="43"/>
  <c r="AC10" i="43"/>
  <c r="AD10" i="43"/>
  <c r="AE10" i="43"/>
  <c r="AF10" i="43"/>
  <c r="AG10" i="43"/>
  <c r="AH10" i="43"/>
  <c r="AI10" i="43"/>
  <c r="AJ10" i="43"/>
  <c r="AK10" i="43"/>
  <c r="AL10" i="43"/>
  <c r="AM10" i="43"/>
  <c r="AN10" i="43"/>
  <c r="AO10" i="43"/>
  <c r="AP10" i="43"/>
  <c r="AT10" i="43"/>
  <c r="AU10" i="43"/>
  <c r="AV10" i="43"/>
  <c r="BA10" i="43"/>
  <c r="BB10" i="43"/>
  <c r="BC10" i="43"/>
  <c r="BE10" i="43"/>
  <c r="BG10" i="43"/>
  <c r="BH10" i="43"/>
  <c r="BI10" i="43"/>
  <c r="BJ10" i="43"/>
  <c r="BK10" i="43"/>
  <c r="BL10" i="43"/>
  <c r="BM10" i="43"/>
  <c r="V11" i="43"/>
  <c r="W11" i="43"/>
  <c r="X11" i="43"/>
  <c r="Y11" i="43"/>
  <c r="Z11" i="43"/>
  <c r="AA11" i="43"/>
  <c r="AB11" i="43"/>
  <c r="AC11" i="43"/>
  <c r="AD11" i="43"/>
  <c r="AE11" i="43"/>
  <c r="AF11" i="43"/>
  <c r="AG11" i="43"/>
  <c r="AH11" i="43"/>
  <c r="AI11" i="43"/>
  <c r="AJ11" i="43"/>
  <c r="AK11" i="43"/>
  <c r="AL11" i="43"/>
  <c r="AM11" i="43"/>
  <c r="AN11" i="43"/>
  <c r="AO11" i="43"/>
  <c r="AP11" i="43"/>
  <c r="AT11" i="43"/>
  <c r="AU11" i="43"/>
  <c r="AV11" i="43"/>
  <c r="BA11" i="43"/>
  <c r="BB11" i="43"/>
  <c r="BC11" i="43"/>
  <c r="BE11" i="43"/>
  <c r="BG11" i="43"/>
  <c r="BH11" i="43"/>
  <c r="BI11" i="43"/>
  <c r="BJ11" i="43"/>
  <c r="BK11" i="43"/>
  <c r="BL11" i="43"/>
  <c r="BM11" i="43"/>
  <c r="V12" i="43"/>
  <c r="W12" i="43"/>
  <c r="X12" i="43"/>
  <c r="Y12" i="43"/>
  <c r="Z12" i="43"/>
  <c r="AA12" i="43"/>
  <c r="AB12" i="43"/>
  <c r="AC12" i="43"/>
  <c r="AD12" i="43"/>
  <c r="AE12" i="43"/>
  <c r="AF12" i="43"/>
  <c r="AG12" i="43"/>
  <c r="AH12" i="43"/>
  <c r="AI12" i="43"/>
  <c r="AJ12" i="43"/>
  <c r="AK12" i="43"/>
  <c r="AL12" i="43"/>
  <c r="AM12" i="43"/>
  <c r="AN12" i="43"/>
  <c r="AO12" i="43"/>
  <c r="AP12" i="43"/>
  <c r="AT12" i="43"/>
  <c r="AU12" i="43"/>
  <c r="AV12" i="43"/>
  <c r="BA12" i="43"/>
  <c r="BB12" i="43"/>
  <c r="BC12" i="43"/>
  <c r="BG12" i="43"/>
  <c r="BH12" i="43"/>
  <c r="BI12" i="43"/>
  <c r="BJ12" i="43"/>
  <c r="BK12" i="43"/>
  <c r="BL12" i="43"/>
  <c r="BM12" i="43"/>
  <c r="V13" i="43"/>
  <c r="W13" i="43"/>
  <c r="X13" i="43"/>
  <c r="Y13" i="43"/>
  <c r="Z13" i="43"/>
  <c r="AA13" i="43"/>
  <c r="AB13" i="43"/>
  <c r="AC13" i="43"/>
  <c r="AD13" i="43"/>
  <c r="AE13" i="43"/>
  <c r="AF13" i="43"/>
  <c r="AG13" i="43"/>
  <c r="AH13" i="43"/>
  <c r="AI13" i="43"/>
  <c r="AJ13" i="43"/>
  <c r="AK13" i="43"/>
  <c r="AL13" i="43"/>
  <c r="AM13" i="43"/>
  <c r="AN13" i="43"/>
  <c r="AO13" i="43"/>
  <c r="AP13" i="43"/>
  <c r="AT13" i="43"/>
  <c r="AU13" i="43"/>
  <c r="AV13" i="43"/>
  <c r="BA13" i="43"/>
  <c r="BB13" i="43"/>
  <c r="BC13" i="43"/>
  <c r="BG13" i="43"/>
  <c r="BH13" i="43"/>
  <c r="BI13" i="43"/>
  <c r="BJ13" i="43"/>
  <c r="BK13" i="43"/>
  <c r="BL13" i="43"/>
  <c r="BM13" i="43"/>
  <c r="V14" i="43"/>
  <c r="W14" i="43"/>
  <c r="X14" i="43"/>
  <c r="Y14" i="43"/>
  <c r="Z14" i="43"/>
  <c r="AA14" i="43"/>
  <c r="AB14" i="43"/>
  <c r="AC14" i="43"/>
  <c r="AD14" i="43"/>
  <c r="AE14" i="43"/>
  <c r="AF14" i="43"/>
  <c r="AG14" i="43"/>
  <c r="AH14" i="43"/>
  <c r="AI14" i="43"/>
  <c r="AJ14" i="43"/>
  <c r="AK14" i="43"/>
  <c r="AL14" i="43"/>
  <c r="AM14" i="43"/>
  <c r="AN14" i="43"/>
  <c r="AO14" i="43"/>
  <c r="AP14" i="43"/>
  <c r="AT14" i="43"/>
  <c r="AU14" i="43"/>
  <c r="AV14" i="43"/>
  <c r="BA14" i="43"/>
  <c r="BB14" i="43"/>
  <c r="BC14" i="43"/>
  <c r="BE14" i="43"/>
  <c r="BG14" i="43"/>
  <c r="BH14" i="43"/>
  <c r="BI14" i="43"/>
  <c r="BJ14" i="43"/>
  <c r="BK14" i="43"/>
  <c r="BL14" i="43"/>
  <c r="BM14" i="43"/>
  <c r="V15" i="43"/>
  <c r="W15" i="43"/>
  <c r="X15" i="43"/>
  <c r="Y15" i="43"/>
  <c r="Z15" i="43"/>
  <c r="AA15" i="43"/>
  <c r="AB15" i="43"/>
  <c r="AC15" i="43"/>
  <c r="AD15" i="43"/>
  <c r="AE15" i="43"/>
  <c r="AF15" i="43"/>
  <c r="AG15" i="43"/>
  <c r="AH15" i="43"/>
  <c r="AI15" i="43"/>
  <c r="AJ15" i="43"/>
  <c r="AK15" i="43"/>
  <c r="AL15" i="43"/>
  <c r="AM15" i="43"/>
  <c r="AN15" i="43"/>
  <c r="AO15" i="43"/>
  <c r="AP15" i="43"/>
  <c r="AT15" i="43"/>
  <c r="AU15" i="43"/>
  <c r="AV15" i="43"/>
  <c r="BA15" i="43"/>
  <c r="BB15" i="43"/>
  <c r="BC15" i="43"/>
  <c r="BE15" i="43"/>
  <c r="BG15" i="43"/>
  <c r="BH15" i="43"/>
  <c r="BI15" i="43"/>
  <c r="BJ15" i="43"/>
  <c r="BK15" i="43"/>
  <c r="BL15" i="43"/>
  <c r="BM15" i="43"/>
  <c r="V16" i="43"/>
  <c r="W16" i="43"/>
  <c r="X16" i="43"/>
  <c r="Y16" i="43"/>
  <c r="Z16" i="43"/>
  <c r="AA16" i="43"/>
  <c r="AB16" i="43"/>
  <c r="AC16" i="43"/>
  <c r="AD16" i="43"/>
  <c r="AE16" i="43"/>
  <c r="AF16" i="43"/>
  <c r="AG16" i="43"/>
  <c r="AH16" i="43"/>
  <c r="AI16" i="43"/>
  <c r="AJ16" i="43"/>
  <c r="AK16" i="43"/>
  <c r="AL16" i="43"/>
  <c r="AM16" i="43"/>
  <c r="AN16" i="43"/>
  <c r="AO16" i="43"/>
  <c r="AP16" i="43"/>
  <c r="AT16" i="43"/>
  <c r="AU16" i="43"/>
  <c r="AV16" i="43"/>
  <c r="BA16" i="43"/>
  <c r="BB16" i="43"/>
  <c r="BC16" i="43"/>
  <c r="BE16" i="43"/>
  <c r="BG16" i="43"/>
  <c r="BH16" i="43"/>
  <c r="BI16" i="43"/>
  <c r="BJ16" i="43"/>
  <c r="BK16" i="43"/>
  <c r="BL16" i="43"/>
  <c r="BM16" i="43"/>
  <c r="V17" i="43"/>
  <c r="W17" i="43"/>
  <c r="X17" i="43"/>
  <c r="Y17" i="43"/>
  <c r="Z17" i="43"/>
  <c r="AA17" i="43"/>
  <c r="AB17" i="43"/>
  <c r="AC17" i="43"/>
  <c r="AD17" i="43"/>
  <c r="AE17" i="43"/>
  <c r="AF17" i="43"/>
  <c r="AG17" i="43"/>
  <c r="AH17" i="43"/>
  <c r="AI17" i="43"/>
  <c r="AJ17" i="43"/>
  <c r="AK17" i="43"/>
  <c r="AL17" i="43"/>
  <c r="AM17" i="43"/>
  <c r="AN17" i="43"/>
  <c r="AO17" i="43"/>
  <c r="AP17" i="43"/>
  <c r="AT17" i="43"/>
  <c r="AU17" i="43"/>
  <c r="AV17" i="43"/>
  <c r="AW17" i="43"/>
  <c r="BA17" i="43"/>
  <c r="BB17" i="43"/>
  <c r="BC17" i="43"/>
  <c r="BE17" i="43"/>
  <c r="BG17" i="43"/>
  <c r="BH17" i="43"/>
  <c r="BI17" i="43"/>
  <c r="BJ17" i="43"/>
  <c r="BK17" i="43"/>
  <c r="BL17" i="43"/>
  <c r="BM17" i="43"/>
  <c r="V18" i="43"/>
  <c r="W18" i="43"/>
  <c r="X18" i="43"/>
  <c r="Y18" i="43"/>
  <c r="Z18" i="43"/>
  <c r="AA18" i="43"/>
  <c r="AB18" i="43"/>
  <c r="AC18" i="43"/>
  <c r="AD18" i="43"/>
  <c r="AE18" i="43"/>
  <c r="AF18" i="43"/>
  <c r="AG18" i="43"/>
  <c r="AH18" i="43"/>
  <c r="AI18" i="43"/>
  <c r="AJ18" i="43"/>
  <c r="AK18" i="43"/>
  <c r="AL18" i="43"/>
  <c r="AM18" i="43"/>
  <c r="AN18" i="43"/>
  <c r="AO18" i="43"/>
  <c r="AP18" i="43"/>
  <c r="AT18" i="43"/>
  <c r="AU18" i="43"/>
  <c r="AV18" i="43"/>
  <c r="BA18" i="43"/>
  <c r="BB18" i="43"/>
  <c r="BC18" i="43"/>
  <c r="BE18" i="43"/>
  <c r="BG18" i="43"/>
  <c r="BH18" i="43"/>
  <c r="BI18" i="43"/>
  <c r="BJ18" i="43"/>
  <c r="BK18" i="43"/>
  <c r="BL18" i="43"/>
  <c r="BM18" i="43"/>
  <c r="V19" i="43"/>
  <c r="W19" i="43"/>
  <c r="X19" i="43"/>
  <c r="Y19" i="43"/>
  <c r="Z19" i="43"/>
  <c r="AA19" i="43"/>
  <c r="AB19" i="43"/>
  <c r="AC19" i="43"/>
  <c r="AD19" i="43"/>
  <c r="AE19" i="43"/>
  <c r="AF19" i="43"/>
  <c r="AG19" i="43"/>
  <c r="AH19" i="43"/>
  <c r="AI19" i="43"/>
  <c r="AJ19" i="43"/>
  <c r="AK19" i="43"/>
  <c r="AL19" i="43"/>
  <c r="AM19" i="43"/>
  <c r="AN19" i="43"/>
  <c r="AO19" i="43"/>
  <c r="AP19" i="43"/>
  <c r="AT19" i="43"/>
  <c r="AU19" i="43"/>
  <c r="AV19" i="43"/>
  <c r="BA19" i="43"/>
  <c r="BB19" i="43"/>
  <c r="BC19" i="43"/>
  <c r="BE19" i="43"/>
  <c r="BG19" i="43"/>
  <c r="BH19" i="43"/>
  <c r="BI19" i="43"/>
  <c r="BJ19" i="43"/>
  <c r="BK19" i="43"/>
  <c r="BL19" i="43"/>
  <c r="BM19" i="43"/>
  <c r="V20" i="43"/>
  <c r="W20" i="43"/>
  <c r="X20" i="43"/>
  <c r="Y20" i="43"/>
  <c r="Z20" i="43"/>
  <c r="AA20" i="43"/>
  <c r="AB20" i="43"/>
  <c r="AC20" i="43"/>
  <c r="AD20" i="43"/>
  <c r="AE20" i="43"/>
  <c r="AF20" i="43"/>
  <c r="AG20" i="43"/>
  <c r="AH20" i="43"/>
  <c r="AI20" i="43"/>
  <c r="AJ20" i="43"/>
  <c r="AK20" i="43"/>
  <c r="AL20" i="43"/>
  <c r="AM20" i="43"/>
  <c r="AN20" i="43"/>
  <c r="AO20" i="43"/>
  <c r="AP20" i="43"/>
  <c r="AT20" i="43"/>
  <c r="AU20" i="43"/>
  <c r="AV20" i="43"/>
  <c r="BA20" i="43"/>
  <c r="BB20" i="43"/>
  <c r="BC20" i="43"/>
  <c r="BE20" i="43"/>
  <c r="BG20" i="43"/>
  <c r="BH20" i="43"/>
  <c r="BI20" i="43"/>
  <c r="BJ20" i="43"/>
  <c r="BK20" i="43"/>
  <c r="BL20" i="43"/>
  <c r="BM20" i="43"/>
  <c r="V21" i="43"/>
  <c r="W21" i="43"/>
  <c r="X21" i="43"/>
  <c r="Y21" i="43"/>
  <c r="Z21" i="43"/>
  <c r="AA21" i="43"/>
  <c r="AB21" i="43"/>
  <c r="AC21" i="43"/>
  <c r="AD21" i="43"/>
  <c r="AE21" i="43"/>
  <c r="AF21" i="43"/>
  <c r="AG21" i="43"/>
  <c r="AH21" i="43"/>
  <c r="AI21" i="43"/>
  <c r="AJ21" i="43"/>
  <c r="AK21" i="43"/>
  <c r="AL21" i="43"/>
  <c r="AM21" i="43"/>
  <c r="AN21" i="43"/>
  <c r="AO21" i="43"/>
  <c r="AP21" i="43"/>
  <c r="AT21" i="43"/>
  <c r="AU21" i="43"/>
  <c r="AV21" i="43"/>
  <c r="BA21" i="43"/>
  <c r="BB21" i="43"/>
  <c r="BC21" i="43"/>
  <c r="BG21" i="43"/>
  <c r="BH21" i="43"/>
  <c r="BI21" i="43"/>
  <c r="BJ21" i="43"/>
  <c r="BK21" i="43"/>
  <c r="BL21" i="43"/>
  <c r="BM21" i="43"/>
  <c r="V22" i="43"/>
  <c r="W22" i="43"/>
  <c r="X22" i="43"/>
  <c r="Y22" i="43"/>
  <c r="Z22" i="43"/>
  <c r="AA22" i="43"/>
  <c r="AB22" i="43"/>
  <c r="AC22" i="43"/>
  <c r="AD22" i="43"/>
  <c r="AE22" i="43"/>
  <c r="AF22" i="43"/>
  <c r="AG22" i="43"/>
  <c r="AH22" i="43"/>
  <c r="AI22" i="43"/>
  <c r="AJ22" i="43"/>
  <c r="AK22" i="43"/>
  <c r="AL22" i="43"/>
  <c r="AM22" i="43"/>
  <c r="AN22" i="43"/>
  <c r="AO22" i="43"/>
  <c r="AP22" i="43"/>
  <c r="AT22" i="43"/>
  <c r="AU22" i="43"/>
  <c r="AV22" i="43"/>
  <c r="BA22" i="43"/>
  <c r="BB22" i="43"/>
  <c r="BC22" i="43"/>
  <c r="BE22" i="43"/>
  <c r="BG22" i="43"/>
  <c r="BH22" i="43"/>
  <c r="BI22" i="43"/>
  <c r="BJ22" i="43"/>
  <c r="BK22" i="43"/>
  <c r="BL22" i="43"/>
  <c r="BM22" i="43"/>
  <c r="V23" i="43"/>
  <c r="W23" i="43"/>
  <c r="X23" i="43"/>
  <c r="Y23" i="43"/>
  <c r="Z23" i="43"/>
  <c r="AA23" i="43"/>
  <c r="AB23" i="43"/>
  <c r="AC23" i="43"/>
  <c r="AD23" i="43"/>
  <c r="AE23" i="43"/>
  <c r="AF23" i="43"/>
  <c r="AG23" i="43"/>
  <c r="AH23" i="43"/>
  <c r="AI23" i="43"/>
  <c r="AJ23" i="43"/>
  <c r="AK23" i="43"/>
  <c r="AL23" i="43"/>
  <c r="AM23" i="43"/>
  <c r="AN23" i="43"/>
  <c r="AO23" i="43"/>
  <c r="AP23" i="43"/>
  <c r="AT23" i="43"/>
  <c r="AU23" i="43"/>
  <c r="AV23" i="43"/>
  <c r="BA23" i="43"/>
  <c r="BB23" i="43"/>
  <c r="BC23" i="43"/>
  <c r="BE23" i="43"/>
  <c r="BG23" i="43"/>
  <c r="BH23" i="43"/>
  <c r="BI23" i="43"/>
  <c r="BJ23" i="43"/>
  <c r="BK23" i="43"/>
  <c r="BL23" i="43"/>
  <c r="BM23" i="43"/>
  <c r="V24" i="43"/>
  <c r="W24" i="43"/>
  <c r="X24" i="43"/>
  <c r="Y24" i="43"/>
  <c r="Z24" i="43"/>
  <c r="AA24" i="43"/>
  <c r="AB24" i="43"/>
  <c r="AC24" i="43"/>
  <c r="AD24" i="43"/>
  <c r="AE24" i="43"/>
  <c r="AF24" i="43"/>
  <c r="AG24" i="43"/>
  <c r="AH24" i="43"/>
  <c r="AI24" i="43"/>
  <c r="AJ24" i="43"/>
  <c r="AK24" i="43"/>
  <c r="AL24" i="43"/>
  <c r="AM24" i="43"/>
  <c r="AN24" i="43"/>
  <c r="AO24" i="43"/>
  <c r="AP24" i="43"/>
  <c r="AT24" i="43"/>
  <c r="AU24" i="43"/>
  <c r="AV24" i="43"/>
  <c r="BA24" i="43"/>
  <c r="BB24" i="43"/>
  <c r="BC24" i="43"/>
  <c r="BE24" i="43"/>
  <c r="BG24" i="43"/>
  <c r="BH24" i="43"/>
  <c r="BI24" i="43"/>
  <c r="BJ24" i="43"/>
  <c r="BK24" i="43"/>
  <c r="BL24" i="43"/>
  <c r="BM24" i="43"/>
  <c r="V25" i="43"/>
  <c r="W25" i="43"/>
  <c r="X25" i="43"/>
  <c r="Y25" i="43"/>
  <c r="Z25" i="43"/>
  <c r="AA25" i="43"/>
  <c r="AB25" i="43"/>
  <c r="AC25" i="43"/>
  <c r="AD25" i="43"/>
  <c r="AE25" i="43"/>
  <c r="AF25" i="43"/>
  <c r="AG25" i="43"/>
  <c r="AH25" i="43"/>
  <c r="AI25" i="43"/>
  <c r="AJ25" i="43"/>
  <c r="AK25" i="43"/>
  <c r="AL25" i="43"/>
  <c r="AM25" i="43"/>
  <c r="AN25" i="43"/>
  <c r="AO25" i="43"/>
  <c r="AP25" i="43"/>
  <c r="AT25" i="43"/>
  <c r="AU25" i="43"/>
  <c r="AV25" i="43"/>
  <c r="BA25" i="43"/>
  <c r="BB25" i="43"/>
  <c r="BC25" i="43"/>
  <c r="BE25" i="43"/>
  <c r="BG25" i="43"/>
  <c r="BH25" i="43"/>
  <c r="BI25" i="43"/>
  <c r="BJ25" i="43"/>
  <c r="BK25" i="43"/>
  <c r="BL25" i="43"/>
  <c r="BM25" i="43"/>
  <c r="V26" i="43"/>
  <c r="W26" i="43"/>
  <c r="X26" i="43"/>
  <c r="Y26" i="43"/>
  <c r="Z26" i="43"/>
  <c r="AA26" i="43"/>
  <c r="AB26" i="43"/>
  <c r="AC26" i="43"/>
  <c r="AD26" i="43"/>
  <c r="AE26" i="43"/>
  <c r="AF26" i="43"/>
  <c r="AG26" i="43"/>
  <c r="AH26" i="43"/>
  <c r="AI26" i="43"/>
  <c r="AJ26" i="43"/>
  <c r="AK26" i="43"/>
  <c r="AL26" i="43"/>
  <c r="AM26" i="43"/>
  <c r="AN26" i="43"/>
  <c r="AO26" i="43"/>
  <c r="AP26" i="43"/>
  <c r="AT26" i="43"/>
  <c r="AU26" i="43"/>
  <c r="AV26" i="43"/>
  <c r="BA26" i="43"/>
  <c r="BB26" i="43"/>
  <c r="BC26" i="43"/>
  <c r="BG26" i="43"/>
  <c r="BH26" i="43"/>
  <c r="BI26" i="43"/>
  <c r="BJ26" i="43"/>
  <c r="BK26" i="43"/>
  <c r="BL26" i="43"/>
  <c r="BM26" i="43"/>
  <c r="V27" i="43"/>
  <c r="W27" i="43"/>
  <c r="X27" i="43"/>
  <c r="Y27" i="43"/>
  <c r="Z27" i="43"/>
  <c r="AA27" i="43"/>
  <c r="AB27" i="43"/>
  <c r="AC27" i="43"/>
  <c r="AD27" i="43"/>
  <c r="AE27" i="43"/>
  <c r="AF27" i="43"/>
  <c r="AG27" i="43"/>
  <c r="AH27" i="43"/>
  <c r="AI27" i="43"/>
  <c r="AJ27" i="43"/>
  <c r="AK27" i="43"/>
  <c r="AL27" i="43"/>
  <c r="AM27" i="43"/>
  <c r="AN27" i="43"/>
  <c r="AO27" i="43"/>
  <c r="AP27" i="43"/>
  <c r="AT27" i="43"/>
  <c r="AU27" i="43"/>
  <c r="AV27" i="43"/>
  <c r="BA27" i="43"/>
  <c r="BB27" i="43"/>
  <c r="BC27" i="43"/>
  <c r="BE27" i="43"/>
  <c r="BG27" i="43"/>
  <c r="BH27" i="43"/>
  <c r="BI27" i="43"/>
  <c r="BJ27" i="43"/>
  <c r="BK27" i="43"/>
  <c r="BL27" i="43"/>
  <c r="BM27" i="43"/>
  <c r="V28" i="43"/>
  <c r="W28" i="43"/>
  <c r="X28" i="43"/>
  <c r="Y28" i="43"/>
  <c r="Z28" i="43"/>
  <c r="AA28" i="43"/>
  <c r="AB28" i="43"/>
  <c r="AC28" i="43"/>
  <c r="AD28" i="43"/>
  <c r="AE28" i="43"/>
  <c r="AF28" i="43"/>
  <c r="AG28" i="43"/>
  <c r="AH28" i="43"/>
  <c r="AI28" i="43"/>
  <c r="AJ28" i="43"/>
  <c r="AK28" i="43"/>
  <c r="AL28" i="43"/>
  <c r="AM28" i="43"/>
  <c r="AN28" i="43"/>
  <c r="AO28" i="43"/>
  <c r="AP28" i="43"/>
  <c r="AT28" i="43"/>
  <c r="AU28" i="43"/>
  <c r="AV28" i="43"/>
  <c r="BA28" i="43"/>
  <c r="BB28" i="43"/>
  <c r="BC28" i="43"/>
  <c r="BE28" i="43"/>
  <c r="BG28" i="43"/>
  <c r="BH28" i="43"/>
  <c r="BI28" i="43"/>
  <c r="BJ28" i="43"/>
  <c r="BK28" i="43"/>
  <c r="BL28" i="43"/>
  <c r="BM28" i="43"/>
  <c r="V29" i="43"/>
  <c r="W29" i="43"/>
  <c r="X29" i="43"/>
  <c r="Y29" i="43"/>
  <c r="Z29" i="43"/>
  <c r="AA29" i="43"/>
  <c r="AB29" i="43"/>
  <c r="AC29" i="43"/>
  <c r="AD29" i="43"/>
  <c r="AE29" i="43"/>
  <c r="AF29" i="43"/>
  <c r="AG29" i="43"/>
  <c r="AH29" i="43"/>
  <c r="AI29" i="43"/>
  <c r="AJ29" i="43"/>
  <c r="AK29" i="43"/>
  <c r="AL29" i="43"/>
  <c r="AM29" i="43"/>
  <c r="AN29" i="43"/>
  <c r="AO29" i="43"/>
  <c r="AP29" i="43"/>
  <c r="AT29" i="43"/>
  <c r="AU29" i="43"/>
  <c r="AV29" i="43"/>
  <c r="BA29" i="43"/>
  <c r="BB29" i="43"/>
  <c r="BC29" i="43"/>
  <c r="BE29" i="43"/>
  <c r="BG29" i="43"/>
  <c r="BH29" i="43"/>
  <c r="BI29" i="43"/>
  <c r="BJ29" i="43"/>
  <c r="BK29" i="43"/>
  <c r="BL29" i="43"/>
  <c r="BM29" i="43"/>
  <c r="V30" i="43"/>
  <c r="W30" i="43"/>
  <c r="X30" i="43"/>
  <c r="Y30" i="43"/>
  <c r="Z30" i="43"/>
  <c r="AA30" i="43"/>
  <c r="AB30" i="43"/>
  <c r="AC30" i="43"/>
  <c r="AD30" i="43"/>
  <c r="AE30" i="43"/>
  <c r="AF30" i="43"/>
  <c r="AG30" i="43"/>
  <c r="AH30" i="43"/>
  <c r="AI30" i="43"/>
  <c r="AJ30" i="43"/>
  <c r="AK30" i="43"/>
  <c r="AL30" i="43"/>
  <c r="AM30" i="43"/>
  <c r="AN30" i="43"/>
  <c r="AO30" i="43"/>
  <c r="AP30" i="43"/>
  <c r="AT30" i="43"/>
  <c r="AU30" i="43"/>
  <c r="AV30" i="43"/>
  <c r="BA30" i="43"/>
  <c r="BB30" i="43"/>
  <c r="BC30" i="43"/>
  <c r="BE30" i="43"/>
  <c r="BG30" i="43"/>
  <c r="BH30" i="43"/>
  <c r="BI30" i="43"/>
  <c r="BJ30" i="43"/>
  <c r="BK30" i="43"/>
  <c r="BL30" i="43"/>
  <c r="BM30" i="43"/>
  <c r="V31" i="43"/>
  <c r="W31" i="43"/>
  <c r="X31" i="43"/>
  <c r="Y31" i="43"/>
  <c r="Z31" i="43"/>
  <c r="AA31" i="43"/>
  <c r="AB31" i="43"/>
  <c r="AC31" i="43"/>
  <c r="AD31" i="43"/>
  <c r="AE31" i="43"/>
  <c r="AF31" i="43"/>
  <c r="AG31" i="43"/>
  <c r="AH31" i="43"/>
  <c r="AI31" i="43"/>
  <c r="AJ31" i="43"/>
  <c r="AK31" i="43"/>
  <c r="AL31" i="43"/>
  <c r="AM31" i="43"/>
  <c r="AN31" i="43"/>
  <c r="AO31" i="43"/>
  <c r="AP31" i="43"/>
  <c r="AT31" i="43"/>
  <c r="AU31" i="43"/>
  <c r="AV31" i="43"/>
  <c r="BA31" i="43"/>
  <c r="BB31" i="43"/>
  <c r="BC31" i="43"/>
  <c r="BE31" i="43"/>
  <c r="BG31" i="43"/>
  <c r="BH31" i="43"/>
  <c r="BI31" i="43"/>
  <c r="BJ31" i="43"/>
  <c r="BK31" i="43"/>
  <c r="BL31" i="43"/>
  <c r="BM31" i="43"/>
  <c r="V32" i="43"/>
  <c r="W32" i="43"/>
  <c r="X32" i="43"/>
  <c r="Y32" i="43"/>
  <c r="Z32" i="43"/>
  <c r="AA32" i="43"/>
  <c r="AB32" i="43"/>
  <c r="AC32" i="43"/>
  <c r="AD32" i="43"/>
  <c r="AE32" i="43"/>
  <c r="AF32" i="43"/>
  <c r="AG32" i="43"/>
  <c r="AH32" i="43"/>
  <c r="AI32" i="43"/>
  <c r="AJ32" i="43"/>
  <c r="AK32" i="43"/>
  <c r="AL32" i="43"/>
  <c r="AM32" i="43"/>
  <c r="AN32" i="43"/>
  <c r="AO32" i="43"/>
  <c r="AP32" i="43"/>
  <c r="AT32" i="43"/>
  <c r="AU32" i="43"/>
  <c r="AV32" i="43"/>
  <c r="BA32" i="43"/>
  <c r="BB32" i="43"/>
  <c r="BC32" i="43"/>
  <c r="BE32" i="43"/>
  <c r="BG32" i="43"/>
  <c r="BH32" i="43"/>
  <c r="BI32" i="43"/>
  <c r="BJ32" i="43"/>
  <c r="BK32" i="43"/>
  <c r="BL32" i="43"/>
  <c r="BM32" i="43"/>
  <c r="V33" i="43"/>
  <c r="W33" i="43"/>
  <c r="X33" i="43"/>
  <c r="Y33" i="43"/>
  <c r="Z33" i="43"/>
  <c r="AA33" i="43"/>
  <c r="AB33" i="43"/>
  <c r="AC33" i="43"/>
  <c r="AD33" i="43"/>
  <c r="AE33" i="43"/>
  <c r="AF33" i="43"/>
  <c r="AG33" i="43"/>
  <c r="AH33" i="43"/>
  <c r="AI33" i="43"/>
  <c r="AJ33" i="43"/>
  <c r="AK33" i="43"/>
  <c r="AL33" i="43"/>
  <c r="AM33" i="43"/>
  <c r="AN33" i="43"/>
  <c r="AO33" i="43"/>
  <c r="AP33" i="43"/>
  <c r="AT33" i="43"/>
  <c r="AU33" i="43"/>
  <c r="AV33" i="43"/>
  <c r="BA33" i="43"/>
  <c r="BB33" i="43"/>
  <c r="BC33" i="43"/>
  <c r="BE33" i="43"/>
  <c r="BG33" i="43"/>
  <c r="BH33" i="43"/>
  <c r="BI33" i="43"/>
  <c r="BJ33" i="43"/>
  <c r="BK33" i="43"/>
  <c r="BL33" i="43"/>
  <c r="BM33" i="43"/>
  <c r="V34" i="43"/>
  <c r="W34" i="43"/>
  <c r="X34" i="43"/>
  <c r="Y34" i="43"/>
  <c r="Z34" i="43"/>
  <c r="AA34" i="43"/>
  <c r="AB34" i="43"/>
  <c r="AC34" i="43"/>
  <c r="AD34" i="43"/>
  <c r="AE34" i="43"/>
  <c r="AF34" i="43"/>
  <c r="AG34" i="43"/>
  <c r="AH34" i="43"/>
  <c r="AI34" i="43"/>
  <c r="AJ34" i="43"/>
  <c r="AK34" i="43"/>
  <c r="AL34" i="43"/>
  <c r="AM34" i="43"/>
  <c r="AN34" i="43"/>
  <c r="AO34" i="43"/>
  <c r="AP34" i="43"/>
  <c r="AT34" i="43"/>
  <c r="AU34" i="43"/>
  <c r="AV34" i="43"/>
  <c r="BA34" i="43"/>
  <c r="BB34" i="43"/>
  <c r="BC34" i="43"/>
  <c r="BE34" i="43"/>
  <c r="BG34" i="43"/>
  <c r="BH34" i="43"/>
  <c r="BI34" i="43"/>
  <c r="BJ34" i="43"/>
  <c r="BK34" i="43"/>
  <c r="BL34" i="43"/>
  <c r="BM34" i="43"/>
  <c r="V35" i="43"/>
  <c r="W35" i="43"/>
  <c r="X35" i="43"/>
  <c r="Y35" i="43"/>
  <c r="Z35" i="43"/>
  <c r="AA35" i="43"/>
  <c r="AB35" i="43"/>
  <c r="AC35" i="43"/>
  <c r="AD35" i="43"/>
  <c r="AE35" i="43"/>
  <c r="AF35" i="43"/>
  <c r="AG35" i="43"/>
  <c r="AH35" i="43"/>
  <c r="AI35" i="43"/>
  <c r="AJ35" i="43"/>
  <c r="AK35" i="43"/>
  <c r="AL35" i="43"/>
  <c r="AM35" i="43"/>
  <c r="AN35" i="43"/>
  <c r="AO35" i="43"/>
  <c r="AP35" i="43"/>
  <c r="AT35" i="43"/>
  <c r="AU35" i="43"/>
  <c r="AV35" i="43"/>
  <c r="BA35" i="43"/>
  <c r="BB35" i="43"/>
  <c r="BC35" i="43"/>
  <c r="BE35" i="43"/>
  <c r="BG35" i="43"/>
  <c r="BH35" i="43"/>
  <c r="BI35" i="43"/>
  <c r="BJ35" i="43"/>
  <c r="BK35" i="43"/>
  <c r="BL35" i="43"/>
  <c r="BM35" i="43"/>
  <c r="V36" i="43"/>
  <c r="W36" i="43"/>
  <c r="X36" i="43"/>
  <c r="Y36" i="43"/>
  <c r="Z36" i="43"/>
  <c r="AA36" i="43"/>
  <c r="AB36" i="43"/>
  <c r="AC36" i="43"/>
  <c r="AD36" i="43"/>
  <c r="AE36" i="43"/>
  <c r="AF36" i="43"/>
  <c r="AG36" i="43"/>
  <c r="AH36" i="43"/>
  <c r="AI36" i="43"/>
  <c r="AJ36" i="43"/>
  <c r="AK36" i="43"/>
  <c r="AL36" i="43"/>
  <c r="AM36" i="43"/>
  <c r="AN36" i="43"/>
  <c r="AO36" i="43"/>
  <c r="AP36" i="43"/>
  <c r="AT36" i="43"/>
  <c r="AU36" i="43"/>
  <c r="AV36" i="43"/>
  <c r="BA36" i="43"/>
  <c r="BB36" i="43"/>
  <c r="BC36" i="43"/>
  <c r="BE36" i="43"/>
  <c r="BG36" i="43"/>
  <c r="BH36" i="43"/>
  <c r="BI36" i="43"/>
  <c r="BJ36" i="43"/>
  <c r="BK36" i="43"/>
  <c r="BL36" i="43"/>
  <c r="BM36" i="43"/>
  <c r="S36" i="43"/>
  <c r="T36" i="43"/>
  <c r="R7" i="43"/>
  <c r="S7" i="43"/>
  <c r="T7" i="43"/>
  <c r="R8" i="43"/>
  <c r="S8" i="43"/>
  <c r="T8" i="43"/>
  <c r="S9" i="43"/>
  <c r="T9" i="43"/>
  <c r="R10" i="43"/>
  <c r="S10" i="43"/>
  <c r="T10" i="43"/>
  <c r="R11" i="43"/>
  <c r="S11" i="43"/>
  <c r="T11" i="43"/>
  <c r="S12" i="43"/>
  <c r="T12" i="43"/>
  <c r="R13" i="43"/>
  <c r="S13" i="43"/>
  <c r="T13" i="43"/>
  <c r="R14" i="43"/>
  <c r="S14" i="43"/>
  <c r="T14" i="43"/>
  <c r="R15" i="43"/>
  <c r="S15" i="43"/>
  <c r="T15" i="43"/>
  <c r="S16" i="43"/>
  <c r="T16" i="43"/>
  <c r="S17" i="43"/>
  <c r="T17" i="43"/>
  <c r="S18" i="43"/>
  <c r="T18" i="43"/>
  <c r="R19" i="43"/>
  <c r="S19" i="43"/>
  <c r="T19" i="43"/>
  <c r="S20" i="43"/>
  <c r="T20" i="43"/>
  <c r="R21" i="43"/>
  <c r="S21" i="43"/>
  <c r="T21" i="43"/>
  <c r="R22" i="43"/>
  <c r="S22" i="43"/>
  <c r="T22" i="43"/>
  <c r="S23" i="43"/>
  <c r="T23" i="43"/>
  <c r="S24" i="43"/>
  <c r="T24" i="43"/>
  <c r="S25" i="43"/>
  <c r="T25" i="43"/>
  <c r="R26" i="43"/>
  <c r="S26" i="43"/>
  <c r="T26" i="43"/>
  <c r="R27" i="43"/>
  <c r="S27" i="43"/>
  <c r="T27" i="43"/>
  <c r="R28" i="43"/>
  <c r="S28" i="43"/>
  <c r="T28" i="43"/>
  <c r="R29" i="43"/>
  <c r="S29" i="43"/>
  <c r="T29" i="43"/>
  <c r="R30" i="43"/>
  <c r="S30" i="43"/>
  <c r="T30" i="43"/>
  <c r="S31" i="43"/>
  <c r="T31" i="43"/>
  <c r="R32" i="43"/>
  <c r="S32" i="43"/>
  <c r="T32" i="43"/>
  <c r="R33" i="43"/>
  <c r="S33" i="43"/>
  <c r="T33" i="43"/>
  <c r="R34" i="43"/>
  <c r="S34" i="43"/>
  <c r="T34" i="43"/>
  <c r="R35" i="43"/>
  <c r="S35" i="43"/>
  <c r="T35" i="43"/>
  <c r="Q9" i="43"/>
  <c r="Q10" i="43"/>
  <c r="Q13" i="43"/>
  <c r="Q14" i="43"/>
  <c r="Q17" i="43"/>
  <c r="Q19" i="43"/>
  <c r="Q21" i="43"/>
  <c r="Q23" i="43"/>
  <c r="Q26" i="43"/>
  <c r="Q27" i="43"/>
  <c r="Q29" i="43"/>
  <c r="Q31" i="43"/>
  <c r="Q33" i="43"/>
  <c r="Q34" i="43"/>
  <c r="Q35" i="43"/>
  <c r="Q7" i="43"/>
  <c r="N7" i="43"/>
  <c r="N8" i="43"/>
  <c r="N9" i="43"/>
  <c r="N10" i="43"/>
  <c r="N11" i="43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7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I12" i="43"/>
  <c r="I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7" i="43"/>
  <c r="I8" i="43"/>
  <c r="I9" i="43"/>
  <c r="I10" i="43"/>
  <c r="I11" i="43"/>
  <c r="L6" i="43"/>
  <c r="N6" i="43"/>
  <c r="P6" i="43"/>
  <c r="S6" i="43"/>
  <c r="T6" i="43"/>
  <c r="V6" i="43"/>
  <c r="W6" i="43"/>
  <c r="X6" i="43"/>
  <c r="Y6" i="43"/>
  <c r="Z6" i="43"/>
  <c r="AA6" i="43"/>
  <c r="AB6" i="43"/>
  <c r="AC6" i="43"/>
  <c r="AD6" i="43"/>
  <c r="AE6" i="43"/>
  <c r="AF6" i="43"/>
  <c r="AG6" i="43"/>
  <c r="AH6" i="43"/>
  <c r="AI6" i="43"/>
  <c r="AJ6" i="43"/>
  <c r="AK6" i="43"/>
  <c r="AL6" i="43"/>
  <c r="AM6" i="43"/>
  <c r="AN6" i="43"/>
  <c r="AO6" i="43"/>
  <c r="AP6" i="43"/>
  <c r="AS6" i="43"/>
  <c r="AT6" i="43"/>
  <c r="AU6" i="43"/>
  <c r="AV6" i="43"/>
  <c r="AW6" i="43"/>
  <c r="BA6" i="43"/>
  <c r="BB6" i="43"/>
  <c r="BC6" i="43"/>
  <c r="BE6" i="43"/>
  <c r="BG6" i="43"/>
  <c r="BL6" i="43"/>
  <c r="J6" i="43"/>
  <c r="I6" i="43"/>
  <c r="B36" i="43"/>
  <c r="B35" i="43"/>
  <c r="B34" i="43"/>
  <c r="BP33" i="43"/>
  <c r="B33" i="43"/>
  <c r="B32" i="43"/>
  <c r="B31" i="43"/>
  <c r="B30" i="43"/>
  <c r="B29" i="43"/>
  <c r="BP28" i="43"/>
  <c r="B28" i="43"/>
  <c r="B27" i="43"/>
  <c r="B26" i="43"/>
  <c r="B25" i="43"/>
  <c r="B24" i="43"/>
  <c r="B23" i="43"/>
  <c r="BP22" i="43"/>
  <c r="B22" i="43"/>
  <c r="B21" i="43"/>
  <c r="B20" i="43"/>
  <c r="B19" i="43"/>
  <c r="B18" i="43"/>
  <c r="B17" i="43"/>
  <c r="BP16" i="43"/>
  <c r="B16" i="43"/>
  <c r="B15" i="43"/>
  <c r="B14" i="43"/>
  <c r="B13" i="43"/>
  <c r="B12" i="43"/>
  <c r="B11" i="43"/>
  <c r="B10" i="43"/>
  <c r="B9" i="43"/>
  <c r="B8" i="43"/>
  <c r="B7" i="43"/>
  <c r="B6" i="43"/>
  <c r="BL38" i="42"/>
  <c r="BK38" i="42"/>
  <c r="BC38" i="42"/>
  <c r="BB38" i="42"/>
  <c r="BA38" i="42"/>
  <c r="AV38" i="42"/>
  <c r="AU38" i="42"/>
  <c r="AT38" i="42"/>
  <c r="AP38" i="42"/>
  <c r="AO38" i="42"/>
  <c r="AN38" i="42"/>
  <c r="AM38" i="42"/>
  <c r="AL38" i="42"/>
  <c r="AK38" i="42"/>
  <c r="AJ38" i="42"/>
  <c r="AI38" i="42"/>
  <c r="AG38" i="42"/>
  <c r="AF38" i="42"/>
  <c r="AE38" i="42"/>
  <c r="AD38" i="42"/>
  <c r="AC38" i="42"/>
  <c r="AA38" i="42"/>
  <c r="Z38" i="42"/>
  <c r="Y38" i="42"/>
  <c r="X38" i="42"/>
  <c r="W38" i="42"/>
  <c r="V38" i="42"/>
  <c r="S38" i="42"/>
  <c r="N38" i="42"/>
  <c r="L38" i="42"/>
  <c r="J38" i="42"/>
  <c r="I38" i="42"/>
  <c r="BF36" i="42"/>
  <c r="AY36" i="42"/>
  <c r="AX36" i="42"/>
  <c r="AW36" i="42"/>
  <c r="B36" i="42"/>
  <c r="BF35" i="42"/>
  <c r="AY35" i="42"/>
  <c r="AX35" i="42"/>
  <c r="AW35" i="42"/>
  <c r="AZ35" i="42" s="1"/>
  <c r="BD35" i="42" s="1"/>
  <c r="B35" i="42"/>
  <c r="BF34" i="42"/>
  <c r="AY34" i="42"/>
  <c r="AX34" i="42"/>
  <c r="AW34" i="42"/>
  <c r="B34" i="42"/>
  <c r="BP33" i="42"/>
  <c r="BF33" i="42"/>
  <c r="AY33" i="42"/>
  <c r="AX33" i="42"/>
  <c r="AW33" i="42"/>
  <c r="B33" i="42"/>
  <c r="BF32" i="42"/>
  <c r="AY32" i="42"/>
  <c r="AX32" i="42"/>
  <c r="AW32" i="42"/>
  <c r="AZ32" i="42"/>
  <c r="BD32" i="42" s="1"/>
  <c r="B32" i="42"/>
  <c r="BF31" i="42"/>
  <c r="AY31" i="42"/>
  <c r="AX31" i="42"/>
  <c r="AW31" i="42"/>
  <c r="B31" i="42"/>
  <c r="BF30" i="42"/>
  <c r="AY30" i="42"/>
  <c r="AX30" i="42"/>
  <c r="AW30" i="42"/>
  <c r="B30" i="42"/>
  <c r="BF29" i="42"/>
  <c r="AY29" i="42"/>
  <c r="AX29" i="42"/>
  <c r="AW29" i="42"/>
  <c r="B29" i="42"/>
  <c r="BP28" i="42"/>
  <c r="BF28" i="42"/>
  <c r="AY28" i="42"/>
  <c r="AX28" i="42"/>
  <c r="AW28" i="42"/>
  <c r="AZ28" i="42"/>
  <c r="BD28" i="42" s="1"/>
  <c r="B28" i="42"/>
  <c r="BF27" i="42"/>
  <c r="AY27" i="42"/>
  <c r="AX27" i="42"/>
  <c r="AW27" i="42"/>
  <c r="B27" i="42"/>
  <c r="BF26" i="42"/>
  <c r="AY26" i="42"/>
  <c r="AX26" i="42"/>
  <c r="AW26" i="42"/>
  <c r="B26" i="42"/>
  <c r="BF25" i="42"/>
  <c r="AY25" i="42"/>
  <c r="AX25" i="42"/>
  <c r="AW25" i="42"/>
  <c r="B25" i="42"/>
  <c r="BF24" i="42"/>
  <c r="AZ24" i="42" s="1"/>
  <c r="AY24" i="42"/>
  <c r="AX24" i="42"/>
  <c r="AW24" i="42"/>
  <c r="B24" i="42"/>
  <c r="BF23" i="42"/>
  <c r="AY23" i="42"/>
  <c r="AX23" i="42"/>
  <c r="AW23" i="42"/>
  <c r="B23" i="42"/>
  <c r="BP22" i="42"/>
  <c r="BF22" i="42"/>
  <c r="AY22" i="42"/>
  <c r="AX22" i="42"/>
  <c r="AW22" i="42"/>
  <c r="AW38" i="42" s="1"/>
  <c r="B22" i="42"/>
  <c r="BF21" i="42"/>
  <c r="AY21" i="42"/>
  <c r="AX21" i="42"/>
  <c r="AW21" i="42"/>
  <c r="B21" i="42"/>
  <c r="BF20" i="42"/>
  <c r="AY20" i="42"/>
  <c r="AX20" i="42"/>
  <c r="AW20" i="42"/>
  <c r="B20" i="42"/>
  <c r="BF19" i="42"/>
  <c r="AY19" i="42"/>
  <c r="AX19" i="42"/>
  <c r="AW19" i="42"/>
  <c r="AZ19" i="42"/>
  <c r="BD19" i="42" s="1"/>
  <c r="B19" i="42"/>
  <c r="BF18" i="42"/>
  <c r="AY18" i="42"/>
  <c r="AX18" i="42"/>
  <c r="AW18" i="42"/>
  <c r="B18" i="42"/>
  <c r="BF17" i="42"/>
  <c r="AY17" i="42"/>
  <c r="AX17" i="42"/>
  <c r="AW17" i="42"/>
  <c r="AZ17" i="42"/>
  <c r="BD17" i="42" s="1"/>
  <c r="B17" i="42"/>
  <c r="BP16" i="42"/>
  <c r="BF16" i="42"/>
  <c r="AY16" i="42"/>
  <c r="AX16" i="42"/>
  <c r="AW16" i="42"/>
  <c r="B16" i="42"/>
  <c r="BF15" i="42"/>
  <c r="AY15" i="42"/>
  <c r="AX15" i="42"/>
  <c r="AW15" i="42"/>
  <c r="B15" i="42"/>
  <c r="BF14" i="42"/>
  <c r="AY14" i="42"/>
  <c r="AX14" i="42"/>
  <c r="AW14" i="42"/>
  <c r="AZ14" i="42"/>
  <c r="BD14" i="42" s="1"/>
  <c r="B14" i="42"/>
  <c r="BF13" i="42"/>
  <c r="AY13" i="42"/>
  <c r="AX13" i="42"/>
  <c r="AW13" i="42"/>
  <c r="B13" i="42"/>
  <c r="BF12" i="42"/>
  <c r="AY12" i="42"/>
  <c r="AX12" i="42"/>
  <c r="AW12" i="42"/>
  <c r="B12" i="42"/>
  <c r="BF11" i="42"/>
  <c r="AZ11" i="42" s="1"/>
  <c r="BD11" i="42" s="1"/>
  <c r="AY11" i="42"/>
  <c r="AX11" i="42"/>
  <c r="AW11" i="42"/>
  <c r="B11" i="42"/>
  <c r="BF10" i="42"/>
  <c r="AY10" i="42"/>
  <c r="AX10" i="42"/>
  <c r="AW10" i="42"/>
  <c r="B10" i="42"/>
  <c r="BF9" i="42"/>
  <c r="AZ9" i="42" s="1"/>
  <c r="BD9" i="42" s="1"/>
  <c r="AY9" i="42"/>
  <c r="AX9" i="42"/>
  <c r="AW9" i="42"/>
  <c r="B9" i="42"/>
  <c r="BF8" i="42"/>
  <c r="AY8" i="42"/>
  <c r="AX8" i="42"/>
  <c r="AW8" i="42"/>
  <c r="AZ8" i="42"/>
  <c r="BD8" i="42" s="1"/>
  <c r="B8" i="42"/>
  <c r="BM7" i="42"/>
  <c r="BI7" i="42"/>
  <c r="BH7" i="42"/>
  <c r="BF7" i="42"/>
  <c r="AY7" i="42"/>
  <c r="AX7" i="42"/>
  <c r="AW7" i="42"/>
  <c r="B7" i="42"/>
  <c r="BM6" i="42"/>
  <c r="BI6" i="42"/>
  <c r="BI38" i="42" s="1"/>
  <c r="BF6" i="42"/>
  <c r="AY6" i="42"/>
  <c r="AX6" i="42"/>
  <c r="AW6" i="42"/>
  <c r="B6" i="42"/>
  <c r="BM38" i="41"/>
  <c r="BL38" i="41"/>
  <c r="BK38" i="41"/>
  <c r="BC38" i="41"/>
  <c r="BB38" i="41"/>
  <c r="BA38" i="41"/>
  <c r="AV38" i="41"/>
  <c r="AU38" i="41"/>
  <c r="AT38" i="41"/>
  <c r="AN38" i="41"/>
  <c r="AM38" i="41"/>
  <c r="AL38" i="41"/>
  <c r="AK38" i="41"/>
  <c r="AJ38" i="41"/>
  <c r="AI38" i="41"/>
  <c r="AG38" i="41"/>
  <c r="AF38" i="41"/>
  <c r="AE38" i="41"/>
  <c r="AD38" i="41"/>
  <c r="AC38" i="41"/>
  <c r="AA38" i="41"/>
  <c r="Z38" i="41"/>
  <c r="Y38" i="41"/>
  <c r="X38" i="41"/>
  <c r="W38" i="41"/>
  <c r="V38" i="41"/>
  <c r="S38" i="41"/>
  <c r="N38" i="41"/>
  <c r="L38" i="41"/>
  <c r="J38" i="41"/>
  <c r="I38" i="41"/>
  <c r="BF36" i="41"/>
  <c r="AY36" i="41"/>
  <c r="AX36" i="41"/>
  <c r="AW36" i="41"/>
  <c r="B36" i="41"/>
  <c r="BF35" i="41"/>
  <c r="AY35" i="41"/>
  <c r="AZ35" i="41" s="1"/>
  <c r="BD35" i="41" s="1"/>
  <c r="AX35" i="41"/>
  <c r="AW35" i="41"/>
  <c r="B35" i="41"/>
  <c r="BF34" i="41"/>
  <c r="AY34" i="41"/>
  <c r="AX34" i="41"/>
  <c r="AW34" i="41"/>
  <c r="AZ34" i="41"/>
  <c r="BD34" i="41" s="1"/>
  <c r="B34" i="41"/>
  <c r="BP33" i="41"/>
  <c r="BJ6" i="41" s="1"/>
  <c r="BF33" i="41"/>
  <c r="AY33" i="41"/>
  <c r="AX33" i="41"/>
  <c r="AW33" i="41"/>
  <c r="B33" i="41"/>
  <c r="BF32" i="41"/>
  <c r="AY32" i="41"/>
  <c r="AX32" i="41"/>
  <c r="AW32" i="41"/>
  <c r="AZ32" i="41"/>
  <c r="BD32" i="41" s="1"/>
  <c r="B32" i="41"/>
  <c r="BF31" i="41"/>
  <c r="AY31" i="41"/>
  <c r="AX31" i="41"/>
  <c r="AW31" i="41"/>
  <c r="B31" i="41"/>
  <c r="BF30" i="41"/>
  <c r="AY30" i="41"/>
  <c r="AX30" i="41"/>
  <c r="AW30" i="41"/>
  <c r="AZ30" i="41"/>
  <c r="BD30" i="41" s="1"/>
  <c r="B30" i="41"/>
  <c r="BF29" i="41"/>
  <c r="AY29" i="41"/>
  <c r="AX29" i="41"/>
  <c r="AW29" i="41"/>
  <c r="B29" i="41"/>
  <c r="BP28" i="41"/>
  <c r="BF28" i="41"/>
  <c r="AY28" i="41"/>
  <c r="AX28" i="41"/>
  <c r="AW28" i="41"/>
  <c r="AZ28" i="41" s="1"/>
  <c r="BD28" i="41" s="1"/>
  <c r="B28" i="41"/>
  <c r="BF27" i="41"/>
  <c r="AY27" i="41"/>
  <c r="AX27" i="41"/>
  <c r="AW27" i="41"/>
  <c r="B27" i="41"/>
  <c r="BF26" i="41"/>
  <c r="AY26" i="41"/>
  <c r="AX26" i="41"/>
  <c r="AW26" i="41"/>
  <c r="B26" i="41"/>
  <c r="BF25" i="41"/>
  <c r="AY25" i="41"/>
  <c r="AZ25" i="41" s="1"/>
  <c r="BD25" i="41" s="1"/>
  <c r="AX25" i="41"/>
  <c r="AW25" i="41"/>
  <c r="B25" i="41"/>
  <c r="BF24" i="41"/>
  <c r="AY24" i="41"/>
  <c r="AX24" i="41"/>
  <c r="AW24" i="41"/>
  <c r="B24" i="41"/>
  <c r="BF23" i="41"/>
  <c r="AY23" i="41"/>
  <c r="AX23" i="41"/>
  <c r="AW23" i="41"/>
  <c r="B23" i="41"/>
  <c r="BP22" i="41"/>
  <c r="BF22" i="41"/>
  <c r="AY22" i="41"/>
  <c r="AX22" i="41"/>
  <c r="AW22" i="41"/>
  <c r="B22" i="41"/>
  <c r="BF21" i="41"/>
  <c r="AY21" i="41"/>
  <c r="AX21" i="41"/>
  <c r="AW21" i="41"/>
  <c r="B21" i="41"/>
  <c r="BF20" i="41"/>
  <c r="AY20" i="41"/>
  <c r="AX20" i="41"/>
  <c r="AZ20" i="41" s="1"/>
  <c r="AW20" i="41"/>
  <c r="B20" i="41"/>
  <c r="BF19" i="41"/>
  <c r="AY19" i="41"/>
  <c r="AX19" i="41"/>
  <c r="AW19" i="41"/>
  <c r="B19" i="41"/>
  <c r="BF18" i="41"/>
  <c r="AY18" i="41"/>
  <c r="AX18" i="41"/>
  <c r="AW18" i="41"/>
  <c r="B18" i="41"/>
  <c r="BF17" i="41"/>
  <c r="AZ17" i="41" s="1"/>
  <c r="BD17" i="41" s="1"/>
  <c r="AY17" i="41"/>
  <c r="AX17" i="41"/>
  <c r="AW17" i="41"/>
  <c r="B17" i="41"/>
  <c r="BP16" i="41"/>
  <c r="BF16" i="41"/>
  <c r="AY16" i="41"/>
  <c r="AX16" i="41"/>
  <c r="AW16" i="41"/>
  <c r="B16" i="41"/>
  <c r="BF15" i="41"/>
  <c r="AY15" i="41"/>
  <c r="AX15" i="41"/>
  <c r="AW15" i="41"/>
  <c r="AZ15" i="41"/>
  <c r="BD15" i="41" s="1"/>
  <c r="B15" i="41"/>
  <c r="BF14" i="41"/>
  <c r="AY14" i="41"/>
  <c r="AX14" i="41"/>
  <c r="AW14" i="41"/>
  <c r="AW14" i="43" s="1"/>
  <c r="B14" i="41"/>
  <c r="BF13" i="41"/>
  <c r="AY13" i="41"/>
  <c r="AX13" i="41"/>
  <c r="AW13" i="41"/>
  <c r="AZ13" i="41"/>
  <c r="BD13" i="41" s="1"/>
  <c r="B13" i="41"/>
  <c r="BF12" i="41"/>
  <c r="AY12" i="41"/>
  <c r="AX12" i="41"/>
  <c r="AW12" i="41"/>
  <c r="B12" i="41"/>
  <c r="BF11" i="41"/>
  <c r="AY11" i="41"/>
  <c r="AX11" i="41"/>
  <c r="BD11" i="41" s="1"/>
  <c r="AW11" i="41"/>
  <c r="B11" i="41"/>
  <c r="BF10" i="41"/>
  <c r="AY10" i="41"/>
  <c r="AX10" i="41"/>
  <c r="AW10" i="41"/>
  <c r="B10" i="41"/>
  <c r="BF9" i="41"/>
  <c r="AY9" i="41"/>
  <c r="AX9" i="41"/>
  <c r="AW9" i="41"/>
  <c r="B9" i="41"/>
  <c r="BF8" i="41"/>
  <c r="AY8" i="41"/>
  <c r="AX8" i="41"/>
  <c r="AW8" i="41"/>
  <c r="B8" i="41"/>
  <c r="BM7" i="41"/>
  <c r="BI7" i="41"/>
  <c r="BH7" i="41"/>
  <c r="BF7" i="41"/>
  <c r="AY7" i="41"/>
  <c r="AX7" i="41"/>
  <c r="AW7" i="41"/>
  <c r="B7" i="41"/>
  <c r="BM6" i="41"/>
  <c r="BI6" i="41"/>
  <c r="BI38" i="41" s="1"/>
  <c r="BH6" i="41"/>
  <c r="BF6" i="41"/>
  <c r="AY6" i="41"/>
  <c r="AX6" i="41"/>
  <c r="AW6" i="41"/>
  <c r="B6" i="41"/>
  <c r="BL38" i="40"/>
  <c r="BK38" i="40"/>
  <c r="BC38" i="40"/>
  <c r="BB38" i="40"/>
  <c r="BA38" i="40"/>
  <c r="BA42" i="40" s="1"/>
  <c r="AV38" i="40"/>
  <c r="AU38" i="40"/>
  <c r="AT38" i="40"/>
  <c r="AP38" i="40"/>
  <c r="AO38" i="40"/>
  <c r="AN38" i="40"/>
  <c r="AM38" i="40"/>
  <c r="AL38" i="40"/>
  <c r="AK38" i="40"/>
  <c r="AJ38" i="40"/>
  <c r="AI38" i="40"/>
  <c r="AG38" i="40"/>
  <c r="AF38" i="40"/>
  <c r="AE38" i="40"/>
  <c r="AD38" i="40"/>
  <c r="AC38" i="40"/>
  <c r="AA38" i="40"/>
  <c r="Z38" i="40"/>
  <c r="Y38" i="40"/>
  <c r="X38" i="40"/>
  <c r="W38" i="40"/>
  <c r="V38" i="40"/>
  <c r="S38" i="40"/>
  <c r="N38" i="40"/>
  <c r="L38" i="40"/>
  <c r="J38" i="40"/>
  <c r="I38" i="40"/>
  <c r="BF36" i="40"/>
  <c r="AY36" i="40"/>
  <c r="AX36" i="40"/>
  <c r="AW36" i="40"/>
  <c r="B36" i="40"/>
  <c r="BF35" i="40"/>
  <c r="AY35" i="40"/>
  <c r="AY35" i="43" s="1"/>
  <c r="AX35" i="40"/>
  <c r="AX35" i="43" s="1"/>
  <c r="AW35" i="40"/>
  <c r="AW35" i="43" s="1"/>
  <c r="B35" i="40"/>
  <c r="BF34" i="40"/>
  <c r="AY34" i="40"/>
  <c r="AX34" i="40"/>
  <c r="AX34" i="43" s="1"/>
  <c r="AW34" i="40"/>
  <c r="B34" i="40"/>
  <c r="BP33" i="40"/>
  <c r="BF33" i="40"/>
  <c r="AY33" i="40"/>
  <c r="AY33" i="43" s="1"/>
  <c r="AX33" i="40"/>
  <c r="AX33" i="43" s="1"/>
  <c r="AW33" i="40"/>
  <c r="B33" i="40"/>
  <c r="BF32" i="40"/>
  <c r="AY32" i="40"/>
  <c r="AX32" i="40"/>
  <c r="AW32" i="40"/>
  <c r="B32" i="40"/>
  <c r="BF31" i="40"/>
  <c r="AY31" i="40"/>
  <c r="AX31" i="40"/>
  <c r="AX31" i="43" s="1"/>
  <c r="AW31" i="40"/>
  <c r="B31" i="40"/>
  <c r="BF30" i="40"/>
  <c r="AY30" i="40"/>
  <c r="AY30" i="43" s="1"/>
  <c r="AX30" i="40"/>
  <c r="AX30" i="43" s="1"/>
  <c r="AW30" i="40"/>
  <c r="B30" i="40"/>
  <c r="BF29" i="40"/>
  <c r="AY29" i="40"/>
  <c r="AY29" i="43" s="1"/>
  <c r="AX29" i="40"/>
  <c r="AX29" i="43" s="1"/>
  <c r="AW29" i="40"/>
  <c r="B29" i="40"/>
  <c r="BP28" i="40"/>
  <c r="BF28" i="40"/>
  <c r="AY28" i="40"/>
  <c r="AX28" i="40"/>
  <c r="AW28" i="40"/>
  <c r="B28" i="40"/>
  <c r="BF27" i="40"/>
  <c r="AY27" i="40"/>
  <c r="AY27" i="43" s="1"/>
  <c r="AX27" i="40"/>
  <c r="AX27" i="43" s="1"/>
  <c r="AW27" i="40"/>
  <c r="B27" i="40"/>
  <c r="BF26" i="40"/>
  <c r="AY26" i="40"/>
  <c r="AX26" i="40"/>
  <c r="AW26" i="40"/>
  <c r="B26" i="40"/>
  <c r="BF25" i="40"/>
  <c r="AY25" i="40"/>
  <c r="AX25" i="40"/>
  <c r="AW25" i="40"/>
  <c r="B25" i="40"/>
  <c r="BF24" i="40"/>
  <c r="AY24" i="40"/>
  <c r="AX24" i="40"/>
  <c r="AW24" i="40"/>
  <c r="B24" i="40"/>
  <c r="BF23" i="40"/>
  <c r="AY23" i="40"/>
  <c r="AX23" i="40"/>
  <c r="AW23" i="40"/>
  <c r="B23" i="40"/>
  <c r="BP22" i="40"/>
  <c r="BF22" i="40"/>
  <c r="AY22" i="40"/>
  <c r="AY22" i="43" s="1"/>
  <c r="AX22" i="40"/>
  <c r="AW22" i="40"/>
  <c r="B22" i="40"/>
  <c r="BF21" i="40"/>
  <c r="AY21" i="40"/>
  <c r="AX21" i="40"/>
  <c r="AW21" i="40"/>
  <c r="AW21" i="43" s="1"/>
  <c r="B21" i="40"/>
  <c r="BF20" i="40"/>
  <c r="AY20" i="40"/>
  <c r="AX20" i="40"/>
  <c r="AW20" i="40"/>
  <c r="B20" i="40"/>
  <c r="BF19" i="40"/>
  <c r="AY19" i="40"/>
  <c r="AY19" i="43" s="1"/>
  <c r="AX19" i="40"/>
  <c r="AW19" i="40"/>
  <c r="B19" i="40"/>
  <c r="BF18" i="40"/>
  <c r="AY18" i="40"/>
  <c r="AX18" i="40"/>
  <c r="AW18" i="40"/>
  <c r="B18" i="40"/>
  <c r="BF17" i="40"/>
  <c r="AY17" i="40"/>
  <c r="AX17" i="40"/>
  <c r="AW17" i="40"/>
  <c r="B17" i="40"/>
  <c r="BP16" i="40"/>
  <c r="BF16" i="40"/>
  <c r="AY16" i="40"/>
  <c r="AX16" i="40"/>
  <c r="AX16" i="43" s="1"/>
  <c r="AW16" i="40"/>
  <c r="B16" i="40"/>
  <c r="BF15" i="40"/>
  <c r="AY15" i="40"/>
  <c r="AY15" i="43" s="1"/>
  <c r="AX15" i="40"/>
  <c r="AW15" i="40"/>
  <c r="B15" i="40"/>
  <c r="BF14" i="40"/>
  <c r="AY14" i="40"/>
  <c r="AY14" i="43" s="1"/>
  <c r="AX14" i="40"/>
  <c r="AW14" i="40"/>
  <c r="B14" i="40"/>
  <c r="BF13" i="40"/>
  <c r="AY13" i="40"/>
  <c r="AY13" i="43" s="1"/>
  <c r="AX13" i="40"/>
  <c r="AX13" i="43" s="1"/>
  <c r="AW13" i="40"/>
  <c r="B13" i="40"/>
  <c r="BF12" i="40"/>
  <c r="AY12" i="40"/>
  <c r="AX12" i="40"/>
  <c r="AW12" i="40"/>
  <c r="B12" i="40"/>
  <c r="BF11" i="40"/>
  <c r="AY11" i="40"/>
  <c r="AX11" i="40"/>
  <c r="AW11" i="40"/>
  <c r="B11" i="40"/>
  <c r="BF10" i="40"/>
  <c r="AY10" i="40"/>
  <c r="AX10" i="40"/>
  <c r="AW10" i="40"/>
  <c r="B10" i="40"/>
  <c r="BF9" i="40"/>
  <c r="AY9" i="40"/>
  <c r="AX9" i="40"/>
  <c r="AW9" i="40"/>
  <c r="B9" i="40"/>
  <c r="BF8" i="40"/>
  <c r="AY8" i="40"/>
  <c r="AX8" i="40"/>
  <c r="AW8" i="40"/>
  <c r="B8" i="40"/>
  <c r="BM7" i="40"/>
  <c r="BF7" i="40"/>
  <c r="AY7" i="40"/>
  <c r="AY7" i="43" s="1"/>
  <c r="AX7" i="40"/>
  <c r="AW7" i="40"/>
  <c r="B7" i="40"/>
  <c r="BM6" i="40"/>
  <c r="BI6" i="40"/>
  <c r="BI38" i="40" s="1"/>
  <c r="BF6" i="40"/>
  <c r="AY6" i="40"/>
  <c r="AX6" i="40"/>
  <c r="AW6" i="40"/>
  <c r="B6" i="40"/>
  <c r="BL38" i="39"/>
  <c r="BK38" i="39"/>
  <c r="BC38" i="39"/>
  <c r="BB38" i="39"/>
  <c r="BA38" i="39"/>
  <c r="AV38" i="39"/>
  <c r="AU38" i="39"/>
  <c r="AT38" i="39"/>
  <c r="AP38" i="39"/>
  <c r="AO38" i="39"/>
  <c r="AN38" i="39"/>
  <c r="AM38" i="39"/>
  <c r="AL38" i="39"/>
  <c r="AK38" i="39"/>
  <c r="AJ38" i="39"/>
  <c r="AI38" i="39"/>
  <c r="AG38" i="39"/>
  <c r="AF38" i="39"/>
  <c r="AE38" i="39"/>
  <c r="AD38" i="39"/>
  <c r="AC38" i="39"/>
  <c r="AA38" i="39"/>
  <c r="Z38" i="39"/>
  <c r="Y38" i="39"/>
  <c r="X38" i="39"/>
  <c r="W38" i="39"/>
  <c r="V38" i="39"/>
  <c r="S38" i="39"/>
  <c r="N38" i="39"/>
  <c r="L38" i="39"/>
  <c r="J38" i="39"/>
  <c r="I38" i="39"/>
  <c r="BF36" i="39"/>
  <c r="AY36" i="39"/>
  <c r="AX36" i="39"/>
  <c r="AW36" i="39"/>
  <c r="B36" i="39"/>
  <c r="BF35" i="39"/>
  <c r="AY35" i="39"/>
  <c r="AX35" i="39"/>
  <c r="AW35" i="39"/>
  <c r="B35" i="39"/>
  <c r="BF34" i="39"/>
  <c r="AZ34" i="39" s="1"/>
  <c r="BD34" i="39" s="1"/>
  <c r="AY34" i="39"/>
  <c r="AX34" i="39"/>
  <c r="AW34" i="39"/>
  <c r="B34" i="39"/>
  <c r="BP33" i="39"/>
  <c r="BF33" i="39"/>
  <c r="AY33" i="39"/>
  <c r="AX33" i="39"/>
  <c r="AW33" i="39"/>
  <c r="AZ33" i="39"/>
  <c r="BD33" i="39" s="1"/>
  <c r="B33" i="39"/>
  <c r="BF32" i="39"/>
  <c r="AY32" i="39"/>
  <c r="AX32" i="39"/>
  <c r="AW32" i="39"/>
  <c r="B32" i="39"/>
  <c r="BF31" i="39"/>
  <c r="AY31" i="39"/>
  <c r="AX31" i="39"/>
  <c r="AW31" i="39"/>
  <c r="B31" i="39"/>
  <c r="BF30" i="39"/>
  <c r="AZ30" i="39" s="1"/>
  <c r="BD30" i="39" s="1"/>
  <c r="AY30" i="39"/>
  <c r="AX30" i="39"/>
  <c r="AW30" i="39"/>
  <c r="B30" i="39"/>
  <c r="BF29" i="39"/>
  <c r="AZ29" i="39" s="1"/>
  <c r="BD29" i="39" s="1"/>
  <c r="AY29" i="39"/>
  <c r="AX29" i="39"/>
  <c r="AW29" i="39"/>
  <c r="B29" i="39"/>
  <c r="BP28" i="39"/>
  <c r="BF28" i="39"/>
  <c r="AY28" i="39"/>
  <c r="AX28" i="39"/>
  <c r="AW28" i="39"/>
  <c r="B28" i="39"/>
  <c r="BF27" i="39"/>
  <c r="AY27" i="39"/>
  <c r="AX27" i="39"/>
  <c r="AZ27" i="39" s="1"/>
  <c r="BD27" i="39" s="1"/>
  <c r="AW27" i="39"/>
  <c r="B27" i="39"/>
  <c r="BF26" i="39"/>
  <c r="AY26" i="39"/>
  <c r="AX26" i="39"/>
  <c r="AW26" i="39"/>
  <c r="B26" i="39"/>
  <c r="BF25" i="39"/>
  <c r="AY25" i="39"/>
  <c r="AX25" i="39"/>
  <c r="AW25" i="39"/>
  <c r="B25" i="39"/>
  <c r="BF24" i="39"/>
  <c r="AY24" i="39"/>
  <c r="AX24" i="39"/>
  <c r="AW24" i="39"/>
  <c r="AZ24" i="39" s="1"/>
  <c r="BD24" i="39" s="1"/>
  <c r="B24" i="39"/>
  <c r="BF23" i="39"/>
  <c r="AY23" i="39"/>
  <c r="AX23" i="39"/>
  <c r="AW23" i="39"/>
  <c r="B23" i="39"/>
  <c r="BP22" i="39"/>
  <c r="BF22" i="39"/>
  <c r="AY22" i="39"/>
  <c r="AX22" i="39"/>
  <c r="AW22" i="39"/>
  <c r="B22" i="39"/>
  <c r="BF21" i="39"/>
  <c r="AY21" i="39"/>
  <c r="AX21" i="39"/>
  <c r="AW21" i="39"/>
  <c r="B21" i="39"/>
  <c r="BF20" i="39"/>
  <c r="AY20" i="39"/>
  <c r="AX20" i="39"/>
  <c r="AW20" i="39"/>
  <c r="B20" i="39"/>
  <c r="BF19" i="39"/>
  <c r="AZ19" i="39" s="1"/>
  <c r="BD19" i="39" s="1"/>
  <c r="AY19" i="39"/>
  <c r="AX19" i="39"/>
  <c r="AW19" i="39"/>
  <c r="B19" i="39"/>
  <c r="BF18" i="39"/>
  <c r="AZ18" i="39" s="1"/>
  <c r="BD18" i="39" s="1"/>
  <c r="AY18" i="39"/>
  <c r="AX18" i="39"/>
  <c r="AW18" i="39"/>
  <c r="B18" i="39"/>
  <c r="BF17" i="39"/>
  <c r="AZ17" i="39" s="1"/>
  <c r="AY17" i="39"/>
  <c r="AX17" i="39"/>
  <c r="AW17" i="39"/>
  <c r="B17" i="39"/>
  <c r="BP16" i="39"/>
  <c r="BF16" i="39"/>
  <c r="AZ16" i="39"/>
  <c r="BD16" i="39" s="1"/>
  <c r="AY16" i="39"/>
  <c r="AX16" i="39"/>
  <c r="AW16" i="39"/>
  <c r="B16" i="39"/>
  <c r="BF15" i="39"/>
  <c r="AY15" i="39"/>
  <c r="AX15" i="39"/>
  <c r="AW15" i="39"/>
  <c r="AW15" i="43" s="1"/>
  <c r="B15" i="39"/>
  <c r="BF14" i="39"/>
  <c r="AZ14" i="39" s="1"/>
  <c r="BD14" i="39" s="1"/>
  <c r="AY14" i="39"/>
  <c r="AX14" i="39"/>
  <c r="AW14" i="39"/>
  <c r="B14" i="39"/>
  <c r="BF13" i="39"/>
  <c r="AZ13" i="39"/>
  <c r="BD13" i="39" s="1"/>
  <c r="AY13" i="39"/>
  <c r="AX13" i="39"/>
  <c r="AW13" i="39"/>
  <c r="B13" i="39"/>
  <c r="BF12" i="39"/>
  <c r="AZ12" i="39" s="1"/>
  <c r="BD12" i="39" s="1"/>
  <c r="AY12" i="39"/>
  <c r="AX12" i="39"/>
  <c r="AW12" i="39"/>
  <c r="B12" i="39"/>
  <c r="BF11" i="39"/>
  <c r="AZ11" i="39" s="1"/>
  <c r="BD11" i="39" s="1"/>
  <c r="AY11" i="39"/>
  <c r="AX11" i="39"/>
  <c r="AW11" i="39"/>
  <c r="B11" i="39"/>
  <c r="BF10" i="39"/>
  <c r="AY10" i="39"/>
  <c r="AX10" i="39"/>
  <c r="AW10" i="39"/>
  <c r="B10" i="39"/>
  <c r="BF9" i="39"/>
  <c r="AY9" i="39"/>
  <c r="AX9" i="39"/>
  <c r="AW9" i="39"/>
  <c r="B9" i="39"/>
  <c r="BF8" i="39"/>
  <c r="AY8" i="39"/>
  <c r="AX8" i="39"/>
  <c r="AW8" i="39"/>
  <c r="B8" i="39"/>
  <c r="BM7" i="39"/>
  <c r="BJ7" i="39"/>
  <c r="BI7" i="39"/>
  <c r="BH7" i="39"/>
  <c r="BF7" i="39"/>
  <c r="AY7" i="39"/>
  <c r="AX7" i="39"/>
  <c r="AW7" i="39"/>
  <c r="E38" i="39"/>
  <c r="F43" i="39" s="1"/>
  <c r="B7" i="39"/>
  <c r="BM6" i="39"/>
  <c r="BI6" i="39"/>
  <c r="BI38" i="39" s="1"/>
  <c r="BH6" i="39"/>
  <c r="BF6" i="39"/>
  <c r="AY6" i="39"/>
  <c r="AX6" i="39"/>
  <c r="AW6" i="39"/>
  <c r="B6" i="39"/>
  <c r="BL38" i="38"/>
  <c r="BK38" i="38"/>
  <c r="BC38" i="38"/>
  <c r="BB38" i="38"/>
  <c r="BA38" i="38"/>
  <c r="BA40" i="38" s="1"/>
  <c r="AV38" i="38"/>
  <c r="AU38" i="38"/>
  <c r="AT38" i="38"/>
  <c r="AP38" i="38"/>
  <c r="AO38" i="38"/>
  <c r="AN38" i="38"/>
  <c r="AM38" i="38"/>
  <c r="AL38" i="38"/>
  <c r="AK38" i="38"/>
  <c r="AJ38" i="38"/>
  <c r="AI38" i="38"/>
  <c r="AG38" i="38"/>
  <c r="AF38" i="38"/>
  <c r="AE38" i="38"/>
  <c r="AD38" i="38"/>
  <c r="AC38" i="38"/>
  <c r="AA38" i="38"/>
  <c r="Z38" i="38"/>
  <c r="Y38" i="38"/>
  <c r="X38" i="38"/>
  <c r="W38" i="38"/>
  <c r="V38" i="38"/>
  <c r="S38" i="38"/>
  <c r="N38" i="38"/>
  <c r="L38" i="38"/>
  <c r="J38" i="38"/>
  <c r="I38" i="38"/>
  <c r="BF36" i="38"/>
  <c r="AY36" i="38"/>
  <c r="AX36" i="38"/>
  <c r="AX36" i="43" s="1"/>
  <c r="AW36" i="38"/>
  <c r="B36" i="38"/>
  <c r="BF35" i="38"/>
  <c r="AZ35" i="38" s="1"/>
  <c r="BD35" i="38" s="1"/>
  <c r="AY35" i="38"/>
  <c r="AX35" i="38"/>
  <c r="AW35" i="38"/>
  <c r="B35" i="38"/>
  <c r="BF34" i="38"/>
  <c r="AY34" i="38"/>
  <c r="AX34" i="38"/>
  <c r="AW34" i="38"/>
  <c r="B34" i="38"/>
  <c r="BP33" i="38"/>
  <c r="BJ7" i="38" s="1"/>
  <c r="BF33" i="38"/>
  <c r="AY33" i="38"/>
  <c r="AX33" i="38"/>
  <c r="AW33" i="38"/>
  <c r="B33" i="38"/>
  <c r="BF32" i="38"/>
  <c r="AY32" i="38"/>
  <c r="AX32" i="38"/>
  <c r="AZ32" i="38" s="1"/>
  <c r="BD32" i="38" s="1"/>
  <c r="AW32" i="38"/>
  <c r="O32" i="38"/>
  <c r="K32" i="38"/>
  <c r="M32" i="38"/>
  <c r="B32" i="38"/>
  <c r="BF31" i="38"/>
  <c r="AZ31" i="38" s="1"/>
  <c r="BD31" i="38" s="1"/>
  <c r="AY31" i="38"/>
  <c r="AX31" i="38"/>
  <c r="AW31" i="38"/>
  <c r="B31" i="38"/>
  <c r="BF30" i="38"/>
  <c r="AZ30" i="38"/>
  <c r="BD30" i="38" s="1"/>
  <c r="AY30" i="38"/>
  <c r="AX30" i="38"/>
  <c r="AW30" i="38"/>
  <c r="B30" i="38"/>
  <c r="BF29" i="38"/>
  <c r="AZ29" i="38" s="1"/>
  <c r="BD29" i="38" s="1"/>
  <c r="AY29" i="38"/>
  <c r="AX29" i="38"/>
  <c r="AW29" i="38"/>
  <c r="B29" i="38"/>
  <c r="BP28" i="38"/>
  <c r="BI6" i="38" s="1"/>
  <c r="BF28" i="38"/>
  <c r="AZ28" i="38"/>
  <c r="BD28" i="38" s="1"/>
  <c r="AY28" i="38"/>
  <c r="AX28" i="38"/>
  <c r="AW28" i="38"/>
  <c r="B28" i="38"/>
  <c r="BF27" i="38"/>
  <c r="AY27" i="38"/>
  <c r="AX27" i="38"/>
  <c r="AW27" i="38"/>
  <c r="M27" i="38"/>
  <c r="K27" i="38"/>
  <c r="AZ27" i="38"/>
  <c r="BD27" i="38" s="1"/>
  <c r="O27" i="38"/>
  <c r="B27" i="38"/>
  <c r="BF26" i="38"/>
  <c r="AY26" i="38"/>
  <c r="AX26" i="38"/>
  <c r="AZ26" i="38" s="1"/>
  <c r="BD26" i="38" s="1"/>
  <c r="AW26" i="38"/>
  <c r="B26" i="38"/>
  <c r="BF25" i="38"/>
  <c r="AY25" i="38"/>
  <c r="AX25" i="38"/>
  <c r="AW25" i="38"/>
  <c r="O25" i="38"/>
  <c r="K25" i="38"/>
  <c r="M25" i="38"/>
  <c r="B25" i="38"/>
  <c r="BF24" i="38"/>
  <c r="AY24" i="38"/>
  <c r="AX24" i="38"/>
  <c r="AW24" i="38"/>
  <c r="B24" i="38"/>
  <c r="BF23" i="38"/>
  <c r="AY23" i="38"/>
  <c r="AX23" i="38"/>
  <c r="AW23" i="38"/>
  <c r="H23" i="38"/>
  <c r="B23" i="38"/>
  <c r="BP22" i="38"/>
  <c r="BF22" i="38"/>
  <c r="AY22" i="38"/>
  <c r="AX22" i="38"/>
  <c r="AW22" i="38"/>
  <c r="AW22" i="43" s="1"/>
  <c r="B22" i="38"/>
  <c r="BF21" i="38"/>
  <c r="AZ21" i="38"/>
  <c r="BD21" i="38" s="1"/>
  <c r="AY21" i="38"/>
  <c r="AX21" i="38"/>
  <c r="AW21" i="38"/>
  <c r="B21" i="38"/>
  <c r="BF20" i="38"/>
  <c r="AY20" i="38"/>
  <c r="AX20" i="38"/>
  <c r="AW20" i="38"/>
  <c r="O20" i="38"/>
  <c r="K20" i="38"/>
  <c r="M20" i="38"/>
  <c r="B20" i="38"/>
  <c r="BF19" i="38"/>
  <c r="AZ19" i="38"/>
  <c r="BD19" i="38" s="1"/>
  <c r="AY19" i="38"/>
  <c r="AX19" i="38"/>
  <c r="AW19" i="38"/>
  <c r="B19" i="38"/>
  <c r="BF18" i="38"/>
  <c r="AZ18" i="38" s="1"/>
  <c r="BD18" i="38" s="1"/>
  <c r="AY18" i="38"/>
  <c r="AX18" i="38"/>
  <c r="AW18" i="38"/>
  <c r="O18" i="38"/>
  <c r="K18" i="38"/>
  <c r="M18" i="38"/>
  <c r="B18" i="38"/>
  <c r="BF17" i="38"/>
  <c r="AZ17" i="38"/>
  <c r="BD17" i="38" s="1"/>
  <c r="AY17" i="38"/>
  <c r="AX17" i="38"/>
  <c r="AW17" i="38"/>
  <c r="B17" i="38"/>
  <c r="BP16" i="38"/>
  <c r="BF16" i="38"/>
  <c r="AY16" i="38"/>
  <c r="AX16" i="38"/>
  <c r="AW16" i="38"/>
  <c r="B16" i="38"/>
  <c r="BF15" i="38"/>
  <c r="AZ15" i="38"/>
  <c r="BD15" i="38" s="1"/>
  <c r="AY15" i="38"/>
  <c r="AX15" i="38"/>
  <c r="AW15" i="38"/>
  <c r="B15" i="38"/>
  <c r="BF14" i="38"/>
  <c r="AZ14" i="38" s="1"/>
  <c r="BD14" i="38" s="1"/>
  <c r="AY14" i="38"/>
  <c r="AX14" i="38"/>
  <c r="AW14" i="38"/>
  <c r="B14" i="38"/>
  <c r="BF13" i="38"/>
  <c r="AY13" i="38"/>
  <c r="AX13" i="38"/>
  <c r="AW13" i="38"/>
  <c r="B13" i="38"/>
  <c r="BF12" i="38"/>
  <c r="AY12" i="38"/>
  <c r="AX12" i="38"/>
  <c r="AW12" i="38"/>
  <c r="B12" i="38"/>
  <c r="BF11" i="38"/>
  <c r="AY11" i="38"/>
  <c r="AX11" i="38"/>
  <c r="AW11" i="38"/>
  <c r="H11" i="38"/>
  <c r="B11" i="38"/>
  <c r="BF10" i="38"/>
  <c r="AY10" i="38"/>
  <c r="AX10" i="38"/>
  <c r="AW10" i="38"/>
  <c r="B10" i="38"/>
  <c r="BF9" i="38"/>
  <c r="AY9" i="38"/>
  <c r="AX9" i="38"/>
  <c r="AW9" i="38"/>
  <c r="B9" i="38"/>
  <c r="BF8" i="38"/>
  <c r="AZ8" i="38" s="1"/>
  <c r="BD8" i="38" s="1"/>
  <c r="AY8" i="38"/>
  <c r="AX8" i="38"/>
  <c r="AW8" i="38"/>
  <c r="B8" i="38"/>
  <c r="BM7" i="38"/>
  <c r="BI7" i="38"/>
  <c r="BH7" i="38"/>
  <c r="BF7" i="38"/>
  <c r="AY7" i="38"/>
  <c r="AX7" i="38"/>
  <c r="AW7" i="38"/>
  <c r="B7" i="38"/>
  <c r="BM6" i="38"/>
  <c r="BJ6" i="38"/>
  <c r="BJ38" i="38" s="1"/>
  <c r="BF6" i="38"/>
  <c r="AY6" i="38"/>
  <c r="AX6" i="38"/>
  <c r="AW6" i="38"/>
  <c r="B6" i="38"/>
  <c r="BL38" i="37"/>
  <c r="BK38" i="37"/>
  <c r="BC38" i="37"/>
  <c r="BB38" i="37"/>
  <c r="BA38" i="37"/>
  <c r="AV38" i="37"/>
  <c r="AU38" i="37"/>
  <c r="AT38" i="37"/>
  <c r="AP38" i="37"/>
  <c r="AO38" i="37"/>
  <c r="AN38" i="37"/>
  <c r="AM38" i="37"/>
  <c r="AL38" i="37"/>
  <c r="AK38" i="37"/>
  <c r="AJ38" i="37"/>
  <c r="AI38" i="37"/>
  <c r="AG38" i="37"/>
  <c r="AF38" i="37"/>
  <c r="AE38" i="37"/>
  <c r="AD38" i="37"/>
  <c r="AC38" i="37"/>
  <c r="AA38" i="37"/>
  <c r="Z38" i="37"/>
  <c r="Y38" i="37"/>
  <c r="X38" i="37"/>
  <c r="W38" i="37"/>
  <c r="V38" i="37"/>
  <c r="S38" i="37"/>
  <c r="N38" i="37"/>
  <c r="L38" i="37"/>
  <c r="J38" i="37"/>
  <c r="I38" i="37"/>
  <c r="BF36" i="37"/>
  <c r="AZ36" i="37" s="1"/>
  <c r="BD36" i="37" s="1"/>
  <c r="AY36" i="37"/>
  <c r="AX36" i="37"/>
  <c r="AW36" i="37"/>
  <c r="H36" i="37"/>
  <c r="B36" i="37"/>
  <c r="BF35" i="37"/>
  <c r="AY35" i="37"/>
  <c r="AX35" i="37"/>
  <c r="AW35" i="37"/>
  <c r="O35" i="37"/>
  <c r="M35" i="37"/>
  <c r="K35" i="37"/>
  <c r="H35" i="37"/>
  <c r="B35" i="37"/>
  <c r="BF34" i="37"/>
  <c r="AY34" i="37"/>
  <c r="AX34" i="37"/>
  <c r="AZ34" i="37" s="1"/>
  <c r="BD34" i="37" s="1"/>
  <c r="AW34" i="37"/>
  <c r="H34" i="37"/>
  <c r="B34" i="37"/>
  <c r="BP33" i="37"/>
  <c r="BF33" i="37"/>
  <c r="AZ33" i="37" s="1"/>
  <c r="BD33" i="37" s="1"/>
  <c r="AY33" i="37"/>
  <c r="AX33" i="37"/>
  <c r="AW33" i="37"/>
  <c r="B33" i="37"/>
  <c r="BF32" i="37"/>
  <c r="AY32" i="37"/>
  <c r="AX32" i="37"/>
  <c r="AW32" i="37"/>
  <c r="H32" i="37"/>
  <c r="B32" i="37"/>
  <c r="BF31" i="37"/>
  <c r="AY31" i="37"/>
  <c r="AX31" i="37"/>
  <c r="AW31" i="37"/>
  <c r="M31" i="37"/>
  <c r="H31" i="37"/>
  <c r="B31" i="37"/>
  <c r="BF30" i="37"/>
  <c r="AY30" i="37"/>
  <c r="AX30" i="37"/>
  <c r="AW30" i="37"/>
  <c r="M30" i="37"/>
  <c r="K30" i="37"/>
  <c r="B30" i="37"/>
  <c r="BF29" i="37"/>
  <c r="AY29" i="37"/>
  <c r="AX29" i="37"/>
  <c r="AW29" i="37"/>
  <c r="AZ29" i="37" s="1"/>
  <c r="BD29" i="37" s="1"/>
  <c r="O29" i="37"/>
  <c r="K29" i="37"/>
  <c r="M29" i="37"/>
  <c r="B29" i="37"/>
  <c r="BP28" i="37"/>
  <c r="BI6" i="37" s="1"/>
  <c r="BI38" i="37" s="1"/>
  <c r="BF28" i="37"/>
  <c r="AZ28" i="37" s="1"/>
  <c r="BD28" i="37" s="1"/>
  <c r="AY28" i="37"/>
  <c r="AX28" i="37"/>
  <c r="AW28" i="37"/>
  <c r="M28" i="37"/>
  <c r="K28" i="37"/>
  <c r="B28" i="37"/>
  <c r="BF27" i="37"/>
  <c r="AY27" i="37"/>
  <c r="AX27" i="37"/>
  <c r="AW27" i="37"/>
  <c r="AZ27" i="37" s="1"/>
  <c r="BD27" i="37" s="1"/>
  <c r="O27" i="37"/>
  <c r="K27" i="37"/>
  <c r="M27" i="37"/>
  <c r="B27" i="37"/>
  <c r="AZ26" i="37"/>
  <c r="BD26" i="37" s="1"/>
  <c r="AY26" i="37"/>
  <c r="AX26" i="37"/>
  <c r="AW26" i="37"/>
  <c r="O26" i="37"/>
  <c r="B26" i="37"/>
  <c r="BF25" i="37"/>
  <c r="AY25" i="37"/>
  <c r="AX25" i="37"/>
  <c r="AW25" i="37"/>
  <c r="AZ25" i="37" s="1"/>
  <c r="BD25" i="37" s="1"/>
  <c r="O25" i="37"/>
  <c r="K25" i="37"/>
  <c r="M25" i="37"/>
  <c r="B25" i="37"/>
  <c r="BF24" i="37"/>
  <c r="AY24" i="37"/>
  <c r="AX24" i="37"/>
  <c r="AW24" i="37"/>
  <c r="M24" i="37"/>
  <c r="K24" i="37"/>
  <c r="B24" i="37"/>
  <c r="BF23" i="37"/>
  <c r="AY23" i="37"/>
  <c r="AZ23" i="37" s="1"/>
  <c r="BD23" i="37" s="1"/>
  <c r="AX23" i="37"/>
  <c r="AW23" i="37"/>
  <c r="O23" i="37"/>
  <c r="B23" i="37"/>
  <c r="BP22" i="37"/>
  <c r="BF22" i="37"/>
  <c r="AZ22" i="37" s="1"/>
  <c r="BD22" i="37" s="1"/>
  <c r="AY22" i="37"/>
  <c r="AX22" i="37"/>
  <c r="AW22" i="37"/>
  <c r="O22" i="37"/>
  <c r="K22" i="37"/>
  <c r="M22" i="37"/>
  <c r="B22" i="37"/>
  <c r="BF21" i="37"/>
  <c r="AZ21" i="37" s="1"/>
  <c r="BD21" i="37" s="1"/>
  <c r="AY21" i="37"/>
  <c r="AX21" i="37"/>
  <c r="AW21" i="37"/>
  <c r="O21" i="37"/>
  <c r="B21" i="37"/>
  <c r="BF20" i="37"/>
  <c r="AZ20" i="37" s="1"/>
  <c r="BD20" i="37" s="1"/>
  <c r="AY20" i="37"/>
  <c r="AX20" i="37"/>
  <c r="AW20" i="37"/>
  <c r="O20" i="37"/>
  <c r="K20" i="37"/>
  <c r="M20" i="37"/>
  <c r="B20" i="37"/>
  <c r="BF19" i="37"/>
  <c r="AY19" i="37"/>
  <c r="AX19" i="37"/>
  <c r="AW19" i="37"/>
  <c r="O19" i="37"/>
  <c r="B19" i="37"/>
  <c r="BF18" i="37"/>
  <c r="AZ18" i="37" s="1"/>
  <c r="BD18" i="37" s="1"/>
  <c r="AY18" i="37"/>
  <c r="AX18" i="37"/>
  <c r="AW18" i="37"/>
  <c r="O18" i="37"/>
  <c r="K18" i="37"/>
  <c r="M18" i="37"/>
  <c r="B18" i="37"/>
  <c r="BF17" i="37"/>
  <c r="AZ17" i="37"/>
  <c r="BD17" i="37" s="1"/>
  <c r="AY17" i="37"/>
  <c r="AX17" i="37"/>
  <c r="AW17" i="37"/>
  <c r="O17" i="37"/>
  <c r="M17" i="37"/>
  <c r="K17" i="37"/>
  <c r="H17" i="37"/>
  <c r="B17" i="37"/>
  <c r="BP16" i="37"/>
  <c r="BP41" i="37" s="1"/>
  <c r="BF16" i="37"/>
  <c r="AY16" i="37"/>
  <c r="AX16" i="37"/>
  <c r="AW16" i="37"/>
  <c r="O16" i="37"/>
  <c r="M16" i="37"/>
  <c r="K16" i="37"/>
  <c r="AZ16" i="37"/>
  <c r="BD16" i="37" s="1"/>
  <c r="H16" i="37"/>
  <c r="B16" i="37"/>
  <c r="BF15" i="37"/>
  <c r="AZ15" i="37" s="1"/>
  <c r="BD15" i="37" s="1"/>
  <c r="AY15" i="37"/>
  <c r="AX15" i="37"/>
  <c r="AW15" i="37"/>
  <c r="O15" i="37"/>
  <c r="K15" i="37"/>
  <c r="M15" i="37"/>
  <c r="B15" i="37"/>
  <c r="BF14" i="37"/>
  <c r="AZ14" i="37" s="1"/>
  <c r="BD14" i="37" s="1"/>
  <c r="AY14" i="37"/>
  <c r="AX14" i="37"/>
  <c r="AW14" i="37"/>
  <c r="O14" i="37"/>
  <c r="B14" i="37"/>
  <c r="BF13" i="37"/>
  <c r="AZ13" i="37" s="1"/>
  <c r="BD13" i="37" s="1"/>
  <c r="AY13" i="37"/>
  <c r="AX13" i="37"/>
  <c r="AW13" i="37"/>
  <c r="O13" i="37"/>
  <c r="M13" i="37"/>
  <c r="K13" i="37"/>
  <c r="H13" i="37"/>
  <c r="B13" i="37"/>
  <c r="BF12" i="37"/>
  <c r="AY12" i="37"/>
  <c r="AX12" i="37"/>
  <c r="AW12" i="37"/>
  <c r="O12" i="37"/>
  <c r="B12" i="37"/>
  <c r="BF11" i="37"/>
  <c r="AY11" i="37"/>
  <c r="AX11" i="37"/>
  <c r="AW11" i="37"/>
  <c r="M11" i="37"/>
  <c r="K11" i="37"/>
  <c r="B11" i="37"/>
  <c r="BF10" i="37"/>
  <c r="AY10" i="37"/>
  <c r="AX10" i="37"/>
  <c r="AW10" i="37"/>
  <c r="AZ10" i="37" s="1"/>
  <c r="BD10" i="37" s="1"/>
  <c r="O10" i="37"/>
  <c r="K10" i="37"/>
  <c r="M10" i="37"/>
  <c r="B10" i="37"/>
  <c r="BF9" i="37"/>
  <c r="AY9" i="37"/>
  <c r="AX9" i="37"/>
  <c r="AW9" i="37"/>
  <c r="O9" i="37"/>
  <c r="M9" i="37"/>
  <c r="K9" i="37"/>
  <c r="H9" i="37"/>
  <c r="B9" i="37"/>
  <c r="BF8" i="37"/>
  <c r="AZ8" i="37" s="1"/>
  <c r="BD8" i="37" s="1"/>
  <c r="AY8" i="37"/>
  <c r="AX8" i="37"/>
  <c r="AW8" i="37"/>
  <c r="O8" i="37"/>
  <c r="K8" i="37"/>
  <c r="M8" i="37"/>
  <c r="B8" i="37"/>
  <c r="BM7" i="37"/>
  <c r="BH7" i="37"/>
  <c r="BF7" i="37"/>
  <c r="AZ7" i="37"/>
  <c r="BD7" i="37" s="1"/>
  <c r="AY7" i="37"/>
  <c r="AX7" i="37"/>
  <c r="AW7" i="37"/>
  <c r="F38" i="37"/>
  <c r="O7" i="37"/>
  <c r="B7" i="37"/>
  <c r="BM6" i="37"/>
  <c r="BM38" i="37" s="1"/>
  <c r="BJ6" i="37"/>
  <c r="BJ38" i="37" s="1"/>
  <c r="BF6" i="37"/>
  <c r="AY6" i="37"/>
  <c r="AX6" i="37"/>
  <c r="AW6" i="37"/>
  <c r="O6" i="37"/>
  <c r="M6" i="37"/>
  <c r="K6" i="37"/>
  <c r="E38" i="37"/>
  <c r="F43" i="37" s="1"/>
  <c r="H6" i="37"/>
  <c r="B6" i="37"/>
  <c r="BL38" i="36"/>
  <c r="BK38" i="36"/>
  <c r="BC38" i="36"/>
  <c r="BB38" i="36"/>
  <c r="BA38" i="36"/>
  <c r="AV38" i="36"/>
  <c r="AU38" i="36"/>
  <c r="AT38" i="36"/>
  <c r="AP38" i="36"/>
  <c r="AO38" i="36"/>
  <c r="AN38" i="36"/>
  <c r="AM38" i="36"/>
  <c r="AL38" i="36"/>
  <c r="AK38" i="36"/>
  <c r="AJ38" i="36"/>
  <c r="AI38" i="36"/>
  <c r="AG38" i="36"/>
  <c r="AF38" i="36"/>
  <c r="AE38" i="36"/>
  <c r="AD38" i="36"/>
  <c r="AC38" i="36"/>
  <c r="AA38" i="36"/>
  <c r="Z38" i="36"/>
  <c r="Y38" i="36"/>
  <c r="X38" i="36"/>
  <c r="W38" i="36"/>
  <c r="V38" i="36"/>
  <c r="S38" i="36"/>
  <c r="N38" i="36"/>
  <c r="L38" i="36"/>
  <c r="J38" i="36"/>
  <c r="I38" i="36"/>
  <c r="BF36" i="36"/>
  <c r="AY36" i="36"/>
  <c r="AX36" i="36"/>
  <c r="AW36" i="36"/>
  <c r="B36" i="36"/>
  <c r="BF35" i="36"/>
  <c r="AY35" i="36"/>
  <c r="AX35" i="36"/>
  <c r="AW35" i="36"/>
  <c r="AZ35" i="36"/>
  <c r="BD35" i="36" s="1"/>
  <c r="B35" i="36"/>
  <c r="BF34" i="36"/>
  <c r="AY34" i="36"/>
  <c r="AX34" i="36"/>
  <c r="AW34" i="36"/>
  <c r="AW34" i="43" s="1"/>
  <c r="BP33" i="36"/>
  <c r="BF33" i="36"/>
  <c r="AY33" i="36"/>
  <c r="AX33" i="36"/>
  <c r="AW33" i="36"/>
  <c r="B33" i="36"/>
  <c r="BF32" i="36"/>
  <c r="AZ32" i="36"/>
  <c r="BD32" i="36" s="1"/>
  <c r="AY32" i="36"/>
  <c r="AX32" i="36"/>
  <c r="AW32" i="36"/>
  <c r="B32" i="36"/>
  <c r="BF31" i="36"/>
  <c r="AY31" i="36"/>
  <c r="AX31" i="36"/>
  <c r="AW31" i="36"/>
  <c r="B31" i="36"/>
  <c r="BF30" i="36"/>
  <c r="AY30" i="36"/>
  <c r="AX30" i="36"/>
  <c r="AW30" i="36"/>
  <c r="BF29" i="36"/>
  <c r="AY29" i="36"/>
  <c r="AX29" i="36"/>
  <c r="AW29" i="36"/>
  <c r="BP28" i="36"/>
  <c r="BI6" i="36" s="1"/>
  <c r="BF28" i="36"/>
  <c r="AY28" i="36"/>
  <c r="AX28" i="36"/>
  <c r="AW28" i="36"/>
  <c r="AW28" i="43" s="1"/>
  <c r="AZ28" i="36"/>
  <c r="BD28" i="36" s="1"/>
  <c r="B28" i="36"/>
  <c r="BF27" i="36"/>
  <c r="AY27" i="36"/>
  <c r="AX27" i="36"/>
  <c r="AW27" i="36"/>
  <c r="B27" i="36"/>
  <c r="BF26" i="36"/>
  <c r="AY26" i="36"/>
  <c r="AY26" i="43" s="1"/>
  <c r="AX26" i="36"/>
  <c r="AW26" i="36"/>
  <c r="B26" i="36"/>
  <c r="BF25" i="36"/>
  <c r="AY25" i="36"/>
  <c r="AZ25" i="36" s="1"/>
  <c r="BD25" i="36" s="1"/>
  <c r="AX25" i="36"/>
  <c r="AW25" i="36"/>
  <c r="B25" i="36"/>
  <c r="BF24" i="36"/>
  <c r="AY24" i="36"/>
  <c r="AX24" i="36"/>
  <c r="AW24" i="36"/>
  <c r="B24" i="36"/>
  <c r="BF23" i="36"/>
  <c r="AY23" i="36"/>
  <c r="AX23" i="36"/>
  <c r="AW23" i="36"/>
  <c r="B23" i="36"/>
  <c r="BP22" i="36"/>
  <c r="BF22" i="36"/>
  <c r="AY22" i="36"/>
  <c r="AX22" i="36"/>
  <c r="AW22" i="36"/>
  <c r="B22" i="36"/>
  <c r="BF21" i="36"/>
  <c r="AY21" i="36"/>
  <c r="AX21" i="36"/>
  <c r="AW21" i="36"/>
  <c r="B21" i="36"/>
  <c r="BF20" i="36"/>
  <c r="AY20" i="36"/>
  <c r="AX20" i="36"/>
  <c r="AW20" i="36"/>
  <c r="B20" i="36"/>
  <c r="BF19" i="36"/>
  <c r="AY19" i="36"/>
  <c r="AX19" i="36"/>
  <c r="AW19" i="36"/>
  <c r="B19" i="36"/>
  <c r="BF18" i="36"/>
  <c r="AY18" i="36"/>
  <c r="AX18" i="36"/>
  <c r="AW18" i="36"/>
  <c r="B18" i="36"/>
  <c r="BF17" i="36"/>
  <c r="AY17" i="36"/>
  <c r="AX17" i="36"/>
  <c r="AW17" i="36"/>
  <c r="AZ17" i="36"/>
  <c r="BD17" i="36" s="1"/>
  <c r="B17" i="36"/>
  <c r="BP16" i="36"/>
  <c r="BH6" i="36" s="1"/>
  <c r="BH38" i="36" s="1"/>
  <c r="BF16" i="36"/>
  <c r="AY16" i="36"/>
  <c r="AX16" i="36"/>
  <c r="AW16" i="36"/>
  <c r="B16" i="36"/>
  <c r="BF15" i="36"/>
  <c r="AY15" i="36"/>
  <c r="AX15" i="36"/>
  <c r="AW15" i="36"/>
  <c r="B15" i="36"/>
  <c r="BF14" i="36"/>
  <c r="AY14" i="36"/>
  <c r="AX14" i="36"/>
  <c r="AW14" i="36"/>
  <c r="B14" i="36"/>
  <c r="BF13" i="36"/>
  <c r="AY13" i="36"/>
  <c r="AX13" i="36"/>
  <c r="AW13" i="36"/>
  <c r="AZ13" i="36"/>
  <c r="BD13" i="36" s="1"/>
  <c r="B13" i="36"/>
  <c r="BF12" i="36"/>
  <c r="AY12" i="36"/>
  <c r="AX12" i="36"/>
  <c r="AW12" i="36"/>
  <c r="B12" i="36"/>
  <c r="BF11" i="36"/>
  <c r="AY11" i="36"/>
  <c r="AX11" i="36"/>
  <c r="AW11" i="36"/>
  <c r="B11" i="36"/>
  <c r="BF10" i="36"/>
  <c r="AY10" i="36"/>
  <c r="AX10" i="36"/>
  <c r="AW10" i="36"/>
  <c r="AZ10" i="36"/>
  <c r="BD10" i="36" s="1"/>
  <c r="B10" i="36"/>
  <c r="BF9" i="36"/>
  <c r="AY9" i="36"/>
  <c r="AZ9" i="36" s="1"/>
  <c r="BD9" i="36" s="1"/>
  <c r="AX9" i="36"/>
  <c r="AW9" i="36"/>
  <c r="B9" i="36"/>
  <c r="BF8" i="36"/>
  <c r="AY8" i="43"/>
  <c r="AX8" i="36"/>
  <c r="AW8" i="36"/>
  <c r="AW8" i="43" s="1"/>
  <c r="B8" i="36"/>
  <c r="BM7" i="36"/>
  <c r="BJ7" i="36"/>
  <c r="BI7" i="36"/>
  <c r="BH7" i="36"/>
  <c r="BF7" i="36"/>
  <c r="AY7" i="36"/>
  <c r="AX7" i="36"/>
  <c r="AW7" i="36"/>
  <c r="B7" i="36"/>
  <c r="BM6" i="36"/>
  <c r="BJ6" i="36"/>
  <c r="BJ38" i="36" s="1"/>
  <c r="BF6" i="36"/>
  <c r="AY6" i="36"/>
  <c r="AX6" i="36"/>
  <c r="AW6" i="36"/>
  <c r="B6" i="36"/>
  <c r="BL38" i="35"/>
  <c r="BK38" i="35"/>
  <c r="BC38" i="35"/>
  <c r="BB38" i="35"/>
  <c r="BA38" i="35"/>
  <c r="AV38" i="35"/>
  <c r="AU38" i="35"/>
  <c r="AT38" i="35"/>
  <c r="AP38" i="35"/>
  <c r="AO38" i="35"/>
  <c r="AN38" i="35"/>
  <c r="AM38" i="35"/>
  <c r="AL38" i="35"/>
  <c r="AK38" i="35"/>
  <c r="AJ38" i="35"/>
  <c r="AI38" i="35"/>
  <c r="AG38" i="35"/>
  <c r="AF38" i="35"/>
  <c r="AE38" i="35"/>
  <c r="AD38" i="35"/>
  <c r="AC38" i="35"/>
  <c r="AA38" i="35"/>
  <c r="Z38" i="35"/>
  <c r="Y38" i="35"/>
  <c r="X38" i="35"/>
  <c r="W38" i="35"/>
  <c r="V38" i="35"/>
  <c r="S38" i="35"/>
  <c r="N38" i="35"/>
  <c r="L38" i="35"/>
  <c r="J38" i="35"/>
  <c r="I38" i="35"/>
  <c r="BF36" i="35"/>
  <c r="AY36" i="35"/>
  <c r="AX36" i="35"/>
  <c r="AW36" i="35"/>
  <c r="B36" i="35"/>
  <c r="BF35" i="35"/>
  <c r="AY35" i="35"/>
  <c r="AX35" i="35"/>
  <c r="AW35" i="35"/>
  <c r="B35" i="35"/>
  <c r="BF34" i="35"/>
  <c r="AY34" i="35"/>
  <c r="AX34" i="35"/>
  <c r="AW34" i="35"/>
  <c r="BP33" i="35"/>
  <c r="BF33" i="35"/>
  <c r="AY33" i="35"/>
  <c r="AX33" i="35"/>
  <c r="AW33" i="35"/>
  <c r="AZ33" i="35"/>
  <c r="BD33" i="35" s="1"/>
  <c r="BF32" i="35"/>
  <c r="AY32" i="35"/>
  <c r="AX32" i="35"/>
  <c r="AW32" i="35"/>
  <c r="BF31" i="35"/>
  <c r="AY31" i="35"/>
  <c r="AX31" i="35"/>
  <c r="AW31" i="35"/>
  <c r="BF30" i="35"/>
  <c r="AY30" i="35"/>
  <c r="AX30" i="35"/>
  <c r="AW30" i="35"/>
  <c r="BF29" i="35"/>
  <c r="AY29" i="35"/>
  <c r="AX29" i="35"/>
  <c r="AW29" i="35"/>
  <c r="BP28" i="35"/>
  <c r="BI6" i="35" s="1"/>
  <c r="BF28" i="35"/>
  <c r="AY28" i="35"/>
  <c r="AX28" i="35"/>
  <c r="AW28" i="35"/>
  <c r="B28" i="35"/>
  <c r="BF27" i="35"/>
  <c r="AY27" i="35"/>
  <c r="AX27" i="35"/>
  <c r="AW27" i="35"/>
  <c r="AW27" i="43" s="1"/>
  <c r="B27" i="35"/>
  <c r="BF26" i="35"/>
  <c r="AY26" i="35"/>
  <c r="AX26" i="35"/>
  <c r="AW26" i="35"/>
  <c r="AZ26" i="35"/>
  <c r="BD26" i="35" s="1"/>
  <c r="B26" i="35"/>
  <c r="BF25" i="35"/>
  <c r="AY25" i="35"/>
  <c r="AX25" i="35"/>
  <c r="AW25" i="35"/>
  <c r="B25" i="35"/>
  <c r="BF24" i="35"/>
  <c r="AY24" i="35"/>
  <c r="AX24" i="35"/>
  <c r="AW24" i="35"/>
  <c r="B24" i="35"/>
  <c r="BF23" i="35"/>
  <c r="AY23" i="35"/>
  <c r="AX23" i="35"/>
  <c r="AW23" i="35"/>
  <c r="B23" i="35"/>
  <c r="BP22" i="35"/>
  <c r="BM6" i="35" s="1"/>
  <c r="BM38" i="35" s="1"/>
  <c r="BF22" i="35"/>
  <c r="AY22" i="35"/>
  <c r="AX22" i="35"/>
  <c r="AW22" i="35"/>
  <c r="B22" i="35"/>
  <c r="BF21" i="35"/>
  <c r="AY21" i="35"/>
  <c r="AX21" i="35"/>
  <c r="AW21" i="35"/>
  <c r="AZ21" i="35"/>
  <c r="BD21" i="35" s="1"/>
  <c r="B21" i="35"/>
  <c r="BF20" i="35"/>
  <c r="AY20" i="35"/>
  <c r="AX20" i="35"/>
  <c r="AW20" i="35"/>
  <c r="B20" i="35"/>
  <c r="BF19" i="35"/>
  <c r="AY19" i="35"/>
  <c r="AX19" i="35"/>
  <c r="AW19" i="35"/>
  <c r="AZ19" i="35"/>
  <c r="BD19" i="35" s="1"/>
  <c r="B19" i="35"/>
  <c r="BF18" i="35"/>
  <c r="AY18" i="35"/>
  <c r="AX18" i="35"/>
  <c r="AW18" i="35"/>
  <c r="B18" i="35"/>
  <c r="BF17" i="35"/>
  <c r="AY17" i="35"/>
  <c r="AX17" i="35"/>
  <c r="AW17" i="35"/>
  <c r="B17" i="35"/>
  <c r="BP16" i="35"/>
  <c r="BH6" i="35" s="1"/>
  <c r="BH38" i="35" s="1"/>
  <c r="BF16" i="35"/>
  <c r="AY16" i="35"/>
  <c r="AZ16" i="35" s="1"/>
  <c r="BD16" i="35" s="1"/>
  <c r="AX16" i="35"/>
  <c r="AW16" i="35"/>
  <c r="B16" i="35"/>
  <c r="BF15" i="35"/>
  <c r="AY15" i="35"/>
  <c r="AX15" i="35"/>
  <c r="AW15" i="35"/>
  <c r="B15" i="35"/>
  <c r="BF14" i="35"/>
  <c r="AY14" i="35"/>
  <c r="AX14" i="35"/>
  <c r="AW14" i="35"/>
  <c r="B14" i="35"/>
  <c r="BF13" i="35"/>
  <c r="AY13" i="35"/>
  <c r="AX13" i="35"/>
  <c r="AW13" i="35"/>
  <c r="B13" i="35"/>
  <c r="BF12" i="35"/>
  <c r="AY12" i="35"/>
  <c r="AX12" i="35"/>
  <c r="AW12" i="35"/>
  <c r="AZ12" i="35"/>
  <c r="BD12" i="35" s="1"/>
  <c r="B12" i="35"/>
  <c r="BF11" i="35"/>
  <c r="AY11" i="35"/>
  <c r="AX11" i="35"/>
  <c r="AW11" i="35"/>
  <c r="B11" i="35"/>
  <c r="BF10" i="35"/>
  <c r="AY10" i="35"/>
  <c r="AX10" i="35"/>
  <c r="AW10" i="35"/>
  <c r="B10" i="35"/>
  <c r="BF9" i="35"/>
  <c r="AY9" i="35"/>
  <c r="AX9" i="35"/>
  <c r="AW9" i="35"/>
  <c r="B9" i="35"/>
  <c r="BF8" i="35"/>
  <c r="AY8" i="35"/>
  <c r="AX8" i="35"/>
  <c r="AZ8" i="35" s="1"/>
  <c r="BD8" i="35" s="1"/>
  <c r="AW8" i="35"/>
  <c r="B8" i="35"/>
  <c r="BM7" i="35"/>
  <c r="BJ7" i="35"/>
  <c r="BI7" i="35"/>
  <c r="BH7" i="35"/>
  <c r="BF7" i="35"/>
  <c r="AY7" i="35"/>
  <c r="AX7" i="35"/>
  <c r="AW7" i="35"/>
  <c r="B7" i="35"/>
  <c r="BJ6" i="35"/>
  <c r="BJ38" i="35" s="1"/>
  <c r="BF6" i="35"/>
  <c r="AY6" i="35"/>
  <c r="AX6" i="35"/>
  <c r="AW6" i="35"/>
  <c r="E38" i="35"/>
  <c r="F43" i="35" s="1"/>
  <c r="B6" i="35"/>
  <c r="BL38" i="34"/>
  <c r="BK38" i="34"/>
  <c r="BC38" i="34"/>
  <c r="BB38" i="34"/>
  <c r="BA38" i="34"/>
  <c r="AV38" i="34"/>
  <c r="AU38" i="34"/>
  <c r="AT38" i="34"/>
  <c r="AP38" i="34"/>
  <c r="AO38" i="34"/>
  <c r="AN38" i="34"/>
  <c r="AM38" i="34"/>
  <c r="AL38" i="34"/>
  <c r="AK38" i="34"/>
  <c r="AJ38" i="34"/>
  <c r="AI38" i="34"/>
  <c r="AG38" i="34"/>
  <c r="AF38" i="34"/>
  <c r="AE38" i="34"/>
  <c r="AD38" i="34"/>
  <c r="AC38" i="34"/>
  <c r="AA38" i="34"/>
  <c r="Z38" i="34"/>
  <c r="Y38" i="34"/>
  <c r="X38" i="34"/>
  <c r="W38" i="34"/>
  <c r="V38" i="34"/>
  <c r="S38" i="34"/>
  <c r="N38" i="34"/>
  <c r="L38" i="34"/>
  <c r="J38" i="34"/>
  <c r="I38" i="34"/>
  <c r="BF36" i="34"/>
  <c r="AY36" i="34"/>
  <c r="AX36" i="34"/>
  <c r="AW36" i="34"/>
  <c r="B36" i="34"/>
  <c r="BF35" i="34"/>
  <c r="AY35" i="34"/>
  <c r="AX35" i="34"/>
  <c r="AW35" i="34"/>
  <c r="B35" i="34"/>
  <c r="BF34" i="34"/>
  <c r="AY34" i="34"/>
  <c r="AX34" i="34"/>
  <c r="AW34" i="34"/>
  <c r="B34" i="34"/>
  <c r="BP33" i="34"/>
  <c r="BF33" i="34"/>
  <c r="AY33" i="34"/>
  <c r="AX33" i="34"/>
  <c r="AW33" i="34"/>
  <c r="B33" i="34"/>
  <c r="BF32" i="34"/>
  <c r="AY32" i="34"/>
  <c r="AX32" i="34"/>
  <c r="AW32" i="34"/>
  <c r="B32" i="34"/>
  <c r="BF31" i="34"/>
  <c r="AY31" i="34"/>
  <c r="AX31" i="34"/>
  <c r="AW31" i="34"/>
  <c r="B31" i="34"/>
  <c r="BF30" i="34"/>
  <c r="AY30" i="34"/>
  <c r="AX30" i="34"/>
  <c r="AW30" i="34"/>
  <c r="B30" i="34"/>
  <c r="BF29" i="34"/>
  <c r="AY29" i="34"/>
  <c r="AX29" i="34"/>
  <c r="AW29" i="34"/>
  <c r="B29" i="34"/>
  <c r="BP28" i="34"/>
  <c r="BF28" i="34"/>
  <c r="AY28" i="34"/>
  <c r="AX28" i="34"/>
  <c r="AW28" i="34"/>
  <c r="B28" i="34"/>
  <c r="BF27" i="34"/>
  <c r="AY27" i="34"/>
  <c r="AX27" i="34"/>
  <c r="AW27" i="34"/>
  <c r="B27" i="34"/>
  <c r="BF26" i="34"/>
  <c r="AY26" i="34"/>
  <c r="AX26" i="34"/>
  <c r="AW26" i="34"/>
  <c r="B26" i="34"/>
  <c r="BF25" i="34"/>
  <c r="AY25" i="34"/>
  <c r="AX25" i="34"/>
  <c r="AW25" i="34"/>
  <c r="B25" i="34"/>
  <c r="BF24" i="34"/>
  <c r="AY24" i="34"/>
  <c r="AX24" i="34"/>
  <c r="AW24" i="34"/>
  <c r="B24" i="34"/>
  <c r="BF23" i="34"/>
  <c r="AY23" i="34"/>
  <c r="AX23" i="34"/>
  <c r="AW23" i="34"/>
  <c r="B23" i="34"/>
  <c r="BP22" i="34"/>
  <c r="BM6" i="34" s="1"/>
  <c r="BF22" i="34"/>
  <c r="AY22" i="34"/>
  <c r="AX22" i="34"/>
  <c r="AW22" i="34"/>
  <c r="B22" i="34"/>
  <c r="BF21" i="34"/>
  <c r="AY21" i="34"/>
  <c r="AX21" i="34"/>
  <c r="AW21" i="34"/>
  <c r="B21" i="34"/>
  <c r="BF20" i="34"/>
  <c r="AY20" i="34"/>
  <c r="AX20" i="34"/>
  <c r="AW20" i="34"/>
  <c r="B20" i="34"/>
  <c r="BF19" i="34"/>
  <c r="AY19" i="34"/>
  <c r="AX19" i="34"/>
  <c r="AW19" i="34"/>
  <c r="B19" i="34"/>
  <c r="BF18" i="34"/>
  <c r="AY18" i="34"/>
  <c r="AW18" i="34"/>
  <c r="B18" i="34"/>
  <c r="BF17" i="34"/>
  <c r="AY17" i="34"/>
  <c r="AX17" i="34"/>
  <c r="AX17" i="43" s="1"/>
  <c r="AW17" i="34"/>
  <c r="B17" i="34"/>
  <c r="BP16" i="34"/>
  <c r="BP41" i="34" s="1"/>
  <c r="BF16" i="34"/>
  <c r="AY16" i="34"/>
  <c r="AX16" i="34"/>
  <c r="AW16" i="34"/>
  <c r="B16" i="34"/>
  <c r="BF15" i="34"/>
  <c r="AY15" i="34"/>
  <c r="AX15" i="34"/>
  <c r="AW15" i="34"/>
  <c r="B15" i="34"/>
  <c r="BF14" i="34"/>
  <c r="AY14" i="34"/>
  <c r="AX14" i="34"/>
  <c r="AW14" i="34"/>
  <c r="B14" i="34"/>
  <c r="BF13" i="34"/>
  <c r="AY13" i="34"/>
  <c r="AX13" i="34"/>
  <c r="AW13" i="34"/>
  <c r="B13" i="34"/>
  <c r="BF12" i="34"/>
  <c r="AY12" i="34"/>
  <c r="AX12" i="34"/>
  <c r="AW12" i="34"/>
  <c r="B12" i="34"/>
  <c r="BF11" i="34"/>
  <c r="AY11" i="34"/>
  <c r="AX11" i="34"/>
  <c r="B11" i="34"/>
  <c r="BF10" i="34"/>
  <c r="AY10" i="34"/>
  <c r="AX10" i="34"/>
  <c r="AW10" i="34"/>
  <c r="AW10" i="43" s="1"/>
  <c r="B10" i="34"/>
  <c r="BF9" i="34"/>
  <c r="AY9" i="34"/>
  <c r="AX9" i="34"/>
  <c r="AW9" i="34"/>
  <c r="B9" i="34"/>
  <c r="BF8" i="34"/>
  <c r="AY8" i="34"/>
  <c r="AX8" i="34"/>
  <c r="AW8" i="34"/>
  <c r="B8" i="34"/>
  <c r="BM7" i="34"/>
  <c r="BJ7" i="34"/>
  <c r="BI7" i="34"/>
  <c r="BH7" i="34"/>
  <c r="BH7" i="43" s="1"/>
  <c r="BF7" i="34"/>
  <c r="AY7" i="34"/>
  <c r="AX7" i="34"/>
  <c r="AW7" i="34"/>
  <c r="B7" i="34"/>
  <c r="BJ6" i="34"/>
  <c r="BJ38" i="34" s="1"/>
  <c r="BI6" i="34"/>
  <c r="BI38" i="34" s="1"/>
  <c r="BF6" i="34"/>
  <c r="AY6" i="34"/>
  <c r="AX6" i="34"/>
  <c r="AW6" i="34"/>
  <c r="B6" i="34"/>
  <c r="BH38" i="39" l="1"/>
  <c r="AX18" i="43"/>
  <c r="AZ8" i="40"/>
  <c r="BD8" i="40" s="1"/>
  <c r="AZ19" i="40"/>
  <c r="BD19" i="40" s="1"/>
  <c r="AA38" i="43"/>
  <c r="AY21" i="43"/>
  <c r="AW26" i="43"/>
  <c r="AY34" i="43"/>
  <c r="AW18" i="43"/>
  <c r="AW36" i="43"/>
  <c r="AW33" i="43"/>
  <c r="AW19" i="43"/>
  <c r="AW29" i="43"/>
  <c r="AZ9" i="40"/>
  <c r="BD9" i="40" s="1"/>
  <c r="AZ14" i="40"/>
  <c r="BD14" i="40" s="1"/>
  <c r="AZ17" i="40"/>
  <c r="BD17" i="40" s="1"/>
  <c r="AZ21" i="40"/>
  <c r="BD21" i="40" s="1"/>
  <c r="AZ26" i="40"/>
  <c r="BD26" i="40" s="1"/>
  <c r="AZ28" i="40"/>
  <c r="BD28" i="40" s="1"/>
  <c r="AX19" i="43"/>
  <c r="AX14" i="43"/>
  <c r="AY36" i="43"/>
  <c r="AF38" i="43"/>
  <c r="AZ24" i="40"/>
  <c r="BD24" i="40" s="1"/>
  <c r="AX22" i="43"/>
  <c r="AX28" i="43"/>
  <c r="AX10" i="43"/>
  <c r="AY28" i="43"/>
  <c r="AY10" i="43"/>
  <c r="AX15" i="43"/>
  <c r="AX21" i="43"/>
  <c r="AY11" i="43"/>
  <c r="AX26" i="43"/>
  <c r="AZ24" i="36"/>
  <c r="BD24" i="36" s="1"/>
  <c r="BM38" i="36"/>
  <c r="BM7" i="43"/>
  <c r="AW25" i="43"/>
  <c r="BH38" i="41"/>
  <c r="AZ6" i="41"/>
  <c r="BD6" i="41" s="1"/>
  <c r="AZ31" i="41"/>
  <c r="BD31" i="41" s="1"/>
  <c r="AZ36" i="41"/>
  <c r="BD36" i="41" s="1"/>
  <c r="BD20" i="41"/>
  <c r="BD12" i="41"/>
  <c r="AX38" i="41"/>
  <c r="AX6" i="43"/>
  <c r="AY6" i="43"/>
  <c r="X38" i="43"/>
  <c r="AX12" i="43"/>
  <c r="AW12" i="43"/>
  <c r="AV38" i="43"/>
  <c r="AZ23" i="40"/>
  <c r="BD23" i="40" s="1"/>
  <c r="BM38" i="40"/>
  <c r="BM38" i="39"/>
  <c r="AZ23" i="39"/>
  <c r="BD23" i="39" s="1"/>
  <c r="AX23" i="43"/>
  <c r="AZ24" i="37"/>
  <c r="BD24" i="37" s="1"/>
  <c r="AG38" i="43"/>
  <c r="BL38" i="43"/>
  <c r="V38" i="43"/>
  <c r="AW16" i="43"/>
  <c r="AZ17" i="34"/>
  <c r="BD17" i="34" s="1"/>
  <c r="AZ16" i="36"/>
  <c r="BD16" i="36" s="1"/>
  <c r="AZ18" i="36"/>
  <c r="BD18" i="36" s="1"/>
  <c r="AZ23" i="35"/>
  <c r="BD23" i="35" s="1"/>
  <c r="BC38" i="43"/>
  <c r="AU38" i="43"/>
  <c r="AX24" i="43"/>
  <c r="AO38" i="43"/>
  <c r="Y38" i="43"/>
  <c r="BP41" i="38"/>
  <c r="AS35" i="37"/>
  <c r="G35" i="37"/>
  <c r="AW11" i="43"/>
  <c r="AZ20" i="36"/>
  <c r="BD20" i="36" s="1"/>
  <c r="AW7" i="43"/>
  <c r="AY31" i="43"/>
  <c r="AY38" i="35"/>
  <c r="AY25" i="43"/>
  <c r="AZ22" i="35"/>
  <c r="BD22" i="35" s="1"/>
  <c r="AX8" i="43"/>
  <c r="AY24" i="43"/>
  <c r="AW23" i="43"/>
  <c r="AW38" i="35"/>
  <c r="AZ32" i="40"/>
  <c r="BD32" i="40" s="1"/>
  <c r="AX38" i="40"/>
  <c r="AZ11" i="40"/>
  <c r="BD11" i="40" s="1"/>
  <c r="AZ30" i="40"/>
  <c r="BD30" i="40" s="1"/>
  <c r="AW30" i="43"/>
  <c r="AX38" i="39"/>
  <c r="AZ32" i="39"/>
  <c r="BD32" i="39" s="1"/>
  <c r="AZ15" i="39"/>
  <c r="BD15" i="39" s="1"/>
  <c r="J38" i="43"/>
  <c r="AZ7" i="38"/>
  <c r="BD7" i="38" s="1"/>
  <c r="AZ24" i="38"/>
  <c r="BD24" i="38" s="1"/>
  <c r="AW24" i="43"/>
  <c r="AZ12" i="38"/>
  <c r="BD12" i="38" s="1"/>
  <c r="AW38" i="38"/>
  <c r="AZ22" i="38"/>
  <c r="BD22" i="38" s="1"/>
  <c r="AK38" i="43"/>
  <c r="AZ20" i="38"/>
  <c r="BD20" i="38" s="1"/>
  <c r="AP38" i="43"/>
  <c r="AX25" i="43"/>
  <c r="AZ25" i="38"/>
  <c r="BD25" i="38" s="1"/>
  <c r="AX38" i="38"/>
  <c r="AZ9" i="38"/>
  <c r="BD9" i="38" s="1"/>
  <c r="AZ6" i="37"/>
  <c r="BD6" i="37" s="1"/>
  <c r="AY38" i="37"/>
  <c r="AZ9" i="37"/>
  <c r="BD9" i="37" s="1"/>
  <c r="BB38" i="43"/>
  <c r="AW38" i="37"/>
  <c r="AZ19" i="37"/>
  <c r="BD19" i="37" s="1"/>
  <c r="AJ38" i="43"/>
  <c r="AZ11" i="37"/>
  <c r="BD11" i="37" s="1"/>
  <c r="BE26" i="37"/>
  <c r="BE26" i="43" s="1"/>
  <c r="AZ30" i="34"/>
  <c r="BD30" i="34" s="1"/>
  <c r="Z38" i="43"/>
  <c r="BH6" i="34"/>
  <c r="BH38" i="34" s="1"/>
  <c r="BA38" i="43"/>
  <c r="AZ10" i="34"/>
  <c r="BD10" i="34" s="1"/>
  <c r="AC38" i="43"/>
  <c r="AX38" i="34"/>
  <c r="AM38" i="43"/>
  <c r="AZ21" i="34"/>
  <c r="BD21" i="34" s="1"/>
  <c r="AL38" i="43"/>
  <c r="AN38" i="43"/>
  <c r="AE38" i="43"/>
  <c r="AD38" i="43"/>
  <c r="AI38" i="43"/>
  <c r="O35" i="34"/>
  <c r="H13" i="34"/>
  <c r="O30" i="34"/>
  <c r="AZ9" i="34"/>
  <c r="BD9" i="34" s="1"/>
  <c r="H33" i="34"/>
  <c r="H25" i="34"/>
  <c r="AZ13" i="34"/>
  <c r="BD13" i="34" s="1"/>
  <c r="AZ25" i="34"/>
  <c r="BD25" i="34" s="1"/>
  <c r="H23" i="34"/>
  <c r="M19" i="34"/>
  <c r="K15" i="34"/>
  <c r="BD19" i="34"/>
  <c r="H29" i="34"/>
  <c r="H21" i="34"/>
  <c r="M13" i="34"/>
  <c r="M9" i="34"/>
  <c r="K33" i="34"/>
  <c r="H9" i="34"/>
  <c r="BD32" i="34"/>
  <c r="H31" i="34"/>
  <c r="K11" i="34"/>
  <c r="M34" i="34"/>
  <c r="M30" i="34"/>
  <c r="K26" i="34"/>
  <c r="K18" i="34"/>
  <c r="M14" i="34"/>
  <c r="O10" i="34"/>
  <c r="AT38" i="43"/>
  <c r="AZ30" i="42"/>
  <c r="BF38" i="42"/>
  <c r="BF38" i="41"/>
  <c r="AZ30" i="36"/>
  <c r="BD30" i="36" s="1"/>
  <c r="AZ7" i="36"/>
  <c r="BD7" i="36" s="1"/>
  <c r="AZ10" i="35"/>
  <c r="BD10" i="35" s="1"/>
  <c r="AZ31" i="35"/>
  <c r="BD31" i="35" s="1"/>
  <c r="AZ7" i="35"/>
  <c r="BD7" i="35" s="1"/>
  <c r="AZ29" i="40"/>
  <c r="BD29" i="40" s="1"/>
  <c r="AZ10" i="39"/>
  <c r="BD10" i="39" s="1"/>
  <c r="AZ26" i="39"/>
  <c r="BD26" i="39" s="1"/>
  <c r="AZ28" i="39"/>
  <c r="BD28" i="39" s="1"/>
  <c r="AZ25" i="39"/>
  <c r="BD25" i="39" s="1"/>
  <c r="AZ31" i="39"/>
  <c r="BD31" i="39" s="1"/>
  <c r="AZ10" i="38"/>
  <c r="BD10" i="38" s="1"/>
  <c r="AZ16" i="34"/>
  <c r="BD16" i="34" s="1"/>
  <c r="AZ36" i="34"/>
  <c r="BD36" i="34" s="1"/>
  <c r="AZ33" i="34"/>
  <c r="BD33" i="34" s="1"/>
  <c r="AZ7" i="34"/>
  <c r="BD7" i="34" s="1"/>
  <c r="K30" i="34"/>
  <c r="O34" i="34"/>
  <c r="AZ34" i="34"/>
  <c r="BD34" i="34" s="1"/>
  <c r="K10" i="34"/>
  <c r="AZ14" i="34"/>
  <c r="BD14" i="34" s="1"/>
  <c r="BD18" i="34"/>
  <c r="AZ26" i="34"/>
  <c r="BD26" i="34" s="1"/>
  <c r="AZ9" i="35"/>
  <c r="BD9" i="35" s="1"/>
  <c r="K31" i="34"/>
  <c r="H11" i="34"/>
  <c r="M7" i="34"/>
  <c r="AZ24" i="41"/>
  <c r="BD24" i="41" s="1"/>
  <c r="AZ14" i="36"/>
  <c r="BD14" i="36" s="1"/>
  <c r="AZ33" i="36"/>
  <c r="BD33" i="36" s="1"/>
  <c r="AZ33" i="42"/>
  <c r="BD33" i="42" s="1"/>
  <c r="AZ15" i="35"/>
  <c r="BD15" i="35" s="1"/>
  <c r="AZ17" i="35"/>
  <c r="BD17" i="35" s="1"/>
  <c r="AZ23" i="36"/>
  <c r="BD23" i="36" s="1"/>
  <c r="AZ8" i="41"/>
  <c r="BD8" i="41" s="1"/>
  <c r="AZ14" i="35"/>
  <c r="BD14" i="35" s="1"/>
  <c r="AZ34" i="36"/>
  <c r="BD34" i="36" s="1"/>
  <c r="AZ21" i="36"/>
  <c r="BD21" i="36" s="1"/>
  <c r="AZ31" i="36"/>
  <c r="BD31" i="36" s="1"/>
  <c r="AZ19" i="36"/>
  <c r="BD19" i="36" s="1"/>
  <c r="AZ26" i="36"/>
  <c r="BD26" i="36" s="1"/>
  <c r="F38" i="35"/>
  <c r="AZ24" i="35"/>
  <c r="BD24" i="35" s="1"/>
  <c r="BD27" i="35"/>
  <c r="AZ15" i="36"/>
  <c r="BD15" i="36" s="1"/>
  <c r="AZ16" i="40"/>
  <c r="BD16" i="40" s="1"/>
  <c r="AZ31" i="40"/>
  <c r="BD31" i="40" s="1"/>
  <c r="AZ35" i="40"/>
  <c r="BD35" i="40" s="1"/>
  <c r="AZ14" i="41"/>
  <c r="BD14" i="41" s="1"/>
  <c r="AZ7" i="40"/>
  <c r="BD7" i="40" s="1"/>
  <c r="AZ10" i="40"/>
  <c r="BD10" i="40" s="1"/>
  <c r="AZ9" i="41"/>
  <c r="BD9" i="41" s="1"/>
  <c r="AZ33" i="40"/>
  <c r="BD33" i="40" s="1"/>
  <c r="E38" i="41"/>
  <c r="F43" i="41" s="1"/>
  <c r="AZ21" i="41"/>
  <c r="BD21" i="41" s="1"/>
  <c r="AZ26" i="42"/>
  <c r="BD26" i="42" s="1"/>
  <c r="O22" i="34"/>
  <c r="M18" i="34"/>
  <c r="M10" i="34"/>
  <c r="AZ18" i="41"/>
  <c r="BD18" i="41" s="1"/>
  <c r="E38" i="42"/>
  <c r="F43" i="42" s="1"/>
  <c r="AZ31" i="42"/>
  <c r="AZ21" i="42"/>
  <c r="AZ29" i="42"/>
  <c r="BD29" i="42" s="1"/>
  <c r="I38" i="43"/>
  <c r="AZ31" i="34"/>
  <c r="BD31" i="34" s="1"/>
  <c r="AZ8" i="34"/>
  <c r="BD8" i="34" s="1"/>
  <c r="AZ23" i="34"/>
  <c r="BD23" i="34" s="1"/>
  <c r="AZ27" i="34"/>
  <c r="BD27" i="34" s="1"/>
  <c r="AZ28" i="34"/>
  <c r="BD28" i="34" s="1"/>
  <c r="K28" i="34"/>
  <c r="O24" i="34"/>
  <c r="K20" i="34"/>
  <c r="M16" i="34"/>
  <c r="M12" i="34"/>
  <c r="M11" i="34"/>
  <c r="M35" i="34"/>
  <c r="H27" i="34"/>
  <c r="O11" i="34"/>
  <c r="O7" i="34"/>
  <c r="K8" i="34"/>
  <c r="H16" i="34"/>
  <c r="O32" i="34"/>
  <c r="K32" i="34"/>
  <c r="D38" i="34"/>
  <c r="M20" i="34"/>
  <c r="H24" i="34"/>
  <c r="M24" i="34"/>
  <c r="M28" i="34"/>
  <c r="H36" i="34"/>
  <c r="K36" i="34"/>
  <c r="O8" i="34"/>
  <c r="M8" i="34"/>
  <c r="H8" i="34"/>
  <c r="M32" i="34"/>
  <c r="H28" i="34"/>
  <c r="O28" i="34"/>
  <c r="K24" i="34"/>
  <c r="K35" i="34"/>
  <c r="H35" i="34"/>
  <c r="W38" i="43"/>
  <c r="S38" i="43"/>
  <c r="N38" i="43"/>
  <c r="L38" i="43"/>
  <c r="BP41" i="43"/>
  <c r="F38" i="41"/>
  <c r="AZ10" i="41"/>
  <c r="BD10" i="41" s="1"/>
  <c r="BD16" i="41"/>
  <c r="AW38" i="41"/>
  <c r="BP41" i="41"/>
  <c r="AZ26" i="41"/>
  <c r="BD26" i="41" s="1"/>
  <c r="AZ33" i="41"/>
  <c r="BD33" i="41" s="1"/>
  <c r="AZ20" i="42"/>
  <c r="BD20" i="42" s="1"/>
  <c r="AZ19" i="41"/>
  <c r="BD19" i="41" s="1"/>
  <c r="AZ22" i="41"/>
  <c r="BD22" i="41" s="1"/>
  <c r="AZ27" i="41"/>
  <c r="BD27" i="41" s="1"/>
  <c r="BJ7" i="41"/>
  <c r="BD7" i="41" s="1"/>
  <c r="AY38" i="41"/>
  <c r="F38" i="42"/>
  <c r="AY38" i="42"/>
  <c r="AZ7" i="42"/>
  <c r="BD7" i="42" s="1"/>
  <c r="AZ22" i="42"/>
  <c r="BJ7" i="42"/>
  <c r="BP41" i="42"/>
  <c r="BJ6" i="42"/>
  <c r="AZ34" i="42"/>
  <c r="BD34" i="42" s="1"/>
  <c r="AZ36" i="42"/>
  <c r="BD36" i="42" s="1"/>
  <c r="AZ23" i="41"/>
  <c r="BD23" i="41" s="1"/>
  <c r="AZ29" i="41"/>
  <c r="BD29" i="41" s="1"/>
  <c r="BH6" i="42"/>
  <c r="AZ10" i="42"/>
  <c r="AZ13" i="42"/>
  <c r="AZ16" i="42"/>
  <c r="AZ18" i="42"/>
  <c r="BD18" i="42" s="1"/>
  <c r="AZ23" i="42"/>
  <c r="BD23" i="42" s="1"/>
  <c r="AZ15" i="42"/>
  <c r="BD15" i="42" s="1"/>
  <c r="AZ25" i="42"/>
  <c r="AX38" i="42"/>
  <c r="BM38" i="42"/>
  <c r="AZ12" i="42"/>
  <c r="AZ27" i="42"/>
  <c r="BD27" i="42" s="1"/>
  <c r="AR9" i="37"/>
  <c r="AQ9" i="37"/>
  <c r="G9" i="37"/>
  <c r="AS9" i="37"/>
  <c r="AR17" i="37"/>
  <c r="AQ17" i="37"/>
  <c r="G17" i="37"/>
  <c r="AS17" i="37"/>
  <c r="AQ16" i="37"/>
  <c r="G16" i="37"/>
  <c r="AS16" i="37"/>
  <c r="AR16" i="37"/>
  <c r="G23" i="38"/>
  <c r="G36" i="37"/>
  <c r="AR6" i="37"/>
  <c r="AQ6" i="37"/>
  <c r="G6" i="37"/>
  <c r="AS13" i="37"/>
  <c r="AR13" i="37"/>
  <c r="G13" i="37"/>
  <c r="AQ13" i="37"/>
  <c r="H12" i="37"/>
  <c r="H14" i="37"/>
  <c r="H19" i="37"/>
  <c r="H21" i="37"/>
  <c r="H23" i="37"/>
  <c r="H26" i="37"/>
  <c r="G31" i="37"/>
  <c r="G32" i="37"/>
  <c r="O33" i="37"/>
  <c r="K33" i="37"/>
  <c r="M33" i="37"/>
  <c r="AZ35" i="37"/>
  <c r="BD35" i="37" s="1"/>
  <c r="G11" i="38"/>
  <c r="O12" i="38"/>
  <c r="K12" i="38"/>
  <c r="M12" i="38"/>
  <c r="AX38" i="37"/>
  <c r="K7" i="37"/>
  <c r="H8" i="37"/>
  <c r="H10" i="37"/>
  <c r="O11" i="37"/>
  <c r="K12" i="37"/>
  <c r="K14" i="37"/>
  <c r="H15" i="37"/>
  <c r="H18" i="37"/>
  <c r="K19" i="37"/>
  <c r="H20" i="37"/>
  <c r="K21" i="37"/>
  <c r="H22" i="37"/>
  <c r="K23" i="37"/>
  <c r="O24" i="37"/>
  <c r="H25" i="37"/>
  <c r="K26" i="37"/>
  <c r="H27" i="37"/>
  <c r="O28" i="37"/>
  <c r="H29" i="37"/>
  <c r="O30" i="37"/>
  <c r="O31" i="37"/>
  <c r="K31" i="37"/>
  <c r="AS31" i="37" s="1"/>
  <c r="K32" i="37"/>
  <c r="AS32" i="37" s="1"/>
  <c r="O32" i="37"/>
  <c r="M32" i="37"/>
  <c r="D38" i="37"/>
  <c r="BF38" i="37"/>
  <c r="BH6" i="38"/>
  <c r="BH38" i="38" s="1"/>
  <c r="K11" i="38"/>
  <c r="AS11" i="38" s="1"/>
  <c r="O11" i="38"/>
  <c r="M11" i="38"/>
  <c r="E38" i="38"/>
  <c r="F43" i="38" s="1"/>
  <c r="F38" i="39"/>
  <c r="AZ21" i="39"/>
  <c r="BD21" i="39" s="1"/>
  <c r="H7" i="37"/>
  <c r="BH6" i="37"/>
  <c r="BH38" i="37" s="1"/>
  <c r="M7" i="37"/>
  <c r="H11" i="37"/>
  <c r="M12" i="37"/>
  <c r="M14" i="37"/>
  <c r="M19" i="37"/>
  <c r="M21" i="37"/>
  <c r="M23" i="37"/>
  <c r="H24" i="37"/>
  <c r="M26" i="37"/>
  <c r="H28" i="37"/>
  <c r="H30" i="37"/>
  <c r="AZ32" i="37"/>
  <c r="BD32" i="37" s="1"/>
  <c r="G34" i="37"/>
  <c r="AQ35" i="37"/>
  <c r="O36" i="37"/>
  <c r="K36" i="37"/>
  <c r="AS36" i="37" s="1"/>
  <c r="M36" i="37"/>
  <c r="AY38" i="38"/>
  <c r="AZ11" i="38"/>
  <c r="BD11" i="38" s="1"/>
  <c r="O23" i="38"/>
  <c r="K23" i="38"/>
  <c r="AS23" i="38" s="1"/>
  <c r="M23" i="38"/>
  <c r="BJ6" i="39"/>
  <c r="BJ38" i="39" s="1"/>
  <c r="BP41" i="39"/>
  <c r="AZ30" i="37"/>
  <c r="BD30" i="37" s="1"/>
  <c r="AZ31" i="37"/>
  <c r="BD31" i="37" s="1"/>
  <c r="H33" i="37"/>
  <c r="K34" i="37"/>
  <c r="AS34" i="37" s="1"/>
  <c r="O34" i="37"/>
  <c r="M34" i="37"/>
  <c r="AR35" i="37"/>
  <c r="H12" i="38"/>
  <c r="AZ13" i="38"/>
  <c r="BD13" i="38" s="1"/>
  <c r="AZ16" i="38"/>
  <c r="BD16" i="38" s="1"/>
  <c r="AZ23" i="38"/>
  <c r="BD23" i="38" s="1"/>
  <c r="AZ20" i="39"/>
  <c r="BD20" i="39" s="1"/>
  <c r="F38" i="40"/>
  <c r="F38" i="38"/>
  <c r="BF38" i="38"/>
  <c r="BM38" i="38"/>
  <c r="H18" i="38"/>
  <c r="H20" i="38"/>
  <c r="H25" i="38"/>
  <c r="H27" i="38"/>
  <c r="AZ33" i="38"/>
  <c r="BD33" i="38" s="1"/>
  <c r="AZ36" i="38"/>
  <c r="BD36" i="38" s="1"/>
  <c r="BF38" i="39"/>
  <c r="AZ7" i="39"/>
  <c r="BD7" i="39" s="1"/>
  <c r="AZ8" i="39"/>
  <c r="BD8" i="39" s="1"/>
  <c r="AZ35" i="39"/>
  <c r="BD35" i="39" s="1"/>
  <c r="AZ18" i="40"/>
  <c r="BD18" i="40" s="1"/>
  <c r="AZ6" i="38"/>
  <c r="BD6" i="38" s="1"/>
  <c r="BI38" i="38"/>
  <c r="AZ34" i="38"/>
  <c r="BD34" i="38" s="1"/>
  <c r="AZ9" i="39"/>
  <c r="BD9" i="39" s="1"/>
  <c r="BD17" i="39"/>
  <c r="AZ22" i="39"/>
  <c r="BD22" i="39" s="1"/>
  <c r="AZ20" i="40"/>
  <c r="BD20" i="40" s="1"/>
  <c r="AZ25" i="40"/>
  <c r="BD25" i="40" s="1"/>
  <c r="H32" i="38"/>
  <c r="AY38" i="39"/>
  <c r="BJ6" i="40"/>
  <c r="BJ38" i="40" s="1"/>
  <c r="AW38" i="39"/>
  <c r="AZ36" i="39"/>
  <c r="BD36" i="39" s="1"/>
  <c r="E38" i="40"/>
  <c r="F43" i="40" s="1"/>
  <c r="BF38" i="40"/>
  <c r="AZ12" i="40"/>
  <c r="BD12" i="40" s="1"/>
  <c r="AZ13" i="40"/>
  <c r="BD13" i="40" s="1"/>
  <c r="BP41" i="40"/>
  <c r="BH6" i="40"/>
  <c r="AZ27" i="40"/>
  <c r="BD27" i="40" s="1"/>
  <c r="AW38" i="40"/>
  <c r="AZ15" i="40"/>
  <c r="BD15" i="40" s="1"/>
  <c r="AZ22" i="40"/>
  <c r="BD22" i="40" s="1"/>
  <c r="AY38" i="40"/>
  <c r="AZ34" i="40"/>
  <c r="BD34" i="40" s="1"/>
  <c r="AZ36" i="40"/>
  <c r="BD36" i="40" s="1"/>
  <c r="AZ18" i="35"/>
  <c r="BD18" i="35" s="1"/>
  <c r="AZ28" i="35"/>
  <c r="BD28" i="35" s="1"/>
  <c r="AZ32" i="35"/>
  <c r="BD32" i="35" s="1"/>
  <c r="BP41" i="35"/>
  <c r="E38" i="36"/>
  <c r="F43" i="36" s="1"/>
  <c r="AZ11" i="36"/>
  <c r="BD11" i="36" s="1"/>
  <c r="AZ6" i="35"/>
  <c r="BD6" i="35" s="1"/>
  <c r="AZ20" i="35"/>
  <c r="BD20" i="35" s="1"/>
  <c r="AZ25" i="35"/>
  <c r="BD25" i="35" s="1"/>
  <c r="BI38" i="35"/>
  <c r="AZ35" i="35"/>
  <c r="BD35" i="35" s="1"/>
  <c r="BF38" i="35"/>
  <c r="AZ8" i="36"/>
  <c r="BD8" i="36" s="1"/>
  <c r="AZ29" i="36"/>
  <c r="BD29" i="36" s="1"/>
  <c r="AX38" i="35"/>
  <c r="AZ11" i="35"/>
  <c r="BD11" i="35" s="1"/>
  <c r="AZ13" i="35"/>
  <c r="BD13" i="35" s="1"/>
  <c r="AZ36" i="35"/>
  <c r="BD36" i="35" s="1"/>
  <c r="AZ27" i="36"/>
  <c r="BD27" i="36" s="1"/>
  <c r="AZ30" i="35"/>
  <c r="BD30" i="35" s="1"/>
  <c r="AZ34" i="35"/>
  <c r="BD34" i="35" s="1"/>
  <c r="AW38" i="36"/>
  <c r="AZ6" i="36"/>
  <c r="BD6" i="36" s="1"/>
  <c r="AY38" i="36"/>
  <c r="BI38" i="36"/>
  <c r="BP41" i="36"/>
  <c r="AZ22" i="36"/>
  <c r="BD22" i="36" s="1"/>
  <c r="F38" i="36"/>
  <c r="AX38" i="36"/>
  <c r="BF38" i="36"/>
  <c r="AZ12" i="36"/>
  <c r="BD12" i="36" s="1"/>
  <c r="AZ36" i="36"/>
  <c r="BD36" i="36" s="1"/>
  <c r="BM38" i="34"/>
  <c r="E38" i="34"/>
  <c r="F43" i="34" s="1"/>
  <c r="K6" i="34"/>
  <c r="AW38" i="34"/>
  <c r="H7" i="34"/>
  <c r="K12" i="34"/>
  <c r="AZ12" i="34"/>
  <c r="BD12" i="34" s="1"/>
  <c r="H14" i="34"/>
  <c r="M15" i="34"/>
  <c r="O17" i="34"/>
  <c r="K17" i="34"/>
  <c r="H19" i="34"/>
  <c r="F38" i="34"/>
  <c r="M6" i="34"/>
  <c r="BF38" i="34"/>
  <c r="K7" i="34"/>
  <c r="H10" i="34"/>
  <c r="O12" i="34"/>
  <c r="K14" i="34"/>
  <c r="O15" i="34"/>
  <c r="O16" i="34"/>
  <c r="K16" i="34"/>
  <c r="M17" i="34"/>
  <c r="O18" i="34"/>
  <c r="K19" i="34"/>
  <c r="O20" i="34"/>
  <c r="O21" i="34"/>
  <c r="M21" i="34"/>
  <c r="K21" i="34"/>
  <c r="M22" i="34"/>
  <c r="K22" i="34"/>
  <c r="H22" i="34"/>
  <c r="O23" i="34"/>
  <c r="M23" i="34"/>
  <c r="K23" i="34"/>
  <c r="O25" i="34"/>
  <c r="M25" i="34"/>
  <c r="K25" i="34"/>
  <c r="H6" i="34"/>
  <c r="O6" i="34"/>
  <c r="AY38" i="34"/>
  <c r="O9" i="34"/>
  <c r="K9" i="34"/>
  <c r="O13" i="34"/>
  <c r="K13" i="34"/>
  <c r="O14" i="34"/>
  <c r="O19" i="34"/>
  <c r="AZ22" i="34"/>
  <c r="BD22" i="34" s="1"/>
  <c r="H26" i="34"/>
  <c r="O27" i="34"/>
  <c r="M27" i="34"/>
  <c r="K27" i="34"/>
  <c r="H12" i="34"/>
  <c r="H15" i="34"/>
  <c r="AZ15" i="34"/>
  <c r="BD15" i="34" s="1"/>
  <c r="H17" i="34"/>
  <c r="H18" i="34"/>
  <c r="H20" i="34"/>
  <c r="AZ20" i="34"/>
  <c r="BD20" i="34" s="1"/>
  <c r="O29" i="34"/>
  <c r="M29" i="34"/>
  <c r="K29" i="34"/>
  <c r="AZ35" i="34"/>
  <c r="BD35" i="34" s="1"/>
  <c r="M26" i="34"/>
  <c r="H30" i="34"/>
  <c r="M31" i="34"/>
  <c r="H32" i="34"/>
  <c r="M33" i="34"/>
  <c r="H34" i="34"/>
  <c r="M36" i="34"/>
  <c r="O26" i="34"/>
  <c r="O31" i="34"/>
  <c r="O33" i="34"/>
  <c r="K34" i="34"/>
  <c r="O36" i="34"/>
  <c r="BA26" i="32"/>
  <c r="F26" i="32"/>
  <c r="BA20" i="32"/>
  <c r="F17" i="32"/>
  <c r="AS18" i="37" l="1"/>
  <c r="AS24" i="37"/>
  <c r="AS25" i="37"/>
  <c r="AS25" i="34"/>
  <c r="AZ6" i="34"/>
  <c r="BD6" i="34" s="1"/>
  <c r="BE13" i="43"/>
  <c r="BE12" i="34"/>
  <c r="AS35" i="34"/>
  <c r="AR35" i="34"/>
  <c r="AS33" i="37"/>
  <c r="G13" i="34"/>
  <c r="AR31" i="37"/>
  <c r="G11" i="34"/>
  <c r="G31" i="34"/>
  <c r="G9" i="34"/>
  <c r="G29" i="34"/>
  <c r="G23" i="34"/>
  <c r="AS33" i="34"/>
  <c r="G21" i="34"/>
  <c r="G33" i="34"/>
  <c r="AS23" i="34"/>
  <c r="AS11" i="34"/>
  <c r="G25" i="34"/>
  <c r="AS24" i="34"/>
  <c r="AS28" i="34"/>
  <c r="AQ11" i="34"/>
  <c r="AQ35" i="34"/>
  <c r="AR11" i="34"/>
  <c r="G8" i="34"/>
  <c r="AR28" i="34"/>
  <c r="G16" i="34"/>
  <c r="AS31" i="34"/>
  <c r="G24" i="34"/>
  <c r="AQ16" i="34"/>
  <c r="AQ29" i="34"/>
  <c r="AR9" i="34"/>
  <c r="AR36" i="37"/>
  <c r="AQ27" i="34"/>
  <c r="AQ31" i="37"/>
  <c r="AQ23" i="38"/>
  <c r="AR23" i="38"/>
  <c r="AR11" i="38"/>
  <c r="AQ11" i="38"/>
  <c r="K38" i="37"/>
  <c r="AQ34" i="37"/>
  <c r="AQ36" i="37"/>
  <c r="AR34" i="37"/>
  <c r="M38" i="37"/>
  <c r="AR32" i="37"/>
  <c r="O38" i="37"/>
  <c r="AQ32" i="37"/>
  <c r="AR27" i="34"/>
  <c r="G27" i="34"/>
  <c r="AQ8" i="34"/>
  <c r="AR16" i="34"/>
  <c r="AQ24" i="34"/>
  <c r="AR33" i="34"/>
  <c r="AQ21" i="34"/>
  <c r="AR8" i="34"/>
  <c r="AR31" i="34"/>
  <c r="AQ25" i="34"/>
  <c r="AR21" i="34"/>
  <c r="AS29" i="34"/>
  <c r="AR36" i="34"/>
  <c r="AQ33" i="34"/>
  <c r="AS36" i="34"/>
  <c r="AR24" i="34"/>
  <c r="AR29" i="34"/>
  <c r="AS8" i="34"/>
  <c r="AQ36" i="34"/>
  <c r="AS27" i="34"/>
  <c r="AS13" i="34"/>
  <c r="AS9" i="34"/>
  <c r="AR25" i="34"/>
  <c r="AQ23" i="34"/>
  <c r="AQ13" i="34"/>
  <c r="AQ31" i="34"/>
  <c r="G36" i="34"/>
  <c r="AS21" i="34"/>
  <c r="AR23" i="34"/>
  <c r="AR13" i="34"/>
  <c r="AQ9" i="34"/>
  <c r="G28" i="34"/>
  <c r="AQ28" i="34"/>
  <c r="BH38" i="42"/>
  <c r="AZ6" i="42"/>
  <c r="BD6" i="42" s="1"/>
  <c r="BJ38" i="42"/>
  <c r="AZ38" i="41"/>
  <c r="C43" i="41" s="1"/>
  <c r="BD38" i="41"/>
  <c r="BJ38" i="41"/>
  <c r="AS25" i="38"/>
  <c r="AQ25" i="38"/>
  <c r="G25" i="38"/>
  <c r="AR25" i="38"/>
  <c r="G12" i="38"/>
  <c r="AR12" i="38"/>
  <c r="AS12" i="38"/>
  <c r="AQ12" i="38"/>
  <c r="AS28" i="37"/>
  <c r="AR28" i="37"/>
  <c r="AQ28" i="37"/>
  <c r="G28" i="37"/>
  <c r="AS11" i="37"/>
  <c r="AR11" i="37"/>
  <c r="AQ11" i="37"/>
  <c r="G11" i="37"/>
  <c r="AS15" i="37"/>
  <c r="AR15" i="37"/>
  <c r="AQ15" i="37"/>
  <c r="G15" i="37"/>
  <c r="AQ23" i="37"/>
  <c r="G23" i="37"/>
  <c r="AS23" i="37"/>
  <c r="AR23" i="37"/>
  <c r="G12" i="37"/>
  <c r="AS12" i="37"/>
  <c r="AR12" i="37"/>
  <c r="AQ12" i="37"/>
  <c r="AS20" i="38"/>
  <c r="AQ20" i="38"/>
  <c r="G20" i="38"/>
  <c r="AR20" i="38"/>
  <c r="AR7" i="37"/>
  <c r="G7" i="37"/>
  <c r="AQ7" i="37"/>
  <c r="AS7" i="37"/>
  <c r="AQ27" i="37"/>
  <c r="AS27" i="37"/>
  <c r="AR27" i="37"/>
  <c r="G27" i="37"/>
  <c r="AS20" i="37"/>
  <c r="AR20" i="37"/>
  <c r="AQ20" i="37"/>
  <c r="G20" i="37"/>
  <c r="AQ10" i="37"/>
  <c r="G10" i="37"/>
  <c r="AS10" i="37"/>
  <c r="AR10" i="37"/>
  <c r="AR21" i="37"/>
  <c r="G21" i="37"/>
  <c r="AQ21" i="37"/>
  <c r="AS21" i="37"/>
  <c r="AR32" i="38"/>
  <c r="AQ32" i="38"/>
  <c r="G32" i="38"/>
  <c r="AS32" i="38"/>
  <c r="AZ38" i="38"/>
  <c r="C43" i="38" s="1"/>
  <c r="BD38" i="38"/>
  <c r="AS18" i="38"/>
  <c r="AQ18" i="38"/>
  <c r="G18" i="38"/>
  <c r="AR18" i="38"/>
  <c r="AR24" i="37"/>
  <c r="AQ24" i="37"/>
  <c r="G24" i="37"/>
  <c r="AZ6" i="39"/>
  <c r="BD6" i="39" s="1"/>
  <c r="AQ29" i="37"/>
  <c r="AS29" i="37"/>
  <c r="AR29" i="37"/>
  <c r="G29" i="37"/>
  <c r="AS8" i="37"/>
  <c r="AQ8" i="37"/>
  <c r="G8" i="37"/>
  <c r="AR8" i="37"/>
  <c r="AR19" i="37"/>
  <c r="G19" i="37"/>
  <c r="AQ19" i="37"/>
  <c r="AS19" i="37"/>
  <c r="BH38" i="40"/>
  <c r="AZ6" i="40"/>
  <c r="BD6" i="40" s="1"/>
  <c r="AR27" i="38"/>
  <c r="AS27" i="38"/>
  <c r="AQ27" i="38"/>
  <c r="G27" i="38"/>
  <c r="AR33" i="37"/>
  <c r="G33" i="37"/>
  <c r="AQ33" i="37"/>
  <c r="AS30" i="37"/>
  <c r="AR30" i="37"/>
  <c r="AQ30" i="37"/>
  <c r="G30" i="37"/>
  <c r="AR25" i="37"/>
  <c r="AQ25" i="37"/>
  <c r="G25" i="37"/>
  <c r="AS22" i="37"/>
  <c r="AR22" i="37"/>
  <c r="AQ22" i="37"/>
  <c r="G22" i="37"/>
  <c r="AR18" i="37"/>
  <c r="AQ18" i="37"/>
  <c r="G18" i="37"/>
  <c r="AR26" i="37"/>
  <c r="G26" i="37"/>
  <c r="AQ26" i="37"/>
  <c r="AS26" i="37"/>
  <c r="AR14" i="37"/>
  <c r="G14" i="37"/>
  <c r="AQ14" i="37"/>
  <c r="AS14" i="37"/>
  <c r="H38" i="37"/>
  <c r="D43" i="37" s="1"/>
  <c r="AZ38" i="35"/>
  <c r="C43" i="35" s="1"/>
  <c r="BD38" i="35"/>
  <c r="AZ38" i="36"/>
  <c r="C43" i="36" s="1"/>
  <c r="AQ17" i="34"/>
  <c r="G17" i="34"/>
  <c r="AS17" i="34"/>
  <c r="AR17" i="34"/>
  <c r="H38" i="34"/>
  <c r="D43" i="34" s="1"/>
  <c r="AQ6" i="34"/>
  <c r="G6" i="34"/>
  <c r="AR6" i="34"/>
  <c r="AS20" i="34"/>
  <c r="AR20" i="34"/>
  <c r="AQ20" i="34"/>
  <c r="G20" i="34"/>
  <c r="AS22" i="34"/>
  <c r="AR22" i="34"/>
  <c r="AQ22" i="34"/>
  <c r="G22" i="34"/>
  <c r="AQ14" i="34"/>
  <c r="G14" i="34"/>
  <c r="AS14" i="34"/>
  <c r="AR14" i="34"/>
  <c r="AQ7" i="34"/>
  <c r="AS7" i="34"/>
  <c r="AR7" i="34"/>
  <c r="G7" i="34"/>
  <c r="AS12" i="34"/>
  <c r="AR12" i="34"/>
  <c r="AQ12" i="34"/>
  <c r="G12" i="34"/>
  <c r="AS26" i="34"/>
  <c r="AR26" i="34"/>
  <c r="G26" i="34"/>
  <c r="AQ26" i="34"/>
  <c r="AQ34" i="34"/>
  <c r="AS34" i="34"/>
  <c r="G34" i="34"/>
  <c r="AR34" i="34"/>
  <c r="AS30" i="34"/>
  <c r="AR30" i="34"/>
  <c r="G30" i="34"/>
  <c r="AQ30" i="34"/>
  <c r="O38" i="34"/>
  <c r="M38" i="34"/>
  <c r="AQ19" i="34"/>
  <c r="G19" i="34"/>
  <c r="AS19" i="34"/>
  <c r="AR19" i="34"/>
  <c r="AS16" i="34"/>
  <c r="AS32" i="34"/>
  <c r="AR32" i="34"/>
  <c r="G32" i="34"/>
  <c r="AQ32" i="34"/>
  <c r="AR18" i="34"/>
  <c r="AS18" i="34"/>
  <c r="AQ18" i="34"/>
  <c r="G18" i="34"/>
  <c r="AS15" i="34"/>
  <c r="AR15" i="34"/>
  <c r="G15" i="34"/>
  <c r="AQ15" i="34"/>
  <c r="AS10" i="34"/>
  <c r="AR10" i="34"/>
  <c r="AQ10" i="34"/>
  <c r="G10" i="34"/>
  <c r="K38" i="34"/>
  <c r="F7" i="33"/>
  <c r="F8" i="33"/>
  <c r="F10" i="33"/>
  <c r="BD11" i="33"/>
  <c r="F12" i="33"/>
  <c r="F14" i="33"/>
  <c r="F15" i="33"/>
  <c r="AZ15" i="33" s="1"/>
  <c r="BD15" i="33" s="1"/>
  <c r="F16" i="33"/>
  <c r="F17" i="33"/>
  <c r="F19" i="33"/>
  <c r="AZ19" i="33" s="1"/>
  <c r="BD19" i="33" s="1"/>
  <c r="F20" i="33"/>
  <c r="F21" i="33"/>
  <c r="F22" i="33"/>
  <c r="AZ22" i="33" s="1"/>
  <c r="BD22" i="33" s="1"/>
  <c r="F23" i="33"/>
  <c r="F24" i="33"/>
  <c r="F25" i="33"/>
  <c r="F26" i="33"/>
  <c r="AZ26" i="33" s="1"/>
  <c r="BD26" i="33" s="1"/>
  <c r="F27" i="33"/>
  <c r="F28" i="33"/>
  <c r="F29" i="33"/>
  <c r="F30" i="33"/>
  <c r="F31" i="33"/>
  <c r="F32" i="33"/>
  <c r="F33" i="33"/>
  <c r="F34" i="33"/>
  <c r="F35" i="33"/>
  <c r="AZ35" i="33" s="1"/>
  <c r="BD35" i="33" s="1"/>
  <c r="F3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D7" i="33"/>
  <c r="D8" i="33"/>
  <c r="D9" i="33"/>
  <c r="D10" i="33"/>
  <c r="H11" i="33"/>
  <c r="D12" i="33"/>
  <c r="D13" i="33"/>
  <c r="D14" i="33"/>
  <c r="D15" i="33"/>
  <c r="D16" i="33"/>
  <c r="D17" i="33"/>
  <c r="D18" i="33"/>
  <c r="D19" i="33"/>
  <c r="D20" i="33"/>
  <c r="D21" i="33"/>
  <c r="D22" i="33"/>
  <c r="O22" i="33" s="1"/>
  <c r="D23" i="33"/>
  <c r="D24" i="33"/>
  <c r="D25" i="33"/>
  <c r="D26" i="33"/>
  <c r="D27" i="33"/>
  <c r="D28" i="33"/>
  <c r="D29" i="33"/>
  <c r="D30" i="33"/>
  <c r="D31" i="33"/>
  <c r="D33" i="33"/>
  <c r="D34" i="33"/>
  <c r="D35" i="33"/>
  <c r="D36" i="33"/>
  <c r="F6" i="33"/>
  <c r="E6" i="33"/>
  <c r="D6" i="33"/>
  <c r="BK6" i="33"/>
  <c r="BK6" i="43" s="1"/>
  <c r="BK38" i="43" s="1"/>
  <c r="BL38" i="33"/>
  <c r="BC38" i="33"/>
  <c r="BB38" i="33"/>
  <c r="AV38" i="33"/>
  <c r="AU38" i="33"/>
  <c r="AT38" i="33"/>
  <c r="AP38" i="33"/>
  <c r="AO38" i="33"/>
  <c r="AN38" i="33"/>
  <c r="AM38" i="33"/>
  <c r="AL38" i="33"/>
  <c r="AK38" i="33"/>
  <c r="AJ38" i="33"/>
  <c r="AI38" i="33"/>
  <c r="AG38" i="33"/>
  <c r="AF38" i="33"/>
  <c r="AE38" i="33"/>
  <c r="AD38" i="33"/>
  <c r="AC38" i="33"/>
  <c r="AA38" i="33"/>
  <c r="Z38" i="33"/>
  <c r="Y38" i="33"/>
  <c r="X38" i="33"/>
  <c r="W38" i="33"/>
  <c r="V38" i="33"/>
  <c r="S38" i="33"/>
  <c r="N38" i="33"/>
  <c r="L38" i="33"/>
  <c r="J38" i="33"/>
  <c r="I38" i="33"/>
  <c r="BF36" i="33"/>
  <c r="AY36" i="33"/>
  <c r="AX36" i="33"/>
  <c r="AW36" i="33"/>
  <c r="B36" i="33"/>
  <c r="BF35" i="33"/>
  <c r="AY35" i="33"/>
  <c r="AX35" i="33"/>
  <c r="AW35" i="33"/>
  <c r="B35" i="33"/>
  <c r="BF34" i="33"/>
  <c r="AY34" i="33"/>
  <c r="AX34" i="33"/>
  <c r="AW34" i="33"/>
  <c r="B34" i="33"/>
  <c r="BP33" i="33"/>
  <c r="BJ7" i="33" s="1"/>
  <c r="BJ7" i="43" s="1"/>
  <c r="BF33" i="33"/>
  <c r="AY33" i="33"/>
  <c r="AX33" i="33"/>
  <c r="AW33" i="33"/>
  <c r="B33" i="33"/>
  <c r="BF32" i="33"/>
  <c r="AY32" i="33"/>
  <c r="AY32" i="43" s="1"/>
  <c r="AX32" i="43"/>
  <c r="AW32" i="33"/>
  <c r="AW32" i="43" s="1"/>
  <c r="B32" i="33"/>
  <c r="BF31" i="33"/>
  <c r="AY31" i="33"/>
  <c r="AX31" i="33"/>
  <c r="AW31" i="33"/>
  <c r="AW31" i="43" s="1"/>
  <c r="B31" i="33"/>
  <c r="BF30" i="33"/>
  <c r="AY30" i="33"/>
  <c r="AX30" i="33"/>
  <c r="AW30" i="33"/>
  <c r="B30" i="33"/>
  <c r="BF29" i="33"/>
  <c r="AY29" i="33"/>
  <c r="AX29" i="33"/>
  <c r="AW29" i="33"/>
  <c r="B29" i="33"/>
  <c r="BF28" i="33"/>
  <c r="AY28" i="33"/>
  <c r="AX28" i="33"/>
  <c r="AW28" i="33"/>
  <c r="B28" i="33"/>
  <c r="BF27" i="33"/>
  <c r="AY27" i="33"/>
  <c r="AX27" i="33"/>
  <c r="AW27" i="33"/>
  <c r="B27" i="33"/>
  <c r="BF26" i="33"/>
  <c r="AY26" i="33"/>
  <c r="AX26" i="33"/>
  <c r="AW26" i="33"/>
  <c r="B26" i="33"/>
  <c r="BF25" i="33"/>
  <c r="AY25" i="33"/>
  <c r="AX25" i="33"/>
  <c r="AW25" i="33"/>
  <c r="B25" i="33"/>
  <c r="BF24" i="33"/>
  <c r="AY24" i="33"/>
  <c r="AX24" i="33"/>
  <c r="AW24" i="33"/>
  <c r="B24" i="33"/>
  <c r="BF23" i="33"/>
  <c r="AY23" i="33"/>
  <c r="AY23" i="43" s="1"/>
  <c r="AX23" i="33"/>
  <c r="AW23" i="33"/>
  <c r="B23" i="33"/>
  <c r="BP22" i="33"/>
  <c r="BM6" i="33" s="1"/>
  <c r="BF22" i="33"/>
  <c r="AY22" i="33"/>
  <c r="AX22" i="33"/>
  <c r="AW22" i="33"/>
  <c r="B22" i="33"/>
  <c r="BF21" i="33"/>
  <c r="AY21" i="33"/>
  <c r="AX21" i="33"/>
  <c r="AW21" i="33"/>
  <c r="B21" i="33"/>
  <c r="BF20" i="33"/>
  <c r="BA38" i="33"/>
  <c r="AY20" i="33"/>
  <c r="AY20" i="43" s="1"/>
  <c r="AX20" i="33"/>
  <c r="AX20" i="43" s="1"/>
  <c r="AW20" i="33"/>
  <c r="AW20" i="43" s="1"/>
  <c r="B20" i="33"/>
  <c r="BF19" i="33"/>
  <c r="AY19" i="33"/>
  <c r="AX19" i="33"/>
  <c r="AW19" i="33"/>
  <c r="B19" i="33"/>
  <c r="BF18" i="33"/>
  <c r="AY18" i="33"/>
  <c r="AY18" i="43" s="1"/>
  <c r="AX18" i="33"/>
  <c r="AW18" i="33"/>
  <c r="B18" i="33"/>
  <c r="BF17" i="33"/>
  <c r="AY17" i="33"/>
  <c r="AY17" i="43" s="1"/>
  <c r="AX17" i="33"/>
  <c r="AW17" i="33"/>
  <c r="B17" i="33"/>
  <c r="BP16" i="33"/>
  <c r="BF16" i="33"/>
  <c r="AY16" i="33"/>
  <c r="AY16" i="43" s="1"/>
  <c r="AX16" i="33"/>
  <c r="AW16" i="33"/>
  <c r="B16" i="33"/>
  <c r="BF15" i="33"/>
  <c r="AY15" i="33"/>
  <c r="AX15" i="33"/>
  <c r="AW15" i="33"/>
  <c r="B15" i="33"/>
  <c r="BF14" i="33"/>
  <c r="AY14" i="33"/>
  <c r="AX14" i="33"/>
  <c r="AW14" i="33"/>
  <c r="B14" i="33"/>
  <c r="BF13" i="33"/>
  <c r="AY13" i="33"/>
  <c r="AX13" i="33"/>
  <c r="AW13" i="33"/>
  <c r="AW13" i="43" s="1"/>
  <c r="B13" i="33"/>
  <c r="BF12" i="33"/>
  <c r="AY12" i="33"/>
  <c r="AY12" i="43" s="1"/>
  <c r="AX12" i="33"/>
  <c r="AW12" i="33"/>
  <c r="B12" i="33"/>
  <c r="BF11" i="33"/>
  <c r="AY11" i="33"/>
  <c r="AX11" i="33"/>
  <c r="AX11" i="43" s="1"/>
  <c r="AW11" i="33"/>
  <c r="B11" i="33"/>
  <c r="BF10" i="33"/>
  <c r="AY10" i="33"/>
  <c r="AX10" i="33"/>
  <c r="AW10" i="33"/>
  <c r="B10" i="33"/>
  <c r="BF9" i="33"/>
  <c r="AY9" i="33"/>
  <c r="AX9" i="33"/>
  <c r="AW9" i="33"/>
  <c r="B9" i="33"/>
  <c r="BF8" i="33"/>
  <c r="AY8" i="33"/>
  <c r="AX8" i="33"/>
  <c r="AW8" i="33"/>
  <c r="B8" i="33"/>
  <c r="BM7" i="33"/>
  <c r="BI7" i="33"/>
  <c r="BI7" i="43" s="1"/>
  <c r="BH7" i="33"/>
  <c r="BF7" i="33"/>
  <c r="AY7" i="33"/>
  <c r="AX7" i="33"/>
  <c r="AW7" i="33"/>
  <c r="B7" i="33"/>
  <c r="BH6" i="33"/>
  <c r="BF6" i="33"/>
  <c r="AY6" i="33"/>
  <c r="AX6" i="33"/>
  <c r="AW6" i="33"/>
  <c r="B6" i="33"/>
  <c r="AZ38" i="34" l="1"/>
  <c r="C43" i="34" s="1"/>
  <c r="BK38" i="33"/>
  <c r="BJ6" i="33"/>
  <c r="AZ32" i="33"/>
  <c r="BD32" i="33" s="1"/>
  <c r="AZ7" i="33"/>
  <c r="BD7" i="33" s="1"/>
  <c r="BM38" i="33"/>
  <c r="BM6" i="43"/>
  <c r="BM38" i="43" s="1"/>
  <c r="BE12" i="43"/>
  <c r="BE38" i="34"/>
  <c r="AZ31" i="33"/>
  <c r="BD31" i="33" s="1"/>
  <c r="AZ81" i="41"/>
  <c r="BD38" i="36"/>
  <c r="AZ81" i="35"/>
  <c r="AZ34" i="33"/>
  <c r="BD34" i="33" s="1"/>
  <c r="BD18" i="33"/>
  <c r="AZ10" i="33"/>
  <c r="BD10" i="33" s="1"/>
  <c r="AZ33" i="33"/>
  <c r="BD33" i="33" s="1"/>
  <c r="AZ29" i="33"/>
  <c r="BD29" i="33" s="1"/>
  <c r="AZ25" i="33"/>
  <c r="BD25" i="33" s="1"/>
  <c r="AZ21" i="33"/>
  <c r="BD21" i="33" s="1"/>
  <c r="AZ17" i="33"/>
  <c r="BD17" i="33" s="1"/>
  <c r="AZ13" i="33"/>
  <c r="BD13" i="33" s="1"/>
  <c r="AZ9" i="33"/>
  <c r="BD9" i="33" s="1"/>
  <c r="AZ27" i="33"/>
  <c r="BD27" i="33" s="1"/>
  <c r="AZ23" i="33"/>
  <c r="BD23" i="33" s="1"/>
  <c r="AZ30" i="33"/>
  <c r="BD30" i="33" s="1"/>
  <c r="AZ14" i="33"/>
  <c r="BD14" i="33" s="1"/>
  <c r="AZ36" i="33"/>
  <c r="BD36" i="33" s="1"/>
  <c r="AZ28" i="33"/>
  <c r="BD28" i="33" s="1"/>
  <c r="AZ24" i="33"/>
  <c r="BD24" i="33" s="1"/>
  <c r="AZ20" i="33"/>
  <c r="BD20" i="33" s="1"/>
  <c r="AZ16" i="33"/>
  <c r="BD16" i="33" s="1"/>
  <c r="AZ12" i="33"/>
  <c r="BD12" i="33" s="1"/>
  <c r="AQ38" i="37"/>
  <c r="AR38" i="37"/>
  <c r="BD38" i="34"/>
  <c r="BD38" i="42"/>
  <c r="AZ38" i="42"/>
  <c r="AZ38" i="37"/>
  <c r="BD38" i="37"/>
  <c r="BD40" i="37" s="1"/>
  <c r="AS38" i="37"/>
  <c r="G38" i="37"/>
  <c r="BD38" i="40"/>
  <c r="AZ38" i="40"/>
  <c r="BD38" i="39"/>
  <c r="AZ38" i="39"/>
  <c r="AZ81" i="38"/>
  <c r="AZ81" i="36"/>
  <c r="AR38" i="34"/>
  <c r="G38" i="34"/>
  <c r="AS38" i="34"/>
  <c r="AQ38" i="34"/>
  <c r="M31" i="33"/>
  <c r="O27" i="33"/>
  <c r="H29" i="33"/>
  <c r="H31" i="33"/>
  <c r="K11" i="33"/>
  <c r="AS11" i="33" s="1"/>
  <c r="M27" i="33"/>
  <c r="O25" i="33"/>
  <c r="O21" i="33"/>
  <c r="G11" i="33"/>
  <c r="K6" i="33"/>
  <c r="H32" i="33"/>
  <c r="O20" i="33"/>
  <c r="O31" i="33"/>
  <c r="K27" i="33"/>
  <c r="O11" i="33"/>
  <c r="M36" i="33"/>
  <c r="H36" i="33"/>
  <c r="O24" i="33"/>
  <c r="K24" i="33"/>
  <c r="M16" i="33"/>
  <c r="O16" i="33"/>
  <c r="M11" i="33"/>
  <c r="H27" i="33"/>
  <c r="O36" i="33"/>
  <c r="M24" i="33"/>
  <c r="K16" i="33"/>
  <c r="K12" i="33"/>
  <c r="O8" i="33"/>
  <c r="K14" i="33"/>
  <c r="F38" i="33"/>
  <c r="AZ8" i="33"/>
  <c r="BD8" i="33" s="1"/>
  <c r="M6" i="33"/>
  <c r="O29" i="33"/>
  <c r="K17" i="33"/>
  <c r="AY38" i="33"/>
  <c r="M29" i="33"/>
  <c r="H34" i="33"/>
  <c r="H30" i="33"/>
  <c r="H26" i="33"/>
  <c r="M22" i="33"/>
  <c r="O18" i="33"/>
  <c r="H14" i="33"/>
  <c r="O10" i="33"/>
  <c r="O33" i="33"/>
  <c r="K29" i="33"/>
  <c r="M25" i="33"/>
  <c r="M17" i="33"/>
  <c r="M9" i="33"/>
  <c r="K9" i="33"/>
  <c r="O17" i="33"/>
  <c r="H33" i="33"/>
  <c r="M33" i="33"/>
  <c r="O9" i="33"/>
  <c r="H22" i="33"/>
  <c r="H24" i="33"/>
  <c r="H25" i="33"/>
  <c r="K23" i="33"/>
  <c r="M23" i="33"/>
  <c r="O23" i="33"/>
  <c r="K13" i="33"/>
  <c r="M13" i="33"/>
  <c r="E38" i="33"/>
  <c r="F43" i="33" s="1"/>
  <c r="AX38" i="33"/>
  <c r="M7" i="33"/>
  <c r="O7" i="33"/>
  <c r="K7" i="33"/>
  <c r="K8" i="33"/>
  <c r="M8" i="33"/>
  <c r="H8" i="33"/>
  <c r="K10" i="33"/>
  <c r="M10" i="33"/>
  <c r="H10" i="33"/>
  <c r="M12" i="33"/>
  <c r="O12" i="33"/>
  <c r="H12" i="33"/>
  <c r="H23" i="33"/>
  <c r="K26" i="33"/>
  <c r="M26" i="33"/>
  <c r="O26" i="33"/>
  <c r="AQ11" i="33"/>
  <c r="D38" i="33"/>
  <c r="AW38" i="33"/>
  <c r="BF38" i="33"/>
  <c r="H7" i="33"/>
  <c r="K15" i="33"/>
  <c r="M15" i="33"/>
  <c r="H15" i="33"/>
  <c r="M34" i="33"/>
  <c r="O34" i="33"/>
  <c r="K34" i="33"/>
  <c r="H6" i="33"/>
  <c r="H9" i="33"/>
  <c r="O13" i="33"/>
  <c r="M19" i="33"/>
  <c r="O19" i="33"/>
  <c r="K19" i="33"/>
  <c r="K20" i="33"/>
  <c r="M20" i="33"/>
  <c r="H20" i="33"/>
  <c r="M28" i="33"/>
  <c r="O28" i="33"/>
  <c r="K28" i="33"/>
  <c r="M14" i="33"/>
  <c r="O14" i="33"/>
  <c r="K35" i="33"/>
  <c r="M35" i="33"/>
  <c r="H35" i="33"/>
  <c r="O6" i="33"/>
  <c r="BH38" i="33"/>
  <c r="O15" i="33"/>
  <c r="K18" i="33"/>
  <c r="M18" i="33"/>
  <c r="H18" i="33"/>
  <c r="H19" i="33"/>
  <c r="K21" i="33"/>
  <c r="M21" i="33"/>
  <c r="H21" i="33"/>
  <c r="H28" i="33"/>
  <c r="M30" i="33"/>
  <c r="O30" i="33"/>
  <c r="K30" i="33"/>
  <c r="M32" i="33"/>
  <c r="O32" i="33"/>
  <c r="K32" i="33"/>
  <c r="O35" i="33"/>
  <c r="H13" i="33"/>
  <c r="H16" i="33"/>
  <c r="H17" i="33"/>
  <c r="K22" i="33"/>
  <c r="K25" i="33"/>
  <c r="K31" i="33"/>
  <c r="K33" i="33"/>
  <c r="K36" i="33"/>
  <c r="AZ81" i="34" l="1"/>
  <c r="BJ38" i="33"/>
  <c r="AS35" i="33"/>
  <c r="AS25" i="33"/>
  <c r="G29" i="33"/>
  <c r="G31" i="33"/>
  <c r="C43" i="42"/>
  <c r="AZ81" i="42"/>
  <c r="C43" i="40"/>
  <c r="AZ81" i="40"/>
  <c r="C43" i="39"/>
  <c r="AZ81" i="39"/>
  <c r="C43" i="37"/>
  <c r="AZ81" i="37"/>
  <c r="AS29" i="33"/>
  <c r="AR33" i="33"/>
  <c r="AS32" i="33"/>
  <c r="AR27" i="33"/>
  <c r="AS36" i="33"/>
  <c r="AS26" i="33"/>
  <c r="AS14" i="33"/>
  <c r="G35" i="33"/>
  <c r="G13" i="33"/>
  <c r="G28" i="33"/>
  <c r="G19" i="33"/>
  <c r="G20" i="33"/>
  <c r="G9" i="33"/>
  <c r="G8" i="33"/>
  <c r="G34" i="33"/>
  <c r="G27" i="33"/>
  <c r="G32" i="33"/>
  <c r="G16" i="33"/>
  <c r="G21" i="33"/>
  <c r="G18" i="33"/>
  <c r="G15" i="33"/>
  <c r="G23" i="33"/>
  <c r="G10" i="33"/>
  <c r="G25" i="33"/>
  <c r="AR11" i="33"/>
  <c r="G17" i="33"/>
  <c r="AQ14" i="33"/>
  <c r="G7" i="33"/>
  <c r="G12" i="33"/>
  <c r="G24" i="33"/>
  <c r="G33" i="33"/>
  <c r="G26" i="33"/>
  <c r="G36" i="33"/>
  <c r="G22" i="33"/>
  <c r="G30" i="33"/>
  <c r="AQ27" i="33"/>
  <c r="AR32" i="33"/>
  <c r="AQ36" i="33"/>
  <c r="AS22" i="33"/>
  <c r="AQ24" i="33"/>
  <c r="AS27" i="33"/>
  <c r="AQ26" i="33"/>
  <c r="AQ29" i="33"/>
  <c r="AR14" i="33"/>
  <c r="G14" i="33"/>
  <c r="AR29" i="33"/>
  <c r="AQ34" i="33"/>
  <c r="AR31" i="33"/>
  <c r="AR25" i="33"/>
  <c r="AQ31" i="33"/>
  <c r="AS30" i="33"/>
  <c r="AS34" i="33"/>
  <c r="AQ25" i="33"/>
  <c r="AR26" i="33"/>
  <c r="AQ32" i="33"/>
  <c r="AQ22" i="33"/>
  <c r="AR22" i="33"/>
  <c r="K38" i="33"/>
  <c r="AS31" i="33"/>
  <c r="AR36" i="33"/>
  <c r="AQ30" i="33"/>
  <c r="AR34" i="33"/>
  <c r="AS24" i="33"/>
  <c r="AR24" i="33"/>
  <c r="AQ33" i="33"/>
  <c r="AR30" i="33"/>
  <c r="AQ17" i="33"/>
  <c r="AR17" i="33"/>
  <c r="AS17" i="33"/>
  <c r="AS15" i="33"/>
  <c r="AR15" i="33"/>
  <c r="AQ15" i="33"/>
  <c r="AR20" i="33"/>
  <c r="AS20" i="33"/>
  <c r="AQ20" i="33"/>
  <c r="AQ28" i="33"/>
  <c r="AR28" i="33"/>
  <c r="AS28" i="33"/>
  <c r="AR18" i="33"/>
  <c r="AS18" i="33"/>
  <c r="AQ18" i="33"/>
  <c r="O38" i="33"/>
  <c r="AQ35" i="33"/>
  <c r="AR35" i="33"/>
  <c r="AQ9" i="33"/>
  <c r="AR9" i="33"/>
  <c r="AS9" i="33"/>
  <c r="AQ7" i="33"/>
  <c r="AR7" i="33"/>
  <c r="AS7" i="33"/>
  <c r="AQ6" i="33"/>
  <c r="G6" i="33"/>
  <c r="AR6" i="33"/>
  <c r="H38" i="33"/>
  <c r="D43" i="33" s="1"/>
  <c r="AS12" i="33"/>
  <c r="AR12" i="33"/>
  <c r="AQ12" i="33"/>
  <c r="AS8" i="33"/>
  <c r="AQ8" i="33"/>
  <c r="AR8" i="33"/>
  <c r="AQ16" i="33"/>
  <c r="AS16" i="33"/>
  <c r="AR16" i="33"/>
  <c r="AQ10" i="33"/>
  <c r="AR10" i="33"/>
  <c r="AS10" i="33"/>
  <c r="AR13" i="33"/>
  <c r="AS13" i="33"/>
  <c r="AQ13" i="33"/>
  <c r="AS33" i="33"/>
  <c r="AQ21" i="33"/>
  <c r="AS21" i="33"/>
  <c r="AR21" i="33"/>
  <c r="AQ19" i="33"/>
  <c r="AR19" i="33"/>
  <c r="AS19" i="33"/>
  <c r="AS23" i="33"/>
  <c r="AR23" i="33"/>
  <c r="AQ23" i="33"/>
  <c r="M38" i="33"/>
  <c r="AQ38" i="33" l="1"/>
  <c r="G38" i="33"/>
  <c r="AS38" i="33"/>
  <c r="AR38" i="33"/>
  <c r="AW36" i="31" l="1"/>
  <c r="AW35" i="31"/>
  <c r="AW34" i="31"/>
  <c r="AW33" i="31"/>
  <c r="AW32" i="31"/>
  <c r="AW31" i="31"/>
  <c r="AW30" i="31"/>
  <c r="AW29" i="31"/>
  <c r="AW28" i="31"/>
  <c r="AW27" i="31"/>
  <c r="AW26" i="31"/>
  <c r="AW25" i="31"/>
  <c r="AW24" i="31"/>
  <c r="AW23" i="31"/>
  <c r="AW22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W6" i="31"/>
  <c r="AW7" i="32"/>
  <c r="AW8" i="32"/>
  <c r="AW9" i="32"/>
  <c r="AW9" i="43" s="1"/>
  <c r="AW38" i="43" s="1"/>
  <c r="AW10" i="32"/>
  <c r="AW11" i="32"/>
  <c r="AW12" i="32"/>
  <c r="AW13" i="32"/>
  <c r="AW14" i="32"/>
  <c r="AW15" i="32"/>
  <c r="AW16" i="32"/>
  <c r="AW17" i="32"/>
  <c r="AW18" i="32"/>
  <c r="AW19" i="32"/>
  <c r="AW20" i="32"/>
  <c r="AW21" i="32"/>
  <c r="AW22" i="32"/>
  <c r="AW23" i="32"/>
  <c r="AW24" i="32"/>
  <c r="AW25" i="32"/>
  <c r="AW26" i="32"/>
  <c r="AW27" i="32"/>
  <c r="AW28" i="32"/>
  <c r="AW29" i="32"/>
  <c r="AW30" i="32"/>
  <c r="AW31" i="32"/>
  <c r="AW32" i="32"/>
  <c r="AW33" i="32"/>
  <c r="AW34" i="32"/>
  <c r="AW35" i="32"/>
  <c r="AW36" i="32"/>
  <c r="AW6" i="32"/>
  <c r="AY7" i="32" l="1"/>
  <c r="AY8" i="32"/>
  <c r="AY9" i="32"/>
  <c r="AY9" i="43" s="1"/>
  <c r="AY38" i="43" s="1"/>
  <c r="AY10" i="32"/>
  <c r="AY11" i="32"/>
  <c r="AY12" i="32"/>
  <c r="AY13" i="32"/>
  <c r="AY14" i="32"/>
  <c r="AY15" i="32"/>
  <c r="AY16" i="32"/>
  <c r="AY17" i="32"/>
  <c r="AY18" i="32"/>
  <c r="AY19" i="32"/>
  <c r="AY20" i="32"/>
  <c r="AY21" i="32"/>
  <c r="AY22" i="32"/>
  <c r="AY23" i="32"/>
  <c r="AY24" i="32"/>
  <c r="AY25" i="32"/>
  <c r="AY26" i="32"/>
  <c r="AY27" i="32"/>
  <c r="AY28" i="32"/>
  <c r="AY29" i="32"/>
  <c r="AY30" i="32"/>
  <c r="AY31" i="32"/>
  <c r="AY32" i="32"/>
  <c r="AY33" i="32"/>
  <c r="AY34" i="32"/>
  <c r="AY35" i="32"/>
  <c r="AY36" i="32"/>
  <c r="AY6" i="32"/>
  <c r="AX7" i="32"/>
  <c r="AX8" i="32"/>
  <c r="AX9" i="32"/>
  <c r="AX9" i="43" s="1"/>
  <c r="AX38" i="43" s="1"/>
  <c r="AX10" i="32"/>
  <c r="AX11" i="32"/>
  <c r="AX12" i="32"/>
  <c r="AX13" i="32"/>
  <c r="AX14" i="32"/>
  <c r="AX15" i="32"/>
  <c r="AX16" i="32"/>
  <c r="AX17" i="32"/>
  <c r="AX18" i="32"/>
  <c r="AX19" i="32"/>
  <c r="AX20" i="32"/>
  <c r="AX21" i="32"/>
  <c r="AX22" i="32"/>
  <c r="AX23" i="32"/>
  <c r="AX24" i="32"/>
  <c r="AX25" i="32"/>
  <c r="AX26" i="32"/>
  <c r="AX27" i="32"/>
  <c r="AX28" i="32"/>
  <c r="AX29" i="32"/>
  <c r="AX30" i="32"/>
  <c r="AX31" i="32"/>
  <c r="AX32" i="32"/>
  <c r="AX33" i="32"/>
  <c r="AX34" i="32"/>
  <c r="AX35" i="32"/>
  <c r="AX36" i="32"/>
  <c r="AX6" i="32"/>
  <c r="D26" i="32" l="1"/>
  <c r="D7" i="32" l="1"/>
  <c r="E7" i="32"/>
  <c r="F7" i="32"/>
  <c r="E8" i="32"/>
  <c r="F8" i="32"/>
  <c r="D9" i="32"/>
  <c r="E9" i="32"/>
  <c r="F9" i="32"/>
  <c r="E10" i="32"/>
  <c r="F10" i="32"/>
  <c r="E11" i="32"/>
  <c r="F11" i="32"/>
  <c r="D12" i="32"/>
  <c r="E12" i="32"/>
  <c r="F12" i="32"/>
  <c r="D13" i="32"/>
  <c r="E13" i="32"/>
  <c r="F13" i="32"/>
  <c r="D14" i="32"/>
  <c r="E14" i="32"/>
  <c r="F14" i="32"/>
  <c r="D15" i="32"/>
  <c r="E15" i="32"/>
  <c r="F15" i="32"/>
  <c r="D16" i="32"/>
  <c r="E16" i="32"/>
  <c r="D17" i="32"/>
  <c r="E17" i="32"/>
  <c r="D18" i="32"/>
  <c r="F18" i="32"/>
  <c r="D19" i="32"/>
  <c r="E19" i="32"/>
  <c r="F19" i="32"/>
  <c r="D20" i="32"/>
  <c r="E20" i="32"/>
  <c r="F20" i="32"/>
  <c r="D21" i="32"/>
  <c r="E21" i="32"/>
  <c r="F21" i="32"/>
  <c r="D22" i="32"/>
  <c r="E22" i="32"/>
  <c r="F22" i="32"/>
  <c r="D23" i="32"/>
  <c r="E23" i="32"/>
  <c r="F23" i="32"/>
  <c r="E24" i="32"/>
  <c r="F24" i="32"/>
  <c r="E25" i="32"/>
  <c r="F25" i="32"/>
  <c r="D27" i="32"/>
  <c r="E27" i="32"/>
  <c r="F27" i="32"/>
  <c r="D28" i="32"/>
  <c r="E28" i="32"/>
  <c r="F28" i="32"/>
  <c r="D29" i="32"/>
  <c r="E29" i="32"/>
  <c r="F29" i="32"/>
  <c r="D30" i="32"/>
  <c r="E30" i="32"/>
  <c r="F30" i="32"/>
  <c r="D31" i="32"/>
  <c r="E31" i="32"/>
  <c r="F31" i="32"/>
  <c r="D32" i="32"/>
  <c r="E32" i="32"/>
  <c r="F32" i="32"/>
  <c r="D33" i="32"/>
  <c r="E33" i="32"/>
  <c r="F33" i="32"/>
  <c r="D34" i="32"/>
  <c r="E34" i="32"/>
  <c r="F34" i="32"/>
  <c r="D35" i="32"/>
  <c r="E35" i="32"/>
  <c r="F35" i="32"/>
  <c r="D36" i="32"/>
  <c r="E36" i="32"/>
  <c r="F36" i="32"/>
  <c r="F6" i="32"/>
  <c r="E6" i="32"/>
  <c r="D6" i="32"/>
  <c r="BL38" i="32"/>
  <c r="BK38" i="32"/>
  <c r="BC38" i="32"/>
  <c r="BB38" i="32"/>
  <c r="BA38" i="32"/>
  <c r="BA40" i="32" s="1"/>
  <c r="AV38" i="32"/>
  <c r="AU38" i="32"/>
  <c r="AT38" i="32"/>
  <c r="AP38" i="32"/>
  <c r="AO38" i="32"/>
  <c r="AM38" i="32"/>
  <c r="AL38" i="32"/>
  <c r="AI38" i="32"/>
  <c r="AG38" i="32"/>
  <c r="AF38" i="32"/>
  <c r="AE38" i="32"/>
  <c r="AD38" i="32"/>
  <c r="AC38" i="32"/>
  <c r="AA38" i="32"/>
  <c r="Z38" i="32"/>
  <c r="Y38" i="32"/>
  <c r="X38" i="32"/>
  <c r="W38" i="32"/>
  <c r="V38" i="32"/>
  <c r="S38" i="32"/>
  <c r="N38" i="32"/>
  <c r="L38" i="32"/>
  <c r="J38" i="32"/>
  <c r="I38" i="32"/>
  <c r="BF36" i="32"/>
  <c r="B36" i="32"/>
  <c r="BF35" i="32"/>
  <c r="B35" i="32"/>
  <c r="BF34" i="32"/>
  <c r="B34" i="32"/>
  <c r="BP33" i="32"/>
  <c r="BF33" i="32"/>
  <c r="B33" i="32"/>
  <c r="BF32" i="32"/>
  <c r="B32" i="32"/>
  <c r="BF31" i="32"/>
  <c r="B31" i="32"/>
  <c r="BF30" i="32"/>
  <c r="B30" i="32"/>
  <c r="BF29" i="32"/>
  <c r="B29" i="32"/>
  <c r="BP28" i="32"/>
  <c r="BI6" i="32" s="1"/>
  <c r="BI38" i="32" s="1"/>
  <c r="BF28" i="32"/>
  <c r="B28" i="32"/>
  <c r="BF27" i="32"/>
  <c r="B27" i="32"/>
  <c r="BF26" i="32"/>
  <c r="AZ26" i="32" s="1"/>
  <c r="BD26" i="32" s="1"/>
  <c r="B26" i="32"/>
  <c r="BF25" i="32"/>
  <c r="B25" i="32"/>
  <c r="BF24" i="32"/>
  <c r="AN38" i="32"/>
  <c r="B24" i="32"/>
  <c r="BF23" i="32"/>
  <c r="B23" i="32"/>
  <c r="BP22" i="32"/>
  <c r="BM6" i="32" s="1"/>
  <c r="BM38" i="32" s="1"/>
  <c r="BF22" i="32"/>
  <c r="B22" i="32"/>
  <c r="BF21" i="32"/>
  <c r="B21" i="32"/>
  <c r="BF20" i="32"/>
  <c r="B20" i="32"/>
  <c r="BF19" i="32"/>
  <c r="B19" i="32"/>
  <c r="BF18" i="32"/>
  <c r="AJ38" i="32"/>
  <c r="B18" i="32"/>
  <c r="BF17" i="32"/>
  <c r="B17" i="32"/>
  <c r="BP16" i="32"/>
  <c r="BF16" i="32"/>
  <c r="B16" i="32"/>
  <c r="BF15" i="32"/>
  <c r="B15" i="32"/>
  <c r="BF14" i="32"/>
  <c r="B14" i="32"/>
  <c r="BF13" i="32"/>
  <c r="B13" i="32"/>
  <c r="BF12" i="32"/>
  <c r="B12" i="32"/>
  <c r="BF11" i="32"/>
  <c r="B11" i="32"/>
  <c r="BF10" i="32"/>
  <c r="B10" i="32"/>
  <c r="BF9" i="32"/>
  <c r="B9" i="32"/>
  <c r="BF8" i="32"/>
  <c r="B8" i="32"/>
  <c r="BF7" i="32"/>
  <c r="B7" i="32"/>
  <c r="BJ6" i="32"/>
  <c r="BJ6" i="43" s="1"/>
  <c r="BJ38" i="43" s="1"/>
  <c r="BF6" i="32"/>
  <c r="B6" i="32"/>
  <c r="AZ20" i="32" l="1"/>
  <c r="BD20" i="32" s="1"/>
  <c r="BH6" i="32"/>
  <c r="BH38" i="32" s="1"/>
  <c r="BP41" i="32"/>
  <c r="K7" i="32"/>
  <c r="M19" i="32"/>
  <c r="K15" i="32"/>
  <c r="M35" i="32"/>
  <c r="O19" i="32"/>
  <c r="H33" i="32"/>
  <c r="K30" i="32"/>
  <c r="H29" i="32"/>
  <c r="M22" i="32"/>
  <c r="H21" i="32"/>
  <c r="M18" i="32"/>
  <c r="H17" i="32"/>
  <c r="O14" i="32"/>
  <c r="H13" i="32"/>
  <c r="H9" i="32"/>
  <c r="H35" i="32"/>
  <c r="H31" i="32"/>
  <c r="H27" i="32"/>
  <c r="H23" i="32"/>
  <c r="H19" i="32"/>
  <c r="H15" i="32"/>
  <c r="H7" i="32"/>
  <c r="H36" i="32"/>
  <c r="H28" i="32"/>
  <c r="H20" i="32"/>
  <c r="H16" i="32"/>
  <c r="H12" i="32"/>
  <c r="O35" i="32"/>
  <c r="H34" i="32"/>
  <c r="H30" i="32"/>
  <c r="H22" i="32"/>
  <c r="K19" i="32"/>
  <c r="H18" i="32"/>
  <c r="M15" i="32"/>
  <c r="K32" i="32"/>
  <c r="H32" i="32"/>
  <c r="AZ27" i="32"/>
  <c r="BD27" i="32" s="1"/>
  <c r="M14" i="32"/>
  <c r="AZ36" i="32"/>
  <c r="BD36" i="32" s="1"/>
  <c r="H14" i="32"/>
  <c r="K13" i="32"/>
  <c r="O30" i="32"/>
  <c r="O29" i="32"/>
  <c r="M21" i="32"/>
  <c r="M13" i="32"/>
  <c r="M33" i="32"/>
  <c r="M29" i="32"/>
  <c r="O13" i="32"/>
  <c r="O9" i="32"/>
  <c r="K14" i="32"/>
  <c r="K18" i="32"/>
  <c r="O18" i="32"/>
  <c r="O15" i="32"/>
  <c r="AZ11" i="32"/>
  <c r="BD11" i="32" s="1"/>
  <c r="AZ17" i="32"/>
  <c r="BD17" i="32" s="1"/>
  <c r="AZ34" i="32"/>
  <c r="BD34" i="32" s="1"/>
  <c r="AZ14" i="32"/>
  <c r="BD14" i="32" s="1"/>
  <c r="AZ9" i="32"/>
  <c r="BD9" i="32" s="1"/>
  <c r="AZ29" i="32"/>
  <c r="BD29" i="32" s="1"/>
  <c r="AZ10" i="32"/>
  <c r="BD10" i="32" s="1"/>
  <c r="AZ32" i="32"/>
  <c r="BD32" i="32" s="1"/>
  <c r="AZ8" i="32"/>
  <c r="BD8" i="32" s="1"/>
  <c r="AZ35" i="32"/>
  <c r="BD35" i="32" s="1"/>
  <c r="AK38" i="32"/>
  <c r="AZ25" i="32"/>
  <c r="BD25" i="32" s="1"/>
  <c r="M27" i="32"/>
  <c r="BF38" i="32"/>
  <c r="AZ7" i="32"/>
  <c r="BD7" i="32" s="1"/>
  <c r="K17" i="32"/>
  <c r="O17" i="32"/>
  <c r="M17" i="32"/>
  <c r="K6" i="32"/>
  <c r="M6" i="32"/>
  <c r="H6" i="32"/>
  <c r="AX38" i="32"/>
  <c r="O6" i="32"/>
  <c r="AY38" i="32"/>
  <c r="BJ38" i="32"/>
  <c r="K9" i="32"/>
  <c r="M9" i="32"/>
  <c r="AZ12" i="32"/>
  <c r="BD12" i="32" s="1"/>
  <c r="O16" i="32"/>
  <c r="M16" i="32"/>
  <c r="K16" i="32"/>
  <c r="AZ22" i="32"/>
  <c r="BD22" i="32" s="1"/>
  <c r="K23" i="32"/>
  <c r="M23" i="32"/>
  <c r="O23" i="32"/>
  <c r="AZ24" i="32"/>
  <c r="BD24" i="32" s="1"/>
  <c r="O27" i="32"/>
  <c r="AZ33" i="32"/>
  <c r="BD33" i="32" s="1"/>
  <c r="M36" i="32"/>
  <c r="O36" i="32"/>
  <c r="K36" i="32"/>
  <c r="K12" i="32"/>
  <c r="O12" i="32"/>
  <c r="M12" i="32"/>
  <c r="AZ19" i="32"/>
  <c r="BD19" i="32" s="1"/>
  <c r="K28" i="32"/>
  <c r="M28" i="32"/>
  <c r="O28" i="32"/>
  <c r="AW38" i="32"/>
  <c r="AZ18" i="32"/>
  <c r="BD18" i="32" s="1"/>
  <c r="AZ23" i="32"/>
  <c r="BD23" i="32" s="1"/>
  <c r="O32" i="32"/>
  <c r="M32" i="32"/>
  <c r="M7" i="32"/>
  <c r="O7" i="32"/>
  <c r="AZ13" i="32"/>
  <c r="BD13" i="32" s="1"/>
  <c r="AZ16" i="32"/>
  <c r="BD16" i="32" s="1"/>
  <c r="M20" i="32"/>
  <c r="O20" i="32"/>
  <c r="K20" i="32"/>
  <c r="AZ21" i="32"/>
  <c r="BD21" i="32" s="1"/>
  <c r="AZ28" i="32"/>
  <c r="BD28" i="32" s="1"/>
  <c r="M34" i="32"/>
  <c r="O34" i="32"/>
  <c r="K34" i="32"/>
  <c r="M30" i="32"/>
  <c r="F38" i="32"/>
  <c r="AZ15" i="32"/>
  <c r="BD15" i="32" s="1"/>
  <c r="O21" i="32"/>
  <c r="K21" i="32"/>
  <c r="K27" i="32"/>
  <c r="K29" i="32"/>
  <c r="AZ30" i="32"/>
  <c r="BD30" i="32" s="1"/>
  <c r="O33" i="32"/>
  <c r="K33" i="32"/>
  <c r="K35" i="32"/>
  <c r="O31" i="32"/>
  <c r="K31" i="32"/>
  <c r="O22" i="32"/>
  <c r="K22" i="32"/>
  <c r="M31" i="32"/>
  <c r="AZ31" i="32"/>
  <c r="BD31" i="32" s="1"/>
  <c r="AZ6" i="32" l="1"/>
  <c r="AS34" i="32"/>
  <c r="AS35" i="32"/>
  <c r="G12" i="32"/>
  <c r="G30" i="32"/>
  <c r="G28" i="32"/>
  <c r="G21" i="32"/>
  <c r="G32" i="32"/>
  <c r="G27" i="32"/>
  <c r="G29" i="32"/>
  <c r="G18" i="32"/>
  <c r="G15" i="32"/>
  <c r="G36" i="32"/>
  <c r="G19" i="32"/>
  <c r="G20" i="32"/>
  <c r="G23" i="32"/>
  <c r="G17" i="32"/>
  <c r="G31" i="32"/>
  <c r="G13" i="32"/>
  <c r="G33" i="32"/>
  <c r="AS7" i="32"/>
  <c r="G7" i="32"/>
  <c r="AR15" i="32"/>
  <c r="AS15" i="32"/>
  <c r="AS31" i="32"/>
  <c r="AS30" i="32"/>
  <c r="AS12" i="32"/>
  <c r="AS29" i="32"/>
  <c r="AS27" i="32"/>
  <c r="AS17" i="32"/>
  <c r="AS20" i="32"/>
  <c r="AS16" i="32"/>
  <c r="G9" i="32"/>
  <c r="G35" i="32"/>
  <c r="G14" i="32"/>
  <c r="AQ15" i="32"/>
  <c r="G16" i="32"/>
  <c r="G34" i="32"/>
  <c r="AR30" i="32"/>
  <c r="G22" i="32"/>
  <c r="AQ12" i="32"/>
  <c r="AR27" i="32"/>
  <c r="AQ20" i="32"/>
  <c r="AR29" i="32"/>
  <c r="AQ27" i="32"/>
  <c r="AQ29" i="32"/>
  <c r="AQ16" i="32"/>
  <c r="AR16" i="32"/>
  <c r="AQ17" i="32"/>
  <c r="AQ22" i="32"/>
  <c r="AR7" i="32"/>
  <c r="AS22" i="32"/>
  <c r="AR34" i="32"/>
  <c r="AR12" i="32"/>
  <c r="AQ30" i="32"/>
  <c r="AR22" i="32"/>
  <c r="AR20" i="32"/>
  <c r="AR17" i="32"/>
  <c r="AQ14" i="32"/>
  <c r="AS14" i="32"/>
  <c r="AQ7" i="32"/>
  <c r="AR14" i="32"/>
  <c r="AQ34" i="32"/>
  <c r="AR31" i="32"/>
  <c r="AR13" i="32"/>
  <c r="AQ13" i="32"/>
  <c r="AS13" i="32"/>
  <c r="AQ31" i="32"/>
  <c r="AQ9" i="32"/>
  <c r="AR9" i="32"/>
  <c r="AS9" i="32"/>
  <c r="AS33" i="32"/>
  <c r="AQ33" i="32"/>
  <c r="AR33" i="32"/>
  <c r="AQ23" i="32"/>
  <c r="AS23" i="32"/>
  <c r="AR23" i="32"/>
  <c r="AR19" i="32"/>
  <c r="AQ19" i="32"/>
  <c r="AS19" i="32"/>
  <c r="AQ36" i="32"/>
  <c r="AS36" i="32"/>
  <c r="AR36" i="32"/>
  <c r="AS21" i="32"/>
  <c r="AQ21" i="32"/>
  <c r="AR21" i="32"/>
  <c r="AS32" i="32"/>
  <c r="AQ32" i="32"/>
  <c r="AR32" i="32"/>
  <c r="AR35" i="32"/>
  <c r="AQ35" i="32"/>
  <c r="AR18" i="32"/>
  <c r="AS18" i="32"/>
  <c r="AQ18" i="32"/>
  <c r="AQ6" i="32"/>
  <c r="AR6" i="32"/>
  <c r="G6" i="32"/>
  <c r="AR28" i="32"/>
  <c r="AS28" i="32"/>
  <c r="AQ28" i="32"/>
  <c r="AZ38" i="32" l="1"/>
  <c r="C43" i="32" s="1"/>
  <c r="BD6" i="32"/>
  <c r="BD38" i="32" s="1"/>
  <c r="AZ81" i="32" l="1"/>
  <c r="BM6" i="31"/>
  <c r="BJ6" i="31"/>
  <c r="BI6" i="31"/>
  <c r="BP33" i="31"/>
  <c r="BP28" i="31"/>
  <c r="BP22" i="31"/>
  <c r="BP16" i="31"/>
  <c r="BH6" i="31" s="1"/>
  <c r="BH6" i="43" s="1"/>
  <c r="BH38" i="43" s="1"/>
  <c r="AJ24" i="31" l="1"/>
  <c r="AM20" i="31"/>
  <c r="AJ20" i="31"/>
  <c r="AM25" i="31"/>
  <c r="AJ25" i="31"/>
  <c r="AM18" i="31"/>
  <c r="AJ18" i="31"/>
  <c r="AK25" i="31" l="1"/>
  <c r="B7" i="31"/>
  <c r="D7" i="31"/>
  <c r="E7" i="31"/>
  <c r="E7" i="43" s="1"/>
  <c r="F7" i="31"/>
  <c r="BF7" i="31"/>
  <c r="BF7" i="43" s="1"/>
  <c r="BH7" i="31"/>
  <c r="BM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6" i="31"/>
  <c r="D34" i="31"/>
  <c r="E34" i="31"/>
  <c r="E34" i="43" s="1"/>
  <c r="F34" i="31"/>
  <c r="BF34" i="31"/>
  <c r="BF34" i="43" s="1"/>
  <c r="AZ34" i="31" l="1"/>
  <c r="F34" i="43"/>
  <c r="AZ7" i="31"/>
  <c r="F7" i="43"/>
  <c r="K7" i="31"/>
  <c r="M7" i="31"/>
  <c r="K34" i="31"/>
  <c r="H7" i="31"/>
  <c r="H34" i="31"/>
  <c r="O7" i="31"/>
  <c r="M34" i="31"/>
  <c r="O34" i="31"/>
  <c r="AZ7" i="43" l="1"/>
  <c r="BD7" i="31"/>
  <c r="AZ34" i="43"/>
  <c r="BD34" i="31"/>
  <c r="BD34" i="43" s="1"/>
  <c r="AQ34" i="31"/>
  <c r="G34" i="31"/>
  <c r="AS34" i="31"/>
  <c r="G7" i="31"/>
  <c r="AS7" i="31"/>
  <c r="AR34" i="31"/>
  <c r="AR7" i="31"/>
  <c r="AQ7" i="31"/>
  <c r="U34" i="31" l="1"/>
  <c r="C34" i="31" s="1"/>
  <c r="U7" i="31"/>
  <c r="C7" i="31" s="1"/>
  <c r="I38" i="31"/>
  <c r="F8" i="31"/>
  <c r="F10" i="31"/>
  <c r="F11" i="31"/>
  <c r="F12" i="31"/>
  <c r="F13" i="31"/>
  <c r="F14" i="31"/>
  <c r="F15" i="31"/>
  <c r="F16" i="31"/>
  <c r="F17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5" i="31"/>
  <c r="F36" i="31"/>
  <c r="F6" i="31"/>
  <c r="E8" i="31"/>
  <c r="E8" i="43" s="1"/>
  <c r="E9" i="31"/>
  <c r="E9" i="43" s="1"/>
  <c r="E10" i="31"/>
  <c r="E10" i="43" s="1"/>
  <c r="E11" i="31"/>
  <c r="E11" i="43" s="1"/>
  <c r="E12" i="31"/>
  <c r="E12" i="43" s="1"/>
  <c r="E13" i="31"/>
  <c r="E13" i="43" s="1"/>
  <c r="E14" i="31"/>
  <c r="E14" i="43" s="1"/>
  <c r="E15" i="31"/>
  <c r="E15" i="43" s="1"/>
  <c r="E16" i="31"/>
  <c r="E16" i="43" s="1"/>
  <c r="E17" i="31"/>
  <c r="E17" i="43" s="1"/>
  <c r="E18" i="31"/>
  <c r="E19" i="31"/>
  <c r="E19" i="43" s="1"/>
  <c r="E20" i="31"/>
  <c r="E20" i="43" s="1"/>
  <c r="E21" i="31"/>
  <c r="E21" i="43" s="1"/>
  <c r="E22" i="31"/>
  <c r="E22" i="43" s="1"/>
  <c r="E23" i="31"/>
  <c r="E23" i="43" s="1"/>
  <c r="E24" i="31"/>
  <c r="E24" i="43" s="1"/>
  <c r="E25" i="31"/>
  <c r="E25" i="43" s="1"/>
  <c r="E26" i="31"/>
  <c r="E27" i="31"/>
  <c r="E27" i="43" s="1"/>
  <c r="E28" i="31"/>
  <c r="E28" i="43" s="1"/>
  <c r="E29" i="31"/>
  <c r="E29" i="43" s="1"/>
  <c r="E30" i="31"/>
  <c r="E30" i="43" s="1"/>
  <c r="E31" i="31"/>
  <c r="E31" i="43" s="1"/>
  <c r="E32" i="31"/>
  <c r="E32" i="43" s="1"/>
  <c r="E33" i="31"/>
  <c r="E33" i="43" s="1"/>
  <c r="E35" i="31"/>
  <c r="E35" i="43" s="1"/>
  <c r="E36" i="31"/>
  <c r="E36" i="43" s="1"/>
  <c r="E6" i="31"/>
  <c r="E6" i="43" s="1"/>
  <c r="D8" i="31"/>
  <c r="D9" i="31"/>
  <c r="D10" i="31"/>
  <c r="D11" i="31"/>
  <c r="D12" i="31"/>
  <c r="D13" i="31"/>
  <c r="D14" i="31"/>
  <c r="D15" i="31"/>
  <c r="D16" i="31"/>
  <c r="D17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5" i="31"/>
  <c r="D36" i="31"/>
  <c r="D6" i="31"/>
  <c r="BF29" i="31"/>
  <c r="BF29" i="43" s="1"/>
  <c r="BI7" i="31"/>
  <c r="BF27" i="31"/>
  <c r="BF27" i="43" s="1"/>
  <c r="BF33" i="31"/>
  <c r="BF33" i="43" s="1"/>
  <c r="F36" i="43" l="1"/>
  <c r="F23" i="43"/>
  <c r="F15" i="43"/>
  <c r="F35" i="43"/>
  <c r="F30" i="43"/>
  <c r="F26" i="43"/>
  <c r="F22" i="43"/>
  <c r="F18" i="43"/>
  <c r="F14" i="43"/>
  <c r="F10" i="43"/>
  <c r="AZ27" i="31"/>
  <c r="F27" i="43"/>
  <c r="F19" i="43"/>
  <c r="F11" i="43"/>
  <c r="AZ33" i="31"/>
  <c r="F33" i="43"/>
  <c r="AZ29" i="31"/>
  <c r="F29" i="43"/>
  <c r="F25" i="43"/>
  <c r="F21" i="43"/>
  <c r="F17" i="43"/>
  <c r="F13" i="43"/>
  <c r="F9" i="43"/>
  <c r="F31" i="43"/>
  <c r="F6" i="43"/>
  <c r="F32" i="43"/>
  <c r="F28" i="43"/>
  <c r="F24" i="43"/>
  <c r="F20" i="43"/>
  <c r="F16" i="43"/>
  <c r="F12" i="43"/>
  <c r="F8" i="43"/>
  <c r="K29" i="31"/>
  <c r="K27" i="31"/>
  <c r="O29" i="31"/>
  <c r="M29" i="31"/>
  <c r="M27" i="31"/>
  <c r="O27" i="31"/>
  <c r="M33" i="31"/>
  <c r="O33" i="31"/>
  <c r="H33" i="31"/>
  <c r="K33" i="31"/>
  <c r="AZ33" i="43" l="1"/>
  <c r="BD33" i="31"/>
  <c r="BD33" i="43" s="1"/>
  <c r="AZ29" i="43"/>
  <c r="BD29" i="31"/>
  <c r="BD29" i="43" s="1"/>
  <c r="AZ27" i="43"/>
  <c r="BD27" i="31"/>
  <c r="BD27" i="43" s="1"/>
  <c r="F38" i="43"/>
  <c r="U29" i="31"/>
  <c r="U27" i="31"/>
  <c r="G33" i="31"/>
  <c r="AQ29" i="31"/>
  <c r="AS29" i="31"/>
  <c r="G29" i="31"/>
  <c r="AR29" i="31"/>
  <c r="AQ27" i="31"/>
  <c r="AS27" i="31"/>
  <c r="G27" i="31"/>
  <c r="AR27" i="31"/>
  <c r="AR33" i="31"/>
  <c r="AQ33" i="31"/>
  <c r="AS33" i="31"/>
  <c r="Q11" i="31"/>
  <c r="Q12" i="31"/>
  <c r="Q15" i="31"/>
  <c r="Q16" i="31"/>
  <c r="Q18" i="31"/>
  <c r="Q20" i="31"/>
  <c r="Q22" i="31"/>
  <c r="Q24" i="31"/>
  <c r="Q25" i="31"/>
  <c r="Q28" i="31"/>
  <c r="Q30" i="31"/>
  <c r="Q36" i="31"/>
  <c r="Q8" i="31"/>
  <c r="U33" i="31" l="1"/>
  <c r="C33" i="31" s="1"/>
  <c r="C27" i="31"/>
  <c r="C29" i="31"/>
  <c r="K12" i="31"/>
  <c r="K36" i="31" l="1"/>
  <c r="K31" i="31"/>
  <c r="K24" i="31"/>
  <c r="K20" i="31"/>
  <c r="K16" i="31"/>
  <c r="K9" i="31"/>
  <c r="K30" i="31"/>
  <c r="K26" i="31"/>
  <c r="K22" i="31"/>
  <c r="K11" i="31"/>
  <c r="K15" i="31"/>
  <c r="K8" i="31"/>
  <c r="K6" i="31"/>
  <c r="K28" i="31"/>
  <c r="K25" i="31"/>
  <c r="K32" i="31"/>
  <c r="K21" i="31"/>
  <c r="K17" i="31"/>
  <c r="K14" i="31"/>
  <c r="K10" i="31"/>
  <c r="K13" i="31"/>
  <c r="K35" i="31"/>
  <c r="K23" i="31"/>
  <c r="K19" i="31"/>
  <c r="O11" i="31"/>
  <c r="O22" i="31"/>
  <c r="O26" i="31"/>
  <c r="O30" i="31"/>
  <c r="H6" i="31"/>
  <c r="O10" i="31"/>
  <c r="M14" i="31"/>
  <c r="M17" i="31"/>
  <c r="O31" i="31"/>
  <c r="O32" i="31"/>
  <c r="BL38" i="31"/>
  <c r="BK38" i="31"/>
  <c r="BC38" i="31"/>
  <c r="BA38" i="31"/>
  <c r="AV38" i="31"/>
  <c r="AU38" i="31"/>
  <c r="AT38" i="31"/>
  <c r="AP38" i="31"/>
  <c r="AO38" i="31"/>
  <c r="AN38" i="31"/>
  <c r="AM38" i="31"/>
  <c r="AL38" i="31"/>
  <c r="AK38" i="31"/>
  <c r="AJ38" i="31"/>
  <c r="AI38" i="31"/>
  <c r="AG38" i="31"/>
  <c r="AF38" i="31"/>
  <c r="AE38" i="31"/>
  <c r="AD38" i="31"/>
  <c r="AC38" i="31"/>
  <c r="AA38" i="31"/>
  <c r="Z38" i="31"/>
  <c r="Y38" i="31"/>
  <c r="X38" i="31"/>
  <c r="W38" i="31"/>
  <c r="V38" i="31"/>
  <c r="S38" i="31"/>
  <c r="R38" i="31"/>
  <c r="P38" i="31"/>
  <c r="N38" i="31"/>
  <c r="L38" i="31"/>
  <c r="J38" i="31"/>
  <c r="BF36" i="31"/>
  <c r="BF35" i="31"/>
  <c r="BF32" i="31"/>
  <c r="BF31" i="31"/>
  <c r="M31" i="31"/>
  <c r="BF30" i="31"/>
  <c r="BF28" i="31"/>
  <c r="H28" i="31"/>
  <c r="BI38" i="31"/>
  <c r="BF26" i="31"/>
  <c r="BF25" i="31"/>
  <c r="BF24" i="31"/>
  <c r="H24" i="31"/>
  <c r="BF23" i="31"/>
  <c r="BF22" i="31"/>
  <c r="BF21" i="31"/>
  <c r="BF20" i="31"/>
  <c r="BF19" i="31"/>
  <c r="O19" i="31"/>
  <c r="BF18" i="31"/>
  <c r="BF17" i="31"/>
  <c r="BF16" i="31"/>
  <c r="BF15" i="31"/>
  <c r="BF14" i="31"/>
  <c r="BF13" i="31"/>
  <c r="BB38" i="31"/>
  <c r="BF12" i="31"/>
  <c r="BF11" i="31"/>
  <c r="BF10" i="31"/>
  <c r="BF9" i="31"/>
  <c r="BF8" i="31"/>
  <c r="BM38" i="31"/>
  <c r="BF6" i="31"/>
  <c r="BF10" i="43" l="1"/>
  <c r="AZ10" i="31"/>
  <c r="BF20" i="43"/>
  <c r="AZ20" i="31"/>
  <c r="BF28" i="43"/>
  <c r="AZ28" i="31"/>
  <c r="BF36" i="43"/>
  <c r="AZ36" i="31"/>
  <c r="BF9" i="43"/>
  <c r="AZ9" i="31"/>
  <c r="BF14" i="43"/>
  <c r="AZ14" i="31"/>
  <c r="BF18" i="43"/>
  <c r="AZ18" i="31"/>
  <c r="BF19" i="43"/>
  <c r="AZ19" i="31"/>
  <c r="BF23" i="43"/>
  <c r="AZ23" i="31"/>
  <c r="BF24" i="43"/>
  <c r="AZ24" i="31"/>
  <c r="BF35" i="43"/>
  <c r="AZ35" i="31"/>
  <c r="BF8" i="43"/>
  <c r="AZ8" i="31"/>
  <c r="BF12" i="43"/>
  <c r="AZ12" i="31"/>
  <c r="BF13" i="43"/>
  <c r="AZ13" i="31"/>
  <c r="BF17" i="43"/>
  <c r="AZ17" i="31"/>
  <c r="BF22" i="43"/>
  <c r="AZ22" i="31"/>
  <c r="BF32" i="43"/>
  <c r="AZ32" i="31"/>
  <c r="BF15" i="43"/>
  <c r="AZ15" i="31"/>
  <c r="BF25" i="43"/>
  <c r="AZ25" i="31"/>
  <c r="BF11" i="43"/>
  <c r="AZ11" i="31"/>
  <c r="BF16" i="43"/>
  <c r="AZ16" i="31"/>
  <c r="BF21" i="43"/>
  <c r="AZ21" i="31"/>
  <c r="BD21" i="31" s="1"/>
  <c r="BF26" i="43"/>
  <c r="AZ26" i="31"/>
  <c r="BF30" i="43"/>
  <c r="AZ30" i="31"/>
  <c r="BF31" i="43"/>
  <c r="AZ31" i="31"/>
  <c r="BF6" i="43"/>
  <c r="AZ6" i="31"/>
  <c r="BJ7" i="31"/>
  <c r="BD7" i="43" s="1"/>
  <c r="G6" i="31"/>
  <c r="BH38" i="31"/>
  <c r="G24" i="31"/>
  <c r="G28" i="31"/>
  <c r="AS24" i="31"/>
  <c r="AS28" i="31"/>
  <c r="H36" i="31"/>
  <c r="M20" i="31"/>
  <c r="H16" i="31"/>
  <c r="M13" i="31"/>
  <c r="H9" i="31"/>
  <c r="O12" i="31"/>
  <c r="H8" i="31"/>
  <c r="AX38" i="31"/>
  <c r="M12" i="31"/>
  <c r="M22" i="31"/>
  <c r="H35" i="31"/>
  <c r="M19" i="31"/>
  <c r="M15" i="31"/>
  <c r="H12" i="31"/>
  <c r="O8" i="31"/>
  <c r="M8" i="31"/>
  <c r="M26" i="31"/>
  <c r="H17" i="31"/>
  <c r="H32" i="31"/>
  <c r="M32" i="31"/>
  <c r="O13" i="31"/>
  <c r="O21" i="31"/>
  <c r="M21" i="31"/>
  <c r="O23" i="31"/>
  <c r="M23" i="31"/>
  <c r="H23" i="31"/>
  <c r="BF38" i="31"/>
  <c r="M9" i="31"/>
  <c r="O9" i="31"/>
  <c r="M10" i="31"/>
  <c r="H10" i="31"/>
  <c r="O16" i="31"/>
  <c r="M16" i="31"/>
  <c r="H21" i="31"/>
  <c r="M6" i="31"/>
  <c r="O6" i="31"/>
  <c r="E38" i="31"/>
  <c r="F45" i="31" s="1"/>
  <c r="AY38" i="31"/>
  <c r="Q38" i="31"/>
  <c r="H11" i="31"/>
  <c r="H20" i="31"/>
  <c r="M25" i="31"/>
  <c r="AW38" i="31"/>
  <c r="M11" i="31"/>
  <c r="H13" i="31"/>
  <c r="O14" i="31"/>
  <c r="O15" i="31"/>
  <c r="H19" i="31"/>
  <c r="O20" i="31"/>
  <c r="O36" i="31"/>
  <c r="M36" i="31"/>
  <c r="H14" i="31"/>
  <c r="H15" i="31"/>
  <c r="O24" i="31"/>
  <c r="M24" i="31"/>
  <c r="H25" i="31"/>
  <c r="F38" i="31"/>
  <c r="O17" i="31"/>
  <c r="H22" i="31"/>
  <c r="O25" i="31"/>
  <c r="O28" i="31"/>
  <c r="M28" i="31"/>
  <c r="M30" i="31"/>
  <c r="H30" i="31"/>
  <c r="O35" i="31"/>
  <c r="M35" i="31"/>
  <c r="H26" i="31"/>
  <c r="H31" i="31"/>
  <c r="BD6" i="31" l="1"/>
  <c r="AZ30" i="43"/>
  <c r="BD30" i="31"/>
  <c r="BD30" i="43" s="1"/>
  <c r="AZ21" i="43"/>
  <c r="BD21" i="43"/>
  <c r="AZ11" i="43"/>
  <c r="BD11" i="31"/>
  <c r="BD11" i="43" s="1"/>
  <c r="AZ15" i="43"/>
  <c r="BD15" i="31"/>
  <c r="BD15" i="43" s="1"/>
  <c r="AZ22" i="43"/>
  <c r="BD22" i="31"/>
  <c r="BD22" i="43" s="1"/>
  <c r="AZ13" i="43"/>
  <c r="BD13" i="31"/>
  <c r="BD13" i="43" s="1"/>
  <c r="AZ8" i="43"/>
  <c r="BD8" i="31"/>
  <c r="BD8" i="43" s="1"/>
  <c r="AZ24" i="43"/>
  <c r="BD24" i="31"/>
  <c r="BD24" i="43" s="1"/>
  <c r="AZ19" i="43"/>
  <c r="BD19" i="31"/>
  <c r="BD19" i="43" s="1"/>
  <c r="AZ14" i="43"/>
  <c r="BD14" i="31"/>
  <c r="BD14" i="43" s="1"/>
  <c r="AZ36" i="43"/>
  <c r="BD36" i="31"/>
  <c r="BD36" i="43" s="1"/>
  <c r="AZ20" i="43"/>
  <c r="BD20" i="31"/>
  <c r="AZ31" i="43"/>
  <c r="BD31" i="31"/>
  <c r="BD31" i="43" s="1"/>
  <c r="AZ26" i="43"/>
  <c r="BD26" i="31"/>
  <c r="BD26" i="43" s="1"/>
  <c r="AZ16" i="43"/>
  <c r="BD16" i="31"/>
  <c r="BD16" i="43" s="1"/>
  <c r="AZ25" i="43"/>
  <c r="BD25" i="31"/>
  <c r="BD25" i="43" s="1"/>
  <c r="AZ32" i="43"/>
  <c r="BD32" i="31"/>
  <c r="BD32" i="43" s="1"/>
  <c r="AZ17" i="43"/>
  <c r="BD17" i="31"/>
  <c r="BD17" i="43" s="1"/>
  <c r="AZ12" i="43"/>
  <c r="BD12" i="31"/>
  <c r="BD12" i="43" s="1"/>
  <c r="AZ35" i="43"/>
  <c r="BD35" i="31"/>
  <c r="BD35" i="43" s="1"/>
  <c r="AZ23" i="43"/>
  <c r="BD23" i="31"/>
  <c r="BD23" i="43" s="1"/>
  <c r="AZ18" i="43"/>
  <c r="BD18" i="31"/>
  <c r="BD18" i="43" s="1"/>
  <c r="AZ9" i="43"/>
  <c r="BD9" i="31"/>
  <c r="BD9" i="43" s="1"/>
  <c r="AZ28" i="43"/>
  <c r="BD28" i="31"/>
  <c r="BD28" i="43" s="1"/>
  <c r="AZ10" i="43"/>
  <c r="BD10" i="31"/>
  <c r="BD10" i="43" s="1"/>
  <c r="BF38" i="43"/>
  <c r="U28" i="31"/>
  <c r="C28" i="31" s="1"/>
  <c r="BJ38" i="31"/>
  <c r="AS14" i="31"/>
  <c r="G14" i="31"/>
  <c r="AS13" i="31"/>
  <c r="G13" i="31"/>
  <c r="AS17" i="31"/>
  <c r="G17" i="31"/>
  <c r="AS16" i="31"/>
  <c r="G16" i="31"/>
  <c r="AS15" i="31"/>
  <c r="G15" i="31"/>
  <c r="AS21" i="31"/>
  <c r="G21" i="31"/>
  <c r="AS23" i="31"/>
  <c r="G23" i="31"/>
  <c r="AS32" i="31"/>
  <c r="G32" i="31"/>
  <c r="AS35" i="31"/>
  <c r="G35" i="31"/>
  <c r="AS8" i="31"/>
  <c r="G8" i="31"/>
  <c r="AS31" i="31"/>
  <c r="G31" i="31"/>
  <c r="AS10" i="31"/>
  <c r="G10" i="31"/>
  <c r="AS22" i="31"/>
  <c r="G22" i="31"/>
  <c r="AS25" i="31"/>
  <c r="G25" i="31"/>
  <c r="AS11" i="31"/>
  <c r="G11" i="31"/>
  <c r="AS12" i="31"/>
  <c r="G12" i="31"/>
  <c r="AS26" i="31"/>
  <c r="G26" i="31"/>
  <c r="AS30" i="31"/>
  <c r="G30" i="31"/>
  <c r="AS19" i="31"/>
  <c r="G19" i="31"/>
  <c r="AS20" i="31"/>
  <c r="G20" i="31"/>
  <c r="AS9" i="31"/>
  <c r="G9" i="31"/>
  <c r="AS36" i="31"/>
  <c r="G36" i="31"/>
  <c r="U6" i="31"/>
  <c r="U24" i="31"/>
  <c r="C24" i="31" s="1"/>
  <c r="AQ8" i="31"/>
  <c r="AR36" i="31"/>
  <c r="AQ35" i="31"/>
  <c r="AR28" i="31"/>
  <c r="AR12" i="31"/>
  <c r="AQ16" i="31"/>
  <c r="AQ36" i="31"/>
  <c r="AR24" i="31"/>
  <c r="AR35" i="31"/>
  <c r="AQ28" i="31"/>
  <c r="AR8" i="31"/>
  <c r="AQ17" i="31"/>
  <c r="AR16" i="31"/>
  <c r="AR6" i="31"/>
  <c r="AR17" i="31"/>
  <c r="AQ12" i="31"/>
  <c r="AR9" i="31"/>
  <c r="AQ24" i="31"/>
  <c r="AQ9" i="31"/>
  <c r="AR32" i="31"/>
  <c r="AQ32" i="31"/>
  <c r="AQ6" i="31"/>
  <c r="AQ22" i="31"/>
  <c r="AR22" i="31"/>
  <c r="AQ25" i="31"/>
  <c r="AR25" i="31"/>
  <c r="AQ15" i="31"/>
  <c r="AR15" i="31"/>
  <c r="AZ38" i="31"/>
  <c r="C45" i="31" s="1"/>
  <c r="AR26" i="31"/>
  <c r="AQ26" i="31"/>
  <c r="AR14" i="31"/>
  <c r="AQ14" i="31"/>
  <c r="AR19" i="31"/>
  <c r="AQ19" i="31"/>
  <c r="AQ10" i="31"/>
  <c r="AR10" i="31"/>
  <c r="AR23" i="31"/>
  <c r="AQ23" i="31"/>
  <c r="AQ21" i="31"/>
  <c r="AR21" i="31"/>
  <c r="AR31" i="31"/>
  <c r="AQ31" i="31"/>
  <c r="AQ30" i="31"/>
  <c r="AR30" i="31"/>
  <c r="AQ13" i="31"/>
  <c r="AR13" i="31"/>
  <c r="AQ20" i="31"/>
  <c r="AR20" i="31"/>
  <c r="AQ11" i="31"/>
  <c r="AR11" i="31"/>
  <c r="BD20" i="43" l="1"/>
  <c r="BE21" i="31"/>
  <c r="U36" i="31"/>
  <c r="C36" i="31" s="1"/>
  <c r="U30" i="31"/>
  <c r="C30" i="31" s="1"/>
  <c r="U32" i="31"/>
  <c r="C32" i="31" s="1"/>
  <c r="U26" i="31"/>
  <c r="C26" i="31" s="1"/>
  <c r="U31" i="31"/>
  <c r="C31" i="31" s="1"/>
  <c r="U35" i="31"/>
  <c r="C35" i="31" s="1"/>
  <c r="U21" i="31"/>
  <c r="C21" i="31" s="1"/>
  <c r="U16" i="31"/>
  <c r="C16" i="31" s="1"/>
  <c r="U12" i="31"/>
  <c r="C12" i="31" s="1"/>
  <c r="U22" i="31"/>
  <c r="C22" i="31" s="1"/>
  <c r="U13" i="31"/>
  <c r="C13" i="31" s="1"/>
  <c r="U9" i="31"/>
  <c r="C9" i="31" s="1"/>
  <c r="U14" i="31"/>
  <c r="C14" i="31" s="1"/>
  <c r="U19" i="31"/>
  <c r="C19" i="31" s="1"/>
  <c r="U15" i="31"/>
  <c r="C15" i="31" s="1"/>
  <c r="U8" i="31"/>
  <c r="C8" i="31" s="1"/>
  <c r="U25" i="31"/>
  <c r="C25" i="31" s="1"/>
  <c r="U11" i="31"/>
  <c r="C11" i="31" s="1"/>
  <c r="U23" i="31"/>
  <c r="C23" i="31" s="1"/>
  <c r="U10" i="31"/>
  <c r="C10" i="31" s="1"/>
  <c r="U17" i="31"/>
  <c r="C17" i="31" s="1"/>
  <c r="U20" i="31"/>
  <c r="C20" i="31" s="1"/>
  <c r="AZ83" i="31"/>
  <c r="BD38" i="31"/>
  <c r="C6" i="31"/>
  <c r="BE21" i="43" l="1"/>
  <c r="BE38" i="31"/>
  <c r="BE41" i="31" s="1"/>
  <c r="C39" i="14"/>
  <c r="T39" i="14" l="1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7" i="14"/>
  <c r="S39" i="14" l="1"/>
  <c r="Q39" i="14"/>
  <c r="O39" i="14"/>
  <c r="M39" i="14"/>
  <c r="L39" i="14"/>
  <c r="J39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G39" i="14"/>
  <c r="B8" i="14"/>
  <c r="B7" i="14"/>
  <c r="P39" i="14" l="1"/>
  <c r="F39" i="14"/>
  <c r="K39" i="14"/>
  <c r="N39" i="14"/>
  <c r="E39" i="14"/>
  <c r="R39" i="14"/>
  <c r="H39" i="14" l="1"/>
  <c r="D39" i="14" l="1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7" i="13" l="1"/>
  <c r="E8" i="13"/>
  <c r="E9" i="13"/>
  <c r="D6" i="13" l="1"/>
  <c r="C6" i="13" l="1"/>
  <c r="E6" i="13" s="1"/>
  <c r="D8" i="32" l="1"/>
  <c r="D24" i="32"/>
  <c r="D10" i="32"/>
  <c r="D11" i="32"/>
  <c r="K11" i="32" l="1"/>
  <c r="H11" i="32"/>
  <c r="O11" i="32"/>
  <c r="M11" i="32"/>
  <c r="O10" i="32"/>
  <c r="K10" i="32"/>
  <c r="H10" i="32"/>
  <c r="M10" i="32"/>
  <c r="O24" i="32"/>
  <c r="K24" i="32"/>
  <c r="H24" i="32"/>
  <c r="M24" i="32"/>
  <c r="M8" i="32"/>
  <c r="H8" i="32"/>
  <c r="O8" i="32"/>
  <c r="K8" i="32"/>
  <c r="E26" i="32"/>
  <c r="E26" i="43" s="1"/>
  <c r="E18" i="32"/>
  <c r="E18" i="43" s="1"/>
  <c r="D25" i="32"/>
  <c r="E38" i="43" l="1"/>
  <c r="F43" i="43" s="1"/>
  <c r="E38" i="32"/>
  <c r="F43" i="32" s="1"/>
  <c r="M26" i="32"/>
  <c r="H26" i="32"/>
  <c r="O26" i="32"/>
  <c r="K26" i="32"/>
  <c r="AR24" i="32"/>
  <c r="AS24" i="32"/>
  <c r="G24" i="32"/>
  <c r="AQ24" i="32"/>
  <c r="AQ10" i="32"/>
  <c r="G10" i="32"/>
  <c r="AR10" i="32"/>
  <c r="AS10" i="32"/>
  <c r="G8" i="32"/>
  <c r="AS8" i="32"/>
  <c r="AQ8" i="32"/>
  <c r="AR8" i="32"/>
  <c r="AS11" i="32"/>
  <c r="AQ11" i="32"/>
  <c r="G11" i="32"/>
  <c r="AR11" i="32"/>
  <c r="M25" i="32"/>
  <c r="K25" i="32"/>
  <c r="H25" i="32"/>
  <c r="O25" i="32"/>
  <c r="D38" i="32"/>
  <c r="O38" i="32" l="1"/>
  <c r="K38" i="32"/>
  <c r="M38" i="32"/>
  <c r="AR25" i="32"/>
  <c r="AS25" i="32"/>
  <c r="G25" i="32"/>
  <c r="AQ25" i="32"/>
  <c r="H38" i="32"/>
  <c r="D43" i="32" s="1"/>
  <c r="AS26" i="32"/>
  <c r="AQ26" i="32"/>
  <c r="G26" i="32"/>
  <c r="AR26" i="32"/>
  <c r="AQ38" i="32" l="1"/>
  <c r="AS38" i="32"/>
  <c r="AR38" i="32"/>
  <c r="G38" i="32"/>
  <c r="D18" i="31" l="1"/>
  <c r="H18" i="31" l="1"/>
  <c r="K18" i="31"/>
  <c r="D38" i="31"/>
  <c r="O18" i="31"/>
  <c r="M18" i="31"/>
  <c r="K38" i="31" l="1"/>
  <c r="O38" i="31"/>
  <c r="M38" i="31"/>
  <c r="G18" i="31"/>
  <c r="AS18" i="31"/>
  <c r="AR18" i="31"/>
  <c r="AQ18" i="31"/>
  <c r="H38" i="31"/>
  <c r="D45" i="31" s="1"/>
  <c r="AS38" i="31" l="1"/>
  <c r="AQ38" i="31"/>
  <c r="AR38" i="31"/>
  <c r="U18" i="31"/>
  <c r="G38" i="31"/>
  <c r="C18" i="31" l="1"/>
  <c r="U38" i="31"/>
  <c r="C38" i="31" l="1"/>
  <c r="BP41" i="33" l="1"/>
  <c r="BI6" i="43"/>
  <c r="BI38" i="43" s="1"/>
  <c r="BI6" i="33"/>
  <c r="BI38" i="33" s="1"/>
  <c r="AZ6" i="33" l="1"/>
  <c r="BD6" i="33" s="1"/>
  <c r="AZ6" i="43" l="1"/>
  <c r="AZ38" i="43" s="1"/>
  <c r="AZ38" i="33"/>
  <c r="AZ81" i="43" l="1"/>
  <c r="C43" i="43"/>
  <c r="C43" i="33"/>
  <c r="AZ81" i="33"/>
  <c r="BD38" i="33"/>
  <c r="BD6" i="43"/>
  <c r="BD38" i="43" s="1"/>
  <c r="K10" i="36" l="1"/>
  <c r="H10" i="36"/>
  <c r="M10" i="36"/>
  <c r="O10" i="36"/>
  <c r="D20" i="36"/>
  <c r="D34" i="36"/>
  <c r="D24" i="36"/>
  <c r="D31" i="36"/>
  <c r="D25" i="36"/>
  <c r="D26" i="35"/>
  <c r="D34" i="35"/>
  <c r="D36" i="35"/>
  <c r="D20" i="35"/>
  <c r="D32" i="35"/>
  <c r="D11" i="35"/>
  <c r="K9" i="35" l="1"/>
  <c r="O9" i="35"/>
  <c r="H9" i="35"/>
  <c r="M9" i="35"/>
  <c r="O32" i="35"/>
  <c r="K32" i="35"/>
  <c r="M32" i="35"/>
  <c r="H32" i="35"/>
  <c r="O26" i="35"/>
  <c r="K26" i="35"/>
  <c r="M26" i="35"/>
  <c r="H26" i="35"/>
  <c r="O18" i="36"/>
  <c r="M18" i="36"/>
  <c r="H18" i="36"/>
  <c r="K18" i="36"/>
  <c r="K20" i="35"/>
  <c r="M20" i="35"/>
  <c r="O20" i="35"/>
  <c r="H20" i="35"/>
  <c r="H36" i="36"/>
  <c r="M36" i="36"/>
  <c r="K36" i="36"/>
  <c r="O36" i="36"/>
  <c r="M31" i="36"/>
  <c r="K31" i="36"/>
  <c r="O31" i="36"/>
  <c r="H31" i="36"/>
  <c r="M20" i="36"/>
  <c r="H20" i="36"/>
  <c r="O20" i="36"/>
  <c r="K20" i="36"/>
  <c r="M36" i="35"/>
  <c r="H36" i="35"/>
  <c r="K36" i="35"/>
  <c r="O36" i="35"/>
  <c r="M24" i="36"/>
  <c r="H24" i="36"/>
  <c r="O24" i="36"/>
  <c r="K24" i="36"/>
  <c r="AS10" i="36"/>
  <c r="G10" i="36"/>
  <c r="AR10" i="36"/>
  <c r="AQ10" i="36"/>
  <c r="O11" i="35"/>
  <c r="M11" i="35"/>
  <c r="K11" i="35"/>
  <c r="H11" i="35"/>
  <c r="K34" i="35"/>
  <c r="M34" i="35"/>
  <c r="O34" i="35"/>
  <c r="H34" i="35"/>
  <c r="H25" i="36"/>
  <c r="K25" i="36"/>
  <c r="M25" i="36"/>
  <c r="O25" i="36"/>
  <c r="O34" i="36"/>
  <c r="K34" i="36"/>
  <c r="H34" i="36"/>
  <c r="M34" i="36"/>
  <c r="D17" i="40"/>
  <c r="D19" i="40"/>
  <c r="D26" i="40"/>
  <c r="D24" i="40"/>
  <c r="D20" i="40"/>
  <c r="H26" i="40" l="1"/>
  <c r="O26" i="40"/>
  <c r="M26" i="40"/>
  <c r="K26" i="40"/>
  <c r="AS34" i="36"/>
  <c r="AQ34" i="36"/>
  <c r="G34" i="36"/>
  <c r="AR34" i="36"/>
  <c r="AQ31" i="36"/>
  <c r="G31" i="36"/>
  <c r="AR31" i="36"/>
  <c r="AS31" i="36"/>
  <c r="AS20" i="35"/>
  <c r="G20" i="35"/>
  <c r="AQ20" i="35"/>
  <c r="AR20" i="35"/>
  <c r="AS26" i="35"/>
  <c r="AR26" i="35"/>
  <c r="AQ26" i="35"/>
  <c r="G26" i="35"/>
  <c r="AS32" i="35"/>
  <c r="G32" i="35"/>
  <c r="AR32" i="35"/>
  <c r="AQ32" i="35"/>
  <c r="O19" i="40"/>
  <c r="K19" i="40"/>
  <c r="H19" i="40"/>
  <c r="M19" i="40"/>
  <c r="AS18" i="36"/>
  <c r="AR18" i="36"/>
  <c r="G18" i="36"/>
  <c r="AQ18" i="36"/>
  <c r="G9" i="35"/>
  <c r="AR9" i="35"/>
  <c r="AS9" i="35"/>
  <c r="AQ9" i="35"/>
  <c r="M20" i="40"/>
  <c r="K20" i="40"/>
  <c r="H20" i="40"/>
  <c r="O20" i="40"/>
  <c r="AQ25" i="36"/>
  <c r="AS25" i="36"/>
  <c r="G25" i="36"/>
  <c r="AR25" i="36"/>
  <c r="AS24" i="36"/>
  <c r="AR24" i="36"/>
  <c r="G24" i="36"/>
  <c r="AQ24" i="36"/>
  <c r="G36" i="35"/>
  <c r="AR36" i="35"/>
  <c r="AQ36" i="35"/>
  <c r="AS36" i="35"/>
  <c r="AS20" i="36"/>
  <c r="G20" i="36"/>
  <c r="AQ20" i="36"/>
  <c r="AR20" i="36"/>
  <c r="K24" i="40"/>
  <c r="M24" i="40"/>
  <c r="H24" i="40"/>
  <c r="O24" i="40"/>
  <c r="M17" i="40"/>
  <c r="H17" i="40"/>
  <c r="O17" i="40"/>
  <c r="K17" i="40"/>
  <c r="AR34" i="35"/>
  <c r="G34" i="35"/>
  <c r="AS34" i="35"/>
  <c r="AQ34" i="35"/>
  <c r="G11" i="35"/>
  <c r="AQ11" i="35"/>
  <c r="AS11" i="35"/>
  <c r="AR11" i="35"/>
  <c r="AR36" i="36"/>
  <c r="AS36" i="36"/>
  <c r="G36" i="36"/>
  <c r="AQ36" i="36"/>
  <c r="AS19" i="40" l="1"/>
  <c r="G19" i="40"/>
  <c r="AR19" i="40"/>
  <c r="AQ19" i="40"/>
  <c r="G20" i="40"/>
  <c r="AQ20" i="40"/>
  <c r="AS20" i="40"/>
  <c r="AR20" i="40"/>
  <c r="G24" i="40"/>
  <c r="AS24" i="40"/>
  <c r="AR24" i="40"/>
  <c r="AQ24" i="40"/>
  <c r="G17" i="40"/>
  <c r="AQ17" i="40"/>
  <c r="AS17" i="40"/>
  <c r="AR17" i="40"/>
  <c r="G26" i="40"/>
  <c r="AR26" i="40"/>
  <c r="AS26" i="40"/>
  <c r="AQ26" i="40"/>
  <c r="D24" i="39"/>
  <c r="O24" i="39" l="1"/>
  <c r="H24" i="39"/>
  <c r="K24" i="39"/>
  <c r="M24" i="39"/>
  <c r="AS24" i="39" l="1"/>
  <c r="AQ24" i="39"/>
  <c r="AR24" i="39"/>
  <c r="G24" i="39"/>
  <c r="D16" i="36"/>
  <c r="D12" i="36"/>
  <c r="D25" i="35"/>
  <c r="D32" i="40"/>
  <c r="D25" i="40"/>
  <c r="D23" i="40"/>
  <c r="D9" i="39"/>
  <c r="D25" i="39"/>
  <c r="M12" i="36" l="1"/>
  <c r="O12" i="36"/>
  <c r="K12" i="36"/>
  <c r="H12" i="36"/>
  <c r="O16" i="36"/>
  <c r="K16" i="36"/>
  <c r="H16" i="36"/>
  <c r="M16" i="36"/>
  <c r="H25" i="39"/>
  <c r="K25" i="39"/>
  <c r="M25" i="39"/>
  <c r="O25" i="39"/>
  <c r="K20" i="39"/>
  <c r="H20" i="39"/>
  <c r="O20" i="39"/>
  <c r="M20" i="39"/>
  <c r="M32" i="40"/>
  <c r="K32" i="40"/>
  <c r="O32" i="40"/>
  <c r="H32" i="40"/>
  <c r="K10" i="35"/>
  <c r="H10" i="35"/>
  <c r="M10" i="35"/>
  <c r="O10" i="35"/>
  <c r="H25" i="35"/>
  <c r="O25" i="35"/>
  <c r="M25" i="35"/>
  <c r="K25" i="35"/>
  <c r="K9" i="38"/>
  <c r="M9" i="38"/>
  <c r="H9" i="38"/>
  <c r="O9" i="38"/>
  <c r="M23" i="40"/>
  <c r="H23" i="40"/>
  <c r="O23" i="40"/>
  <c r="K23" i="40"/>
  <c r="H9" i="39"/>
  <c r="K9" i="39"/>
  <c r="M9" i="39"/>
  <c r="O9" i="39"/>
  <c r="H25" i="40"/>
  <c r="M25" i="40"/>
  <c r="O25" i="40"/>
  <c r="K25" i="40"/>
  <c r="G25" i="40" l="1"/>
  <c r="AQ25" i="40"/>
  <c r="AR25" i="40"/>
  <c r="AS25" i="40"/>
  <c r="AR9" i="39"/>
  <c r="AS9" i="39"/>
  <c r="AQ9" i="39"/>
  <c r="G9" i="39"/>
  <c r="AQ9" i="38"/>
  <c r="G9" i="38"/>
  <c r="AR9" i="38"/>
  <c r="AS9" i="38"/>
  <c r="AS25" i="35"/>
  <c r="G25" i="35"/>
  <c r="AQ25" i="35"/>
  <c r="AR25" i="35"/>
  <c r="AQ20" i="39"/>
  <c r="AS20" i="39"/>
  <c r="G20" i="39"/>
  <c r="AR20" i="39"/>
  <c r="AS12" i="36"/>
  <c r="AQ12" i="36"/>
  <c r="AR12" i="36"/>
  <c r="G12" i="36"/>
  <c r="AS32" i="40"/>
  <c r="G32" i="40"/>
  <c r="AR32" i="40"/>
  <c r="AQ32" i="40"/>
  <c r="AQ16" i="36"/>
  <c r="AR16" i="36"/>
  <c r="AS16" i="36"/>
  <c r="G16" i="36"/>
  <c r="AR23" i="40"/>
  <c r="G23" i="40"/>
  <c r="AQ23" i="40"/>
  <c r="AS23" i="40"/>
  <c r="AS10" i="35"/>
  <c r="AR10" i="35"/>
  <c r="AQ10" i="35"/>
  <c r="G10" i="35"/>
  <c r="AR25" i="39"/>
  <c r="AQ25" i="39"/>
  <c r="AS25" i="39"/>
  <c r="G25" i="39"/>
  <c r="D36" i="41" l="1"/>
  <c r="D31" i="41"/>
  <c r="D25" i="41"/>
  <c r="D18" i="41"/>
  <c r="D9" i="41"/>
  <c r="M25" i="41" l="1"/>
  <c r="H25" i="41"/>
  <c r="K25" i="41"/>
  <c r="O25" i="41"/>
  <c r="K18" i="41"/>
  <c r="M18" i="41"/>
  <c r="H18" i="41"/>
  <c r="O18" i="41"/>
  <c r="K9" i="41"/>
  <c r="H9" i="41"/>
  <c r="M9" i="41"/>
  <c r="O9" i="41"/>
  <c r="M31" i="41"/>
  <c r="K31" i="41"/>
  <c r="O31" i="41"/>
  <c r="H31" i="41"/>
  <c r="H33" i="41"/>
  <c r="M33" i="41"/>
  <c r="K33" i="41"/>
  <c r="O33" i="41"/>
  <c r="K36" i="41"/>
  <c r="M36" i="41"/>
  <c r="O36" i="41"/>
  <c r="H36" i="41"/>
  <c r="G33" i="41" l="1"/>
  <c r="AR33" i="41"/>
  <c r="AQ33" i="41"/>
  <c r="AS33" i="41"/>
  <c r="AR9" i="41"/>
  <c r="G9" i="41"/>
  <c r="AQ9" i="41"/>
  <c r="AS9" i="41"/>
  <c r="AQ18" i="41"/>
  <c r="G18" i="41"/>
  <c r="AR18" i="41"/>
  <c r="AS18" i="41"/>
  <c r="AS31" i="41"/>
  <c r="AQ31" i="41"/>
  <c r="G31" i="41"/>
  <c r="AR31" i="41"/>
  <c r="G36" i="41"/>
  <c r="AR36" i="41"/>
  <c r="AS36" i="41"/>
  <c r="AQ36" i="41"/>
  <c r="AS25" i="41"/>
  <c r="G25" i="41"/>
  <c r="AQ25" i="41"/>
  <c r="AR25" i="41"/>
  <c r="R6" i="42" l="1"/>
  <c r="R12" i="42"/>
  <c r="R9" i="35"/>
  <c r="R16" i="35"/>
  <c r="R18" i="36"/>
  <c r="R23" i="36"/>
  <c r="R36" i="36"/>
  <c r="R20" i="41"/>
  <c r="R6" i="35"/>
  <c r="R23" i="35"/>
  <c r="R24" i="36"/>
  <c r="R16" i="41"/>
  <c r="R23" i="41"/>
  <c r="R25" i="41"/>
  <c r="R18" i="35"/>
  <c r="R17" i="36"/>
  <c r="R31" i="36"/>
  <c r="R9" i="41"/>
  <c r="R18" i="41"/>
  <c r="R20" i="42"/>
  <c r="R31" i="42"/>
  <c r="R17" i="35"/>
  <c r="R6" i="36"/>
  <c r="R9" i="36"/>
  <c r="R16" i="36"/>
  <c r="R24" i="41"/>
  <c r="R23" i="42"/>
  <c r="R24" i="35"/>
  <c r="R25" i="35"/>
  <c r="R25" i="36"/>
  <c r="R12" i="41"/>
  <c r="R31" i="41"/>
  <c r="R36" i="41"/>
  <c r="R36" i="35"/>
  <c r="R12" i="35"/>
  <c r="R20" i="35"/>
  <c r="R31" i="35"/>
  <c r="R12" i="36"/>
  <c r="R20" i="36"/>
  <c r="R6" i="41"/>
  <c r="R17" i="41"/>
  <c r="R9" i="42"/>
  <c r="R18" i="42"/>
  <c r="R25" i="42"/>
  <c r="R24" i="42"/>
  <c r="R23" i="37"/>
  <c r="R17" i="42"/>
  <c r="R16" i="42"/>
  <c r="R36" i="42"/>
  <c r="R18" i="40"/>
  <c r="R20" i="40"/>
  <c r="R20" i="39"/>
  <c r="R25" i="40"/>
  <c r="R6" i="37"/>
  <c r="R36" i="39"/>
  <c r="R36" i="37"/>
  <c r="R16" i="39"/>
  <c r="R36" i="40"/>
  <c r="R23" i="39"/>
  <c r="R12" i="39"/>
  <c r="R31" i="39"/>
  <c r="R16" i="38"/>
  <c r="R17" i="38"/>
  <c r="R20" i="38"/>
  <c r="R24" i="38"/>
  <c r="R31" i="38"/>
  <c r="R36" i="38"/>
  <c r="R6" i="39"/>
  <c r="R9" i="39"/>
  <c r="R17" i="39"/>
  <c r="R18" i="39"/>
  <c r="R24" i="39"/>
  <c r="R25" i="39"/>
  <c r="R9" i="40"/>
  <c r="R17" i="40"/>
  <c r="R24" i="40"/>
  <c r="R17" i="37"/>
  <c r="R18" i="37"/>
  <c r="R24" i="37"/>
  <c r="R9" i="37"/>
  <c r="R6" i="38"/>
  <c r="R12" i="38"/>
  <c r="R23" i="38"/>
  <c r="R6" i="40"/>
  <c r="R12" i="37"/>
  <c r="R20" i="37"/>
  <c r="R31" i="37"/>
  <c r="R25" i="37"/>
  <c r="R31" i="40"/>
  <c r="R12" i="40"/>
  <c r="R9" i="38"/>
  <c r="R18" i="38"/>
  <c r="R25" i="38"/>
  <c r="R16" i="37"/>
  <c r="R16" i="40"/>
  <c r="R23" i="40"/>
  <c r="R38" i="39" l="1"/>
  <c r="R38" i="37"/>
  <c r="R38" i="42"/>
  <c r="R38" i="40"/>
  <c r="R38" i="38"/>
  <c r="R38" i="36"/>
  <c r="R38" i="35"/>
  <c r="R38" i="41"/>
  <c r="R12" i="34" l="1"/>
  <c r="R20" i="34"/>
  <c r="R31" i="34"/>
  <c r="R9" i="34"/>
  <c r="R18" i="34"/>
  <c r="R25" i="34"/>
  <c r="R16" i="34"/>
  <c r="R23" i="34"/>
  <c r="R36" i="34"/>
  <c r="R6" i="34"/>
  <c r="R17" i="34"/>
  <c r="R24" i="34"/>
  <c r="R38" i="34" l="1"/>
  <c r="R16" i="33" l="1"/>
  <c r="R23" i="33"/>
  <c r="R36" i="33"/>
  <c r="R6" i="33"/>
  <c r="R17" i="33"/>
  <c r="R24" i="33"/>
  <c r="R9" i="33"/>
  <c r="R18" i="33"/>
  <c r="R25" i="33"/>
  <c r="R12" i="33"/>
  <c r="R20" i="33"/>
  <c r="R31" i="33"/>
  <c r="R38" i="33" l="1"/>
  <c r="R36" i="32"/>
  <c r="R16" i="32"/>
  <c r="R31" i="32"/>
  <c r="R25" i="32"/>
  <c r="R18" i="32"/>
  <c r="R9" i="32"/>
  <c r="R6" i="32"/>
  <c r="R24" i="32"/>
  <c r="R17" i="32"/>
  <c r="R23" i="32"/>
  <c r="R20" i="32"/>
  <c r="R12" i="32"/>
  <c r="R23" i="43" l="1"/>
  <c r="R20" i="43"/>
  <c r="R17" i="43"/>
  <c r="R38" i="32"/>
  <c r="R6" i="43"/>
  <c r="R18" i="43"/>
  <c r="R31" i="43"/>
  <c r="R36" i="43"/>
  <c r="R24" i="43"/>
  <c r="R9" i="43"/>
  <c r="R25" i="43"/>
  <c r="R16" i="43"/>
  <c r="R12" i="43"/>
  <c r="R38" i="43" l="1"/>
  <c r="Q22" i="35" l="1"/>
  <c r="Q36" i="42"/>
  <c r="Q16" i="37"/>
  <c r="Q30" i="37"/>
  <c r="Q36" i="37"/>
  <c r="Q18" i="36"/>
  <c r="Q20" i="36"/>
  <c r="Q16" i="38"/>
  <c r="Q18" i="38"/>
  <c r="Q20" i="38"/>
  <c r="Q8" i="40"/>
  <c r="Q15" i="41"/>
  <c r="Q30" i="39"/>
  <c r="Q11" i="37"/>
  <c r="Q18" i="41"/>
  <c r="Q20" i="41"/>
  <c r="Q18" i="42"/>
  <c r="Q22" i="42"/>
  <c r="Q24" i="36"/>
  <c r="Q15" i="42"/>
  <c r="Q28" i="42"/>
  <c r="Q30" i="42"/>
  <c r="Q32" i="42"/>
  <c r="Q36" i="40"/>
  <c r="Q16" i="42"/>
  <c r="Q25" i="42"/>
  <c r="Q6" i="38"/>
  <c r="Q8" i="38"/>
  <c r="Q32" i="38"/>
  <c r="Q28" i="35"/>
  <c r="Q20" i="42"/>
  <c r="Q24" i="42"/>
  <c r="Q22" i="38"/>
  <c r="Q24" i="38"/>
  <c r="Q32" i="40"/>
  <c r="Q6" i="35"/>
  <c r="Q8" i="35"/>
  <c r="Q30" i="35"/>
  <c r="Q6" i="36"/>
  <c r="Q16" i="41"/>
  <c r="Q28" i="39"/>
  <c r="Q24" i="37"/>
  <c r="Q25" i="37"/>
  <c r="Q18" i="40"/>
  <c r="Q20" i="40"/>
  <c r="Q16" i="35"/>
  <c r="Q15" i="35"/>
  <c r="Q25" i="35"/>
  <c r="Q36" i="36"/>
  <c r="Q8" i="41"/>
  <c r="Q22" i="41"/>
  <c r="Q16" i="39"/>
  <c r="Q15" i="39"/>
  <c r="Q18" i="37"/>
  <c r="Q20" i="37"/>
  <c r="Q24" i="41"/>
  <c r="Q25" i="41"/>
  <c r="Q28" i="41"/>
  <c r="Q30" i="41"/>
  <c r="Q15" i="37"/>
  <c r="Q28" i="36"/>
  <c r="Q12" i="41"/>
  <c r="Q22" i="39"/>
  <c r="Q32" i="39"/>
  <c r="Q36" i="39"/>
  <c r="Q28" i="38"/>
  <c r="Q30" i="38"/>
  <c r="Q12" i="40"/>
  <c r="Q18" i="35"/>
  <c r="Q30" i="36"/>
  <c r="Q11" i="39"/>
  <c r="Q12" i="39"/>
  <c r="Q22" i="40"/>
  <c r="Q28" i="40"/>
  <c r="Q11" i="36"/>
  <c r="Q22" i="36"/>
  <c r="Q32" i="41"/>
  <c r="Q36" i="41"/>
  <c r="Q6" i="42"/>
  <c r="Q6" i="41"/>
  <c r="Q16" i="36"/>
  <c r="Q6" i="39"/>
  <c r="Q6" i="40"/>
  <c r="Q24" i="39"/>
  <c r="Q25" i="39"/>
  <c r="Q6" i="37"/>
  <c r="Q11" i="40"/>
  <c r="Q24" i="35"/>
  <c r="Q12" i="36"/>
  <c r="Q8" i="37"/>
  <c r="Q11" i="38"/>
  <c r="Q11" i="41"/>
  <c r="Q25" i="38"/>
  <c r="Q30" i="40"/>
  <c r="Q22" i="37"/>
  <c r="Q32" i="37"/>
  <c r="Q25" i="36"/>
  <c r="Q18" i="39"/>
  <c r="Q20" i="39"/>
  <c r="Q28" i="37"/>
  <c r="Q12" i="38"/>
  <c r="Q24" i="40"/>
  <c r="Q20" i="35"/>
  <c r="Q36" i="35"/>
  <c r="Q8" i="39"/>
  <c r="Q36" i="38"/>
  <c r="Q16" i="40"/>
  <c r="Q15" i="40"/>
  <c r="Q25" i="40"/>
  <c r="Q11" i="35"/>
  <c r="Q12" i="35"/>
  <c r="Q32" i="35"/>
  <c r="Q12" i="37"/>
  <c r="Q15" i="38"/>
  <c r="Q8" i="36"/>
  <c r="Q15" i="36"/>
  <c r="Q32" i="36"/>
  <c r="Q38" i="40" l="1"/>
  <c r="Q38" i="39"/>
  <c r="Q38" i="41"/>
  <c r="Q38" i="36"/>
  <c r="Q38" i="35"/>
  <c r="Q38" i="37"/>
  <c r="U6" i="37"/>
  <c r="Q38" i="38"/>
  <c r="C6" i="37" l="1"/>
  <c r="Q24" i="34" l="1"/>
  <c r="Q8" i="34"/>
  <c r="Q32" i="34"/>
  <c r="Q11" i="34"/>
  <c r="Q18" i="34"/>
  <c r="Q6" i="34"/>
  <c r="Q22" i="34"/>
  <c r="Q30" i="34"/>
  <c r="Q25" i="34"/>
  <c r="Q36" i="34"/>
  <c r="Q12" i="34"/>
  <c r="Q20" i="34"/>
  <c r="Q28" i="34"/>
  <c r="U6" i="34" l="1"/>
  <c r="C6" i="34" s="1"/>
  <c r="Q6" i="33" l="1"/>
  <c r="Q22" i="33"/>
  <c r="Q30" i="33"/>
  <c r="Q25" i="33"/>
  <c r="Q36" i="33"/>
  <c r="Q11" i="33"/>
  <c r="Q18" i="33"/>
  <c r="Q12" i="33"/>
  <c r="Q20" i="33"/>
  <c r="Q28" i="33"/>
  <c r="Q8" i="33"/>
  <c r="Q24" i="33"/>
  <c r="Q32" i="33"/>
  <c r="U6" i="33" l="1"/>
  <c r="C6" i="33" s="1"/>
  <c r="Q16" i="33"/>
  <c r="Q16" i="34"/>
  <c r="Q15" i="34"/>
  <c r="Q15" i="33"/>
  <c r="Q38" i="34" l="1"/>
  <c r="Q38" i="33"/>
  <c r="Q32" i="32" l="1"/>
  <c r="Q15" i="32"/>
  <c r="Q30" i="32"/>
  <c r="Q6" i="32"/>
  <c r="Q20" i="32"/>
  <c r="Q22" i="32"/>
  <c r="Q8" i="32"/>
  <c r="Q28" i="32"/>
  <c r="Q12" i="32"/>
  <c r="Q11" i="32"/>
  <c r="Q16" i="32"/>
  <c r="Q18" i="32"/>
  <c r="Q36" i="32"/>
  <c r="Q36" i="43" l="1"/>
  <c r="Q18" i="43"/>
  <c r="Q11" i="43"/>
  <c r="Q22" i="43"/>
  <c r="Q15" i="43"/>
  <c r="Q12" i="43"/>
  <c r="Q32" i="43"/>
  <c r="Q28" i="43"/>
  <c r="Q20" i="43"/>
  <c r="Q16" i="43"/>
  <c r="Q30" i="43"/>
  <c r="Q6" i="43"/>
  <c r="U6" i="32"/>
  <c r="C6" i="32" l="1"/>
  <c r="Q25" i="32" l="1"/>
  <c r="Q24" i="32"/>
  <c r="Q25" i="43" l="1"/>
  <c r="Q24" i="43"/>
  <c r="Q38" i="32"/>
  <c r="P25" i="36" l="1"/>
  <c r="P23" i="36"/>
  <c r="P13" i="41"/>
  <c r="P17" i="41"/>
  <c r="P25" i="41"/>
  <c r="P18" i="37"/>
  <c r="P22" i="37"/>
  <c r="P26" i="37"/>
  <c r="P30" i="37"/>
  <c r="P34" i="37"/>
  <c r="P8" i="38"/>
  <c r="P12" i="38"/>
  <c r="P16" i="38"/>
  <c r="P20" i="38"/>
  <c r="P24" i="38"/>
  <c r="P28" i="38"/>
  <c r="P32" i="38"/>
  <c r="P36" i="38"/>
  <c r="P14" i="39"/>
  <c r="P18" i="39"/>
  <c r="P22" i="39"/>
  <c r="P24" i="41"/>
  <c r="P25" i="35"/>
  <c r="P36" i="36"/>
  <c r="P23" i="37"/>
  <c r="P27" i="37"/>
  <c r="P31" i="37"/>
  <c r="P35" i="37"/>
  <c r="P7" i="38"/>
  <c r="P11" i="38"/>
  <c r="P15" i="38"/>
  <c r="P19" i="38"/>
  <c r="P23" i="38"/>
  <c r="P27" i="38"/>
  <c r="P31" i="38"/>
  <c r="P35" i="38"/>
  <c r="P9" i="39"/>
  <c r="P21" i="39"/>
  <c r="P7" i="40"/>
  <c r="P15" i="40"/>
  <c r="P19" i="40"/>
  <c r="P27" i="40"/>
  <c r="P35" i="40"/>
  <c r="P7" i="35"/>
  <c r="P12" i="35"/>
  <c r="P27" i="41"/>
  <c r="P31" i="41"/>
  <c r="P35" i="41"/>
  <c r="P22" i="35"/>
  <c r="P26" i="35"/>
  <c r="P11" i="35"/>
  <c r="P12" i="41"/>
  <c r="P16" i="41"/>
  <c r="P30" i="41"/>
  <c r="P13" i="37"/>
  <c r="P17" i="37"/>
  <c r="P27" i="39"/>
  <c r="P31" i="39"/>
  <c r="P35" i="39"/>
  <c r="P9" i="40"/>
  <c r="P13" i="40"/>
  <c r="P17" i="40"/>
  <c r="P21" i="40"/>
  <c r="P29" i="40"/>
  <c r="P33" i="40"/>
  <c r="P20" i="35"/>
  <c r="P24" i="35"/>
  <c r="P35" i="36"/>
  <c r="P11" i="41"/>
  <c r="P15" i="41"/>
  <c r="P23" i="41"/>
  <c r="P29" i="41"/>
  <c r="P33" i="41"/>
  <c r="P24" i="42"/>
  <c r="P8" i="37"/>
  <c r="P12" i="37"/>
  <c r="P16" i="37"/>
  <c r="P13" i="35"/>
  <c r="P23" i="35"/>
  <c r="P35" i="35"/>
  <c r="P9" i="36"/>
  <c r="P13" i="36"/>
  <c r="P14" i="41"/>
  <c r="P22" i="41"/>
  <c r="P28" i="41"/>
  <c r="P32" i="41"/>
  <c r="P10" i="37"/>
  <c r="P24" i="37"/>
  <c r="P28" i="37"/>
  <c r="P32" i="37"/>
  <c r="P36" i="37"/>
  <c r="P10" i="38"/>
  <c r="P14" i="38"/>
  <c r="P18" i="38"/>
  <c r="P22" i="38"/>
  <c r="P26" i="38"/>
  <c r="P8" i="35"/>
  <c r="P30" i="35"/>
  <c r="P36" i="35"/>
  <c r="P10" i="36"/>
  <c r="P33" i="36"/>
  <c r="P27" i="35"/>
  <c r="P21" i="41"/>
  <c r="P11" i="37"/>
  <c r="P15" i="37"/>
  <c r="P20" i="37"/>
  <c r="P21" i="37"/>
  <c r="P9" i="35"/>
  <c r="P10" i="35"/>
  <c r="P7" i="36"/>
  <c r="P11" i="36"/>
  <c r="P12" i="36"/>
  <c r="P14" i="36"/>
  <c r="P15" i="36"/>
  <c r="P16" i="36"/>
  <c r="P17" i="36"/>
  <c r="P18" i="36"/>
  <c r="P19" i="36"/>
  <c r="P20" i="36"/>
  <c r="P22" i="36"/>
  <c r="P24" i="36"/>
  <c r="P30" i="36"/>
  <c r="P34" i="36"/>
  <c r="P34" i="35"/>
  <c r="P30" i="38"/>
  <c r="P34" i="38"/>
  <c r="P16" i="35"/>
  <c r="P17" i="35"/>
  <c r="P18" i="35"/>
  <c r="P28" i="35"/>
  <c r="P29" i="35"/>
  <c r="P31" i="35"/>
  <c r="P32" i="35"/>
  <c r="P33" i="35"/>
  <c r="P26" i="36"/>
  <c r="P27" i="36"/>
  <c r="P18" i="41"/>
  <c r="P19" i="41"/>
  <c r="P20" i="41"/>
  <c r="P34" i="41"/>
  <c r="P7" i="42"/>
  <c r="P21" i="42"/>
  <c r="P23" i="42"/>
  <c r="P7" i="41"/>
  <c r="P8" i="41"/>
  <c r="P9" i="41"/>
  <c r="P10" i="41"/>
  <c r="P26" i="41"/>
  <c r="P10" i="42"/>
  <c r="P12" i="42"/>
  <c r="P22" i="42"/>
  <c r="P25" i="42"/>
  <c r="P26" i="42"/>
  <c r="P27" i="42"/>
  <c r="P30" i="42"/>
  <c r="P13" i="42"/>
  <c r="P14" i="42"/>
  <c r="P15" i="42"/>
  <c r="P16" i="42"/>
  <c r="P33" i="42"/>
  <c r="P18" i="42"/>
  <c r="P20" i="42"/>
  <c r="P34" i="42"/>
  <c r="P35" i="42"/>
  <c r="P29" i="42"/>
  <c r="P17" i="42"/>
  <c r="P9" i="42"/>
  <c r="P36" i="42"/>
  <c r="P32" i="42"/>
  <c r="P28" i="42"/>
  <c r="P8" i="42"/>
  <c r="P31" i="42"/>
  <c r="P19" i="42"/>
  <c r="P11" i="42"/>
  <c r="P36" i="41"/>
  <c r="P29" i="36"/>
  <c r="P21" i="36"/>
  <c r="P32" i="36"/>
  <c r="P28" i="36"/>
  <c r="P8" i="36"/>
  <c r="P31" i="36"/>
  <c r="P19" i="35"/>
  <c r="P15" i="35"/>
  <c r="P14" i="35"/>
  <c r="P21" i="35"/>
  <c r="P8" i="39"/>
  <c r="P12" i="39"/>
  <c r="P24" i="39"/>
  <c r="P28" i="39"/>
  <c r="P32" i="39"/>
  <c r="P14" i="40"/>
  <c r="P18" i="40"/>
  <c r="P22" i="40"/>
  <c r="P26" i="40"/>
  <c r="P30" i="40"/>
  <c r="P34" i="40"/>
  <c r="P15" i="39"/>
  <c r="P11" i="39"/>
  <c r="P26" i="39"/>
  <c r="P30" i="39"/>
  <c r="P34" i="39"/>
  <c r="P12" i="40"/>
  <c r="P24" i="40"/>
  <c r="P32" i="40"/>
  <c r="P36" i="40"/>
  <c r="P29" i="37"/>
  <c r="P33" i="37"/>
  <c r="P19" i="37"/>
  <c r="P33" i="38"/>
  <c r="P25" i="38"/>
  <c r="P17" i="38"/>
  <c r="P9" i="38"/>
  <c r="P9" i="37"/>
  <c r="P11" i="40"/>
  <c r="P28" i="40"/>
  <c r="P20" i="40"/>
  <c r="P7" i="37"/>
  <c r="P16" i="39"/>
  <c r="P29" i="39"/>
  <c r="P33" i="39"/>
  <c r="P36" i="39"/>
  <c r="P10" i="40"/>
  <c r="P23" i="40"/>
  <c r="P29" i="38"/>
  <c r="P21" i="38"/>
  <c r="P13" i="38"/>
  <c r="P19" i="39"/>
  <c r="P25" i="40"/>
  <c r="P25" i="37"/>
  <c r="P7" i="39"/>
  <c r="P31" i="40"/>
  <c r="P23" i="39"/>
  <c r="P13" i="39"/>
  <c r="P17" i="39"/>
  <c r="P20" i="39"/>
  <c r="P25" i="39"/>
  <c r="P14" i="37"/>
  <c r="P10" i="39"/>
  <c r="P16" i="40"/>
  <c r="P8" i="40"/>
  <c r="U25" i="39" l="1"/>
  <c r="C25" i="39" s="1"/>
  <c r="U25" i="40"/>
  <c r="C25" i="40" s="1"/>
  <c r="U20" i="40"/>
  <c r="C20" i="40" s="1"/>
  <c r="U9" i="38"/>
  <c r="C9" i="38" s="1"/>
  <c r="U19" i="37"/>
  <c r="C19" i="37" s="1"/>
  <c r="U32" i="40"/>
  <c r="C32" i="40" s="1"/>
  <c r="U24" i="39"/>
  <c r="C24" i="39" s="1"/>
  <c r="U34" i="35"/>
  <c r="C34" i="35" s="1"/>
  <c r="U12" i="36"/>
  <c r="C12" i="36" s="1"/>
  <c r="U9" i="35"/>
  <c r="C9" i="35" s="1"/>
  <c r="U11" i="37"/>
  <c r="C11" i="37" s="1"/>
  <c r="U10" i="36"/>
  <c r="C10" i="36" s="1"/>
  <c r="U24" i="37"/>
  <c r="C24" i="37" s="1"/>
  <c r="U12" i="37"/>
  <c r="C12" i="37" s="1"/>
  <c r="U17" i="37"/>
  <c r="C17" i="37" s="1"/>
  <c r="U35" i="37"/>
  <c r="C35" i="37" s="1"/>
  <c r="U36" i="36"/>
  <c r="C36" i="36" s="1"/>
  <c r="U12" i="38"/>
  <c r="C12" i="38" s="1"/>
  <c r="U26" i="37"/>
  <c r="C26" i="37" s="1"/>
  <c r="U20" i="39"/>
  <c r="C20" i="39" s="1"/>
  <c r="U23" i="40"/>
  <c r="C23" i="40" s="1"/>
  <c r="U33" i="37"/>
  <c r="C33" i="37" s="1"/>
  <c r="U24" i="40"/>
  <c r="C24" i="40" s="1"/>
  <c r="U36" i="41"/>
  <c r="C36" i="41" s="1"/>
  <c r="U34" i="36"/>
  <c r="C34" i="36" s="1"/>
  <c r="U20" i="36"/>
  <c r="C20" i="36" s="1"/>
  <c r="U16" i="36"/>
  <c r="C16" i="36" s="1"/>
  <c r="U21" i="37"/>
  <c r="C21" i="37" s="1"/>
  <c r="U36" i="35"/>
  <c r="C36" i="35" s="1"/>
  <c r="U36" i="37"/>
  <c r="C36" i="37" s="1"/>
  <c r="U10" i="37"/>
  <c r="C10" i="37" s="1"/>
  <c r="U8" i="37"/>
  <c r="C8" i="37" s="1"/>
  <c r="U13" i="37"/>
  <c r="C13" i="37" s="1"/>
  <c r="U11" i="35"/>
  <c r="C11" i="35" s="1"/>
  <c r="U31" i="41"/>
  <c r="C31" i="41" s="1"/>
  <c r="U31" i="37"/>
  <c r="C31" i="37" s="1"/>
  <c r="U25" i="35"/>
  <c r="C25" i="35" s="1"/>
  <c r="U22" i="37"/>
  <c r="C22" i="37" s="1"/>
  <c r="U25" i="38"/>
  <c r="C25" i="38" s="1"/>
  <c r="U29" i="37"/>
  <c r="C29" i="37" s="1"/>
  <c r="U26" i="40"/>
  <c r="C26" i="40" s="1"/>
  <c r="U9" i="41"/>
  <c r="C9" i="41" s="1"/>
  <c r="U20" i="37"/>
  <c r="C20" i="37" s="1"/>
  <c r="U18" i="38"/>
  <c r="C18" i="38" s="1"/>
  <c r="U32" i="37"/>
  <c r="C32" i="37" s="1"/>
  <c r="U20" i="35"/>
  <c r="C20" i="35" s="1"/>
  <c r="U17" i="40"/>
  <c r="C17" i="40" s="1"/>
  <c r="U26" i="35"/>
  <c r="C26" i="35" s="1"/>
  <c r="U27" i="38"/>
  <c r="C27" i="38" s="1"/>
  <c r="U11" i="38"/>
  <c r="C11" i="38" s="1"/>
  <c r="U27" i="37"/>
  <c r="C27" i="37" s="1"/>
  <c r="U20" i="38"/>
  <c r="C20" i="38" s="1"/>
  <c r="U34" i="37"/>
  <c r="C34" i="37" s="1"/>
  <c r="U18" i="37"/>
  <c r="C18" i="37" s="1"/>
  <c r="U14" i="37"/>
  <c r="C14" i="37" s="1"/>
  <c r="U25" i="37"/>
  <c r="C25" i="37" s="1"/>
  <c r="U9" i="37"/>
  <c r="C9" i="37" s="1"/>
  <c r="U31" i="36"/>
  <c r="C31" i="36" s="1"/>
  <c r="U18" i="41"/>
  <c r="C18" i="41" s="1"/>
  <c r="U32" i="35"/>
  <c r="C32" i="35" s="1"/>
  <c r="U24" i="36"/>
  <c r="C24" i="36" s="1"/>
  <c r="U18" i="36"/>
  <c r="C18" i="36" s="1"/>
  <c r="U10" i="35"/>
  <c r="C10" i="35" s="1"/>
  <c r="U15" i="37"/>
  <c r="C15" i="37" s="1"/>
  <c r="U28" i="37"/>
  <c r="C28" i="37" s="1"/>
  <c r="U16" i="37"/>
  <c r="C16" i="37" s="1"/>
  <c r="U33" i="41"/>
  <c r="C33" i="41" s="1"/>
  <c r="U19" i="40"/>
  <c r="C19" i="40" s="1"/>
  <c r="U9" i="39"/>
  <c r="C9" i="39" s="1"/>
  <c r="U23" i="38"/>
  <c r="C23" i="38" s="1"/>
  <c r="U23" i="37"/>
  <c r="C23" i="37" s="1"/>
  <c r="U32" i="38"/>
  <c r="C32" i="38" s="1"/>
  <c r="U30" i="37"/>
  <c r="C30" i="37" s="1"/>
  <c r="U25" i="41"/>
  <c r="C25" i="41" s="1"/>
  <c r="U25" i="36"/>
  <c r="C25" i="36" s="1"/>
  <c r="P38" i="38"/>
  <c r="P38" i="35"/>
  <c r="P38" i="36"/>
  <c r="U7" i="37"/>
  <c r="P38" i="37"/>
  <c r="P38" i="39"/>
  <c r="P38" i="41"/>
  <c r="P38" i="42"/>
  <c r="P38" i="40"/>
  <c r="C7" i="37" l="1"/>
  <c r="C38" i="37" s="1"/>
  <c r="U38" i="37"/>
  <c r="P9" i="34" l="1"/>
  <c r="P13" i="34"/>
  <c r="P17" i="34"/>
  <c r="P21" i="34"/>
  <c r="P25" i="34"/>
  <c r="P29" i="34"/>
  <c r="P33" i="34"/>
  <c r="P10" i="34"/>
  <c r="P14" i="34"/>
  <c r="P18" i="34"/>
  <c r="P22" i="34"/>
  <c r="P26" i="34"/>
  <c r="P30" i="34"/>
  <c r="P34" i="34"/>
  <c r="P7" i="34"/>
  <c r="P11" i="34"/>
  <c r="P15" i="34"/>
  <c r="P19" i="34"/>
  <c r="P23" i="34"/>
  <c r="P27" i="34"/>
  <c r="P31" i="34"/>
  <c r="P35" i="34"/>
  <c r="P8" i="34"/>
  <c r="P12" i="34"/>
  <c r="P16" i="34"/>
  <c r="P20" i="34"/>
  <c r="P24" i="34"/>
  <c r="P28" i="34"/>
  <c r="P32" i="34"/>
  <c r="P36" i="34"/>
  <c r="U24" i="34" l="1"/>
  <c r="C24" i="34" s="1"/>
  <c r="U8" i="34"/>
  <c r="C8" i="34" s="1"/>
  <c r="U32" i="34"/>
  <c r="C32" i="34" s="1"/>
  <c r="U16" i="34"/>
  <c r="C16" i="34" s="1"/>
  <c r="U31" i="34"/>
  <c r="C31" i="34" s="1"/>
  <c r="U15" i="34"/>
  <c r="C15" i="34" s="1"/>
  <c r="U30" i="34"/>
  <c r="C30" i="34" s="1"/>
  <c r="U14" i="34"/>
  <c r="C14" i="34" s="1"/>
  <c r="U25" i="34"/>
  <c r="C25" i="34" s="1"/>
  <c r="U9" i="34"/>
  <c r="C9" i="34" s="1"/>
  <c r="U28" i="34"/>
  <c r="C28" i="34" s="1"/>
  <c r="U12" i="34"/>
  <c r="C12" i="34" s="1"/>
  <c r="U27" i="34"/>
  <c r="C27" i="34" s="1"/>
  <c r="U11" i="34"/>
  <c r="C11" i="34" s="1"/>
  <c r="U26" i="34"/>
  <c r="C26" i="34" s="1"/>
  <c r="U10" i="34"/>
  <c r="C10" i="34" s="1"/>
  <c r="U21" i="34"/>
  <c r="C21" i="34" s="1"/>
  <c r="U23" i="34"/>
  <c r="C23" i="34" s="1"/>
  <c r="U22" i="34"/>
  <c r="C22" i="34" s="1"/>
  <c r="U33" i="34"/>
  <c r="C33" i="34" s="1"/>
  <c r="U17" i="34"/>
  <c r="C17" i="34" s="1"/>
  <c r="U36" i="34"/>
  <c r="C36" i="34" s="1"/>
  <c r="U20" i="34"/>
  <c r="C20" i="34" s="1"/>
  <c r="U35" i="34"/>
  <c r="C35" i="34" s="1"/>
  <c r="U19" i="34"/>
  <c r="C19" i="34" s="1"/>
  <c r="U34" i="34"/>
  <c r="C34" i="34" s="1"/>
  <c r="U18" i="34"/>
  <c r="C18" i="34" s="1"/>
  <c r="U29" i="34"/>
  <c r="C29" i="34" s="1"/>
  <c r="U13" i="34"/>
  <c r="C13" i="34" s="1"/>
  <c r="U7" i="34"/>
  <c r="P38" i="34"/>
  <c r="C7" i="34" l="1"/>
  <c r="C38" i="34" s="1"/>
  <c r="U38" i="34"/>
  <c r="P7" i="33" l="1"/>
  <c r="P9" i="33"/>
  <c r="P11" i="33"/>
  <c r="P13" i="33"/>
  <c r="P15" i="33"/>
  <c r="P17" i="33"/>
  <c r="P19" i="33"/>
  <c r="P21" i="33"/>
  <c r="P23" i="33"/>
  <c r="P25" i="33"/>
  <c r="P27" i="33"/>
  <c r="P29" i="33"/>
  <c r="P31" i="33"/>
  <c r="P33" i="33"/>
  <c r="P35" i="33"/>
  <c r="P8" i="33"/>
  <c r="P10" i="33"/>
  <c r="P12" i="33"/>
  <c r="P14" i="33"/>
  <c r="P16" i="33"/>
  <c r="P18" i="33"/>
  <c r="P20" i="33"/>
  <c r="P22" i="33"/>
  <c r="P24" i="33"/>
  <c r="P26" i="33"/>
  <c r="P28" i="33"/>
  <c r="P30" i="33"/>
  <c r="P32" i="33"/>
  <c r="P34" i="33"/>
  <c r="P36" i="33"/>
  <c r="U34" i="33" l="1"/>
  <c r="C34" i="33" s="1"/>
  <c r="U18" i="33"/>
  <c r="C18" i="33" s="1"/>
  <c r="U10" i="33"/>
  <c r="C10" i="33" s="1"/>
  <c r="U23" i="33"/>
  <c r="C23" i="33" s="1"/>
  <c r="U32" i="33"/>
  <c r="C32" i="33" s="1"/>
  <c r="U16" i="33"/>
  <c r="C16" i="33" s="1"/>
  <c r="U8" i="33"/>
  <c r="C8" i="33" s="1"/>
  <c r="U21" i="33"/>
  <c r="C21" i="33" s="1"/>
  <c r="U36" i="33"/>
  <c r="C36" i="33" s="1"/>
  <c r="U28" i="33"/>
  <c r="C28" i="33" s="1"/>
  <c r="U20" i="33"/>
  <c r="C20" i="33" s="1"/>
  <c r="U12" i="33"/>
  <c r="C12" i="33" s="1"/>
  <c r="U33" i="33"/>
  <c r="C33" i="33" s="1"/>
  <c r="U25" i="33"/>
  <c r="C25" i="33" s="1"/>
  <c r="U17" i="33"/>
  <c r="C17" i="33" s="1"/>
  <c r="U9" i="33"/>
  <c r="C9" i="33" s="1"/>
  <c r="U26" i="33"/>
  <c r="C26" i="33" s="1"/>
  <c r="U31" i="33"/>
  <c r="C31" i="33" s="1"/>
  <c r="U15" i="33"/>
  <c r="C15" i="33" s="1"/>
  <c r="U24" i="33"/>
  <c r="C24" i="33" s="1"/>
  <c r="U29" i="33"/>
  <c r="C29" i="33" s="1"/>
  <c r="U13" i="33"/>
  <c r="C13" i="33" s="1"/>
  <c r="U30" i="33"/>
  <c r="C30" i="33" s="1"/>
  <c r="U22" i="33"/>
  <c r="C22" i="33" s="1"/>
  <c r="U14" i="33"/>
  <c r="C14" i="33" s="1"/>
  <c r="U35" i="33"/>
  <c r="C35" i="33" s="1"/>
  <c r="U27" i="33"/>
  <c r="C27" i="33" s="1"/>
  <c r="U19" i="33"/>
  <c r="C19" i="33" s="1"/>
  <c r="U11" i="33"/>
  <c r="C11" i="33" s="1"/>
  <c r="U7" i="33"/>
  <c r="P38" i="33"/>
  <c r="C7" i="33" l="1"/>
  <c r="C38" i="33" s="1"/>
  <c r="U38" i="33"/>
  <c r="P30" i="32" l="1"/>
  <c r="P26" i="32"/>
  <c r="P22" i="32"/>
  <c r="P18" i="32"/>
  <c r="P14" i="32"/>
  <c r="P10" i="32"/>
  <c r="P35" i="32"/>
  <c r="P31" i="32"/>
  <c r="P27" i="32"/>
  <c r="P23" i="32"/>
  <c r="P19" i="32"/>
  <c r="P15" i="32"/>
  <c r="P11" i="32"/>
  <c r="P36" i="32"/>
  <c r="P32" i="32"/>
  <c r="P28" i="32"/>
  <c r="P24" i="32"/>
  <c r="P20" i="32"/>
  <c r="P16" i="32"/>
  <c r="P12" i="32"/>
  <c r="P8" i="32"/>
  <c r="P34" i="32"/>
  <c r="P33" i="32"/>
  <c r="P29" i="32"/>
  <c r="P25" i="32"/>
  <c r="P21" i="32"/>
  <c r="P17" i="32"/>
  <c r="P13" i="32"/>
  <c r="P9" i="32"/>
  <c r="P7" i="32"/>
  <c r="P9" i="43" l="1"/>
  <c r="U9" i="32"/>
  <c r="C9" i="32" s="1"/>
  <c r="P24" i="43"/>
  <c r="U24" i="32"/>
  <c r="C24" i="32" s="1"/>
  <c r="U11" i="32"/>
  <c r="C11" i="32" s="1"/>
  <c r="P11" i="43"/>
  <c r="P14" i="43"/>
  <c r="U14" i="32"/>
  <c r="C14" i="32" s="1"/>
  <c r="U30" i="32"/>
  <c r="C30" i="32" s="1"/>
  <c r="P30" i="43"/>
  <c r="P33" i="43"/>
  <c r="U33" i="32"/>
  <c r="C33" i="32" s="1"/>
  <c r="U7" i="32"/>
  <c r="P7" i="43"/>
  <c r="P38" i="32"/>
  <c r="P21" i="43"/>
  <c r="U21" i="32"/>
  <c r="C21" i="32" s="1"/>
  <c r="P34" i="43"/>
  <c r="U34" i="32"/>
  <c r="C34" i="32" s="1"/>
  <c r="P20" i="43"/>
  <c r="U20" i="32"/>
  <c r="C20" i="32" s="1"/>
  <c r="P36" i="43"/>
  <c r="U36" i="32"/>
  <c r="C36" i="32" s="1"/>
  <c r="P23" i="43"/>
  <c r="U23" i="32"/>
  <c r="C23" i="32" s="1"/>
  <c r="U10" i="32"/>
  <c r="C10" i="32" s="1"/>
  <c r="P10" i="43"/>
  <c r="U26" i="32"/>
  <c r="C26" i="32" s="1"/>
  <c r="P26" i="43"/>
  <c r="P25" i="43"/>
  <c r="U25" i="32"/>
  <c r="C25" i="32" s="1"/>
  <c r="U8" i="32"/>
  <c r="C8" i="32" s="1"/>
  <c r="P8" i="43"/>
  <c r="P13" i="43"/>
  <c r="U13" i="32"/>
  <c r="C13" i="32" s="1"/>
  <c r="U29" i="32"/>
  <c r="C29" i="32" s="1"/>
  <c r="P29" i="43"/>
  <c r="P12" i="43"/>
  <c r="U12" i="32"/>
  <c r="C12" i="32" s="1"/>
  <c r="P28" i="43"/>
  <c r="U28" i="32"/>
  <c r="C28" i="32" s="1"/>
  <c r="U15" i="32"/>
  <c r="C15" i="32" s="1"/>
  <c r="P15" i="43"/>
  <c r="P31" i="43"/>
  <c r="U31" i="32"/>
  <c r="C31" i="32" s="1"/>
  <c r="P18" i="43"/>
  <c r="U18" i="32"/>
  <c r="C18" i="32" s="1"/>
  <c r="P27" i="43"/>
  <c r="U27" i="32"/>
  <c r="C27" i="32" s="1"/>
  <c r="P17" i="43"/>
  <c r="U17" i="32"/>
  <c r="C17" i="32" s="1"/>
  <c r="P16" i="43"/>
  <c r="U16" i="32"/>
  <c r="C16" i="32" s="1"/>
  <c r="P32" i="43"/>
  <c r="U32" i="32"/>
  <c r="C32" i="32" s="1"/>
  <c r="U19" i="32"/>
  <c r="C19" i="32" s="1"/>
  <c r="P19" i="43"/>
  <c r="P35" i="43"/>
  <c r="U35" i="32"/>
  <c r="C35" i="32" s="1"/>
  <c r="P22" i="43"/>
  <c r="U22" i="32"/>
  <c r="C22" i="32" s="1"/>
  <c r="P38" i="43" l="1"/>
  <c r="C7" i="32"/>
  <c r="U38" i="32"/>
  <c r="C38" i="32" l="1"/>
  <c r="D34" i="41" l="1"/>
  <c r="D24" i="41"/>
  <c r="M34" i="41" l="1"/>
  <c r="H34" i="41"/>
  <c r="O34" i="41"/>
  <c r="K34" i="41"/>
  <c r="M24" i="41"/>
  <c r="O24" i="41"/>
  <c r="H24" i="41"/>
  <c r="K24" i="41"/>
  <c r="AQ24" i="41" l="1"/>
  <c r="AR24" i="41"/>
  <c r="AS24" i="41"/>
  <c r="G24" i="41"/>
  <c r="AQ34" i="41"/>
  <c r="G34" i="41"/>
  <c r="AR34" i="41"/>
  <c r="AS34" i="41"/>
  <c r="U24" i="41" l="1"/>
  <c r="C24" i="41" s="1"/>
  <c r="U34" i="41"/>
  <c r="C34" i="41" s="1"/>
  <c r="Q38" i="42" l="1"/>
  <c r="Q8" i="43"/>
  <c r="Q38" i="43" l="1"/>
  <c r="D32" i="42" l="1"/>
  <c r="D9" i="42"/>
  <c r="D29" i="42"/>
  <c r="D18" i="42"/>
  <c r="D13" i="42"/>
  <c r="D12" i="42"/>
  <c r="D34" i="42"/>
  <c r="D17" i="42"/>
  <c r="D25" i="42"/>
  <c r="D25" i="43" l="1"/>
  <c r="H25" i="43" s="1"/>
  <c r="H25" i="42"/>
  <c r="O25" i="42"/>
  <c r="O25" i="43" s="1"/>
  <c r="M25" i="42"/>
  <c r="M25" i="43" s="1"/>
  <c r="K25" i="42"/>
  <c r="K25" i="43" s="1"/>
  <c r="M12" i="42"/>
  <c r="K12" i="42"/>
  <c r="O12" i="42"/>
  <c r="H12" i="42"/>
  <c r="M17" i="42"/>
  <c r="H17" i="42"/>
  <c r="O17" i="42"/>
  <c r="K17" i="42"/>
  <c r="K13" i="42"/>
  <c r="O13" i="42"/>
  <c r="M13" i="42"/>
  <c r="H13" i="42"/>
  <c r="O9" i="42"/>
  <c r="M9" i="42"/>
  <c r="K9" i="42"/>
  <c r="H9" i="42"/>
  <c r="H18" i="42"/>
  <c r="M18" i="42"/>
  <c r="K18" i="42"/>
  <c r="O18" i="42"/>
  <c r="H34" i="42"/>
  <c r="M34" i="42"/>
  <c r="O34" i="42"/>
  <c r="K34" i="42"/>
  <c r="M29" i="42"/>
  <c r="H29" i="42"/>
  <c r="K29" i="42"/>
  <c r="O29" i="42"/>
  <c r="K32" i="42"/>
  <c r="O32" i="42"/>
  <c r="M32" i="42"/>
  <c r="H32" i="42"/>
  <c r="D11" i="36"/>
  <c r="AR29" i="42" l="1"/>
  <c r="AS29" i="42"/>
  <c r="AQ29" i="42"/>
  <c r="G29" i="42"/>
  <c r="U29" i="42" s="1"/>
  <c r="G17" i="42"/>
  <c r="U17" i="42" s="1"/>
  <c r="AQ17" i="42"/>
  <c r="AR17" i="42"/>
  <c r="AS17" i="42"/>
  <c r="O11" i="36"/>
  <c r="M11" i="36"/>
  <c r="H11" i="36"/>
  <c r="K11" i="36"/>
  <c r="AR34" i="42"/>
  <c r="AQ34" i="42"/>
  <c r="G34" i="42"/>
  <c r="U34" i="42" s="1"/>
  <c r="AS34" i="42"/>
  <c r="AQ18" i="42"/>
  <c r="AS18" i="42"/>
  <c r="AR18" i="42"/>
  <c r="G18" i="42"/>
  <c r="U18" i="42" s="1"/>
  <c r="G25" i="42"/>
  <c r="AQ25" i="42"/>
  <c r="AQ25" i="43" s="1"/>
  <c r="AS25" i="42"/>
  <c r="AS25" i="43" s="1"/>
  <c r="AR25" i="42"/>
  <c r="AR25" i="43" s="1"/>
  <c r="AR32" i="42"/>
  <c r="AQ32" i="42"/>
  <c r="G32" i="42"/>
  <c r="U32" i="42" s="1"/>
  <c r="AS32" i="42"/>
  <c r="AS9" i="42"/>
  <c r="AQ9" i="42"/>
  <c r="G9" i="42"/>
  <c r="U9" i="42" s="1"/>
  <c r="AR9" i="42"/>
  <c r="AR13" i="42"/>
  <c r="G13" i="42"/>
  <c r="U13" i="42" s="1"/>
  <c r="AS13" i="42"/>
  <c r="AQ13" i="42"/>
  <c r="AQ12" i="42"/>
  <c r="AR12" i="42"/>
  <c r="AS12" i="42"/>
  <c r="G12" i="42"/>
  <c r="U12" i="42" s="1"/>
  <c r="D8" i="41"/>
  <c r="U25" i="42" l="1"/>
  <c r="C25" i="42" s="1"/>
  <c r="C25" i="43" s="1"/>
  <c r="C9" i="42"/>
  <c r="C32" i="42"/>
  <c r="C34" i="42"/>
  <c r="C13" i="42"/>
  <c r="C12" i="42"/>
  <c r="C18" i="42"/>
  <c r="C29" i="42"/>
  <c r="C17" i="42"/>
  <c r="G25" i="43"/>
  <c r="U25" i="43" s="1"/>
  <c r="G11" i="36"/>
  <c r="AR11" i="36"/>
  <c r="AQ11" i="36"/>
  <c r="AS11" i="36"/>
  <c r="O8" i="41"/>
  <c r="H8" i="41"/>
  <c r="K8" i="41"/>
  <c r="M8" i="41"/>
  <c r="D20" i="41"/>
  <c r="U11" i="36" l="1"/>
  <c r="C11" i="36" s="1"/>
  <c r="K20" i="41"/>
  <c r="M20" i="41"/>
  <c r="O20" i="41"/>
  <c r="H20" i="41"/>
  <c r="AS8" i="41"/>
  <c r="G8" i="41"/>
  <c r="AQ8" i="41"/>
  <c r="AR8" i="41"/>
  <c r="U8" i="41" l="1"/>
  <c r="C8" i="41" s="1"/>
  <c r="AS20" i="41"/>
  <c r="G20" i="41"/>
  <c r="AQ20" i="41"/>
  <c r="AR20" i="41"/>
  <c r="D9" i="36"/>
  <c r="D24" i="35"/>
  <c r="D11" i="40"/>
  <c r="D9" i="40"/>
  <c r="D21" i="40"/>
  <c r="H11" i="40" l="1"/>
  <c r="K11" i="40"/>
  <c r="O11" i="40"/>
  <c r="M11" i="40"/>
  <c r="K9" i="40"/>
  <c r="M9" i="40"/>
  <c r="O9" i="40"/>
  <c r="H9" i="40"/>
  <c r="D9" i="43"/>
  <c r="H9" i="43" s="1"/>
  <c r="K24" i="35"/>
  <c r="M24" i="35"/>
  <c r="H24" i="35"/>
  <c r="O24" i="35"/>
  <c r="U20" i="41"/>
  <c r="C20" i="41" s="1"/>
  <c r="M21" i="40"/>
  <c r="O21" i="40"/>
  <c r="H21" i="40"/>
  <c r="K21" i="40"/>
  <c r="O9" i="36"/>
  <c r="H9" i="36"/>
  <c r="M9" i="36"/>
  <c r="K9" i="36"/>
  <c r="AS24" i="35" l="1"/>
  <c r="G24" i="35"/>
  <c r="AQ24" i="35"/>
  <c r="AR24" i="35"/>
  <c r="G9" i="40"/>
  <c r="AS9" i="40"/>
  <c r="AQ9" i="40"/>
  <c r="AR9" i="40"/>
  <c r="O9" i="43"/>
  <c r="AR21" i="40"/>
  <c r="AS21" i="40"/>
  <c r="AQ21" i="40"/>
  <c r="G21" i="40"/>
  <c r="M9" i="43"/>
  <c r="AS9" i="36"/>
  <c r="G9" i="36"/>
  <c r="AQ9" i="36"/>
  <c r="AR9" i="36"/>
  <c r="K9" i="43"/>
  <c r="G11" i="40"/>
  <c r="AQ11" i="40"/>
  <c r="AR11" i="40"/>
  <c r="AS11" i="40"/>
  <c r="U21" i="40" l="1"/>
  <c r="C21" i="40" s="1"/>
  <c r="AQ9" i="43"/>
  <c r="U24" i="35"/>
  <c r="C24" i="35" s="1"/>
  <c r="U11" i="40"/>
  <c r="C11" i="40" s="1"/>
  <c r="U9" i="36"/>
  <c r="C9" i="36" s="1"/>
  <c r="AR9" i="43"/>
  <c r="AS9" i="43"/>
  <c r="U9" i="40"/>
  <c r="C9" i="40" s="1"/>
  <c r="G9" i="43"/>
  <c r="U9" i="43" s="1"/>
  <c r="D12" i="39"/>
  <c r="C9" i="43" l="1"/>
  <c r="M12" i="39"/>
  <c r="O12" i="39"/>
  <c r="H12" i="39"/>
  <c r="K12" i="39"/>
  <c r="AQ12" i="39" l="1"/>
  <c r="AR12" i="39"/>
  <c r="G12" i="39"/>
  <c r="AS12" i="39"/>
  <c r="U12" i="39" l="1"/>
  <c r="C12" i="39" s="1"/>
  <c r="D36" i="42"/>
  <c r="D33" i="42"/>
  <c r="D31" i="42"/>
  <c r="D30" i="42"/>
  <c r="D28" i="42"/>
  <c r="D27" i="42"/>
  <c r="D24" i="42"/>
  <c r="D23" i="42"/>
  <c r="D22" i="42"/>
  <c r="D21" i="42"/>
  <c r="D19" i="42"/>
  <c r="D16" i="42"/>
  <c r="D15" i="42"/>
  <c r="D14" i="42"/>
  <c r="D11" i="42"/>
  <c r="D10" i="42"/>
  <c r="D8" i="42"/>
  <c r="D7" i="42"/>
  <c r="D6" i="42"/>
  <c r="D35" i="41"/>
  <c r="D32" i="41"/>
  <c r="D30" i="41"/>
  <c r="D29" i="41"/>
  <c r="D28" i="41"/>
  <c r="D27" i="41"/>
  <c r="D26" i="41"/>
  <c r="D23" i="41"/>
  <c r="D22" i="41"/>
  <c r="D21" i="41"/>
  <c r="D19" i="41"/>
  <c r="D17" i="41"/>
  <c r="D16" i="41"/>
  <c r="D15" i="41"/>
  <c r="D14" i="41"/>
  <c r="D13" i="41"/>
  <c r="D12" i="41"/>
  <c r="D11" i="41"/>
  <c r="D10" i="41"/>
  <c r="D7" i="41"/>
  <c r="D6" i="41"/>
  <c r="D35" i="36"/>
  <c r="D33" i="36"/>
  <c r="D32" i="36"/>
  <c r="D30" i="36"/>
  <c r="D29" i="36"/>
  <c r="D28" i="36"/>
  <c r="D27" i="36"/>
  <c r="D26" i="36"/>
  <c r="D23" i="36"/>
  <c r="D22" i="36"/>
  <c r="D21" i="36"/>
  <c r="D19" i="36"/>
  <c r="D17" i="36"/>
  <c r="D15" i="36"/>
  <c r="D14" i="36"/>
  <c r="D13" i="36"/>
  <c r="D8" i="36"/>
  <c r="D7" i="36"/>
  <c r="D6" i="36"/>
  <c r="D35" i="35"/>
  <c r="D33" i="35"/>
  <c r="D31" i="35"/>
  <c r="D30" i="35"/>
  <c r="D29" i="35"/>
  <c r="D28" i="35"/>
  <c r="D27" i="35"/>
  <c r="D23" i="35"/>
  <c r="D22" i="35"/>
  <c r="D21" i="35"/>
  <c r="D19" i="35"/>
  <c r="D18" i="35"/>
  <c r="D17" i="35"/>
  <c r="D16" i="35"/>
  <c r="D15" i="35"/>
  <c r="D14" i="35"/>
  <c r="D13" i="35"/>
  <c r="D12" i="35"/>
  <c r="D8" i="35"/>
  <c r="D7" i="35"/>
  <c r="D6" i="35"/>
  <c r="D36" i="40"/>
  <c r="D35" i="40"/>
  <c r="D34" i="40"/>
  <c r="D33" i="40"/>
  <c r="D31" i="40"/>
  <c r="D30" i="40"/>
  <c r="D29" i="40"/>
  <c r="D28" i="40"/>
  <c r="D27" i="40"/>
  <c r="D22" i="40"/>
  <c r="D18" i="40"/>
  <c r="D16" i="40"/>
  <c r="D15" i="40"/>
  <c r="D14" i="40"/>
  <c r="D13" i="40"/>
  <c r="D12" i="40"/>
  <c r="D10" i="40"/>
  <c r="D8" i="40"/>
  <c r="D7" i="40"/>
  <c r="D6" i="40"/>
  <c r="D7" i="39"/>
  <c r="D8" i="39"/>
  <c r="D10" i="39"/>
  <c r="D11" i="39"/>
  <c r="D13" i="39"/>
  <c r="D14" i="39"/>
  <c r="D15" i="39"/>
  <c r="D16" i="39"/>
  <c r="D17" i="39"/>
  <c r="D18" i="39"/>
  <c r="D19" i="39"/>
  <c r="D21" i="39"/>
  <c r="D22" i="39"/>
  <c r="D23" i="39"/>
  <c r="D26" i="39"/>
  <c r="D27" i="39"/>
  <c r="D28" i="39"/>
  <c r="D29" i="39"/>
  <c r="D30" i="39"/>
  <c r="D31" i="39"/>
  <c r="D32" i="39"/>
  <c r="D33" i="39"/>
  <c r="D34" i="39"/>
  <c r="D35" i="39"/>
  <c r="D36" i="39"/>
  <c r="D6" i="39"/>
  <c r="D10" i="38"/>
  <c r="D8" i="38"/>
  <c r="D13" i="38"/>
  <c r="D14" i="38"/>
  <c r="D15" i="38"/>
  <c r="D16" i="38"/>
  <c r="D17" i="38"/>
  <c r="D19" i="38"/>
  <c r="D21" i="38"/>
  <c r="D22" i="38"/>
  <c r="D24" i="38"/>
  <c r="D26" i="38"/>
  <c r="D28" i="38"/>
  <c r="D29" i="38"/>
  <c r="D30" i="38"/>
  <c r="D31" i="38"/>
  <c r="D33" i="38"/>
  <c r="D34" i="38"/>
  <c r="D35" i="38"/>
  <c r="D36" i="38"/>
  <c r="D7" i="38"/>
  <c r="D6" i="38"/>
  <c r="O34" i="38" l="1"/>
  <c r="H34" i="38"/>
  <c r="K34" i="38"/>
  <c r="M34" i="38"/>
  <c r="D34" i="43"/>
  <c r="H34" i="43" s="1"/>
  <c r="H29" i="38"/>
  <c r="M29" i="38"/>
  <c r="O29" i="38"/>
  <c r="K29" i="38"/>
  <c r="D29" i="43"/>
  <c r="H29" i="43" s="1"/>
  <c r="M22" i="38"/>
  <c r="K22" i="38"/>
  <c r="O22" i="38"/>
  <c r="H22" i="38"/>
  <c r="D22" i="43"/>
  <c r="H22" i="43" s="1"/>
  <c r="K16" i="38"/>
  <c r="M16" i="38"/>
  <c r="H16" i="38"/>
  <c r="O16" i="38"/>
  <c r="D16" i="43"/>
  <c r="H16" i="43" s="1"/>
  <c r="O8" i="38"/>
  <c r="K8" i="38"/>
  <c r="M8" i="38"/>
  <c r="H8" i="38"/>
  <c r="D8" i="43"/>
  <c r="H8" i="43" s="1"/>
  <c r="K35" i="39"/>
  <c r="M35" i="39"/>
  <c r="H35" i="39"/>
  <c r="O35" i="39"/>
  <c r="H31" i="39"/>
  <c r="O31" i="39"/>
  <c r="M31" i="39"/>
  <c r="K31" i="39"/>
  <c r="H27" i="39"/>
  <c r="O27" i="39"/>
  <c r="K27" i="39"/>
  <c r="M27" i="39"/>
  <c r="D27" i="43"/>
  <c r="H27" i="43" s="1"/>
  <c r="M21" i="39"/>
  <c r="O21" i="39"/>
  <c r="H21" i="39"/>
  <c r="K21" i="39"/>
  <c r="O16" i="39"/>
  <c r="H16" i="39"/>
  <c r="M16" i="39"/>
  <c r="K16" i="39"/>
  <c r="O11" i="39"/>
  <c r="K11" i="39"/>
  <c r="H11" i="39"/>
  <c r="M11" i="39"/>
  <c r="D11" i="43"/>
  <c r="H11" i="43" s="1"/>
  <c r="K6" i="40"/>
  <c r="H6" i="40"/>
  <c r="M6" i="40"/>
  <c r="D38" i="40"/>
  <c r="O6" i="40"/>
  <c r="H12" i="40"/>
  <c r="O12" i="40"/>
  <c r="M12" i="40"/>
  <c r="K12" i="40"/>
  <c r="D12" i="43"/>
  <c r="H12" i="43" s="1"/>
  <c r="M16" i="40"/>
  <c r="H16" i="40"/>
  <c r="K16" i="40"/>
  <c r="O16" i="40"/>
  <c r="H28" i="40"/>
  <c r="K28" i="40"/>
  <c r="M28" i="40"/>
  <c r="O28" i="40"/>
  <c r="H33" i="40"/>
  <c r="K33" i="40"/>
  <c r="M33" i="40"/>
  <c r="O33" i="40"/>
  <c r="H6" i="35"/>
  <c r="D38" i="35"/>
  <c r="M6" i="35"/>
  <c r="O6" i="35"/>
  <c r="K6" i="35"/>
  <c r="K13" i="35"/>
  <c r="O13" i="35"/>
  <c r="H13" i="35"/>
  <c r="M13" i="35"/>
  <c r="H17" i="35"/>
  <c r="K17" i="35"/>
  <c r="M17" i="35"/>
  <c r="O17" i="35"/>
  <c r="H22" i="35"/>
  <c r="O22" i="35"/>
  <c r="K22" i="35"/>
  <c r="M22" i="35"/>
  <c r="O29" i="35"/>
  <c r="H29" i="35"/>
  <c r="K29" i="35"/>
  <c r="M29" i="35"/>
  <c r="H35" i="35"/>
  <c r="K35" i="35"/>
  <c r="M35" i="35"/>
  <c r="O35" i="35"/>
  <c r="O13" i="36"/>
  <c r="K13" i="36"/>
  <c r="M13" i="36"/>
  <c r="H13" i="36"/>
  <c r="H19" i="36"/>
  <c r="O19" i="36"/>
  <c r="M19" i="36"/>
  <c r="K19" i="36"/>
  <c r="K26" i="36"/>
  <c r="O26" i="36"/>
  <c r="H26" i="36"/>
  <c r="M26" i="36"/>
  <c r="O30" i="36"/>
  <c r="K30" i="36"/>
  <c r="M30" i="36"/>
  <c r="H30" i="36"/>
  <c r="O6" i="41"/>
  <c r="D38" i="41"/>
  <c r="M6" i="41"/>
  <c r="K6" i="41"/>
  <c r="H6" i="41"/>
  <c r="K12" i="41"/>
  <c r="H12" i="41"/>
  <c r="M12" i="41"/>
  <c r="O12" i="41"/>
  <c r="O16" i="41"/>
  <c r="M16" i="41"/>
  <c r="K16" i="41"/>
  <c r="H16" i="41"/>
  <c r="M22" i="41"/>
  <c r="K22" i="41"/>
  <c r="O22" i="41"/>
  <c r="H22" i="41"/>
  <c r="O28" i="41"/>
  <c r="K28" i="41"/>
  <c r="M28" i="41"/>
  <c r="H28" i="41"/>
  <c r="M35" i="41"/>
  <c r="K35" i="41"/>
  <c r="O35" i="41"/>
  <c r="H35" i="41"/>
  <c r="O10" i="42"/>
  <c r="H10" i="42"/>
  <c r="M10" i="42"/>
  <c r="K10" i="42"/>
  <c r="H16" i="42"/>
  <c r="K16" i="42"/>
  <c r="M16" i="42"/>
  <c r="O16" i="42"/>
  <c r="M22" i="42"/>
  <c r="O22" i="42"/>
  <c r="K22" i="42"/>
  <c r="H22" i="42"/>
  <c r="K27" i="42"/>
  <c r="M27" i="42"/>
  <c r="O27" i="42"/>
  <c r="H27" i="42"/>
  <c r="H33" i="42"/>
  <c r="K33" i="42"/>
  <c r="O33" i="42"/>
  <c r="M33" i="42"/>
  <c r="H33" i="38"/>
  <c r="M33" i="38"/>
  <c r="K33" i="38"/>
  <c r="O33" i="38"/>
  <c r="D33" i="43"/>
  <c r="H33" i="43" s="1"/>
  <c r="K34" i="39"/>
  <c r="H34" i="39"/>
  <c r="M34" i="39"/>
  <c r="O34" i="39"/>
  <c r="O19" i="39"/>
  <c r="K19" i="39"/>
  <c r="H19" i="39"/>
  <c r="M19" i="39"/>
  <c r="O10" i="39"/>
  <c r="K10" i="39"/>
  <c r="H10" i="39"/>
  <c r="M10" i="39"/>
  <c r="M29" i="40"/>
  <c r="K29" i="40"/>
  <c r="H29" i="40"/>
  <c r="O29" i="40"/>
  <c r="H30" i="35"/>
  <c r="K30" i="35"/>
  <c r="O30" i="35"/>
  <c r="M30" i="35"/>
  <c r="O27" i="36"/>
  <c r="M27" i="36"/>
  <c r="K27" i="36"/>
  <c r="H27" i="36"/>
  <c r="H7" i="41"/>
  <c r="M7" i="41"/>
  <c r="O7" i="41"/>
  <c r="K7" i="41"/>
  <c r="M23" i="41"/>
  <c r="O23" i="41"/>
  <c r="K23" i="41"/>
  <c r="H23" i="41"/>
  <c r="K6" i="42"/>
  <c r="H6" i="42"/>
  <c r="M6" i="42"/>
  <c r="O6" i="42"/>
  <c r="D38" i="42"/>
  <c r="H28" i="42"/>
  <c r="M28" i="42"/>
  <c r="K28" i="42"/>
  <c r="O28" i="42"/>
  <c r="M31" i="38"/>
  <c r="K31" i="38"/>
  <c r="H31" i="38"/>
  <c r="O31" i="38"/>
  <c r="D31" i="43"/>
  <c r="H31" i="43" s="1"/>
  <c r="K33" i="39"/>
  <c r="M33" i="39"/>
  <c r="H33" i="39"/>
  <c r="O33" i="39"/>
  <c r="H18" i="39"/>
  <c r="K18" i="39"/>
  <c r="M18" i="39"/>
  <c r="O18" i="39"/>
  <c r="D18" i="43"/>
  <c r="H18" i="43" s="1"/>
  <c r="O8" i="39"/>
  <c r="H8" i="39"/>
  <c r="M8" i="39"/>
  <c r="K8" i="39"/>
  <c r="O30" i="40"/>
  <c r="K30" i="40"/>
  <c r="H30" i="40"/>
  <c r="M30" i="40"/>
  <c r="K15" i="35"/>
  <c r="H15" i="35"/>
  <c r="M15" i="35"/>
  <c r="O15" i="35"/>
  <c r="K27" i="35"/>
  <c r="H27" i="35"/>
  <c r="M27" i="35"/>
  <c r="O27" i="35"/>
  <c r="O31" i="35"/>
  <c r="M31" i="35"/>
  <c r="H31" i="35"/>
  <c r="K31" i="35"/>
  <c r="M7" i="36"/>
  <c r="K7" i="36"/>
  <c r="H7" i="36"/>
  <c r="O7" i="36"/>
  <c r="K15" i="36"/>
  <c r="O15" i="36"/>
  <c r="M15" i="36"/>
  <c r="H15" i="36"/>
  <c r="H22" i="36"/>
  <c r="K22" i="36"/>
  <c r="O22" i="36"/>
  <c r="M22" i="36"/>
  <c r="O28" i="36"/>
  <c r="K28" i="36"/>
  <c r="H28" i="36"/>
  <c r="M28" i="36"/>
  <c r="H33" i="36"/>
  <c r="M33" i="36"/>
  <c r="O33" i="36"/>
  <c r="K33" i="36"/>
  <c r="H10" i="41"/>
  <c r="K10" i="41"/>
  <c r="M10" i="41"/>
  <c r="O10" i="41"/>
  <c r="M14" i="41"/>
  <c r="K14" i="41"/>
  <c r="O14" i="41"/>
  <c r="H14" i="41"/>
  <c r="O19" i="41"/>
  <c r="H19" i="41"/>
  <c r="K19" i="41"/>
  <c r="M19" i="41"/>
  <c r="K26" i="41"/>
  <c r="H26" i="41"/>
  <c r="M26" i="41"/>
  <c r="O26" i="41"/>
  <c r="H30" i="41"/>
  <c r="O30" i="41"/>
  <c r="K30" i="41"/>
  <c r="M30" i="41"/>
  <c r="H7" i="42"/>
  <c r="G7" i="42" s="1"/>
  <c r="O7" i="42"/>
  <c r="K7" i="42"/>
  <c r="M7" i="42"/>
  <c r="H14" i="42"/>
  <c r="K14" i="42"/>
  <c r="O14" i="42"/>
  <c r="M14" i="42"/>
  <c r="K20" i="42"/>
  <c r="K20" i="43" s="1"/>
  <c r="O20" i="42"/>
  <c r="O20" i="43" s="1"/>
  <c r="M20" i="42"/>
  <c r="M20" i="43" s="1"/>
  <c r="H20" i="42"/>
  <c r="D20" i="43"/>
  <c r="H20" i="43" s="1"/>
  <c r="M24" i="42"/>
  <c r="K24" i="42"/>
  <c r="O24" i="42"/>
  <c r="H24" i="42"/>
  <c r="H30" i="42"/>
  <c r="K30" i="42"/>
  <c r="O30" i="42"/>
  <c r="M30" i="42"/>
  <c r="M36" i="42"/>
  <c r="O36" i="42"/>
  <c r="K36" i="42"/>
  <c r="H36" i="42"/>
  <c r="K6" i="38"/>
  <c r="D6" i="43"/>
  <c r="M6" i="38"/>
  <c r="H6" i="38"/>
  <c r="O6" i="38"/>
  <c r="D38" i="38"/>
  <c r="M7" i="38"/>
  <c r="H7" i="38"/>
  <c r="O7" i="38"/>
  <c r="K7" i="38"/>
  <c r="D7" i="43"/>
  <c r="H7" i="43" s="1"/>
  <c r="K28" i="38"/>
  <c r="H28" i="38"/>
  <c r="M28" i="38"/>
  <c r="O28" i="38"/>
  <c r="D28" i="43"/>
  <c r="H28" i="43" s="1"/>
  <c r="H21" i="38"/>
  <c r="M21" i="38"/>
  <c r="O21" i="38"/>
  <c r="K21" i="38"/>
  <c r="D21" i="43"/>
  <c r="H21" i="43" s="1"/>
  <c r="H15" i="38"/>
  <c r="K15" i="38"/>
  <c r="M15" i="38"/>
  <c r="O15" i="38"/>
  <c r="D15" i="43"/>
  <c r="H15" i="43" s="1"/>
  <c r="K10" i="38"/>
  <c r="O10" i="38"/>
  <c r="M10" i="38"/>
  <c r="H10" i="38"/>
  <c r="D10" i="43"/>
  <c r="H10" i="43" s="1"/>
  <c r="M30" i="39"/>
  <c r="K30" i="39"/>
  <c r="O30" i="39"/>
  <c r="H30" i="39"/>
  <c r="O26" i="39"/>
  <c r="H26" i="39"/>
  <c r="M26" i="39"/>
  <c r="K26" i="39"/>
  <c r="H15" i="39"/>
  <c r="K15" i="39"/>
  <c r="M15" i="39"/>
  <c r="O15" i="39"/>
  <c r="K7" i="40"/>
  <c r="M7" i="40"/>
  <c r="O7" i="40"/>
  <c r="H7" i="40"/>
  <c r="K13" i="40"/>
  <c r="H13" i="40"/>
  <c r="O13" i="40"/>
  <c r="M13" i="40"/>
  <c r="H18" i="40"/>
  <c r="K18" i="40"/>
  <c r="M18" i="40"/>
  <c r="O18" i="40"/>
  <c r="M34" i="40"/>
  <c r="O34" i="40"/>
  <c r="K34" i="40"/>
  <c r="H34" i="40"/>
  <c r="O7" i="35"/>
  <c r="M7" i="35"/>
  <c r="K7" i="35"/>
  <c r="H7" i="35"/>
  <c r="K14" i="35"/>
  <c r="O14" i="35"/>
  <c r="H14" i="35"/>
  <c r="M14" i="35"/>
  <c r="O18" i="35"/>
  <c r="K18" i="35"/>
  <c r="M18" i="35"/>
  <c r="H18" i="35"/>
  <c r="M23" i="35"/>
  <c r="K23" i="35"/>
  <c r="H23" i="35"/>
  <c r="O23" i="35"/>
  <c r="H6" i="36"/>
  <c r="D38" i="36"/>
  <c r="K6" i="36"/>
  <c r="M6" i="36"/>
  <c r="O6" i="36"/>
  <c r="H14" i="36"/>
  <c r="M14" i="36"/>
  <c r="K14" i="36"/>
  <c r="O14" i="36"/>
  <c r="O21" i="36"/>
  <c r="K21" i="36"/>
  <c r="M21" i="36"/>
  <c r="H21" i="36"/>
  <c r="M32" i="36"/>
  <c r="H32" i="36"/>
  <c r="K32" i="36"/>
  <c r="O32" i="36"/>
  <c r="O13" i="41"/>
  <c r="K13" i="41"/>
  <c r="M13" i="41"/>
  <c r="H13" i="41"/>
  <c r="M17" i="41"/>
  <c r="K17" i="41"/>
  <c r="O17" i="41"/>
  <c r="H17" i="41"/>
  <c r="H29" i="41"/>
  <c r="K29" i="41"/>
  <c r="O29" i="41"/>
  <c r="M29" i="41"/>
  <c r="H11" i="42"/>
  <c r="K11" i="42"/>
  <c r="O11" i="42"/>
  <c r="M11" i="42"/>
  <c r="K19" i="42"/>
  <c r="O19" i="42"/>
  <c r="M19" i="42"/>
  <c r="H19" i="42"/>
  <c r="M23" i="42"/>
  <c r="K23" i="42"/>
  <c r="H23" i="42"/>
  <c r="O23" i="42"/>
  <c r="H35" i="42"/>
  <c r="G35" i="42" s="1"/>
  <c r="M35" i="42"/>
  <c r="O35" i="42"/>
  <c r="K35" i="42"/>
  <c r="K36" i="38"/>
  <c r="M36" i="38"/>
  <c r="H36" i="38"/>
  <c r="O36" i="38"/>
  <c r="D36" i="43"/>
  <c r="H36" i="43" s="1"/>
  <c r="O26" i="38"/>
  <c r="H26" i="38"/>
  <c r="M26" i="38"/>
  <c r="K26" i="38"/>
  <c r="D26" i="43"/>
  <c r="H26" i="43" s="1"/>
  <c r="M19" i="38"/>
  <c r="O19" i="38"/>
  <c r="K19" i="38"/>
  <c r="H19" i="38"/>
  <c r="D19" i="43"/>
  <c r="H19" i="43" s="1"/>
  <c r="M14" i="38"/>
  <c r="H14" i="38"/>
  <c r="K14" i="38"/>
  <c r="O14" i="38"/>
  <c r="D14" i="43"/>
  <c r="H14" i="43" s="1"/>
  <c r="K6" i="39"/>
  <c r="D38" i="39"/>
  <c r="H6" i="39"/>
  <c r="O6" i="39"/>
  <c r="M6" i="39"/>
  <c r="H29" i="39"/>
  <c r="K29" i="39"/>
  <c r="O29" i="39"/>
  <c r="M29" i="39"/>
  <c r="H23" i="39"/>
  <c r="M23" i="39"/>
  <c r="K23" i="39"/>
  <c r="O23" i="39"/>
  <c r="D23" i="43"/>
  <c r="H23" i="43" s="1"/>
  <c r="H14" i="39"/>
  <c r="M14" i="39"/>
  <c r="O14" i="39"/>
  <c r="K14" i="39"/>
  <c r="H8" i="40"/>
  <c r="O8" i="40"/>
  <c r="K8" i="40"/>
  <c r="M8" i="40"/>
  <c r="K14" i="40"/>
  <c r="M14" i="40"/>
  <c r="O14" i="40"/>
  <c r="H14" i="40"/>
  <c r="K22" i="40"/>
  <c r="H22" i="40"/>
  <c r="O22" i="40"/>
  <c r="M22" i="40"/>
  <c r="K35" i="40"/>
  <c r="M35" i="40"/>
  <c r="O35" i="40"/>
  <c r="H35" i="40"/>
  <c r="O8" i="35"/>
  <c r="M8" i="35"/>
  <c r="K8" i="35"/>
  <c r="H8" i="35"/>
  <c r="H19" i="35"/>
  <c r="M19" i="35"/>
  <c r="K19" i="35"/>
  <c r="O19" i="35"/>
  <c r="O35" i="38"/>
  <c r="H35" i="38"/>
  <c r="M35" i="38"/>
  <c r="K35" i="38"/>
  <c r="D35" i="43"/>
  <c r="H35" i="43" s="1"/>
  <c r="K30" i="38"/>
  <c r="O30" i="38"/>
  <c r="M30" i="38"/>
  <c r="H30" i="38"/>
  <c r="D30" i="43"/>
  <c r="H30" i="43" s="1"/>
  <c r="O24" i="38"/>
  <c r="K24" i="38"/>
  <c r="M24" i="38"/>
  <c r="H24" i="38"/>
  <c r="D24" i="43"/>
  <c r="H24" i="43" s="1"/>
  <c r="M17" i="38"/>
  <c r="H17" i="38"/>
  <c r="K17" i="38"/>
  <c r="O17" i="38"/>
  <c r="D17" i="43"/>
  <c r="H17" i="43" s="1"/>
  <c r="K13" i="38"/>
  <c r="M13" i="38"/>
  <c r="O13" i="38"/>
  <c r="H13" i="38"/>
  <c r="D13" i="43"/>
  <c r="H13" i="43" s="1"/>
  <c r="H36" i="39"/>
  <c r="M36" i="39"/>
  <c r="K36" i="39"/>
  <c r="O36" i="39"/>
  <c r="H32" i="39"/>
  <c r="O32" i="39"/>
  <c r="K32" i="39"/>
  <c r="M32" i="39"/>
  <c r="D32" i="43"/>
  <c r="H32" i="43" s="1"/>
  <c r="O28" i="39"/>
  <c r="K28" i="39"/>
  <c r="M28" i="39"/>
  <c r="H28" i="39"/>
  <c r="O22" i="39"/>
  <c r="H22" i="39"/>
  <c r="K22" i="39"/>
  <c r="M22" i="39"/>
  <c r="O17" i="39"/>
  <c r="H17" i="39"/>
  <c r="M17" i="39"/>
  <c r="K17" i="39"/>
  <c r="H13" i="39"/>
  <c r="K13" i="39"/>
  <c r="M13" i="39"/>
  <c r="O13" i="39"/>
  <c r="M7" i="39"/>
  <c r="K7" i="39"/>
  <c r="H7" i="39"/>
  <c r="O7" i="39"/>
  <c r="K10" i="40"/>
  <c r="H10" i="40"/>
  <c r="M10" i="40"/>
  <c r="O10" i="40"/>
  <c r="K15" i="40"/>
  <c r="M15" i="40"/>
  <c r="O15" i="40"/>
  <c r="H15" i="40"/>
  <c r="M27" i="40"/>
  <c r="K27" i="40"/>
  <c r="O27" i="40"/>
  <c r="H27" i="40"/>
  <c r="O31" i="40"/>
  <c r="M31" i="40"/>
  <c r="H31" i="40"/>
  <c r="K31" i="40"/>
  <c r="O36" i="40"/>
  <c r="M36" i="40"/>
  <c r="K36" i="40"/>
  <c r="H36" i="40"/>
  <c r="O12" i="35"/>
  <c r="K12" i="35"/>
  <c r="M12" i="35"/>
  <c r="H12" i="35"/>
  <c r="O16" i="35"/>
  <c r="H16" i="35"/>
  <c r="K16" i="35"/>
  <c r="M16" i="35"/>
  <c r="O21" i="35"/>
  <c r="H21" i="35"/>
  <c r="K21" i="35"/>
  <c r="M21" i="35"/>
  <c r="K28" i="35"/>
  <c r="M28" i="35"/>
  <c r="O28" i="35"/>
  <c r="H28" i="35"/>
  <c r="M33" i="35"/>
  <c r="O33" i="35"/>
  <c r="K33" i="35"/>
  <c r="H33" i="35"/>
  <c r="K8" i="36"/>
  <c r="M8" i="36"/>
  <c r="O8" i="36"/>
  <c r="H8" i="36"/>
  <c r="H17" i="36"/>
  <c r="M17" i="36"/>
  <c r="K17" i="36"/>
  <c r="O17" i="36"/>
  <c r="H23" i="36"/>
  <c r="K23" i="36"/>
  <c r="M23" i="36"/>
  <c r="O23" i="36"/>
  <c r="H29" i="36"/>
  <c r="M29" i="36"/>
  <c r="O29" i="36"/>
  <c r="K29" i="36"/>
  <c r="O35" i="36"/>
  <c r="H35" i="36"/>
  <c r="M35" i="36"/>
  <c r="K35" i="36"/>
  <c r="H11" i="41"/>
  <c r="K11" i="41"/>
  <c r="O11" i="41"/>
  <c r="M11" i="41"/>
  <c r="K15" i="41"/>
  <c r="M15" i="41"/>
  <c r="H15" i="41"/>
  <c r="O15" i="41"/>
  <c r="H21" i="41"/>
  <c r="K21" i="41"/>
  <c r="M21" i="41"/>
  <c r="O21" i="41"/>
  <c r="H27" i="41"/>
  <c r="K27" i="41"/>
  <c r="O27" i="41"/>
  <c r="M27" i="41"/>
  <c r="H32" i="41"/>
  <c r="O32" i="41"/>
  <c r="M32" i="41"/>
  <c r="K32" i="41"/>
  <c r="O8" i="42"/>
  <c r="K8" i="42"/>
  <c r="K8" i="43" s="1"/>
  <c r="M8" i="42"/>
  <c r="H8" i="42"/>
  <c r="M15" i="42"/>
  <c r="O15" i="42"/>
  <c r="H15" i="42"/>
  <c r="K15" i="42"/>
  <c r="O21" i="42"/>
  <c r="H21" i="42"/>
  <c r="K21" i="42"/>
  <c r="M21" i="42"/>
  <c r="H26" i="42"/>
  <c r="G26" i="42" s="1"/>
  <c r="O26" i="42"/>
  <c r="O26" i="43" s="1"/>
  <c r="M26" i="42"/>
  <c r="K26" i="42"/>
  <c r="O31" i="42"/>
  <c r="M31" i="42"/>
  <c r="M31" i="43" s="1"/>
  <c r="K31" i="42"/>
  <c r="H31" i="42"/>
  <c r="G10" i="42" l="1"/>
  <c r="G20" i="42"/>
  <c r="U20" i="42" s="1"/>
  <c r="U26" i="42"/>
  <c r="U35" i="42"/>
  <c r="C35" i="42" s="1"/>
  <c r="O12" i="43"/>
  <c r="O15" i="43"/>
  <c r="K32" i="43"/>
  <c r="O21" i="43"/>
  <c r="O13" i="43"/>
  <c r="M24" i="43"/>
  <c r="M18" i="43"/>
  <c r="O23" i="43"/>
  <c r="M11" i="43"/>
  <c r="O38" i="36"/>
  <c r="K31" i="43"/>
  <c r="O35" i="43"/>
  <c r="O11" i="43"/>
  <c r="K34" i="43"/>
  <c r="AR10" i="40"/>
  <c r="G10" i="40"/>
  <c r="AQ10" i="40"/>
  <c r="AS10" i="40"/>
  <c r="AS22" i="39"/>
  <c r="AR22" i="39"/>
  <c r="G22" i="39"/>
  <c r="AQ22" i="39"/>
  <c r="M17" i="43"/>
  <c r="AR35" i="40"/>
  <c r="AQ35" i="40"/>
  <c r="G35" i="40"/>
  <c r="AS35" i="40"/>
  <c r="G29" i="39"/>
  <c r="AQ29" i="39"/>
  <c r="AR29" i="39"/>
  <c r="AS29" i="39"/>
  <c r="H38" i="39"/>
  <c r="D43" i="39" s="1"/>
  <c r="AQ6" i="39"/>
  <c r="G6" i="39"/>
  <c r="AR6" i="39"/>
  <c r="AR36" i="38"/>
  <c r="G36" i="38"/>
  <c r="AS36" i="38"/>
  <c r="AQ36" i="38"/>
  <c r="M19" i="43"/>
  <c r="AQ6" i="36"/>
  <c r="H38" i="36"/>
  <c r="D43" i="36" s="1"/>
  <c r="G6" i="36"/>
  <c r="AR6" i="36"/>
  <c r="M26" i="43"/>
  <c r="K21" i="43"/>
  <c r="G15" i="42"/>
  <c r="U15" i="42" s="1"/>
  <c r="AQ15" i="42"/>
  <c r="AR15" i="42"/>
  <c r="AS15" i="42"/>
  <c r="M8" i="43"/>
  <c r="G15" i="41"/>
  <c r="AS15" i="41"/>
  <c r="AR15" i="41"/>
  <c r="AQ15" i="41"/>
  <c r="AQ31" i="40"/>
  <c r="AR31" i="40"/>
  <c r="AS31" i="40"/>
  <c r="G31" i="40"/>
  <c r="AS7" i="39"/>
  <c r="AQ7" i="39"/>
  <c r="G7" i="39"/>
  <c r="AR7" i="39"/>
  <c r="M32" i="43"/>
  <c r="K13" i="43"/>
  <c r="AS17" i="38"/>
  <c r="G17" i="38"/>
  <c r="AR17" i="38"/>
  <c r="AQ17" i="38"/>
  <c r="AQ30" i="38"/>
  <c r="AS30" i="38"/>
  <c r="AR30" i="38"/>
  <c r="G30" i="38"/>
  <c r="G19" i="35"/>
  <c r="AS19" i="35"/>
  <c r="AR19" i="35"/>
  <c r="AQ19" i="35"/>
  <c r="AR8" i="40"/>
  <c r="AS8" i="40"/>
  <c r="AQ8" i="40"/>
  <c r="G8" i="40"/>
  <c r="G14" i="39"/>
  <c r="AQ14" i="39"/>
  <c r="AR14" i="39"/>
  <c r="AS14" i="39"/>
  <c r="O38" i="39"/>
  <c r="K35" i="43"/>
  <c r="AR19" i="42"/>
  <c r="G19" i="42"/>
  <c r="U19" i="42" s="1"/>
  <c r="AS19" i="42"/>
  <c r="AQ19" i="42"/>
  <c r="G17" i="41"/>
  <c r="AS17" i="41"/>
  <c r="AQ17" i="41"/>
  <c r="AR17" i="41"/>
  <c r="AS13" i="41"/>
  <c r="AQ13" i="41"/>
  <c r="G13" i="41"/>
  <c r="AR13" i="41"/>
  <c r="AQ21" i="36"/>
  <c r="AR21" i="36"/>
  <c r="G21" i="36"/>
  <c r="AS21" i="36"/>
  <c r="G13" i="40"/>
  <c r="AS13" i="40"/>
  <c r="AQ13" i="40"/>
  <c r="AR13" i="40"/>
  <c r="AS26" i="39"/>
  <c r="AQ26" i="39"/>
  <c r="G26" i="39"/>
  <c r="AR26" i="39"/>
  <c r="AS21" i="38"/>
  <c r="AQ21" i="38"/>
  <c r="G21" i="38"/>
  <c r="AR21" i="38"/>
  <c r="AR28" i="38"/>
  <c r="AQ28" i="38"/>
  <c r="AS28" i="38"/>
  <c r="G28" i="38"/>
  <c r="O7" i="43"/>
  <c r="H6" i="43"/>
  <c r="H38" i="43" s="1"/>
  <c r="D43" i="43" s="1"/>
  <c r="D38" i="43"/>
  <c r="O36" i="43"/>
  <c r="K30" i="43"/>
  <c r="K24" i="43"/>
  <c r="O14" i="43"/>
  <c r="AQ14" i="41"/>
  <c r="AS14" i="41"/>
  <c r="AR14" i="41"/>
  <c r="G14" i="41"/>
  <c r="AQ15" i="36"/>
  <c r="AR15" i="36"/>
  <c r="G15" i="36"/>
  <c r="AS15" i="36"/>
  <c r="G18" i="39"/>
  <c r="AS18" i="39"/>
  <c r="AR18" i="39"/>
  <c r="AQ18" i="39"/>
  <c r="M28" i="43"/>
  <c r="O38" i="42"/>
  <c r="AR23" i="41"/>
  <c r="AS23" i="41"/>
  <c r="AQ23" i="41"/>
  <c r="G23" i="41"/>
  <c r="AS27" i="36"/>
  <c r="G27" i="36"/>
  <c r="AR27" i="36"/>
  <c r="AQ27" i="36"/>
  <c r="AQ33" i="38"/>
  <c r="AR33" i="38"/>
  <c r="G33" i="38"/>
  <c r="AS33" i="38"/>
  <c r="K33" i="43"/>
  <c r="M27" i="43"/>
  <c r="O22" i="43"/>
  <c r="K16" i="43"/>
  <c r="U10" i="42"/>
  <c r="AR10" i="42"/>
  <c r="AQ10" i="42"/>
  <c r="AS10" i="42"/>
  <c r="AR12" i="41"/>
  <c r="AS12" i="41"/>
  <c r="G12" i="41"/>
  <c r="AQ12" i="41"/>
  <c r="K38" i="41"/>
  <c r="AS30" i="36"/>
  <c r="G30" i="36"/>
  <c r="AQ30" i="36"/>
  <c r="AR30" i="36"/>
  <c r="G13" i="36"/>
  <c r="AR13" i="36"/>
  <c r="AQ13" i="36"/>
  <c r="AS13" i="36"/>
  <c r="AS16" i="40"/>
  <c r="AQ16" i="40"/>
  <c r="AR16" i="40"/>
  <c r="G16" i="40"/>
  <c r="M12" i="43"/>
  <c r="O38" i="40"/>
  <c r="K38" i="40"/>
  <c r="AQ16" i="39"/>
  <c r="G16" i="39"/>
  <c r="AR16" i="39"/>
  <c r="AS16" i="39"/>
  <c r="AS35" i="39"/>
  <c r="AQ35" i="39"/>
  <c r="AR35" i="39"/>
  <c r="G35" i="39"/>
  <c r="AS8" i="38"/>
  <c r="AR8" i="38"/>
  <c r="G8" i="38"/>
  <c r="AQ8" i="38"/>
  <c r="O29" i="43"/>
  <c r="M34" i="43"/>
  <c r="AQ21" i="42"/>
  <c r="AS21" i="42"/>
  <c r="AR21" i="42"/>
  <c r="G21" i="42"/>
  <c r="U21" i="42" s="1"/>
  <c r="AS35" i="36"/>
  <c r="AR35" i="36"/>
  <c r="G35" i="36"/>
  <c r="AQ35" i="36"/>
  <c r="G21" i="35"/>
  <c r="AR21" i="35"/>
  <c r="AQ21" i="35"/>
  <c r="AS21" i="35"/>
  <c r="AQ8" i="35"/>
  <c r="G8" i="35"/>
  <c r="AR8" i="35"/>
  <c r="AS8" i="35"/>
  <c r="G14" i="40"/>
  <c r="AS14" i="40"/>
  <c r="AR14" i="40"/>
  <c r="AQ14" i="40"/>
  <c r="G23" i="39"/>
  <c r="AS23" i="39"/>
  <c r="AR23" i="39"/>
  <c r="AQ23" i="39"/>
  <c r="AQ23" i="42"/>
  <c r="G23" i="42"/>
  <c r="U23" i="42" s="1"/>
  <c r="AS23" i="42"/>
  <c r="AR23" i="42"/>
  <c r="AR28" i="36"/>
  <c r="AQ28" i="36"/>
  <c r="G28" i="36"/>
  <c r="AS28" i="36"/>
  <c r="AR31" i="35"/>
  <c r="AS31" i="35"/>
  <c r="AQ31" i="35"/>
  <c r="G31" i="35"/>
  <c r="AS30" i="40"/>
  <c r="G30" i="40"/>
  <c r="AR30" i="40"/>
  <c r="AQ30" i="40"/>
  <c r="O18" i="43"/>
  <c r="AQ28" i="42"/>
  <c r="AS28" i="42"/>
  <c r="G28" i="42"/>
  <c r="U28" i="42" s="1"/>
  <c r="AR28" i="42"/>
  <c r="AS29" i="40"/>
  <c r="AR29" i="40"/>
  <c r="AQ29" i="40"/>
  <c r="G29" i="40"/>
  <c r="G19" i="39"/>
  <c r="AR19" i="39"/>
  <c r="AS19" i="39"/>
  <c r="AQ19" i="39"/>
  <c r="AQ33" i="42"/>
  <c r="G33" i="42"/>
  <c r="U33" i="42" s="1"/>
  <c r="C33" i="42" s="1"/>
  <c r="AS33" i="42"/>
  <c r="AR33" i="42"/>
  <c r="O10" i="43"/>
  <c r="AS13" i="35"/>
  <c r="G13" i="35"/>
  <c r="AQ13" i="35"/>
  <c r="AR13" i="35"/>
  <c r="AQ26" i="42"/>
  <c r="AS26" i="42"/>
  <c r="AR26" i="42"/>
  <c r="M15" i="43"/>
  <c r="G32" i="41"/>
  <c r="AS32" i="41"/>
  <c r="AR32" i="41"/>
  <c r="AQ32" i="41"/>
  <c r="G29" i="36"/>
  <c r="AQ29" i="36"/>
  <c r="AR29" i="36"/>
  <c r="AS29" i="36"/>
  <c r="O32" i="43"/>
  <c r="O17" i="43"/>
  <c r="G19" i="38"/>
  <c r="AR19" i="38"/>
  <c r="AS19" i="38"/>
  <c r="AQ19" i="38"/>
  <c r="O19" i="43"/>
  <c r="AS7" i="35"/>
  <c r="AR7" i="35"/>
  <c r="G7" i="35"/>
  <c r="AQ7" i="35"/>
  <c r="AR7" i="40"/>
  <c r="G7" i="40"/>
  <c r="AQ7" i="40"/>
  <c r="AS7" i="40"/>
  <c r="AS30" i="39"/>
  <c r="G30" i="39"/>
  <c r="AQ30" i="39"/>
  <c r="AR30" i="39"/>
  <c r="M7" i="43"/>
  <c r="H38" i="38"/>
  <c r="D43" i="38" s="1"/>
  <c r="G6" i="38"/>
  <c r="AQ6" i="38"/>
  <c r="AR6" i="38"/>
  <c r="AR36" i="42"/>
  <c r="G36" i="42"/>
  <c r="U36" i="42" s="1"/>
  <c r="AQ36" i="42"/>
  <c r="AS36" i="42"/>
  <c r="M30" i="43"/>
  <c r="AR24" i="42"/>
  <c r="G24" i="42"/>
  <c r="U24" i="42" s="1"/>
  <c r="AQ24" i="42"/>
  <c r="AS24" i="42"/>
  <c r="AS14" i="42"/>
  <c r="G14" i="42"/>
  <c r="U14" i="42" s="1"/>
  <c r="AQ14" i="42"/>
  <c r="AR14" i="42"/>
  <c r="AS26" i="41"/>
  <c r="AQ26" i="41"/>
  <c r="AR26" i="41"/>
  <c r="G26" i="41"/>
  <c r="AQ19" i="41"/>
  <c r="AR19" i="41"/>
  <c r="AS19" i="41"/>
  <c r="G19" i="41"/>
  <c r="AQ27" i="35"/>
  <c r="AS27" i="35"/>
  <c r="G27" i="35"/>
  <c r="AR27" i="35"/>
  <c r="AQ15" i="35"/>
  <c r="AR15" i="35"/>
  <c r="AS15" i="35"/>
  <c r="G15" i="35"/>
  <c r="AS8" i="39"/>
  <c r="AR8" i="39"/>
  <c r="G8" i="39"/>
  <c r="AQ8" i="39"/>
  <c r="G33" i="39"/>
  <c r="AR33" i="39"/>
  <c r="AQ33" i="39"/>
  <c r="AS33" i="39"/>
  <c r="O28" i="43"/>
  <c r="AR6" i="42"/>
  <c r="G6" i="42"/>
  <c r="U6" i="42" s="1"/>
  <c r="AQ6" i="42"/>
  <c r="H38" i="42"/>
  <c r="D43" i="42" s="1"/>
  <c r="AQ34" i="39"/>
  <c r="AR34" i="39"/>
  <c r="G34" i="39"/>
  <c r="AS34" i="39"/>
  <c r="M33" i="43"/>
  <c r="AQ27" i="42"/>
  <c r="AS27" i="42"/>
  <c r="AR27" i="42"/>
  <c r="G27" i="42"/>
  <c r="U27" i="42" s="1"/>
  <c r="G22" i="42"/>
  <c r="U22" i="42" s="1"/>
  <c r="AR22" i="42"/>
  <c r="AS22" i="42"/>
  <c r="AQ22" i="42"/>
  <c r="O16" i="43"/>
  <c r="K10" i="43"/>
  <c r="G35" i="41"/>
  <c r="AQ35" i="41"/>
  <c r="AS35" i="41"/>
  <c r="AR35" i="41"/>
  <c r="AS28" i="41"/>
  <c r="AQ28" i="41"/>
  <c r="G28" i="41"/>
  <c r="AR28" i="41"/>
  <c r="G22" i="41"/>
  <c r="AQ22" i="41"/>
  <c r="AS22" i="41"/>
  <c r="AR22" i="41"/>
  <c r="G16" i="41"/>
  <c r="AR16" i="41"/>
  <c r="AS16" i="41"/>
  <c r="AQ16" i="41"/>
  <c r="AR29" i="35"/>
  <c r="AQ29" i="35"/>
  <c r="AS29" i="35"/>
  <c r="G29" i="35"/>
  <c r="O38" i="35"/>
  <c r="AS12" i="40"/>
  <c r="G12" i="40"/>
  <c r="AQ12" i="40"/>
  <c r="AR12" i="40"/>
  <c r="M38" i="40"/>
  <c r="AS27" i="39"/>
  <c r="AQ27" i="39"/>
  <c r="G27" i="39"/>
  <c r="AR27" i="39"/>
  <c r="AQ31" i="39"/>
  <c r="AS31" i="39"/>
  <c r="AR31" i="39"/>
  <c r="G31" i="39"/>
  <c r="AQ16" i="38"/>
  <c r="G16" i="38"/>
  <c r="AS16" i="38"/>
  <c r="AR16" i="38"/>
  <c r="AQ22" i="38"/>
  <c r="G22" i="38"/>
  <c r="AR22" i="38"/>
  <c r="AS22" i="38"/>
  <c r="AS29" i="38"/>
  <c r="AQ29" i="38"/>
  <c r="AR29" i="38"/>
  <c r="G29" i="38"/>
  <c r="AS34" i="38"/>
  <c r="G34" i="38"/>
  <c r="AQ34" i="38"/>
  <c r="AR34" i="38"/>
  <c r="AR16" i="35"/>
  <c r="AS16" i="35"/>
  <c r="AQ16" i="35"/>
  <c r="G16" i="35"/>
  <c r="AS17" i="39"/>
  <c r="AQ17" i="39"/>
  <c r="AR17" i="39"/>
  <c r="G17" i="39"/>
  <c r="AS13" i="38"/>
  <c r="AQ13" i="38"/>
  <c r="AR13" i="38"/>
  <c r="G13" i="38"/>
  <c r="G26" i="38"/>
  <c r="AS26" i="38"/>
  <c r="AR26" i="38"/>
  <c r="AQ26" i="38"/>
  <c r="AR18" i="40"/>
  <c r="AQ18" i="40"/>
  <c r="AS18" i="40"/>
  <c r="G18" i="40"/>
  <c r="AS15" i="39"/>
  <c r="AR15" i="39"/>
  <c r="AQ15" i="39"/>
  <c r="G15" i="39"/>
  <c r="G7" i="38"/>
  <c r="AQ7" i="38"/>
  <c r="AS7" i="38"/>
  <c r="AR7" i="38"/>
  <c r="O6" i="43"/>
  <c r="O38" i="38"/>
  <c r="K38" i="38"/>
  <c r="K6" i="43"/>
  <c r="M36" i="43"/>
  <c r="AR30" i="42"/>
  <c r="AQ30" i="42"/>
  <c r="AS30" i="42"/>
  <c r="G30" i="42"/>
  <c r="U30" i="42" s="1"/>
  <c r="K14" i="43"/>
  <c r="AQ7" i="36"/>
  <c r="AR7" i="36"/>
  <c r="AS7" i="36"/>
  <c r="G7" i="36"/>
  <c r="M38" i="42"/>
  <c r="AQ10" i="39"/>
  <c r="G10" i="39"/>
  <c r="AR10" i="39"/>
  <c r="AS10" i="39"/>
  <c r="K27" i="43"/>
  <c r="M22" i="43"/>
  <c r="G16" i="42"/>
  <c r="U16" i="42" s="1"/>
  <c r="AQ16" i="42"/>
  <c r="AS16" i="42"/>
  <c r="AR16" i="42"/>
  <c r="M38" i="41"/>
  <c r="AS26" i="36"/>
  <c r="AQ26" i="36"/>
  <c r="AR26" i="36"/>
  <c r="G26" i="36"/>
  <c r="K38" i="35"/>
  <c r="AR6" i="35"/>
  <c r="AQ6" i="35"/>
  <c r="H38" i="35"/>
  <c r="D43" i="35" s="1"/>
  <c r="G6" i="35"/>
  <c r="G33" i="40"/>
  <c r="AS33" i="40"/>
  <c r="AR33" i="40"/>
  <c r="AQ33" i="40"/>
  <c r="G28" i="40"/>
  <c r="AR28" i="40"/>
  <c r="AQ28" i="40"/>
  <c r="AS28" i="40"/>
  <c r="M29" i="43"/>
  <c r="O31" i="43"/>
  <c r="O8" i="43"/>
  <c r="G27" i="41"/>
  <c r="AQ27" i="41"/>
  <c r="AR27" i="41"/>
  <c r="AS27" i="41"/>
  <c r="AQ21" i="41"/>
  <c r="G21" i="41"/>
  <c r="AS21" i="41"/>
  <c r="AR21" i="41"/>
  <c r="AS11" i="41"/>
  <c r="G11" i="41"/>
  <c r="AR11" i="41"/>
  <c r="AQ11" i="41"/>
  <c r="G23" i="36"/>
  <c r="AS23" i="36"/>
  <c r="AQ23" i="36"/>
  <c r="AR23" i="36"/>
  <c r="AQ17" i="36"/>
  <c r="AR17" i="36"/>
  <c r="G17" i="36"/>
  <c r="AS17" i="36"/>
  <c r="G13" i="39"/>
  <c r="AS13" i="39"/>
  <c r="AR13" i="39"/>
  <c r="AQ13" i="39"/>
  <c r="M35" i="43"/>
  <c r="K23" i="43"/>
  <c r="K11" i="43"/>
  <c r="AS32" i="36"/>
  <c r="AQ32" i="36"/>
  <c r="G32" i="36"/>
  <c r="AR32" i="36"/>
  <c r="M38" i="36"/>
  <c r="G18" i="35"/>
  <c r="AR18" i="35"/>
  <c r="AQ18" i="35"/>
  <c r="AS18" i="35"/>
  <c r="AS34" i="40"/>
  <c r="G34" i="40"/>
  <c r="AQ34" i="40"/>
  <c r="AR34" i="40"/>
  <c r="AQ31" i="42"/>
  <c r="AS31" i="42"/>
  <c r="AR31" i="42"/>
  <c r="G31" i="42"/>
  <c r="U31" i="42" s="1"/>
  <c r="K26" i="43"/>
  <c r="M21" i="43"/>
  <c r="K15" i="43"/>
  <c r="AR8" i="42"/>
  <c r="AS8" i="42"/>
  <c r="AQ8" i="42"/>
  <c r="G8" i="42"/>
  <c r="U8" i="42" s="1"/>
  <c r="AS8" i="36"/>
  <c r="G8" i="36"/>
  <c r="AR8" i="36"/>
  <c r="AQ8" i="36"/>
  <c r="AQ33" i="35"/>
  <c r="G33" i="35"/>
  <c r="AR33" i="35"/>
  <c r="AS33" i="35"/>
  <c r="AR28" i="35"/>
  <c r="AQ28" i="35"/>
  <c r="G28" i="35"/>
  <c r="AS28" i="35"/>
  <c r="AR12" i="35"/>
  <c r="AQ12" i="35"/>
  <c r="G12" i="35"/>
  <c r="AS12" i="35"/>
  <c r="AQ36" i="40"/>
  <c r="AS36" i="40"/>
  <c r="AR36" i="40"/>
  <c r="G36" i="40"/>
  <c r="AR27" i="40"/>
  <c r="G27" i="40"/>
  <c r="AQ27" i="40"/>
  <c r="AS27" i="40"/>
  <c r="G15" i="40"/>
  <c r="AQ15" i="40"/>
  <c r="AR15" i="40"/>
  <c r="AS15" i="40"/>
  <c r="AQ28" i="39"/>
  <c r="AS28" i="39"/>
  <c r="G28" i="39"/>
  <c r="AR28" i="39"/>
  <c r="AR32" i="39"/>
  <c r="G32" i="39"/>
  <c r="AQ32" i="39"/>
  <c r="AS32" i="39"/>
  <c r="AS36" i="39"/>
  <c r="AQ36" i="39"/>
  <c r="AR36" i="39"/>
  <c r="G36" i="39"/>
  <c r="M13" i="43"/>
  <c r="K17" i="43"/>
  <c r="AR24" i="38"/>
  <c r="G24" i="38"/>
  <c r="AQ24" i="38"/>
  <c r="AS24" i="38"/>
  <c r="AQ35" i="38"/>
  <c r="AR35" i="38"/>
  <c r="AS35" i="38"/>
  <c r="G35" i="38"/>
  <c r="AS22" i="40"/>
  <c r="AQ22" i="40"/>
  <c r="G22" i="40"/>
  <c r="AR22" i="40"/>
  <c r="M38" i="39"/>
  <c r="K38" i="39"/>
  <c r="AQ14" i="38"/>
  <c r="G14" i="38"/>
  <c r="AS14" i="38"/>
  <c r="AR14" i="38"/>
  <c r="AQ35" i="42"/>
  <c r="AS35" i="42"/>
  <c r="AR35" i="42"/>
  <c r="M23" i="43"/>
  <c r="K19" i="43"/>
  <c r="AS11" i="42"/>
  <c r="G11" i="42"/>
  <c r="U11" i="42" s="1"/>
  <c r="AR11" i="42"/>
  <c r="AQ11" i="42"/>
  <c r="AR29" i="41"/>
  <c r="AS29" i="41"/>
  <c r="G29" i="41"/>
  <c r="AQ29" i="41"/>
  <c r="AR14" i="36"/>
  <c r="G14" i="36"/>
  <c r="AQ14" i="36"/>
  <c r="AS14" i="36"/>
  <c r="K38" i="36"/>
  <c r="AS23" i="35"/>
  <c r="AR23" i="35"/>
  <c r="G23" i="35"/>
  <c r="AQ23" i="35"/>
  <c r="AR14" i="35"/>
  <c r="G14" i="35"/>
  <c r="AQ14" i="35"/>
  <c r="AS14" i="35"/>
  <c r="AR10" i="38"/>
  <c r="G10" i="38"/>
  <c r="AQ10" i="38"/>
  <c r="AS10" i="38"/>
  <c r="AR15" i="38"/>
  <c r="G15" i="38"/>
  <c r="AQ15" i="38"/>
  <c r="AS15" i="38"/>
  <c r="K7" i="43"/>
  <c r="M38" i="38"/>
  <c r="M6" i="43"/>
  <c r="K36" i="43"/>
  <c r="O30" i="43"/>
  <c r="O24" i="43"/>
  <c r="AR20" i="42"/>
  <c r="AR20" i="43" s="1"/>
  <c r="AQ20" i="42"/>
  <c r="AQ20" i="43" s="1"/>
  <c r="AS20" i="42"/>
  <c r="AS20" i="43" s="1"/>
  <c r="M14" i="43"/>
  <c r="AS7" i="42"/>
  <c r="AR7" i="42"/>
  <c r="AQ7" i="42"/>
  <c r="U7" i="42"/>
  <c r="G30" i="41"/>
  <c r="AR30" i="41"/>
  <c r="AQ30" i="41"/>
  <c r="AS30" i="41"/>
  <c r="AS10" i="41"/>
  <c r="AR10" i="41"/>
  <c r="AQ10" i="41"/>
  <c r="G10" i="41"/>
  <c r="AS33" i="36"/>
  <c r="G33" i="36"/>
  <c r="AQ33" i="36"/>
  <c r="AR33" i="36"/>
  <c r="AR22" i="36"/>
  <c r="AS22" i="36"/>
  <c r="G22" i="36"/>
  <c r="AQ22" i="36"/>
  <c r="K18" i="43"/>
  <c r="G31" i="38"/>
  <c r="AQ31" i="38"/>
  <c r="AS31" i="38"/>
  <c r="AR31" i="38"/>
  <c r="K28" i="43"/>
  <c r="K38" i="42"/>
  <c r="AS7" i="41"/>
  <c r="AQ7" i="41"/>
  <c r="AR7" i="41"/>
  <c r="G7" i="41"/>
  <c r="AS30" i="35"/>
  <c r="AQ30" i="35"/>
  <c r="AR30" i="35"/>
  <c r="G30" i="35"/>
  <c r="O33" i="43"/>
  <c r="O27" i="43"/>
  <c r="K22" i="43"/>
  <c r="M16" i="43"/>
  <c r="M10" i="43"/>
  <c r="AQ6" i="41"/>
  <c r="AR6" i="41"/>
  <c r="H38" i="41"/>
  <c r="D43" i="41" s="1"/>
  <c r="G6" i="41"/>
  <c r="O38" i="41"/>
  <c r="AQ19" i="36"/>
  <c r="G19" i="36"/>
  <c r="AR19" i="36"/>
  <c r="AS19" i="36"/>
  <c r="AR35" i="35"/>
  <c r="AS35" i="35"/>
  <c r="G35" i="35"/>
  <c r="AQ35" i="35"/>
  <c r="G22" i="35"/>
  <c r="AS22" i="35"/>
  <c r="AQ22" i="35"/>
  <c r="AR22" i="35"/>
  <c r="AQ17" i="35"/>
  <c r="G17" i="35"/>
  <c r="AR17" i="35"/>
  <c r="AS17" i="35"/>
  <c r="M38" i="35"/>
  <c r="K12" i="43"/>
  <c r="AR6" i="40"/>
  <c r="AQ6" i="40"/>
  <c r="H38" i="40"/>
  <c r="D43" i="40" s="1"/>
  <c r="G6" i="40"/>
  <c r="AR11" i="39"/>
  <c r="G11" i="39"/>
  <c r="AQ11" i="39"/>
  <c r="AS11" i="39"/>
  <c r="G21" i="39"/>
  <c r="AQ21" i="39"/>
  <c r="AR21" i="39"/>
  <c r="AS21" i="39"/>
  <c r="K29" i="43"/>
  <c r="O34" i="43"/>
  <c r="AS8" i="43" l="1"/>
  <c r="AR29" i="43"/>
  <c r="AR38" i="41"/>
  <c r="AS32" i="43"/>
  <c r="AR31" i="43"/>
  <c r="AR16" i="43"/>
  <c r="AQ24" i="43"/>
  <c r="U35" i="35"/>
  <c r="C35" i="35" s="1"/>
  <c r="U22" i="35"/>
  <c r="C22" i="35" s="1"/>
  <c r="U33" i="36"/>
  <c r="C33" i="36" s="1"/>
  <c r="U14" i="36"/>
  <c r="C14" i="36" s="1"/>
  <c r="C11" i="42"/>
  <c r="U36" i="39"/>
  <c r="C36" i="39" s="1"/>
  <c r="U36" i="40"/>
  <c r="C36" i="40" s="1"/>
  <c r="C8" i="42"/>
  <c r="U17" i="36"/>
  <c r="C17" i="36" s="1"/>
  <c r="U10" i="39"/>
  <c r="C10" i="39" s="1"/>
  <c r="C30" i="42"/>
  <c r="AS13" i="43"/>
  <c r="AS34" i="43"/>
  <c r="U28" i="41"/>
  <c r="C28" i="41" s="1"/>
  <c r="C22" i="42"/>
  <c r="AQ27" i="43"/>
  <c r="U8" i="39"/>
  <c r="C8" i="39" s="1"/>
  <c r="U27" i="35"/>
  <c r="C27" i="35" s="1"/>
  <c r="AS36" i="43"/>
  <c r="U30" i="39"/>
  <c r="C30" i="39" s="1"/>
  <c r="U7" i="40"/>
  <c r="C7" i="40" s="1"/>
  <c r="U29" i="36"/>
  <c r="C29" i="36" s="1"/>
  <c r="U32" i="41"/>
  <c r="C32" i="41" s="1"/>
  <c r="AS26" i="43"/>
  <c r="U13" i="35"/>
  <c r="C13" i="35" s="1"/>
  <c r="C28" i="42"/>
  <c r="U31" i="35"/>
  <c r="C31" i="35" s="1"/>
  <c r="C21" i="42"/>
  <c r="U16" i="39"/>
  <c r="C16" i="39" s="1"/>
  <c r="U13" i="36"/>
  <c r="C13" i="36" s="1"/>
  <c r="U27" i="36"/>
  <c r="C27" i="36" s="1"/>
  <c r="U14" i="41"/>
  <c r="C14" i="41" s="1"/>
  <c r="U26" i="39"/>
  <c r="C26" i="39" s="1"/>
  <c r="U21" i="36"/>
  <c r="C21" i="36" s="1"/>
  <c r="U13" i="41"/>
  <c r="C13" i="41" s="1"/>
  <c r="U14" i="39"/>
  <c r="C14" i="39" s="1"/>
  <c r="U19" i="35"/>
  <c r="C19" i="35" s="1"/>
  <c r="U7" i="39"/>
  <c r="C7" i="39" s="1"/>
  <c r="U35" i="40"/>
  <c r="C35" i="40" s="1"/>
  <c r="U21" i="39"/>
  <c r="C21" i="39" s="1"/>
  <c r="U10" i="41"/>
  <c r="C10" i="41" s="1"/>
  <c r="C7" i="42"/>
  <c r="U23" i="35"/>
  <c r="C23" i="35" s="1"/>
  <c r="U27" i="40"/>
  <c r="C27" i="40" s="1"/>
  <c r="U33" i="35"/>
  <c r="C33" i="35" s="1"/>
  <c r="U8" i="36"/>
  <c r="C8" i="36" s="1"/>
  <c r="U18" i="35"/>
  <c r="C18" i="35" s="1"/>
  <c r="U13" i="39"/>
  <c r="C13" i="39" s="1"/>
  <c r="U23" i="36"/>
  <c r="C23" i="36" s="1"/>
  <c r="U27" i="41"/>
  <c r="C27" i="41" s="1"/>
  <c r="U16" i="41"/>
  <c r="C16" i="41" s="1"/>
  <c r="U22" i="41"/>
  <c r="C22" i="41" s="1"/>
  <c r="U35" i="41"/>
  <c r="C35" i="41" s="1"/>
  <c r="U33" i="39"/>
  <c r="C33" i="39" s="1"/>
  <c r="C36" i="42"/>
  <c r="U19" i="39"/>
  <c r="C19" i="39" s="1"/>
  <c r="U30" i="40"/>
  <c r="C30" i="40" s="1"/>
  <c r="C23" i="42"/>
  <c r="U8" i="35"/>
  <c r="C8" i="35" s="1"/>
  <c r="U35" i="39"/>
  <c r="C35" i="39" s="1"/>
  <c r="U23" i="41"/>
  <c r="C23" i="41" s="1"/>
  <c r="U13" i="40"/>
  <c r="C13" i="40" s="1"/>
  <c r="U17" i="41"/>
  <c r="C17" i="41" s="1"/>
  <c r="U15" i="41"/>
  <c r="C15" i="41" s="1"/>
  <c r="U29" i="39"/>
  <c r="C29" i="39" s="1"/>
  <c r="U10" i="40"/>
  <c r="C10" i="40" s="1"/>
  <c r="U30" i="41"/>
  <c r="C30" i="41" s="1"/>
  <c r="U28" i="39"/>
  <c r="C28" i="39" s="1"/>
  <c r="U12" i="35"/>
  <c r="C12" i="35" s="1"/>
  <c r="U28" i="35"/>
  <c r="C28" i="35" s="1"/>
  <c r="U34" i="40"/>
  <c r="C34" i="40" s="1"/>
  <c r="U32" i="36"/>
  <c r="C32" i="36" s="1"/>
  <c r="U11" i="41"/>
  <c r="C11" i="41" s="1"/>
  <c r="U21" i="41"/>
  <c r="C21" i="41" s="1"/>
  <c r="U28" i="40"/>
  <c r="C28" i="40" s="1"/>
  <c r="U33" i="40"/>
  <c r="C33" i="40" s="1"/>
  <c r="U15" i="39"/>
  <c r="C15" i="39" s="1"/>
  <c r="U18" i="40"/>
  <c r="C18" i="40" s="1"/>
  <c r="U17" i="39"/>
  <c r="C17" i="39" s="1"/>
  <c r="U16" i="35"/>
  <c r="C16" i="35" s="1"/>
  <c r="U31" i="39"/>
  <c r="C31" i="39" s="1"/>
  <c r="C27" i="42"/>
  <c r="C14" i="42"/>
  <c r="C24" i="42"/>
  <c r="U28" i="36"/>
  <c r="C28" i="36" s="1"/>
  <c r="U35" i="36"/>
  <c r="C35" i="36" s="1"/>
  <c r="U16" i="40"/>
  <c r="C16" i="40" s="1"/>
  <c r="C10" i="42"/>
  <c r="U15" i="36"/>
  <c r="C15" i="36" s="1"/>
  <c r="C19" i="42"/>
  <c r="U8" i="40"/>
  <c r="C8" i="40" s="1"/>
  <c r="U22" i="39"/>
  <c r="C22" i="39" s="1"/>
  <c r="U17" i="35"/>
  <c r="C17" i="35" s="1"/>
  <c r="U19" i="36"/>
  <c r="C19" i="36" s="1"/>
  <c r="U30" i="35"/>
  <c r="C30" i="35" s="1"/>
  <c r="U7" i="41"/>
  <c r="C7" i="41" s="1"/>
  <c r="U22" i="36"/>
  <c r="C22" i="36" s="1"/>
  <c r="U14" i="35"/>
  <c r="C14" i="35" s="1"/>
  <c r="U29" i="41"/>
  <c r="C29" i="41" s="1"/>
  <c r="AQ35" i="43"/>
  <c r="U22" i="40"/>
  <c r="C22" i="40" s="1"/>
  <c r="U15" i="40"/>
  <c r="C15" i="40" s="1"/>
  <c r="AR8" i="43"/>
  <c r="C31" i="42"/>
  <c r="U26" i="36"/>
  <c r="C26" i="36" s="1"/>
  <c r="C16" i="42"/>
  <c r="U7" i="36"/>
  <c r="C7" i="36" s="1"/>
  <c r="U29" i="35"/>
  <c r="C29" i="35" s="1"/>
  <c r="U34" i="39"/>
  <c r="C34" i="39" s="1"/>
  <c r="U15" i="35"/>
  <c r="C15" i="35" s="1"/>
  <c r="U19" i="41"/>
  <c r="C19" i="41" s="1"/>
  <c r="U26" i="41"/>
  <c r="C26" i="41" s="1"/>
  <c r="U7" i="35"/>
  <c r="C7" i="35" s="1"/>
  <c r="C26" i="42"/>
  <c r="U29" i="40"/>
  <c r="C29" i="40" s="1"/>
  <c r="U14" i="40"/>
  <c r="C14" i="40" s="1"/>
  <c r="U21" i="35"/>
  <c r="C21" i="35" s="1"/>
  <c r="U30" i="36"/>
  <c r="C30" i="36" s="1"/>
  <c r="U12" i="41"/>
  <c r="C12" i="41" s="1"/>
  <c r="U31" i="40"/>
  <c r="C31" i="40" s="1"/>
  <c r="C15" i="42"/>
  <c r="U24" i="38"/>
  <c r="C24" i="38" s="1"/>
  <c r="G24" i="43"/>
  <c r="U24" i="43" s="1"/>
  <c r="AQ38" i="35"/>
  <c r="AS38" i="36"/>
  <c r="U7" i="38"/>
  <c r="C7" i="38" s="1"/>
  <c r="G7" i="43"/>
  <c r="U7" i="43" s="1"/>
  <c r="U26" i="38"/>
  <c r="C26" i="38" s="1"/>
  <c r="G26" i="43"/>
  <c r="U26" i="43" s="1"/>
  <c r="AS29" i="43"/>
  <c r="U12" i="40"/>
  <c r="C12" i="40" s="1"/>
  <c r="G12" i="43"/>
  <c r="U12" i="43" s="1"/>
  <c r="G38" i="42"/>
  <c r="AQ14" i="43"/>
  <c r="AR38" i="38"/>
  <c r="AR6" i="43"/>
  <c r="M38" i="43"/>
  <c r="AS33" i="43"/>
  <c r="AR23" i="43"/>
  <c r="AR10" i="43"/>
  <c r="AQ18" i="43"/>
  <c r="U21" i="38"/>
  <c r="C21" i="38" s="1"/>
  <c r="G21" i="43"/>
  <c r="U21" i="43" s="1"/>
  <c r="AS19" i="43"/>
  <c r="AS17" i="43"/>
  <c r="AS15" i="43"/>
  <c r="G38" i="39"/>
  <c r="U6" i="39"/>
  <c r="U11" i="39"/>
  <c r="C11" i="39" s="1"/>
  <c r="G11" i="43"/>
  <c r="U11" i="43" s="1"/>
  <c r="AQ38" i="40"/>
  <c r="AQ38" i="41"/>
  <c r="AS38" i="42"/>
  <c r="C20" i="42"/>
  <c r="C20" i="43" s="1"/>
  <c r="G20" i="43"/>
  <c r="U20" i="43" s="1"/>
  <c r="AS11" i="43"/>
  <c r="AR35" i="43"/>
  <c r="AQ32" i="43"/>
  <c r="AQ8" i="43"/>
  <c r="AS31" i="43"/>
  <c r="AR38" i="35"/>
  <c r="AS16" i="43"/>
  <c r="AS30" i="43"/>
  <c r="AR7" i="43"/>
  <c r="U13" i="38"/>
  <c r="C13" i="38" s="1"/>
  <c r="G13" i="43"/>
  <c r="U13" i="43" s="1"/>
  <c r="AR34" i="43"/>
  <c r="U29" i="38"/>
  <c r="C29" i="38" s="1"/>
  <c r="G29" i="43"/>
  <c r="U29" i="43" s="1"/>
  <c r="AS12" i="43"/>
  <c r="AQ22" i="43"/>
  <c r="AR38" i="42"/>
  <c r="AQ36" i="43"/>
  <c r="AQ38" i="38"/>
  <c r="AQ6" i="43"/>
  <c r="AS38" i="35"/>
  <c r="AQ26" i="43"/>
  <c r="AS28" i="43"/>
  <c r="AS23" i="43"/>
  <c r="AR21" i="43"/>
  <c r="AR18" i="43"/>
  <c r="U30" i="38"/>
  <c r="C30" i="38" s="1"/>
  <c r="G30" i="43"/>
  <c r="U30" i="43" s="1"/>
  <c r="AQ17" i="43"/>
  <c r="AR15" i="43"/>
  <c r="AQ38" i="36"/>
  <c r="U36" i="38"/>
  <c r="C36" i="38" s="1"/>
  <c r="G36" i="43"/>
  <c r="U36" i="43" s="1"/>
  <c r="AQ38" i="39"/>
  <c r="AR38" i="40"/>
  <c r="U6" i="41"/>
  <c r="G38" i="41"/>
  <c r="AS38" i="41"/>
  <c r="AQ11" i="43"/>
  <c r="AS35" i="43"/>
  <c r="U14" i="38"/>
  <c r="C14" i="38" s="1"/>
  <c r="G14" i="43"/>
  <c r="U14" i="43" s="1"/>
  <c r="U35" i="38"/>
  <c r="C35" i="38" s="1"/>
  <c r="G35" i="43"/>
  <c r="U35" i="43" s="1"/>
  <c r="U32" i="39"/>
  <c r="C32" i="39" s="1"/>
  <c r="G32" i="43"/>
  <c r="U32" i="43" s="1"/>
  <c r="AQ31" i="43"/>
  <c r="U6" i="35"/>
  <c r="G38" i="35"/>
  <c r="AQ16" i="43"/>
  <c r="AQ30" i="43"/>
  <c r="AS38" i="38"/>
  <c r="AS7" i="43"/>
  <c r="AR13" i="43"/>
  <c r="AQ34" i="43"/>
  <c r="U27" i="39"/>
  <c r="C27" i="39" s="1"/>
  <c r="G27" i="43"/>
  <c r="U27" i="43" s="1"/>
  <c r="AR12" i="43"/>
  <c r="AS22" i="43"/>
  <c r="AR27" i="43"/>
  <c r="AS14" i="43"/>
  <c r="AR24" i="43"/>
  <c r="G6" i="43"/>
  <c r="U6" i="38"/>
  <c r="G38" i="38"/>
  <c r="AS38" i="40"/>
  <c r="U19" i="38"/>
  <c r="C19" i="38" s="1"/>
  <c r="G19" i="43"/>
  <c r="U19" i="43" s="1"/>
  <c r="AR26" i="43"/>
  <c r="AQ33" i="43"/>
  <c r="AQ28" i="43"/>
  <c r="AS21" i="43"/>
  <c r="AS10" i="43"/>
  <c r="AS18" i="43"/>
  <c r="O38" i="43"/>
  <c r="AR19" i="43"/>
  <c r="AR17" i="43"/>
  <c r="AS38" i="39"/>
  <c r="AQ15" i="43"/>
  <c r="AR38" i="36"/>
  <c r="U31" i="38"/>
  <c r="C31" i="38" s="1"/>
  <c r="G31" i="43"/>
  <c r="U31" i="43" s="1"/>
  <c r="K38" i="43"/>
  <c r="G38" i="40"/>
  <c r="U6" i="40"/>
  <c r="U15" i="38"/>
  <c r="C15" i="38" s="1"/>
  <c r="G15" i="43"/>
  <c r="U15" i="43" s="1"/>
  <c r="U10" i="38"/>
  <c r="C10" i="38" s="1"/>
  <c r="G10" i="43"/>
  <c r="U10" i="43" s="1"/>
  <c r="AR11" i="43"/>
  <c r="AR32" i="43"/>
  <c r="AR30" i="43"/>
  <c r="AQ7" i="43"/>
  <c r="AQ13" i="43"/>
  <c r="U34" i="38"/>
  <c r="C34" i="38" s="1"/>
  <c r="G34" i="43"/>
  <c r="U34" i="43" s="1"/>
  <c r="AQ29" i="43"/>
  <c r="U22" i="38"/>
  <c r="C22" i="38" s="1"/>
  <c r="G22" i="43"/>
  <c r="U22" i="43" s="1"/>
  <c r="U16" i="38"/>
  <c r="C16" i="38" s="1"/>
  <c r="G16" i="43"/>
  <c r="U16" i="43" s="1"/>
  <c r="AQ12" i="43"/>
  <c r="AR22" i="43"/>
  <c r="AS27" i="43"/>
  <c r="AQ38" i="42"/>
  <c r="AR14" i="43"/>
  <c r="AS24" i="43"/>
  <c r="AR36" i="43"/>
  <c r="AR33" i="43"/>
  <c r="AR28" i="43"/>
  <c r="AQ23" i="43"/>
  <c r="U23" i="39"/>
  <c r="C23" i="39" s="1"/>
  <c r="G23" i="43"/>
  <c r="U23" i="43" s="1"/>
  <c r="AQ21" i="43"/>
  <c r="U8" i="38"/>
  <c r="C8" i="38" s="1"/>
  <c r="G8" i="43"/>
  <c r="U8" i="43" s="1"/>
  <c r="AQ10" i="43"/>
  <c r="U33" i="38"/>
  <c r="C33" i="38" s="1"/>
  <c r="G33" i="43"/>
  <c r="U33" i="43" s="1"/>
  <c r="U18" i="39"/>
  <c r="C18" i="39" s="1"/>
  <c r="C18" i="43" s="1"/>
  <c r="G18" i="43"/>
  <c r="U18" i="43" s="1"/>
  <c r="U28" i="38"/>
  <c r="C28" i="38" s="1"/>
  <c r="G28" i="43"/>
  <c r="U28" i="43" s="1"/>
  <c r="AQ19" i="43"/>
  <c r="U17" i="38"/>
  <c r="C17" i="38" s="1"/>
  <c r="G17" i="43"/>
  <c r="U17" i="43" s="1"/>
  <c r="U6" i="36"/>
  <c r="G38" i="36"/>
  <c r="AR38" i="39"/>
  <c r="C32" i="43" l="1"/>
  <c r="C17" i="43"/>
  <c r="C29" i="43"/>
  <c r="C34" i="43"/>
  <c r="C35" i="43"/>
  <c r="C24" i="43"/>
  <c r="C12" i="43"/>
  <c r="C15" i="43"/>
  <c r="C23" i="43"/>
  <c r="C10" i="43"/>
  <c r="C8" i="43"/>
  <c r="C22" i="43"/>
  <c r="C21" i="43"/>
  <c r="C27" i="43"/>
  <c r="C36" i="43"/>
  <c r="C19" i="43"/>
  <c r="C26" i="43"/>
  <c r="C16" i="43"/>
  <c r="C31" i="43"/>
  <c r="C28" i="43"/>
  <c r="C33" i="43"/>
  <c r="C30" i="43"/>
  <c r="C13" i="43"/>
  <c r="C11" i="43"/>
  <c r="C7" i="43"/>
  <c r="C14" i="43"/>
  <c r="U38" i="38"/>
  <c r="C6" i="38"/>
  <c r="AS38" i="43"/>
  <c r="U38" i="42"/>
  <c r="C6" i="42"/>
  <c r="C38" i="42" s="1"/>
  <c r="U38" i="40"/>
  <c r="C6" i="40"/>
  <c r="C38" i="40" s="1"/>
  <c r="U6" i="43"/>
  <c r="U38" i="43" s="1"/>
  <c r="G38" i="43"/>
  <c r="U38" i="35"/>
  <c r="C6" i="35"/>
  <c r="C38" i="35" s="1"/>
  <c r="U38" i="41"/>
  <c r="C6" i="41"/>
  <c r="C38" i="41" s="1"/>
  <c r="AR38" i="43"/>
  <c r="U38" i="39"/>
  <c r="C6" i="39"/>
  <c r="C38" i="39" s="1"/>
  <c r="U38" i="36"/>
  <c r="C6" i="36"/>
  <c r="C38" i="36" s="1"/>
  <c r="AQ38" i="43"/>
  <c r="C38" i="38" l="1"/>
  <c r="C6" i="43"/>
  <c r="C38" i="43" s="1"/>
  <c r="R30" i="46" l="1"/>
  <c r="R33" i="46"/>
  <c r="R33" i="57" l="1"/>
  <c r="R30" i="57"/>
  <c r="R31" i="46"/>
  <c r="R24" i="46"/>
  <c r="R20" i="46"/>
  <c r="R17" i="46"/>
  <c r="R12" i="46"/>
  <c r="R37" i="46"/>
  <c r="R25" i="46"/>
  <c r="R23" i="46"/>
  <c r="R18" i="46"/>
  <c r="R16" i="46"/>
  <c r="R9" i="46"/>
  <c r="R18" i="57" l="1"/>
  <c r="R12" i="57"/>
  <c r="R23" i="57"/>
  <c r="R17" i="57"/>
  <c r="R25" i="57"/>
  <c r="R20" i="57"/>
  <c r="R9" i="57"/>
  <c r="R37" i="57"/>
  <c r="R24" i="57"/>
  <c r="R16" i="57"/>
  <c r="R31" i="57"/>
  <c r="R40" i="46"/>
  <c r="R40" i="57" l="1"/>
  <c r="Q10" i="47"/>
  <c r="Q10" i="46" l="1"/>
  <c r="Q10" i="57" l="1"/>
  <c r="Q11" i="47"/>
  <c r="Q12" i="47"/>
  <c r="Q20" i="47"/>
  <c r="Q28" i="47"/>
  <c r="Q38" i="47"/>
  <c r="Q22" i="47" l="1"/>
  <c r="Q16" i="47"/>
  <c r="Q25" i="47"/>
  <c r="Q32" i="47"/>
  <c r="Q24" i="47"/>
  <c r="Q15" i="47"/>
  <c r="Q8" i="47"/>
  <c r="Q22" i="46"/>
  <c r="Q16" i="46"/>
  <c r="Q25" i="46"/>
  <c r="Q11" i="46"/>
  <c r="Q38" i="46"/>
  <c r="Q28" i="46"/>
  <c r="Q20" i="46"/>
  <c r="Q12" i="46"/>
  <c r="Q32" i="46"/>
  <c r="Q24" i="46"/>
  <c r="Q15" i="46"/>
  <c r="Q8" i="46"/>
  <c r="Q12" i="57" l="1"/>
  <c r="Q11" i="57"/>
  <c r="Q20" i="57"/>
  <c r="Q28" i="57"/>
  <c r="Q38" i="57"/>
  <c r="Q25" i="57"/>
  <c r="Q15" i="57"/>
  <c r="Q24" i="57"/>
  <c r="Q22" i="57"/>
  <c r="Q16" i="57"/>
  <c r="Q32" i="57"/>
  <c r="Q8" i="57"/>
  <c r="Q40" i="47"/>
  <c r="Q40" i="46"/>
  <c r="Q40" i="57" l="1"/>
  <c r="P19" i="47"/>
  <c r="P19" i="46" l="1"/>
  <c r="P19" i="57" l="1"/>
  <c r="P37" i="47"/>
  <c r="P33" i="47"/>
  <c r="P33" i="46"/>
  <c r="P37" i="46"/>
  <c r="P33" i="57" l="1"/>
  <c r="P37" i="57"/>
  <c r="P9" i="47"/>
  <c r="P10" i="47"/>
  <c r="P11" i="47"/>
  <c r="P13" i="47"/>
  <c r="P14" i="47"/>
  <c r="P15" i="47"/>
  <c r="P17" i="47"/>
  <c r="P18" i="47"/>
  <c r="P21" i="47"/>
  <c r="P22" i="47"/>
  <c r="P23" i="47"/>
  <c r="P25" i="47"/>
  <c r="P26" i="47"/>
  <c r="P27" i="47"/>
  <c r="P29" i="47"/>
  <c r="P30" i="47"/>
  <c r="P31" i="47"/>
  <c r="P34" i="47"/>
  <c r="P35" i="47"/>
  <c r="P36" i="47"/>
  <c r="P7" i="47"/>
  <c r="P38" i="47" l="1"/>
  <c r="P32" i="47"/>
  <c r="P28" i="47"/>
  <c r="P24" i="47"/>
  <c r="P20" i="47"/>
  <c r="P16" i="47"/>
  <c r="P12" i="47"/>
  <c r="P8" i="47"/>
  <c r="P38" i="46"/>
  <c r="P32" i="46"/>
  <c r="P28" i="46"/>
  <c r="P24" i="46"/>
  <c r="P20" i="46"/>
  <c r="P16" i="46"/>
  <c r="P12" i="46"/>
  <c r="P8" i="46"/>
  <c r="P36" i="46"/>
  <c r="P31" i="46"/>
  <c r="P27" i="46"/>
  <c r="P23" i="46"/>
  <c r="P15" i="46"/>
  <c r="P11" i="46"/>
  <c r="P7" i="46"/>
  <c r="P35" i="46"/>
  <c r="P30" i="46"/>
  <c r="P26" i="46"/>
  <c r="P22" i="46"/>
  <c r="P18" i="46"/>
  <c r="P14" i="46"/>
  <c r="P10" i="46"/>
  <c r="P34" i="46"/>
  <c r="P29" i="46"/>
  <c r="P25" i="46"/>
  <c r="P21" i="46"/>
  <c r="P17" i="46"/>
  <c r="P13" i="46"/>
  <c r="P9" i="46"/>
  <c r="P20" i="57" l="1"/>
  <c r="P38" i="57"/>
  <c r="P14" i="57"/>
  <c r="P7" i="57"/>
  <c r="P22" i="57"/>
  <c r="P17" i="57"/>
  <c r="P13" i="57"/>
  <c r="P8" i="57"/>
  <c r="P24" i="57"/>
  <c r="P21" i="57"/>
  <c r="P36" i="57"/>
  <c r="P27" i="57"/>
  <c r="P23" i="57"/>
  <c r="P18" i="57"/>
  <c r="P12" i="57"/>
  <c r="P28" i="57"/>
  <c r="P26" i="57"/>
  <c r="P10" i="57"/>
  <c r="P34" i="57"/>
  <c r="P29" i="57"/>
  <c r="P25" i="57"/>
  <c r="P16" i="57"/>
  <c r="P32" i="57"/>
  <c r="P9" i="57"/>
  <c r="P31" i="57"/>
  <c r="P15" i="57"/>
  <c r="P11" i="57"/>
  <c r="P35" i="57"/>
  <c r="P30" i="57"/>
  <c r="P40" i="47"/>
  <c r="P40" i="46"/>
  <c r="P40" i="57" l="1"/>
  <c r="D21" i="46"/>
  <c r="H21" i="46" l="1"/>
  <c r="K21" i="46"/>
  <c r="O21" i="46"/>
  <c r="M21" i="46"/>
  <c r="AQ21" i="46" l="1"/>
  <c r="G21" i="46"/>
  <c r="AR21" i="46"/>
  <c r="AS21" i="46"/>
  <c r="U21" i="46" l="1"/>
  <c r="C21" i="46" s="1"/>
  <c r="D8" i="47" l="1"/>
  <c r="O8" i="47" l="1"/>
  <c r="H8" i="47"/>
  <c r="M8" i="47"/>
  <c r="K8" i="47"/>
  <c r="D34" i="47"/>
  <c r="D25" i="47"/>
  <c r="D29" i="47"/>
  <c r="D12" i="47"/>
  <c r="D20" i="47"/>
  <c r="D10" i="47"/>
  <c r="D18" i="47"/>
  <c r="D24" i="47"/>
  <c r="O18" i="47" l="1"/>
  <c r="K18" i="47"/>
  <c r="H18" i="47"/>
  <c r="M18" i="47"/>
  <c r="M25" i="47"/>
  <c r="K25" i="47"/>
  <c r="O25" i="47"/>
  <c r="H25" i="47"/>
  <c r="AQ8" i="47"/>
  <c r="AR8" i="47"/>
  <c r="G8" i="47"/>
  <c r="AS8" i="47"/>
  <c r="M20" i="47"/>
  <c r="K20" i="47"/>
  <c r="O20" i="47"/>
  <c r="H20" i="47"/>
  <c r="H24" i="47"/>
  <c r="M24" i="47"/>
  <c r="K24" i="47"/>
  <c r="O24" i="47"/>
  <c r="O12" i="47"/>
  <c r="M12" i="47"/>
  <c r="H12" i="47"/>
  <c r="K12" i="47"/>
  <c r="H29" i="47"/>
  <c r="M29" i="47"/>
  <c r="O29" i="47"/>
  <c r="K29" i="47"/>
  <c r="M10" i="47"/>
  <c r="O10" i="47"/>
  <c r="K10" i="47"/>
  <c r="H10" i="47"/>
  <c r="M34" i="47"/>
  <c r="H34" i="47"/>
  <c r="K34" i="47"/>
  <c r="O34" i="47"/>
  <c r="D33" i="47"/>
  <c r="D31" i="47"/>
  <c r="D7" i="47"/>
  <c r="D9" i="47"/>
  <c r="D11" i="47"/>
  <c r="D13" i="47"/>
  <c r="D14" i="47"/>
  <c r="D15" i="47"/>
  <c r="D16" i="47"/>
  <c r="D17" i="47"/>
  <c r="D19" i="47"/>
  <c r="D21" i="47"/>
  <c r="D22" i="47"/>
  <c r="D23" i="47"/>
  <c r="D26" i="47"/>
  <c r="D27" i="47"/>
  <c r="D28" i="47"/>
  <c r="D30" i="47"/>
  <c r="D32" i="47"/>
  <c r="D35" i="47"/>
  <c r="D36" i="47"/>
  <c r="D37" i="47"/>
  <c r="D38" i="47"/>
  <c r="K27" i="47" l="1"/>
  <c r="M27" i="47"/>
  <c r="O27" i="47"/>
  <c r="H27" i="47"/>
  <c r="H15" i="47"/>
  <c r="M15" i="47"/>
  <c r="K15" i="47"/>
  <c r="O15" i="47"/>
  <c r="K9" i="47"/>
  <c r="O9" i="47"/>
  <c r="M9" i="47"/>
  <c r="H9" i="47"/>
  <c r="G10" i="47"/>
  <c r="AR10" i="47"/>
  <c r="AS10" i="47"/>
  <c r="AQ10" i="47"/>
  <c r="G20" i="47"/>
  <c r="AR20" i="47"/>
  <c r="AS20" i="47"/>
  <c r="AQ20" i="47"/>
  <c r="AQ18" i="47"/>
  <c r="AR18" i="47"/>
  <c r="G18" i="47"/>
  <c r="AS18" i="47"/>
  <c r="K32" i="47"/>
  <c r="O32" i="47"/>
  <c r="M32" i="47"/>
  <c r="H32" i="47"/>
  <c r="O19" i="47"/>
  <c r="H19" i="47"/>
  <c r="M19" i="47"/>
  <c r="K19" i="47"/>
  <c r="K37" i="47"/>
  <c r="O37" i="47"/>
  <c r="M37" i="47"/>
  <c r="H37" i="47"/>
  <c r="K36" i="47"/>
  <c r="H36" i="47"/>
  <c r="O36" i="47"/>
  <c r="M36" i="47"/>
  <c r="H28" i="47"/>
  <c r="K28" i="47"/>
  <c r="O28" i="47"/>
  <c r="M28" i="47"/>
  <c r="O22" i="47"/>
  <c r="M22" i="47"/>
  <c r="K22" i="47"/>
  <c r="H22" i="47"/>
  <c r="M16" i="47"/>
  <c r="O16" i="47"/>
  <c r="K16" i="47"/>
  <c r="H16" i="47"/>
  <c r="M11" i="47"/>
  <c r="H11" i="47"/>
  <c r="O11" i="47"/>
  <c r="K11" i="47"/>
  <c r="H33" i="47"/>
  <c r="M33" i="47"/>
  <c r="O33" i="47"/>
  <c r="K33" i="47"/>
  <c r="AQ29" i="47"/>
  <c r="AR29" i="47"/>
  <c r="AS29" i="47"/>
  <c r="G29" i="47"/>
  <c r="G24" i="47"/>
  <c r="AS24" i="47"/>
  <c r="AR24" i="47"/>
  <c r="AQ24" i="47"/>
  <c r="AR25" i="47"/>
  <c r="G25" i="47"/>
  <c r="AS25" i="47"/>
  <c r="AQ25" i="47"/>
  <c r="H35" i="47"/>
  <c r="O35" i="47"/>
  <c r="K35" i="47"/>
  <c r="M35" i="47"/>
  <c r="H21" i="47"/>
  <c r="M21" i="47"/>
  <c r="O21" i="47"/>
  <c r="K21" i="47"/>
  <c r="O38" i="47"/>
  <c r="M38" i="47"/>
  <c r="H38" i="47"/>
  <c r="K38" i="47"/>
  <c r="M26" i="47"/>
  <c r="K26" i="47"/>
  <c r="H26" i="47"/>
  <c r="O26" i="47"/>
  <c r="K14" i="47"/>
  <c r="H14" i="47"/>
  <c r="O14" i="47"/>
  <c r="M14" i="47"/>
  <c r="M7" i="47"/>
  <c r="K7" i="47"/>
  <c r="H7" i="47"/>
  <c r="O7" i="47"/>
  <c r="G12" i="47"/>
  <c r="AR12" i="47"/>
  <c r="AQ12" i="47"/>
  <c r="AS12" i="47"/>
  <c r="U8" i="47"/>
  <c r="C8" i="47" s="1"/>
  <c r="H30" i="47"/>
  <c r="K30" i="47"/>
  <c r="M30" i="47"/>
  <c r="O30" i="47"/>
  <c r="H23" i="47"/>
  <c r="O23" i="47"/>
  <c r="M23" i="47"/>
  <c r="K23" i="47"/>
  <c r="O17" i="47"/>
  <c r="H17" i="47"/>
  <c r="M17" i="47"/>
  <c r="K17" i="47"/>
  <c r="K13" i="47"/>
  <c r="M13" i="47"/>
  <c r="H13" i="47"/>
  <c r="O13" i="47"/>
  <c r="H31" i="47"/>
  <c r="M31" i="47"/>
  <c r="K31" i="47"/>
  <c r="O31" i="47"/>
  <c r="AQ34" i="47"/>
  <c r="AR34" i="47"/>
  <c r="G34" i="47"/>
  <c r="AS34" i="47"/>
  <c r="D6" i="47"/>
  <c r="K6" i="47" l="1"/>
  <c r="K40" i="47" s="1"/>
  <c r="M6" i="47"/>
  <c r="M40" i="47" s="1"/>
  <c r="O6" i="47"/>
  <c r="O40" i="47" s="1"/>
  <c r="H6" i="47"/>
  <c r="D40" i="47"/>
  <c r="AQ13" i="47"/>
  <c r="AS13" i="47"/>
  <c r="AR13" i="47"/>
  <c r="G13" i="47"/>
  <c r="AR16" i="47"/>
  <c r="AQ16" i="47"/>
  <c r="G16" i="47"/>
  <c r="AS16" i="47"/>
  <c r="AQ22" i="47"/>
  <c r="G22" i="47"/>
  <c r="AS22" i="47"/>
  <c r="AR22" i="47"/>
  <c r="AS37" i="47"/>
  <c r="AR37" i="47"/>
  <c r="AQ37" i="47"/>
  <c r="G37" i="47"/>
  <c r="AS32" i="47"/>
  <c r="AR32" i="47"/>
  <c r="G32" i="47"/>
  <c r="AQ32" i="47"/>
  <c r="AR26" i="47"/>
  <c r="AQ26" i="47"/>
  <c r="AS26" i="47"/>
  <c r="G26" i="47"/>
  <c r="AQ38" i="47"/>
  <c r="AS38" i="47"/>
  <c r="G38" i="47"/>
  <c r="AR38" i="47"/>
  <c r="U20" i="47"/>
  <c r="C20" i="47" s="1"/>
  <c r="AQ31" i="47"/>
  <c r="AS31" i="47"/>
  <c r="AR31" i="47"/>
  <c r="G31" i="47"/>
  <c r="AQ23" i="47"/>
  <c r="AS23" i="47"/>
  <c r="G23" i="47"/>
  <c r="AR23" i="47"/>
  <c r="AR30" i="47"/>
  <c r="AQ30" i="47"/>
  <c r="AS30" i="47"/>
  <c r="G30" i="47"/>
  <c r="AS14" i="47"/>
  <c r="AQ14" i="47"/>
  <c r="G14" i="47"/>
  <c r="AR14" i="47"/>
  <c r="U25" i="47"/>
  <c r="C25" i="47" s="1"/>
  <c r="U12" i="47"/>
  <c r="C12" i="47" s="1"/>
  <c r="AQ21" i="47"/>
  <c r="AR21" i="47"/>
  <c r="AS21" i="47"/>
  <c r="G21" i="47"/>
  <c r="AS35" i="47"/>
  <c r="G35" i="47"/>
  <c r="AQ35" i="47"/>
  <c r="AR35" i="47"/>
  <c r="U24" i="47"/>
  <c r="C24" i="47" s="1"/>
  <c r="AS33" i="47"/>
  <c r="AR33" i="47"/>
  <c r="AQ33" i="47"/>
  <c r="G33" i="47"/>
  <c r="AS28" i="47"/>
  <c r="AQ28" i="47"/>
  <c r="AR28" i="47"/>
  <c r="G28" i="47"/>
  <c r="AQ9" i="47"/>
  <c r="AS9" i="47"/>
  <c r="G9" i="47"/>
  <c r="AR9" i="47"/>
  <c r="AS27" i="47"/>
  <c r="AQ27" i="47"/>
  <c r="G27" i="47"/>
  <c r="AR27" i="47"/>
  <c r="U29" i="47"/>
  <c r="C29" i="47" s="1"/>
  <c r="AS17" i="47"/>
  <c r="AR17" i="47"/>
  <c r="G17" i="47"/>
  <c r="AQ17" i="47"/>
  <c r="AR7" i="47"/>
  <c r="AS7" i="47"/>
  <c r="G7" i="47"/>
  <c r="AQ7" i="47"/>
  <c r="U18" i="47"/>
  <c r="C18" i="47" s="1"/>
  <c r="U10" i="47"/>
  <c r="C10" i="47" s="1"/>
  <c r="U34" i="47"/>
  <c r="C34" i="47" s="1"/>
  <c r="AQ11" i="47"/>
  <c r="AS11" i="47"/>
  <c r="G11" i="47"/>
  <c r="AR11" i="47"/>
  <c r="AS36" i="47"/>
  <c r="AQ36" i="47"/>
  <c r="AR36" i="47"/>
  <c r="G36" i="47"/>
  <c r="AQ19" i="47"/>
  <c r="AR19" i="47"/>
  <c r="G19" i="47"/>
  <c r="AS19" i="47"/>
  <c r="AS15" i="47"/>
  <c r="AR15" i="47"/>
  <c r="AQ15" i="47"/>
  <c r="G15" i="47"/>
  <c r="D7" i="46"/>
  <c r="U36" i="47" l="1"/>
  <c r="C36" i="47" s="1"/>
  <c r="U26" i="47"/>
  <c r="C26" i="47" s="1"/>
  <c r="U15" i="47"/>
  <c r="C15" i="47" s="1"/>
  <c r="U28" i="47"/>
  <c r="C28" i="47" s="1"/>
  <c r="AS40" i="47"/>
  <c r="U19" i="47"/>
  <c r="C19" i="47" s="1"/>
  <c r="U11" i="47"/>
  <c r="C11" i="47" s="1"/>
  <c r="U27" i="47"/>
  <c r="C27" i="47" s="1"/>
  <c r="U23" i="47"/>
  <c r="C23" i="47" s="1"/>
  <c r="U32" i="47"/>
  <c r="C32" i="47" s="1"/>
  <c r="U13" i="47"/>
  <c r="C13" i="47" s="1"/>
  <c r="H40" i="47"/>
  <c r="D47" i="47" s="1"/>
  <c r="AR6" i="47"/>
  <c r="AR40" i="47" s="1"/>
  <c r="G6" i="47"/>
  <c r="AQ6" i="47"/>
  <c r="AQ40" i="47" s="1"/>
  <c r="U33" i="47"/>
  <c r="C33" i="47" s="1"/>
  <c r="U14" i="47"/>
  <c r="C14" i="47" s="1"/>
  <c r="U16" i="47"/>
  <c r="C16" i="47" s="1"/>
  <c r="U7" i="47"/>
  <c r="C7" i="47" s="1"/>
  <c r="U17" i="47"/>
  <c r="C17" i="47" s="1"/>
  <c r="U9" i="47"/>
  <c r="C9" i="47" s="1"/>
  <c r="U31" i="47"/>
  <c r="C31" i="47" s="1"/>
  <c r="U37" i="47"/>
  <c r="C37" i="47" s="1"/>
  <c r="U35" i="47"/>
  <c r="C35" i="47" s="1"/>
  <c r="U21" i="47"/>
  <c r="C21" i="47" s="1"/>
  <c r="U30" i="47"/>
  <c r="C30" i="47" s="1"/>
  <c r="U38" i="47"/>
  <c r="C38" i="47" s="1"/>
  <c r="U22" i="47"/>
  <c r="C22" i="47" s="1"/>
  <c r="H7" i="46"/>
  <c r="K7" i="46"/>
  <c r="O7" i="46"/>
  <c r="M7" i="46"/>
  <c r="D11" i="46"/>
  <c r="D20" i="46"/>
  <c r="U6" i="47" l="1"/>
  <c r="G40" i="47"/>
  <c r="H20" i="46"/>
  <c r="K20" i="46"/>
  <c r="M20" i="46"/>
  <c r="O20" i="46"/>
  <c r="E37" i="46"/>
  <c r="O11" i="46"/>
  <c r="K11" i="46"/>
  <c r="H11" i="46"/>
  <c r="M11" i="46"/>
  <c r="AS7" i="46"/>
  <c r="AR7" i="46"/>
  <c r="G7" i="46"/>
  <c r="AQ7" i="46"/>
  <c r="D7" i="45"/>
  <c r="D7" i="57" s="1"/>
  <c r="D25" i="46"/>
  <c r="D8" i="46"/>
  <c r="D24" i="46"/>
  <c r="K7" i="57" l="1"/>
  <c r="AS7" i="57" s="1"/>
  <c r="M7" i="57"/>
  <c r="O7" i="57"/>
  <c r="E40" i="46"/>
  <c r="F47" i="46" s="1"/>
  <c r="E37" i="57"/>
  <c r="E40" i="57" s="1"/>
  <c r="F47" i="57" s="1"/>
  <c r="U40" i="47"/>
  <c r="C6" i="47"/>
  <c r="C40" i="47" s="1"/>
  <c r="H24" i="46"/>
  <c r="O24" i="46"/>
  <c r="K24" i="46"/>
  <c r="M24" i="46"/>
  <c r="O25" i="46"/>
  <c r="K25" i="46"/>
  <c r="M25" i="46"/>
  <c r="H25" i="46"/>
  <c r="U7" i="46"/>
  <c r="C7" i="46" s="1"/>
  <c r="O8" i="46"/>
  <c r="H8" i="46"/>
  <c r="K8" i="46"/>
  <c r="M8" i="46"/>
  <c r="G11" i="46"/>
  <c r="AR11" i="46"/>
  <c r="AQ11" i="46"/>
  <c r="AS11" i="46"/>
  <c r="G20" i="46"/>
  <c r="AQ20" i="46"/>
  <c r="AR20" i="46"/>
  <c r="AS20" i="46"/>
  <c r="M7" i="45"/>
  <c r="H7" i="45"/>
  <c r="K7" i="45"/>
  <c r="O7" i="45"/>
  <c r="D18" i="46"/>
  <c r="D31" i="46"/>
  <c r="D33" i="46"/>
  <c r="D17" i="46"/>
  <c r="H17" i="46" l="1"/>
  <c r="K17" i="46"/>
  <c r="M17" i="46"/>
  <c r="O17" i="46"/>
  <c r="M18" i="46"/>
  <c r="K18" i="46"/>
  <c r="H18" i="46"/>
  <c r="O18" i="46"/>
  <c r="U11" i="46"/>
  <c r="C11" i="46" s="1"/>
  <c r="U20" i="46"/>
  <c r="C20" i="46" s="1"/>
  <c r="M31" i="46"/>
  <c r="H31" i="46"/>
  <c r="O31" i="46"/>
  <c r="K31" i="46"/>
  <c r="AS25" i="46"/>
  <c r="AQ25" i="46"/>
  <c r="AR25" i="46"/>
  <c r="G25" i="46"/>
  <c r="M33" i="46"/>
  <c r="O33" i="46"/>
  <c r="K33" i="46"/>
  <c r="H33" i="46"/>
  <c r="G8" i="46"/>
  <c r="AQ8" i="46"/>
  <c r="AS8" i="46"/>
  <c r="AR8" i="46"/>
  <c r="G24" i="46"/>
  <c r="AQ24" i="46"/>
  <c r="AS24" i="46"/>
  <c r="AR24" i="46"/>
  <c r="D33" i="45"/>
  <c r="D33" i="57" s="1"/>
  <c r="D29" i="45"/>
  <c r="G7" i="45"/>
  <c r="G7" i="57" s="1"/>
  <c r="U7" i="57" s="1"/>
  <c r="AR7" i="45"/>
  <c r="AS7" i="45"/>
  <c r="AQ7" i="45"/>
  <c r="D38" i="46"/>
  <c r="D37" i="46"/>
  <c r="D36" i="46"/>
  <c r="D35" i="46"/>
  <c r="D34" i="46"/>
  <c r="D32" i="46"/>
  <c r="D30" i="46"/>
  <c r="D29" i="46"/>
  <c r="D28" i="46"/>
  <c r="D27" i="46"/>
  <c r="D26" i="46"/>
  <c r="D23" i="46"/>
  <c r="D22" i="46"/>
  <c r="D19" i="46"/>
  <c r="D16" i="46"/>
  <c r="D15" i="46"/>
  <c r="D14" i="46"/>
  <c r="D13" i="46"/>
  <c r="D12" i="46"/>
  <c r="D10" i="46"/>
  <c r="D9" i="46"/>
  <c r="D6" i="46"/>
  <c r="O33" i="57" l="1"/>
  <c r="M33" i="57"/>
  <c r="K33" i="57"/>
  <c r="AS33" i="57" s="1"/>
  <c r="D29" i="57"/>
  <c r="H22" i="46"/>
  <c r="M22" i="46"/>
  <c r="O22" i="46"/>
  <c r="K22" i="46"/>
  <c r="O27" i="46"/>
  <c r="K27" i="46"/>
  <c r="M27" i="46"/>
  <c r="H27" i="46"/>
  <c r="K34" i="46"/>
  <c r="M34" i="46"/>
  <c r="H34" i="46"/>
  <c r="O34" i="46"/>
  <c r="O38" i="46"/>
  <c r="M38" i="46"/>
  <c r="K38" i="46"/>
  <c r="H38" i="46"/>
  <c r="K13" i="46"/>
  <c r="O13" i="46"/>
  <c r="H13" i="46"/>
  <c r="M13" i="46"/>
  <c r="K19" i="46"/>
  <c r="O19" i="46"/>
  <c r="H19" i="46"/>
  <c r="M19" i="46"/>
  <c r="H32" i="46"/>
  <c r="O32" i="46"/>
  <c r="M32" i="46"/>
  <c r="K32" i="46"/>
  <c r="O9" i="46"/>
  <c r="H9" i="46"/>
  <c r="M9" i="46"/>
  <c r="K9" i="46"/>
  <c r="M26" i="46"/>
  <c r="O26" i="46"/>
  <c r="H26" i="46"/>
  <c r="K26" i="46"/>
  <c r="O28" i="46"/>
  <c r="H28" i="46"/>
  <c r="M28" i="46"/>
  <c r="K28" i="46"/>
  <c r="H30" i="46"/>
  <c r="M30" i="46"/>
  <c r="O30" i="46"/>
  <c r="K30" i="46"/>
  <c r="K35" i="46"/>
  <c r="O35" i="46"/>
  <c r="M35" i="46"/>
  <c r="H35" i="46"/>
  <c r="M37" i="46"/>
  <c r="O37" i="46"/>
  <c r="K37" i="46"/>
  <c r="H37" i="46"/>
  <c r="AQ17" i="46"/>
  <c r="AR17" i="46"/>
  <c r="AS17" i="46"/>
  <c r="G17" i="46"/>
  <c r="H10" i="46"/>
  <c r="O10" i="46"/>
  <c r="M10" i="46"/>
  <c r="K10" i="46"/>
  <c r="M29" i="46"/>
  <c r="O29" i="46"/>
  <c r="H29" i="46"/>
  <c r="K29" i="46"/>
  <c r="K36" i="46"/>
  <c r="H36" i="46"/>
  <c r="M36" i="46"/>
  <c r="O36" i="46"/>
  <c r="AS33" i="46"/>
  <c r="AQ33" i="46"/>
  <c r="G33" i="46"/>
  <c r="AR33" i="46"/>
  <c r="U25" i="46"/>
  <c r="C25" i="46" s="1"/>
  <c r="G18" i="46"/>
  <c r="AQ18" i="46"/>
  <c r="AR18" i="46"/>
  <c r="AS18" i="46"/>
  <c r="O15" i="46"/>
  <c r="K15" i="46"/>
  <c r="M15" i="46"/>
  <c r="H15" i="46"/>
  <c r="U24" i="46"/>
  <c r="C24" i="46" s="1"/>
  <c r="U8" i="46"/>
  <c r="C8" i="46" s="1"/>
  <c r="AR31" i="46"/>
  <c r="AQ31" i="46"/>
  <c r="G31" i="46"/>
  <c r="AS31" i="46"/>
  <c r="M6" i="46"/>
  <c r="O6" i="46"/>
  <c r="K6" i="46"/>
  <c r="H6" i="46"/>
  <c r="M23" i="46"/>
  <c r="O23" i="46"/>
  <c r="H23" i="46"/>
  <c r="K23" i="46"/>
  <c r="O12" i="46"/>
  <c r="K12" i="46"/>
  <c r="H12" i="46"/>
  <c r="M12" i="46"/>
  <c r="K14" i="46"/>
  <c r="H14" i="46"/>
  <c r="O14" i="46"/>
  <c r="M14" i="46"/>
  <c r="K16" i="46"/>
  <c r="H16" i="46"/>
  <c r="O16" i="46"/>
  <c r="M16" i="46"/>
  <c r="D40" i="46"/>
  <c r="M33" i="45"/>
  <c r="O33" i="45"/>
  <c r="H33" i="45"/>
  <c r="K33" i="45"/>
  <c r="U7" i="45"/>
  <c r="C7" i="45" s="1"/>
  <c r="H29" i="45"/>
  <c r="K29" i="45"/>
  <c r="M29" i="45"/>
  <c r="O29" i="45"/>
  <c r="O29" i="57" l="1"/>
  <c r="M29" i="57"/>
  <c r="K29" i="57"/>
  <c r="AR35" i="46"/>
  <c r="AS35" i="46"/>
  <c r="AQ35" i="46"/>
  <c r="G35" i="46"/>
  <c r="G27" i="46"/>
  <c r="AR27" i="46"/>
  <c r="AS27" i="46"/>
  <c r="AQ27" i="46"/>
  <c r="M40" i="46"/>
  <c r="H40" i="46"/>
  <c r="D47" i="46" s="1"/>
  <c r="G16" i="46"/>
  <c r="AQ16" i="46"/>
  <c r="AR16" i="46"/>
  <c r="AS16" i="46"/>
  <c r="AQ14" i="46"/>
  <c r="G14" i="46"/>
  <c r="AR14" i="46"/>
  <c r="AS14" i="46"/>
  <c r="AQ6" i="46"/>
  <c r="AR6" i="46"/>
  <c r="G6" i="46"/>
  <c r="AS10" i="46"/>
  <c r="G10" i="46"/>
  <c r="AR10" i="46"/>
  <c r="AQ10" i="46"/>
  <c r="AQ26" i="46"/>
  <c r="G26" i="46"/>
  <c r="AR26" i="46"/>
  <c r="AS26" i="46"/>
  <c r="G13" i="46"/>
  <c r="AR13" i="46"/>
  <c r="AS13" i="46"/>
  <c r="AQ13" i="46"/>
  <c r="U18" i="46"/>
  <c r="C18" i="46" s="1"/>
  <c r="U17" i="46"/>
  <c r="C17" i="46" s="1"/>
  <c r="AR28" i="46"/>
  <c r="G28" i="46"/>
  <c r="AS28" i="46"/>
  <c r="AQ28" i="46"/>
  <c r="AS9" i="46"/>
  <c r="AQ9" i="46"/>
  <c r="AR9" i="46"/>
  <c r="G9" i="46"/>
  <c r="G12" i="46"/>
  <c r="AQ12" i="46"/>
  <c r="AS12" i="46"/>
  <c r="AR12" i="46"/>
  <c r="AS23" i="46"/>
  <c r="AQ23" i="46"/>
  <c r="AR23" i="46"/>
  <c r="G23" i="46"/>
  <c r="G36" i="46"/>
  <c r="AR36" i="46"/>
  <c r="AQ36" i="46"/>
  <c r="AS36" i="46"/>
  <c r="G37" i="46"/>
  <c r="AS37" i="46"/>
  <c r="AQ37" i="46"/>
  <c r="AR37" i="46"/>
  <c r="AQ38" i="46"/>
  <c r="AS38" i="46"/>
  <c r="AR38" i="46"/>
  <c r="G38" i="46"/>
  <c r="U33" i="46"/>
  <c r="C33" i="46" s="1"/>
  <c r="AS19" i="46"/>
  <c r="AQ19" i="46"/>
  <c r="AR19" i="46"/>
  <c r="G19" i="46"/>
  <c r="AR34" i="46"/>
  <c r="AQ34" i="46"/>
  <c r="G34" i="46"/>
  <c r="AS34" i="46"/>
  <c r="K40" i="46"/>
  <c r="U31" i="46"/>
  <c r="C31" i="46" s="1"/>
  <c r="O40" i="46"/>
  <c r="G15" i="46"/>
  <c r="AS15" i="46"/>
  <c r="AR15" i="46"/>
  <c r="AQ15" i="46"/>
  <c r="AS29" i="46"/>
  <c r="G29" i="46"/>
  <c r="AR29" i="46"/>
  <c r="AQ29" i="46"/>
  <c r="AR30" i="46"/>
  <c r="G30" i="46"/>
  <c r="AQ30" i="46"/>
  <c r="AS30" i="46"/>
  <c r="G32" i="46"/>
  <c r="AS32" i="46"/>
  <c r="AQ32" i="46"/>
  <c r="AR32" i="46"/>
  <c r="AR22" i="46"/>
  <c r="G22" i="46"/>
  <c r="AQ22" i="46"/>
  <c r="AS22" i="46"/>
  <c r="AQ29" i="45"/>
  <c r="AS29" i="45"/>
  <c r="G29" i="45"/>
  <c r="G29" i="57" s="1"/>
  <c r="U29" i="57" s="1"/>
  <c r="AR29" i="45"/>
  <c r="AQ33" i="45"/>
  <c r="AR33" i="45"/>
  <c r="G33" i="45"/>
  <c r="G33" i="57" s="1"/>
  <c r="U33" i="57" s="1"/>
  <c r="AS33" i="45"/>
  <c r="D19" i="45"/>
  <c r="D19" i="57" s="1"/>
  <c r="O19" i="57" l="1"/>
  <c r="K19" i="57"/>
  <c r="M19" i="57"/>
  <c r="AR29" i="57"/>
  <c r="AS29" i="57"/>
  <c r="U37" i="46"/>
  <c r="C37" i="46" s="1"/>
  <c r="U6" i="46"/>
  <c r="U14" i="46"/>
  <c r="C14" i="46" s="1"/>
  <c r="U27" i="46"/>
  <c r="C27" i="46" s="1"/>
  <c r="U32" i="46"/>
  <c r="C32" i="46" s="1"/>
  <c r="U29" i="46"/>
  <c r="C29" i="46" s="1"/>
  <c r="U36" i="46"/>
  <c r="C36" i="46" s="1"/>
  <c r="U23" i="46"/>
  <c r="C23" i="46" s="1"/>
  <c r="U13" i="46"/>
  <c r="C13" i="46" s="1"/>
  <c r="U26" i="46"/>
  <c r="C26" i="46" s="1"/>
  <c r="U16" i="46"/>
  <c r="C16" i="46" s="1"/>
  <c r="U15" i="46"/>
  <c r="C15" i="46" s="1"/>
  <c r="U34" i="46"/>
  <c r="C34" i="46" s="1"/>
  <c r="U19" i="46"/>
  <c r="C19" i="46" s="1"/>
  <c r="AS40" i="46"/>
  <c r="AR40" i="46"/>
  <c r="U22" i="46"/>
  <c r="C22" i="46" s="1"/>
  <c r="U30" i="46"/>
  <c r="C30" i="46" s="1"/>
  <c r="U38" i="46"/>
  <c r="C38" i="46" s="1"/>
  <c r="U12" i="46"/>
  <c r="C12" i="46" s="1"/>
  <c r="U9" i="46"/>
  <c r="C9" i="46" s="1"/>
  <c r="U28" i="46"/>
  <c r="C28" i="46" s="1"/>
  <c r="U10" i="46"/>
  <c r="C10" i="46" s="1"/>
  <c r="AQ40" i="46"/>
  <c r="U35" i="46"/>
  <c r="C35" i="46" s="1"/>
  <c r="D37" i="45"/>
  <c r="D37" i="57" s="1"/>
  <c r="D31" i="45"/>
  <c r="D31" i="57" s="1"/>
  <c r="K19" i="45"/>
  <c r="M19" i="45"/>
  <c r="H19" i="45"/>
  <c r="O19" i="45"/>
  <c r="U33" i="45"/>
  <c r="C33" i="45" s="1"/>
  <c r="D34" i="45"/>
  <c r="D34" i="57" s="1"/>
  <c r="U29" i="45"/>
  <c r="C29" i="45" s="1"/>
  <c r="O31" i="57" l="1"/>
  <c r="K31" i="57"/>
  <c r="AS31" i="57" s="1"/>
  <c r="M31" i="57"/>
  <c r="M37" i="57"/>
  <c r="K37" i="57"/>
  <c r="AS37" i="57" s="1"/>
  <c r="O37" i="57"/>
  <c r="M34" i="57"/>
  <c r="O34" i="57"/>
  <c r="K34" i="57"/>
  <c r="AS34" i="57" s="1"/>
  <c r="AR19" i="57"/>
  <c r="AS19" i="57"/>
  <c r="G40" i="46"/>
  <c r="U40" i="46"/>
  <c r="C6" i="46"/>
  <c r="C40" i="46" s="1"/>
  <c r="D17" i="45"/>
  <c r="D17" i="57" s="1"/>
  <c r="D22" i="45"/>
  <c r="D22" i="57" s="1"/>
  <c r="D26" i="45"/>
  <c r="D26" i="57" s="1"/>
  <c r="M34" i="45"/>
  <c r="H34" i="45"/>
  <c r="O34" i="45"/>
  <c r="K34" i="45"/>
  <c r="D10" i="45"/>
  <c r="D10" i="57" s="1"/>
  <c r="D14" i="45"/>
  <c r="D14" i="57" s="1"/>
  <c r="D18" i="45"/>
  <c r="D18" i="57" s="1"/>
  <c r="D23" i="45"/>
  <c r="D23" i="57" s="1"/>
  <c r="D27" i="45"/>
  <c r="D27" i="57" s="1"/>
  <c r="D35" i="45"/>
  <c r="D35" i="57" s="1"/>
  <c r="G19" i="45"/>
  <c r="G19" i="57" s="1"/>
  <c r="U19" i="57" s="1"/>
  <c r="AQ19" i="45"/>
  <c r="AR19" i="45"/>
  <c r="AS19" i="45"/>
  <c r="D6" i="45"/>
  <c r="D6" i="57" s="1"/>
  <c r="D11" i="45"/>
  <c r="D11" i="57" s="1"/>
  <c r="D15" i="45"/>
  <c r="D15" i="57" s="1"/>
  <c r="D20" i="45"/>
  <c r="D20" i="57" s="1"/>
  <c r="D24" i="45"/>
  <c r="D24" i="57" s="1"/>
  <c r="D28" i="45"/>
  <c r="D28" i="57" s="1"/>
  <c r="D36" i="45"/>
  <c r="D36" i="57" s="1"/>
  <c r="O37" i="45"/>
  <c r="H37" i="45"/>
  <c r="K37" i="45"/>
  <c r="M37" i="45"/>
  <c r="D9" i="45"/>
  <c r="D9" i="57" s="1"/>
  <c r="D13" i="45"/>
  <c r="D13" i="57" s="1"/>
  <c r="D32" i="45"/>
  <c r="D32" i="57" s="1"/>
  <c r="K31" i="45"/>
  <c r="M31" i="45"/>
  <c r="H31" i="45"/>
  <c r="O31" i="45"/>
  <c r="D8" i="45"/>
  <c r="D8" i="57" s="1"/>
  <c r="D12" i="45"/>
  <c r="D12" i="57" s="1"/>
  <c r="D16" i="45"/>
  <c r="D16" i="57" s="1"/>
  <c r="D21" i="45"/>
  <c r="D21" i="57" s="1"/>
  <c r="D25" i="45"/>
  <c r="D25" i="57" s="1"/>
  <c r="D30" i="45"/>
  <c r="D30" i="57" s="1"/>
  <c r="D38" i="45"/>
  <c r="D38" i="57" s="1"/>
  <c r="O38" i="57" l="1"/>
  <c r="K38" i="57"/>
  <c r="M38" i="57"/>
  <c r="O16" i="57"/>
  <c r="M16" i="57"/>
  <c r="K16" i="57"/>
  <c r="AS16" i="57" s="1"/>
  <c r="O13" i="57"/>
  <c r="K13" i="57"/>
  <c r="M13" i="57"/>
  <c r="AR13" i="57" s="1"/>
  <c r="O24" i="57"/>
  <c r="K24" i="57"/>
  <c r="AS24" i="57" s="1"/>
  <c r="M24" i="57"/>
  <c r="D40" i="57"/>
  <c r="M6" i="57"/>
  <c r="K6" i="57"/>
  <c r="O6" i="57"/>
  <c r="O18" i="57"/>
  <c r="M18" i="57"/>
  <c r="K18" i="57"/>
  <c r="AS18" i="57" s="1"/>
  <c r="M22" i="57"/>
  <c r="O22" i="57"/>
  <c r="K22" i="57"/>
  <c r="K30" i="57"/>
  <c r="AS30" i="57" s="1"/>
  <c r="M30" i="57"/>
  <c r="O30" i="57"/>
  <c r="K12" i="57"/>
  <c r="AS12" i="57" s="1"/>
  <c r="M12" i="57"/>
  <c r="O12" i="57"/>
  <c r="K9" i="57"/>
  <c r="AS9" i="57" s="1"/>
  <c r="M9" i="57"/>
  <c r="O9" i="57"/>
  <c r="O20" i="57"/>
  <c r="M20" i="57"/>
  <c r="K20" i="57"/>
  <c r="AS20" i="57" s="1"/>
  <c r="O35" i="57"/>
  <c r="M35" i="57"/>
  <c r="K35" i="57"/>
  <c r="O14" i="57"/>
  <c r="K14" i="57"/>
  <c r="AS14" i="57" s="1"/>
  <c r="M14" i="57"/>
  <c r="K17" i="57"/>
  <c r="AS17" i="57" s="1"/>
  <c r="O17" i="57"/>
  <c r="M17" i="57"/>
  <c r="O25" i="57"/>
  <c r="M25" i="57"/>
  <c r="K25" i="57"/>
  <c r="AS25" i="57" s="1"/>
  <c r="K8" i="57"/>
  <c r="AS8" i="57" s="1"/>
  <c r="O8" i="57"/>
  <c r="M8" i="57"/>
  <c r="M36" i="57"/>
  <c r="K36" i="57"/>
  <c r="AS36" i="57" s="1"/>
  <c r="O36" i="57"/>
  <c r="M15" i="57"/>
  <c r="K15" i="57"/>
  <c r="O15" i="57"/>
  <c r="O27" i="57"/>
  <c r="M27" i="57"/>
  <c r="K27" i="57"/>
  <c r="K10" i="57"/>
  <c r="AS10" i="57" s="1"/>
  <c r="O10" i="57"/>
  <c r="M10" i="57"/>
  <c r="O21" i="57"/>
  <c r="K21" i="57"/>
  <c r="AS21" i="57" s="1"/>
  <c r="M21" i="57"/>
  <c r="K32" i="57"/>
  <c r="AS32" i="57" s="1"/>
  <c r="M32" i="57"/>
  <c r="O32" i="57"/>
  <c r="K28" i="57"/>
  <c r="AS28" i="57" s="1"/>
  <c r="M28" i="57"/>
  <c r="O28" i="57"/>
  <c r="K11" i="57"/>
  <c r="AS11" i="57" s="1"/>
  <c r="M11" i="57"/>
  <c r="O11" i="57"/>
  <c r="M23" i="57"/>
  <c r="K23" i="57"/>
  <c r="AS23" i="57" s="1"/>
  <c r="O23" i="57"/>
  <c r="K26" i="57"/>
  <c r="AS26" i="57" s="1"/>
  <c r="M26" i="57"/>
  <c r="O26" i="57"/>
  <c r="K27" i="45"/>
  <c r="H27" i="45"/>
  <c r="O27" i="45"/>
  <c r="M27" i="45"/>
  <c r="H22" i="45"/>
  <c r="M22" i="45"/>
  <c r="O22" i="45"/>
  <c r="K22" i="45"/>
  <c r="O21" i="45"/>
  <c r="H21" i="45"/>
  <c r="M21" i="45"/>
  <c r="K21" i="45"/>
  <c r="H12" i="45"/>
  <c r="K12" i="45"/>
  <c r="M12" i="45"/>
  <c r="O12" i="45"/>
  <c r="H28" i="45"/>
  <c r="K28" i="45"/>
  <c r="M28" i="45"/>
  <c r="O28" i="45"/>
  <c r="G31" i="45"/>
  <c r="G31" i="57" s="1"/>
  <c r="U31" i="57" s="1"/>
  <c r="AS31" i="45"/>
  <c r="AR31" i="45"/>
  <c r="AQ31" i="45"/>
  <c r="M35" i="45"/>
  <c r="O35" i="45"/>
  <c r="K35" i="45"/>
  <c r="H35" i="45"/>
  <c r="H23" i="45"/>
  <c r="M23" i="45"/>
  <c r="K23" i="45"/>
  <c r="O23" i="45"/>
  <c r="K14" i="45"/>
  <c r="H14" i="45"/>
  <c r="M14" i="45"/>
  <c r="O14" i="45"/>
  <c r="K26" i="45"/>
  <c r="H26" i="45"/>
  <c r="M26" i="45"/>
  <c r="O26" i="45"/>
  <c r="H17" i="45"/>
  <c r="K17" i="45"/>
  <c r="M17" i="45"/>
  <c r="O17" i="45"/>
  <c r="U19" i="45"/>
  <c r="C19" i="45" s="1"/>
  <c r="M18" i="45"/>
  <c r="K18" i="45"/>
  <c r="O18" i="45"/>
  <c r="H18" i="45"/>
  <c r="K10" i="45"/>
  <c r="M10" i="45"/>
  <c r="O10" i="45"/>
  <c r="H10" i="45"/>
  <c r="AS34" i="45"/>
  <c r="AQ34" i="45"/>
  <c r="AR34" i="45"/>
  <c r="G34" i="45"/>
  <c r="G34" i="57" s="1"/>
  <c r="U34" i="57" s="1"/>
  <c r="K30" i="45"/>
  <c r="M30" i="45"/>
  <c r="H30" i="45"/>
  <c r="O30" i="45"/>
  <c r="O32" i="45"/>
  <c r="M32" i="45"/>
  <c r="H32" i="45"/>
  <c r="K32" i="45"/>
  <c r="K9" i="45"/>
  <c r="M9" i="45"/>
  <c r="H9" i="45"/>
  <c r="O9" i="45"/>
  <c r="AR37" i="45"/>
  <c r="AQ37" i="45"/>
  <c r="G37" i="45"/>
  <c r="G37" i="57" s="1"/>
  <c r="U37" i="57" s="1"/>
  <c r="AS37" i="45"/>
  <c r="O20" i="45"/>
  <c r="K20" i="45"/>
  <c r="H20" i="45"/>
  <c r="M20" i="45"/>
  <c r="O11" i="45"/>
  <c r="H11" i="45"/>
  <c r="K11" i="45"/>
  <c r="M11" i="45"/>
  <c r="K38" i="45"/>
  <c r="H38" i="45"/>
  <c r="M38" i="45"/>
  <c r="O38" i="45"/>
  <c r="K25" i="45"/>
  <c r="H25" i="45"/>
  <c r="M25" i="45"/>
  <c r="O25" i="45"/>
  <c r="K16" i="45"/>
  <c r="M16" i="45"/>
  <c r="H16" i="45"/>
  <c r="O16" i="45"/>
  <c r="K8" i="45"/>
  <c r="H8" i="45"/>
  <c r="M8" i="45"/>
  <c r="O8" i="45"/>
  <c r="H13" i="45"/>
  <c r="K13" i="45"/>
  <c r="M13" i="45"/>
  <c r="O13" i="45"/>
  <c r="O36" i="45"/>
  <c r="K36" i="45"/>
  <c r="H36" i="45"/>
  <c r="M36" i="45"/>
  <c r="H24" i="45"/>
  <c r="O24" i="45"/>
  <c r="M24" i="45"/>
  <c r="K24" i="45"/>
  <c r="K15" i="45"/>
  <c r="O15" i="45"/>
  <c r="M15" i="45"/>
  <c r="H15" i="45"/>
  <c r="M6" i="45"/>
  <c r="H6" i="45"/>
  <c r="K6" i="45"/>
  <c r="O6" i="45"/>
  <c r="D40" i="45"/>
  <c r="O40" i="57" l="1"/>
  <c r="AQ13" i="57"/>
  <c r="AS13" i="57"/>
  <c r="AR6" i="57"/>
  <c r="AR40" i="57" s="1"/>
  <c r="K40" i="57"/>
  <c r="AQ27" i="57"/>
  <c r="AS27" i="57"/>
  <c r="AQ15" i="57"/>
  <c r="AS15" i="57"/>
  <c r="AQ22" i="57"/>
  <c r="AS22" i="57"/>
  <c r="M40" i="57"/>
  <c r="AQ38" i="57"/>
  <c r="AS38" i="57"/>
  <c r="AQ35" i="57"/>
  <c r="AS35" i="57"/>
  <c r="K40" i="45"/>
  <c r="AQ35" i="45"/>
  <c r="AS35" i="45"/>
  <c r="AR35" i="45"/>
  <c r="G35" i="45"/>
  <c r="G35" i="57" s="1"/>
  <c r="U35" i="57" s="1"/>
  <c r="AR28" i="45"/>
  <c r="AQ28" i="45"/>
  <c r="G28" i="45"/>
  <c r="G28" i="57" s="1"/>
  <c r="U28" i="57" s="1"/>
  <c r="AS28" i="45"/>
  <c r="AS12" i="45"/>
  <c r="G12" i="45"/>
  <c r="G12" i="57" s="1"/>
  <c r="U12" i="57" s="1"/>
  <c r="AQ12" i="45"/>
  <c r="AR12" i="45"/>
  <c r="AS22" i="45"/>
  <c r="G22" i="45"/>
  <c r="G22" i="57" s="1"/>
  <c r="U22" i="57" s="1"/>
  <c r="AR22" i="45"/>
  <c r="AQ22" i="45"/>
  <c r="M40" i="45"/>
  <c r="G24" i="45"/>
  <c r="G24" i="57" s="1"/>
  <c r="U24" i="57" s="1"/>
  <c r="AS24" i="45"/>
  <c r="AR24" i="45"/>
  <c r="AQ24" i="45"/>
  <c r="G13" i="45"/>
  <c r="G13" i="57" s="1"/>
  <c r="U13" i="57" s="1"/>
  <c r="AQ13" i="45"/>
  <c r="AR13" i="45"/>
  <c r="AS13" i="45"/>
  <c r="G9" i="45"/>
  <c r="G9" i="57" s="1"/>
  <c r="U9" i="57" s="1"/>
  <c r="AS9" i="45"/>
  <c r="AR9" i="45"/>
  <c r="AQ9" i="45"/>
  <c r="G32" i="45"/>
  <c r="G32" i="57" s="1"/>
  <c r="U32" i="57" s="1"/>
  <c r="AS32" i="45"/>
  <c r="AR32" i="45"/>
  <c r="AQ32" i="45"/>
  <c r="AR30" i="45"/>
  <c r="AS30" i="45"/>
  <c r="G30" i="45"/>
  <c r="G30" i="57" s="1"/>
  <c r="U30" i="57" s="1"/>
  <c r="AQ30" i="45"/>
  <c r="G10" i="45"/>
  <c r="G10" i="57" s="1"/>
  <c r="U10" i="57" s="1"/>
  <c r="AR10" i="45"/>
  <c r="AQ10" i="45"/>
  <c r="AS10" i="45"/>
  <c r="G18" i="45"/>
  <c r="G18" i="57" s="1"/>
  <c r="U18" i="57" s="1"/>
  <c r="AQ18" i="45"/>
  <c r="AS18" i="45"/>
  <c r="AR18" i="45"/>
  <c r="G26" i="45"/>
  <c r="G26" i="57" s="1"/>
  <c r="U26" i="57" s="1"/>
  <c r="AQ26" i="45"/>
  <c r="AS26" i="45"/>
  <c r="AR26" i="45"/>
  <c r="AS14" i="45"/>
  <c r="G14" i="45"/>
  <c r="G14" i="57" s="1"/>
  <c r="U14" i="57" s="1"/>
  <c r="AR14" i="45"/>
  <c r="AQ14" i="45"/>
  <c r="G36" i="45"/>
  <c r="G36" i="57" s="1"/>
  <c r="U36" i="57" s="1"/>
  <c r="AQ36" i="45"/>
  <c r="AR36" i="45"/>
  <c r="AS36" i="45"/>
  <c r="AS16" i="45"/>
  <c r="AQ16" i="45"/>
  <c r="AR16" i="45"/>
  <c r="G16" i="45"/>
  <c r="G16" i="57" s="1"/>
  <c r="U16" i="57" s="1"/>
  <c r="G20" i="45"/>
  <c r="G20" i="57" s="1"/>
  <c r="U20" i="57" s="1"/>
  <c r="AS20" i="45"/>
  <c r="AQ20" i="45"/>
  <c r="AR20" i="45"/>
  <c r="U37" i="45"/>
  <c r="C37" i="45" s="1"/>
  <c r="AS21" i="45"/>
  <c r="AR21" i="45"/>
  <c r="G21" i="45"/>
  <c r="G21" i="57" s="1"/>
  <c r="U21" i="57" s="1"/>
  <c r="AQ21" i="45"/>
  <c r="AQ27" i="45"/>
  <c r="AR27" i="45"/>
  <c r="AS27" i="45"/>
  <c r="G27" i="45"/>
  <c r="G27" i="57" s="1"/>
  <c r="U27" i="57" s="1"/>
  <c r="G6" i="45"/>
  <c r="G6" i="57" s="1"/>
  <c r="AQ6" i="45"/>
  <c r="AR6" i="45"/>
  <c r="H40" i="45"/>
  <c r="D47" i="45" s="1"/>
  <c r="AQ8" i="45"/>
  <c r="AR8" i="45"/>
  <c r="G8" i="45"/>
  <c r="G8" i="57" s="1"/>
  <c r="U8" i="57" s="1"/>
  <c r="AS8" i="45"/>
  <c r="G25" i="45"/>
  <c r="G25" i="57" s="1"/>
  <c r="U25" i="57" s="1"/>
  <c r="AQ25" i="45"/>
  <c r="AR25" i="45"/>
  <c r="AS25" i="45"/>
  <c r="AS38" i="45"/>
  <c r="G38" i="45"/>
  <c r="G38" i="57" s="1"/>
  <c r="U38" i="57" s="1"/>
  <c r="AQ38" i="45"/>
  <c r="AR38" i="45"/>
  <c r="AQ11" i="45"/>
  <c r="AR11" i="45"/>
  <c r="G11" i="45"/>
  <c r="G11" i="57" s="1"/>
  <c r="U11" i="57" s="1"/>
  <c r="AS11" i="45"/>
  <c r="U34" i="45"/>
  <c r="C34" i="45" s="1"/>
  <c r="O40" i="45"/>
  <c r="G15" i="45"/>
  <c r="G15" i="57" s="1"/>
  <c r="U15" i="57" s="1"/>
  <c r="AS15" i="45"/>
  <c r="AQ15" i="45"/>
  <c r="AR15" i="45"/>
  <c r="AQ17" i="45"/>
  <c r="AS17" i="45"/>
  <c r="AR17" i="45"/>
  <c r="G17" i="45"/>
  <c r="G17" i="57" s="1"/>
  <c r="U17" i="57" s="1"/>
  <c r="AQ23" i="45"/>
  <c r="AR23" i="45"/>
  <c r="G23" i="45"/>
  <c r="G23" i="57" s="1"/>
  <c r="U23" i="57" s="1"/>
  <c r="AS23" i="45"/>
  <c r="U31" i="45"/>
  <c r="C31" i="45" s="1"/>
  <c r="AS40" i="57" l="1"/>
  <c r="AQ40" i="57"/>
  <c r="U6" i="57"/>
  <c r="U40" i="57" s="1"/>
  <c r="G40" i="57"/>
  <c r="U11" i="45"/>
  <c r="C11" i="45" s="1"/>
  <c r="U21" i="45"/>
  <c r="C21" i="45" s="1"/>
  <c r="U9" i="45"/>
  <c r="C9" i="45" s="1"/>
  <c r="U12" i="45"/>
  <c r="C12" i="45" s="1"/>
  <c r="U15" i="45"/>
  <c r="C15" i="45" s="1"/>
  <c r="AR40" i="45"/>
  <c r="U10" i="45"/>
  <c r="C10" i="45" s="1"/>
  <c r="U30" i="45"/>
  <c r="C30" i="45" s="1"/>
  <c r="U25" i="45"/>
  <c r="C25" i="45" s="1"/>
  <c r="AS40" i="45"/>
  <c r="AQ40" i="45"/>
  <c r="U27" i="45"/>
  <c r="C27" i="45" s="1"/>
  <c r="U18" i="45"/>
  <c r="C18" i="45" s="1"/>
  <c r="U32" i="45"/>
  <c r="C32" i="45" s="1"/>
  <c r="U13" i="45"/>
  <c r="C13" i="45" s="1"/>
  <c r="U22" i="45"/>
  <c r="C22" i="45" s="1"/>
  <c r="U28" i="45"/>
  <c r="C28" i="45" s="1"/>
  <c r="U17" i="45"/>
  <c r="C17" i="45" s="1"/>
  <c r="U20" i="45"/>
  <c r="C20" i="45" s="1"/>
  <c r="U16" i="45"/>
  <c r="C16" i="45" s="1"/>
  <c r="U26" i="45"/>
  <c r="C26" i="45" s="1"/>
  <c r="U23" i="45"/>
  <c r="C23" i="45" s="1"/>
  <c r="U38" i="45"/>
  <c r="C38" i="45" s="1"/>
  <c r="U8" i="45"/>
  <c r="C8" i="45" s="1"/>
  <c r="U6" i="45"/>
  <c r="G40" i="45"/>
  <c r="U36" i="45"/>
  <c r="C36" i="45" s="1"/>
  <c r="U14" i="45"/>
  <c r="C14" i="45" s="1"/>
  <c r="U24" i="45"/>
  <c r="C24" i="45" s="1"/>
  <c r="U35" i="45"/>
  <c r="C35" i="45" s="1"/>
  <c r="U40" i="45" l="1"/>
  <c r="C6" i="45"/>
  <c r="C40" i="45" s="1"/>
</calcChain>
</file>

<file path=xl/comments1.xml><?xml version="1.0" encoding="utf-8"?>
<comments xmlns="http://schemas.openxmlformats.org/spreadsheetml/2006/main">
  <authors>
    <author>DJUOMBESSY</author>
  </authors>
  <commentLis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T75 000 DJOUNGOUE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VERSEMENT ESPECES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102000 PAIEMENT PETIT LOT DE T100</t>
        </r>
      </text>
    </comment>
    <comment ref="AK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AN12" authorId="0" shapeId="0">
      <text>
        <r>
          <rPr>
            <b/>
            <sz val="9"/>
            <color indexed="81"/>
            <rFont val="Tahoma"/>
            <charset val="1"/>
          </rPr>
          <t>DJUOMBESSY:</t>
        </r>
        <r>
          <rPr>
            <sz val="9"/>
            <color indexed="81"/>
            <rFont val="Tahoma"/>
            <charset val="1"/>
          </rPr>
          <t xml:space="preserve">
DEJOLIE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DE 5 000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JANVIER ET FEVRIER 2024</t>
        </r>
      </text>
    </comment>
    <comment ref="AZ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FIN ANNEE 60 000</t>
        </r>
      </text>
    </comment>
    <comment ref="BP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MARS 2024 NGONDIEP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YOUMBY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MBONING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4.xml><?xml version="1.0" encoding="utf-8"?>
<comments xmlns="http://schemas.openxmlformats.org/spreadsheetml/2006/main">
  <authors>
    <author>DJUOMBESSY</author>
  </authors>
  <commentLis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PRET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INTERET</t>
        </r>
      </text>
    </comment>
  </commentList>
</comments>
</file>

<file path=xl/comments15.xml><?xml version="1.0" encoding="utf-8"?>
<comments xmlns="http://schemas.openxmlformats.org/spreadsheetml/2006/main">
  <authors>
    <author>DJUOMBESSY</author>
  </authors>
  <commentList>
    <comment ref="BK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KOUATCHO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FONDS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TAXI BQUE NDJOMO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KOUTCHO/LOWE</t>
        </r>
      </text>
    </comment>
  </commentList>
</comments>
</file>

<file path=xl/comments16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COMMISSION
22/01/23 15 000
06/02/23  12 500</t>
        </r>
      </text>
    </comment>
    <comment ref="BP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NTUMA</t>
        </r>
      </text>
    </comment>
    <comment ref="BP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NDJOMO ETIENNE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BA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
INTERET RECONDUCTION 30 000</t>
        </r>
      </text>
    </comment>
    <comment ref="BQ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DIEUDONNE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CORRIGE</t>
        </r>
      </text>
    </comment>
  </commentList>
</comments>
</file>

<file path=xl/comments17.xml><?xml version="1.0" encoding="utf-8"?>
<comments xmlns="http://schemas.openxmlformats.org/spreadsheetml/2006/main">
  <authors>
    <author>DJUOMBESSY</author>
  </authors>
  <commentList>
    <comment ref="BE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COMPTE FOYER 1 750 OOO</t>
        </r>
      </text>
    </comment>
    <comment ref="BE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COMPENSATION REPAS
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TCHOUAMO</t>
        </r>
      </text>
    </comment>
    <comment ref="S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 PAR TCHOUMAO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8 000 AU LIEU DE 10 000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DEFALQUE DANS SON EPARGNE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 70 000</t>
        </r>
      </text>
    </comment>
    <comment ref="AX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DJOUKWE 892500</t>
        </r>
      </text>
    </comment>
    <comment ref="B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 DJOUKWE GUY 892 500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TCHANDA</t>
        </r>
      </text>
    </comment>
  </commentList>
</comments>
</file>

<file path=xl/comments18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REMBOURSEE PAR KOUATCHO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FR 1 000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MUTELLE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DJOMO TCHANDA</t>
        </r>
      </text>
    </comment>
  </commentList>
</comments>
</file>

<file path=xl/comments19.xml><?xml version="1.0" encoding="utf-8"?>
<comments xmlns="http://schemas.openxmlformats.org/spreadsheetml/2006/main">
  <authors>
    <author>DJUOMBESSY</author>
  </authors>
  <commentLis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RETOUR REMBOURSEMENT PRÊT SAISIE PAR ERREUR</t>
        </r>
      </text>
    </comment>
    <comment ref="AJ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KAMGAING DEJOLIE</t>
        </r>
      </text>
    </comment>
    <comment ref="AK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DJOUKWE GUY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SUR SON EPARGNE</t>
        </r>
      </text>
    </comment>
    <comment ref="AK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NKAMGAING ETIENNE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
EPARGNE 9 000
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DECES BEAU PÈRE 100 000 NGUIEMENI
DECES BELLE MERE DJUOMCESSY 100 000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PAIEMENT ESPECES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C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T40 AVRIL ET ECHEC TONTINE MAI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COLLATION DEJOLIE</t>
        </r>
      </text>
    </comment>
  </commentList>
</comments>
</file>

<file path=xl/comments20.xml><?xml version="1.0" encoding="utf-8"?>
<comments xmlns="http://schemas.openxmlformats.org/spreadsheetml/2006/main">
  <authors>
    <author>DJUOMBESSY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NANKAM APPOLINAIRE</t>
        </r>
      </text>
    </comment>
  </commentList>
</comments>
</file>

<file path=xl/comments21.xml><?xml version="1.0" encoding="utf-8"?>
<comments xmlns="http://schemas.openxmlformats.org/spreadsheetml/2006/main">
  <authors>
    <author>DJUOMBESSY</author>
  </authors>
  <commentLis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PASSE  DE 9000 A 6000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T100 202 000 VERSE PAR MBONING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PRÊT INT T25</t>
        </r>
      </text>
    </comment>
    <comment ref="AW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RETENU POUR DIVERS REMBOURSEMENT 221 000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FRAIS DE CARBURANT HENGUE ET KOUAMO MOISE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 250 000 PAR MBOGNING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DJUOMBESSY</t>
        </r>
      </text>
    </comment>
  </commentList>
</comments>
</file>

<file path=xl/comments22.xml><?xml version="1.0" encoding="utf-8"?>
<comments xmlns="http://schemas.openxmlformats.org/spreadsheetml/2006/main">
  <authors>
    <author>DJUOMBESSY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2889005</t>
        </r>
      </text>
    </commen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LEGALISATION DOCUMENT 30 000
TAXI 3000</t>
        </r>
      </text>
    </comment>
    <comment ref="C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ECHEC PETIT LOT ET RECONDUIT</t>
        </r>
      </text>
    </comment>
    <comment ref="AJ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T100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RECONDUCTION ECHEC TONTINE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FICTIF FONDS</t>
        </r>
      </text>
    </comment>
    <comment ref="BP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CONFECTION ET LAVAGE ECHARPE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TCHOUAMO</t>
        </r>
      </text>
    </comment>
  </commentList>
</comments>
</file>

<file path=xl/comments23.xml><?xml version="1.0" encoding="utf-8"?>
<comments xmlns="http://schemas.openxmlformats.org/spreadsheetml/2006/main">
  <authors>
    <author>DJUOMBESSY</author>
  </authors>
  <commentList>
    <comment ref="C1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NON PAYE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PRET</t>
        </r>
      </text>
    </comment>
    <comment ref="C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VOIR AVEC NDJOMO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INTERERET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C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</t>
        </r>
      </text>
    </comment>
    <comment ref="BD2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177 500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MBOGNING GUY</t>
        </r>
      </text>
    </comment>
  </commentList>
</comments>
</file>

<file path=xl/comments24.xml><?xml version="1.0" encoding="utf-8"?>
<comments xmlns="http://schemas.openxmlformats.org/spreadsheetml/2006/main">
  <authors>
    <author>DJUOMBESSY</author>
  </authors>
  <commentList>
    <comment ref="BP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COMMISSION VISITE MALADIE MBOUTCHUENG 13 500
COMMISSION HENGUE 30 000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101 000 VERSE PAR DEJOLI</t>
        </r>
      </text>
    </comment>
    <comment ref="BP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RECEPTION  100 000
NUIT ES ELTE 500 000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101 000 COMPTE NDJOMO</t>
        </r>
      </text>
    </comment>
    <comment ref="BE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TONTINE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DE CAISSE</t>
        </r>
      </text>
    </comment>
    <comment ref="BD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FONDS 227 500</t>
        </r>
      </text>
    </comment>
  </commentList>
</comments>
</file>

<file path=xl/comments25.xml><?xml version="1.0" encoding="utf-8"?>
<comments xmlns="http://schemas.openxmlformats.org/spreadsheetml/2006/main">
  <authors>
    <author>DJUOMBESSY</author>
  </authors>
  <commentList>
    <comment ref="AZ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EN BANQUE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 202 000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AZ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RECONDUIT</t>
        </r>
      </text>
    </comment>
    <comment ref="C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  <comment ref="AZ2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CONTRIBUTION FOYER 500 00
CONTRIBUTION RECEPTION 30 000
TONTINE 115 000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 AOUT ET SEPT
PENALITE 12 000
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PENALITE TONTINE</t>
        </r>
      </text>
    </comment>
    <comment ref="B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COMPLEMENT 10 000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FOYER</t>
        </r>
      </text>
    </comment>
  </commentList>
</comments>
</file>

<file path=xl/comments26.xml><?xml version="1.0" encoding="utf-8"?>
<comments xmlns="http://schemas.openxmlformats.org/spreadsheetml/2006/main">
  <authors>
    <author>DJUOMBESSY</author>
  </authors>
  <commentList>
    <comment ref="C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19 000 PAYEES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VERSEMENT DE NOV 23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ESPECES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 NKEPSEU 22 000 PAYEES</t>
        </r>
      </text>
    </comment>
    <comment ref="BD1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49 000</t>
        </r>
      </text>
    </comment>
    <comment ref="BD1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980 000</t>
        </r>
      </text>
    </comment>
    <comment ref="BD1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150 000</t>
        </r>
      </text>
    </comment>
    <comment ref="BD1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21 000</t>
        </r>
      </text>
    </comment>
    <comment ref="BD1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400 000</t>
        </r>
      </text>
    </comment>
    <comment ref="BD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BD2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50 000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22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53 000</t>
        </r>
      </text>
    </comment>
    <comment ref="BD2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220 000</t>
        </r>
      </text>
    </comment>
    <comment ref="BD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202 000</t>
        </r>
      </text>
    </comment>
    <comment ref="BD2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300 000</t>
        </r>
      </text>
    </comment>
    <comment ref="BD2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PAIEMENT DETTE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  <comment ref="BD3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 772000
EPARGNE 100 000</t>
        </r>
      </text>
    </comment>
    <comment ref="BD31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230 000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TONTINE OCT 23</t>
        </r>
      </text>
    </comment>
    <comment ref="BD3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EPARGNE 76 000
DEJOLIE   100 000
DETTE     51 500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  <comment ref="BD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PRÊT
227 500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SANCTION</t>
        </r>
      </text>
    </comment>
  </commentList>
</comments>
</file>

<file path=xl/comments27.xml><?xml version="1.0" encoding="utf-8"?>
<comments xmlns="http://schemas.openxmlformats.org/spreadsheetml/2006/main">
  <authors>
    <author>DJUOMBESSY</author>
  </authors>
  <commentList>
    <comment ref="C3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MUTUELLE</t>
        </r>
      </text>
    </comment>
  </commentList>
</comments>
</file>

<file path=xl/sharedStrings.xml><?xml version="1.0" encoding="utf-8"?>
<sst xmlns="http://schemas.openxmlformats.org/spreadsheetml/2006/main" count="4707" uniqueCount="206">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</sst>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ABBHISTOBQU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10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3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TONTINE7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LISTEADHEREN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ABBHISTOBQU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75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5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75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4TONTINE10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ABBHISTOBQU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10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3TONTINE4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2"/>
      <sheetName val="HISTOBQUEFEV22"/>
      <sheetName val="HISTOBQUEMARS22"/>
      <sheetName val="HISTOBQUEAVRIL22"/>
      <sheetName val="HISTOBQUEMAI22"/>
      <sheetName val="HISTOBQUEJUIN22"/>
      <sheetName val="HISTOBQUEJUIL22"/>
      <sheetName val="HISTOBQUEAOUT22"/>
      <sheetName val="HISTOBQUESEPT22"/>
      <sheetName val="HISTOBQUEOCT22"/>
      <sheetName val="HISTOBQUENOV22"/>
      <sheetName val="HISTOBQUEDEC22"/>
      <sheetName val="HISTOBQUERESUME22"/>
    </sheetNames>
    <sheetDataSet>
      <sheetData sheetId="0"/>
      <sheetData sheetId="1"/>
      <sheetData sheetId="2">
        <row r="6">
          <cell r="A6" t="str">
            <v>AS201648</v>
          </cell>
        </row>
      </sheetData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100000</v>
          </cell>
          <cell r="F6">
            <v>100000</v>
          </cell>
        </row>
        <row r="7">
          <cell r="A7" t="str">
            <v>AS201602</v>
          </cell>
          <cell r="B7" t="str">
            <v>BOUTCHOUANG WILLIAM</v>
          </cell>
          <cell r="C7">
            <v>105000</v>
          </cell>
          <cell r="F7">
            <v>105000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1105000</v>
          </cell>
          <cell r="F8">
            <v>1105000</v>
          </cell>
        </row>
        <row r="9">
          <cell r="A9" t="str">
            <v>AS201654</v>
          </cell>
          <cell r="B9" t="str">
            <v>DJOMOU TCHANDA</v>
          </cell>
          <cell r="C9">
            <v>30000</v>
          </cell>
          <cell r="F9">
            <v>30000</v>
          </cell>
        </row>
        <row r="10">
          <cell r="A10" t="str">
            <v>AS201605</v>
          </cell>
          <cell r="B10" t="str">
            <v>DJOUKWE NANGUEN GUY BLAISE</v>
          </cell>
          <cell r="C10">
            <v>1105000</v>
          </cell>
          <cell r="F10">
            <v>1105000</v>
          </cell>
        </row>
        <row r="11">
          <cell r="A11" t="str">
            <v>AS201608</v>
          </cell>
          <cell r="B11" t="str">
            <v>DJUOMBESSY ANTOINE</v>
          </cell>
          <cell r="C11">
            <v>215000</v>
          </cell>
          <cell r="F11">
            <v>215000</v>
          </cell>
        </row>
        <row r="12">
          <cell r="A12" t="str">
            <v>AS201651</v>
          </cell>
          <cell r="B12" t="str">
            <v>DOMOU FABIEN</v>
          </cell>
          <cell r="C12">
            <v>1035000</v>
          </cell>
          <cell r="F12">
            <v>1035000</v>
          </cell>
        </row>
        <row r="13">
          <cell r="A13" t="str">
            <v>AS201609</v>
          </cell>
          <cell r="B13" t="str">
            <v>DONHOU DAVID</v>
          </cell>
          <cell r="C13">
            <v>35000</v>
          </cell>
          <cell r="F13">
            <v>35000</v>
          </cell>
        </row>
        <row r="14">
          <cell r="A14" t="str">
            <v>AS201610</v>
          </cell>
          <cell r="B14" t="str">
            <v>FOTSO THOMAS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105000</v>
          </cell>
          <cell r="F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1150000</v>
          </cell>
          <cell r="F16">
            <v>1150000</v>
          </cell>
        </row>
        <row r="17">
          <cell r="A17" t="str">
            <v>AS201617</v>
          </cell>
          <cell r="B17" t="str">
            <v>KOUAMOU MOISE</v>
          </cell>
          <cell r="C17">
            <v>1030000</v>
          </cell>
          <cell r="F17">
            <v>1030000</v>
          </cell>
        </row>
        <row r="18">
          <cell r="A18" t="str">
            <v>AS201619</v>
          </cell>
          <cell r="B18" t="str">
            <v>KOUATCHO MESSACK</v>
          </cell>
          <cell r="C18">
            <v>1205000</v>
          </cell>
          <cell r="F18">
            <v>1205000</v>
          </cell>
        </row>
        <row r="19">
          <cell r="A19" t="str">
            <v>AS201620</v>
          </cell>
          <cell r="B19" t="str">
            <v>LOWE JEAN</v>
          </cell>
          <cell r="C19">
            <v>1030000</v>
          </cell>
          <cell r="F19">
            <v>1030000</v>
          </cell>
        </row>
        <row r="20">
          <cell r="A20" t="str">
            <v>AS201649</v>
          </cell>
          <cell r="B20" t="str">
            <v>MBOGNING TUGMA GUY</v>
          </cell>
          <cell r="C20">
            <v>1627500</v>
          </cell>
          <cell r="F20">
            <v>1627500</v>
          </cell>
        </row>
        <row r="21">
          <cell r="A21" t="str">
            <v>AS201639</v>
          </cell>
          <cell r="B21" t="str">
            <v>NANGUEN MARTIN</v>
          </cell>
          <cell r="C21">
            <v>30000</v>
          </cell>
          <cell r="F21">
            <v>30000</v>
          </cell>
        </row>
        <row r="22">
          <cell r="A22" t="str">
            <v>AS201621</v>
          </cell>
          <cell r="B22" t="str">
            <v>NANKAM APPOLINAIRE</v>
          </cell>
          <cell r="C22">
            <v>1105000</v>
          </cell>
          <cell r="F22">
            <v>1105000</v>
          </cell>
        </row>
        <row r="23">
          <cell r="A23" t="str">
            <v>AS201622</v>
          </cell>
          <cell r="B23" t="str">
            <v>NDJOMO ETIENNE</v>
          </cell>
          <cell r="C23">
            <v>680000</v>
          </cell>
          <cell r="D23">
            <v>101000</v>
          </cell>
          <cell r="F23">
            <v>781000</v>
          </cell>
        </row>
        <row r="24">
          <cell r="A24" t="str">
            <v>AS201624</v>
          </cell>
          <cell r="B24" t="str">
            <v>NGONDIEP CLAUDE</v>
          </cell>
          <cell r="C24">
            <v>1240000</v>
          </cell>
          <cell r="F24">
            <v>1240000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1280000</v>
          </cell>
          <cell r="F25">
            <v>1280000</v>
          </cell>
        </row>
        <row r="26">
          <cell r="A26" t="str">
            <v>AS201628</v>
          </cell>
          <cell r="B26" t="str">
            <v>NKAMGANG JUSTIN DEJOLIE</v>
          </cell>
          <cell r="C26">
            <v>1105000</v>
          </cell>
          <cell r="D26">
            <v>79500</v>
          </cell>
          <cell r="F26">
            <v>1184500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F27">
            <v>520000</v>
          </cell>
        </row>
        <row r="28">
          <cell r="A28" t="str">
            <v>AS201629</v>
          </cell>
          <cell r="B28" t="str">
            <v>NKEPSEU DIEUDONNE</v>
          </cell>
          <cell r="C28">
            <v>1130000</v>
          </cell>
          <cell r="F28">
            <v>1130000</v>
          </cell>
        </row>
        <row r="29">
          <cell r="A29" t="str">
            <v>AS201633</v>
          </cell>
          <cell r="B29" t="str">
            <v>PATEGO NJOSSU GUSTAVE</v>
          </cell>
          <cell r="C29">
            <v>105000</v>
          </cell>
          <cell r="F29">
            <v>105000</v>
          </cell>
        </row>
        <row r="30">
          <cell r="A30" t="str">
            <v>AS201653</v>
          </cell>
          <cell r="B30" t="str">
            <v>SIME BRICE</v>
          </cell>
          <cell r="C30">
            <v>105000</v>
          </cell>
          <cell r="F30">
            <v>105000</v>
          </cell>
        </row>
        <row r="31">
          <cell r="A31" t="str">
            <v>AS201636</v>
          </cell>
          <cell r="B31" t="str">
            <v>SIMO FONGANG ERIC</v>
          </cell>
          <cell r="F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905000</v>
          </cell>
          <cell r="F32">
            <v>905000</v>
          </cell>
        </row>
        <row r="33">
          <cell r="A33" t="str">
            <v>AS201641</v>
          </cell>
          <cell r="B33" t="str">
            <v>TCHOUAMOU MATHIEU</v>
          </cell>
          <cell r="C33">
            <v>1030000</v>
          </cell>
          <cell r="F33">
            <v>1030000</v>
          </cell>
        </row>
        <row r="34">
          <cell r="A34" t="str">
            <v>AS201644</v>
          </cell>
          <cell r="B34" t="str">
            <v>TIEYAM ERNEST</v>
          </cell>
          <cell r="F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1041250</v>
          </cell>
          <cell r="F35">
            <v>1041250</v>
          </cell>
        </row>
        <row r="36">
          <cell r="A36" t="str">
            <v>AS201647</v>
          </cell>
          <cell r="B36" t="str">
            <v>YOUMBI EMMANUEL</v>
          </cell>
          <cell r="C36">
            <v>280000</v>
          </cell>
          <cell r="F36">
            <v>280000</v>
          </cell>
        </row>
      </sheetData>
      <sheetData sheetId="14">
        <row r="6">
          <cell r="A6" t="str">
            <v>AS201648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</sheetNames>
    <sheetDataSet>
      <sheetData sheetId="0"/>
      <sheetData sheetId="1"/>
      <sheetData sheetId="2"/>
      <sheetData sheetId="3">
        <row r="6">
          <cell r="A6" t="str">
            <v>AS201648</v>
          </cell>
        </row>
      </sheetData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BANQUE</v>
          </cell>
          <cell r="N6">
            <v>0</v>
          </cell>
          <cell r="O6">
            <v>1200000</v>
          </cell>
          <cell r="P6">
            <v>100000</v>
          </cell>
        </row>
        <row r="7">
          <cell r="A7" t="str">
            <v>AS201608</v>
          </cell>
          <cell r="B7">
            <v>1</v>
          </cell>
          <cell r="C7" t="str">
            <v>DJUOMBESSY ANTOINE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AS201617</v>
          </cell>
          <cell r="B8">
            <v>3</v>
          </cell>
          <cell r="C8" t="str">
            <v>KOUAMOU MOISE</v>
          </cell>
          <cell r="D8">
            <v>300000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AS201619</v>
          </cell>
          <cell r="B9">
            <v>1</v>
          </cell>
          <cell r="C9" t="str">
            <v>KOUATCHO MESSACK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AS201649</v>
          </cell>
          <cell r="B10">
            <v>2</v>
          </cell>
          <cell r="C10" t="str">
            <v>MBOGNING TUGMA GUY</v>
          </cell>
          <cell r="D10">
            <v>200000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172500</v>
          </cell>
          <cell r="K10">
            <v>172500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AS201622</v>
          </cell>
          <cell r="B11">
            <v>1</v>
          </cell>
          <cell r="C11" t="str">
            <v>NDJOMO ETIENNE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AS201624</v>
          </cell>
          <cell r="B12">
            <v>1</v>
          </cell>
          <cell r="C12" t="str">
            <v>NGONDIEP CLAUDE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AS201626</v>
          </cell>
          <cell r="B13">
            <v>1</v>
          </cell>
          <cell r="C13" t="str">
            <v>NGUIEMEGNI MATHIEU BLAISE</v>
          </cell>
          <cell r="D13">
            <v>100000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AS201629</v>
          </cell>
          <cell r="B14">
            <v>1</v>
          </cell>
          <cell r="C14" t="str">
            <v>NKEPSEU DIEUDONNE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AS201647</v>
          </cell>
          <cell r="B15">
            <v>1</v>
          </cell>
          <cell r="C15" t="str">
            <v>YOUMBI EMMANUEL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7">
          <cell r="A17" t="str">
            <v>TOTAL PART</v>
          </cell>
          <cell r="B17">
            <v>13</v>
          </cell>
        </row>
        <row r="18">
          <cell r="A18" t="str">
            <v>NBRE ADHERENT</v>
          </cell>
          <cell r="B18">
            <v>10</v>
          </cell>
          <cell r="D18">
            <v>1300000</v>
          </cell>
          <cell r="F18">
            <v>0</v>
          </cell>
          <cell r="G18">
            <v>0</v>
          </cell>
          <cell r="I18">
            <v>0</v>
          </cell>
          <cell r="J18">
            <v>273500</v>
          </cell>
          <cell r="K18">
            <v>273500</v>
          </cell>
          <cell r="N18">
            <v>0</v>
          </cell>
          <cell r="O18">
            <v>1200000</v>
          </cell>
          <cell r="P18">
            <v>100000</v>
          </cell>
        </row>
        <row r="19">
          <cell r="M19" t="str">
            <v>NBRE PART</v>
          </cell>
          <cell r="N19" t="str">
            <v>PART VENDUE</v>
          </cell>
        </row>
        <row r="20">
          <cell r="D20" t="str">
            <v>MONTANT TONTINE</v>
          </cell>
          <cell r="E20" t="str">
            <v>REMBOURSEMENT PETIT LOT</v>
          </cell>
          <cell r="F20" t="str">
            <v>VENTE PETIT LOT</v>
          </cell>
          <cell r="G20" t="str">
            <v>VENTE LOT PRINCIPAL</v>
          </cell>
          <cell r="H20" t="str">
            <v>SOLDE EN CAISSE</v>
          </cell>
          <cell r="K20" t="str">
            <v>TONTINE + REMB + INTERET VENTE+RELIQUAT</v>
          </cell>
          <cell r="L20">
            <v>1673500</v>
          </cell>
        </row>
        <row r="21">
          <cell r="C21" t="str">
            <v>ESPECES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K21" t="str">
            <v>LOT PRINCIPAL</v>
          </cell>
          <cell r="L21">
            <v>1300000</v>
          </cell>
          <cell r="M21">
            <v>1</v>
          </cell>
          <cell r="N21">
            <v>0</v>
          </cell>
        </row>
      </sheetData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21"/>
      <sheetName val="DEFAILLANCETONTINE"/>
    </sheetNames>
    <sheetDataSet>
      <sheetData sheetId="0"/>
      <sheetData sheetId="1"/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>
        <row r="6">
          <cell r="A6" t="str">
            <v>AS201602</v>
          </cell>
        </row>
      </sheetData>
      <sheetData sheetId="6">
        <row r="6">
          <cell r="A6" t="str">
            <v>AS201602</v>
          </cell>
        </row>
      </sheetData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30000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31000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35000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 t="str">
            <v>BANQUE</v>
          </cell>
          <cell r="P12">
            <v>0</v>
          </cell>
          <cell r="Q12">
            <v>277000</v>
          </cell>
          <cell r="R12">
            <v>23000</v>
          </cell>
        </row>
        <row r="13">
          <cell r="A13" t="str">
            <v>AS201611</v>
          </cell>
          <cell r="B13">
            <v>1</v>
          </cell>
          <cell r="C13" t="str">
            <v>HENGUE PAUL OMER</v>
          </cell>
          <cell r="D13">
            <v>23000</v>
          </cell>
          <cell r="E13">
            <v>30000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AS201613</v>
          </cell>
          <cell r="B14">
            <v>1</v>
          </cell>
          <cell r="C14" t="str">
            <v>HOTCHO BENJAMIN</v>
          </cell>
          <cell r="D14">
            <v>23000</v>
          </cell>
          <cell r="E14">
            <v>75000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AS201617</v>
          </cell>
          <cell r="B15">
            <v>1</v>
          </cell>
          <cell r="C15" t="str">
            <v>KOUAMOU MOISE</v>
          </cell>
          <cell r="D15">
            <v>23000</v>
          </cell>
          <cell r="E15">
            <v>30000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AS201619</v>
          </cell>
          <cell r="B16">
            <v>1</v>
          </cell>
          <cell r="C16" t="str">
            <v>KOUATCHO MESSACK</v>
          </cell>
          <cell r="D16">
            <v>23000</v>
          </cell>
          <cell r="E16">
            <v>30000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AS201620</v>
          </cell>
          <cell r="B17">
            <v>1</v>
          </cell>
          <cell r="C17" t="str">
            <v>LOWE JEAN</v>
          </cell>
          <cell r="D17">
            <v>23000</v>
          </cell>
          <cell r="E17">
            <v>30000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AS201649</v>
          </cell>
          <cell r="B18">
            <v>1</v>
          </cell>
          <cell r="C18" t="str">
            <v>MBOGNING TUGMA GUY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AS201639</v>
          </cell>
          <cell r="B19">
            <v>1</v>
          </cell>
          <cell r="C19" t="str">
            <v>NANGUEN MARTIN</v>
          </cell>
          <cell r="D19">
            <v>23000</v>
          </cell>
          <cell r="E19">
            <v>30000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AS201621</v>
          </cell>
          <cell r="B20">
            <v>1</v>
          </cell>
          <cell r="C20" t="str">
            <v>NANKAM APPOLINAIRE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AS201622</v>
          </cell>
          <cell r="B21">
            <v>1</v>
          </cell>
          <cell r="C21" t="str">
            <v>NDJOMO ETIENNE</v>
          </cell>
          <cell r="D21">
            <v>23000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AS201624</v>
          </cell>
          <cell r="B22">
            <v>1</v>
          </cell>
          <cell r="C22" t="str">
            <v>NGONDIEP CLAUDE</v>
          </cell>
          <cell r="D22">
            <v>23000</v>
          </cell>
          <cell r="E22">
            <v>65000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AS201626</v>
          </cell>
          <cell r="B23">
            <v>1</v>
          </cell>
          <cell r="C23" t="str">
            <v>NGUIEMEGNI MATHIEU BLAISE</v>
          </cell>
          <cell r="D23">
            <v>23000</v>
          </cell>
          <cell r="E23">
            <v>30000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AS201628</v>
          </cell>
          <cell r="B24">
            <v>1</v>
          </cell>
          <cell r="C24" t="str">
            <v>NKAMGANG JUSTIN DEJOLIE</v>
          </cell>
          <cell r="D24">
            <v>23000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41000</v>
          </cell>
          <cell r="M24">
            <v>41000</v>
          </cell>
          <cell r="N24" t="str">
            <v>BANQUE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AS201629</v>
          </cell>
          <cell r="B25">
            <v>1</v>
          </cell>
          <cell r="C25" t="str">
            <v>NKEPSEU DIEUDONNE</v>
          </cell>
          <cell r="D25">
            <v>23000</v>
          </cell>
          <cell r="E25">
            <v>30000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AS201633</v>
          </cell>
          <cell r="B26">
            <v>1</v>
          </cell>
          <cell r="C26" t="str">
            <v>PATEGO NJOSSU GUSTAVE</v>
          </cell>
          <cell r="D26">
            <v>23000</v>
          </cell>
          <cell r="E26">
            <v>30000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AS201653</v>
          </cell>
          <cell r="B27">
            <v>1</v>
          </cell>
          <cell r="C27" t="str">
            <v>SIME BRICE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 t="str">
            <v>BANQUE</v>
          </cell>
          <cell r="P27">
            <v>0</v>
          </cell>
          <cell r="Q27">
            <v>277000</v>
          </cell>
          <cell r="R27">
            <v>23000</v>
          </cell>
        </row>
        <row r="28">
          <cell r="A28" t="str">
            <v>AS201638</v>
          </cell>
          <cell r="B28">
            <v>1</v>
          </cell>
          <cell r="C28" t="str">
            <v>SIMO PIERRE</v>
          </cell>
          <cell r="D28">
            <v>23000</v>
          </cell>
          <cell r="E28">
            <v>30000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AS201641</v>
          </cell>
          <cell r="B29">
            <v>1</v>
          </cell>
          <cell r="C29" t="str">
            <v>TCHOUAMOU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AS201646</v>
          </cell>
          <cell r="B30">
            <v>1</v>
          </cell>
          <cell r="C30" t="str">
            <v>YEPMOU JEAN JACQUES</v>
          </cell>
          <cell r="D30">
            <v>23000</v>
          </cell>
          <cell r="E30">
            <v>30000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AS201647</v>
          </cell>
          <cell r="B31">
            <v>1</v>
          </cell>
          <cell r="C31" t="str">
            <v>YOUMBI EMMANUEL</v>
          </cell>
          <cell r="D31">
            <v>23000</v>
          </cell>
          <cell r="E31">
            <v>30000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</sheetData>
      <sheetData sheetId="13"/>
      <sheetData sheetId="14"/>
      <sheetData sheetId="1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21"/>
      <sheetName val="TONTAOUT21"/>
      <sheetName val="TONTSEPT21"/>
      <sheetName val="TONTOCT21"/>
      <sheetName val="TONTNOV21"/>
      <sheetName val="TONTDEC21"/>
      <sheetName val="TONTJANV22"/>
      <sheetName val="TONTFEV22"/>
      <sheetName val="TONTMARS22"/>
      <sheetName val="TONTAVRIL22"/>
      <sheetName val="TONTMAI22"/>
      <sheetName val="TONTJUIN22"/>
      <sheetName val="TONTJUIL22"/>
      <sheetName val="TONTAOUT22"/>
      <sheetName val="TONTSEPT22"/>
      <sheetName val="TONTOCT22"/>
      <sheetName val="TONTNOV22"/>
      <sheetName val="TONTDEC22"/>
      <sheetName val="TONTRESUME22"/>
      <sheetName val="TONTRESUME"/>
      <sheetName val="TONTRESUM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A6" t="str">
            <v>AS201602</v>
          </cell>
        </row>
      </sheetData>
      <sheetData sheetId="20">
        <row r="6">
          <cell r="A6" t="str">
            <v>AS201602</v>
          </cell>
        </row>
      </sheetData>
      <sheetData sheetId="21">
        <row r="6">
          <cell r="A6" t="str">
            <v>AS201602</v>
          </cell>
        </row>
      </sheetData>
      <sheetData sheetId="22">
        <row r="6">
          <cell r="A6" t="str">
            <v>AS201602</v>
          </cell>
        </row>
      </sheetData>
      <sheetData sheetId="23">
        <row r="6">
          <cell r="A6" t="str">
            <v>AS201602</v>
          </cell>
        </row>
      </sheetData>
      <sheetData sheetId="24">
        <row r="6">
          <cell r="A6" t="str">
            <v>AS201602</v>
          </cell>
        </row>
      </sheetData>
      <sheetData sheetId="25">
        <row r="6">
          <cell r="A6" t="str">
            <v>AS201602</v>
          </cell>
        </row>
      </sheetData>
      <sheetData sheetId="26">
        <row r="6">
          <cell r="A6" t="str">
            <v>AS201602</v>
          </cell>
        </row>
      </sheetData>
      <sheetData sheetId="27">
        <row r="6">
          <cell r="A6" t="str">
            <v>AS201602</v>
          </cell>
        </row>
      </sheetData>
      <sheetData sheetId="28">
        <row r="6">
          <cell r="A6" t="str">
            <v>AS201602</v>
          </cell>
        </row>
      </sheetData>
      <sheetData sheetId="29">
        <row r="6">
          <cell r="A6" t="str">
            <v>AS201602</v>
          </cell>
        </row>
      </sheetData>
      <sheetData sheetId="30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1125000</v>
          </cell>
          <cell r="P11">
            <v>75000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3</v>
          </cell>
          <cell r="C13" t="str">
            <v>MBOGNING TUGMA GUY</v>
          </cell>
          <cell r="D13">
            <v>225000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AS201628</v>
          </cell>
          <cell r="B17">
            <v>1</v>
          </cell>
          <cell r="C17" t="str">
            <v>NKAMGANG JUSTIN DEJOLIE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38500</v>
          </cell>
          <cell r="K17">
            <v>38500</v>
          </cell>
          <cell r="L17" t="str">
            <v>BANQUE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AS201633</v>
          </cell>
          <cell r="B18">
            <v>1</v>
          </cell>
          <cell r="C18" t="str">
            <v>PATEGO NJOSSU GUSTAVE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AS201653</v>
          </cell>
          <cell r="B19">
            <v>1</v>
          </cell>
          <cell r="C19" t="str">
            <v>SIME BRICE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AS201638</v>
          </cell>
          <cell r="B20">
            <v>1</v>
          </cell>
          <cell r="C20" t="str">
            <v>SIMO PIERRE</v>
          </cell>
          <cell r="D20">
            <v>75000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AS201647</v>
          </cell>
          <cell r="B21">
            <v>2</v>
          </cell>
          <cell r="C21" t="str">
            <v>YOUMBI EMMANUEL</v>
          </cell>
          <cell r="D21">
            <v>150000</v>
          </cell>
          <cell r="E21" t="str">
            <v>BANQUE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>ECHEC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</sheetData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</row>
        <row r="36">
          <cell r="A36" t="str">
            <v>AS201629</v>
          </cell>
          <cell r="C36" t="str">
            <v>NKEPSEU DIEUDONNE</v>
          </cell>
        </row>
        <row r="37">
          <cell r="A37" t="str">
            <v>AS201659</v>
          </cell>
          <cell r="B37">
            <v>32</v>
          </cell>
          <cell r="C37" t="str">
            <v>YIALA ALAIN OSCAR</v>
          </cell>
        </row>
        <row r="38">
          <cell r="A38" t="str">
            <v>AS201660</v>
          </cell>
          <cell r="B38">
            <v>33</v>
          </cell>
          <cell r="C38" t="str">
            <v>TCHOUATEU AUGUSTIN</v>
          </cell>
        </row>
        <row r="39">
          <cell r="A39" t="str">
            <v>AS201661</v>
          </cell>
          <cell r="B39">
            <v>34</v>
          </cell>
          <cell r="C39" t="str">
            <v>MASSEUNGOUE DAGOBERT</v>
          </cell>
        </row>
      </sheetData>
      <sheetData sheetId="1"/>
      <sheetData sheetId="2"/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4"/>
      <sheetName val="HISTOBQUEFEV24"/>
      <sheetName val="HISTOBQUEMARS24"/>
      <sheetName val="HISTOBQUEAVRIL24"/>
      <sheetName val="HISTOBQUEMAI24"/>
      <sheetName val="HISTOBQUEJUIN24"/>
      <sheetName val="HISTOBQUEJUIL24"/>
      <sheetName val="HISTOBQUEAOUT24"/>
      <sheetName val="HISTOBQUESEPT24"/>
      <sheetName val="HISTOBQUEOCT24"/>
      <sheetName val="HISTOBQUENOV24"/>
      <sheetName val="HISTOBQUEDEC24"/>
      <sheetName val="HISTOBQUERESUME24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F7">
            <v>56000</v>
          </cell>
        </row>
        <row r="8">
          <cell r="A8" t="str">
            <v>AS201602</v>
          </cell>
          <cell r="B8" t="str">
            <v>BOUTCHOUANG WILLIAM</v>
          </cell>
          <cell r="C8">
            <v>125000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F10">
            <v>125000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F17">
            <v>150000</v>
          </cell>
        </row>
        <row r="18">
          <cell r="A18" t="str">
            <v>AS201619</v>
          </cell>
          <cell r="B18" t="str">
            <v>KOUATCHO MESSACK</v>
          </cell>
          <cell r="C18">
            <v>150000</v>
          </cell>
          <cell r="F18">
            <v>150000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D19">
            <v>25000</v>
          </cell>
          <cell r="F19">
            <v>75000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225000</v>
          </cell>
          <cell r="F24">
            <v>225000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500000</v>
          </cell>
          <cell r="F29">
            <v>500000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540000</v>
          </cell>
          <cell r="F33">
            <v>540000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D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150000</v>
          </cell>
          <cell r="D37">
            <v>25000</v>
          </cell>
          <cell r="F37">
            <v>175000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5181000</v>
          </cell>
          <cell r="D40">
            <v>200000</v>
          </cell>
          <cell r="E40">
            <v>0</v>
          </cell>
          <cell r="F40">
            <v>5381000</v>
          </cell>
          <cell r="G40">
            <v>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78000</v>
          </cell>
          <cell r="F7">
            <v>78000</v>
          </cell>
        </row>
        <row r="8">
          <cell r="A8" t="str">
            <v>AS201602</v>
          </cell>
          <cell r="B8" t="str">
            <v>BOUTCHOUANG WILLIAM</v>
          </cell>
          <cell r="C8">
            <v>100000</v>
          </cell>
          <cell r="D8">
            <v>25000</v>
          </cell>
          <cell r="F8">
            <v>125000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125000</v>
          </cell>
          <cell r="D10">
            <v>105000</v>
          </cell>
          <cell r="F10">
            <v>230000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227000</v>
          </cell>
          <cell r="F11">
            <v>227000</v>
          </cell>
        </row>
        <row r="12">
          <cell r="A12" t="str">
            <v>AS201608</v>
          </cell>
          <cell r="B12" t="str">
            <v>DJUOMBESSY ANTOINE</v>
          </cell>
          <cell r="C12">
            <v>330000</v>
          </cell>
          <cell r="F12">
            <v>330000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251000</v>
          </cell>
          <cell r="F17">
            <v>251000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225000</v>
          </cell>
          <cell r="F20">
            <v>225000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F25">
            <v>375000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50000</v>
          </cell>
          <cell r="F29">
            <v>50000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180000</v>
          </cell>
          <cell r="F33">
            <v>180000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4596000</v>
          </cell>
          <cell r="D40">
            <v>283000</v>
          </cell>
          <cell r="E40">
            <v>0</v>
          </cell>
          <cell r="F40">
            <v>4879000</v>
          </cell>
          <cell r="G40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56000</v>
          </cell>
          <cell r="D7">
            <v>61000</v>
          </cell>
          <cell r="F7">
            <v>117000</v>
          </cell>
        </row>
        <row r="8">
          <cell r="A8" t="str">
            <v>AS201602</v>
          </cell>
          <cell r="B8" t="str">
            <v>BOUTCHOUANG WILLIAM</v>
          </cell>
          <cell r="C8">
            <v>150000</v>
          </cell>
          <cell r="F8">
            <v>150000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250000</v>
          </cell>
          <cell r="F9">
            <v>250000</v>
          </cell>
        </row>
        <row r="10">
          <cell r="A10" t="str">
            <v>AS201654</v>
          </cell>
          <cell r="B10" t="str">
            <v>DJOMOU TCHAPDA</v>
          </cell>
          <cell r="C10">
            <v>180000</v>
          </cell>
          <cell r="F10">
            <v>180000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125000</v>
          </cell>
          <cell r="F11">
            <v>125000</v>
          </cell>
        </row>
        <row r="12">
          <cell r="A12" t="str">
            <v>AS201608</v>
          </cell>
          <cell r="B12" t="str">
            <v>DJUOMBESSY ANTOINE</v>
          </cell>
          <cell r="C12">
            <v>462000</v>
          </cell>
          <cell r="F12">
            <v>462000</v>
          </cell>
        </row>
        <row r="13">
          <cell r="A13" t="str">
            <v>AS201651</v>
          </cell>
          <cell r="B13" t="str">
            <v>DOMOU FABIEN</v>
          </cell>
          <cell r="C13">
            <v>50000</v>
          </cell>
          <cell r="F13">
            <v>50000</v>
          </cell>
        </row>
        <row r="14">
          <cell r="A14" t="str">
            <v>AS201609</v>
          </cell>
          <cell r="B14" t="str">
            <v>DONHOU DAVID</v>
          </cell>
          <cell r="C14">
            <v>50000</v>
          </cell>
          <cell r="F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125000</v>
          </cell>
          <cell r="F15">
            <v>125000</v>
          </cell>
        </row>
        <row r="16">
          <cell r="A16" t="str">
            <v>AS201613</v>
          </cell>
          <cell r="B16" t="str">
            <v>HOTCHO BENJAMIN</v>
          </cell>
          <cell r="C16">
            <v>260000</v>
          </cell>
          <cell r="F16">
            <v>260000</v>
          </cell>
        </row>
        <row r="17">
          <cell r="A17" t="str">
            <v>AS201617</v>
          </cell>
          <cell r="B17" t="str">
            <v>KOUAMOU MOISE</v>
          </cell>
          <cell r="C17">
            <v>150000</v>
          </cell>
          <cell r="E17">
            <v>500000</v>
          </cell>
          <cell r="F17">
            <v>650000</v>
          </cell>
        </row>
        <row r="18">
          <cell r="A18" t="str">
            <v>AS201619</v>
          </cell>
          <cell r="B18" t="str">
            <v>KOUATCHO MESSACK</v>
          </cell>
          <cell r="C18">
            <v>160000</v>
          </cell>
          <cell r="F18">
            <v>160000</v>
          </cell>
        </row>
        <row r="19">
          <cell r="A19" t="str">
            <v>AS201661</v>
          </cell>
          <cell r="B19" t="str">
            <v>MASSEUNGOUE DAGOBERT</v>
          </cell>
          <cell r="C19">
            <v>50000</v>
          </cell>
          <cell r="F19">
            <v>50000</v>
          </cell>
        </row>
        <row r="20">
          <cell r="A20" t="str">
            <v>AS201649</v>
          </cell>
          <cell r="B20" t="str">
            <v>MBOGNING TUGMA GUY</v>
          </cell>
          <cell r="C20">
            <v>427000</v>
          </cell>
          <cell r="F20">
            <v>427000</v>
          </cell>
        </row>
        <row r="21">
          <cell r="A21" t="str">
            <v>AS201639</v>
          </cell>
          <cell r="B21" t="str">
            <v>NANGUEN MARTIN</v>
          </cell>
          <cell r="C21">
            <v>50000</v>
          </cell>
          <cell r="F21">
            <v>50000</v>
          </cell>
        </row>
        <row r="22">
          <cell r="A22" t="str">
            <v>AS201621</v>
          </cell>
          <cell r="B22" t="str">
            <v>NANKAM APPOLINAIRE</v>
          </cell>
          <cell r="C22">
            <v>125000</v>
          </cell>
          <cell r="F22">
            <v>125000</v>
          </cell>
        </row>
        <row r="23">
          <cell r="A23" t="str">
            <v>AS201622</v>
          </cell>
          <cell r="B23" t="str">
            <v>NDJOMO ETIENNE</v>
          </cell>
          <cell r="C23">
            <v>260000</v>
          </cell>
          <cell r="F23">
            <v>260000</v>
          </cell>
        </row>
        <row r="24">
          <cell r="A24" t="str">
            <v>AS201624</v>
          </cell>
          <cell r="B24" t="str">
            <v>NGONDIEP CLAUDE</v>
          </cell>
          <cell r="C24">
            <v>240000</v>
          </cell>
          <cell r="F24">
            <v>240000</v>
          </cell>
        </row>
        <row r="25">
          <cell r="A25" t="str">
            <v>AS201626</v>
          </cell>
          <cell r="B25" t="str">
            <v>NGUIEMEGNI MATHIEU BLAISE</v>
          </cell>
          <cell r="C25">
            <v>375000</v>
          </cell>
          <cell r="D25">
            <v>104500</v>
          </cell>
          <cell r="F25">
            <v>479500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F26">
            <v>50000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125000</v>
          </cell>
          <cell r="F28">
            <v>125000</v>
          </cell>
        </row>
        <row r="29">
          <cell r="A29" t="str">
            <v>AS201657</v>
          </cell>
          <cell r="B29" t="str">
            <v>SEUMO POLYCARPE</v>
          </cell>
          <cell r="C29">
            <v>102000</v>
          </cell>
          <cell r="F29">
            <v>102000</v>
          </cell>
        </row>
        <row r="30">
          <cell r="A30" t="str">
            <v>AS201653</v>
          </cell>
          <cell r="B30" t="str">
            <v>SIME BRICE</v>
          </cell>
          <cell r="C30">
            <v>250000</v>
          </cell>
          <cell r="F30">
            <v>250000</v>
          </cell>
        </row>
        <row r="31">
          <cell r="A31" t="str">
            <v>AS201638</v>
          </cell>
          <cell r="B31" t="str">
            <v>SIMO PIERRE</v>
          </cell>
          <cell r="C31">
            <v>150000</v>
          </cell>
          <cell r="F31">
            <v>150000</v>
          </cell>
        </row>
        <row r="32">
          <cell r="A32" t="str">
            <v>AS201641</v>
          </cell>
          <cell r="B32" t="str">
            <v>TCHOUAMOU MATHIEU</v>
          </cell>
          <cell r="C32">
            <v>125000</v>
          </cell>
          <cell r="F32">
            <v>125000</v>
          </cell>
        </row>
        <row r="33">
          <cell r="A33" t="str">
            <v>AS201660</v>
          </cell>
          <cell r="B33" t="str">
            <v>TCHOUATEU AUGUSTIN</v>
          </cell>
          <cell r="C33">
            <v>200000</v>
          </cell>
          <cell r="F33">
            <v>200000</v>
          </cell>
        </row>
        <row r="34">
          <cell r="A34" t="str">
            <v>AS201643</v>
          </cell>
          <cell r="B34" t="str">
            <v>TCHOUTOU NANA CLAUDE</v>
          </cell>
          <cell r="C34">
            <v>50000</v>
          </cell>
          <cell r="F34">
            <v>50000</v>
          </cell>
        </row>
        <row r="35">
          <cell r="A35" t="str">
            <v>AS201658</v>
          </cell>
          <cell r="B35" t="str">
            <v>YANTCHOU GERVAIS</v>
          </cell>
          <cell r="C35">
            <v>60000</v>
          </cell>
          <cell r="F35">
            <v>60000</v>
          </cell>
        </row>
        <row r="36">
          <cell r="A36" t="str">
            <v>AS201646</v>
          </cell>
          <cell r="B36" t="str">
            <v>YEPMOU JEAN JACQUES</v>
          </cell>
          <cell r="C36">
            <v>50000</v>
          </cell>
          <cell r="F36">
            <v>50000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D37">
            <v>153000</v>
          </cell>
          <cell r="F37">
            <v>153000</v>
          </cell>
        </row>
        <row r="38">
          <cell r="A38" t="str">
            <v>AS201647</v>
          </cell>
          <cell r="B38" t="str">
            <v>YOUMBI EMMANUEL</v>
          </cell>
          <cell r="C38">
            <v>125000</v>
          </cell>
          <cell r="F38">
            <v>125000</v>
          </cell>
        </row>
        <row r="40">
          <cell r="B40" t="str">
            <v>TOTAUX</v>
          </cell>
          <cell r="C40">
            <v>4882000</v>
          </cell>
          <cell r="D40">
            <v>318500</v>
          </cell>
          <cell r="E40">
            <v>500000</v>
          </cell>
          <cell r="F40">
            <v>5700500</v>
          </cell>
          <cell r="G40">
            <v>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F6">
            <v>0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F7">
            <v>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F8">
            <v>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F9">
            <v>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F10">
            <v>0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F11">
            <v>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F12">
            <v>0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F13">
            <v>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F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F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F16">
            <v>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F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F18">
            <v>0</v>
          </cell>
        </row>
        <row r="19">
          <cell r="A19" t="str">
            <v>AS201661</v>
          </cell>
          <cell r="B19" t="str">
            <v>MASSEUNGOUE DAGOBERT</v>
          </cell>
          <cell r="C19">
            <v>0</v>
          </cell>
          <cell r="F19">
            <v>0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F20">
            <v>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F21">
            <v>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F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F23">
            <v>0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F24">
            <v>0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F25">
            <v>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F26">
            <v>0</v>
          </cell>
        </row>
        <row r="27">
          <cell r="A27" t="str">
            <v>AS201656</v>
          </cell>
          <cell r="B27" t="str">
            <v>NOUBE ETIENNE</v>
          </cell>
          <cell r="C27">
            <v>0</v>
          </cell>
          <cell r="F27">
            <v>0</v>
          </cell>
        </row>
        <row r="28">
          <cell r="A28" t="str">
            <v>AS201633</v>
          </cell>
          <cell r="B28" t="str">
            <v>PATEGO NJOSSU GUSTAVE</v>
          </cell>
          <cell r="C28">
            <v>0</v>
          </cell>
          <cell r="F28">
            <v>0</v>
          </cell>
        </row>
        <row r="29">
          <cell r="A29" t="str">
            <v>AS201657</v>
          </cell>
          <cell r="B29" t="str">
            <v>SEUMO POLYCARPE</v>
          </cell>
          <cell r="C29">
            <v>0</v>
          </cell>
          <cell r="F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F30">
            <v>0</v>
          </cell>
        </row>
        <row r="31">
          <cell r="A31" t="str">
            <v>AS201638</v>
          </cell>
          <cell r="B31" t="str">
            <v>SIMO PIERRE</v>
          </cell>
          <cell r="C31">
            <v>0</v>
          </cell>
          <cell r="F31">
            <v>0</v>
          </cell>
        </row>
        <row r="32">
          <cell r="A32" t="str">
            <v>AS201641</v>
          </cell>
          <cell r="B32" t="str">
            <v>TCHOUAMOU MATHIEU</v>
          </cell>
          <cell r="C32">
            <v>0</v>
          </cell>
          <cell r="F32">
            <v>0</v>
          </cell>
        </row>
        <row r="33">
          <cell r="A33" t="str">
            <v>AS201660</v>
          </cell>
          <cell r="B33" t="str">
            <v>TCHOUATEU AUGUSTIN</v>
          </cell>
          <cell r="C33">
            <v>0</v>
          </cell>
          <cell r="F33">
            <v>0</v>
          </cell>
        </row>
        <row r="34">
          <cell r="A34" t="str">
            <v>AS201643</v>
          </cell>
          <cell r="B34" t="str">
            <v>TCHOUTOU NANA CLAUDE</v>
          </cell>
          <cell r="C34">
            <v>0</v>
          </cell>
          <cell r="F34">
            <v>0</v>
          </cell>
        </row>
        <row r="35">
          <cell r="A35" t="str">
            <v>AS201658</v>
          </cell>
          <cell r="B35" t="str">
            <v>YANTCHOU GERVAIS</v>
          </cell>
          <cell r="C35">
            <v>0</v>
          </cell>
          <cell r="F35">
            <v>0</v>
          </cell>
        </row>
        <row r="36">
          <cell r="A36" t="str">
            <v>AS201646</v>
          </cell>
          <cell r="B36" t="str">
            <v>YEPMOU JEAN JACQUES</v>
          </cell>
          <cell r="C36">
            <v>0</v>
          </cell>
          <cell r="F36">
            <v>0</v>
          </cell>
        </row>
        <row r="37">
          <cell r="A37" t="str">
            <v>AS201659</v>
          </cell>
          <cell r="B37" t="str">
            <v>YIALA ALAIN OSCAR</v>
          </cell>
          <cell r="C37">
            <v>0</v>
          </cell>
          <cell r="F37">
            <v>0</v>
          </cell>
        </row>
        <row r="38">
          <cell r="A38" t="str">
            <v>AS201647</v>
          </cell>
          <cell r="B38" t="str">
            <v>YOUMBI EMMANUEL</v>
          </cell>
          <cell r="C38">
            <v>0</v>
          </cell>
          <cell r="F38">
            <v>0</v>
          </cell>
        </row>
        <row r="40">
          <cell r="B40" t="str">
            <v>TOTAUX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</sheetNames>
    <sheetDataSet>
      <sheetData sheetId="0"/>
      <sheetData sheetId="1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105000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100000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795000</v>
          </cell>
          <cell r="P15">
            <v>105000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ESPECES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880000</v>
          </cell>
          <cell r="P10">
            <v>20000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102000</v>
          </cell>
          <cell r="K12">
            <v>102000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107000</v>
          </cell>
          <cell r="K13">
            <v>107000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878000</v>
          </cell>
          <cell r="P13">
            <v>22000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102000</v>
          </cell>
          <cell r="K15">
            <v>102000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892500</v>
          </cell>
          <cell r="P8">
            <v>7500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ESPECES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892500</v>
          </cell>
          <cell r="P19">
            <v>7500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150000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887000</v>
          </cell>
          <cell r="P12">
            <v>13000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138000</v>
          </cell>
          <cell r="G19">
            <v>2000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>
            <v>0</v>
          </cell>
          <cell r="I8">
            <v>0</v>
          </cell>
          <cell r="J8">
            <v>152000</v>
          </cell>
          <cell r="K8">
            <v>152000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38000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890000</v>
          </cell>
          <cell r="P9">
            <v>10000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ESPECES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50000</v>
          </cell>
          <cell r="G16">
            <v>1000</v>
          </cell>
          <cell r="H16" t="str">
            <v>BANQUE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885000</v>
          </cell>
          <cell r="P16">
            <v>15000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>
            <v>0</v>
          </cell>
          <cell r="I19">
            <v>0</v>
          </cell>
          <cell r="J19">
            <v>140000</v>
          </cell>
          <cell r="K19">
            <v>140000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100000</v>
          </cell>
          <cell r="G8">
            <v>2000</v>
          </cell>
          <cell r="H8" t="str">
            <v>BANQUE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39000</v>
          </cell>
          <cell r="K9">
            <v>39000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100000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100000</v>
          </cell>
          <cell r="G16">
            <v>2000</v>
          </cell>
          <cell r="H16" t="str">
            <v>BANQUE</v>
          </cell>
          <cell r="I16">
            <v>0</v>
          </cell>
          <cell r="J16">
            <v>51000</v>
          </cell>
          <cell r="K16">
            <v>51000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2000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 t="str">
            <v>BANQUE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892500</v>
          </cell>
          <cell r="P11">
            <v>7500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75000</v>
          </cell>
          <cell r="G13">
            <v>1000</v>
          </cell>
          <cell r="H13" t="str">
            <v>BANQUE</v>
          </cell>
          <cell r="I13">
            <v>0</v>
          </cell>
          <cell r="J13">
            <v>102000</v>
          </cell>
          <cell r="K13">
            <v>102000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2000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102000</v>
          </cell>
          <cell r="K16">
            <v>102000</v>
          </cell>
          <cell r="L16" t="str">
            <v>BANQUE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102000</v>
          </cell>
          <cell r="K19">
            <v>102000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167000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76000</v>
          </cell>
          <cell r="K13">
            <v>76000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167000</v>
          </cell>
          <cell r="G15">
            <v>4000</v>
          </cell>
          <cell r="H15" t="str">
            <v>BANQUE</v>
          </cell>
          <cell r="I15">
            <v>0</v>
          </cell>
          <cell r="J15">
            <v>169000</v>
          </cell>
          <cell r="K15">
            <v>169000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892500</v>
          </cell>
          <cell r="P16">
            <v>7500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BANQUE</v>
          </cell>
          <cell r="N18">
            <v>0</v>
          </cell>
          <cell r="O18">
            <v>892500</v>
          </cell>
          <cell r="P18">
            <v>7500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75000</v>
          </cell>
          <cell r="G19">
            <v>1000</v>
          </cell>
          <cell r="H19" t="str">
            <v>BANQUE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BANQUE</v>
          </cell>
          <cell r="N7">
            <v>0</v>
          </cell>
          <cell r="O7">
            <v>892500</v>
          </cell>
          <cell r="P7">
            <v>7500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58000</v>
          </cell>
          <cell r="G8">
            <v>1000</v>
          </cell>
          <cell r="H8">
            <v>0</v>
          </cell>
          <cell r="I8">
            <v>0</v>
          </cell>
          <cell r="J8">
            <v>169000</v>
          </cell>
          <cell r="K8">
            <v>169000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BANQUE</v>
          </cell>
          <cell r="N14">
            <v>0</v>
          </cell>
          <cell r="O14">
            <v>892500</v>
          </cell>
          <cell r="P14">
            <v>7500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171000</v>
          </cell>
          <cell r="K15">
            <v>171000</v>
          </cell>
          <cell r="L15" t="str">
            <v>BANQUE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76000</v>
          </cell>
          <cell r="K19">
            <v>76000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ESPECES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75000</v>
          </cell>
          <cell r="G8">
            <v>1000</v>
          </cell>
          <cell r="H8" t="str">
            <v>BANQUE</v>
          </cell>
          <cell r="I8">
            <v>0</v>
          </cell>
          <cell r="J8">
            <v>59000</v>
          </cell>
          <cell r="K8">
            <v>59000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150000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150000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100000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76000</v>
          </cell>
          <cell r="G8">
            <v>1000</v>
          </cell>
          <cell r="H8" t="str">
            <v>BANQUE</v>
          </cell>
          <cell r="I8">
            <v>0</v>
          </cell>
          <cell r="J8">
            <v>76000</v>
          </cell>
          <cell r="K8">
            <v>76000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50000</v>
          </cell>
          <cell r="G9">
            <v>1000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152000</v>
          </cell>
          <cell r="K12">
            <v>152000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303000</v>
          </cell>
          <cell r="G13">
            <v>4000</v>
          </cell>
          <cell r="H13" t="str">
            <v>BANQUE</v>
          </cell>
          <cell r="I13">
            <v>0</v>
          </cell>
          <cell r="J13">
            <v>152000</v>
          </cell>
          <cell r="K13">
            <v>152000</v>
          </cell>
          <cell r="L13" t="str">
            <v>BANQUE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892500</v>
          </cell>
          <cell r="P17">
            <v>7500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100000</v>
          </cell>
          <cell r="G19">
            <v>1000</v>
          </cell>
          <cell r="H19" t="str">
            <v>BANQUE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892500</v>
          </cell>
          <cell r="P20">
            <v>7500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75000</v>
          </cell>
          <cell r="E6" t="str">
            <v>BANQUE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892500</v>
          </cell>
          <cell r="P6">
            <v>7500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101000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AS201605</v>
          </cell>
          <cell r="B8">
            <v>1</v>
          </cell>
          <cell r="C8" t="str">
            <v>DJOUKWE NANGUEN GUY BLAISE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77000</v>
          </cell>
          <cell r="K8">
            <v>77000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AS201608</v>
          </cell>
          <cell r="B9">
            <v>1</v>
          </cell>
          <cell r="C9" t="str">
            <v>DJUOMBESSY ANTOINE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51000</v>
          </cell>
          <cell r="K9">
            <v>51000</v>
          </cell>
          <cell r="L9" t="str">
            <v>BANQUE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AS201613</v>
          </cell>
          <cell r="B10">
            <v>1</v>
          </cell>
          <cell r="C10" t="str">
            <v>HOTCHO BENJAMIN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AS201611</v>
          </cell>
          <cell r="B11">
            <v>1</v>
          </cell>
          <cell r="C11" t="str">
            <v>HENGUE PAUL OMER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AS201619</v>
          </cell>
          <cell r="B12">
            <v>1</v>
          </cell>
          <cell r="C12" t="str">
            <v>KOUATCHO MESSACK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ESPECES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307000</v>
          </cell>
          <cell r="K13">
            <v>307000</v>
          </cell>
          <cell r="L13" t="str">
            <v>ESPECES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2</v>
          </cell>
          <cell r="C16" t="str">
            <v>NGUIEMEGNI MATHIEU BLAISE</v>
          </cell>
          <cell r="D16">
            <v>150000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AS201653</v>
          </cell>
          <cell r="B18">
            <v>1</v>
          </cell>
          <cell r="C18" t="str">
            <v>SIME BRICE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AS201641</v>
          </cell>
          <cell r="B19">
            <v>1</v>
          </cell>
          <cell r="C19" t="str">
            <v>TCHOUAMOU MATHIEU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101000</v>
          </cell>
          <cell r="K19">
            <v>101000</v>
          </cell>
          <cell r="L19" t="str">
            <v>BANQUE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AS201647</v>
          </cell>
          <cell r="B20">
            <v>2</v>
          </cell>
          <cell r="C20" t="str">
            <v>YOUMBI EMMANUEL</v>
          </cell>
          <cell r="D20">
            <v>150000</v>
          </cell>
          <cell r="E20" t="str">
            <v>BANQUE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 t="str">
            <v>ECHEC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</sheetData>
      <sheetData sheetId="13">
        <row r="6">
          <cell r="S6">
            <v>19029.411764705881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72000</v>
          </cell>
          <cell r="F6">
            <v>0</v>
          </cell>
          <cell r="G6" t="str">
            <v>BANQUE</v>
          </cell>
          <cell r="H6">
            <v>60000</v>
          </cell>
          <cell r="I6">
            <v>1000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47000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53000</v>
          </cell>
          <cell r="F9">
            <v>3000</v>
          </cell>
          <cell r="G9" t="str">
            <v>BANQUE</v>
          </cell>
          <cell r="H9">
            <v>60000</v>
          </cell>
          <cell r="I9">
            <v>1000</v>
          </cell>
          <cell r="J9" t="str">
            <v>BANQUE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 t="str">
            <v>BANQUE</v>
          </cell>
          <cell r="P10">
            <v>0</v>
          </cell>
          <cell r="Q10">
            <v>284000</v>
          </cell>
          <cell r="R10">
            <v>16000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  <cell r="Q16">
            <v>283000</v>
          </cell>
          <cell r="R16">
            <v>17000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51000</v>
          </cell>
          <cell r="I28">
            <v>1000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80000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50000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61000</v>
          </cell>
          <cell r="M6">
            <v>61000</v>
          </cell>
          <cell r="N6" t="str">
            <v>BANQUE</v>
          </cell>
          <cell r="O6" t="str">
            <v>BANQUE</v>
          </cell>
          <cell r="P6">
            <v>0</v>
          </cell>
          <cell r="Q6">
            <v>290000</v>
          </cell>
          <cell r="R6">
            <v>10000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50000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50000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 t="str">
            <v>BANQUE</v>
          </cell>
          <cell r="P8">
            <v>0</v>
          </cell>
          <cell r="Q8">
            <v>282000</v>
          </cell>
          <cell r="R8">
            <v>18000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44000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61000</v>
          </cell>
          <cell r="M9">
            <v>61000</v>
          </cell>
          <cell r="N9" t="str">
            <v>BANQUE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50000</v>
          </cell>
          <cell r="F10">
            <v>0</v>
          </cell>
          <cell r="G10" t="str">
            <v>BANQUE</v>
          </cell>
          <cell r="H10">
            <v>40000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50000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50000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50000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85000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50000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60000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1</v>
          </cell>
          <cell r="C18" t="str">
            <v>MASSEUNGOUE DAGOBERT</v>
          </cell>
          <cell r="D18">
            <v>25000</v>
          </cell>
          <cell r="E18">
            <v>50000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50000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50000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50000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 t="str">
            <v>BANQUE</v>
          </cell>
          <cell r="P21">
            <v>0</v>
          </cell>
          <cell r="Q21">
            <v>283000</v>
          </cell>
          <cell r="R21">
            <v>17000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60000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65000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53000</v>
          </cell>
          <cell r="F24">
            <v>3000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50000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50000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50000</v>
          </cell>
          <cell r="F28">
            <v>0</v>
          </cell>
          <cell r="G28" t="str">
            <v>BANQUE</v>
          </cell>
          <cell r="H28">
            <v>40000</v>
          </cell>
          <cell r="I28">
            <v>2500</v>
          </cell>
          <cell r="J28">
            <v>0</v>
          </cell>
          <cell r="K28">
            <v>0</v>
          </cell>
          <cell r="L28">
            <v>52000</v>
          </cell>
          <cell r="M28">
            <v>52000</v>
          </cell>
          <cell r="N28" t="str">
            <v>BANQUE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50000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50000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50000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1</v>
          </cell>
          <cell r="C32" t="str">
            <v>TCHOUATEU AUGUSTIN</v>
          </cell>
          <cell r="D32">
            <v>25000</v>
          </cell>
          <cell r="E32">
            <v>100000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1</v>
          </cell>
          <cell r="C33" t="str">
            <v>TCHOUTOU NANA CLAUDE</v>
          </cell>
          <cell r="D33">
            <v>25000</v>
          </cell>
          <cell r="E33">
            <v>50000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1</v>
          </cell>
          <cell r="C34" t="str">
            <v>YANTCHOU GERVAIS</v>
          </cell>
          <cell r="D34">
            <v>25000</v>
          </cell>
          <cell r="E34">
            <v>60000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1</v>
          </cell>
          <cell r="C35" t="str">
            <v>YEPMOU JEAN JACQUES</v>
          </cell>
          <cell r="D35">
            <v>25000</v>
          </cell>
          <cell r="E35">
            <v>50000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1</v>
          </cell>
          <cell r="C36" t="str">
            <v>YIALA ALAIN OSCAR</v>
          </cell>
          <cell r="D36">
            <v>25000</v>
          </cell>
          <cell r="E36">
            <v>53000</v>
          </cell>
          <cell r="F36">
            <v>3000</v>
          </cell>
          <cell r="G36" t="str">
            <v>ESPECES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1</v>
          </cell>
          <cell r="C37" t="str">
            <v>YOUMBI EMMANUEL</v>
          </cell>
          <cell r="D37">
            <v>25000</v>
          </cell>
          <cell r="E37">
            <v>50000</v>
          </cell>
          <cell r="F37">
            <v>0</v>
          </cell>
          <cell r="G37" t="str">
            <v>BANQUE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32</v>
          </cell>
        </row>
      </sheetData>
      <sheetData sheetId="4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41000</v>
          </cell>
          <cell r="M10">
            <v>41000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42500</v>
          </cell>
          <cell r="M28">
            <v>42500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5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6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7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8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9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10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11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12">
        <row r="6">
          <cell r="A6" t="str">
            <v>AS201601</v>
          </cell>
          <cell r="B6">
            <v>0</v>
          </cell>
          <cell r="C6" t="str">
            <v>BAKOP ACHILLE</v>
          </cell>
          <cell r="D6">
            <v>0</v>
          </cell>
          <cell r="E6">
            <v>0</v>
          </cell>
          <cell r="F6">
            <v>0</v>
          </cell>
          <cell r="G6" t="str">
            <v>ECHEC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>
            <v>0</v>
          </cell>
          <cell r="F7">
            <v>0</v>
          </cell>
          <cell r="G7" t="str">
            <v>ECHEC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AS201604</v>
          </cell>
          <cell r="B8">
            <v>0</v>
          </cell>
          <cell r="C8" t="str">
            <v xml:space="preserve">DJOMO JEAN PAUL </v>
          </cell>
          <cell r="D8">
            <v>0</v>
          </cell>
          <cell r="E8">
            <v>0</v>
          </cell>
          <cell r="F8">
            <v>0</v>
          </cell>
          <cell r="G8" t="str">
            <v>ECHEC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AS201654</v>
          </cell>
          <cell r="B9">
            <v>0</v>
          </cell>
          <cell r="C9" t="str">
            <v>DJOMOU TCHAPDA</v>
          </cell>
          <cell r="D9">
            <v>0</v>
          </cell>
          <cell r="E9">
            <v>0</v>
          </cell>
          <cell r="F9">
            <v>0</v>
          </cell>
          <cell r="G9" t="str">
            <v>ECHEC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AS201605</v>
          </cell>
          <cell r="B10">
            <v>0</v>
          </cell>
          <cell r="C10" t="str">
            <v>DJOUKWE NANGUEN GUY BLAISE</v>
          </cell>
          <cell r="D10">
            <v>0</v>
          </cell>
          <cell r="E10">
            <v>0</v>
          </cell>
          <cell r="F10">
            <v>0</v>
          </cell>
          <cell r="G10" t="str">
            <v>ECHEC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AS201608</v>
          </cell>
          <cell r="B11">
            <v>0</v>
          </cell>
          <cell r="C11" t="str">
            <v>DJUOMBESSY ANTOINE</v>
          </cell>
          <cell r="D11">
            <v>0</v>
          </cell>
          <cell r="E11">
            <v>0</v>
          </cell>
          <cell r="F11">
            <v>0</v>
          </cell>
          <cell r="G11" t="str">
            <v>ECHEC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AS201651</v>
          </cell>
          <cell r="B12">
            <v>0</v>
          </cell>
          <cell r="C12" t="str">
            <v>DOMOU FABIEN</v>
          </cell>
          <cell r="D12">
            <v>0</v>
          </cell>
          <cell r="E12">
            <v>0</v>
          </cell>
          <cell r="F12">
            <v>0</v>
          </cell>
          <cell r="G12" t="str">
            <v>ECHEC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AS201609</v>
          </cell>
          <cell r="B13">
            <v>0</v>
          </cell>
          <cell r="C13" t="str">
            <v>DONHOU DAVID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0</v>
          </cell>
          <cell r="C14" t="str">
            <v>HENGUE PAUL OMER</v>
          </cell>
          <cell r="D14">
            <v>0</v>
          </cell>
          <cell r="E14">
            <v>0</v>
          </cell>
          <cell r="F14">
            <v>0</v>
          </cell>
          <cell r="G14" t="str">
            <v>ECHEC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0</v>
          </cell>
          <cell r="C15" t="str">
            <v>HOTCHO BENJAMIN</v>
          </cell>
          <cell r="D15">
            <v>0</v>
          </cell>
          <cell r="E15">
            <v>0</v>
          </cell>
          <cell r="F15">
            <v>0</v>
          </cell>
          <cell r="G15" t="str">
            <v>ECHEC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0</v>
          </cell>
          <cell r="C16" t="str">
            <v>KOUAMOU MOISE</v>
          </cell>
          <cell r="D16">
            <v>0</v>
          </cell>
          <cell r="E16">
            <v>0</v>
          </cell>
          <cell r="F16">
            <v>0</v>
          </cell>
          <cell r="G16" t="str">
            <v>ECHEC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0</v>
          </cell>
          <cell r="C17" t="str">
            <v>KOUATCHO MESSACK</v>
          </cell>
          <cell r="D17">
            <v>0</v>
          </cell>
          <cell r="E17">
            <v>0</v>
          </cell>
          <cell r="F17">
            <v>0</v>
          </cell>
          <cell r="G17" t="str">
            <v>ECHEC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AS201661</v>
          </cell>
          <cell r="B18">
            <v>0</v>
          </cell>
          <cell r="C18" t="str">
            <v>MASSEUNGOUE DAGOBERT</v>
          </cell>
          <cell r="D18">
            <v>0</v>
          </cell>
          <cell r="E18">
            <v>0</v>
          </cell>
          <cell r="F18">
            <v>0</v>
          </cell>
          <cell r="G18" t="str">
            <v>ECHEC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0</v>
          </cell>
          <cell r="C19" t="str">
            <v>MBOGNING TUGMA GUY</v>
          </cell>
          <cell r="D19">
            <v>0</v>
          </cell>
          <cell r="E19">
            <v>0</v>
          </cell>
          <cell r="F19">
            <v>0</v>
          </cell>
          <cell r="G19" t="str">
            <v>ECHEC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0</v>
          </cell>
          <cell r="C20" t="str">
            <v>NANGUEN MARTIN</v>
          </cell>
          <cell r="D20">
            <v>0</v>
          </cell>
          <cell r="E20">
            <v>0</v>
          </cell>
          <cell r="F20">
            <v>0</v>
          </cell>
          <cell r="G20" t="str">
            <v>ECHEC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0</v>
          </cell>
          <cell r="C21" t="str">
            <v>NANKAM APPOLINAIRE</v>
          </cell>
          <cell r="D21">
            <v>0</v>
          </cell>
          <cell r="E21">
            <v>0</v>
          </cell>
          <cell r="F21">
            <v>0</v>
          </cell>
          <cell r="G21" t="str">
            <v>ECHEC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0</v>
          </cell>
          <cell r="C22" t="str">
            <v>NDJOMO ETIENNE</v>
          </cell>
          <cell r="D22">
            <v>0</v>
          </cell>
          <cell r="E22">
            <v>0</v>
          </cell>
          <cell r="F22">
            <v>0</v>
          </cell>
          <cell r="G22" t="str">
            <v>ECHEC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0</v>
          </cell>
          <cell r="C23" t="str">
            <v>NGONDIEP CLAUDE</v>
          </cell>
          <cell r="D23">
            <v>0</v>
          </cell>
          <cell r="E23">
            <v>0</v>
          </cell>
          <cell r="F23">
            <v>0</v>
          </cell>
          <cell r="G23" t="str">
            <v>ECHEC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0</v>
          </cell>
          <cell r="C24" t="str">
            <v>NGUIEMEGNI MATHIEU BLAISE</v>
          </cell>
          <cell r="D24">
            <v>0</v>
          </cell>
          <cell r="E24">
            <v>0</v>
          </cell>
          <cell r="F24">
            <v>0</v>
          </cell>
          <cell r="G24" t="str">
            <v>ECHEC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0</v>
          </cell>
          <cell r="C25" t="str">
            <v>NKAMGANG JUSTIN DEJOLIE</v>
          </cell>
          <cell r="D25">
            <v>0</v>
          </cell>
          <cell r="E25">
            <v>0</v>
          </cell>
          <cell r="F25">
            <v>0</v>
          </cell>
          <cell r="G25" t="str">
            <v>ECHEC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AS201656</v>
          </cell>
          <cell r="B26">
            <v>0</v>
          </cell>
          <cell r="C26" t="str">
            <v>NOUBE ETIENNE</v>
          </cell>
          <cell r="D26">
            <v>0</v>
          </cell>
          <cell r="E26">
            <v>0</v>
          </cell>
          <cell r="F26">
            <v>0</v>
          </cell>
          <cell r="G26" t="str">
            <v>ECHEC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0</v>
          </cell>
          <cell r="C27" t="str">
            <v>PATEGO NJOSSU GUSTAVE</v>
          </cell>
          <cell r="D27">
            <v>0</v>
          </cell>
          <cell r="E27">
            <v>0</v>
          </cell>
          <cell r="F27">
            <v>0</v>
          </cell>
          <cell r="G27" t="str">
            <v>ECHEC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AS201657</v>
          </cell>
          <cell r="B28">
            <v>0</v>
          </cell>
          <cell r="C28" t="str">
            <v>SEUMO POLYCARPE</v>
          </cell>
          <cell r="D28">
            <v>0</v>
          </cell>
          <cell r="E28">
            <v>0</v>
          </cell>
          <cell r="F28">
            <v>0</v>
          </cell>
          <cell r="G28" t="str">
            <v>ECHEC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AS201653</v>
          </cell>
          <cell r="B29">
            <v>0</v>
          </cell>
          <cell r="C29" t="str">
            <v>SIME BRICE</v>
          </cell>
          <cell r="D29">
            <v>0</v>
          </cell>
          <cell r="E29">
            <v>0</v>
          </cell>
          <cell r="F29">
            <v>0</v>
          </cell>
          <cell r="G29" t="str">
            <v>ECHEC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AS201638</v>
          </cell>
          <cell r="B30">
            <v>0</v>
          </cell>
          <cell r="C30" t="str">
            <v>SIMO PIERRE</v>
          </cell>
          <cell r="D30">
            <v>0</v>
          </cell>
          <cell r="E30">
            <v>0</v>
          </cell>
          <cell r="F30">
            <v>0</v>
          </cell>
          <cell r="G30" t="str">
            <v>ECHEC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AS201641</v>
          </cell>
          <cell r="B31">
            <v>0</v>
          </cell>
          <cell r="C31" t="str">
            <v>TCHOUAMOU MATHIEU</v>
          </cell>
          <cell r="D31">
            <v>0</v>
          </cell>
          <cell r="E31">
            <v>0</v>
          </cell>
          <cell r="F31">
            <v>0</v>
          </cell>
          <cell r="G31" t="str">
            <v>ECHEC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AS201660</v>
          </cell>
          <cell r="B32">
            <v>0</v>
          </cell>
          <cell r="C32" t="str">
            <v>TCHOUATEU AUGUSTIN</v>
          </cell>
          <cell r="D32">
            <v>0</v>
          </cell>
          <cell r="E32">
            <v>0</v>
          </cell>
          <cell r="F32">
            <v>0</v>
          </cell>
          <cell r="G32" t="str">
            <v>ECHEC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AS201643</v>
          </cell>
          <cell r="B33">
            <v>0</v>
          </cell>
          <cell r="C33" t="str">
            <v>TCHOUTOU NANA CLAUDE</v>
          </cell>
          <cell r="D33">
            <v>0</v>
          </cell>
          <cell r="E33">
            <v>0</v>
          </cell>
          <cell r="F33">
            <v>0</v>
          </cell>
          <cell r="G33" t="str">
            <v>ECHEC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AS201658</v>
          </cell>
          <cell r="B34">
            <v>0</v>
          </cell>
          <cell r="C34" t="str">
            <v>YANTCHOU GERVAIS</v>
          </cell>
          <cell r="D34">
            <v>0</v>
          </cell>
          <cell r="E34">
            <v>0</v>
          </cell>
          <cell r="F34">
            <v>0</v>
          </cell>
          <cell r="G34" t="str">
            <v>ECHEC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AS201646</v>
          </cell>
          <cell r="B35">
            <v>0</v>
          </cell>
          <cell r="C35" t="str">
            <v>YEPMOU JEAN JACQUES</v>
          </cell>
          <cell r="D35">
            <v>0</v>
          </cell>
          <cell r="E35">
            <v>0</v>
          </cell>
          <cell r="F35">
            <v>0</v>
          </cell>
          <cell r="G35" t="str">
            <v>ECHEC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A36" t="str">
            <v>AS201659</v>
          </cell>
          <cell r="B36">
            <v>0</v>
          </cell>
          <cell r="C36" t="str">
            <v>YIALA ALAIN OSCAR</v>
          </cell>
          <cell r="D36">
            <v>0</v>
          </cell>
          <cell r="E36">
            <v>0</v>
          </cell>
          <cell r="F36">
            <v>0</v>
          </cell>
          <cell r="G36" t="str">
            <v>ECHEC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 t="str">
            <v>ECHEC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AS201647</v>
          </cell>
          <cell r="B37">
            <v>0</v>
          </cell>
          <cell r="C37" t="str">
            <v>YOUMBI EMMANUEL</v>
          </cell>
          <cell r="D37">
            <v>0</v>
          </cell>
          <cell r="E37">
            <v>0</v>
          </cell>
          <cell r="F37">
            <v>0</v>
          </cell>
          <cell r="G37" t="str">
            <v>ECHEC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 t="str">
            <v>ECHEC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9">
          <cell r="A39" t="str">
            <v>TOTAL PART</v>
          </cell>
          <cell r="B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</sheetNames>
    <sheetDataSet>
      <sheetData sheetId="0"/>
      <sheetData sheetId="1"/>
      <sheetData sheetId="2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102000</v>
          </cell>
          <cell r="K8">
            <v>102000</v>
          </cell>
          <cell r="L8" t="str">
            <v>BANQUE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102000</v>
          </cell>
          <cell r="K9">
            <v>102000</v>
          </cell>
          <cell r="L9" t="str">
            <v>BANQUE</v>
          </cell>
          <cell r="M9" t="str">
            <v>BANQUE</v>
          </cell>
          <cell r="N9">
            <v>0</v>
          </cell>
          <cell r="O9">
            <v>884000</v>
          </cell>
          <cell r="P9">
            <v>16000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884000</v>
          </cell>
          <cell r="P13">
            <v>16000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204000</v>
          </cell>
          <cell r="K22">
            <v>204000</v>
          </cell>
          <cell r="L22">
            <v>0</v>
          </cell>
          <cell r="M22">
            <v>0</v>
          </cell>
          <cell r="N22">
            <v>0</v>
          </cell>
          <cell r="O22">
            <v>1768000</v>
          </cell>
          <cell r="P22">
            <v>32000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3"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75000</v>
          </cell>
          <cell r="E7" t="str">
            <v>BANQUE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1</v>
          </cell>
          <cell r="C8" t="str">
            <v>DJOMOU TCHAPDA</v>
          </cell>
          <cell r="D8">
            <v>75000</v>
          </cell>
          <cell r="E8" t="str">
            <v>BANQUE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872000</v>
          </cell>
          <cell r="P8">
            <v>28000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75000</v>
          </cell>
          <cell r="E9" t="str">
            <v>BANQUE</v>
          </cell>
          <cell r="F9">
            <v>100000</v>
          </cell>
          <cell r="G9">
            <v>3000</v>
          </cell>
          <cell r="H9" t="str">
            <v>BANQUE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75000</v>
          </cell>
          <cell r="E10" t="str">
            <v>BANQUE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1</v>
          </cell>
          <cell r="C11" t="str">
            <v>HOTCHO BENJAMIN</v>
          </cell>
          <cell r="D11">
            <v>75000</v>
          </cell>
          <cell r="E11" t="str">
            <v>BANQUE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1</v>
          </cell>
          <cell r="C12" t="str">
            <v>HENGUE PAUL OMER</v>
          </cell>
          <cell r="D12">
            <v>75000</v>
          </cell>
          <cell r="E12" t="str">
            <v>BANQUE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1</v>
          </cell>
          <cell r="C13" t="str">
            <v>MBOGNING TUGMA GUY</v>
          </cell>
          <cell r="D13">
            <v>75000</v>
          </cell>
          <cell r="E13" t="str">
            <v>BANQUE</v>
          </cell>
          <cell r="F13">
            <v>89000</v>
          </cell>
          <cell r="G13">
            <v>2000</v>
          </cell>
          <cell r="H13" t="str">
            <v>BANQUE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1</v>
          </cell>
          <cell r="C14" t="str">
            <v>NANKAM APPOLINAIRE</v>
          </cell>
          <cell r="D14">
            <v>75000</v>
          </cell>
          <cell r="E14" t="str">
            <v>BANQUE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1</v>
          </cell>
          <cell r="C15" t="str">
            <v>NGONDIEP CLAUDE</v>
          </cell>
          <cell r="D15">
            <v>75000</v>
          </cell>
          <cell r="E15" t="str">
            <v>BANQUE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3</v>
          </cell>
          <cell r="C16" t="str">
            <v>NGUIEMEGNI MATHIEU BLAISE</v>
          </cell>
          <cell r="D16">
            <v>225000</v>
          </cell>
          <cell r="E16" t="str">
            <v>BANQUE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1</v>
          </cell>
          <cell r="C17" t="str">
            <v>PATEGO NJOSSU GUSTAVE</v>
          </cell>
          <cell r="D17">
            <v>75000</v>
          </cell>
          <cell r="E17" t="str">
            <v>BANQUE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1</v>
          </cell>
          <cell r="C18" t="str">
            <v>TCHOUAMOU MATHIEU</v>
          </cell>
          <cell r="D18">
            <v>75000</v>
          </cell>
          <cell r="E18" t="str">
            <v>BANQUE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1</v>
          </cell>
          <cell r="C19" t="str">
            <v>YOUMBI EMMANUEL</v>
          </cell>
          <cell r="D19">
            <v>75000</v>
          </cell>
          <cell r="E19" t="str">
            <v>BANQUE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16</v>
          </cell>
        </row>
        <row r="22">
          <cell r="A22" t="str">
            <v>NBRE ADHERENT</v>
          </cell>
          <cell r="B22">
            <v>14</v>
          </cell>
          <cell r="D22">
            <v>1200000</v>
          </cell>
          <cell r="E22">
            <v>0</v>
          </cell>
          <cell r="F22">
            <v>189000</v>
          </cell>
          <cell r="G22">
            <v>5000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872000</v>
          </cell>
          <cell r="P22">
            <v>28000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4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103000</v>
          </cell>
          <cell r="K9">
            <v>103000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91000</v>
          </cell>
          <cell r="K13">
            <v>91000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194000</v>
          </cell>
          <cell r="K22">
            <v>194000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5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6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7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8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9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0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1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2">
        <row r="7">
          <cell r="A7" t="str">
            <v>AS201602</v>
          </cell>
          <cell r="B7">
            <v>0</v>
          </cell>
          <cell r="C7" t="str">
            <v>BOUTCHOUANG WILLIAM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AS201654</v>
          </cell>
          <cell r="B8">
            <v>0</v>
          </cell>
          <cell r="C8" t="str">
            <v>DJOMOU TCHAPDA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AS201605</v>
          </cell>
          <cell r="B9">
            <v>0</v>
          </cell>
          <cell r="C9" t="str">
            <v>DJOUKWE NANGUEN GUY BLAISE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AS201608</v>
          </cell>
          <cell r="B10">
            <v>0</v>
          </cell>
          <cell r="C10" t="str">
            <v>DJUOMBESSY ANTOINE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AS201613</v>
          </cell>
          <cell r="B11">
            <v>0</v>
          </cell>
          <cell r="C11" t="str">
            <v>HOTCHO BENJAMIN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AS201611</v>
          </cell>
          <cell r="B12">
            <v>0</v>
          </cell>
          <cell r="C12" t="str">
            <v>HENGUE PAUL OMER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AS201649</v>
          </cell>
          <cell r="B13">
            <v>0</v>
          </cell>
          <cell r="C13" t="str">
            <v>MBOGNING TUGMA GUY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AS201621</v>
          </cell>
          <cell r="B14">
            <v>0</v>
          </cell>
          <cell r="C14" t="str">
            <v>NANKAM APPOLINAIRE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AS201624</v>
          </cell>
          <cell r="B15">
            <v>0</v>
          </cell>
          <cell r="C15" t="str">
            <v>NGONDIEP CLAUDE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AS201626</v>
          </cell>
          <cell r="B16">
            <v>0</v>
          </cell>
          <cell r="C16" t="str">
            <v>NGUIEMEGNI MATHIEU BLAISE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AS201633</v>
          </cell>
          <cell r="B17">
            <v>0</v>
          </cell>
          <cell r="C17" t="str">
            <v>PATEGO NJOSSU GUSTAVE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AS201641</v>
          </cell>
          <cell r="B18">
            <v>0</v>
          </cell>
          <cell r="C18" t="str">
            <v>TCHOUAMOU MATHIEU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AS201647</v>
          </cell>
          <cell r="B19">
            <v>0</v>
          </cell>
          <cell r="C19" t="str">
            <v>YOUMBI EMMANUEL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1">
          <cell r="A21" t="str">
            <v>TOTAL PART</v>
          </cell>
          <cell r="B21">
            <v>0</v>
          </cell>
        </row>
        <row r="22">
          <cell r="A22" t="str">
            <v>NBRE ADHERENT</v>
          </cell>
          <cell r="B22">
            <v>14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L23" t="str">
            <v>NBRE PART</v>
          </cell>
          <cell r="M23" t="str">
            <v>PART VENDUE</v>
          </cell>
        </row>
      </sheetData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/>
      <sheetData sheetId="2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131000</v>
          </cell>
          <cell r="G8">
            <v>1000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BANQUE</v>
          </cell>
          <cell r="N11">
            <v>0</v>
          </cell>
          <cell r="O11">
            <v>1160000</v>
          </cell>
          <cell r="P11">
            <v>40000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1500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1165000</v>
          </cell>
          <cell r="P16">
            <v>35000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3">
        <row r="7">
          <cell r="A7" t="str">
            <v>AS201604</v>
          </cell>
          <cell r="B7">
            <v>2</v>
          </cell>
          <cell r="C7" t="str">
            <v xml:space="preserve">DJOMO JEAN PAUL </v>
          </cell>
          <cell r="D7">
            <v>200000</v>
          </cell>
          <cell r="E7" t="str">
            <v>BANQUE</v>
          </cell>
          <cell r="F7">
            <v>205500</v>
          </cell>
          <cell r="G7">
            <v>2000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132000</v>
          </cell>
          <cell r="K8">
            <v>132000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1130000</v>
          </cell>
          <cell r="P10">
            <v>70000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101500</v>
          </cell>
          <cell r="K15">
            <v>101500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2</v>
          </cell>
          <cell r="C16" t="str">
            <v>SIME BRICE</v>
          </cell>
          <cell r="D16">
            <v>200000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1</v>
          </cell>
          <cell r="C17" t="str">
            <v>TCHOUATEU AUGUSTIN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1</v>
          </cell>
          <cell r="C18" t="str">
            <v>SIMO PIERRE</v>
          </cell>
          <cell r="D18">
            <v>100000</v>
          </cell>
          <cell r="E18" t="str">
            <v>BANQUE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1</v>
          </cell>
          <cell r="C19" t="str">
            <v>YIALA ALAIN OSCAR</v>
          </cell>
          <cell r="D19">
            <v>100000</v>
          </cell>
          <cell r="E19" t="str">
            <v>ESPECES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4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207500</v>
          </cell>
          <cell r="K7">
            <v>207500</v>
          </cell>
          <cell r="L7">
            <v>0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>
            <v>0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>
            <v>0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102000</v>
          </cell>
          <cell r="K14">
            <v>102000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5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6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7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8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9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0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1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2">
        <row r="7">
          <cell r="A7" t="str">
            <v>AS201604</v>
          </cell>
          <cell r="B7">
            <v>0</v>
          </cell>
          <cell r="C7" t="str">
            <v xml:space="preserve">DJOMO JEAN PAUL </v>
          </cell>
          <cell r="D7">
            <v>0</v>
          </cell>
          <cell r="E7" t="str">
            <v>ECHEC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0</v>
          </cell>
          <cell r="C8" t="str">
            <v>DJUOMBESSY ANTOINE</v>
          </cell>
          <cell r="D8">
            <v>0</v>
          </cell>
          <cell r="E8" t="str">
            <v>ECHEC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0</v>
          </cell>
          <cell r="C9" t="str">
            <v>HOTCHO BENJAMIN</v>
          </cell>
          <cell r="D9">
            <v>0</v>
          </cell>
          <cell r="E9" t="str">
            <v>ECHEC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0</v>
          </cell>
          <cell r="C10" t="str">
            <v>KOUAMOU MOISE</v>
          </cell>
          <cell r="D10">
            <v>0</v>
          </cell>
          <cell r="E10" t="str">
            <v>ECHEC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0</v>
          </cell>
          <cell r="C11" t="str">
            <v>KOUATCHO MESSACK</v>
          </cell>
          <cell r="D11">
            <v>0</v>
          </cell>
          <cell r="E11" t="str">
            <v>ECHEC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0</v>
          </cell>
          <cell r="C12" t="str">
            <v>MBOGNING TUGMA GUY</v>
          </cell>
          <cell r="D12">
            <v>0</v>
          </cell>
          <cell r="E12" t="str">
            <v>ECHEC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0</v>
          </cell>
          <cell r="C13" t="str">
            <v>NDJOMO ETIENNE</v>
          </cell>
          <cell r="D13">
            <v>0</v>
          </cell>
          <cell r="E13" t="str">
            <v>ECHEC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0</v>
          </cell>
          <cell r="C14" t="str">
            <v>NGONDIEP CLAUDE</v>
          </cell>
          <cell r="D14">
            <v>0</v>
          </cell>
          <cell r="E14" t="str">
            <v>ECHEC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0</v>
          </cell>
          <cell r="C15" t="str">
            <v>NGUIEMEGNI MATHIEU BLAISE</v>
          </cell>
          <cell r="D15">
            <v>0</v>
          </cell>
          <cell r="E15" t="str">
            <v>ECHEC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AS201653</v>
          </cell>
          <cell r="B16">
            <v>0</v>
          </cell>
          <cell r="C16" t="str">
            <v>SIME BRICE</v>
          </cell>
          <cell r="D16">
            <v>0</v>
          </cell>
          <cell r="E16" t="str">
            <v>ECHEC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AS201660</v>
          </cell>
          <cell r="B17">
            <v>0</v>
          </cell>
          <cell r="C17" t="str">
            <v>TCHOUATEU AUGUSTIN</v>
          </cell>
          <cell r="D17">
            <v>0</v>
          </cell>
          <cell r="E17" t="str">
            <v>ECHEC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AS201638</v>
          </cell>
          <cell r="B18">
            <v>0</v>
          </cell>
          <cell r="C18" t="str">
            <v>SIMO PIERRE</v>
          </cell>
          <cell r="D18">
            <v>0</v>
          </cell>
          <cell r="E18" t="str">
            <v>ECHEC</v>
          </cell>
          <cell r="F18">
            <v>0</v>
          </cell>
          <cell r="G18">
            <v>0</v>
          </cell>
          <cell r="H18" t="str">
            <v>ECHEC</v>
          </cell>
          <cell r="I18">
            <v>0</v>
          </cell>
          <cell r="J18">
            <v>0</v>
          </cell>
          <cell r="K18">
            <v>0</v>
          </cell>
          <cell r="L18" t="str">
            <v>ECHEC</v>
          </cell>
          <cell r="M18" t="str">
            <v>ECHEC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AS201659</v>
          </cell>
          <cell r="B19">
            <v>0</v>
          </cell>
          <cell r="C19" t="str">
            <v>YIALA ALAIN OSCAR</v>
          </cell>
          <cell r="D19">
            <v>0</v>
          </cell>
          <cell r="E19" t="str">
            <v>ECHEC</v>
          </cell>
          <cell r="F19">
            <v>0</v>
          </cell>
          <cell r="G19">
            <v>0</v>
          </cell>
          <cell r="H19" t="str">
            <v>ECHEC</v>
          </cell>
          <cell r="I19">
            <v>0</v>
          </cell>
          <cell r="J19">
            <v>0</v>
          </cell>
          <cell r="K19">
            <v>0</v>
          </cell>
          <cell r="L19" t="str">
            <v>ECHEC</v>
          </cell>
          <cell r="M19" t="str">
            <v>ECHEC</v>
          </cell>
          <cell r="N19">
            <v>0</v>
          </cell>
          <cell r="O19">
            <v>0</v>
          </cell>
          <cell r="P1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E7">
            <v>0</v>
          </cell>
          <cell r="F7">
            <v>677986676</v>
          </cell>
          <cell r="G7">
            <v>0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E8">
            <v>0</v>
          </cell>
          <cell r="F8">
            <v>675250451</v>
          </cell>
          <cell r="G8">
            <v>0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E9">
            <v>0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E10">
            <v>0</v>
          </cell>
          <cell r="F10">
            <v>699908065</v>
          </cell>
          <cell r="G10">
            <v>0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E11">
            <v>0</v>
          </cell>
          <cell r="F11">
            <v>694468080</v>
          </cell>
          <cell r="G11">
            <v>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E12">
            <v>0</v>
          </cell>
          <cell r="F12">
            <v>699956355</v>
          </cell>
          <cell r="G12">
            <v>0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E13">
            <v>0</v>
          </cell>
          <cell r="F13">
            <v>675836725</v>
          </cell>
          <cell r="G13">
            <v>0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E14">
            <v>0</v>
          </cell>
          <cell r="F14">
            <v>677735778</v>
          </cell>
          <cell r="G14">
            <v>0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E16">
            <v>0</v>
          </cell>
          <cell r="F16">
            <v>693055118</v>
          </cell>
          <cell r="G16">
            <v>0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E17">
            <v>0</v>
          </cell>
          <cell r="F17">
            <v>677553702</v>
          </cell>
          <cell r="G17">
            <v>0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E18">
            <v>0</v>
          </cell>
          <cell r="F18">
            <v>675249207</v>
          </cell>
          <cell r="G18">
            <v>0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E19">
            <v>0</v>
          </cell>
          <cell r="F19">
            <v>677068360</v>
          </cell>
          <cell r="G19">
            <v>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E20">
            <v>0</v>
          </cell>
          <cell r="F20">
            <v>676659191</v>
          </cell>
          <cell r="G20">
            <v>0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E21">
            <v>0</v>
          </cell>
          <cell r="F21">
            <v>699995086</v>
          </cell>
          <cell r="G21">
            <v>0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E22">
            <v>0</v>
          </cell>
          <cell r="F22">
            <v>677546060</v>
          </cell>
          <cell r="G22">
            <v>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E23">
            <v>0</v>
          </cell>
          <cell r="F23">
            <v>677648306</v>
          </cell>
          <cell r="G23">
            <v>0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E24">
            <v>0</v>
          </cell>
          <cell r="F24">
            <v>699778906</v>
          </cell>
          <cell r="G24">
            <v>0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E25">
            <v>0</v>
          </cell>
          <cell r="F25">
            <v>677775940</v>
          </cell>
          <cell r="G25">
            <v>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E26">
            <v>0</v>
          </cell>
          <cell r="F26">
            <v>699663416</v>
          </cell>
          <cell r="G26">
            <v>0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E27">
            <v>0</v>
          </cell>
          <cell r="F27">
            <v>677547311</v>
          </cell>
          <cell r="G27">
            <v>0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E29">
            <v>0</v>
          </cell>
          <cell r="F29">
            <v>694452000</v>
          </cell>
          <cell r="G29">
            <v>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D34">
            <v>0</v>
          </cell>
          <cell r="E34">
            <v>0</v>
          </cell>
          <cell r="F34">
            <v>696585118</v>
          </cell>
          <cell r="G34">
            <v>0</v>
          </cell>
          <cell r="H34">
            <v>0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AS201629</v>
          </cell>
          <cell r="B36">
            <v>0</v>
          </cell>
          <cell r="C36" t="str">
            <v>NKEPSEU DIEUDONNE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</sheetData>
      <sheetData sheetId="1"/>
      <sheetData sheetId="2"/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BQUEJANV23"/>
      <sheetName val="HISTOBQUEFEV23"/>
      <sheetName val="HISTOBQUEMARS23"/>
      <sheetName val="HISTOBQUEAVRIL23"/>
      <sheetName val="HISTOBQUEMAI23"/>
      <sheetName val="HISTOBQUEJUIN23"/>
      <sheetName val="HISTOBQUEJUIL23"/>
      <sheetName val="HISTOBQUEAOUT23"/>
      <sheetName val="HISTOBQUESEPT23"/>
      <sheetName val="HISTOBQUEOCT23"/>
      <sheetName val="HISTOBQUENOV23"/>
      <sheetName val="HISTOBQUEDEC23"/>
      <sheetName val="HISTOBQUERESUME23"/>
    </sheetNames>
    <sheetDataSet>
      <sheetData sheetId="0"/>
      <sheetData sheetId="1"/>
      <sheetData sheetId="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104000</v>
          </cell>
          <cell r="F7">
            <v>104000</v>
          </cell>
        </row>
        <row r="8">
          <cell r="A8" t="str">
            <v>AS201602</v>
          </cell>
          <cell r="B8" t="str">
            <v>BOUTCHOUANG WILLIAM</v>
          </cell>
          <cell r="C8">
            <v>105000</v>
          </cell>
          <cell r="D8">
            <v>10000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160000</v>
          </cell>
          <cell r="F9">
            <v>160000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  <cell r="G10">
            <v>250000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280000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105000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320000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180000</v>
          </cell>
          <cell r="D18">
            <v>35000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215000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160000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D24">
            <v>5000</v>
          </cell>
          <cell r="F24">
            <v>215000</v>
          </cell>
          <cell r="G24">
            <v>115000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D25">
            <v>10000</v>
          </cell>
          <cell r="F25">
            <v>290000</v>
          </cell>
        </row>
        <row r="26">
          <cell r="A26" t="str">
            <v>AS201628</v>
          </cell>
          <cell r="B26" t="str">
            <v>NKAMGANG JUSTIN DEJOLIE</v>
          </cell>
          <cell r="D26">
            <v>40000</v>
          </cell>
          <cell r="F26">
            <v>40000</v>
          </cell>
        </row>
        <row r="27">
          <cell r="A27" t="str">
            <v>AS201656</v>
          </cell>
          <cell r="B27" t="str">
            <v>NOUBE ETIENNE</v>
          </cell>
          <cell r="D27">
            <v>65000</v>
          </cell>
          <cell r="F27">
            <v>65000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D29">
            <v>65000</v>
          </cell>
          <cell r="F29">
            <v>65000</v>
          </cell>
        </row>
        <row r="30">
          <cell r="A30" t="str">
            <v>AS201653</v>
          </cell>
          <cell r="B30" t="str">
            <v>SIME BRICE</v>
          </cell>
          <cell r="D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250000</v>
          </cell>
          <cell r="F31">
            <v>250000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3465000</v>
          </cell>
          <cell r="D38">
            <v>589000</v>
          </cell>
          <cell r="E38">
            <v>0</v>
          </cell>
          <cell r="F38">
            <v>4054000</v>
          </cell>
          <cell r="G38">
            <v>2705000</v>
          </cell>
        </row>
      </sheetData>
      <sheetData sheetId="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615000</v>
          </cell>
          <cell r="F8">
            <v>615000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120000</v>
          </cell>
          <cell r="D9">
            <v>80000</v>
          </cell>
          <cell r="F9">
            <v>200000</v>
          </cell>
        </row>
        <row r="10">
          <cell r="A10" t="str">
            <v>AS201654</v>
          </cell>
          <cell r="B10" t="str">
            <v>DJOMOU TCHAPDA</v>
          </cell>
          <cell r="C10">
            <v>103000</v>
          </cell>
          <cell r="F10">
            <v>103000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177000</v>
          </cell>
          <cell r="F11">
            <v>177000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D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E16">
            <v>1000000</v>
          </cell>
          <cell r="F16">
            <v>1250000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51000</v>
          </cell>
          <cell r="D18">
            <v>266000</v>
          </cell>
          <cell r="F18">
            <v>317000</v>
          </cell>
        </row>
        <row r="19">
          <cell r="A19" t="str">
            <v>AS201620</v>
          </cell>
          <cell r="B19" t="str">
            <v>LOWE JEAN</v>
          </cell>
          <cell r="D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107000</v>
          </cell>
          <cell r="D20">
            <v>215000</v>
          </cell>
          <cell r="F20">
            <v>322000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551000</v>
          </cell>
          <cell r="F24">
            <v>551000</v>
          </cell>
        </row>
        <row r="25">
          <cell r="A25" t="str">
            <v>AS201626</v>
          </cell>
          <cell r="B25" t="str">
            <v>NGUIEMEGNI MATHIEU BLAISE</v>
          </cell>
          <cell r="C25">
            <v>451000</v>
          </cell>
          <cell r="D25">
            <v>50000</v>
          </cell>
          <cell r="E25">
            <v>70000</v>
          </cell>
          <cell r="F25">
            <v>571000</v>
          </cell>
        </row>
        <row r="26">
          <cell r="A26" t="str">
            <v>AS201628</v>
          </cell>
          <cell r="B26" t="str">
            <v>NKAMGANG JUSTIN DEJOLIE</v>
          </cell>
          <cell r="D26">
            <v>102000</v>
          </cell>
          <cell r="E26">
            <v>70000</v>
          </cell>
          <cell r="F26">
            <v>172000</v>
          </cell>
        </row>
        <row r="27">
          <cell r="A27" t="str">
            <v>AS201656</v>
          </cell>
          <cell r="B27" t="str">
            <v>NOUBE ETIENNE</v>
          </cell>
          <cell r="C27">
            <v>40000</v>
          </cell>
          <cell r="F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D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4300000</v>
          </cell>
          <cell r="D38">
            <v>1013000</v>
          </cell>
          <cell r="E38">
            <v>1140000</v>
          </cell>
          <cell r="F38">
            <v>6453000</v>
          </cell>
          <cell r="G38">
            <v>0</v>
          </cell>
        </row>
        <row r="40">
          <cell r="E40">
            <v>422000</v>
          </cell>
        </row>
        <row r="41">
          <cell r="E41">
            <v>201000</v>
          </cell>
        </row>
        <row r="42">
          <cell r="E42">
            <v>390000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20000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  <cell r="G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82000</v>
          </cell>
          <cell r="F10">
            <v>82000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20000</v>
          </cell>
          <cell r="F11">
            <v>20000</v>
          </cell>
          <cell r="G11">
            <v>320000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250000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72500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  <cell r="G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267000</v>
          </cell>
        </row>
        <row r="20">
          <cell r="A20" t="str">
            <v>AS201649</v>
          </cell>
          <cell r="B20" t="str">
            <v>MBOGNING TUGMA GUY</v>
          </cell>
          <cell r="C20">
            <v>403500</v>
          </cell>
          <cell r="F20">
            <v>403500</v>
          </cell>
          <cell r="G20">
            <v>319000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D24">
            <v>215000</v>
          </cell>
          <cell r="F24">
            <v>215000</v>
          </cell>
          <cell r="G24">
            <v>290000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50000</v>
          </cell>
        </row>
        <row r="26">
          <cell r="A26" t="str">
            <v>AS201628</v>
          </cell>
          <cell r="B26" t="str">
            <v>NKAMGANG JUSTIN DEJOLIE</v>
          </cell>
          <cell r="D26">
            <v>84000</v>
          </cell>
          <cell r="F26">
            <v>84000</v>
          </cell>
          <cell r="G26">
            <v>280000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140000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115000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82000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  <cell r="G32">
            <v>34000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115000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34000</v>
          </cell>
          <cell r="F35">
            <v>34000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3684500</v>
          </cell>
          <cell r="D38">
            <v>299000</v>
          </cell>
          <cell r="E38">
            <v>0</v>
          </cell>
          <cell r="F38">
            <v>3983500</v>
          </cell>
          <cell r="G38">
            <v>3684500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F9">
            <v>145000</v>
          </cell>
          <cell r="G9">
            <v>40000</v>
          </cell>
        </row>
        <row r="10">
          <cell r="A10" t="str">
            <v>AS201654</v>
          </cell>
          <cell r="B10" t="str">
            <v>DJOMOU TCHAPDA</v>
          </cell>
          <cell r="D10">
            <v>43000</v>
          </cell>
          <cell r="F10">
            <v>43000</v>
          </cell>
          <cell r="G10">
            <v>115000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  <cell r="G11">
            <v>241000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  <cell r="G12">
            <v>140000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115000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50000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516000</v>
          </cell>
        </row>
        <row r="16">
          <cell r="A16" t="str">
            <v>AS201613</v>
          </cell>
          <cell r="B16" t="str">
            <v>HOTCHO BENJAMIN</v>
          </cell>
          <cell r="C16">
            <v>516000</v>
          </cell>
          <cell r="F16">
            <v>516000</v>
          </cell>
          <cell r="G16">
            <v>160000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  <cell r="G17">
            <v>422000</v>
          </cell>
        </row>
        <row r="18">
          <cell r="A18" t="str">
            <v>AS201619</v>
          </cell>
          <cell r="B18" t="str">
            <v>KOUATCHO MESSACK</v>
          </cell>
          <cell r="C18">
            <v>419000</v>
          </cell>
          <cell r="F18">
            <v>419000</v>
          </cell>
          <cell r="G18">
            <v>452000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320000</v>
          </cell>
        </row>
        <row r="20">
          <cell r="A20" t="str">
            <v>AS201649</v>
          </cell>
          <cell r="B20" t="str">
            <v>MBOGNING TUGMA GUY</v>
          </cell>
          <cell r="C20">
            <v>422000</v>
          </cell>
          <cell r="F20">
            <v>422000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280000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  <cell r="G24">
            <v>145000</v>
          </cell>
        </row>
        <row r="25">
          <cell r="A25" t="str">
            <v>AS201626</v>
          </cell>
          <cell r="B25" t="str">
            <v>NGUIEMEGNI MATHIEU BLAISE</v>
          </cell>
          <cell r="C25">
            <v>280000</v>
          </cell>
          <cell r="F25">
            <v>280000</v>
          </cell>
          <cell r="G25">
            <v>220000</v>
          </cell>
        </row>
        <row r="26">
          <cell r="A26" t="str">
            <v>AS201628</v>
          </cell>
          <cell r="B26" t="str">
            <v>NKAMGANG JUSTIN DEJOLIE</v>
          </cell>
          <cell r="D26">
            <v>43000</v>
          </cell>
          <cell r="F26">
            <v>43000</v>
          </cell>
          <cell r="G26">
            <v>419000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160000</v>
          </cell>
          <cell r="F29">
            <v>160000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290000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115000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D33">
            <v>43000</v>
          </cell>
          <cell r="F33">
            <v>43000</v>
          </cell>
        </row>
        <row r="34">
          <cell r="A34" t="str">
            <v>AS201658</v>
          </cell>
          <cell r="B34" t="str">
            <v>YANTCHOU GERVAIS</v>
          </cell>
          <cell r="D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F35">
            <v>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4660000</v>
          </cell>
          <cell r="D38">
            <v>229000</v>
          </cell>
          <cell r="E38">
            <v>0</v>
          </cell>
          <cell r="F38">
            <v>4889000</v>
          </cell>
          <cell r="G38">
            <v>4660000</v>
          </cell>
        </row>
        <row r="41">
          <cell r="G41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255000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145000</v>
          </cell>
          <cell r="D9">
            <v>23000</v>
          </cell>
          <cell r="F9">
            <v>168000</v>
          </cell>
          <cell r="G9">
            <v>115000</v>
          </cell>
        </row>
        <row r="10">
          <cell r="A10" t="str">
            <v>AS201654</v>
          </cell>
          <cell r="B10" t="str">
            <v>DJOMOU TCHAPDA</v>
          </cell>
          <cell r="D10">
            <v>105000</v>
          </cell>
          <cell r="F10">
            <v>105000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267000</v>
          </cell>
          <cell r="F11">
            <v>267000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420000</v>
          </cell>
          <cell r="E12">
            <v>70000</v>
          </cell>
          <cell r="F12">
            <v>490000</v>
          </cell>
          <cell r="G12">
            <v>380000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560000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420000</v>
          </cell>
        </row>
        <row r="15">
          <cell r="A15" t="str">
            <v>AS201611</v>
          </cell>
          <cell r="B15" t="str">
            <v>HENGUE PAUL OMER</v>
          </cell>
          <cell r="D15">
            <v>118000</v>
          </cell>
          <cell r="F15">
            <v>118000</v>
          </cell>
          <cell r="G15">
            <v>230000</v>
          </cell>
        </row>
        <row r="16">
          <cell r="A16" t="str">
            <v>AS201613</v>
          </cell>
          <cell r="B16" t="str">
            <v>HOTCHO BENJAMIN</v>
          </cell>
          <cell r="C16">
            <v>230000</v>
          </cell>
          <cell r="E16">
            <v>70000</v>
          </cell>
          <cell r="F16">
            <v>300000</v>
          </cell>
          <cell r="G16">
            <v>115000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315000</v>
          </cell>
          <cell r="F18">
            <v>315000</v>
          </cell>
          <cell r="G18">
            <v>40000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E19">
            <v>70000</v>
          </cell>
          <cell r="F19">
            <v>110000</v>
          </cell>
          <cell r="G19">
            <v>100000</v>
          </cell>
        </row>
        <row r="20">
          <cell r="A20" t="str">
            <v>AS201649</v>
          </cell>
          <cell r="B20" t="str">
            <v>MBOGNING TUGMA GUY</v>
          </cell>
          <cell r="C20">
            <v>215000</v>
          </cell>
          <cell r="F20">
            <v>215000</v>
          </cell>
          <cell r="G20">
            <v>115000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140000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  <cell r="G22">
            <v>40000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  <cell r="G23">
            <v>40000</v>
          </cell>
        </row>
        <row r="24">
          <cell r="A24" t="str">
            <v>AS201624</v>
          </cell>
          <cell r="B24" t="str">
            <v>NGONDIEP CLAUDE</v>
          </cell>
          <cell r="C24">
            <v>210000</v>
          </cell>
          <cell r="F24">
            <v>210000</v>
          </cell>
          <cell r="G24">
            <v>367000</v>
          </cell>
        </row>
        <row r="25">
          <cell r="A25" t="str">
            <v>AS201626</v>
          </cell>
          <cell r="B25" t="str">
            <v>NGUIEMEGNI MATHIEU BLAISE</v>
          </cell>
          <cell r="C25">
            <v>380000</v>
          </cell>
          <cell r="F25">
            <v>380000</v>
          </cell>
          <cell r="G25">
            <v>250000</v>
          </cell>
        </row>
        <row r="26">
          <cell r="A26" t="str">
            <v>AS201628</v>
          </cell>
          <cell r="B26" t="str">
            <v>NKAMGANG JUSTIN DEJOLIE</v>
          </cell>
          <cell r="D26">
            <v>104000</v>
          </cell>
          <cell r="F26">
            <v>104000</v>
          </cell>
          <cell r="G26">
            <v>40000</v>
          </cell>
        </row>
        <row r="27">
          <cell r="A27" t="str">
            <v>AS201656</v>
          </cell>
          <cell r="B27" t="str">
            <v>NOUBE ETIENNE</v>
          </cell>
          <cell r="C27">
            <v>560000</v>
          </cell>
          <cell r="F27">
            <v>560000</v>
          </cell>
          <cell r="G27">
            <v>40000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315000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210000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255000</v>
          </cell>
          <cell r="F32">
            <v>255000</v>
          </cell>
        </row>
        <row r="33">
          <cell r="A33" t="str">
            <v>AS201643</v>
          </cell>
          <cell r="B33" t="str">
            <v>TCHOUTOU NANA CLAUDE</v>
          </cell>
          <cell r="D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D35">
            <v>86000</v>
          </cell>
          <cell r="F35">
            <v>86000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4617000</v>
          </cell>
          <cell r="D38">
            <v>476000</v>
          </cell>
          <cell r="E38">
            <v>210000</v>
          </cell>
          <cell r="F38">
            <v>5303000</v>
          </cell>
          <cell r="G38">
            <v>4207000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  <cell r="G7">
            <v>115000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  <cell r="G8">
            <v>40000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191000</v>
          </cell>
          <cell r="F9">
            <v>191000</v>
          </cell>
          <cell r="G9">
            <v>170000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  <cell r="G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170000</v>
          </cell>
          <cell r="F11">
            <v>170000</v>
          </cell>
          <cell r="G11">
            <v>140000</v>
          </cell>
        </row>
        <row r="12">
          <cell r="A12" t="str">
            <v>AS201608</v>
          </cell>
          <cell r="B12" t="str">
            <v>DJUOMBESSY ANTOINE</v>
          </cell>
          <cell r="C12">
            <v>388000</v>
          </cell>
          <cell r="F12">
            <v>388000</v>
          </cell>
          <cell r="G12">
            <v>350000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  <cell r="G13">
            <v>140000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  <cell r="G14">
            <v>1215000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  <cell r="G15">
            <v>40000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  <cell r="G16">
            <v>100000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  <cell r="G17">
            <v>290000</v>
          </cell>
        </row>
        <row r="18">
          <cell r="A18" t="str">
            <v>AS201619</v>
          </cell>
          <cell r="B18" t="str">
            <v>KOUATCHO MESSACK</v>
          </cell>
          <cell r="C18">
            <v>1215000</v>
          </cell>
          <cell r="F18">
            <v>1215000</v>
          </cell>
          <cell r="G18">
            <v>115000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  <cell r="G19">
            <v>115000</v>
          </cell>
        </row>
        <row r="20">
          <cell r="A20" t="str">
            <v>AS201649</v>
          </cell>
          <cell r="B20" t="str">
            <v>MBOGNING TUGMA GUY</v>
          </cell>
          <cell r="C20">
            <v>998000</v>
          </cell>
          <cell r="F20">
            <v>998000</v>
          </cell>
          <cell r="G20">
            <v>102000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  <cell r="G21">
            <v>250000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E22">
            <v>70000</v>
          </cell>
          <cell r="F22">
            <v>185000</v>
          </cell>
          <cell r="G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452000</v>
          </cell>
          <cell r="F23">
            <v>452000</v>
          </cell>
          <cell r="G23">
            <v>115000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  <cell r="G24">
            <v>350000</v>
          </cell>
        </row>
        <row r="25">
          <cell r="A25" t="str">
            <v>AS201626</v>
          </cell>
          <cell r="B25" t="str">
            <v>NGUIEMEGNI MATHIEU BLAISE</v>
          </cell>
          <cell r="C25">
            <v>350000</v>
          </cell>
          <cell r="F25">
            <v>350000</v>
          </cell>
          <cell r="G25">
            <v>38500</v>
          </cell>
        </row>
        <row r="26">
          <cell r="A26" t="str">
            <v>AS201628</v>
          </cell>
          <cell r="B26" t="str">
            <v>NKAMGANG JUSTIN DEJOLIE</v>
          </cell>
          <cell r="C26">
            <v>40000</v>
          </cell>
          <cell r="F26">
            <v>40000</v>
          </cell>
          <cell r="G26">
            <v>250000</v>
          </cell>
        </row>
        <row r="27">
          <cell r="A27" t="str">
            <v>AS201656</v>
          </cell>
          <cell r="B27" t="str">
            <v>NOUBE ETIENNE</v>
          </cell>
          <cell r="C27">
            <v>45000</v>
          </cell>
          <cell r="F27">
            <v>45000</v>
          </cell>
          <cell r="G27">
            <v>202000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  <cell r="G28">
            <v>998000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  <cell r="G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  <cell r="G30">
            <v>40000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  <cell r="G31">
            <v>45000</v>
          </cell>
        </row>
        <row r="32">
          <cell r="A32" t="str">
            <v>AS201641</v>
          </cell>
          <cell r="B32" t="str">
            <v>TCHOUAMOU MATHIEU</v>
          </cell>
          <cell r="C32">
            <v>217000</v>
          </cell>
          <cell r="F32">
            <v>217000</v>
          </cell>
          <cell r="G32">
            <v>40000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  <cell r="G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  <cell r="G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  <cell r="G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  <cell r="G36">
            <v>470000</v>
          </cell>
        </row>
        <row r="38">
          <cell r="B38" t="str">
            <v>TOTAUX</v>
          </cell>
          <cell r="C38">
            <v>6096000</v>
          </cell>
          <cell r="D38">
            <v>43000</v>
          </cell>
          <cell r="E38">
            <v>70000</v>
          </cell>
          <cell r="F38">
            <v>6209000</v>
          </cell>
          <cell r="G38">
            <v>6045500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D7">
            <v>33500</v>
          </cell>
          <cell r="E7">
            <v>140000</v>
          </cell>
          <cell r="F7">
            <v>213500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241000</v>
          </cell>
          <cell r="D9">
            <v>87500</v>
          </cell>
          <cell r="F9">
            <v>328500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85500</v>
          </cell>
          <cell r="F11">
            <v>200500</v>
          </cell>
        </row>
        <row r="12">
          <cell r="A12" t="str">
            <v>AS201608</v>
          </cell>
          <cell r="B12" t="str">
            <v>DJUOMBESSY ANTOINE</v>
          </cell>
          <cell r="C12">
            <v>360000</v>
          </cell>
          <cell r="F12">
            <v>360000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E15">
            <v>70000</v>
          </cell>
          <cell r="F15">
            <v>185000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1021000</v>
          </cell>
          <cell r="F20">
            <v>1021000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220000</v>
          </cell>
          <cell r="F24">
            <v>220000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43000</v>
          </cell>
          <cell r="F26">
            <v>43000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D32">
            <v>102000</v>
          </cell>
          <cell r="E32">
            <v>70000</v>
          </cell>
          <cell r="F32">
            <v>287000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4802000</v>
          </cell>
          <cell r="D38">
            <v>391500</v>
          </cell>
          <cell r="E38">
            <v>280000</v>
          </cell>
          <cell r="F38">
            <v>5473500</v>
          </cell>
          <cell r="G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D9">
            <v>202000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43000</v>
          </cell>
          <cell r="F10">
            <v>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241000</v>
          </cell>
          <cell r="F17">
            <v>241000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F18">
            <v>215000</v>
          </cell>
        </row>
        <row r="19">
          <cell r="A19" t="str">
            <v>AS201620</v>
          </cell>
          <cell r="B19" t="str">
            <v>LOWE JEAN</v>
          </cell>
          <cell r="C19">
            <v>340000</v>
          </cell>
          <cell r="F19">
            <v>340000</v>
          </cell>
        </row>
        <row r="20">
          <cell r="A20" t="str">
            <v>AS201649</v>
          </cell>
          <cell r="B20" t="str">
            <v>MBOGNING TUGMA GUY</v>
          </cell>
          <cell r="C20">
            <v>586500</v>
          </cell>
          <cell r="F20">
            <v>586500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E21">
            <v>70000</v>
          </cell>
          <cell r="F21">
            <v>110000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270000</v>
          </cell>
          <cell r="F23">
            <v>270000</v>
          </cell>
        </row>
        <row r="24">
          <cell r="A24" t="str">
            <v>AS201624</v>
          </cell>
          <cell r="B24" t="str">
            <v>NGONDIEP CLAUDE</v>
          </cell>
          <cell r="C24">
            <v>320000</v>
          </cell>
          <cell r="F24">
            <v>320000</v>
          </cell>
        </row>
        <row r="25">
          <cell r="A25" t="str">
            <v>AS201626</v>
          </cell>
          <cell r="B25" t="str">
            <v>NGUIEMEGNI MATHIEU BLAISE</v>
          </cell>
          <cell r="C25">
            <v>400000</v>
          </cell>
          <cell r="F25">
            <v>400000</v>
          </cell>
        </row>
        <row r="26">
          <cell r="A26" t="str">
            <v>AS201628</v>
          </cell>
          <cell r="B26" t="str">
            <v>NKAMGANG JUSTIN DEJOLIE</v>
          </cell>
          <cell r="C26">
            <v>116000</v>
          </cell>
          <cell r="F26">
            <v>116000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E30">
            <v>70000</v>
          </cell>
          <cell r="F30">
            <v>185000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365000</v>
          </cell>
          <cell r="F32">
            <v>365000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100000</v>
          </cell>
          <cell r="F34">
            <v>100000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5073500</v>
          </cell>
          <cell r="D38">
            <v>245000</v>
          </cell>
          <cell r="E38">
            <v>140000</v>
          </cell>
          <cell r="F38">
            <v>5458500</v>
          </cell>
          <cell r="G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340000</v>
          </cell>
          <cell r="F9">
            <v>340000</v>
          </cell>
        </row>
        <row r="10">
          <cell r="A10" t="str">
            <v>AS201654</v>
          </cell>
          <cell r="B10" t="str">
            <v>DJOMOU TCHAPDA</v>
          </cell>
          <cell r="C10">
            <v>141000</v>
          </cell>
          <cell r="F10">
            <v>141000</v>
          </cell>
        </row>
        <row r="11">
          <cell r="A11" t="str">
            <v>AS201605</v>
          </cell>
          <cell r="B11" t="str">
            <v>DJOUKWE NANGUEN GUY BLAISE</v>
          </cell>
          <cell r="C11">
            <v>347000</v>
          </cell>
          <cell r="F11">
            <v>347000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215000</v>
          </cell>
          <cell r="D18">
            <v>100000</v>
          </cell>
          <cell r="F18">
            <v>315000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528500</v>
          </cell>
          <cell r="F20">
            <v>528500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215000</v>
          </cell>
          <cell r="F24">
            <v>215000</v>
          </cell>
        </row>
        <row r="25">
          <cell r="A25" t="str">
            <v>AS201626</v>
          </cell>
          <cell r="B25" t="str">
            <v>NGUIEMEGNI MATHIEU BLAISE</v>
          </cell>
          <cell r="C25">
            <v>440000</v>
          </cell>
          <cell r="F25">
            <v>440000</v>
          </cell>
        </row>
        <row r="26">
          <cell r="A26" t="str">
            <v>AS201628</v>
          </cell>
          <cell r="B26" t="str">
            <v>NKAMGANG JUSTIN DEJOLIE</v>
          </cell>
          <cell r="C26">
            <v>50000</v>
          </cell>
          <cell r="D26">
            <v>94000</v>
          </cell>
          <cell r="F26">
            <v>144000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140000</v>
          </cell>
          <cell r="F31">
            <v>140000</v>
          </cell>
        </row>
        <row r="32">
          <cell r="A32" t="str">
            <v>AS201641</v>
          </cell>
          <cell r="B32" t="str">
            <v>TCHOUAMOU MATHIEU</v>
          </cell>
          <cell r="C32">
            <v>191000</v>
          </cell>
          <cell r="F32">
            <v>191000</v>
          </cell>
        </row>
        <row r="33">
          <cell r="A33" t="str">
            <v>AS201643</v>
          </cell>
          <cell r="B33" t="str">
            <v>TCHOUTOU NANA CLAUDE</v>
          </cell>
          <cell r="C33">
            <v>0</v>
          </cell>
          <cell r="F33">
            <v>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400000</v>
          </cell>
          <cell r="F36">
            <v>400000</v>
          </cell>
        </row>
        <row r="38">
          <cell r="B38" t="str">
            <v>TOTAUX</v>
          </cell>
          <cell r="C38">
            <v>4912500</v>
          </cell>
          <cell r="D38">
            <v>194000</v>
          </cell>
          <cell r="E38">
            <v>0</v>
          </cell>
          <cell r="F38">
            <v>5106500</v>
          </cell>
          <cell r="G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140000</v>
          </cell>
          <cell r="F9">
            <v>140000</v>
          </cell>
        </row>
        <row r="10">
          <cell r="A10" t="str">
            <v>AS201654</v>
          </cell>
          <cell r="B10" t="str">
            <v>DJOMOU TCHAPDA</v>
          </cell>
          <cell r="C10">
            <v>343000</v>
          </cell>
          <cell r="F10">
            <v>343000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59000</v>
          </cell>
          <cell r="F11">
            <v>174000</v>
          </cell>
        </row>
        <row r="12">
          <cell r="A12" t="str">
            <v>AS201608</v>
          </cell>
          <cell r="B12" t="str">
            <v>DJUOMBESSY ANTOINE</v>
          </cell>
          <cell r="C12">
            <v>522000</v>
          </cell>
          <cell r="F12">
            <v>522000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452000</v>
          </cell>
          <cell r="D16">
            <v>136500</v>
          </cell>
          <cell r="F16">
            <v>588500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355000</v>
          </cell>
          <cell r="F18">
            <v>355000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417000</v>
          </cell>
          <cell r="F20">
            <v>417000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400000</v>
          </cell>
          <cell r="D24">
            <v>17000</v>
          </cell>
          <cell r="F24">
            <v>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158500</v>
          </cell>
          <cell r="F26">
            <v>158500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40000</v>
          </cell>
          <cell r="F33">
            <v>40000</v>
          </cell>
        </row>
        <row r="34">
          <cell r="A34" t="str">
            <v>AS201658</v>
          </cell>
          <cell r="B34" t="str">
            <v>YANTCHOU GERVAIS</v>
          </cell>
          <cell r="C34">
            <v>80000</v>
          </cell>
          <cell r="F34">
            <v>80000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880000</v>
          </cell>
          <cell r="F36">
            <v>880000</v>
          </cell>
        </row>
        <row r="38">
          <cell r="B38" t="str">
            <v>TOTAUX</v>
          </cell>
          <cell r="C38">
            <v>5670000</v>
          </cell>
          <cell r="D38">
            <v>526000</v>
          </cell>
          <cell r="E38">
            <v>0</v>
          </cell>
          <cell r="F38">
            <v>6196000</v>
          </cell>
          <cell r="G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C7">
            <v>40000</v>
          </cell>
          <cell r="F7">
            <v>40000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342000</v>
          </cell>
          <cell r="F9">
            <v>342000</v>
          </cell>
        </row>
        <row r="10">
          <cell r="A10" t="str">
            <v>AS201654</v>
          </cell>
          <cell r="B10" t="str">
            <v>DJOMOU TCHAPDA</v>
          </cell>
          <cell r="C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F11">
            <v>115000</v>
          </cell>
        </row>
        <row r="12">
          <cell r="A12" t="str">
            <v>AS201608</v>
          </cell>
          <cell r="B12" t="str">
            <v>DJUOMBESSY ANTOINE</v>
          </cell>
          <cell r="C12">
            <v>320000</v>
          </cell>
          <cell r="F12">
            <v>320000</v>
          </cell>
        </row>
        <row r="13">
          <cell r="A13" t="str">
            <v>AS201651</v>
          </cell>
          <cell r="B13" t="str">
            <v>DOMOU FABIEN</v>
          </cell>
          <cell r="C13">
            <v>40000</v>
          </cell>
          <cell r="F13">
            <v>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140000</v>
          </cell>
          <cell r="F17">
            <v>140000</v>
          </cell>
        </row>
        <row r="18">
          <cell r="A18" t="str">
            <v>AS201619</v>
          </cell>
          <cell r="B18" t="str">
            <v>KOUATCHO MESSACK</v>
          </cell>
          <cell r="C18">
            <v>367000</v>
          </cell>
          <cell r="F18">
            <v>367000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C20">
            <v>245500</v>
          </cell>
          <cell r="F20">
            <v>245500</v>
          </cell>
        </row>
        <row r="21">
          <cell r="A21" t="str">
            <v>AS201639</v>
          </cell>
          <cell r="B21" t="str">
            <v>NANGUEN MARTIN</v>
          </cell>
          <cell r="C21">
            <v>40000</v>
          </cell>
          <cell r="F21">
            <v>40000</v>
          </cell>
        </row>
        <row r="22">
          <cell r="A22" t="str">
            <v>AS201621</v>
          </cell>
          <cell r="B22" t="str">
            <v>NANKAM APPOLINAIRE</v>
          </cell>
          <cell r="C22">
            <v>115000</v>
          </cell>
          <cell r="F22">
            <v>115000</v>
          </cell>
        </row>
        <row r="23">
          <cell r="A23" t="str">
            <v>AS201622</v>
          </cell>
          <cell r="B23" t="str">
            <v>NDJOMO ETIENNE</v>
          </cell>
          <cell r="C23">
            <v>250000</v>
          </cell>
          <cell r="F23">
            <v>250000</v>
          </cell>
        </row>
        <row r="24">
          <cell r="A24" t="str">
            <v>AS201624</v>
          </cell>
          <cell r="B24" t="str">
            <v>NGONDIEP CLAUDE</v>
          </cell>
          <cell r="C24">
            <v>420000</v>
          </cell>
          <cell r="F24">
            <v>420000</v>
          </cell>
        </row>
        <row r="25">
          <cell r="A25" t="str">
            <v>AS201626</v>
          </cell>
          <cell r="B25" t="str">
            <v>NGUIEMEGNI MATHIEU BLAISE</v>
          </cell>
          <cell r="C25">
            <v>500000</v>
          </cell>
          <cell r="F25">
            <v>500000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102000</v>
          </cell>
          <cell r="F26">
            <v>102000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171000</v>
          </cell>
          <cell r="F31">
            <v>171000</v>
          </cell>
        </row>
        <row r="32">
          <cell r="A32" t="str">
            <v>AS201641</v>
          </cell>
          <cell r="B32" t="str">
            <v>TCHOUAMOU MATHIEU</v>
          </cell>
          <cell r="C32">
            <v>115000</v>
          </cell>
          <cell r="F32">
            <v>115000</v>
          </cell>
        </row>
        <row r="33">
          <cell r="A33" t="str">
            <v>AS201643</v>
          </cell>
          <cell r="B33" t="str">
            <v>TCHOUTOU NANA CLAUDE</v>
          </cell>
          <cell r="C33">
            <v>120000</v>
          </cell>
          <cell r="F33">
            <v>120000</v>
          </cell>
        </row>
        <row r="34">
          <cell r="A34" t="str">
            <v>AS201658</v>
          </cell>
          <cell r="B34" t="str">
            <v>YANTCHOU GERVAIS</v>
          </cell>
          <cell r="C34">
            <v>70000</v>
          </cell>
          <cell r="F34">
            <v>70000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593000</v>
          </cell>
          <cell r="F36">
            <v>593000</v>
          </cell>
        </row>
        <row r="38">
          <cell r="B38" t="str">
            <v>TOTAUX</v>
          </cell>
          <cell r="C38">
            <v>4923500</v>
          </cell>
          <cell r="D38">
            <v>142000</v>
          </cell>
          <cell r="E38">
            <v>0</v>
          </cell>
          <cell r="F38">
            <v>5065500</v>
          </cell>
          <cell r="G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175000</v>
          </cell>
          <cell r="F6">
            <v>175000</v>
          </cell>
        </row>
        <row r="7">
          <cell r="A7" t="str">
            <v>AS201601</v>
          </cell>
          <cell r="B7" t="str">
            <v>BAKOP ACHILLE</v>
          </cell>
          <cell r="D7">
            <v>669000</v>
          </cell>
          <cell r="F7">
            <v>669000</v>
          </cell>
        </row>
        <row r="8">
          <cell r="A8" t="str">
            <v>AS201602</v>
          </cell>
          <cell r="B8" t="str">
            <v>BOUTCHOUANG WILLIAM</v>
          </cell>
          <cell r="C8">
            <v>115000</v>
          </cell>
          <cell r="F8">
            <v>115000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386000</v>
          </cell>
          <cell r="D9">
            <v>1000000</v>
          </cell>
          <cell r="F9">
            <v>1386000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40000</v>
          </cell>
          <cell r="F10">
            <v>40000</v>
          </cell>
        </row>
        <row r="11">
          <cell r="A11" t="str">
            <v>AS201605</v>
          </cell>
          <cell r="B11" t="str">
            <v>DJOUKWE NANGUEN GUY BLAISE</v>
          </cell>
          <cell r="C11">
            <v>115000</v>
          </cell>
          <cell r="D11">
            <v>1000000</v>
          </cell>
          <cell r="F11">
            <v>1115000</v>
          </cell>
        </row>
        <row r="12">
          <cell r="A12" t="str">
            <v>AS201608</v>
          </cell>
          <cell r="B12" t="str">
            <v>DJUOMBESSY ANTOINE</v>
          </cell>
          <cell r="C12">
            <v>1040000</v>
          </cell>
          <cell r="D12">
            <v>51000</v>
          </cell>
          <cell r="F12">
            <v>1091000</v>
          </cell>
        </row>
        <row r="13">
          <cell r="A13" t="str">
            <v>AS201651</v>
          </cell>
          <cell r="B13" t="str">
            <v>DOMOU FABIEN</v>
          </cell>
          <cell r="C13">
            <v>1040000</v>
          </cell>
          <cell r="F13">
            <v>1040000</v>
          </cell>
        </row>
        <row r="14">
          <cell r="A14" t="str">
            <v>AS201609</v>
          </cell>
          <cell r="B14" t="str">
            <v>DONHOU DAVID</v>
          </cell>
          <cell r="C14">
            <v>40000</v>
          </cell>
          <cell r="F14">
            <v>40000</v>
          </cell>
        </row>
        <row r="15">
          <cell r="A15" t="str">
            <v>AS201611</v>
          </cell>
          <cell r="B15" t="str">
            <v>HENGUE PAUL OMER</v>
          </cell>
          <cell r="C15">
            <v>115000</v>
          </cell>
          <cell r="F15">
            <v>115000</v>
          </cell>
        </row>
        <row r="16">
          <cell r="A16" t="str">
            <v>AS201613</v>
          </cell>
          <cell r="B16" t="str">
            <v>HOTCHO BENJAMIN</v>
          </cell>
          <cell r="C16">
            <v>250000</v>
          </cell>
          <cell r="F16">
            <v>250000</v>
          </cell>
        </row>
        <row r="17">
          <cell r="A17" t="str">
            <v>AS201617</v>
          </cell>
          <cell r="B17" t="str">
            <v>KOUAMOU MOISE</v>
          </cell>
          <cell r="C17">
            <v>1140000</v>
          </cell>
          <cell r="F17">
            <v>1140000</v>
          </cell>
        </row>
        <row r="18">
          <cell r="A18" t="str">
            <v>AS201619</v>
          </cell>
          <cell r="B18" t="str">
            <v>KOUATCHO MESSACK</v>
          </cell>
          <cell r="C18">
            <v>1000000</v>
          </cell>
          <cell r="D18">
            <v>447500</v>
          </cell>
          <cell r="F18">
            <v>1447500</v>
          </cell>
        </row>
        <row r="19">
          <cell r="A19" t="str">
            <v>AS201620</v>
          </cell>
          <cell r="B19" t="str">
            <v>LOWE JEAN</v>
          </cell>
          <cell r="C19">
            <v>40000</v>
          </cell>
          <cell r="F19">
            <v>40000</v>
          </cell>
        </row>
        <row r="20">
          <cell r="A20" t="str">
            <v>AS201649</v>
          </cell>
          <cell r="B20" t="str">
            <v>MBOGNING TUGMA GUY</v>
          </cell>
          <cell r="D20">
            <v>1529000</v>
          </cell>
          <cell r="F20">
            <v>1529000</v>
          </cell>
        </row>
        <row r="21">
          <cell r="A21" t="str">
            <v>AS201639</v>
          </cell>
          <cell r="B21" t="str">
            <v>NANGUEN MARTIN</v>
          </cell>
          <cell r="C21">
            <v>540000</v>
          </cell>
          <cell r="F21">
            <v>540000</v>
          </cell>
        </row>
        <row r="22">
          <cell r="A22" t="str">
            <v>AS201621</v>
          </cell>
          <cell r="B22" t="str">
            <v>NANKAM APPOLINAIRE</v>
          </cell>
          <cell r="C22">
            <v>222500</v>
          </cell>
          <cell r="F22">
            <v>222500</v>
          </cell>
        </row>
        <row r="23">
          <cell r="A23" t="str">
            <v>AS201622</v>
          </cell>
          <cell r="B23" t="str">
            <v>NDJOMO ETIENNE</v>
          </cell>
          <cell r="C23">
            <v>850000</v>
          </cell>
          <cell r="F23">
            <v>850000</v>
          </cell>
        </row>
        <row r="24">
          <cell r="A24" t="str">
            <v>AS201624</v>
          </cell>
          <cell r="B24" t="str">
            <v>NGONDIEP CLAUDE</v>
          </cell>
          <cell r="C24">
            <v>1215000</v>
          </cell>
          <cell r="D24">
            <v>202000</v>
          </cell>
          <cell r="F24">
            <v>1417000</v>
          </cell>
        </row>
        <row r="25">
          <cell r="A25" t="str">
            <v>AS201626</v>
          </cell>
          <cell r="B25" t="str">
            <v>NGUIEMEGNI MATHIEU BLAISE</v>
          </cell>
          <cell r="C25">
            <v>600000</v>
          </cell>
          <cell r="D25">
            <v>1000000</v>
          </cell>
          <cell r="F25">
            <v>1600000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1040000</v>
          </cell>
          <cell r="F26">
            <v>1040000</v>
          </cell>
        </row>
        <row r="27">
          <cell r="A27" t="str">
            <v>AS201656</v>
          </cell>
          <cell r="B27" t="str">
            <v>NOUBE ETIENNE</v>
          </cell>
          <cell r="C27">
            <v>50000</v>
          </cell>
          <cell r="F27">
            <v>50000</v>
          </cell>
        </row>
        <row r="28">
          <cell r="A28" t="str">
            <v>AS201633</v>
          </cell>
          <cell r="B28" t="str">
            <v>PATEGO NJOSSU GUSTAVE</v>
          </cell>
          <cell r="C28">
            <v>115000</v>
          </cell>
          <cell r="F28">
            <v>115000</v>
          </cell>
        </row>
        <row r="29">
          <cell r="A29" t="str">
            <v>AS201657</v>
          </cell>
          <cell r="B29" t="str">
            <v>SEUMO POLYCARPE</v>
          </cell>
          <cell r="C29">
            <v>40000</v>
          </cell>
          <cell r="F29">
            <v>40000</v>
          </cell>
        </row>
        <row r="30">
          <cell r="A30" t="str">
            <v>AS201653</v>
          </cell>
          <cell r="B30" t="str">
            <v>SIME BRICE</v>
          </cell>
          <cell r="C30">
            <v>115000</v>
          </cell>
          <cell r="F30">
            <v>115000</v>
          </cell>
        </row>
        <row r="31">
          <cell r="A31" t="str">
            <v>AS201638</v>
          </cell>
          <cell r="B31" t="str">
            <v>SIMO PIERRE</v>
          </cell>
          <cell r="C31">
            <v>1171000</v>
          </cell>
          <cell r="F31">
            <v>1171000</v>
          </cell>
        </row>
        <row r="32">
          <cell r="A32" t="str">
            <v>AS201641</v>
          </cell>
          <cell r="B32" t="str">
            <v>TCHOUAMOU MATHIEU</v>
          </cell>
          <cell r="C32">
            <v>416000</v>
          </cell>
          <cell r="F32">
            <v>416000</v>
          </cell>
        </row>
        <row r="33">
          <cell r="A33" t="str">
            <v>AS201643</v>
          </cell>
          <cell r="B33" t="str">
            <v>TCHOUTOU NANA CLAUDE</v>
          </cell>
          <cell r="C33">
            <v>90000</v>
          </cell>
          <cell r="F33">
            <v>90000</v>
          </cell>
        </row>
        <row r="34">
          <cell r="A34" t="str">
            <v>AS201658</v>
          </cell>
          <cell r="B34" t="str">
            <v>YANTCHOU GERVAIS</v>
          </cell>
          <cell r="C34">
            <v>40000</v>
          </cell>
          <cell r="F34">
            <v>40000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40000</v>
          </cell>
          <cell r="F35">
            <v>40000</v>
          </cell>
        </row>
        <row r="36">
          <cell r="A36" t="str">
            <v>AS201647</v>
          </cell>
          <cell r="B36" t="str">
            <v>YOUMBI EMMANUEL</v>
          </cell>
          <cell r="C36">
            <v>290000</v>
          </cell>
          <cell r="F36">
            <v>290000</v>
          </cell>
        </row>
        <row r="38">
          <cell r="B38" t="str">
            <v>TOTAUX</v>
          </cell>
          <cell r="C38">
            <v>11035500</v>
          </cell>
          <cell r="D38">
            <v>7018500</v>
          </cell>
          <cell r="E38">
            <v>0</v>
          </cell>
          <cell r="F38">
            <v>18054000</v>
          </cell>
          <cell r="G38">
            <v>0</v>
          </cell>
        </row>
      </sheetData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SYNTHESE"/>
    </sheetNames>
    <sheetDataSet>
      <sheetData sheetId="0"/>
      <sheetData sheetId="1">
        <row r="7">
          <cell r="A7" t="str">
            <v>AS201604</v>
          </cell>
        </row>
      </sheetData>
      <sheetData sheetId="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52000</v>
          </cell>
          <cell r="K7">
            <v>52000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BANQUE</v>
          </cell>
          <cell r="N9">
            <v>0</v>
          </cell>
          <cell r="O9">
            <v>1172000</v>
          </cell>
          <cell r="P9">
            <v>28000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BANQUE</v>
          </cell>
          <cell r="N10">
            <v>0</v>
          </cell>
          <cell r="O10">
            <v>1172000</v>
          </cell>
          <cell r="P10">
            <v>28000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208000</v>
          </cell>
          <cell r="K14">
            <v>208000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78000</v>
          </cell>
          <cell r="K15">
            <v>78000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ESPECES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338000</v>
          </cell>
          <cell r="K20">
            <v>338000</v>
          </cell>
          <cell r="N20">
            <v>0</v>
          </cell>
          <cell r="O20">
            <v>2344000</v>
          </cell>
          <cell r="P20">
            <v>56000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3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>
            <v>0</v>
          </cell>
          <cell r="N7">
            <v>0</v>
          </cell>
          <cell r="O7">
            <v>1190000</v>
          </cell>
          <cell r="P7">
            <v>10000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>
            <v>0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164000</v>
          </cell>
          <cell r="G9">
            <v>1000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200000</v>
          </cell>
          <cell r="G10">
            <v>2000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200000</v>
          </cell>
          <cell r="G11">
            <v>2000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ESPECES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964000</v>
          </cell>
          <cell r="G20">
            <v>9000</v>
          </cell>
          <cell r="I20">
            <v>0</v>
          </cell>
          <cell r="J20">
            <v>0</v>
          </cell>
          <cell r="K20">
            <v>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4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165000</v>
          </cell>
          <cell r="K9">
            <v>165000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202000</v>
          </cell>
          <cell r="K10">
            <v>202000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202000</v>
          </cell>
          <cell r="K11">
            <v>202000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93000</v>
          </cell>
          <cell r="G15">
            <v>6000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BANQUE</v>
          </cell>
          <cell r="N15">
            <v>0</v>
          </cell>
          <cell r="O15">
            <v>1180000</v>
          </cell>
          <cell r="P15">
            <v>20000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93000</v>
          </cell>
          <cell r="G20">
            <v>6000</v>
          </cell>
          <cell r="I20">
            <v>0</v>
          </cell>
          <cell r="J20">
            <v>973000</v>
          </cell>
          <cell r="K20">
            <v>973000</v>
          </cell>
          <cell r="N20">
            <v>0</v>
          </cell>
          <cell r="O20">
            <v>1180000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5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50000</v>
          </cell>
          <cell r="G7">
            <v>1000</v>
          </cell>
          <cell r="H7" t="str">
            <v>BANQUE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99000</v>
          </cell>
          <cell r="K15">
            <v>99000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BANQUE</v>
          </cell>
          <cell r="N16">
            <v>0</v>
          </cell>
          <cell r="O16">
            <v>1190000</v>
          </cell>
          <cell r="P16">
            <v>10000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450000</v>
          </cell>
          <cell r="G20">
            <v>5000</v>
          </cell>
          <cell r="I20">
            <v>0</v>
          </cell>
          <cell r="J20">
            <v>99000</v>
          </cell>
          <cell r="K20">
            <v>99000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6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184000</v>
          </cell>
          <cell r="G7">
            <v>1500</v>
          </cell>
          <cell r="H7" t="str">
            <v>BANQUE</v>
          </cell>
          <cell r="I7">
            <v>0</v>
          </cell>
          <cell r="J7">
            <v>51000</v>
          </cell>
          <cell r="K7">
            <v>51000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0</v>
          </cell>
          <cell r="K12">
            <v>0</v>
          </cell>
          <cell r="L12" t="str">
            <v>ECHEC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200000</v>
          </cell>
          <cell r="G13">
            <v>2000</v>
          </cell>
          <cell r="H13" t="str">
            <v>BANQUE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BANQUE</v>
          </cell>
          <cell r="N17">
            <v>0</v>
          </cell>
          <cell r="O17">
            <v>1190000</v>
          </cell>
          <cell r="P17">
            <v>10000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584000</v>
          </cell>
          <cell r="G20">
            <v>5500</v>
          </cell>
          <cell r="I20">
            <v>0</v>
          </cell>
          <cell r="J20">
            <v>455000</v>
          </cell>
          <cell r="K20">
            <v>455000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7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185500</v>
          </cell>
          <cell r="K7">
            <v>185500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100000</v>
          </cell>
          <cell r="G10">
            <v>1000</v>
          </cell>
          <cell r="H10" t="str">
            <v>BANQUE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289500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202000</v>
          </cell>
          <cell r="K13">
            <v>202000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100000</v>
          </cell>
          <cell r="G14">
            <v>1000</v>
          </cell>
          <cell r="H14" t="str">
            <v>BANQUE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100000</v>
          </cell>
          <cell r="G15">
            <v>1000</v>
          </cell>
          <cell r="H15" t="str">
            <v>BANQUE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789500</v>
          </cell>
          <cell r="G20">
            <v>7000</v>
          </cell>
          <cell r="I20">
            <v>0</v>
          </cell>
          <cell r="J20">
            <v>589500</v>
          </cell>
          <cell r="K20">
            <v>589500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8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300000</v>
          </cell>
          <cell r="G7">
            <v>3000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BANQUE</v>
          </cell>
          <cell r="N8">
            <v>0</v>
          </cell>
          <cell r="O8">
            <v>1190000</v>
          </cell>
          <cell r="P8">
            <v>10000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101000</v>
          </cell>
          <cell r="K10">
            <v>101000</v>
          </cell>
          <cell r="L10" t="str">
            <v>BANQUE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100000</v>
          </cell>
          <cell r="G12">
            <v>1000</v>
          </cell>
          <cell r="H12" t="str">
            <v>BANQUE</v>
          </cell>
          <cell r="I12">
            <v>0</v>
          </cell>
          <cell r="J12">
            <v>291500</v>
          </cell>
          <cell r="K12">
            <v>291500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BANQUE</v>
          </cell>
          <cell r="N13">
            <v>0</v>
          </cell>
          <cell r="O13">
            <v>1190000</v>
          </cell>
          <cell r="P13">
            <v>10000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H14" t="str">
            <v>ECHEC</v>
          </cell>
          <cell r="I14">
            <v>0</v>
          </cell>
          <cell r="J14">
            <v>101000</v>
          </cell>
          <cell r="K14">
            <v>101000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101000</v>
          </cell>
          <cell r="K15">
            <v>101000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400000</v>
          </cell>
          <cell r="G20">
            <v>4000</v>
          </cell>
          <cell r="I20">
            <v>0</v>
          </cell>
          <cell r="J20">
            <v>796500</v>
          </cell>
          <cell r="K20">
            <v>796500</v>
          </cell>
          <cell r="N20">
            <v>0</v>
          </cell>
          <cell r="O20">
            <v>2380000</v>
          </cell>
          <cell r="P20">
            <v>20000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9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303000</v>
          </cell>
          <cell r="K7">
            <v>303000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0</v>
          </cell>
          <cell r="K8">
            <v>0</v>
          </cell>
          <cell r="L8" t="str">
            <v>ECHEC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 t="str">
            <v>ECHEC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100000</v>
          </cell>
          <cell r="G11">
            <v>1000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101000</v>
          </cell>
          <cell r="K12">
            <v>101000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100000</v>
          </cell>
          <cell r="G13">
            <v>1000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>ECHEC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ECHEC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1430000</v>
          </cell>
          <cell r="G20">
            <v>15000</v>
          </cell>
          <cell r="I20">
            <v>0</v>
          </cell>
          <cell r="J20">
            <v>404000</v>
          </cell>
          <cell r="K20">
            <v>404000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0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200000</v>
          </cell>
          <cell r="G7">
            <v>2000</v>
          </cell>
          <cell r="H7" t="str">
            <v>BANQUE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200000</v>
          </cell>
          <cell r="G8">
            <v>2000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200000</v>
          </cell>
          <cell r="G9">
            <v>2000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101000</v>
          </cell>
          <cell r="K11">
            <v>101000</v>
          </cell>
          <cell r="L11" t="str">
            <v>BANQUE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200000</v>
          </cell>
          <cell r="G12">
            <v>2000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101000</v>
          </cell>
          <cell r="K13">
            <v>101000</v>
          </cell>
          <cell r="L13" t="str">
            <v>BANQUE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 t="str">
            <v>BANQUE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1200000</v>
          </cell>
          <cell r="G20">
            <v>12000</v>
          </cell>
          <cell r="I20">
            <v>0</v>
          </cell>
          <cell r="J20">
            <v>1445000</v>
          </cell>
          <cell r="K20">
            <v>1445000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1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 t="str">
            <v>ECHEC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202000</v>
          </cell>
          <cell r="K7">
            <v>202000</v>
          </cell>
          <cell r="L7" t="str">
            <v>BANQUE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202000</v>
          </cell>
          <cell r="G8">
            <v>4000</v>
          </cell>
          <cell r="H8" t="str">
            <v>BANQUE</v>
          </cell>
          <cell r="I8">
            <v>0</v>
          </cell>
          <cell r="J8">
            <v>202000</v>
          </cell>
          <cell r="K8">
            <v>202000</v>
          </cell>
          <cell r="L8" t="str">
            <v>BANQUE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202000</v>
          </cell>
          <cell r="G9">
            <v>4000</v>
          </cell>
          <cell r="H9" t="str">
            <v>BANQUE</v>
          </cell>
          <cell r="I9">
            <v>0</v>
          </cell>
          <cell r="J9">
            <v>202000</v>
          </cell>
          <cell r="K9">
            <v>202000</v>
          </cell>
          <cell r="L9" t="str">
            <v>BANQUE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BANQUE</v>
          </cell>
          <cell r="F12">
            <v>302000</v>
          </cell>
          <cell r="G12">
            <v>5000</v>
          </cell>
          <cell r="H12" t="str">
            <v>BANQUE</v>
          </cell>
          <cell r="I12">
            <v>0</v>
          </cell>
          <cell r="J12">
            <v>202000</v>
          </cell>
          <cell r="K12">
            <v>202000</v>
          </cell>
          <cell r="L12" t="str">
            <v>BANQUE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200000</v>
          </cell>
          <cell r="G14">
            <v>2000</v>
          </cell>
          <cell r="H14" t="str">
            <v>BANQUE</v>
          </cell>
          <cell r="I14">
            <v>0</v>
          </cell>
          <cell r="J14">
            <v>202000</v>
          </cell>
          <cell r="K14">
            <v>202000</v>
          </cell>
          <cell r="L14" t="str">
            <v>BANQUE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200000</v>
          </cell>
          <cell r="G15">
            <v>2000</v>
          </cell>
          <cell r="H15" t="str">
            <v>BANQUE</v>
          </cell>
          <cell r="I15">
            <v>0</v>
          </cell>
          <cell r="J15">
            <v>202000</v>
          </cell>
          <cell r="K15">
            <v>202000</v>
          </cell>
          <cell r="L15" t="str">
            <v>BANQUE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30000</v>
          </cell>
          <cell r="G16">
            <v>1000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 t="str">
            <v>ECHEC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1136000</v>
          </cell>
          <cell r="G20">
            <v>18000</v>
          </cell>
          <cell r="I20">
            <v>0</v>
          </cell>
          <cell r="J20">
            <v>1212000</v>
          </cell>
          <cell r="K20">
            <v>1212000</v>
          </cell>
          <cell r="N20">
            <v>0</v>
          </cell>
          <cell r="O20">
            <v>0</v>
          </cell>
          <cell r="P20">
            <v>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2">
        <row r="6">
          <cell r="A6" t="str">
            <v>AS201648</v>
          </cell>
          <cell r="B6">
            <v>1</v>
          </cell>
          <cell r="C6" t="str">
            <v>ASELBY</v>
          </cell>
          <cell r="D6">
            <v>100000</v>
          </cell>
          <cell r="E6" t="str">
            <v>BANQUE</v>
          </cell>
          <cell r="F6">
            <v>0</v>
          </cell>
          <cell r="G6">
            <v>0</v>
          </cell>
          <cell r="H6" t="str">
            <v>ECHEC</v>
          </cell>
          <cell r="I6">
            <v>0</v>
          </cell>
          <cell r="J6">
            <v>0</v>
          </cell>
          <cell r="K6">
            <v>0</v>
          </cell>
          <cell r="L6" t="str">
            <v>ECHEC</v>
          </cell>
          <cell r="M6">
            <v>0</v>
          </cell>
          <cell r="N6">
            <v>0</v>
          </cell>
          <cell r="O6">
            <v>1190000</v>
          </cell>
          <cell r="P6">
            <v>10000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100000</v>
          </cell>
          <cell r="E7" t="str">
            <v>BANQUE</v>
          </cell>
          <cell r="F7">
            <v>0</v>
          </cell>
          <cell r="G7">
            <v>0</v>
          </cell>
          <cell r="H7" t="str">
            <v>ECHEC</v>
          </cell>
          <cell r="I7">
            <v>0</v>
          </cell>
          <cell r="J7">
            <v>0</v>
          </cell>
          <cell r="K7">
            <v>0</v>
          </cell>
          <cell r="L7" t="str">
            <v>ECHEC</v>
          </cell>
          <cell r="M7" t="str">
            <v>ECHEC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AS201608</v>
          </cell>
          <cell r="B8">
            <v>2</v>
          </cell>
          <cell r="C8" t="str">
            <v>DJUOMBESSY ANTOINE</v>
          </cell>
          <cell r="D8">
            <v>200000</v>
          </cell>
          <cell r="E8" t="str">
            <v>BANQUE</v>
          </cell>
          <cell r="F8">
            <v>0</v>
          </cell>
          <cell r="G8">
            <v>0</v>
          </cell>
          <cell r="H8" t="str">
            <v>ECHEC</v>
          </cell>
          <cell r="I8">
            <v>0</v>
          </cell>
          <cell r="J8">
            <v>206000</v>
          </cell>
          <cell r="K8">
            <v>206000</v>
          </cell>
          <cell r="L8">
            <v>0</v>
          </cell>
          <cell r="M8" t="str">
            <v>ECHEC</v>
          </cell>
          <cell r="N8">
            <v>0</v>
          </cell>
          <cell r="O8">
            <v>0</v>
          </cell>
          <cell r="P8">
            <v>0</v>
          </cell>
        </row>
        <row r="9">
          <cell r="A9" t="str">
            <v>AS201613</v>
          </cell>
          <cell r="B9">
            <v>1</v>
          </cell>
          <cell r="C9" t="str">
            <v>HOTCHO BENJAMIN</v>
          </cell>
          <cell r="D9">
            <v>100000</v>
          </cell>
          <cell r="E9" t="str">
            <v>BANQUE</v>
          </cell>
          <cell r="F9">
            <v>0</v>
          </cell>
          <cell r="G9">
            <v>0</v>
          </cell>
          <cell r="H9" t="str">
            <v>ECHEC</v>
          </cell>
          <cell r="I9">
            <v>0</v>
          </cell>
          <cell r="J9">
            <v>206000</v>
          </cell>
          <cell r="K9">
            <v>206000</v>
          </cell>
          <cell r="L9">
            <v>0</v>
          </cell>
          <cell r="M9" t="str">
            <v>ECHEC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AS201617</v>
          </cell>
          <cell r="B10">
            <v>1</v>
          </cell>
          <cell r="C10" t="str">
            <v>KOUAMOU MOISE</v>
          </cell>
          <cell r="D10">
            <v>100000</v>
          </cell>
          <cell r="E10" t="str">
            <v>BANQUE</v>
          </cell>
          <cell r="F10">
            <v>0</v>
          </cell>
          <cell r="G10">
            <v>0</v>
          </cell>
          <cell r="H10" t="str">
            <v>ECHEC</v>
          </cell>
          <cell r="I10">
            <v>0</v>
          </cell>
          <cell r="J10">
            <v>0</v>
          </cell>
          <cell r="K10">
            <v>0</v>
          </cell>
          <cell r="L10" t="str">
            <v>ECHEC</v>
          </cell>
          <cell r="M10" t="str">
            <v>ECHEC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AS201619</v>
          </cell>
          <cell r="B11">
            <v>1</v>
          </cell>
          <cell r="C11" t="str">
            <v>KOUATCHO MESSACK</v>
          </cell>
          <cell r="D11">
            <v>100000</v>
          </cell>
          <cell r="E11" t="str">
            <v>BANQUE</v>
          </cell>
          <cell r="F11">
            <v>0</v>
          </cell>
          <cell r="G11">
            <v>0</v>
          </cell>
          <cell r="H11" t="str">
            <v>ECHEC</v>
          </cell>
          <cell r="I11">
            <v>0</v>
          </cell>
          <cell r="J11">
            <v>0</v>
          </cell>
          <cell r="K11">
            <v>0</v>
          </cell>
          <cell r="L11" t="str">
            <v>ECHEC</v>
          </cell>
          <cell r="M11" t="str">
            <v>ECHEC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AS201649</v>
          </cell>
          <cell r="B12">
            <v>1</v>
          </cell>
          <cell r="C12" t="str">
            <v>MBOGNING TUGMA GUY</v>
          </cell>
          <cell r="D12">
            <v>100000</v>
          </cell>
          <cell r="E12" t="str">
            <v>ESPECES</v>
          </cell>
          <cell r="F12">
            <v>0</v>
          </cell>
          <cell r="G12">
            <v>0</v>
          </cell>
          <cell r="H12" t="str">
            <v>ECHEC</v>
          </cell>
          <cell r="I12">
            <v>0</v>
          </cell>
          <cell r="J12">
            <v>307000</v>
          </cell>
          <cell r="K12">
            <v>307000</v>
          </cell>
          <cell r="L12">
            <v>0</v>
          </cell>
          <cell r="M12" t="str">
            <v>ECHEC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AS201622</v>
          </cell>
          <cell r="B13">
            <v>2</v>
          </cell>
          <cell r="C13" t="str">
            <v>NDJOMO ETIENNE</v>
          </cell>
          <cell r="D13">
            <v>200000</v>
          </cell>
          <cell r="E13" t="str">
            <v>BANQUE</v>
          </cell>
          <cell r="F13">
            <v>0</v>
          </cell>
          <cell r="G13">
            <v>0</v>
          </cell>
          <cell r="H13" t="str">
            <v>ECHEC</v>
          </cell>
          <cell r="I13">
            <v>0</v>
          </cell>
          <cell r="J13">
            <v>0</v>
          </cell>
          <cell r="K13">
            <v>0</v>
          </cell>
          <cell r="L13" t="str">
            <v>ECHEC</v>
          </cell>
          <cell r="M13" t="str">
            <v>ECHEC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AS201624</v>
          </cell>
          <cell r="B14">
            <v>1</v>
          </cell>
          <cell r="C14" t="str">
            <v>NGONDIEP CLAUDE</v>
          </cell>
          <cell r="D14">
            <v>100000</v>
          </cell>
          <cell r="E14" t="str">
            <v>BANQUE</v>
          </cell>
          <cell r="F14">
            <v>0</v>
          </cell>
          <cell r="G14">
            <v>0</v>
          </cell>
          <cell r="H14" t="str">
            <v>ECHEC</v>
          </cell>
          <cell r="I14">
            <v>0</v>
          </cell>
          <cell r="J14">
            <v>202000</v>
          </cell>
          <cell r="K14">
            <v>202000</v>
          </cell>
          <cell r="L14">
            <v>0</v>
          </cell>
          <cell r="M14" t="str">
            <v>ECHEC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AS201626</v>
          </cell>
          <cell r="B15">
            <v>1</v>
          </cell>
          <cell r="C15" t="str">
            <v>NGUIEMEGNI MATHIEU BLAISE</v>
          </cell>
          <cell r="D15">
            <v>100000</v>
          </cell>
          <cell r="E15" t="str">
            <v>BANQUE</v>
          </cell>
          <cell r="F15">
            <v>0</v>
          </cell>
          <cell r="G15">
            <v>0</v>
          </cell>
          <cell r="H15" t="str">
            <v>ECHEC</v>
          </cell>
          <cell r="I15">
            <v>0</v>
          </cell>
          <cell r="J15">
            <v>202000</v>
          </cell>
          <cell r="K15">
            <v>202000</v>
          </cell>
          <cell r="L15">
            <v>0</v>
          </cell>
          <cell r="M15" t="str">
            <v>ECHEC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AS201638</v>
          </cell>
          <cell r="B16">
            <v>1</v>
          </cell>
          <cell r="C16" t="str">
            <v>SIMO PIERRE</v>
          </cell>
          <cell r="D16">
            <v>100000</v>
          </cell>
          <cell r="E16" t="str">
            <v>BANQUE</v>
          </cell>
          <cell r="F16">
            <v>0</v>
          </cell>
          <cell r="G16">
            <v>0</v>
          </cell>
          <cell r="H16" t="str">
            <v>ECHEC</v>
          </cell>
          <cell r="I16">
            <v>0</v>
          </cell>
          <cell r="J16">
            <v>31000</v>
          </cell>
          <cell r="K16">
            <v>31000</v>
          </cell>
          <cell r="L16">
            <v>0</v>
          </cell>
          <cell r="M16" t="str">
            <v>ECHEC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AS201647</v>
          </cell>
          <cell r="B17">
            <v>1</v>
          </cell>
          <cell r="C17" t="str">
            <v>YOUMBI EMMANUEL</v>
          </cell>
          <cell r="D17">
            <v>100000</v>
          </cell>
          <cell r="E17" t="str">
            <v>BANQUE</v>
          </cell>
          <cell r="F17">
            <v>0</v>
          </cell>
          <cell r="G17">
            <v>0</v>
          </cell>
          <cell r="H17" t="str">
            <v>ECHEC</v>
          </cell>
          <cell r="I17">
            <v>0</v>
          </cell>
          <cell r="J17">
            <v>0</v>
          </cell>
          <cell r="K17">
            <v>0</v>
          </cell>
          <cell r="L17" t="str">
            <v>ECHEC</v>
          </cell>
          <cell r="M17" t="str">
            <v>ECHEC</v>
          </cell>
          <cell r="N17">
            <v>0</v>
          </cell>
          <cell r="O17">
            <v>0</v>
          </cell>
          <cell r="P17">
            <v>0</v>
          </cell>
        </row>
        <row r="19">
          <cell r="A19" t="str">
            <v>TOTAL PART</v>
          </cell>
          <cell r="B19">
            <v>14</v>
          </cell>
        </row>
        <row r="20">
          <cell r="A20" t="str">
            <v>NBRE ADHERENT</v>
          </cell>
          <cell r="B20">
            <v>12</v>
          </cell>
          <cell r="D20">
            <v>1400000</v>
          </cell>
          <cell r="F20">
            <v>0</v>
          </cell>
          <cell r="G20">
            <v>0</v>
          </cell>
          <cell r="I20">
            <v>0</v>
          </cell>
          <cell r="J20">
            <v>1154000</v>
          </cell>
          <cell r="K20">
            <v>1154000</v>
          </cell>
          <cell r="N20">
            <v>0</v>
          </cell>
          <cell r="O20">
            <v>1190000</v>
          </cell>
          <cell r="P20">
            <v>10000</v>
          </cell>
        </row>
        <row r="21">
          <cell r="M21" t="str">
            <v>NBRE PART</v>
          </cell>
          <cell r="N21" t="str">
            <v>PART VENDUE</v>
          </cell>
        </row>
      </sheetData>
      <sheetData sheetId="13">
        <row r="6">
          <cell r="S6">
            <v>44678.571428571428</v>
          </cell>
        </row>
      </sheetData>
      <sheetData sheetId="1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3"/>
      <sheetName val="TONTFEV23"/>
      <sheetName val="TONTMARS23"/>
      <sheetName val="TONTAVRIL23"/>
      <sheetName val="TONTMAI23"/>
      <sheetName val="TONTJUIN23"/>
      <sheetName val="TONTJUIL23"/>
      <sheetName val="TONTAOUT23"/>
      <sheetName val="TONTSEPT23"/>
      <sheetName val="TONTOCT23"/>
      <sheetName val="TONTNOV23"/>
      <sheetName val="TONTDEC23"/>
      <sheetName val="TONTRESUME23"/>
      <sheetName val="DEFAILLANCETONTINE"/>
    </sheetNames>
    <sheetDataSet>
      <sheetData sheetId="0"/>
      <sheetData sheetId="1"/>
      <sheetData sheetId="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40000</v>
          </cell>
          <cell r="I9">
            <v>1000</v>
          </cell>
          <cell r="J9" t="str">
            <v>BANQUE</v>
          </cell>
          <cell r="K9">
            <v>0</v>
          </cell>
          <cell r="L9">
            <v>63000</v>
          </cell>
          <cell r="M9">
            <v>63000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62000</v>
          </cell>
          <cell r="M10">
            <v>62000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ESPECES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 t="str">
            <v>BANQUE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ESPECES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31500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26000</v>
          </cell>
          <cell r="M23">
            <v>26000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31000</v>
          </cell>
          <cell r="M24">
            <v>31000</v>
          </cell>
          <cell r="N24" t="str">
            <v>BANQUE</v>
          </cell>
          <cell r="O24" t="str">
            <v>BANQUE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40000</v>
          </cell>
          <cell r="I25">
            <v>1000</v>
          </cell>
          <cell r="J25" t="str">
            <v>BANQUE</v>
          </cell>
          <cell r="K25">
            <v>0</v>
          </cell>
          <cell r="L25">
            <v>62000</v>
          </cell>
          <cell r="M25">
            <v>62000</v>
          </cell>
          <cell r="N25" t="str">
            <v>ESPECES</v>
          </cell>
          <cell r="O25" t="str">
            <v>BANQUE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3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41000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41000</v>
          </cell>
          <cell r="M9">
            <v>41000</v>
          </cell>
          <cell r="N9" t="str">
            <v>BANQUE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45000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33000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32500</v>
          </cell>
          <cell r="M19">
            <v>32500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3000</v>
          </cell>
          <cell r="G23" t="str">
            <v>ESPECES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41000</v>
          </cell>
          <cell r="M25">
            <v>41000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34000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4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22500</v>
          </cell>
          <cell r="I8">
            <v>500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60000</v>
          </cell>
          <cell r="I9">
            <v>2000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42000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30000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43000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3000</v>
          </cell>
          <cell r="G33" t="str">
            <v>ESPECES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39000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5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23000</v>
          </cell>
          <cell r="M8">
            <v>23000</v>
          </cell>
          <cell r="N8" t="str">
            <v>BANQUE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62000</v>
          </cell>
          <cell r="M9">
            <v>62000</v>
          </cell>
          <cell r="N9" t="str">
            <v>ESPECES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29500</v>
          </cell>
          <cell r="I10">
            <v>1500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145000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43000</v>
          </cell>
          <cell r="F14">
            <v>3000</v>
          </cell>
          <cell r="G14" t="str">
            <v>ESPECES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55000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 t="str">
            <v>BANQUE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39000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 t="str">
            <v>BANQUE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35000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 t="str">
            <v>BANQUE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58000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440000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3000</v>
          </cell>
          <cell r="G32" t="str">
            <v>ESPECES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51000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6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30000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44000</v>
          </cell>
          <cell r="F10">
            <v>0</v>
          </cell>
          <cell r="G10" t="str">
            <v>BANQUE</v>
          </cell>
          <cell r="H10">
            <v>30000</v>
          </cell>
          <cell r="I10">
            <v>500</v>
          </cell>
          <cell r="J10" t="str">
            <v>BANQUE</v>
          </cell>
          <cell r="K10">
            <v>0</v>
          </cell>
          <cell r="L10">
            <v>31000</v>
          </cell>
          <cell r="M10">
            <v>31000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74500</v>
          </cell>
          <cell r="F11">
            <v>0</v>
          </cell>
          <cell r="G11" t="str">
            <v>BANQUE</v>
          </cell>
          <cell r="H11">
            <v>30000</v>
          </cell>
          <cell r="I11">
            <v>500</v>
          </cell>
          <cell r="J11" t="str">
            <v>BANQUE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60000</v>
          </cell>
          <cell r="I23">
            <v>1000</v>
          </cell>
          <cell r="J23" t="str">
            <v>BANQUE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45000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7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3000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30500</v>
          </cell>
          <cell r="M6">
            <v>30500</v>
          </cell>
          <cell r="N6" t="str">
            <v>BANQUE</v>
          </cell>
          <cell r="O6" t="str">
            <v>BANQUE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43000</v>
          </cell>
          <cell r="F8">
            <v>3000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43000</v>
          </cell>
          <cell r="F10">
            <v>3000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30500</v>
          </cell>
          <cell r="M10">
            <v>30500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56300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30500</v>
          </cell>
          <cell r="M11">
            <v>30500</v>
          </cell>
          <cell r="N11" t="str">
            <v>BANQUE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 t="str">
            <v>BANQUE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45000</v>
          </cell>
          <cell r="F23">
            <v>0</v>
          </cell>
          <cell r="G23" t="str">
            <v>BANQUE</v>
          </cell>
          <cell r="H23">
            <v>61000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 t="str">
            <v>BANQUE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8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43000</v>
          </cell>
          <cell r="F9">
            <v>3000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61500</v>
          </cell>
          <cell r="I10">
            <v>1000</v>
          </cell>
          <cell r="J10" t="str">
            <v>BANQUE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44000</v>
          </cell>
          <cell r="F19">
            <v>0</v>
          </cell>
          <cell r="G19" t="str">
            <v>BANQUE</v>
          </cell>
          <cell r="H19">
            <v>60000</v>
          </cell>
          <cell r="I19">
            <v>1000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 t="str">
            <v>BANQUE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46000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44000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61000</v>
          </cell>
          <cell r="M23">
            <v>61000</v>
          </cell>
          <cell r="N23" t="str">
            <v>BANQUE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49000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BANQUE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 t="str">
            <v>BANQUE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100000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9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38000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40500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62500</v>
          </cell>
          <cell r="M10">
            <v>62500</v>
          </cell>
          <cell r="N10" t="str">
            <v>BANQUE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39500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61000</v>
          </cell>
          <cell r="M19">
            <v>61000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 t="str">
            <v>BANQUE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190000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43000</v>
          </cell>
          <cell r="F25">
            <v>3000</v>
          </cell>
          <cell r="G25" t="str">
            <v>BANQUE</v>
          </cell>
          <cell r="H25">
            <v>17000</v>
          </cell>
          <cell r="I25">
            <v>500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BANQUE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177500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 t="str">
            <v>BANQUE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217500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 t="str">
            <v>BANQUE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0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27500</v>
          </cell>
          <cell r="I6">
            <v>500</v>
          </cell>
          <cell r="J6" t="str">
            <v>BANQUE</v>
          </cell>
          <cell r="K6">
            <v>0</v>
          </cell>
          <cell r="L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ESPECES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30000</v>
          </cell>
          <cell r="I19">
            <v>500</v>
          </cell>
          <cell r="J19" t="str">
            <v>BANQUE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60000</v>
          </cell>
          <cell r="I25">
            <v>1000</v>
          </cell>
          <cell r="J25" t="str">
            <v>BANQUE</v>
          </cell>
          <cell r="K25">
            <v>0</v>
          </cell>
          <cell r="L25">
            <v>17500</v>
          </cell>
          <cell r="M25">
            <v>17500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30000</v>
          </cell>
          <cell r="I30">
            <v>500</v>
          </cell>
          <cell r="J30" t="str">
            <v>BANQUE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307500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 t="str">
            <v>BANQUE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1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BANQUE</v>
          </cell>
          <cell r="H6">
            <v>28000</v>
          </cell>
          <cell r="I6">
            <v>1000</v>
          </cell>
          <cell r="J6" t="str">
            <v>BANQUE</v>
          </cell>
          <cell r="K6">
            <v>0</v>
          </cell>
          <cell r="L6">
            <v>28000</v>
          </cell>
          <cell r="M6">
            <v>28000</v>
          </cell>
          <cell r="N6" t="str">
            <v>BANQUE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40000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BANQUE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30000</v>
          </cell>
          <cell r="I17">
            <v>500</v>
          </cell>
          <cell r="J17" t="str">
            <v>BANQUE</v>
          </cell>
          <cell r="K17">
            <v>0</v>
          </cell>
          <cell r="L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30500</v>
          </cell>
          <cell r="M19">
            <v>30500</v>
          </cell>
          <cell r="N19" t="str">
            <v>BANQUE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43000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41000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61000</v>
          </cell>
          <cell r="M25">
            <v>61000</v>
          </cell>
          <cell r="N25" t="str">
            <v>ESPECES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40500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30500</v>
          </cell>
          <cell r="M30">
            <v>30500</v>
          </cell>
          <cell r="N30" t="str">
            <v>BANQUE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40000</v>
          </cell>
          <cell r="F32">
            <v>12000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70000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3000</v>
          </cell>
          <cell r="G34" t="str">
            <v>ESPECES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2">
        <row r="6">
          <cell r="A6" t="str">
            <v>AS201601</v>
          </cell>
          <cell r="B6">
            <v>1</v>
          </cell>
          <cell r="C6" t="str">
            <v>BAKOP ACHILLE</v>
          </cell>
          <cell r="D6">
            <v>25000</v>
          </cell>
          <cell r="E6">
            <v>40000</v>
          </cell>
          <cell r="F6">
            <v>0</v>
          </cell>
          <cell r="G6" t="str">
            <v>ESPECES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29000</v>
          </cell>
          <cell r="M6">
            <v>29000</v>
          </cell>
          <cell r="N6" t="str">
            <v>ESPECES</v>
          </cell>
          <cell r="O6">
            <v>0</v>
          </cell>
          <cell r="P6">
            <v>0</v>
          </cell>
        </row>
        <row r="7">
          <cell r="A7" t="str">
            <v>AS201602</v>
          </cell>
          <cell r="B7">
            <v>1</v>
          </cell>
          <cell r="C7" t="str">
            <v>BOUTCHOUANG WILLIAM</v>
          </cell>
          <cell r="D7">
            <v>25000</v>
          </cell>
          <cell r="E7">
            <v>40000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 t="str">
            <v>ECHEC</v>
          </cell>
          <cell r="O7">
            <v>0</v>
          </cell>
          <cell r="P7">
            <v>0</v>
          </cell>
        </row>
        <row r="8">
          <cell r="A8" t="str">
            <v>AS201604</v>
          </cell>
          <cell r="B8">
            <v>1</v>
          </cell>
          <cell r="C8" t="str">
            <v xml:space="preserve">DJOMO JEAN PAUL </v>
          </cell>
          <cell r="D8">
            <v>25000</v>
          </cell>
          <cell r="E8">
            <v>65000</v>
          </cell>
          <cell r="F8">
            <v>0</v>
          </cell>
          <cell r="G8" t="str">
            <v>BANQUE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</row>
        <row r="9">
          <cell r="A9" t="str">
            <v>AS201654</v>
          </cell>
          <cell r="B9">
            <v>1</v>
          </cell>
          <cell r="C9" t="str">
            <v>DJOMOU TCHAPDA</v>
          </cell>
          <cell r="D9">
            <v>25000</v>
          </cell>
          <cell r="E9">
            <v>40000</v>
          </cell>
          <cell r="F9">
            <v>0</v>
          </cell>
          <cell r="G9" t="str">
            <v>ESPECES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</row>
        <row r="10">
          <cell r="A10" t="str">
            <v>AS201605</v>
          </cell>
          <cell r="B10">
            <v>1</v>
          </cell>
          <cell r="C10" t="str">
            <v>DJOUKWE NANGUEN GUY BLAISE</v>
          </cell>
          <cell r="D10">
            <v>25000</v>
          </cell>
          <cell r="E10">
            <v>40000</v>
          </cell>
          <cell r="F10">
            <v>0</v>
          </cell>
          <cell r="G10" t="str">
            <v>BANQUE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</row>
        <row r="11">
          <cell r="A11" t="str">
            <v>AS201608</v>
          </cell>
          <cell r="B11">
            <v>1</v>
          </cell>
          <cell r="C11" t="str">
            <v>DJUOMBESSY ANTOINE</v>
          </cell>
          <cell r="D11">
            <v>25000</v>
          </cell>
          <cell r="E11">
            <v>45800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</row>
        <row r="12">
          <cell r="A12" t="str">
            <v>AS201651</v>
          </cell>
          <cell r="B12">
            <v>1</v>
          </cell>
          <cell r="C12" t="str">
            <v>DOMOU FABIEN</v>
          </cell>
          <cell r="D12">
            <v>25000</v>
          </cell>
          <cell r="E12">
            <v>40000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</row>
        <row r="13">
          <cell r="A13" t="str">
            <v>AS201609</v>
          </cell>
          <cell r="B13">
            <v>1</v>
          </cell>
          <cell r="C13" t="str">
            <v>DONHOU DAVID</v>
          </cell>
          <cell r="D13">
            <v>25000</v>
          </cell>
          <cell r="E13">
            <v>40000</v>
          </cell>
          <cell r="F13">
            <v>0</v>
          </cell>
          <cell r="G13" t="str">
            <v>BANQUE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25000</v>
          </cell>
          <cell r="E14">
            <v>40000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25000</v>
          </cell>
          <cell r="E15">
            <v>75000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25000</v>
          </cell>
          <cell r="E16">
            <v>40000</v>
          </cell>
          <cell r="F16">
            <v>0</v>
          </cell>
          <cell r="G16" t="str">
            <v>BANQUE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25000</v>
          </cell>
          <cell r="E17">
            <v>40000</v>
          </cell>
          <cell r="F17">
            <v>0</v>
          </cell>
          <cell r="G17" t="str">
            <v>BANQUE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30500</v>
          </cell>
          <cell r="M17">
            <v>30500</v>
          </cell>
          <cell r="N17" t="str">
            <v>BANQUE</v>
          </cell>
          <cell r="O17">
            <v>0</v>
          </cell>
          <cell r="P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25000</v>
          </cell>
          <cell r="E18">
            <v>40000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25000</v>
          </cell>
          <cell r="E19">
            <v>40000</v>
          </cell>
          <cell r="F19">
            <v>0</v>
          </cell>
          <cell r="G19" t="str">
            <v>ESPECES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25000</v>
          </cell>
          <cell r="E20">
            <v>40000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25000</v>
          </cell>
          <cell r="E21">
            <v>40000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25000</v>
          </cell>
          <cell r="E22">
            <v>50000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25000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25000</v>
          </cell>
          <cell r="E24">
            <v>148000</v>
          </cell>
          <cell r="F24">
            <v>0</v>
          </cell>
          <cell r="G24" t="str">
            <v>BANQUE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25000</v>
          </cell>
          <cell r="E25">
            <v>40000</v>
          </cell>
          <cell r="F25">
            <v>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 t="str">
            <v>ECHEC</v>
          </cell>
          <cell r="O25">
            <v>0</v>
          </cell>
          <cell r="P25">
            <v>0</v>
          </cell>
        </row>
        <row r="26">
          <cell r="A26" t="str">
            <v>AS201656</v>
          </cell>
          <cell r="B26">
            <v>1</v>
          </cell>
          <cell r="C26" t="str">
            <v>NOUBE ETIENNE</v>
          </cell>
          <cell r="D26">
            <v>25000</v>
          </cell>
          <cell r="E26">
            <v>50000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25000</v>
          </cell>
          <cell r="E27">
            <v>40000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</row>
        <row r="28">
          <cell r="A28" t="str">
            <v>AS201657</v>
          </cell>
          <cell r="B28">
            <v>1</v>
          </cell>
          <cell r="C28" t="str">
            <v>SEUMO POLYCARPE</v>
          </cell>
          <cell r="D28">
            <v>25000</v>
          </cell>
          <cell r="E28">
            <v>40000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</row>
        <row r="29">
          <cell r="A29" t="str">
            <v>AS201653</v>
          </cell>
          <cell r="B29">
            <v>1</v>
          </cell>
          <cell r="C29" t="str">
            <v>SIME BRICE</v>
          </cell>
          <cell r="D29">
            <v>25000</v>
          </cell>
          <cell r="E29">
            <v>40000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</row>
        <row r="30">
          <cell r="A30" t="str">
            <v>AS201638</v>
          </cell>
          <cell r="B30">
            <v>1</v>
          </cell>
          <cell r="C30" t="str">
            <v>SIMO PIERRE</v>
          </cell>
          <cell r="D30">
            <v>25000</v>
          </cell>
          <cell r="E30">
            <v>40000</v>
          </cell>
          <cell r="F30">
            <v>0</v>
          </cell>
          <cell r="G30" t="str">
            <v>BANQUE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</row>
        <row r="31">
          <cell r="A31" t="str">
            <v>AS201641</v>
          </cell>
          <cell r="B31">
            <v>1</v>
          </cell>
          <cell r="C31" t="str">
            <v>TCHOUAMOU MATHIEU</v>
          </cell>
          <cell r="D31">
            <v>25000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</row>
        <row r="32">
          <cell r="A32" t="str">
            <v>AS201643</v>
          </cell>
          <cell r="B32">
            <v>1</v>
          </cell>
          <cell r="C32" t="str">
            <v>TCHOUTOU NANA CLAUDE</v>
          </cell>
          <cell r="D32">
            <v>25000</v>
          </cell>
          <cell r="E32">
            <v>50000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</row>
        <row r="33">
          <cell r="A33" t="str">
            <v>AS201658</v>
          </cell>
          <cell r="B33">
            <v>1</v>
          </cell>
          <cell r="C33" t="str">
            <v>YANTCHOU GERVAIS</v>
          </cell>
          <cell r="D33">
            <v>25000</v>
          </cell>
          <cell r="E33">
            <v>40000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</row>
        <row r="34">
          <cell r="A34" t="str">
            <v>AS201646</v>
          </cell>
          <cell r="B34">
            <v>1</v>
          </cell>
          <cell r="C34" t="str">
            <v>YEPMOU JEAN JACQUES</v>
          </cell>
          <cell r="D34">
            <v>25000</v>
          </cell>
          <cell r="E34">
            <v>40000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</row>
        <row r="35">
          <cell r="A35" t="str">
            <v>AS201647</v>
          </cell>
          <cell r="B35">
            <v>1</v>
          </cell>
          <cell r="C35" t="str">
            <v>YOUMBI EMMANUEL</v>
          </cell>
          <cell r="D35">
            <v>25000</v>
          </cell>
          <cell r="E35">
            <v>40000</v>
          </cell>
          <cell r="F35">
            <v>0</v>
          </cell>
          <cell r="G35" t="str">
            <v>BANQUE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 t="str">
            <v>ECHEC</v>
          </cell>
          <cell r="O35">
            <v>0</v>
          </cell>
          <cell r="P35">
            <v>0</v>
          </cell>
        </row>
      </sheetData>
      <sheetData sheetId="13">
        <row r="35">
          <cell r="V35">
            <v>7000</v>
          </cell>
        </row>
      </sheetData>
      <sheetData sheetId="14"/>
    </sheetDataSet>
  </externalBook>
</externalLink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BB30" activePane="bottomRight" state="frozen"/>
      <selection activeCell="C36" sqref="C36"/>
      <selection pane="topRight" activeCell="C36" sqref="C36"/>
      <selection pane="bottomLeft" activeCell="C36" sqref="C36"/>
      <selection pane="bottomRight" activeCell="BD20" sqref="BD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VLOOKUP(A6,[18]HISTOBQUEDEC23!$A$6:$G$44,3,0)</f>
        <v>175000</v>
      </c>
      <c r="E6" s="9">
        <f>VLOOKUP(A6,[18]HISTOBQUEDEC23!$A$6:$G$39,4,0)</f>
        <v>0</v>
      </c>
      <c r="F6" s="9">
        <f>VLOOKUP(A6,[18]HISTOBQUEDEC23!$A$6:$G$39,5,0)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VLOOKUP($A6,[13]TONTDEC23!$A$6:$P$20,10,0)</f>
        <v>0</v>
      </c>
      <c r="R6" s="2">
        <f>VLOOKUP($A6,[19]TONTDEC23!$A$6:$P$21,10,0)</f>
        <v>0</v>
      </c>
      <c r="S6" s="20"/>
      <c r="T6" s="12"/>
      <c r="U6" s="17">
        <f>G6+S6++R6+P6+O6+M6+I6+K6+Q6+W6</f>
        <v>175000</v>
      </c>
      <c r="V6" s="12"/>
      <c r="W6" s="12"/>
      <c r="X6" s="12"/>
      <c r="Y6" s="12"/>
      <c r="Z6" s="12"/>
      <c r="AA6" s="12"/>
      <c r="AB6" s="12"/>
      <c r="AC6" s="12"/>
      <c r="AD6" s="12">
        <v>7500</v>
      </c>
      <c r="AE6" s="12">
        <v>10000</v>
      </c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892500</v>
      </c>
      <c r="AY6" s="15">
        <f>IF(AE6=0,AK6,(1*100000*12)+(AK6)-AE6)</f>
        <v>1190000</v>
      </c>
      <c r="AZ6" s="16">
        <f>SUM(AV6:AY6)-BF6+Z6-F6+BH6+BI6+BJ6+BK6+BL6+BM6</f>
        <v>2088500</v>
      </c>
      <c r="BA6" s="58"/>
      <c r="BB6" s="58"/>
      <c r="BC6" s="15"/>
      <c r="BD6" s="57">
        <f>IF(AZ6=0,(AZ6-BA6-BC6),(AZ6-BA6-BB6-BC6))+F6</f>
        <v>2088500</v>
      </c>
      <c r="BE6" s="82"/>
      <c r="BF6" s="29">
        <f t="shared" ref="BF6:BF36" si="6">Z6*1/100*BG6</f>
        <v>0</v>
      </c>
      <c r="BG6" s="29">
        <v>12</v>
      </c>
      <c r="BH6" s="15">
        <f>BP16</f>
        <v>6000</v>
      </c>
      <c r="BI6" s="15">
        <f>BP28</f>
        <v>0</v>
      </c>
      <c r="BJ6" s="15">
        <f>BP33</f>
        <v>0</v>
      </c>
      <c r="BK6" s="15"/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VLOOKUP(A7,[18]HISTOBQUEDEC23!$A$6:$G$44,3,0)</f>
        <v>0</v>
      </c>
      <c r="E7" s="9">
        <f>VLOOKUP(A7,[18]HISTOBQUEDEC23!$A$6:$G$39,4,0)</f>
        <v>669000</v>
      </c>
      <c r="F7" s="9">
        <f>VLOOKUP(A7,[18]HISTOBQUEDEC23!$A$6:$G$39,5,0)</f>
        <v>0</v>
      </c>
      <c r="G7" s="5">
        <f>IF(H7="ESPECES",3000,0)-3000</f>
        <v>0</v>
      </c>
      <c r="H7" s="10" t="str">
        <f t="shared" si="1"/>
        <v>ESPECES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VLOOKUP($A7,[20]TONTDEC23!$A$6:$P$35,12,0)</f>
        <v>29000</v>
      </c>
      <c r="Q7" s="2"/>
      <c r="R7" s="2"/>
      <c r="S7" s="20">
        <v>600000</v>
      </c>
      <c r="T7" s="12" t="s">
        <v>8</v>
      </c>
      <c r="U7" s="17">
        <f t="shared" ref="U7:U36" si="7">G7+S7++R7+P7+O7+M7+I7+K7+Q7+W7</f>
        <v>669000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12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69">
        <f t="shared" si="0"/>
        <v>0</v>
      </c>
      <c r="D8" s="9">
        <f>VLOOKUP(A8,[18]HISTOBQUEDEC23!$A$6:$G$44,3,0)</f>
        <v>115000</v>
      </c>
      <c r="E8" s="9">
        <f>VLOOKUP(A8,[18]HISTOBQUEDEC23!$A$6:$G$39,4,0)</f>
        <v>0</v>
      </c>
      <c r="F8" s="9">
        <f>VLOOKUP(A8,[18]HISTOBQUEDEC23!$A$6:$G$39,5,0)</f>
        <v>0</v>
      </c>
      <c r="G8" s="5">
        <f t="shared" ref="G8:G36" si="14">IF(H8="ESPECES",3000,0)</f>
        <v>0</v>
      </c>
      <c r="H8" s="10" t="str">
        <f t="shared" si="1"/>
        <v>BANQUE</v>
      </c>
      <c r="I8" s="10"/>
      <c r="J8" s="11">
        <v>1</v>
      </c>
      <c r="K8" s="11">
        <f t="shared" ref="K8:K36" si="15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VLOOKUP($A8,[20]TONTDEC23!$A$6:$P$35,12,0)</f>
        <v>0</v>
      </c>
      <c r="Q8" s="2">
        <f>VLOOKUP($A8,[20]TONTDEC23!$A$6:$P$35,12,0)</f>
        <v>0</v>
      </c>
      <c r="R8" s="2"/>
      <c r="S8" s="20"/>
      <c r="T8" s="12"/>
      <c r="U8" s="17">
        <f t="shared" si="7"/>
        <v>115000</v>
      </c>
      <c r="V8" s="12">
        <f>19000</f>
        <v>19000</v>
      </c>
      <c r="W8" s="12"/>
      <c r="X8" s="12"/>
      <c r="Y8" s="12"/>
      <c r="Z8" s="12">
        <v>500000</v>
      </c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485000</v>
      </c>
      <c r="BA8" s="58"/>
      <c r="BB8" s="58"/>
      <c r="BC8" s="15"/>
      <c r="BD8" s="71">
        <f t="shared" si="13"/>
        <v>485000</v>
      </c>
      <c r="BE8" s="82"/>
      <c r="BF8" s="29">
        <f t="shared" si="6"/>
        <v>15000</v>
      </c>
      <c r="BG8" s="29">
        <v>3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69">
        <f>D9+E9+F9-U9-BB9</f>
        <v>221000</v>
      </c>
      <c r="D9" s="9">
        <f>VLOOKUP(A9,[18]HISTOBQUEDEC23!$A$6:$G$44,3,0)</f>
        <v>386000</v>
      </c>
      <c r="E9" s="9">
        <f>VLOOKUP(A9,[18]HISTOBQUEDEC23!$A$6:$G$39,4,0)</f>
        <v>1000000</v>
      </c>
      <c r="F9" s="9">
        <f>VLOOKUP(A9,[18]HISTOBQUEDEC23!$A$6:$G$39,5,0)</f>
        <v>0</v>
      </c>
      <c r="G9" s="5">
        <f t="shared" si="14"/>
        <v>0</v>
      </c>
      <c r="H9" s="10" t="str">
        <f t="shared" si="1"/>
        <v>BANQUE</v>
      </c>
      <c r="I9" s="10">
        <v>25000</v>
      </c>
      <c r="J9" s="11">
        <v>1</v>
      </c>
      <c r="K9" s="11">
        <f t="shared" si="15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VLOOKUP($A9,[20]TONTDEC23!$A$6:$P$35,12,0)</f>
        <v>0</v>
      </c>
      <c r="Q9" s="2"/>
      <c r="R9" s="2">
        <f>VLOOKUP($A9,[19]TONTDEC23!$A$6:$P$21,10,0)</f>
        <v>0</v>
      </c>
      <c r="S9" s="20">
        <v>1000000</v>
      </c>
      <c r="T9" s="12" t="s">
        <v>8</v>
      </c>
      <c r="U9" s="17">
        <f t="shared" si="7"/>
        <v>1165000</v>
      </c>
      <c r="V9" s="12">
        <v>9000</v>
      </c>
      <c r="W9" s="12"/>
      <c r="X9" s="12"/>
      <c r="Y9" s="12"/>
      <c r="Z9" s="12">
        <v>1000000</v>
      </c>
      <c r="AA9" s="12" t="s">
        <v>8</v>
      </c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4"/>
        <v>0</v>
      </c>
      <c r="AR9" s="8">
        <f t="shared" si="5"/>
        <v>0</v>
      </c>
      <c r="AS9" s="13">
        <f t="shared" si="8"/>
        <v>40000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2"/>
        <v>880000</v>
      </c>
      <c r="BA9" s="58"/>
      <c r="BB9" s="58"/>
      <c r="BC9" s="15"/>
      <c r="BD9" s="71">
        <f t="shared" si="13"/>
        <v>880000</v>
      </c>
      <c r="BE9" s="82"/>
      <c r="BF9" s="29">
        <f t="shared" si="6"/>
        <v>120000</v>
      </c>
      <c r="BG9" s="29">
        <v>12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69">
        <f t="shared" si="0"/>
        <v>0</v>
      </c>
      <c r="D10" s="9">
        <f>VLOOKUP(A10,[18]HISTOBQUEDEC23!$A$6:$G$44,3,0)</f>
        <v>0</v>
      </c>
      <c r="E10" s="9">
        <f>VLOOKUP(A10,[18]HISTOBQUEDEC23!$A$6:$G$39,4,0)</f>
        <v>40000</v>
      </c>
      <c r="F10" s="9">
        <f>VLOOKUP(A10,[18]HISTOBQUEDEC23!$A$6:$G$39,5,0)</f>
        <v>0</v>
      </c>
      <c r="G10" s="5">
        <f>IF(H10="ESPECES",3000,0)-3000</f>
        <v>0</v>
      </c>
      <c r="H10" s="10" t="str">
        <f t="shared" si="1"/>
        <v>ESPECES</v>
      </c>
      <c r="I10" s="10"/>
      <c r="J10" s="11">
        <v>1</v>
      </c>
      <c r="K10" s="11">
        <f t="shared" si="15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VLOOKUP($A10,[20]TONTDEC23!$A$6:$P$35,12,0)</f>
        <v>0</v>
      </c>
      <c r="Q10" s="2"/>
      <c r="R10" s="2"/>
      <c r="S10" s="20"/>
      <c r="T10" s="12"/>
      <c r="U10" s="17">
        <f t="shared" si="7"/>
        <v>40000</v>
      </c>
      <c r="V10" s="12">
        <f>12000+10000</f>
        <v>22000</v>
      </c>
      <c r="W10" s="12"/>
      <c r="X10" s="12"/>
      <c r="Y10" s="12"/>
      <c r="Z10" s="12">
        <v>1000000</v>
      </c>
      <c r="AA10" s="12" t="s">
        <v>8</v>
      </c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880000</v>
      </c>
      <c r="BA10" s="58"/>
      <c r="BB10" s="58"/>
      <c r="BC10" s="15"/>
      <c r="BD10" s="71">
        <f>IF(AZ10=0,(AZ10-BA10-BC10),(AZ10-BA10-BB10-BC10))+F10+49000</f>
        <v>929000</v>
      </c>
      <c r="BE10" s="82"/>
      <c r="BF10" s="29">
        <f t="shared" si="6"/>
        <v>120000</v>
      </c>
      <c r="BG10" s="29">
        <v>12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VLOOKUP(A11,[18]HISTOBQUEDEC23!$A$6:$G$44,3,0)</f>
        <v>115000</v>
      </c>
      <c r="E11" s="9">
        <f>VLOOKUP(A11,[18]HISTOBQUEDEC23!$A$6:$G$39,4,0)+77000</f>
        <v>1077000</v>
      </c>
      <c r="F11" s="9">
        <f>VLOOKUP(A11,[18]HISTOBQUEDEC23!$A$6:$G$39,5,0)</f>
        <v>0</v>
      </c>
      <c r="G11" s="5">
        <f t="shared" si="14"/>
        <v>0</v>
      </c>
      <c r="H11" s="10" t="str">
        <f t="shared" si="1"/>
        <v>BANQUE</v>
      </c>
      <c r="I11" s="10"/>
      <c r="J11" s="11">
        <v>1</v>
      </c>
      <c r="K11" s="11">
        <f t="shared" si="15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VLOOKUP($A11,[20]TONTDEC23!$A$6:$P$35,12,0)</f>
        <v>0</v>
      </c>
      <c r="Q11" s="2">
        <f>VLOOKUP($A11,[13]TONTDEC23!$A$6:$P$20,10,0)</f>
        <v>77000</v>
      </c>
      <c r="R11" s="2"/>
      <c r="S11" s="20">
        <v>1000000</v>
      </c>
      <c r="T11" s="12" t="s">
        <v>8</v>
      </c>
      <c r="U11" s="17">
        <f t="shared" si="7"/>
        <v>1192000</v>
      </c>
      <c r="V11" s="12"/>
      <c r="W11" s="12"/>
      <c r="X11" s="12"/>
      <c r="Y11" s="12"/>
      <c r="Z11" s="12">
        <v>1000000</v>
      </c>
      <c r="AA11" s="12" t="s">
        <v>8</v>
      </c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0</v>
      </c>
      <c r="AY11" s="15">
        <f t="shared" si="11"/>
        <v>0</v>
      </c>
      <c r="AZ11" s="16">
        <f t="shared" si="12"/>
        <v>980000</v>
      </c>
      <c r="BA11" s="58"/>
      <c r="BB11" s="58"/>
      <c r="BC11" s="15"/>
      <c r="BD11" s="71">
        <f t="shared" si="13"/>
        <v>980000</v>
      </c>
      <c r="BE11" s="82"/>
      <c r="BF11" s="29">
        <f t="shared" si="6"/>
        <v>20000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VLOOKUP(A12,[18]HISTOBQUEDEC23!$A$6:$G$44,3,0)</f>
        <v>1040000</v>
      </c>
      <c r="E12" s="9">
        <f>VLOOKUP(A12,[18]HISTOBQUEDEC23!$A$6:$G$39,4,0)+206000</f>
        <v>257000</v>
      </c>
      <c r="F12" s="9">
        <f>VLOOKUP(A12,[18]HISTOBQUEDEC23!$A$6:$G$39,5,0)</f>
        <v>0</v>
      </c>
      <c r="G12" s="5">
        <f t="shared" si="14"/>
        <v>0</v>
      </c>
      <c r="H12" s="10" t="str">
        <f t="shared" si="1"/>
        <v>BANQUE</v>
      </c>
      <c r="I12" s="10">
        <f>5000+800</f>
        <v>5800</v>
      </c>
      <c r="J12" s="11">
        <v>1</v>
      </c>
      <c r="K12" s="11">
        <f t="shared" si="15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VLOOKUP($A12,[20]TONTDEC23!$A$6:$P$35,12,0)</f>
        <v>0</v>
      </c>
      <c r="Q12" s="2">
        <f>VLOOKUP($A12,[13]TONTDEC23!$A$6:$P$20,10,0)</f>
        <v>51000</v>
      </c>
      <c r="R12" s="2">
        <f>VLOOKUP($A12,[19]TONTDEC23!$A$6:$P$21,10,0)</f>
        <v>206000</v>
      </c>
      <c r="S12" s="20">
        <v>719200</v>
      </c>
      <c r="T12" s="12" t="s">
        <v>8</v>
      </c>
      <c r="U12" s="17">
        <f t="shared" si="7"/>
        <v>1297000</v>
      </c>
      <c r="V12" s="12"/>
      <c r="W12" s="12"/>
      <c r="X12" s="12"/>
      <c r="Y12" s="12"/>
      <c r="Z12" s="12">
        <v>1000000</v>
      </c>
      <c r="AA12" s="12" t="s">
        <v>8</v>
      </c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20800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0</v>
      </c>
      <c r="AZ12" s="16">
        <f t="shared" si="12"/>
        <v>940000</v>
      </c>
      <c r="BA12" s="58"/>
      <c r="BB12" s="58"/>
      <c r="BC12" s="15"/>
      <c r="BD12" s="71">
        <f>IF(AZ12=0,(AZ12-BA12-BC12),(AZ12-BA12-BB12-BC12))+F12+150000</f>
        <v>1090000</v>
      </c>
      <c r="BE12" s="82"/>
      <c r="BF12" s="29">
        <f t="shared" si="6"/>
        <v>60000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VLOOKUP(A13,[18]HISTOBQUEDEC23!$A$6:$G$44,3,0)</f>
        <v>1040000</v>
      </c>
      <c r="E13" s="9">
        <f>VLOOKUP(A13,[18]HISTOBQUEDEC23!$A$6:$G$39,4,0)</f>
        <v>0</v>
      </c>
      <c r="F13" s="9">
        <f>VLOOKUP(A13,[18]HISTOBQUEDEC23!$A$6:$G$39,5,0)</f>
        <v>0</v>
      </c>
      <c r="G13" s="5">
        <f t="shared" si="14"/>
        <v>0</v>
      </c>
      <c r="H13" s="10" t="str">
        <f t="shared" si="1"/>
        <v>BANQUE</v>
      </c>
      <c r="I13" s="10"/>
      <c r="J13" s="11">
        <v>1</v>
      </c>
      <c r="K13" s="11">
        <f t="shared" si="15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VLOOKUP($A13,[20]TONTDEC23!$A$6:$P$35,12,0)</f>
        <v>0</v>
      </c>
      <c r="Q13" s="2"/>
      <c r="R13" s="2"/>
      <c r="S13" s="20">
        <v>1000000</v>
      </c>
      <c r="T13" s="12" t="s">
        <v>8</v>
      </c>
      <c r="U13" s="17">
        <f t="shared" si="7"/>
        <v>1040000</v>
      </c>
      <c r="V13" s="12"/>
      <c r="W13" s="12"/>
      <c r="X13" s="12"/>
      <c r="Y13" s="12"/>
      <c r="Z13" s="12">
        <v>1000000</v>
      </c>
      <c r="AA13" s="12" t="s">
        <v>8</v>
      </c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880000</v>
      </c>
      <c r="BA13" s="58"/>
      <c r="BB13" s="58"/>
      <c r="BC13" s="15"/>
      <c r="BD13" s="71">
        <f>IF(AZ13=0,(AZ13-BA13-BC13),(AZ13-BA13-BB13-BC13))+F13+21000</f>
        <v>901000</v>
      </c>
      <c r="BE13" s="82"/>
      <c r="BF13" s="29">
        <f t="shared" si="6"/>
        <v>120000</v>
      </c>
      <c r="BG13" s="29">
        <v>12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VLOOKUP(A14,[18]HISTOBQUEDEC23!$A$6:$G$44,3,0)</f>
        <v>40000</v>
      </c>
      <c r="E14" s="9">
        <f>VLOOKUP(A14,[18]HISTOBQUEDEC23!$A$6:$G$39,4,0)</f>
        <v>0</v>
      </c>
      <c r="F14" s="9">
        <f>VLOOKUP(A14,[18]HISTOBQUEDEC23!$A$6:$G$39,5,0)</f>
        <v>0</v>
      </c>
      <c r="G14" s="5">
        <f t="shared" si="14"/>
        <v>0</v>
      </c>
      <c r="H14" s="10" t="str">
        <f t="shared" si="1"/>
        <v>BANQUE</v>
      </c>
      <c r="I14" s="10"/>
      <c r="J14" s="11">
        <v>1</v>
      </c>
      <c r="K14" s="11">
        <f t="shared" si="15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VLOOKUP($A14,[20]TONTDEC23!$A$6:$P$35,12,0)</f>
        <v>0</v>
      </c>
      <c r="Q14" s="2"/>
      <c r="R14" s="2"/>
      <c r="S14" s="20"/>
      <c r="T14" s="12"/>
      <c r="U14" s="17">
        <f t="shared" si="7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12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VLOOKUP(A15,[18]HISTOBQUEDEC23!$A$6:$G$44,3,0)</f>
        <v>115000</v>
      </c>
      <c r="E15" s="9">
        <f>VLOOKUP(A15,[18]HISTOBQUEDEC23!$A$6:$G$39,4,0)</f>
        <v>0</v>
      </c>
      <c r="F15" s="9">
        <f>VLOOKUP(A15,[18]HISTOBQUEDEC23!$A$6:$G$39,5,0)</f>
        <v>0</v>
      </c>
      <c r="G15" s="5">
        <f t="shared" si="14"/>
        <v>0</v>
      </c>
      <c r="H15" s="10" t="str">
        <f t="shared" si="1"/>
        <v>BANQUE</v>
      </c>
      <c r="I15" s="10"/>
      <c r="J15" s="11">
        <v>1</v>
      </c>
      <c r="K15" s="11">
        <f t="shared" si="15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VLOOKUP($A15,[20]TONTDEC23!$A$6:$P$35,12,0)</f>
        <v>0</v>
      </c>
      <c r="Q15" s="2">
        <f>VLOOKUP($A15,[13]TONTDEC23!$A$6:$P$20,10,0)</f>
        <v>0</v>
      </c>
      <c r="R15" s="2"/>
      <c r="S15" s="20"/>
      <c r="T15" s="12"/>
      <c r="U15" s="17">
        <f t="shared" si="7"/>
        <v>115000</v>
      </c>
      <c r="V15" s="12">
        <f>9000+9000</f>
        <v>18000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12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VLOOKUP(A16,[18]HISTOBQUEDEC23!$A$6:$G$44,3,0)</f>
        <v>250000</v>
      </c>
      <c r="E16" s="9">
        <f>VLOOKUP(A16,[18]HISTOBQUEDEC23!$A$6:$G$39,4,0)+206000+125000+238500</f>
        <v>569500</v>
      </c>
      <c r="F16" s="9">
        <f>VLOOKUP(A16,[18]HISTOBQUEDEC23!$A$6:$G$39,5,0)</f>
        <v>0</v>
      </c>
      <c r="G16" s="5">
        <f t="shared" si="14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5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VLOOKUP($A16,[20]TONTDEC23!$A$6:$P$35,12,0)</f>
        <v>0</v>
      </c>
      <c r="Q16" s="2">
        <f>VLOOKUP($A16,[13]TONTDEC23!$A$6:$P$20,10,0)</f>
        <v>0</v>
      </c>
      <c r="R16" s="2">
        <f>VLOOKUP($A16,[19]TONTDEC23!$A$6:$P$21,10,0)</f>
        <v>206000</v>
      </c>
      <c r="S16" s="20">
        <f>125000+238500</f>
        <v>363500</v>
      </c>
      <c r="T16" s="12" t="s">
        <v>8</v>
      </c>
      <c r="U16" s="17">
        <f t="shared" si="7"/>
        <v>819500</v>
      </c>
      <c r="V16" s="12">
        <f>9000+3000</f>
        <v>12000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71">
        <f>IF(AZ16=0,(AZ16-BA16-BC16),(AZ16-BA16-BB16-BC16))+F16+400000</f>
        <v>400000</v>
      </c>
      <c r="BE16" s="82"/>
      <c r="BF16" s="29">
        <f t="shared" si="6"/>
        <v>0</v>
      </c>
      <c r="BG16" s="29">
        <v>12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VLOOKUP(A17,[18]HISTOBQUEDEC23!$A$6:$G$44,3,0)</f>
        <v>1140000</v>
      </c>
      <c r="E17" s="9">
        <f>VLOOKUP(A17,[18]HISTOBQUEDEC23!$A$6:$G$39,4,0)</f>
        <v>0</v>
      </c>
      <c r="F17" s="9">
        <f>VLOOKUP(A17,[18]HISTOBQUEDEC23!$A$6:$G$39,5,0)</f>
        <v>0</v>
      </c>
      <c r="G17" s="5">
        <f t="shared" si="14"/>
        <v>0</v>
      </c>
      <c r="H17" s="10" t="str">
        <f t="shared" si="1"/>
        <v>BANQUE</v>
      </c>
      <c r="I17" s="10"/>
      <c r="J17" s="11">
        <v>1</v>
      </c>
      <c r="K17" s="11">
        <f t="shared" si="15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VLOOKUP($A17,[20]TONTDEC23!$A$6:$P$35,12,0)</f>
        <v>0</v>
      </c>
      <c r="Q17" s="2"/>
      <c r="R17" s="2">
        <f>VLOOKUP($A17,[19]TONTDEC23!$A$6:$P$21,10,0)</f>
        <v>0</v>
      </c>
      <c r="S17" s="20">
        <v>1000000</v>
      </c>
      <c r="T17" s="12" t="s">
        <v>8</v>
      </c>
      <c r="U17" s="17">
        <f t="shared" si="7"/>
        <v>1140000</v>
      </c>
      <c r="V17" s="12">
        <v>9000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12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VLOOKUP(A18,[18]HISTOBQUEDEC23!$A$6:$G$44,3,0)</f>
        <v>1000000</v>
      </c>
      <c r="E18" s="9">
        <f>VLOOKUP(A18,[18]HISTOBQUEDEC23!$A$6:$G$39,4,0)</f>
        <v>447500</v>
      </c>
      <c r="F18" s="9">
        <f>VLOOKUP(A18,[18]HISTOBQUEDEC23!$A$6:$G$39,5,0)</f>
        <v>0</v>
      </c>
      <c r="G18" s="5">
        <f t="shared" si="14"/>
        <v>0</v>
      </c>
      <c r="H18" s="10" t="str">
        <f t="shared" si="1"/>
        <v>BANQUE</v>
      </c>
      <c r="I18" s="10"/>
      <c r="J18" s="11">
        <v>1</v>
      </c>
      <c r="K18" s="11">
        <f t="shared" si="15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VLOOKUP($A18,[20]TONTDEC23!$A$6:$P$35,12,0)</f>
        <v>30500</v>
      </c>
      <c r="Q18" s="2">
        <f>VLOOKUP($A18,[13]TONTDEC23!$A$6:$P$20,10,0)</f>
        <v>202000</v>
      </c>
      <c r="R18" s="2">
        <f>VLOOKUP($A18,[19]TONTDEC23!$A$6:$P$21,10,0)</f>
        <v>0</v>
      </c>
      <c r="S18" s="20">
        <v>1000000</v>
      </c>
      <c r="T18" s="12" t="s">
        <v>8</v>
      </c>
      <c r="U18" s="17">
        <f t="shared" si="7"/>
        <v>1447500</v>
      </c>
      <c r="V18" s="12">
        <v>3000</v>
      </c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950000</v>
      </c>
      <c r="BA18" s="58"/>
      <c r="BB18" s="58"/>
      <c r="BC18" s="15"/>
      <c r="BD18" s="71">
        <f t="shared" si="13"/>
        <v>950000</v>
      </c>
      <c r="BE18" s="82"/>
      <c r="BF18" s="29">
        <f t="shared" si="6"/>
        <v>50000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VLOOKUP(A19,[18]HISTOBQUEDEC23!$A$6:$G$44,3,0)</f>
        <v>40000</v>
      </c>
      <c r="E19" s="9">
        <f>VLOOKUP(A19,[18]HISTOBQUEDEC23!$A$6:$G$39,4,0)</f>
        <v>0</v>
      </c>
      <c r="F19" s="9">
        <f>VLOOKUP(A19,[18]HISTOBQUEDEC23!$A$6:$G$39,5,0)</f>
        <v>0</v>
      </c>
      <c r="G19" s="5">
        <f t="shared" si="14"/>
        <v>0</v>
      </c>
      <c r="H19" s="10" t="str">
        <f t="shared" si="1"/>
        <v>BANQUE</v>
      </c>
      <c r="I19" s="10"/>
      <c r="J19" s="11">
        <v>1</v>
      </c>
      <c r="K19" s="11">
        <f t="shared" si="15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VLOOKUP($A19,[20]TONTDEC23!$A$6:$P$35,12,0)</f>
        <v>0</v>
      </c>
      <c r="Q19" s="2"/>
      <c r="R19" s="2"/>
      <c r="S19" s="20"/>
      <c r="T19" s="12"/>
      <c r="U19" s="17">
        <f t="shared" si="7"/>
        <v>40000</v>
      </c>
      <c r="V19" s="12">
        <f>10000+10000</f>
        <v>20000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12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VLOOKUP(A20,[18]HISTOBQUEDEC23!$A$6:$G$44,3,0)</f>
        <v>0</v>
      </c>
      <c r="E20" s="9">
        <f>VLOOKUP(A20,[18]HISTOBQUEDEC23!$A$6:$G$39,4,0)+300000</f>
        <v>1829000</v>
      </c>
      <c r="F20" s="9">
        <f>VLOOKUP(A20,[18]HISTOBQUEDEC23!$A$6:$G$39,5,0)</f>
        <v>0</v>
      </c>
      <c r="G20" s="5">
        <f>IF(H20="ESPECES",3000,0)-3000</f>
        <v>0</v>
      </c>
      <c r="H20" s="10" t="str">
        <f t="shared" si="1"/>
        <v>ESPECES</v>
      </c>
      <c r="I20" s="10"/>
      <c r="J20" s="11">
        <v>1</v>
      </c>
      <c r="K20" s="11">
        <f t="shared" si="15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VLOOKUP($A20,[20]TONTDEC23!$A$6:$P$35,12,0)</f>
        <v>0</v>
      </c>
      <c r="Q20" s="2">
        <f>VLOOKUP($A20,[13]TONTDEC23!$A$6:$P$20,10,0)</f>
        <v>307000</v>
      </c>
      <c r="R20" s="2">
        <f>VLOOKUP($A20,[19]TONTDEC23!$A$6:$P$21,10,0)</f>
        <v>307000</v>
      </c>
      <c r="S20" s="20">
        <v>1000000</v>
      </c>
      <c r="T20" s="12" t="s">
        <v>8</v>
      </c>
      <c r="U20" s="17">
        <f t="shared" si="7"/>
        <v>1829000</v>
      </c>
      <c r="V20" s="12"/>
      <c r="W20" s="12"/>
      <c r="X20" s="12"/>
      <c r="Y20" s="12"/>
      <c r="Z20" s="12">
        <v>1000000</v>
      </c>
      <c r="AA20" s="12" t="s">
        <v>8</v>
      </c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0</v>
      </c>
      <c r="AY20" s="15">
        <f t="shared" si="11"/>
        <v>0</v>
      </c>
      <c r="AZ20" s="16">
        <f t="shared" si="12"/>
        <v>940000</v>
      </c>
      <c r="BA20" s="58"/>
      <c r="BB20" s="58"/>
      <c r="BC20" s="15"/>
      <c r="BD20" s="71">
        <f t="shared" si="13"/>
        <v>940000</v>
      </c>
      <c r="BE20" s="82"/>
      <c r="BF20" s="29">
        <f t="shared" si="6"/>
        <v>60000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VLOOKUP(A21,[18]HISTOBQUEDEC23!$A$6:$G$44,3,0)</f>
        <v>540000</v>
      </c>
      <c r="E21" s="9">
        <f>VLOOKUP(A21,[18]HISTOBQUEDEC23!$A$6:$G$39,4,0)</f>
        <v>0</v>
      </c>
      <c r="F21" s="9">
        <f>VLOOKUP(A21,[18]HISTOBQUEDEC23!$A$6:$G$39,5,0)</f>
        <v>0</v>
      </c>
      <c r="G21" s="5">
        <f t="shared" si="14"/>
        <v>0</v>
      </c>
      <c r="H21" s="10" t="str">
        <f t="shared" si="1"/>
        <v>BANQUE</v>
      </c>
      <c r="I21" s="10"/>
      <c r="J21" s="11">
        <v>1</v>
      </c>
      <c r="K21" s="11">
        <f t="shared" si="15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VLOOKUP($A21,[20]TONTDEC23!$A$6:$P$35,12,0)</f>
        <v>0</v>
      </c>
      <c r="Q21" s="2"/>
      <c r="R21" s="2"/>
      <c r="S21" s="20">
        <v>500000</v>
      </c>
      <c r="T21" s="12" t="s">
        <v>8</v>
      </c>
      <c r="U21" s="17">
        <f t="shared" si="7"/>
        <v>540000</v>
      </c>
      <c r="V21" s="12"/>
      <c r="W21" s="12"/>
      <c r="X21" s="12"/>
      <c r="Y21" s="12"/>
      <c r="Z21" s="12">
        <v>300000</v>
      </c>
      <c r="AA21" s="12" t="s">
        <v>8</v>
      </c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282000</v>
      </c>
      <c r="BA21" s="58"/>
      <c r="BB21" s="58"/>
      <c r="BC21" s="15"/>
      <c r="BD21" s="71">
        <f>IF(AZ21=0,(AZ21-BA21-BC21),(AZ21-BA21-BB21-BC21))+F21</f>
        <v>282000</v>
      </c>
      <c r="BE21" s="82"/>
      <c r="BF21" s="29">
        <f t="shared" si="6"/>
        <v>18000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69">
        <f t="shared" si="0"/>
        <v>0</v>
      </c>
      <c r="D22" s="9">
        <f>VLOOKUP(A22,[18]HISTOBQUEDEC23!$A$6:$G$44,3,0)</f>
        <v>222500</v>
      </c>
      <c r="E22" s="9">
        <f>VLOOKUP(A22,[18]HISTOBQUEDEC23!$A$6:$G$39,4,0)</f>
        <v>0</v>
      </c>
      <c r="F22" s="9">
        <f>VLOOKUP(A22,[18]HISTOBQUEDEC23!$A$6:$G$39,5,0)</f>
        <v>0</v>
      </c>
      <c r="G22" s="5">
        <f t="shared" si="14"/>
        <v>0</v>
      </c>
      <c r="H22" s="10" t="str">
        <f t="shared" si="1"/>
        <v>BANQUE</v>
      </c>
      <c r="I22" s="10"/>
      <c r="J22" s="11">
        <v>1</v>
      </c>
      <c r="K22" s="11">
        <f t="shared" si="15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VLOOKUP($A22,[20]TONTDEC23!$A$6:$P$35,12,0)</f>
        <v>0</v>
      </c>
      <c r="Q22" s="2">
        <f>VLOOKUP($A22,[13]TONTDEC23!$A$6:$P$20,10,0)</f>
        <v>0</v>
      </c>
      <c r="R22" s="2"/>
      <c r="S22" s="20">
        <v>107500</v>
      </c>
      <c r="T22" s="12" t="s">
        <v>8</v>
      </c>
      <c r="U22" s="17">
        <f t="shared" si="7"/>
        <v>222500</v>
      </c>
      <c r="V22" s="12">
        <f>5000+6000+9000</f>
        <v>20000</v>
      </c>
      <c r="W22" s="12"/>
      <c r="X22" s="12"/>
      <c r="Y22" s="12"/>
      <c r="Z22" s="12">
        <v>1000000</v>
      </c>
      <c r="AA22" s="12" t="s">
        <v>8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880000</v>
      </c>
      <c r="BA22" s="58"/>
      <c r="BB22" s="58"/>
      <c r="BC22" s="15"/>
      <c r="BD22" s="71">
        <f>IF(AZ22=0,(AZ22-BA22-BC22),(AZ22-BA22-BB22-BC22))+F22+53000</f>
        <v>933000</v>
      </c>
      <c r="BE22" s="82"/>
      <c r="BF22" s="29">
        <f t="shared" si="6"/>
        <v>120000</v>
      </c>
      <c r="BG22" s="29">
        <v>12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VLOOKUP(A23,[18]HISTOBQUEDEC23!$A$6:$G$44,3,0)</f>
        <v>850000</v>
      </c>
      <c r="E23" s="9">
        <f>VLOOKUP(A23,[18]HISTOBQUEDEC23!$A$6:$G$39,4,0)</f>
        <v>0</v>
      </c>
      <c r="F23" s="9">
        <f>VLOOKUP(A23,[18]HISTOBQUEDEC23!$A$6:$G$39,5,0)</f>
        <v>0</v>
      </c>
      <c r="G23" s="5">
        <f t="shared" si="14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5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VLOOKUP($A23,[20]TONTDEC23!$A$6:$P$35,12,0)</f>
        <v>0</v>
      </c>
      <c r="Q23" s="2"/>
      <c r="R23" s="2">
        <f>VLOOKUP($A23,[19]TONTDEC23!$A$6:$P$21,10,0)</f>
        <v>0</v>
      </c>
      <c r="S23" s="20">
        <v>600000</v>
      </c>
      <c r="T23" s="12" t="s">
        <v>8</v>
      </c>
      <c r="U23" s="17">
        <f t="shared" si="7"/>
        <v>850000</v>
      </c>
      <c r="V23" s="12"/>
      <c r="W23" s="12"/>
      <c r="X23" s="12"/>
      <c r="Y23" s="12"/>
      <c r="Z23" s="12">
        <v>500000</v>
      </c>
      <c r="AA23" s="12" t="s">
        <v>8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470000</v>
      </c>
      <c r="BA23" s="58"/>
      <c r="BB23" s="58"/>
      <c r="BC23" s="15"/>
      <c r="BD23" s="71">
        <f>IF(AZ23=0,(AZ23-BA23-BC23),(AZ23-BA23-BB23-BC23))+F23+220000</f>
        <v>690000</v>
      </c>
      <c r="BE23" s="82"/>
      <c r="BF23" s="29">
        <f t="shared" si="6"/>
        <v>30000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VLOOKUP(A24,[18]HISTOBQUEDEC23!$A$6:$G$44,3,0)</f>
        <v>1215000</v>
      </c>
      <c r="E24" s="9">
        <f>VLOOKUP(A24,[18]HISTOBQUEDEC23!$A$6:$G$39,4,0)</f>
        <v>202000</v>
      </c>
      <c r="F24" s="9">
        <f>VLOOKUP(A24,[18]HISTOBQUEDEC23!$A$6:$G$39,5,0)</f>
        <v>0</v>
      </c>
      <c r="G24" s="5">
        <f t="shared" si="14"/>
        <v>0</v>
      </c>
      <c r="H24" s="10" t="str">
        <f t="shared" si="1"/>
        <v>BANQUE</v>
      </c>
      <c r="I24" s="10"/>
      <c r="J24" s="11">
        <v>1</v>
      </c>
      <c r="K24" s="11">
        <f t="shared" si="15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VLOOKUP($A24,[20]TONTDEC23!$A$6:$P$35,12,0)</f>
        <v>0</v>
      </c>
      <c r="Q24" s="2">
        <f>VLOOKUP($A24,[13]TONTDEC23!$A$6:$P$20,10,0)</f>
        <v>0</v>
      </c>
      <c r="R24" s="2">
        <f>VLOOKUP($A24,[19]TONTDEC23!$A$6:$P$21,10,0)</f>
        <v>202000</v>
      </c>
      <c r="S24" s="20">
        <v>1000000</v>
      </c>
      <c r="T24" s="12" t="s">
        <v>8</v>
      </c>
      <c r="U24" s="17">
        <f t="shared" si="7"/>
        <v>1417000</v>
      </c>
      <c r="V24" s="12">
        <f>9000+6000</f>
        <v>15000</v>
      </c>
      <c r="W24" s="12"/>
      <c r="X24" s="12"/>
      <c r="Y24" s="12"/>
      <c r="Z24" s="12">
        <v>1000000</v>
      </c>
      <c r="AA24" s="12" t="s">
        <v>8</v>
      </c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0</v>
      </c>
      <c r="AZ24" s="16">
        <f t="shared" si="12"/>
        <v>880000</v>
      </c>
      <c r="BA24" s="58"/>
      <c r="BB24" s="58"/>
      <c r="BC24" s="15"/>
      <c r="BD24" s="71">
        <f>IF(AZ24=0,(AZ24-BA24-BC24),(AZ24-BA24-BB24-BC24))+F24-202000</f>
        <v>678000</v>
      </c>
      <c r="BE24" s="82"/>
      <c r="BF24" s="29">
        <f t="shared" si="6"/>
        <v>120000</v>
      </c>
      <c r="BG24" s="29">
        <v>12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VLOOKUP(A25,[18]HISTOBQUEDEC23!$A$6:$G$44,3,0)</f>
        <v>600000</v>
      </c>
      <c r="E25" s="9">
        <f>VLOOKUP(A25,[18]HISTOBQUEDEC23!$A$6:$G$39,4,0)</f>
        <v>1000000</v>
      </c>
      <c r="F25" s="9">
        <f>VLOOKUP(A25,[18]HISTOBQUEDEC23!$A$6:$G$39,5,0)</f>
        <v>0</v>
      </c>
      <c r="G25" s="5">
        <f t="shared" si="14"/>
        <v>0</v>
      </c>
      <c r="H25" s="10" t="str">
        <f t="shared" si="1"/>
        <v>BANQUE</v>
      </c>
      <c r="I25" s="10">
        <v>108000</v>
      </c>
      <c r="J25" s="11">
        <v>1</v>
      </c>
      <c r="K25" s="11">
        <f t="shared" si="15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VLOOKUP($A25,[20]TONTDEC23!$A$6:$P$35,12,0)</f>
        <v>0</v>
      </c>
      <c r="Q25" s="2">
        <f>VLOOKUP($A25,[13]TONTDEC23!$A$6:$P$20,10,0)</f>
        <v>0</v>
      </c>
      <c r="R25" s="2">
        <f>VLOOKUP($A25,[19]TONTDEC23!$A$6:$P$21,10,0)</f>
        <v>202000</v>
      </c>
      <c r="S25" s="20">
        <v>1000000</v>
      </c>
      <c r="T25" s="12" t="s">
        <v>8</v>
      </c>
      <c r="U25" s="17">
        <f t="shared" si="7"/>
        <v>1600000</v>
      </c>
      <c r="V25" s="12">
        <f>9000+6000</f>
        <v>15000</v>
      </c>
      <c r="W25" s="12"/>
      <c r="X25" s="12"/>
      <c r="Y25" s="12"/>
      <c r="Z25" s="12">
        <v>1000000</v>
      </c>
      <c r="AA25" s="12" t="s">
        <v>8</v>
      </c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4"/>
        <v>0</v>
      </c>
      <c r="AR25" s="8">
        <f t="shared" si="5"/>
        <v>0</v>
      </c>
      <c r="AS25" s="13">
        <f t="shared" si="8"/>
        <v>123000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0</v>
      </c>
      <c r="AZ25" s="16">
        <f t="shared" si="12"/>
        <v>880000</v>
      </c>
      <c r="BA25" s="58"/>
      <c r="BB25" s="58"/>
      <c r="BC25" s="15"/>
      <c r="BD25" s="71">
        <f>IF(AZ25=0,(AZ25-BA25-BC25),(AZ25-BA25-BB25-BC25))+F25+300000</f>
        <v>1180000</v>
      </c>
      <c r="BE25" s="82"/>
      <c r="BF25" s="29">
        <f t="shared" si="6"/>
        <v>120000</v>
      </c>
      <c r="BG25" s="29">
        <v>12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VLOOKUP(A26,[18]HISTOBQUEDEC23!$A$6:$G$44,3,0)</f>
        <v>0</v>
      </c>
      <c r="E26" s="9">
        <f>VLOOKUP(A26,[18]HISTOBQUEDEC23!$A$6:$G$39,4,0)</f>
        <v>1040000</v>
      </c>
      <c r="F26" s="9">
        <f>VLOOKUP(A26,[18]HISTOBQUEDEC23!$A$6:$G$39,5,0)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5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VLOOKUP($A26,[20]TONTDEC23!$A$6:$P$35,12,0)</f>
        <v>0</v>
      </c>
      <c r="Q26" s="2"/>
      <c r="R26" s="2"/>
      <c r="S26" s="20">
        <v>1000000</v>
      </c>
      <c r="T26" s="12" t="s">
        <v>8</v>
      </c>
      <c r="U26" s="17">
        <f t="shared" si="7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2"/>
        <v>970000</v>
      </c>
      <c r="BA26" s="58"/>
      <c r="BB26" s="58"/>
      <c r="BC26" s="15"/>
      <c r="BD26" s="71">
        <f t="shared" si="13"/>
        <v>970000</v>
      </c>
      <c r="BE26" s="82"/>
      <c r="BF26" s="29">
        <f t="shared" si="6"/>
        <v>30000</v>
      </c>
      <c r="BG26" s="29">
        <v>3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VLOOKUP(A27,[18]HISTOBQUEDEC23!$A$6:$G$44,3,0)</f>
        <v>50000</v>
      </c>
      <c r="E27" s="9">
        <f>VLOOKUP(A27,[18]HISTOBQUEDEC23!$A$6:$G$39,4,0)</f>
        <v>0</v>
      </c>
      <c r="F27" s="9">
        <f>VLOOKUP(A27,[18]HISTOBQUEDEC23!$A$6:$G$39,5,0)</f>
        <v>0</v>
      </c>
      <c r="G27" s="5">
        <f t="shared" si="14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5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VLOOKUP($A27,[20]TONTDEC23!$A$6:$P$35,12,0)</f>
        <v>0</v>
      </c>
      <c r="Q27" s="2"/>
      <c r="R27" s="2"/>
      <c r="S27" s="20"/>
      <c r="T27" s="12"/>
      <c r="U27" s="17">
        <f t="shared" si="7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12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VLOOKUP(A28,[18]HISTOBQUEDEC23!$A$6:$G$44,3,0)</f>
        <v>115000</v>
      </c>
      <c r="E28" s="9">
        <f>VLOOKUP(A28,[18]HISTOBQUEDEC23!$A$6:$G$39,4,0)</f>
        <v>0</v>
      </c>
      <c r="F28" s="9">
        <f>VLOOKUP(A28,[18]HISTOBQUEDEC23!$A$6:$G$39,5,0)</f>
        <v>0</v>
      </c>
      <c r="G28" s="5">
        <f t="shared" si="14"/>
        <v>0</v>
      </c>
      <c r="H28" s="10" t="str">
        <f t="shared" si="1"/>
        <v>BANQUE</v>
      </c>
      <c r="I28" s="10"/>
      <c r="J28" s="11">
        <v>1</v>
      </c>
      <c r="K28" s="11">
        <f t="shared" si="15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VLOOKUP($A28,[20]TONTDEC23!$A$6:$P$35,12,0)</f>
        <v>0</v>
      </c>
      <c r="Q28" s="2">
        <f>VLOOKUP($A28,[13]TONTDEC23!$A$6:$P$20,10,0)</f>
        <v>0</v>
      </c>
      <c r="R28" s="2"/>
      <c r="S28" s="20"/>
      <c r="T28" s="12"/>
      <c r="U28" s="17">
        <f t="shared" si="7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12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VLOOKUP(A29,[18]HISTOBQUEDEC23!$A$6:$G$44,3,0)</f>
        <v>40000</v>
      </c>
      <c r="E29" s="9">
        <f>VLOOKUP(A29,[18]HISTOBQUEDEC23!$A$6:$G$39,4,0)</f>
        <v>0</v>
      </c>
      <c r="F29" s="9">
        <f>VLOOKUP(A29,[18]HISTOBQUEDEC23!$A$6:$G$39,5,0)</f>
        <v>0</v>
      </c>
      <c r="G29" s="5">
        <f t="shared" si="14"/>
        <v>0</v>
      </c>
      <c r="H29" s="10" t="str">
        <f t="shared" si="1"/>
        <v>BANQUE</v>
      </c>
      <c r="I29" s="10"/>
      <c r="J29" s="11">
        <v>1</v>
      </c>
      <c r="K29" s="11">
        <f t="shared" si="15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VLOOKUP($A29,[20]TONTDEC23!$A$6:$P$35,12,0)</f>
        <v>0</v>
      </c>
      <c r="Q29" s="2"/>
      <c r="R29" s="2"/>
      <c r="S29" s="20"/>
      <c r="T29" s="12"/>
      <c r="U29" s="17">
        <f t="shared" si="7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12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69">
        <f t="shared" si="0"/>
        <v>0</v>
      </c>
      <c r="D30" s="9">
        <f>VLOOKUP(A30,[18]HISTOBQUEDEC23!$A$6:$G$44,3,0)</f>
        <v>115000</v>
      </c>
      <c r="E30" s="9">
        <f>VLOOKUP(A30,[18]HISTOBQUEDEC23!$A$6:$G$39,4,0)</f>
        <v>0</v>
      </c>
      <c r="F30" s="9">
        <f>VLOOKUP(A30,[18]HISTOBQUEDEC23!$A$6:$G$39,5,0)</f>
        <v>0</v>
      </c>
      <c r="G30" s="5">
        <f t="shared" si="14"/>
        <v>0</v>
      </c>
      <c r="H30" s="10" t="str">
        <f t="shared" si="1"/>
        <v>BANQUE</v>
      </c>
      <c r="I30" s="10"/>
      <c r="J30" s="11">
        <v>1</v>
      </c>
      <c r="K30" s="11">
        <f t="shared" si="15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VLOOKUP($A30,[20]TONTDEC23!$A$6:$P$35,12,0)</f>
        <v>0</v>
      </c>
      <c r="Q30" s="2">
        <f>VLOOKUP($A30,[13]TONTDEC23!$A$6:$P$20,10,0)</f>
        <v>0</v>
      </c>
      <c r="R30" s="2"/>
      <c r="S30" s="20"/>
      <c r="T30" s="12"/>
      <c r="U30" s="17">
        <f t="shared" si="7"/>
        <v>115000</v>
      </c>
      <c r="V30" s="12">
        <f>10000+12000+12000</f>
        <v>34000</v>
      </c>
      <c r="W30" s="12"/>
      <c r="X30" s="12"/>
      <c r="Y30" s="12"/>
      <c r="Z30" s="12">
        <v>1000000</v>
      </c>
      <c r="AA30" s="12" t="s">
        <v>8</v>
      </c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940000</v>
      </c>
      <c r="BA30" s="58"/>
      <c r="BB30" s="58"/>
      <c r="BC30" s="15"/>
      <c r="BD30" s="71">
        <f>IF(AZ30=0,(AZ30-BA30-BC30),(AZ30-BA30-BB30-BC30))+F30-772000</f>
        <v>168000</v>
      </c>
      <c r="BE30" s="82"/>
      <c r="BF30" s="29">
        <f t="shared" si="6"/>
        <v>60000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VLOOKUP(A31,[18]HISTOBQUEDEC23!$A$6:$G$44,3,0)</f>
        <v>1171000</v>
      </c>
      <c r="E31" s="9">
        <f>VLOOKUP(A31,[18]HISTOBQUEDEC23!$A$6:$G$39,4,0)</f>
        <v>0</v>
      </c>
      <c r="F31" s="9">
        <f>VLOOKUP(A31,[18]HISTOBQUEDEC23!$A$6:$G$39,5,0)</f>
        <v>0</v>
      </c>
      <c r="G31" s="5">
        <f t="shared" si="14"/>
        <v>0</v>
      </c>
      <c r="H31" s="10" t="str">
        <f t="shared" si="1"/>
        <v>BANQUE</v>
      </c>
      <c r="I31" s="10"/>
      <c r="J31" s="11">
        <v>1</v>
      </c>
      <c r="K31" s="11">
        <f t="shared" si="15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VLOOKUP($A31,[20]TONTDEC23!$A$6:$P$35,12,0)</f>
        <v>0</v>
      </c>
      <c r="Q31" s="2"/>
      <c r="R31" s="2">
        <f>VLOOKUP($A31,[19]TONTDEC23!$A$6:$P$21,10,0)</f>
        <v>31000</v>
      </c>
      <c r="S31" s="20">
        <v>1000000</v>
      </c>
      <c r="T31" s="12" t="s">
        <v>8</v>
      </c>
      <c r="U31" s="17">
        <f t="shared" si="7"/>
        <v>1171000</v>
      </c>
      <c r="V31" s="12"/>
      <c r="W31" s="12"/>
      <c r="X31" s="12"/>
      <c r="Y31" s="12"/>
      <c r="Z31" s="12">
        <v>250000</v>
      </c>
      <c r="AA31" s="12" t="s">
        <v>8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235000</v>
      </c>
      <c r="BA31" s="58"/>
      <c r="BB31" s="58"/>
      <c r="BC31" s="15"/>
      <c r="BD31" s="71">
        <f>IF(AZ31=0,(AZ31-BA31-BC31),(AZ31-BA31-BB31-BC31))+F31+230000</f>
        <v>465000</v>
      </c>
      <c r="BE31" s="82"/>
      <c r="BF31" s="29">
        <f t="shared" si="6"/>
        <v>15000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VLOOKUP(A32,[18]HISTOBQUEDEC23!$A$6:$G$44,3,0)</f>
        <v>416000</v>
      </c>
      <c r="E32" s="9">
        <f>VLOOKUP(A32,[18]HISTOBQUEDEC23!$A$6:$G$39,4,0)</f>
        <v>0</v>
      </c>
      <c r="F32" s="9">
        <f>VLOOKUP(A32,[18]HISTOBQUEDEC23!$A$6:$G$39,5,0)</f>
        <v>0</v>
      </c>
      <c r="G32" s="5">
        <f t="shared" si="14"/>
        <v>0</v>
      </c>
      <c r="H32" s="10" t="str">
        <f t="shared" si="1"/>
        <v>BANQUE</v>
      </c>
      <c r="I32" s="10"/>
      <c r="J32" s="11">
        <v>1</v>
      </c>
      <c r="K32" s="11">
        <f t="shared" si="15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VLOOKUP($A32,[20]TONTDEC23!$A$6:$P$35,12,0)</f>
        <v>0</v>
      </c>
      <c r="Q32" s="2">
        <f>VLOOKUP($A32,[13]TONTDEC23!$A$6:$P$20,10,0)</f>
        <v>101000</v>
      </c>
      <c r="R32" s="2"/>
      <c r="S32" s="20">
        <v>200000</v>
      </c>
      <c r="T32" s="12" t="s">
        <v>8</v>
      </c>
      <c r="U32" s="17">
        <f t="shared" si="7"/>
        <v>416000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12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69">
        <f>D33+E33+F33-U33-BB33+70000</f>
        <v>40000</v>
      </c>
      <c r="D33" s="9">
        <f>VLOOKUP(A33,[18]HISTOBQUEDEC23!$A$6:$G$44,3,0)</f>
        <v>90000</v>
      </c>
      <c r="E33" s="9">
        <f>VLOOKUP(A33,[18]HISTOBQUEDEC23!$A$6:$G$39,4,0)</f>
        <v>0</v>
      </c>
      <c r="F33" s="9">
        <f>VLOOKUP(A33,[18]HISTOBQUEDEC23!$A$6:$G$39,5,0)</f>
        <v>0</v>
      </c>
      <c r="G33" s="5">
        <f t="shared" si="14"/>
        <v>0</v>
      </c>
      <c r="H33" s="10" t="str">
        <f t="shared" si="1"/>
        <v>BANQUE</v>
      </c>
      <c r="I33" s="10">
        <v>10000</v>
      </c>
      <c r="J33" s="11">
        <v>1</v>
      </c>
      <c r="K33" s="11">
        <f t="shared" si="15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VLOOKUP($A33,[20]TONTDEC23!$A$6:$P$35,12,0)</f>
        <v>0</v>
      </c>
      <c r="Q33" s="2"/>
      <c r="R33" s="2"/>
      <c r="S33" s="20"/>
      <c r="T33" s="12"/>
      <c r="U33" s="17">
        <f t="shared" si="7"/>
        <v>50000</v>
      </c>
      <c r="V33" s="12"/>
      <c r="W33" s="12"/>
      <c r="X33" s="12"/>
      <c r="Y33" s="12"/>
      <c r="Z33" s="12"/>
      <c r="AA33" s="12"/>
      <c r="AB33" s="12"/>
      <c r="AC33" s="12">
        <v>2500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25000</v>
      </c>
      <c r="AT33" s="12"/>
      <c r="AV33" s="15"/>
      <c r="AW33" s="15">
        <f t="shared" si="9"/>
        <v>297500</v>
      </c>
      <c r="AX33" s="15">
        <f t="shared" si="10"/>
        <v>0</v>
      </c>
      <c r="AY33" s="15">
        <f t="shared" si="11"/>
        <v>0</v>
      </c>
      <c r="AZ33" s="16">
        <f t="shared" si="12"/>
        <v>297500</v>
      </c>
      <c r="BA33" s="58"/>
      <c r="BB33" s="58">
        <v>70000</v>
      </c>
      <c r="BC33" s="15"/>
      <c r="BD33" s="71">
        <f>IF(AZ33=0,(AZ33-BA33-BC33),(AZ33-BA33-BB33-BC33))+F33-51500</f>
        <v>176000</v>
      </c>
      <c r="BE33" s="82"/>
      <c r="BF33" s="29">
        <f t="shared" si="6"/>
        <v>0</v>
      </c>
      <c r="BG33" s="29">
        <v>12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VLOOKUP(A34,[18]HISTOBQUEDEC23!$A$6:$G$44,3,0)</f>
        <v>40000</v>
      </c>
      <c r="E34" s="9">
        <f>VLOOKUP(A34,[18]HISTOBQUEDEC23!$A$6:$G$39,4,0)</f>
        <v>0</v>
      </c>
      <c r="F34" s="9">
        <f>VLOOKUP(A34,[18]HISTOBQUEDEC23!$A$6:$G$39,5,0)</f>
        <v>0</v>
      </c>
      <c r="G34" s="5">
        <f t="shared" si="14"/>
        <v>0</v>
      </c>
      <c r="H34" s="10" t="str">
        <f t="shared" si="1"/>
        <v>BANQUE</v>
      </c>
      <c r="I34" s="10"/>
      <c r="J34" s="11">
        <v>1</v>
      </c>
      <c r="K34" s="11">
        <f t="shared" si="15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VLOOKUP($A34,[20]TONTDEC23!$A$6:$P$35,12,0)</f>
        <v>0</v>
      </c>
      <c r="Q34" s="2"/>
      <c r="R34" s="2"/>
      <c r="S34" s="20"/>
      <c r="T34" s="12"/>
      <c r="U34" s="17">
        <f t="shared" si="7"/>
        <v>40000</v>
      </c>
      <c r="V34" s="12"/>
      <c r="W34" s="12"/>
      <c r="X34" s="12"/>
      <c r="Y34" s="12"/>
      <c r="Z34" s="12">
        <v>700000</v>
      </c>
      <c r="AA34" s="12" t="s">
        <v>8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15000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616000</v>
      </c>
      <c r="BA34" s="58"/>
      <c r="BB34" s="58"/>
      <c r="BC34" s="15"/>
      <c r="BD34" s="71">
        <f t="shared" si="13"/>
        <v>616000</v>
      </c>
      <c r="BE34" s="82"/>
      <c r="BF34" s="29">
        <f t="shared" si="6"/>
        <v>84000</v>
      </c>
      <c r="BG34" s="29">
        <v>12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D35+E35+F35-U35-BB35+70000</f>
        <v>0</v>
      </c>
      <c r="D35" s="9">
        <f>VLOOKUP(A35,[18]HISTOBQUEDEC23!$A$6:$G$44,3,0)+227500</f>
        <v>227500</v>
      </c>
      <c r="E35" s="9">
        <f>VLOOKUP(A35,[18]HISTOBQUEDEC23!$A$6:$G$39,4,0)</f>
        <v>40000</v>
      </c>
      <c r="F35" s="9">
        <f>VLOOKUP(A35,[18]HISTOBQUEDEC23!$A$6:$G$39,5,0)</f>
        <v>0</v>
      </c>
      <c r="G35" s="5">
        <f>IF(H35="ESPECES",3000,0)</f>
        <v>0</v>
      </c>
      <c r="H35" s="10" t="str">
        <f t="shared" si="1"/>
        <v>BANQUE</v>
      </c>
      <c r="I35" s="10"/>
      <c r="J35" s="11">
        <v>1</v>
      </c>
      <c r="K35" s="11">
        <f t="shared" si="15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VLOOKUP($A35,[20]TONTDEC23!$A$6:$P$35,12,0)</f>
        <v>0</v>
      </c>
      <c r="Q35" s="2"/>
      <c r="R35" s="2"/>
      <c r="S35" s="20">
        <v>227500</v>
      </c>
      <c r="T35" s="12" t="s">
        <v>8</v>
      </c>
      <c r="U35" s="17">
        <f t="shared" si="7"/>
        <v>267500</v>
      </c>
      <c r="V35" s="12"/>
      <c r="W35" s="12"/>
      <c r="X35" s="12"/>
      <c r="Y35" s="12"/>
      <c r="Z35" s="12"/>
      <c r="AA35" s="12"/>
      <c r="AB35" s="12"/>
      <c r="AC35" s="12">
        <v>2500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297500</v>
      </c>
      <c r="AX35" s="15">
        <f t="shared" si="10"/>
        <v>0</v>
      </c>
      <c r="AY35" s="15">
        <f t="shared" si="11"/>
        <v>0</v>
      </c>
      <c r="AZ35" s="16">
        <f t="shared" si="12"/>
        <v>297500</v>
      </c>
      <c r="BA35" s="58"/>
      <c r="BB35" s="58">
        <v>70000</v>
      </c>
      <c r="BC35" s="15"/>
      <c r="BD35" s="71">
        <f t="shared" si="13"/>
        <v>227500</v>
      </c>
      <c r="BE35" s="82"/>
      <c r="BF35" s="29">
        <f t="shared" si="6"/>
        <v>0</v>
      </c>
      <c r="BG35" s="29">
        <v>12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/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69">
        <f t="shared" si="0"/>
        <v>0</v>
      </c>
      <c r="D36" s="9">
        <f>VLOOKUP(A36,[18]HISTOBQUEDEC23!$A$6:$G$44,3,0)</f>
        <v>290000</v>
      </c>
      <c r="E36" s="9">
        <f>VLOOKUP(A36,[18]HISTOBQUEDEC23!$A$6:$G$39,4,0)</f>
        <v>0</v>
      </c>
      <c r="F36" s="9">
        <f>VLOOKUP(A36,[18]HISTOBQUEDEC23!$A$6:$G$39,5,0)</f>
        <v>0</v>
      </c>
      <c r="G36" s="5">
        <f t="shared" si="14"/>
        <v>0</v>
      </c>
      <c r="H36" s="10" t="str">
        <f t="shared" si="1"/>
        <v>BANQUE</v>
      </c>
      <c r="I36" s="10"/>
      <c r="J36" s="11">
        <v>1</v>
      </c>
      <c r="K36" s="11">
        <f t="shared" si="15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VLOOKUP($A36,[20]TONTDEC23!$A$6:$P$35,12,0)</f>
        <v>0</v>
      </c>
      <c r="Q36" s="2">
        <f>VLOOKUP($A36,[13]TONTDEC23!$A$6:$P$20,10,0)</f>
        <v>0</v>
      </c>
      <c r="R36" s="2">
        <f>VLOOKUP($A36,[19]TONTDEC23!$A$6:$P$21,10,0)</f>
        <v>0</v>
      </c>
      <c r="S36" s="6"/>
      <c r="T36" s="12"/>
      <c r="U36" s="17">
        <f t="shared" si="7"/>
        <v>290000</v>
      </c>
      <c r="V36" s="12">
        <f>5000+6000</f>
        <v>11000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12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261000</v>
      </c>
      <c r="D38" s="5">
        <f t="shared" si="16"/>
        <v>11438000</v>
      </c>
      <c r="E38" s="5">
        <f t="shared" si="16"/>
        <v>8171000</v>
      </c>
      <c r="F38" s="5">
        <f t="shared" si="16"/>
        <v>0</v>
      </c>
      <c r="G38" s="5">
        <f t="shared" si="16"/>
        <v>0</v>
      </c>
      <c r="H38" s="5">
        <f t="shared" si="16"/>
        <v>0</v>
      </c>
      <c r="I38" s="5">
        <f t="shared" si="16"/>
        <v>203800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59500</v>
      </c>
      <c r="Q38" s="5">
        <f t="shared" si="16"/>
        <v>738000</v>
      </c>
      <c r="R38" s="5">
        <f t="shared" si="16"/>
        <v>1154000</v>
      </c>
      <c r="S38" s="5">
        <f t="shared" si="16"/>
        <v>13317700</v>
      </c>
      <c r="T38" s="5"/>
      <c r="U38" s="5">
        <f t="shared" ref="U38:AA38" si="17">SUM(U6:U37)</f>
        <v>19348000</v>
      </c>
      <c r="V38" s="5">
        <f t="shared" si="17"/>
        <v>207000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14250000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7500</v>
      </c>
      <c r="AE38" s="5">
        <f>SUM(AE6:AE37)</f>
        <v>10000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0</v>
      </c>
      <c r="AJ38" s="5">
        <f t="shared" si="18"/>
        <v>0</v>
      </c>
      <c r="AK38" s="5">
        <f t="shared" si="18"/>
        <v>0</v>
      </c>
      <c r="AL38" s="5">
        <f t="shared" si="18"/>
        <v>0</v>
      </c>
      <c r="AM38" s="5">
        <f t="shared" si="18"/>
        <v>0</v>
      </c>
      <c r="AN38" s="5">
        <f t="shared" si="18"/>
        <v>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653800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595000</v>
      </c>
      <c r="AX38" s="5">
        <f t="shared" si="18"/>
        <v>892500</v>
      </c>
      <c r="AY38" s="5">
        <f t="shared" si="18"/>
        <v>1190000</v>
      </c>
      <c r="AZ38" s="5">
        <f t="shared" si="18"/>
        <v>15771500</v>
      </c>
      <c r="BA38" s="5">
        <f t="shared" si="18"/>
        <v>0</v>
      </c>
      <c r="BB38" s="5">
        <f t="shared" si="18"/>
        <v>140000</v>
      </c>
      <c r="BC38" s="5">
        <f t="shared" si="18"/>
        <v>0</v>
      </c>
      <c r="BD38" s="5">
        <f t="shared" si="18"/>
        <v>16029000</v>
      </c>
      <c r="BE38" s="5"/>
      <c r="BF38" s="5">
        <f>SUM(BF6:BF37)</f>
        <v>1162000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15771500</v>
      </c>
      <c r="D43" s="9">
        <f>SUMIFS(D8:D38,H8:H38,"BANQUE")</f>
        <v>11263000</v>
      </c>
      <c r="F43" s="9">
        <f>E38</f>
        <v>8171000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29454500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1</vt:i4>
      </vt:variant>
    </vt:vector>
  </HeadingPairs>
  <TitlesOfParts>
    <vt:vector size="32" baseType="lpstr">
      <vt:lpstr>MODEVERSEMENT</vt:lpstr>
      <vt:lpstr>HISTOMVTDEPENSE</vt:lpstr>
      <vt:lpstr>COMPTE BANQUE</vt:lpstr>
      <vt:lpstr>HISTODEC22</vt:lpstr>
      <vt:lpstr>HISTOJANV24</vt:lpstr>
      <vt:lpstr>HISTOFEV24</vt:lpstr>
      <vt:lpstr>HISTOMARS24</vt:lpstr>
      <vt:lpstr>HISTOAVRIL24</vt:lpstr>
      <vt:lpstr>HISTOMAI24</vt:lpstr>
      <vt:lpstr>HISTOJUIN24</vt:lpstr>
      <vt:lpstr>HISTOJUIL24</vt:lpstr>
      <vt:lpstr>HISTOAOUT24</vt:lpstr>
      <vt:lpstr>HISTOSEPT24</vt:lpstr>
      <vt:lpstr>HISTOOCT24</vt:lpstr>
      <vt:lpstr>HISTONOV24</vt:lpstr>
      <vt:lpstr>HISTODEC24</vt:lpstr>
      <vt:lpstr>HISTORESUME24</vt:lpstr>
      <vt:lpstr>HISTOJANV23</vt:lpstr>
      <vt:lpstr>HISTOFEV23</vt:lpstr>
      <vt:lpstr>HISTOMARS23</vt:lpstr>
      <vt:lpstr>HISTOAVRIL23</vt:lpstr>
      <vt:lpstr>HISTOMAI23</vt:lpstr>
      <vt:lpstr>HISTOJUIN23</vt:lpstr>
      <vt:lpstr>HISTOJUIL23</vt:lpstr>
      <vt:lpstr>HISTOAOUT23</vt:lpstr>
      <vt:lpstr>HISTOSEPT23</vt:lpstr>
      <vt:lpstr>HISTOOCT23</vt:lpstr>
      <vt:lpstr>HISTONOV23</vt:lpstr>
      <vt:lpstr>HISTODEC23</vt:lpstr>
      <vt:lpstr>HISTORESUME23</vt:lpstr>
      <vt:lpstr>DETAILSORTIE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2024-04-08T15:17:01Z</dcterms:modified>
</cp:coreProperties>
</file>