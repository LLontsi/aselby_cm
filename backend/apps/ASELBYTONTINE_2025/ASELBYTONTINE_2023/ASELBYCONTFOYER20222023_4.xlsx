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20490" windowHeight="7095"/>
  </bookViews>
  <sheets>
    <sheet name="Feuil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C41" i="1"/>
  <c r="B35" i="1"/>
  <c r="C31" i="1"/>
  <c r="C10" i="1"/>
  <c r="C23" i="1"/>
</calcChain>
</file>

<file path=xl/sharedStrings.xml><?xml version="1.0" encoding="utf-8"?>
<sst xmlns="http://schemas.openxmlformats.org/spreadsheetml/2006/main" count="78" uniqueCount="77">
  <si>
    <t>MATRICULE</t>
  </si>
  <si>
    <t>NOM ET PRENOM</t>
  </si>
  <si>
    <t>AS201602</t>
  </si>
  <si>
    <t>BOUTCHOUANG WILLIAM</t>
  </si>
  <si>
    <t>AS201604</t>
  </si>
  <si>
    <t xml:space="preserve">DJOMO JEAN PAUL </t>
  </si>
  <si>
    <t>AS201654</t>
  </si>
  <si>
    <t>DJOMOU TCHANDA</t>
  </si>
  <si>
    <t>AS201605</t>
  </si>
  <si>
    <t>DJOUKWE NANGUEN GUY BLAISE</t>
  </si>
  <si>
    <t>AS201608</t>
  </si>
  <si>
    <t>DJUOMBESSY ANTOINE</t>
  </si>
  <si>
    <t>AS201651</t>
  </si>
  <si>
    <t>DOMOU FABIEN</t>
  </si>
  <si>
    <t>AS201609</t>
  </si>
  <si>
    <t>DONHOU DAVID</t>
  </si>
  <si>
    <t>AS201610</t>
  </si>
  <si>
    <t>FOTSO THOMAS</t>
  </si>
  <si>
    <t>AS201611</t>
  </si>
  <si>
    <t>HENGUE PAUL OMER</t>
  </si>
  <si>
    <t>AS201613</t>
  </si>
  <si>
    <t>HOTCHO BENJAMIN</t>
  </si>
  <si>
    <t>AS201617</t>
  </si>
  <si>
    <t>KOUAMOU MOISE</t>
  </si>
  <si>
    <t>AS201619</t>
  </si>
  <si>
    <t>KOUATCHO MESSACK</t>
  </si>
  <si>
    <t>AS201620</t>
  </si>
  <si>
    <t>LOWE JEAN</t>
  </si>
  <si>
    <t>AS201649</t>
  </si>
  <si>
    <t>MBOGNING TUGMA GUY</t>
  </si>
  <si>
    <t>AS201639</t>
  </si>
  <si>
    <t>NANGUEN MARTIN</t>
  </si>
  <si>
    <t>AS201621</t>
  </si>
  <si>
    <t>NANKAM APPOLINAIRE</t>
  </si>
  <si>
    <t>AS201622</t>
  </si>
  <si>
    <t>NDJOMO ETIENNE</t>
  </si>
  <si>
    <t>AS201624</t>
  </si>
  <si>
    <t>NGONDIEP CLAUDE</t>
  </si>
  <si>
    <t>AS201626</t>
  </si>
  <si>
    <t>NGUIEMEGNI MATHIEU BLAISE</t>
  </si>
  <si>
    <t>AS201628</t>
  </si>
  <si>
    <t>NKAMGANG JUSTIN DEJOLIE</t>
  </si>
  <si>
    <t>AS201614</t>
  </si>
  <si>
    <t>NKEHE DAVID</t>
  </si>
  <si>
    <t>AS201629</t>
  </si>
  <si>
    <t>NKEPSEU DIEUDONNE</t>
  </si>
  <si>
    <t>AS201633</t>
  </si>
  <si>
    <t>PATEGO NJOSSU GUSTAVE</t>
  </si>
  <si>
    <t>AS201653</t>
  </si>
  <si>
    <t>SIME BRICE</t>
  </si>
  <si>
    <t>AS201636</t>
  </si>
  <si>
    <t>SIMO FONGANG ERIC</t>
  </si>
  <si>
    <t>AS201638</t>
  </si>
  <si>
    <t>SIMO PIERRE</t>
  </si>
  <si>
    <t>AS201641</t>
  </si>
  <si>
    <t>TCHOUAMOU MATHIEU</t>
  </si>
  <si>
    <t>AS201644</t>
  </si>
  <si>
    <t>TIEYAM ERNEST</t>
  </si>
  <si>
    <t>AS201646</t>
  </si>
  <si>
    <t>YEPMOU JEAN JACQUES</t>
  </si>
  <si>
    <t>AS201647</t>
  </si>
  <si>
    <t>YOUMBI EMMANUEL</t>
  </si>
  <si>
    <t>DATE</t>
  </si>
  <si>
    <t>CONTRIBUTION FOYER 2022 ET 2023</t>
  </si>
  <si>
    <t>TOTAUX</t>
  </si>
  <si>
    <t>JANV/JUIN 22</t>
  </si>
  <si>
    <t>JANV ET DEC 2022</t>
  </si>
  <si>
    <t>SEPT ET DEC 2022</t>
  </si>
  <si>
    <t>AS201601</t>
  </si>
  <si>
    <t>BAKOP ACHILLE</t>
  </si>
  <si>
    <t>AS201656</t>
  </si>
  <si>
    <t>NOUBE ETIENNE</t>
  </si>
  <si>
    <t>AS201657</t>
  </si>
  <si>
    <t>SEUMO POLYCARPE</t>
  </si>
  <si>
    <t>AS201643</t>
  </si>
  <si>
    <t>AS201658</t>
  </si>
  <si>
    <t>YANTCHOU GERVAIS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</si>
</sst>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00B050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AS201657</v>
          </cell>
          <cell r="B40">
            <v>35</v>
          </cell>
          <cell r="C40" t="str">
            <v>SEUMO POLYCARPE</v>
          </cell>
          <cell r="D40">
            <v>0</v>
          </cell>
          <cell r="E40">
            <v>0</v>
          </cell>
          <cell r="F40">
            <v>696585118</v>
          </cell>
          <cell r="G40">
            <v>0</v>
          </cell>
          <cell r="H40">
            <v>0</v>
          </cell>
        </row>
        <row r="41">
          <cell r="A41" t="str">
            <v>AS201658</v>
          </cell>
          <cell r="B41">
            <v>36</v>
          </cell>
          <cell r="C41" t="str">
            <v>YANTCHOU GERVAIS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topLeftCell="A28" workbookViewId="0">
      <selection activeCell="E41" sqref="E41"/>
    </sheetView>
  </sheetViews>
  <sheetFormatPr baseColWidth="10" defaultRowHeight="15" x14ac:dyDescent="0.25"/>
  <cols>
    <col min="1" max="1" width="12" bestFit="1" customWidth="1"/>
    <col min="2" max="2" width="31.85546875" bestFit="1" customWidth="1"/>
    <col min="4" max="4" width="16.5703125" bestFit="1" customWidth="1"/>
  </cols>
  <sheetData>
    <row r="1" spans="1:6" ht="18.75" x14ac:dyDescent="0.3">
      <c r="B1" s="2" t="s">
        <v>63</v>
      </c>
    </row>
    <row r="3" spans="1:6" x14ac:dyDescent="0.25">
      <c r="A3" s="1" t="s">
        <v>0</v>
      </c>
      <c r="B3" s="1" t="s">
        <v>1</v>
      </c>
      <c r="C3" s="1">
        <v>2022</v>
      </c>
      <c r="D3" s="1" t="s">
        <v>62</v>
      </c>
      <c r="E3" s="1">
        <v>2023</v>
      </c>
      <c r="F3" s="1" t="s">
        <v>62</v>
      </c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 t="s">
        <v>68</v>
      </c>
      <c r="B5" s="1" t="s">
        <v>69</v>
      </c>
      <c r="C5" s="1"/>
      <c r="D5" s="1"/>
      <c r="E5" s="3">
        <v>140000</v>
      </c>
      <c r="F5" s="4">
        <v>45108</v>
      </c>
    </row>
    <row r="6" spans="1:6" x14ac:dyDescent="0.25">
      <c r="A6" s="1" t="s">
        <v>2</v>
      </c>
      <c r="B6" s="1" t="s">
        <v>3</v>
      </c>
      <c r="C6" s="3">
        <v>70000</v>
      </c>
      <c r="D6" s="4">
        <v>44743</v>
      </c>
      <c r="E6" s="3">
        <v>70000</v>
      </c>
      <c r="F6" s="4">
        <v>45200</v>
      </c>
    </row>
    <row r="7" spans="1:6" x14ac:dyDescent="0.25">
      <c r="A7" s="1" t="s">
        <v>4</v>
      </c>
      <c r="B7" s="1" t="s">
        <v>5</v>
      </c>
      <c r="C7" s="3">
        <v>0</v>
      </c>
      <c r="E7" s="3">
        <v>140000</v>
      </c>
      <c r="F7" s="4">
        <v>44927</v>
      </c>
    </row>
    <row r="8" spans="1:6" x14ac:dyDescent="0.25">
      <c r="A8" s="1" t="s">
        <v>6</v>
      </c>
      <c r="B8" s="1" t="s">
        <v>7</v>
      </c>
      <c r="C8" s="3">
        <v>113000</v>
      </c>
      <c r="D8" s="4">
        <v>44805</v>
      </c>
      <c r="E8" s="3">
        <v>70000</v>
      </c>
      <c r="F8" s="4">
        <v>45017</v>
      </c>
    </row>
    <row r="9" spans="1:6" x14ac:dyDescent="0.25">
      <c r="A9" s="1" t="s">
        <v>8</v>
      </c>
      <c r="B9" s="1" t="s">
        <v>9</v>
      </c>
      <c r="C9" s="3">
        <v>70000</v>
      </c>
      <c r="D9" s="4">
        <v>44805</v>
      </c>
      <c r="E9" s="3">
        <v>70000</v>
      </c>
      <c r="F9" s="4">
        <v>45017</v>
      </c>
    </row>
    <row r="10" spans="1:6" x14ac:dyDescent="0.25">
      <c r="A10" s="1" t="s">
        <v>10</v>
      </c>
      <c r="B10" s="1" t="s">
        <v>11</v>
      </c>
      <c r="C10" s="3">
        <f>61000+9000</f>
        <v>70000</v>
      </c>
      <c r="D10" s="4" t="s">
        <v>66</v>
      </c>
      <c r="E10" s="3">
        <v>70000</v>
      </c>
      <c r="F10" s="4">
        <v>45047</v>
      </c>
    </row>
    <row r="11" spans="1:6" x14ac:dyDescent="0.25">
      <c r="A11" s="1" t="s">
        <v>12</v>
      </c>
      <c r="B11" s="1" t="s">
        <v>13</v>
      </c>
      <c r="C11" s="3">
        <v>33000</v>
      </c>
      <c r="D11" s="4">
        <v>44713</v>
      </c>
      <c r="E11" s="3">
        <v>70000</v>
      </c>
      <c r="F11" s="4">
        <v>44986</v>
      </c>
    </row>
    <row r="12" spans="1:6" x14ac:dyDescent="0.25">
      <c r="A12" s="1" t="s">
        <v>14</v>
      </c>
      <c r="B12" s="1" t="s">
        <v>15</v>
      </c>
      <c r="C12" s="3">
        <v>70000</v>
      </c>
      <c r="D12" s="4">
        <v>44562</v>
      </c>
      <c r="E12" s="3">
        <v>70000</v>
      </c>
      <c r="F12" s="4">
        <v>45231</v>
      </c>
    </row>
    <row r="13" spans="1:6" x14ac:dyDescent="0.25">
      <c r="A13" s="1" t="s">
        <v>16</v>
      </c>
      <c r="B13" s="1" t="s">
        <v>17</v>
      </c>
      <c r="C13" s="3">
        <v>0</v>
      </c>
    </row>
    <row r="14" spans="1:6" x14ac:dyDescent="0.25">
      <c r="A14" s="1" t="s">
        <v>18</v>
      </c>
      <c r="B14" s="1" t="s">
        <v>19</v>
      </c>
      <c r="C14" s="3">
        <v>70000</v>
      </c>
      <c r="D14" s="4">
        <v>44774</v>
      </c>
      <c r="E14" s="3">
        <v>70000</v>
      </c>
      <c r="F14" s="4">
        <v>45108</v>
      </c>
    </row>
    <row r="15" spans="1:6" x14ac:dyDescent="0.25">
      <c r="A15" s="1" t="s">
        <v>20</v>
      </c>
      <c r="B15" s="1" t="s">
        <v>21</v>
      </c>
      <c r="C15" s="3">
        <v>70000</v>
      </c>
      <c r="D15" s="4">
        <v>44562</v>
      </c>
      <c r="E15" s="3">
        <v>70000</v>
      </c>
      <c r="F15" s="4">
        <v>45047</v>
      </c>
    </row>
    <row r="16" spans="1:6" x14ac:dyDescent="0.25">
      <c r="A16" s="1" t="s">
        <v>22</v>
      </c>
      <c r="B16" s="1" t="s">
        <v>23</v>
      </c>
      <c r="C16" s="3">
        <v>70000</v>
      </c>
      <c r="D16" s="4">
        <v>44805</v>
      </c>
      <c r="E16" s="3">
        <v>70000</v>
      </c>
      <c r="F16" s="4">
        <v>44958</v>
      </c>
    </row>
    <row r="17" spans="1:6" x14ac:dyDescent="0.25">
      <c r="A17" s="1" t="s">
        <v>24</v>
      </c>
      <c r="B17" s="1" t="s">
        <v>25</v>
      </c>
      <c r="C17" s="3">
        <v>70000</v>
      </c>
      <c r="D17" s="4">
        <v>44621</v>
      </c>
      <c r="E17" s="3">
        <v>70000</v>
      </c>
      <c r="F17" s="4">
        <v>44927</v>
      </c>
    </row>
    <row r="18" spans="1:6" x14ac:dyDescent="0.25">
      <c r="A18" s="1" t="s">
        <v>26</v>
      </c>
      <c r="B18" s="1" t="s">
        <v>27</v>
      </c>
      <c r="C18" s="3">
        <v>0</v>
      </c>
      <c r="E18" s="3">
        <v>70000</v>
      </c>
      <c r="F18" s="4">
        <v>45047</v>
      </c>
    </row>
    <row r="19" spans="1:6" x14ac:dyDescent="0.25">
      <c r="A19" s="1" t="s">
        <v>28</v>
      </c>
      <c r="B19" s="1" t="s">
        <v>29</v>
      </c>
      <c r="C19" s="3">
        <v>70000</v>
      </c>
      <c r="D19" s="4">
        <v>44593</v>
      </c>
      <c r="E19" s="3">
        <v>70000</v>
      </c>
      <c r="F19" s="4">
        <v>44986</v>
      </c>
    </row>
    <row r="20" spans="1:6" x14ac:dyDescent="0.25">
      <c r="A20" s="1" t="s">
        <v>30</v>
      </c>
      <c r="B20" s="1" t="s">
        <v>31</v>
      </c>
      <c r="C20" s="3">
        <v>70000</v>
      </c>
      <c r="D20" s="4">
        <v>44866</v>
      </c>
      <c r="E20" s="3">
        <v>70000</v>
      </c>
      <c r="F20" s="4">
        <v>45139</v>
      </c>
    </row>
    <row r="21" spans="1:6" x14ac:dyDescent="0.25">
      <c r="A21" s="1" t="s">
        <v>32</v>
      </c>
      <c r="B21" s="1" t="s">
        <v>33</v>
      </c>
      <c r="C21" s="3">
        <v>70000</v>
      </c>
      <c r="D21" s="4">
        <v>44621</v>
      </c>
      <c r="E21" s="3">
        <v>70000</v>
      </c>
      <c r="F21" s="4">
        <v>45078</v>
      </c>
    </row>
    <row r="22" spans="1:6" x14ac:dyDescent="0.25">
      <c r="A22" s="1" t="s">
        <v>34</v>
      </c>
      <c r="B22" s="1" t="s">
        <v>35</v>
      </c>
      <c r="C22" s="3">
        <v>70000</v>
      </c>
      <c r="D22" s="4">
        <v>44682</v>
      </c>
      <c r="E22" s="3">
        <v>70000</v>
      </c>
      <c r="F22" s="4">
        <v>45170</v>
      </c>
    </row>
    <row r="23" spans="1:6" x14ac:dyDescent="0.25">
      <c r="A23" s="1" t="s">
        <v>36</v>
      </c>
      <c r="B23" s="1" t="s">
        <v>37</v>
      </c>
      <c r="C23" s="3">
        <f>70000+20000</f>
        <v>90000</v>
      </c>
      <c r="D23" s="4" t="s">
        <v>65</v>
      </c>
      <c r="E23" s="3">
        <v>70000</v>
      </c>
      <c r="F23" s="4">
        <v>45047</v>
      </c>
    </row>
    <row r="24" spans="1:6" x14ac:dyDescent="0.25">
      <c r="A24" s="1" t="s">
        <v>38</v>
      </c>
      <c r="B24" s="1" t="s">
        <v>39</v>
      </c>
      <c r="C24" s="3">
        <v>70000</v>
      </c>
      <c r="D24" s="4">
        <v>44562</v>
      </c>
      <c r="E24" s="3">
        <v>70000</v>
      </c>
      <c r="F24" s="4">
        <v>44958</v>
      </c>
    </row>
    <row r="25" spans="1:6" x14ac:dyDescent="0.25">
      <c r="A25" s="1" t="s">
        <v>40</v>
      </c>
      <c r="B25" s="1" t="s">
        <v>41</v>
      </c>
      <c r="C25" s="3">
        <v>73000</v>
      </c>
      <c r="D25" s="4">
        <v>44713</v>
      </c>
      <c r="E25" s="3">
        <v>70000</v>
      </c>
      <c r="F25" s="4">
        <v>44958</v>
      </c>
    </row>
    <row r="26" spans="1:6" x14ac:dyDescent="0.25">
      <c r="A26" s="1" t="s">
        <v>70</v>
      </c>
      <c r="B26" s="1" t="s">
        <v>71</v>
      </c>
      <c r="C26" s="3"/>
      <c r="D26" s="4"/>
      <c r="E26" s="3">
        <v>70000</v>
      </c>
      <c r="F26" s="4">
        <v>45170</v>
      </c>
    </row>
    <row r="27" spans="1:6" x14ac:dyDescent="0.25">
      <c r="A27" s="1" t="s">
        <v>42</v>
      </c>
      <c r="B27" s="1" t="s">
        <v>43</v>
      </c>
      <c r="C27" s="3">
        <v>0</v>
      </c>
    </row>
    <row r="28" spans="1:6" x14ac:dyDescent="0.25">
      <c r="A28" s="1" t="s">
        <v>44</v>
      </c>
      <c r="B28" s="1" t="s">
        <v>45</v>
      </c>
      <c r="C28" s="3">
        <v>70000</v>
      </c>
      <c r="D28" s="4">
        <v>44682</v>
      </c>
    </row>
    <row r="29" spans="1:6" x14ac:dyDescent="0.25">
      <c r="A29" s="1" t="s">
        <v>46</v>
      </c>
      <c r="B29" s="1" t="s">
        <v>47</v>
      </c>
      <c r="C29" s="3">
        <v>70000</v>
      </c>
      <c r="D29" s="4">
        <v>44835</v>
      </c>
      <c r="E29" s="3">
        <v>70000</v>
      </c>
      <c r="F29" s="4">
        <v>45231</v>
      </c>
    </row>
    <row r="30" spans="1:6" x14ac:dyDescent="0.25">
      <c r="A30" s="1" t="s">
        <v>72</v>
      </c>
      <c r="B30" s="1" t="s">
        <v>73</v>
      </c>
      <c r="C30" s="3"/>
      <c r="D30" s="4"/>
      <c r="E30" s="3">
        <v>70000</v>
      </c>
      <c r="F30" s="4">
        <v>45170</v>
      </c>
    </row>
    <row r="31" spans="1:6" x14ac:dyDescent="0.25">
      <c r="A31" s="1" t="s">
        <v>48</v>
      </c>
      <c r="B31" s="1" t="s">
        <v>49</v>
      </c>
      <c r="C31" s="3">
        <f>70000+100000</f>
        <v>170000</v>
      </c>
      <c r="D31" s="4" t="s">
        <v>67</v>
      </c>
      <c r="E31" s="3">
        <v>70000</v>
      </c>
      <c r="F31" s="4">
        <v>45139</v>
      </c>
    </row>
    <row r="32" spans="1:6" x14ac:dyDescent="0.25">
      <c r="A32" s="1" t="s">
        <v>50</v>
      </c>
      <c r="B32" s="1" t="s">
        <v>51</v>
      </c>
      <c r="C32" s="3">
        <v>0</v>
      </c>
    </row>
    <row r="33" spans="1:6" x14ac:dyDescent="0.25">
      <c r="A33" s="1" t="s">
        <v>52</v>
      </c>
      <c r="B33" s="1" t="s">
        <v>53</v>
      </c>
      <c r="C33" s="3">
        <v>70000</v>
      </c>
      <c r="D33" s="4">
        <v>44562</v>
      </c>
      <c r="E33" s="3">
        <v>70000</v>
      </c>
      <c r="F33" s="4">
        <v>44986</v>
      </c>
    </row>
    <row r="34" spans="1:6" x14ac:dyDescent="0.25">
      <c r="A34" s="1" t="s">
        <v>54</v>
      </c>
      <c r="B34" s="1" t="s">
        <v>55</v>
      </c>
      <c r="C34" s="3">
        <v>70000</v>
      </c>
      <c r="D34" s="4">
        <v>44682</v>
      </c>
      <c r="E34" s="3">
        <v>70000</v>
      </c>
      <c r="F34" s="4">
        <v>45108</v>
      </c>
    </row>
    <row r="35" spans="1:6" x14ac:dyDescent="0.25">
      <c r="A35" s="1" t="s">
        <v>74</v>
      </c>
      <c r="B35" s="1" t="str">
        <f>VLOOKUP(A35,[1]LISTADHERENT!A$5:H$60,3,0)</f>
        <v>TCHOUTOU NANA CLAUDE</v>
      </c>
      <c r="C35" s="3"/>
      <c r="D35" s="4"/>
      <c r="E35" s="3">
        <v>70000</v>
      </c>
      <c r="F35" s="4">
        <v>45261</v>
      </c>
    </row>
    <row r="36" spans="1:6" x14ac:dyDescent="0.25">
      <c r="A36" s="1" t="s">
        <v>75</v>
      </c>
      <c r="B36" s="1" t="s">
        <v>76</v>
      </c>
      <c r="C36" s="3"/>
      <c r="D36" s="4"/>
      <c r="E36" s="3">
        <v>70000</v>
      </c>
      <c r="F36" s="4">
        <v>45200</v>
      </c>
    </row>
    <row r="37" spans="1:6" x14ac:dyDescent="0.25">
      <c r="A37" s="1" t="s">
        <v>56</v>
      </c>
      <c r="B37" s="1" t="s">
        <v>57</v>
      </c>
      <c r="C37" s="3">
        <v>0</v>
      </c>
    </row>
    <row r="38" spans="1:6" x14ac:dyDescent="0.25">
      <c r="A38" s="1" t="s">
        <v>58</v>
      </c>
      <c r="B38" s="1" t="s">
        <v>59</v>
      </c>
      <c r="C38" s="3">
        <v>70000</v>
      </c>
      <c r="D38" s="4">
        <v>44774</v>
      </c>
      <c r="E38" s="3">
        <v>70000</v>
      </c>
      <c r="F38" s="4">
        <v>45261</v>
      </c>
    </row>
    <row r="39" spans="1:6" x14ac:dyDescent="0.25">
      <c r="A39" s="1" t="s">
        <v>60</v>
      </c>
      <c r="B39" s="1" t="s">
        <v>61</v>
      </c>
      <c r="C39" s="3">
        <v>70000</v>
      </c>
      <c r="D39" s="4">
        <v>44562</v>
      </c>
      <c r="E39" s="3">
        <v>70000</v>
      </c>
      <c r="F39" s="4">
        <v>45231</v>
      </c>
    </row>
    <row r="41" spans="1:6" x14ac:dyDescent="0.25">
      <c r="A41" s="1" t="s">
        <v>64</v>
      </c>
      <c r="C41" s="3">
        <f>SUM(C5:C40)</f>
        <v>1809000</v>
      </c>
      <c r="E41" s="3">
        <f>SUM(E5:E40)</f>
        <v>2240000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2024-01-28T12:20:58Z</dcterms:created>
  <dcterms:modified xsi:type="dcterms:W3CDTF">2024-01-28T13:10:16Z</dcterms:modified>
</cp:coreProperties>
</file>