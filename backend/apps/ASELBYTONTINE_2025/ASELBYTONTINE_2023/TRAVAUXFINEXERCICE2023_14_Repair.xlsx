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</workbook>
</file>

<file path=xl/comments1.xml><?xml version="1.0" encoding="utf-8"?>
<comments xmlns="http://schemas.openxmlformats.org/spreadsheetml/2006/main">
  <authors>
    <author>DJUOMBESSY</author>
  </authors>
  <commentList>
    <comment ref="BE4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LIQUIDATION COMPTE SIME ABEL</t>
        </r>
      </text>
    </comment>
  </commentList>
</comments>
</file>

<file path=xl/sharedStrings.xml><?xml version="1.0" encoding="utf-8"?>
<sst xmlns="http://schemas.openxmlformats.org/spreadsheetml/2006/main" count="470" uniqueCount="232">
  <si>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</si>
  <si>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</si>
  <si>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</si>
  <si>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</si>
  <si>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</si>
  <si>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</si>
  <si>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</si>
  <si>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</si>
  <si>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FONDS DE CAISSE</t>
  </si>
  <si>
    <t>RELIQUAT 2015</t>
  </si>
  <si>
    <t>CAPITAL DEPART</t>
  </si>
  <si>
    <t>REPARTITION INTERET</t>
  </si>
  <si>
    <t>CAPITAL COMPOSE FIN</t>
  </si>
  <si>
    <t>CAPITAL TOTAL A PERCEVOIR</t>
  </si>
  <si>
    <t>RETENUE</t>
  </si>
  <si>
    <t>CAPITAL  A DISTRIBUER</t>
  </si>
  <si>
    <t>MONTANT EFFECTIVEMENT VERSE</t>
  </si>
  <si>
    <t>COMPLEMENT FONDS</t>
  </si>
  <si>
    <t>SANCTION</t>
  </si>
  <si>
    <t>RETOUR EN CAISSE MUTUELLE</t>
  </si>
  <si>
    <t>FRAIS FIXE A PRELEVER</t>
  </si>
  <si>
    <t>MONTANT VERSE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</si>
  <si>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</si>
  <si>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</si>
  <si>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</si>
  <si>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</si>
  <si>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</si>
  <si>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</si>
  <si>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</si>
  <si>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</si>
  <si>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REMBOURSEMENT</t>
  </si>
  <si>
    <t>PENALITE EMPRUNT</t>
  </si>
  <si>
    <t>PENALITE FONDS</t>
  </si>
  <si>
    <t>INTERET ACHAT</t>
  </si>
  <si>
    <t>DATE ACHAT</t>
  </si>
  <si>
    <t>AS201648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</si>
  <si>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</si>
  <si>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</si>
  <si>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</si>
  <si>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</si>
  <si>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</si>
  <si>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</si>
  <si>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</si>
  <si>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</si>
  <si>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</si>
  <si>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</si>
  <si>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</si>
  <si>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</si>
  <si>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</si>
  <si>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</si>
  <si>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</si>
  <si>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</si>
  <si>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</si>
  <si>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</si>
  <si>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</si>
  <si>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</si>
  <si>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</si>
  <si>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</si>
  <si>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</si>
  <si>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</si>
  <si>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</si>
  <si>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</si>
  <si>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</si>
  <si>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</si>
  <si>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</si>
  <si>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</si>
  <si>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</si>
  <si>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</si>
  <si>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</si>
  <si>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</si>
  <si>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</si>
  <si>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</si>
  <si>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</si>
  <si>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</si>
  <si>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</si>
  <si>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</si>
  <si>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</si>
  <si>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</si>
  <si>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</si>
  <si>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</si>
  <si>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</si>
  <si>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</si>
  <si>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</si>
  <si>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TOTAL</t>
  </si>
  <si>
    <t>TOTAL A DISTRIBUER</t>
  </si>
  <si>
    <t>CAPITAL A DISTRIBUER</t>
  </si>
  <si>
    <t>INTERET 2016</t>
  </si>
  <si>
    <t>EPARGNE 2016</t>
  </si>
  <si>
    <t>CAPITAL EFFECTIVEMENT DISTRIBUE</t>
  </si>
  <si>
    <t>RETOUR MUTUELLE</t>
  </si>
  <si>
    <t>FRAIS FIXE A COMPLETER</t>
  </si>
  <si>
    <t>RELIQUAT</t>
  </si>
  <si>
    <t>INSCRIPTION</t>
  </si>
  <si>
    <t>PENALITE INSCRIPTION</t>
  </si>
  <si>
    <t>DEC2015</t>
  </si>
  <si>
    <t>TROP PERCU</t>
  </si>
  <si>
    <t>GRATIFICATION BUREAU</t>
  </si>
  <si>
    <t>NKAMGANG JUSTIN DEJOLIE</t>
  </si>
  <si>
    <t>TCHOUAMOU MATHIEU</t>
  </si>
  <si>
    <t>NDJOMO ETIENNE</t>
  </si>
  <si>
    <t>OBSEQUES DJOSSEU JOSUE</t>
  </si>
  <si>
    <t>FUNERAILLES CHEF DE FAMILLE</t>
  </si>
  <si>
    <t>TAXI BANQUE</t>
  </si>
  <si>
    <t>PAIEMENT EPARGNE 2015</t>
  </si>
  <si>
    <t>LOWE JEAN</t>
  </si>
  <si>
    <t>KOUAMOU VICTOR PEGUY</t>
  </si>
  <si>
    <t>KEPSEU FRANCIS</t>
  </si>
  <si>
    <t>BOUTCHOUANG WILLIAM</t>
  </si>
  <si>
    <t>NJEPDJIO MBOUKAM DELUXE</t>
  </si>
  <si>
    <t>TCHOUANTE FRANCOIS</t>
  </si>
  <si>
    <t>DJOUKWE GUY</t>
  </si>
  <si>
    <t>COMPLEMENT TONTINE</t>
  </si>
  <si>
    <t>CHINGUE FABRICE</t>
  </si>
  <si>
    <t>KOUATCHO MESSACK</t>
  </si>
  <si>
    <t>FOTSO THOMAS</t>
  </si>
  <si>
    <t>PHOTOCOPIE DES DOCUMENTS</t>
  </si>
  <si>
    <t>OUVERTURE COMPTE</t>
  </si>
  <si>
    <t>KOUAMOU MOISE</t>
  </si>
  <si>
    <t xml:space="preserve">COMMISSION FINANCE </t>
  </si>
  <si>
    <t>KOUAMOU EMMANUEL</t>
  </si>
  <si>
    <t>NANKAM APPOLINAIRE</t>
  </si>
  <si>
    <t xml:space="preserve">DJOMO JEAN PAUL </t>
  </si>
  <si>
    <t>DJUOMBESSY ANTOINE</t>
  </si>
  <si>
    <t>BAKOP ACHILLE</t>
  </si>
  <si>
    <t>REUNION DE BUREAU</t>
  </si>
  <si>
    <t>ACHAT ORDINATEUR</t>
  </si>
  <si>
    <t>OBSEQUES NTOMBO ADOLPHE</t>
  </si>
  <si>
    <t>SIME MATHIEU</t>
  </si>
  <si>
    <t>SIME FONGANG ERIC</t>
  </si>
  <si>
    <t>OBSEQUES NKEPSEU HENANG</t>
  </si>
  <si>
    <t>VEILLEE NKEPSEU HENANG</t>
  </si>
  <si>
    <t>SEUNOU RICHELOT</t>
  </si>
  <si>
    <t>NKEPSEU DIEUDONNE</t>
  </si>
  <si>
    <t>LAVAGE ECHAPPE</t>
  </si>
  <si>
    <t>COOMMISSION BUREAU</t>
  </si>
  <si>
    <t>SOLDE COMPTE NTOMBOU ADOLPHE</t>
  </si>
  <si>
    <t>SOLDE COMPTE DJOSSEU JOSUE</t>
  </si>
  <si>
    <t>COMMUNICATION</t>
  </si>
  <si>
    <t>TOTAUX</t>
  </si>
  <si>
    <t>DATE TONTINE</t>
  </si>
  <si>
    <t>LIEU RECEPTION</t>
  </si>
  <si>
    <t>NOM ADHERENT</t>
  </si>
  <si>
    <t>ENTREE</t>
  </si>
  <si>
    <t>SORTIE</t>
  </si>
  <si>
    <t>NOM ACHETEUR</t>
  </si>
  <si>
    <t>INTERET ACHAT TONTINE</t>
  </si>
  <si>
    <t>EMPRUNT/REMBOURSEMENT</t>
  </si>
  <si>
    <t>MONTANT INTERET ACHAT</t>
  </si>
  <si>
    <t>TONTINE 20 000</t>
  </si>
  <si>
    <t>TONTINE 60 000</t>
  </si>
  <si>
    <t>TONTINE 100 000</t>
  </si>
  <si>
    <t>NATURE OPERATION</t>
  </si>
  <si>
    <t>AIDE PÈRE HOTCHO</t>
  </si>
  <si>
    <t>AIDE BEAU PÈRE NTOMBO</t>
  </si>
  <si>
    <t>AIDES BELLE MERE KEPSEU FRANCIS</t>
  </si>
  <si>
    <t>AIDE ENFANT KOUAMO EMMANUEL</t>
  </si>
  <si>
    <t>AIDE PÈRE BAKOP</t>
  </si>
  <si>
    <t>AIDE PÈRE MBOUTCHOUANG</t>
  </si>
  <si>
    <t>AIDE MERE SIMO MATHIEU</t>
  </si>
  <si>
    <t>AIDE BEAU PÈRE BOUTCHOUANG</t>
  </si>
  <si>
    <t>AIDE MERE DOWOU DAVID</t>
  </si>
  <si>
    <t>RUBRIQUE</t>
  </si>
  <si>
    <t>FRAIS EXCEPTIONNELS</t>
  </si>
  <si>
    <t>FOYER</t>
  </si>
  <si>
    <t>RECOUVREMENT POUR LAGWEU GENERAL</t>
  </si>
  <si>
    <t>AUTRES</t>
  </si>
  <si>
    <t>REPORT A NOUVEAU</t>
  </si>
  <si>
    <t>ENTREES</t>
  </si>
  <si>
    <t>SORTIES</t>
  </si>
  <si>
    <t>SOLDE</t>
  </si>
  <si>
    <t>COMPTE CCA</t>
  </si>
  <si>
    <t>COMPTE AFRILAND</t>
  </si>
  <si>
    <t>COMPTE MC2</t>
  </si>
  <si>
    <t>RELIQUAT 2016</t>
  </si>
  <si>
    <t>FONDS DISTRIBUE</t>
  </si>
  <si>
    <t>FRAIS DE TAXI</t>
  </si>
  <si>
    <t>RETOUR BANQUE</t>
  </si>
  <si>
    <t>BILAN ALLANT DE LA PERIODE  DU 01 DECEMBRE 2015 AU 30 NOVEMBRE 2016</t>
  </si>
  <si>
    <t>EPARGNE\RELIQUAT2015</t>
  </si>
  <si>
    <t>MUTUELLE\COMPLEMENT MUTUEL</t>
  </si>
  <si>
    <t>AIDE PÈRE KOUAMOU EMMANUEL</t>
  </si>
  <si>
    <t>BOISSON DU 22/12/2015</t>
  </si>
  <si>
    <t>CEDIL</t>
  </si>
  <si>
    <t>MONTANT DISPONIBLE</t>
  </si>
  <si>
    <t>RETRAIT DISTRIBUTION EPARGNE</t>
  </si>
  <si>
    <t>ASELBY CAISSE(NDJOMO ETIENNE)</t>
  </si>
  <si>
    <t>MOIS REMBOURSEMENT</t>
  </si>
  <si>
    <t>PENALITE TONTINE</t>
  </si>
  <si>
    <t>NOM AVALISTE</t>
  </si>
  <si>
    <t>DEC2016</t>
  </si>
  <si>
    <t>NOM</t>
  </si>
  <si>
    <t>DJOSSEU JOSUE</t>
  </si>
  <si>
    <t>DJOUNKEP SAMUEL</t>
  </si>
  <si>
    <t>DONHOU DAVID</t>
  </si>
  <si>
    <t>HENGUE PAUL OMER</t>
  </si>
  <si>
    <t>HODIEP JULES</t>
  </si>
  <si>
    <t>HOTCHO BENJAMIN</t>
  </si>
  <si>
    <t>KEPHE DAVID</t>
  </si>
  <si>
    <t>NDOMBOU JEAN CLAUDE</t>
  </si>
  <si>
    <t>NGONDIEP CLAUDE</t>
  </si>
  <si>
    <t>NGONGANG JEAN THEODORE</t>
  </si>
  <si>
    <t>NGUIEMEGNI MATHIEU BLAISE</t>
  </si>
  <si>
    <t>NKEPSEU HENANG RENE</t>
  </si>
  <si>
    <t>NTEPDIE TUEMAC MZ</t>
  </si>
  <si>
    <t>NTOMBOU ADOLPHE</t>
  </si>
  <si>
    <t>PATEGO NJOSSU GUSTAVE</t>
  </si>
  <si>
    <t>SIME ABEL</t>
  </si>
  <si>
    <t>SIME PIERRE</t>
  </si>
  <si>
    <t>TAGNE NANGUEN MARTIN</t>
  </si>
  <si>
    <t>TCHOUAMOU JEAN PAUL</t>
  </si>
  <si>
    <t>TCHOUTOU NANA CLAUDE</t>
  </si>
  <si>
    <t>TIEYAM ERNEST</t>
  </si>
  <si>
    <t>TUGMA PIERRE LOTI</t>
  </si>
  <si>
    <t>YEPMOU JEAN JACQUES</t>
  </si>
  <si>
    <t>YOUMBI EMMANUEL</t>
  </si>
  <si>
    <t>LIBELLE</t>
  </si>
  <si>
    <t>EMPRUNT ENCOURS</t>
  </si>
  <si>
    <t>REPORT</t>
  </si>
  <si>
    <t>PRÊT</t>
  </si>
  <si>
    <t>MONTANT A REMBOURSER</t>
  </si>
  <si>
    <t>SOLDE FIN</t>
  </si>
  <si>
    <t>SOUS TOTAL</t>
  </si>
  <si>
    <t>AS201649</t>
  </si>
  <si>
    <t>AS201650</t>
  </si>
  <si>
    <t>AS201651</t>
  </si>
  <si>
    <t>AS201652</t>
  </si>
  <si>
    <t>AS201653</t>
  </si>
  <si>
    <t>INTERET</t>
  </si>
  <si>
    <t>PRÊT NET</t>
  </si>
  <si>
    <t>PENALITE 2018</t>
  </si>
  <si>
    <t>OBSERVATION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</si>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</sst>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0"/>
      <color theme="1"/>
      <name val="Britannic Bold"/>
      <family val="2"/>
    </font>
    <font>
      <sz val="12"/>
      <color theme="1"/>
      <name val="Britannic Bold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3" fontId="3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3" fontId="3" fillId="0" borderId="0" xfId="0" applyNumberFormat="1" applyFont="1" applyAlignment="1">
      <alignment wrapText="1"/>
    </xf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7" fillId="0" borderId="0" xfId="0" applyFont="1"/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0" fontId="11" fillId="0" borderId="0" xfId="0" applyFont="1"/>
    <xf numFmtId="0" fontId="12" fillId="0" borderId="0" xfId="0" applyFont="1"/>
    <xf numFmtId="3" fontId="12" fillId="0" borderId="0" xfId="0" applyNumberFormat="1" applyFont="1"/>
    <xf numFmtId="3" fontId="11" fillId="0" borderId="0" xfId="0" applyNumberFormat="1" applyFont="1"/>
    <xf numFmtId="0" fontId="12" fillId="0" borderId="0" xfId="0" applyFont="1" applyAlignment="1">
      <alignment horizontal="center"/>
    </xf>
    <xf numFmtId="3" fontId="13" fillId="0" borderId="0" xfId="0" applyNumberFormat="1" applyFont="1"/>
    <xf numFmtId="3" fontId="14" fillId="0" borderId="0" xfId="0" applyNumberFormat="1" applyFont="1"/>
    <xf numFmtId="3" fontId="15" fillId="0" borderId="0" xfId="0" applyNumberFormat="1" applyFont="1"/>
    <xf numFmtId="17" fontId="0" fillId="0" borderId="0" xfId="0" applyNumberFormat="1"/>
    <xf numFmtId="3" fontId="2" fillId="0" borderId="0" xfId="0" applyNumberFormat="1" applyFont="1"/>
    <xf numFmtId="17" fontId="2" fillId="0" borderId="0" xfId="0" applyNumberFormat="1" applyFont="1"/>
    <xf numFmtId="0" fontId="0" fillId="0" borderId="0" xfId="0" applyAlignment="1">
      <alignment horizontal="center" wrapText="1"/>
    </xf>
    <xf numFmtId="0" fontId="16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4" xfId="0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3" fontId="0" fillId="0" borderId="5" xfId="0" applyNumberFormat="1" applyBorder="1"/>
    <xf numFmtId="3" fontId="0" fillId="0" borderId="6" xfId="0" applyNumberFormat="1" applyBorder="1"/>
    <xf numFmtId="0" fontId="3" fillId="0" borderId="7" xfId="0" applyFont="1" applyBorder="1"/>
    <xf numFmtId="0" fontId="0" fillId="0" borderId="8" xfId="0" applyBorder="1"/>
    <xf numFmtId="3" fontId="3" fillId="0" borderId="9" xfId="0" applyNumberFormat="1" applyFont="1" applyBorder="1"/>
    <xf numFmtId="0" fontId="17" fillId="2" borderId="1" xfId="0" applyFont="1" applyFill="1" applyBorder="1"/>
    <xf numFmtId="0" fontId="17" fillId="2" borderId="2" xfId="0" applyFont="1" applyFill="1" applyBorder="1" applyAlignment="1">
      <alignment wrapText="1"/>
    </xf>
    <xf numFmtId="0" fontId="17" fillId="2" borderId="2" xfId="0" applyFont="1" applyFill="1" applyBorder="1"/>
    <xf numFmtId="0" fontId="17" fillId="2" borderId="3" xfId="0" applyFont="1" applyFill="1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0" fillId="0" borderId="7" xfId="0" applyBorder="1"/>
    <xf numFmtId="0" fontId="0" fillId="0" borderId="9" xfId="0" applyBorder="1"/>
    <xf numFmtId="0" fontId="2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Border="1"/>
    <xf numFmtId="3" fontId="0" fillId="2" borderId="5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 wrapText="1"/>
    </xf>
    <xf numFmtId="0" fontId="0" fillId="0" borderId="5" xfId="0" applyFill="1" applyBorder="1"/>
    <xf numFmtId="3" fontId="3" fillId="0" borderId="8" xfId="0" applyNumberFormat="1" applyFont="1" applyBorder="1"/>
    <xf numFmtId="0" fontId="18" fillId="0" borderId="0" xfId="0" applyFont="1"/>
    <xf numFmtId="3" fontId="0" fillId="0" borderId="2" xfId="0" applyNumberFormat="1" applyBorder="1"/>
    <xf numFmtId="17" fontId="0" fillId="0" borderId="2" xfId="0" applyNumberFormat="1" applyBorder="1"/>
    <xf numFmtId="17" fontId="0" fillId="0" borderId="3" xfId="0" applyNumberFormat="1" applyBorder="1"/>
    <xf numFmtId="3" fontId="3" fillId="0" borderId="7" xfId="0" applyNumberFormat="1" applyFont="1" applyBorder="1"/>
    <xf numFmtId="0" fontId="0" fillId="0" borderId="2" xfId="0" applyBorder="1"/>
    <xf numFmtId="17" fontId="0" fillId="0" borderId="5" xfId="0" applyNumberFormat="1" applyBorder="1"/>
    <xf numFmtId="3" fontId="8" fillId="0" borderId="5" xfId="0" applyNumberFormat="1" applyFont="1" applyBorder="1"/>
    <xf numFmtId="3" fontId="0" fillId="0" borderId="3" xfId="0" applyNumberFormat="1" applyBorder="1"/>
    <xf numFmtId="3" fontId="0" fillId="2" borderId="6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" fontId="0" fillId="2" borderId="2" xfId="0" applyNumberFormat="1" applyFill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2017/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AUTREMOUV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EMPRUNTREMB"/>
      <sheetName val="LISTADHERENT"/>
      <sheetName val="TRAVAUXINVENTAIREBACKUP"/>
      <sheetName val="TRAVAUXINVENTAIRE"/>
      <sheetName val="FONDSDECAISSE"/>
      <sheetName val="TONT20000DEC2015"/>
      <sheetName val="TONT20000JANV"/>
      <sheetName val="TONT20000FEV"/>
      <sheetName val="TONT20000MARS"/>
      <sheetName val="TONT20000AVRIL"/>
      <sheetName val="TONT20000MAI"/>
      <sheetName val="TONT20000JUIN"/>
      <sheetName val="TONT20000JUIL"/>
      <sheetName val="TONT20000AOUT"/>
      <sheetName val="TONT20000SEPT"/>
      <sheetName val="TONT20000OCT"/>
      <sheetName val="TONT20000NOV"/>
      <sheetName val="RECAPTONT20000"/>
    </sheetNames>
    <sheetDataSet>
      <sheetData sheetId="0" refreshError="1"/>
      <sheetData sheetId="1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2" refreshError="1"/>
      <sheetData sheetId="3" refreshError="1"/>
      <sheetData sheetId="4">
        <row r="5">
          <cell r="A5" t="str">
            <v>AS201648</v>
          </cell>
          <cell r="B5" t="str">
            <v>ASELBY</v>
          </cell>
          <cell r="C5">
            <v>0</v>
          </cell>
        </row>
        <row r="6">
          <cell r="A6" t="str">
            <v>AS201601</v>
          </cell>
          <cell r="B6" t="str">
            <v>BAKOP ACHILLE</v>
          </cell>
          <cell r="C6">
            <v>390000</v>
          </cell>
        </row>
        <row r="7">
          <cell r="A7" t="str">
            <v>AS201602</v>
          </cell>
          <cell r="B7" t="str">
            <v>BOUTCHOUANG WILLIAM</v>
          </cell>
          <cell r="C7">
            <v>390000</v>
          </cell>
        </row>
        <row r="8">
          <cell r="A8" t="str">
            <v>AS201603</v>
          </cell>
          <cell r="B8" t="str">
            <v>CHINGUE FABRICE</v>
          </cell>
          <cell r="C8">
            <v>390000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390000</v>
          </cell>
        </row>
        <row r="10">
          <cell r="A10" t="str">
            <v>AS201605</v>
          </cell>
          <cell r="B10" t="str">
            <v>DJOUKWE GUY</v>
          </cell>
          <cell r="C10">
            <v>390000</v>
          </cell>
        </row>
        <row r="11">
          <cell r="A11" t="str">
            <v>AS201606</v>
          </cell>
          <cell r="B11" t="str">
            <v>DJOSSEU JOSUE</v>
          </cell>
          <cell r="C11">
            <v>0</v>
          </cell>
        </row>
        <row r="12">
          <cell r="A12" t="str">
            <v>AS201607</v>
          </cell>
          <cell r="B12" t="str">
            <v>DJOUNKEP SAMUEL</v>
          </cell>
          <cell r="C12">
            <v>390000</v>
          </cell>
        </row>
        <row r="13">
          <cell r="A13" t="str">
            <v>AS201608</v>
          </cell>
          <cell r="B13" t="str">
            <v>DJUOMBESSY ANTOINE</v>
          </cell>
          <cell r="C13">
            <v>319134</v>
          </cell>
        </row>
        <row r="14">
          <cell r="A14" t="str">
            <v>AS201609</v>
          </cell>
          <cell r="B14" t="str">
            <v>DONHOU DAVID</v>
          </cell>
          <cell r="C14">
            <v>390000</v>
          </cell>
        </row>
        <row r="15">
          <cell r="A15" t="str">
            <v>AS201610</v>
          </cell>
          <cell r="B15" t="str">
            <v>FOTSO THOMAS</v>
          </cell>
          <cell r="C15">
            <v>390000</v>
          </cell>
        </row>
        <row r="16">
          <cell r="A16" t="str">
            <v>AS201611</v>
          </cell>
          <cell r="B16" t="str">
            <v>HENGUE PAUL OMER</v>
          </cell>
          <cell r="C16">
            <v>390000</v>
          </cell>
        </row>
        <row r="17">
          <cell r="A17" t="str">
            <v>AS201612</v>
          </cell>
          <cell r="B17" t="str">
            <v>HODIEP JULES</v>
          </cell>
          <cell r="C17">
            <v>0</v>
          </cell>
        </row>
        <row r="18">
          <cell r="A18" t="str">
            <v>AS201613</v>
          </cell>
          <cell r="B18" t="str">
            <v>HOTCHO BENJAMIN</v>
          </cell>
          <cell r="C18">
            <v>390000</v>
          </cell>
        </row>
        <row r="19">
          <cell r="A19" t="str">
            <v>AS201614</v>
          </cell>
          <cell r="B19" t="str">
            <v>KEPHE DAVID</v>
          </cell>
          <cell r="C19">
            <v>0</v>
          </cell>
        </row>
        <row r="20">
          <cell r="A20" t="str">
            <v>AS201615</v>
          </cell>
          <cell r="B20" t="str">
            <v>KEPSEU FRANCIS</v>
          </cell>
          <cell r="C20">
            <v>390000</v>
          </cell>
        </row>
        <row r="21">
          <cell r="A21" t="str">
            <v>AS201616</v>
          </cell>
          <cell r="B21" t="str">
            <v>KOUAMOU EMMANUEL</v>
          </cell>
          <cell r="C21">
            <v>390000</v>
          </cell>
        </row>
        <row r="22">
          <cell r="A22" t="str">
            <v>AS201617</v>
          </cell>
          <cell r="B22" t="str">
            <v>KOUAMOU MOISE</v>
          </cell>
          <cell r="C22">
            <v>315000</v>
          </cell>
        </row>
        <row r="23">
          <cell r="A23" t="str">
            <v>AS201618</v>
          </cell>
          <cell r="B23" t="str">
            <v>KOUAMOU VICTOR PEGUY</v>
          </cell>
          <cell r="C23">
            <v>390000</v>
          </cell>
        </row>
        <row r="24">
          <cell r="A24" t="str">
            <v>AS201619</v>
          </cell>
          <cell r="B24" t="str">
            <v>KOUATCHO MESSACK</v>
          </cell>
          <cell r="C24">
            <v>390000</v>
          </cell>
        </row>
        <row r="25">
          <cell r="A25" t="str">
            <v>AS201620</v>
          </cell>
          <cell r="B25" t="str">
            <v>LOWE JEAN</v>
          </cell>
          <cell r="C25">
            <v>390000</v>
          </cell>
        </row>
        <row r="26">
          <cell r="A26" t="str">
            <v>AS201621</v>
          </cell>
          <cell r="B26" t="str">
            <v>NANKAM APPOLINAIRE</v>
          </cell>
          <cell r="C26">
            <v>390000</v>
          </cell>
        </row>
        <row r="27">
          <cell r="A27" t="str">
            <v>AS201622</v>
          </cell>
          <cell r="B27" t="str">
            <v>NDJOMO ETIENNE</v>
          </cell>
          <cell r="C27">
            <v>390000</v>
          </cell>
        </row>
        <row r="28">
          <cell r="A28" t="str">
            <v>AS201623</v>
          </cell>
          <cell r="B28" t="str">
            <v>NDOMBOU JEAN CLAUDE</v>
          </cell>
          <cell r="C28">
            <v>0</v>
          </cell>
        </row>
        <row r="29">
          <cell r="A29" t="str">
            <v>AS201624</v>
          </cell>
          <cell r="B29" t="str">
            <v>NGONDIEP CLAUDE</v>
          </cell>
          <cell r="C29">
            <v>390000</v>
          </cell>
        </row>
        <row r="30">
          <cell r="A30" t="str">
            <v>AS201625</v>
          </cell>
          <cell r="B30" t="str">
            <v>NGONGANG JEAN THEODORE</v>
          </cell>
          <cell r="C30">
            <v>0</v>
          </cell>
        </row>
        <row r="31">
          <cell r="A31" t="str">
            <v>AS201626</v>
          </cell>
          <cell r="B31" t="str">
            <v>NGUIEMEGNI MATHIEU BLAISE</v>
          </cell>
          <cell r="C31">
            <v>14889</v>
          </cell>
        </row>
        <row r="32">
          <cell r="A32" t="str">
            <v>AS201627</v>
          </cell>
          <cell r="B32" t="str">
            <v>NJEPDJIO MBOUKAM DELUXE</v>
          </cell>
          <cell r="C32">
            <v>390000</v>
          </cell>
        </row>
        <row r="33">
          <cell r="A33" t="str">
            <v>AS201628</v>
          </cell>
          <cell r="B33" t="str">
            <v>NKAMGANG JUSTIN DEJOLIE</v>
          </cell>
          <cell r="C33">
            <v>0</v>
          </cell>
        </row>
        <row r="34">
          <cell r="A34" t="str">
            <v>AS201629</v>
          </cell>
          <cell r="B34" t="str">
            <v>NKEPSEU DIEUDONNE</v>
          </cell>
          <cell r="C34">
            <v>390000</v>
          </cell>
        </row>
        <row r="35">
          <cell r="A35" t="str">
            <v>AS201630</v>
          </cell>
          <cell r="B35" t="str">
            <v>NKEPSEU HENANG RENE</v>
          </cell>
          <cell r="C35">
            <v>390000</v>
          </cell>
        </row>
        <row r="36">
          <cell r="A36" t="str">
            <v>AS201631</v>
          </cell>
          <cell r="B36" t="str">
            <v>NTEPDIE TUEMAC MZ</v>
          </cell>
          <cell r="C36">
            <v>0</v>
          </cell>
        </row>
        <row r="37">
          <cell r="A37" t="str">
            <v>AS201632</v>
          </cell>
          <cell r="B37" t="str">
            <v>NTOMBOU ADOLPHE</v>
          </cell>
          <cell r="C37">
            <v>0</v>
          </cell>
        </row>
        <row r="38">
          <cell r="A38" t="str">
            <v>AS201633</v>
          </cell>
          <cell r="B38" t="str">
            <v>PATEGO NJOSSU GUSTAVE</v>
          </cell>
          <cell r="C38">
            <v>390000</v>
          </cell>
        </row>
        <row r="39">
          <cell r="A39" t="str">
            <v>AS201634</v>
          </cell>
          <cell r="B39" t="str">
            <v>SEUNOU RICHELOT</v>
          </cell>
          <cell r="C39">
            <v>390000</v>
          </cell>
        </row>
        <row r="40">
          <cell r="A40" t="str">
            <v>AS201635</v>
          </cell>
          <cell r="B40" t="str">
            <v>SIME ABEL</v>
          </cell>
          <cell r="C40">
            <v>0</v>
          </cell>
        </row>
        <row r="41">
          <cell r="A41" t="str">
            <v>AS201636</v>
          </cell>
          <cell r="B41" t="str">
            <v>SIME FONGANG ERIC</v>
          </cell>
          <cell r="C41">
            <v>390000</v>
          </cell>
        </row>
        <row r="42">
          <cell r="A42" t="str">
            <v>AS201637</v>
          </cell>
          <cell r="B42" t="str">
            <v>SIME MATHIEU</v>
          </cell>
          <cell r="C42">
            <v>390000</v>
          </cell>
        </row>
        <row r="43">
          <cell r="A43" t="str">
            <v>AS201638</v>
          </cell>
          <cell r="B43" t="str">
            <v>SIME PIERRE</v>
          </cell>
          <cell r="C43">
            <v>390000</v>
          </cell>
        </row>
        <row r="44">
          <cell r="A44" t="str">
            <v>AS201639</v>
          </cell>
          <cell r="B44" t="str">
            <v>TAGNE NANGUEN MARTIN</v>
          </cell>
          <cell r="C44">
            <v>0</v>
          </cell>
        </row>
        <row r="45">
          <cell r="A45" t="str">
            <v>AS201640</v>
          </cell>
          <cell r="B45" t="str">
            <v>TCHOUAMOU JEAN PAUL</v>
          </cell>
          <cell r="C45">
            <v>0</v>
          </cell>
        </row>
        <row r="46">
          <cell r="A46" t="str">
            <v>AS201641</v>
          </cell>
          <cell r="B46" t="str">
            <v>TCHOUAMOU MATHIEU</v>
          </cell>
          <cell r="C46">
            <v>390000</v>
          </cell>
        </row>
        <row r="47">
          <cell r="A47" t="str">
            <v>AS201642</v>
          </cell>
          <cell r="B47" t="str">
            <v>TCHOUANTE FRANCOIS</v>
          </cell>
          <cell r="C47">
            <v>257119</v>
          </cell>
        </row>
        <row r="48">
          <cell r="A48" t="str">
            <v>AS201643</v>
          </cell>
          <cell r="B48" t="str">
            <v>TCHOUTOU NANA CLAUDE</v>
          </cell>
          <cell r="C48">
            <v>0</v>
          </cell>
        </row>
        <row r="49">
          <cell r="A49" t="str">
            <v>AS201644</v>
          </cell>
          <cell r="B49" t="str">
            <v>TIEYAM ERNEST</v>
          </cell>
          <cell r="C49">
            <v>390000</v>
          </cell>
        </row>
        <row r="50">
          <cell r="A50" t="str">
            <v>AS201645</v>
          </cell>
          <cell r="B50" t="str">
            <v>TUGMA PIERRE LOTI</v>
          </cell>
          <cell r="C50">
            <v>390000</v>
          </cell>
        </row>
        <row r="51">
          <cell r="A51" t="str">
            <v>AS201646</v>
          </cell>
          <cell r="B51" t="str">
            <v>YEPMOU JEAN JACQUES</v>
          </cell>
          <cell r="C51">
            <v>390000</v>
          </cell>
        </row>
        <row r="52">
          <cell r="A52" t="str">
            <v>AS201647</v>
          </cell>
          <cell r="B52" t="str">
            <v>YOUMBI EMMANUEL</v>
          </cell>
          <cell r="C52">
            <v>390000</v>
          </cell>
        </row>
      </sheetData>
      <sheetData sheetId="5">
        <row r="5">
          <cell r="E5">
            <v>1799.2102095459891</v>
          </cell>
        </row>
        <row r="6">
          <cell r="E6">
            <v>2412.1954641402754</v>
          </cell>
          <cell r="H6">
            <v>20000</v>
          </cell>
          <cell r="I6">
            <v>3000</v>
          </cell>
          <cell r="J6">
            <v>500</v>
          </cell>
          <cell r="K6">
            <v>1000</v>
          </cell>
          <cell r="L6">
            <v>2500</v>
          </cell>
          <cell r="N6">
            <v>13000</v>
          </cell>
          <cell r="P6">
            <v>0</v>
          </cell>
        </row>
        <row r="7">
          <cell r="E7">
            <v>2232.1754751721387</v>
          </cell>
          <cell r="H7">
            <v>20000</v>
          </cell>
          <cell r="I7">
            <v>3000</v>
          </cell>
          <cell r="J7">
            <v>500</v>
          </cell>
          <cell r="K7">
            <v>1000</v>
          </cell>
          <cell r="L7">
            <v>2500</v>
          </cell>
          <cell r="N7">
            <v>13000</v>
          </cell>
          <cell r="P7">
            <v>0</v>
          </cell>
        </row>
        <row r="8">
          <cell r="E8">
            <v>2232.9559086503241</v>
          </cell>
          <cell r="H8">
            <v>20000</v>
          </cell>
          <cell r="I8">
            <v>3000</v>
          </cell>
          <cell r="J8">
            <v>500</v>
          </cell>
          <cell r="K8">
            <v>1000</v>
          </cell>
          <cell r="L8">
            <v>2500</v>
          </cell>
          <cell r="N8">
            <v>13000</v>
          </cell>
          <cell r="P8">
            <v>0</v>
          </cell>
        </row>
        <row r="9">
          <cell r="E9">
            <v>2268.6635679348433</v>
          </cell>
          <cell r="H9">
            <v>20000</v>
          </cell>
          <cell r="I9">
            <v>3000</v>
          </cell>
          <cell r="J9">
            <v>500</v>
          </cell>
          <cell r="K9">
            <v>1000</v>
          </cell>
          <cell r="L9">
            <v>2500</v>
          </cell>
          <cell r="N9">
            <v>13000</v>
          </cell>
          <cell r="P9">
            <v>0</v>
          </cell>
        </row>
        <row r="10">
          <cell r="E10">
            <v>2284.2100290329022</v>
          </cell>
          <cell r="H10">
            <v>25000</v>
          </cell>
          <cell r="I10">
            <v>8000</v>
          </cell>
          <cell r="J10">
            <v>500</v>
          </cell>
          <cell r="K10">
            <v>1000</v>
          </cell>
          <cell r="L10">
            <v>2500</v>
          </cell>
          <cell r="N10">
            <v>13000</v>
          </cell>
          <cell r="P10">
            <v>0</v>
          </cell>
        </row>
        <row r="12">
          <cell r="E12">
            <v>7796.3551323069523</v>
          </cell>
          <cell r="H12">
            <v>20000</v>
          </cell>
          <cell r="I12">
            <v>3000</v>
          </cell>
          <cell r="J12">
            <v>500</v>
          </cell>
          <cell r="K12">
            <v>1000</v>
          </cell>
          <cell r="L12">
            <v>2500</v>
          </cell>
          <cell r="N12">
            <v>13000</v>
          </cell>
          <cell r="P12">
            <v>0</v>
          </cell>
        </row>
        <row r="13">
          <cell r="E13">
            <v>1821.7692613175993</v>
          </cell>
          <cell r="H13">
            <v>20000</v>
          </cell>
          <cell r="I13">
            <v>3000</v>
          </cell>
          <cell r="J13">
            <v>500</v>
          </cell>
          <cell r="K13">
            <v>1000</v>
          </cell>
          <cell r="L13">
            <v>2500</v>
          </cell>
          <cell r="N13">
            <v>13000</v>
          </cell>
          <cell r="P13">
            <v>0</v>
          </cell>
        </row>
        <row r="14">
          <cell r="E14">
            <v>2475.5236821744925</v>
          </cell>
          <cell r="H14">
            <v>20000</v>
          </cell>
          <cell r="I14">
            <v>3000</v>
          </cell>
          <cell r="J14">
            <v>500</v>
          </cell>
          <cell r="K14">
            <v>1000</v>
          </cell>
          <cell r="L14">
            <v>2500</v>
          </cell>
          <cell r="N14">
            <v>13000</v>
          </cell>
          <cell r="P14">
            <v>0</v>
          </cell>
        </row>
        <row r="15">
          <cell r="E15">
            <v>2241.303153677874</v>
          </cell>
          <cell r="H15">
            <v>20000</v>
          </cell>
          <cell r="I15">
            <v>3000</v>
          </cell>
          <cell r="J15">
            <v>500</v>
          </cell>
          <cell r="K15">
            <v>1000</v>
          </cell>
          <cell r="L15">
            <v>2500</v>
          </cell>
          <cell r="N15">
            <v>13000</v>
          </cell>
          <cell r="P15">
            <v>0</v>
          </cell>
        </row>
        <row r="16">
          <cell r="E16">
            <v>2222.5388183110645</v>
          </cell>
          <cell r="H16">
            <v>20000</v>
          </cell>
          <cell r="I16">
            <v>3000</v>
          </cell>
          <cell r="J16">
            <v>500</v>
          </cell>
          <cell r="K16">
            <v>1000</v>
          </cell>
          <cell r="L16">
            <v>2500</v>
          </cell>
          <cell r="N16">
            <v>13000</v>
          </cell>
          <cell r="P16">
            <v>0</v>
          </cell>
        </row>
        <row r="17">
          <cell r="E17">
            <v>16.965945177947059</v>
          </cell>
          <cell r="H17">
            <v>20000</v>
          </cell>
          <cell r="I17">
            <v>3000</v>
          </cell>
          <cell r="J17">
            <v>500</v>
          </cell>
          <cell r="K17">
            <v>1000</v>
          </cell>
          <cell r="L17">
            <v>2500</v>
          </cell>
          <cell r="N17">
            <v>13000</v>
          </cell>
          <cell r="P17">
            <v>0</v>
          </cell>
        </row>
        <row r="18">
          <cell r="E18">
            <v>2271.8701315734752</v>
          </cell>
          <cell r="H18">
            <v>20000</v>
          </cell>
          <cell r="I18">
            <v>3000</v>
          </cell>
          <cell r="J18">
            <v>500</v>
          </cell>
          <cell r="K18">
            <v>1000</v>
          </cell>
          <cell r="L18">
            <v>2500</v>
          </cell>
          <cell r="N18">
            <v>13000</v>
          </cell>
          <cell r="P18">
            <v>0</v>
          </cell>
        </row>
        <row r="19">
          <cell r="E19">
            <v>89.325701361891262</v>
          </cell>
          <cell r="H19">
            <v>20000</v>
          </cell>
          <cell r="I19">
            <v>3000</v>
          </cell>
          <cell r="J19">
            <v>500</v>
          </cell>
          <cell r="K19">
            <v>1000</v>
          </cell>
          <cell r="L19">
            <v>2500</v>
          </cell>
          <cell r="N19">
            <v>13000</v>
          </cell>
          <cell r="P19">
            <v>0</v>
          </cell>
        </row>
        <row r="20">
          <cell r="E20">
            <v>3297.0317136358672</v>
          </cell>
          <cell r="H20">
            <v>23000</v>
          </cell>
          <cell r="I20">
            <v>6000</v>
          </cell>
          <cell r="J20">
            <v>500</v>
          </cell>
          <cell r="K20">
            <v>1000</v>
          </cell>
          <cell r="L20">
            <v>2500</v>
          </cell>
          <cell r="N20">
            <v>13000</v>
          </cell>
          <cell r="P20">
            <v>0</v>
          </cell>
        </row>
        <row r="21">
          <cell r="E21">
            <v>2237.9382412175814</v>
          </cell>
          <cell r="H21">
            <v>20000</v>
          </cell>
          <cell r="I21">
            <v>3000</v>
          </cell>
          <cell r="J21">
            <v>500</v>
          </cell>
          <cell r="K21">
            <v>1000</v>
          </cell>
          <cell r="L21">
            <v>2500</v>
          </cell>
          <cell r="N21">
            <v>13000</v>
          </cell>
          <cell r="P21">
            <v>0</v>
          </cell>
        </row>
        <row r="22">
          <cell r="E22">
            <v>1810.2606951718919</v>
          </cell>
          <cell r="H22">
            <v>20000</v>
          </cell>
          <cell r="I22">
            <v>3000</v>
          </cell>
          <cell r="J22">
            <v>500</v>
          </cell>
          <cell r="K22">
            <v>1000</v>
          </cell>
          <cell r="L22">
            <v>2500</v>
          </cell>
          <cell r="N22">
            <v>13000</v>
          </cell>
          <cell r="P22">
            <v>0</v>
          </cell>
        </row>
        <row r="23">
          <cell r="E23">
            <v>2429.6873536187391</v>
          </cell>
          <cell r="H23">
            <v>20000</v>
          </cell>
          <cell r="I23">
            <v>3000</v>
          </cell>
          <cell r="J23">
            <v>500</v>
          </cell>
          <cell r="K23">
            <v>1000</v>
          </cell>
          <cell r="L23">
            <v>2500</v>
          </cell>
          <cell r="N23">
            <v>13000</v>
          </cell>
          <cell r="P23">
            <v>0</v>
          </cell>
        </row>
        <row r="24">
          <cell r="E24">
            <v>2222.5388183110645</v>
          </cell>
          <cell r="H24">
            <v>20000</v>
          </cell>
          <cell r="I24">
            <v>3000</v>
          </cell>
          <cell r="J24">
            <v>500</v>
          </cell>
          <cell r="K24">
            <v>1000</v>
          </cell>
          <cell r="L24">
            <v>2500</v>
          </cell>
          <cell r="N24">
            <v>13000</v>
          </cell>
          <cell r="O24">
            <v>600000</v>
          </cell>
          <cell r="P24">
            <v>72000</v>
          </cell>
        </row>
        <row r="25">
          <cell r="E25">
            <v>2247.031987832961</v>
          </cell>
          <cell r="H25">
            <v>20000</v>
          </cell>
          <cell r="I25">
            <v>3000</v>
          </cell>
          <cell r="J25">
            <v>500</v>
          </cell>
          <cell r="K25">
            <v>1000</v>
          </cell>
          <cell r="L25">
            <v>2500</v>
          </cell>
          <cell r="N25">
            <v>13000</v>
          </cell>
          <cell r="P25">
            <v>0</v>
          </cell>
        </row>
        <row r="26">
          <cell r="E26">
            <v>2247.484413037706</v>
          </cell>
          <cell r="H26">
            <v>20000</v>
          </cell>
          <cell r="I26">
            <v>3000</v>
          </cell>
          <cell r="J26">
            <v>500</v>
          </cell>
          <cell r="K26">
            <v>1000</v>
          </cell>
          <cell r="L26">
            <v>2500</v>
          </cell>
          <cell r="N26">
            <v>13000</v>
          </cell>
          <cell r="P26">
            <v>0</v>
          </cell>
        </row>
        <row r="27">
          <cell r="E27">
            <v>2262.4653426298332</v>
          </cell>
          <cell r="H27">
            <v>25000</v>
          </cell>
          <cell r="I27">
            <v>8000</v>
          </cell>
          <cell r="J27">
            <v>500</v>
          </cell>
          <cell r="K27">
            <v>1000</v>
          </cell>
          <cell r="L27">
            <v>2500</v>
          </cell>
          <cell r="N27">
            <v>13000</v>
          </cell>
          <cell r="O27">
            <v>400000</v>
          </cell>
          <cell r="P27">
            <v>12000</v>
          </cell>
        </row>
        <row r="28">
          <cell r="E28">
            <v>0</v>
          </cell>
          <cell r="H28">
            <v>0</v>
          </cell>
          <cell r="P28">
            <v>0</v>
          </cell>
        </row>
        <row r="29">
          <cell r="E29">
            <v>3238.0863647726196</v>
          </cell>
          <cell r="H29">
            <v>20000</v>
          </cell>
          <cell r="I29">
            <v>3000</v>
          </cell>
          <cell r="J29">
            <v>500</v>
          </cell>
          <cell r="K29">
            <v>1000</v>
          </cell>
          <cell r="L29">
            <v>2500</v>
          </cell>
          <cell r="N29">
            <v>13000</v>
          </cell>
          <cell r="P29">
            <v>0</v>
          </cell>
        </row>
        <row r="30">
          <cell r="E30">
            <v>16.965945177947059</v>
          </cell>
          <cell r="H30">
            <v>20000</v>
          </cell>
          <cell r="I30">
            <v>3000</v>
          </cell>
          <cell r="J30">
            <v>500</v>
          </cell>
          <cell r="K30">
            <v>1000</v>
          </cell>
          <cell r="L30">
            <v>2500</v>
          </cell>
          <cell r="N30">
            <v>13000</v>
          </cell>
          <cell r="P30">
            <v>0</v>
          </cell>
        </row>
        <row r="31">
          <cell r="E31">
            <v>101.16793109609831</v>
          </cell>
          <cell r="H31">
            <v>20000</v>
          </cell>
          <cell r="I31">
            <v>3000</v>
          </cell>
          <cell r="J31">
            <v>500</v>
          </cell>
          <cell r="K31">
            <v>1000</v>
          </cell>
          <cell r="L31">
            <v>2500</v>
          </cell>
          <cell r="N31">
            <v>13000</v>
          </cell>
          <cell r="P31">
            <v>0</v>
          </cell>
        </row>
        <row r="32">
          <cell r="E32">
            <v>2243.6557647425493</v>
          </cell>
          <cell r="H32">
            <v>22000</v>
          </cell>
          <cell r="I32">
            <v>5000</v>
          </cell>
          <cell r="J32">
            <v>500</v>
          </cell>
          <cell r="K32">
            <v>1000</v>
          </cell>
          <cell r="L32">
            <v>2500</v>
          </cell>
          <cell r="N32">
            <v>13000</v>
          </cell>
          <cell r="P32">
            <v>0</v>
          </cell>
        </row>
        <row r="33">
          <cell r="E33">
            <v>33.931890355894119</v>
          </cell>
          <cell r="H33">
            <v>23000</v>
          </cell>
          <cell r="I33">
            <v>6000</v>
          </cell>
          <cell r="J33">
            <v>500</v>
          </cell>
          <cell r="K33">
            <v>1000</v>
          </cell>
          <cell r="L33">
            <v>2500</v>
          </cell>
          <cell r="N33">
            <v>13000</v>
          </cell>
          <cell r="P33">
            <v>0</v>
          </cell>
        </row>
        <row r="34">
          <cell r="E34">
            <v>2300.2371919110028</v>
          </cell>
          <cell r="H34">
            <v>25000</v>
          </cell>
          <cell r="I34">
            <v>8000</v>
          </cell>
          <cell r="J34">
            <v>500</v>
          </cell>
          <cell r="K34">
            <v>1000</v>
          </cell>
          <cell r="L34">
            <v>2500</v>
          </cell>
          <cell r="N34">
            <v>13000</v>
          </cell>
          <cell r="P34">
            <v>0</v>
          </cell>
        </row>
        <row r="36">
          <cell r="E36">
            <v>16.965945177947059</v>
          </cell>
          <cell r="H36">
            <v>20000</v>
          </cell>
          <cell r="I36">
            <v>3000</v>
          </cell>
          <cell r="J36">
            <v>500</v>
          </cell>
          <cell r="K36">
            <v>1000</v>
          </cell>
          <cell r="L36">
            <v>2500</v>
          </cell>
          <cell r="N36">
            <v>13000</v>
          </cell>
          <cell r="P36">
            <v>0</v>
          </cell>
        </row>
        <row r="38">
          <cell r="E38">
            <v>2223.330562419369</v>
          </cell>
          <cell r="H38">
            <v>20000</v>
          </cell>
          <cell r="I38">
            <v>3000</v>
          </cell>
          <cell r="J38">
            <v>500</v>
          </cell>
          <cell r="K38">
            <v>1000</v>
          </cell>
          <cell r="L38">
            <v>2500</v>
          </cell>
          <cell r="N38">
            <v>13000</v>
          </cell>
          <cell r="P38">
            <v>0</v>
          </cell>
        </row>
        <row r="39">
          <cell r="E39">
            <v>2237.4236075471836</v>
          </cell>
          <cell r="H39">
            <v>20000</v>
          </cell>
          <cell r="I39">
            <v>3000</v>
          </cell>
          <cell r="J39">
            <v>500</v>
          </cell>
          <cell r="K39">
            <v>1000</v>
          </cell>
          <cell r="L39">
            <v>2500</v>
          </cell>
          <cell r="N39">
            <v>13000</v>
          </cell>
          <cell r="P39">
            <v>0</v>
          </cell>
        </row>
        <row r="40">
          <cell r="E40">
            <v>16.965945177947059</v>
          </cell>
          <cell r="H40">
            <v>20000</v>
          </cell>
          <cell r="I40">
            <v>3000</v>
          </cell>
          <cell r="J40">
            <v>500</v>
          </cell>
          <cell r="K40">
            <v>1000</v>
          </cell>
          <cell r="L40">
            <v>2500</v>
          </cell>
          <cell r="N40">
            <v>13000</v>
          </cell>
          <cell r="P40">
            <v>0</v>
          </cell>
        </row>
        <row r="41">
          <cell r="E41">
            <v>2228.0923376993128</v>
          </cell>
          <cell r="H41">
            <v>20000</v>
          </cell>
          <cell r="I41">
            <v>3000</v>
          </cell>
          <cell r="J41">
            <v>500</v>
          </cell>
          <cell r="K41">
            <v>1000</v>
          </cell>
          <cell r="L41">
            <v>2500</v>
          </cell>
          <cell r="N41">
            <v>13000</v>
          </cell>
          <cell r="P41">
            <v>0</v>
          </cell>
        </row>
        <row r="42">
          <cell r="E42">
            <v>2226.1355986887893</v>
          </cell>
          <cell r="H42">
            <v>20000</v>
          </cell>
          <cell r="I42">
            <v>3000</v>
          </cell>
          <cell r="J42">
            <v>500</v>
          </cell>
          <cell r="K42">
            <v>1000</v>
          </cell>
          <cell r="L42">
            <v>2500</v>
          </cell>
          <cell r="N42">
            <v>13000</v>
          </cell>
          <cell r="P42">
            <v>0</v>
          </cell>
        </row>
        <row r="43">
          <cell r="E43">
            <v>8025.3388390586442</v>
          </cell>
          <cell r="H43">
            <v>900000</v>
          </cell>
          <cell r="I43">
            <v>883000</v>
          </cell>
          <cell r="J43">
            <v>500</v>
          </cell>
          <cell r="K43">
            <v>1000</v>
          </cell>
          <cell r="L43">
            <v>2500</v>
          </cell>
          <cell r="N43">
            <v>13000</v>
          </cell>
          <cell r="P43">
            <v>0</v>
          </cell>
        </row>
        <row r="44">
          <cell r="E44">
            <v>16.965945177947059</v>
          </cell>
          <cell r="H44">
            <v>20000</v>
          </cell>
          <cell r="I44">
            <v>3000</v>
          </cell>
          <cell r="J44">
            <v>500</v>
          </cell>
          <cell r="K44">
            <v>1000</v>
          </cell>
          <cell r="L44">
            <v>2500</v>
          </cell>
          <cell r="N44">
            <v>13000</v>
          </cell>
          <cell r="P44">
            <v>0</v>
          </cell>
        </row>
        <row r="45">
          <cell r="E45">
            <v>16.965945177947059</v>
          </cell>
          <cell r="H45">
            <v>20000</v>
          </cell>
          <cell r="I45">
            <v>3000</v>
          </cell>
          <cell r="J45">
            <v>500</v>
          </cell>
          <cell r="K45">
            <v>1000</v>
          </cell>
          <cell r="L45">
            <v>2500</v>
          </cell>
          <cell r="N45">
            <v>13000</v>
          </cell>
          <cell r="P45">
            <v>0</v>
          </cell>
        </row>
        <row r="46">
          <cell r="E46">
            <v>2241.9761361699325</v>
          </cell>
          <cell r="H46">
            <v>20000</v>
          </cell>
          <cell r="I46">
            <v>3000</v>
          </cell>
          <cell r="J46">
            <v>500</v>
          </cell>
          <cell r="K46">
            <v>1000</v>
          </cell>
          <cell r="L46">
            <v>2500</v>
          </cell>
          <cell r="N46">
            <v>13000</v>
          </cell>
          <cell r="O46">
            <v>500000</v>
          </cell>
          <cell r="P46">
            <v>15000</v>
          </cell>
        </row>
        <row r="47">
          <cell r="E47">
            <v>1515.8732697592138</v>
          </cell>
          <cell r="H47">
            <v>23000</v>
          </cell>
          <cell r="I47">
            <v>6000</v>
          </cell>
          <cell r="J47">
            <v>500</v>
          </cell>
          <cell r="K47">
            <v>1000</v>
          </cell>
          <cell r="L47">
            <v>2500</v>
          </cell>
          <cell r="N47">
            <v>13000</v>
          </cell>
          <cell r="P47">
            <v>0</v>
          </cell>
        </row>
        <row r="48">
          <cell r="E48">
            <v>16.965945177947059</v>
          </cell>
          <cell r="H48">
            <v>20000</v>
          </cell>
          <cell r="I48">
            <v>3000</v>
          </cell>
          <cell r="J48">
            <v>500</v>
          </cell>
          <cell r="K48">
            <v>1000</v>
          </cell>
          <cell r="L48">
            <v>2500</v>
          </cell>
          <cell r="N48">
            <v>13000</v>
          </cell>
          <cell r="P48">
            <v>0</v>
          </cell>
        </row>
        <row r="49">
          <cell r="E49">
            <v>2227.0856916187545</v>
          </cell>
          <cell r="H49">
            <v>20000</v>
          </cell>
          <cell r="I49">
            <v>3000</v>
          </cell>
          <cell r="J49">
            <v>500</v>
          </cell>
          <cell r="K49">
            <v>1000</v>
          </cell>
          <cell r="L49">
            <v>2500</v>
          </cell>
          <cell r="N49">
            <v>13000</v>
          </cell>
          <cell r="P49">
            <v>0</v>
          </cell>
        </row>
        <row r="50">
          <cell r="E50">
            <v>2322.2759546971561</v>
          </cell>
          <cell r="H50">
            <v>20000</v>
          </cell>
          <cell r="I50">
            <v>3000</v>
          </cell>
          <cell r="J50">
            <v>500</v>
          </cell>
          <cell r="K50">
            <v>1000</v>
          </cell>
          <cell r="L50">
            <v>2500</v>
          </cell>
          <cell r="N50">
            <v>13000</v>
          </cell>
          <cell r="P50">
            <v>0</v>
          </cell>
        </row>
        <row r="51">
          <cell r="E51">
            <v>4604.7667679520264</v>
          </cell>
          <cell r="H51">
            <v>20000</v>
          </cell>
          <cell r="I51">
            <v>3000</v>
          </cell>
          <cell r="J51">
            <v>500</v>
          </cell>
          <cell r="K51">
            <v>1000</v>
          </cell>
          <cell r="L51">
            <v>2500</v>
          </cell>
          <cell r="N51">
            <v>13000</v>
          </cell>
          <cell r="P51">
            <v>0</v>
          </cell>
        </row>
        <row r="52">
          <cell r="E52">
            <v>7896.397655706247</v>
          </cell>
          <cell r="H52">
            <v>20000</v>
          </cell>
          <cell r="I52">
            <v>3000</v>
          </cell>
          <cell r="J52">
            <v>500</v>
          </cell>
          <cell r="K52">
            <v>1000</v>
          </cell>
          <cell r="L52">
            <v>2500</v>
          </cell>
          <cell r="N52">
            <v>13000</v>
          </cell>
          <cell r="P52">
            <v>0</v>
          </cell>
        </row>
      </sheetData>
      <sheetData sheetId="6">
        <row r="5">
          <cell r="C5">
            <v>3347.8158611404015</v>
          </cell>
        </row>
        <row r="6">
          <cell r="C6">
            <v>4519.7974328671799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4184.8316955718537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4186.283859172845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60000</v>
          </cell>
        </row>
        <row r="9">
          <cell r="C9">
            <v>4252.7256053805195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4281.6531252292525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14747.454386752817</v>
          </cell>
          <cell r="F12">
            <v>40000</v>
          </cell>
          <cell r="G12">
            <v>23000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3421.1830540940409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4637.6331430403716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4201.815695948666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4166.9006319770051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62.960020479868533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4258.692103654158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197.60084131090923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6197.6159922725919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4195.5545557849709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3399.7689024417418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4552.3448387937451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4166.9006319770051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4212.4754186139135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4213.3172525855025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4293.511224211873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6056.5443021538949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62.960020479868533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219.63584551725538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4206.1932326009292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125.92004095973707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4363.7938379149236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62.960020479868533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4168.3738414272866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4194.596969642289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62.960020479868533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4177.2341439782622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4173.5932120511388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14964.252628654878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</row>
        <row r="44">
          <cell r="C44">
            <v>62.960020479868533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62.960020479868533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4203.0679239814044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2883.3893065985981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31.568773934593359</v>
          </cell>
          <cell r="F48">
            <v>0</v>
          </cell>
          <cell r="N48">
            <v>0</v>
          </cell>
        </row>
        <row r="49">
          <cell r="C49">
            <v>4175.3610633914759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M49">
            <v>1000000</v>
          </cell>
          <cell r="N49">
            <v>120000</v>
          </cell>
        </row>
        <row r="50">
          <cell r="C50">
            <v>4352.4829310138348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8599.5458406057733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14724.329946751968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7">
        <row r="5">
          <cell r="C5">
            <v>401.49071086184892</v>
          </cell>
        </row>
        <row r="6">
          <cell r="C6">
            <v>545.76761144944282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505.59645581866323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505.77060822746716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513.73871191723674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517.20787837957062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M10">
            <v>250000</v>
          </cell>
          <cell r="N10">
            <v>7500</v>
          </cell>
        </row>
        <row r="12">
          <cell r="C12">
            <v>1772.3312670347004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414.01500431936461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559.89919604210024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507.63328181728349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503.44605216212744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11.276201194420562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514.45425116210515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27.423158228091868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750.70760110374874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506.88240730106349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411.44688727649458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549.67089695980985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503.44605216212744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508.9116614558227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509.01261937396987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524.83938721178595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730.06376707924278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11.276201194420562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30.065731735595399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514.36767551167918</v>
          </cell>
          <cell r="F32">
            <v>25000</v>
          </cell>
          <cell r="G32">
            <v>8000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22.552402388841124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533.26811140310224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7.5505536824024508</v>
          </cell>
          <cell r="F36">
            <v>0</v>
          </cell>
          <cell r="N36">
            <v>0</v>
          </cell>
        </row>
        <row r="38">
          <cell r="C38">
            <v>503.62272851888508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506.767567669171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11.276201194420562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504.68531060738462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504.24866761139788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1798.3310483444188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11.276201194420562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11.276201194420562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507.78345672052745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353.24511117597388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500000</v>
          </cell>
          <cell r="N47">
            <v>15000</v>
          </cell>
        </row>
        <row r="48">
          <cell r="C48">
            <v>7.5115694425389323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504.46067923950699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525.70222521768255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1035.0361842443938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1769.5580416724606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8">
        <row r="5">
          <cell r="C5">
            <v>1043.2007030282837</v>
          </cell>
        </row>
        <row r="6">
          <cell r="C6">
            <v>1427.7464405489461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1323.3689875674552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1323.8214909763346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1344.5251614376671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1353.5391605029508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4614.7493604141828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1085.4112166807133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1464.4647968723543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1328.6613100452178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1317.781554170859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38.967572555461153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1346.3843602263232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80.922508183074001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2421.1067339040774</v>
          </cell>
          <cell r="F20">
            <v>163000</v>
          </cell>
          <cell r="G20">
            <v>146000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1326.7102989707016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1078.7384309048482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1437.8884191262187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1317.781554170859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1331.9829473872085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</row>
        <row r="26">
          <cell r="C26">
            <v>1332.24526820395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1389.4822694610575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1906.6065334903549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38.967572555461153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87.78875556128591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1355.8278205863812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30000</v>
          </cell>
        </row>
        <row r="33">
          <cell r="C33">
            <v>77.935145110922306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1411.3827786487736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19.61874259264091</v>
          </cell>
          <cell r="F36">
            <v>0</v>
          </cell>
          <cell r="N36">
            <v>0</v>
          </cell>
        </row>
        <row r="38">
          <cell r="C38">
            <v>1318.2406156001566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1326.411909041658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38.967572555461153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1321.0015421963622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1319.8670046639547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4682.3050706886679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38.967572555461153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38.967572555461153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1329.0515122601207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937.18009638893591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19.517449124741379</v>
          </cell>
          <cell r="F48">
            <v>0</v>
          </cell>
          <cell r="N48">
            <v>0</v>
          </cell>
        </row>
        <row r="49">
          <cell r="C49">
            <v>1320.4178783791122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1375.6101782215489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2699.0219776932313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4607.5436379173061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9">
        <row r="5">
          <cell r="C5">
            <v>4206.7983317359185</v>
          </cell>
        </row>
        <row r="6">
          <cell r="C6">
            <v>5796.3762138227676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5375.464979964564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5377.2897396489207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5460.7791066563577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5561.9012949809658</v>
          </cell>
          <cell r="F10">
            <v>25000</v>
          </cell>
          <cell r="G10">
            <v>8000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18648.245012997726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4415.8793981258577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5944.4462061809018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5396.8067345337768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M15">
            <v>1000000</v>
          </cell>
          <cell r="N15">
            <v>120000</v>
          </cell>
        </row>
        <row r="16">
          <cell r="C16">
            <v>5352.933164731644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196.00362198538465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5468.2764888377342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365.1905796762523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14245.578551813711</v>
          </cell>
          <cell r="F20">
            <v>363000</v>
          </cell>
          <cell r="G20">
            <v>346000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5388.939111257022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4388.9708042297325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5837.2746319656235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5352.933164731644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M24">
            <v>1000000</v>
          </cell>
          <cell r="N24">
            <v>120000</v>
          </cell>
        </row>
        <row r="25">
          <cell r="C25">
            <v>5410.2015284486533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5411.2593601497292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5706.8450343433278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7727.4215383447627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196.00362198538465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392.87932445192064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5545.2215389020466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392.00724397076931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5795.1607584869244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79.11430022036761</v>
          </cell>
          <cell r="F36">
            <v>0</v>
          </cell>
          <cell r="N36">
            <v>0</v>
          </cell>
        </row>
        <row r="38">
          <cell r="C38">
            <v>5354.7843702085256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5387.7358276970481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196.00362198538465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5365.9180488623533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5361.3429267551983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18920.66933983815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  <cell r="O43">
            <v>200000</v>
          </cell>
        </row>
        <row r="44">
          <cell r="C44">
            <v>196.00362198538465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196.00362198538465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5398.3802591891272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3856.9878724307705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117.56929332466937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5363.5643733274583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5586.1321632338813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10922.906318059349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18619.187305031446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0">
        <row r="5">
          <cell r="C5">
            <v>1489.1392586539394</v>
          </cell>
        </row>
        <row r="6">
          <cell r="C6">
            <v>2065.4054888934988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1916.409650890474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1917.0555866043601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1946.6094858614319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1982.4051215635675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8878.2794688617159</v>
          </cell>
          <cell r="F12">
            <v>520000</v>
          </cell>
          <cell r="G12">
            <v>503000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1576.7317178708879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2117.8198955898379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1923.9642903267927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1908.433749032057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82.963253267432648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1949.2634391206589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142.85272760924894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5069.8689540345713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1921.1792776473567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1567.2065064378594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2079.8828741329858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1908.433749032057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1928.705832922202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1929.0802884085124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2056.3480665836109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2748.9646177665099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82.963253267432648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152.65409996343135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1976.5007549542843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165.9265065348653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2087.6104189969756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28.005195659205434</v>
          </cell>
          <cell r="F36">
            <v>0</v>
          </cell>
          <cell r="N36">
            <v>0</v>
          </cell>
        </row>
        <row r="38">
          <cell r="C38">
            <v>1909.0890461331003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1920.7533345316781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82.963253267432648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1913.0301901265204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1911.4106701482267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6711.1951357594153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82.963253267432648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82.963253267432648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1924.5212928626795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1392.4741747198527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750000</v>
          </cell>
          <cell r="N47">
            <v>90000</v>
          </cell>
        </row>
        <row r="48">
          <cell r="C48">
            <v>41.617647554243668</v>
          </cell>
          <cell r="F48">
            <v>0</v>
          </cell>
          <cell r="N48">
            <v>0</v>
          </cell>
        </row>
        <row r="49">
          <cell r="C49">
            <v>1898.6159175697137</v>
          </cell>
          <cell r="F49">
            <v>0</v>
          </cell>
          <cell r="N49">
            <v>0</v>
          </cell>
        </row>
        <row r="50">
          <cell r="C50">
            <v>1990.9824609892487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3880.1150701202687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6604.4753221608671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1">
        <row r="5">
          <cell r="C5">
            <v>4585.7297697109252</v>
          </cell>
        </row>
        <row r="6">
          <cell r="C6">
            <v>6401.9466331371623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5943.1214118404623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5945.1105385223846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120000</v>
          </cell>
          <cell r="O8">
            <v>1000000</v>
          </cell>
        </row>
        <row r="9">
          <cell r="C9">
            <v>6036.1202912010549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6562.6898315546596</v>
          </cell>
          <cell r="F10">
            <v>50000</v>
          </cell>
          <cell r="G10">
            <v>33000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27381.850860139701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4897.1002284557744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6563.354173602117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5966.3855456420752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5918.5600215071654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991.01283899713405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6044.2930073506905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481.54168777943136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15695.675275336062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5957.8092385714681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5908.6144990872453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60000</v>
          </cell>
          <cell r="N22">
            <v>1800</v>
          </cell>
        </row>
        <row r="23">
          <cell r="C23">
            <v>6446.5290159428505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5918.5600215071654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5980.9868886043005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5982.1400055213562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6443.4445335509317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8506.932737300498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297.1150508577407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2177.0792146179242</v>
          </cell>
          <cell r="F31">
            <v>140000</v>
          </cell>
          <cell r="G31">
            <v>123000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6169.8028246816157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120000</v>
          </cell>
          <cell r="O32">
            <v>1000000</v>
          </cell>
        </row>
        <row r="33">
          <cell r="C33">
            <v>594.2301017154814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6539.7153821636693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86.240597509384457</v>
          </cell>
          <cell r="F36">
            <v>0</v>
          </cell>
          <cell r="N36">
            <v>0</v>
          </cell>
        </row>
        <row r="38">
          <cell r="C38">
            <v>5920.5779761120129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5956.4975680783155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297.1150508577407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5932.7145316640308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5927.7273009977625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8845.9213044842309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297.1150508577407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297.1150508577407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5968.1008070561948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4371.322219379218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128.15946139741337</v>
          </cell>
          <cell r="F48">
            <v>0</v>
          </cell>
          <cell r="N48">
            <v>0</v>
          </cell>
        </row>
        <row r="49">
          <cell r="C49">
            <v>5888.3265012039219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6172.7646458722247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11990.253906382681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20379.784864348658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2">
        <row r="5">
          <cell r="C5">
            <v>6882.9796420748517</v>
          </cell>
        </row>
        <row r="6">
          <cell r="C6">
            <v>9609.0416484158559</v>
          </cell>
          <cell r="F6">
            <v>0</v>
          </cell>
          <cell r="N6">
            <v>0</v>
          </cell>
        </row>
        <row r="7">
          <cell r="C7">
            <v>8982.0003176278551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M7">
            <v>1000000</v>
          </cell>
          <cell r="N7">
            <v>40000</v>
          </cell>
        </row>
        <row r="8">
          <cell r="C8">
            <v>8984.9859097025565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9121.5875644828047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9911.9453937491035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41160.594730071018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7411.9683113873934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9912.9425420804819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9016.9187640667733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8945.1347459228309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1549.1021304384165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9133.8544536592999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784.40823477588606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23681.791985672429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9004.0461025852619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M21">
            <v>1000000</v>
          </cell>
          <cell r="N21">
            <v>120000</v>
          </cell>
        </row>
        <row r="22">
          <cell r="C22">
            <v>8930.2069521399844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800000</v>
          </cell>
          <cell r="N22">
            <v>96000</v>
          </cell>
        </row>
        <row r="23">
          <cell r="C23">
            <v>9737.5930945046384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M23">
            <v>1000000</v>
          </cell>
          <cell r="N23">
            <v>32000</v>
          </cell>
        </row>
        <row r="24">
          <cell r="C24">
            <v>8945.1347459228309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9038.8347406731045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9040.5655186874246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M26">
            <v>1000000</v>
          </cell>
          <cell r="N26">
            <v>120000</v>
          </cell>
        </row>
        <row r="27">
          <cell r="C27">
            <v>9835.6888233090885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12830.16888521765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507.59192611050474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3329.3358396877129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9322.2391952276521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1015.1838522210095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9980.1871527796702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129.443361642935</v>
          </cell>
          <cell r="F36">
            <v>0</v>
          </cell>
          <cell r="N36">
            <v>0</v>
          </cell>
        </row>
        <row r="38">
          <cell r="C38">
            <v>8948.1636074478902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9002.0773425939733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507.59192611050474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8966.3800460486145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8958.8944311366777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13338.975885192451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200000</v>
          </cell>
        </row>
        <row r="44">
          <cell r="C44">
            <v>507.59192611050474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507.59192611050474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9019.4932963630727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6684.4337770284474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253.99698243298027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8899.7555554328083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9326.6847591797796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18058.481476151763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30650.800188790749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3">
        <row r="5">
          <cell r="C5">
            <v>1655.1432371376136</v>
          </cell>
        </row>
        <row r="6">
          <cell r="C6">
            <v>2325.1996328243877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M6">
            <v>500000</v>
          </cell>
          <cell r="N6">
            <v>15000</v>
          </cell>
        </row>
        <row r="7">
          <cell r="C7">
            <v>2174.4156305421038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2175.1335728851391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2207.9820363193821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M9">
            <v>100000</v>
          </cell>
          <cell r="N9">
            <v>3000</v>
          </cell>
        </row>
        <row r="10">
          <cell r="C10">
            <v>2398.0385938068221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9912.3700764300756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1949.6534456816089</v>
          </cell>
          <cell r="F13">
            <v>51560</v>
          </cell>
          <cell r="G13">
            <v>34560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M13">
            <v>700000</v>
          </cell>
          <cell r="N13">
            <v>84000</v>
          </cell>
          <cell r="Q13">
            <v>48440</v>
          </cell>
        </row>
        <row r="14">
          <cell r="C14">
            <v>2398.2783770697301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2182.8124344671705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2165.5506033498414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387.0340303329138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2210.931842902723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203.14885331607195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5723.7828339691969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2179.7169584229232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2161.9609316945557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2356.1122706182678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2165.5506033498414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2188.0825474635099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2188.4987459232402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2403.9062339594061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3099.7808809457488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136.58311216290036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815.12505160755416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2256.2325334758511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2426.4413742626089</v>
          </cell>
          <cell r="F33">
            <v>395800</v>
          </cell>
          <cell r="G33">
            <v>378800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2438.6536028661694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31.127115835995429</v>
          </cell>
          <cell r="F36">
            <v>0</v>
          </cell>
          <cell r="N36">
            <v>0</v>
          </cell>
        </row>
        <row r="38">
          <cell r="C38">
            <v>2166.27895065437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2179.2435326749796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136.58311216290036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2170.6594394430354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2168.8593811046999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3222.1331918357323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136.58311216290036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136.58311216290036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2183.4315296760192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1968.5374346128795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75.601389445844561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2169.1613036260346</v>
          </cell>
          <cell r="F49">
            <v>40000</v>
          </cell>
          <cell r="G49">
            <v>6000</v>
          </cell>
          <cell r="H49">
            <v>1000</v>
          </cell>
          <cell r="I49">
            <v>2000</v>
          </cell>
          <cell r="J49">
            <v>5000</v>
          </cell>
          <cell r="L49">
            <v>26000</v>
          </cell>
          <cell r="N49">
            <v>0</v>
          </cell>
        </row>
        <row r="50">
          <cell r="C50">
            <v>2257.3015537974643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4357.0279856193629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7385.0902843512322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4">
        <row r="5">
          <cell r="C5">
            <v>3369.7546752234084</v>
          </cell>
        </row>
        <row r="6">
          <cell r="C6">
            <v>4733.9421493743985</v>
          </cell>
          <cell r="F6">
            <v>0</v>
          </cell>
          <cell r="N6">
            <v>0</v>
          </cell>
        </row>
        <row r="7">
          <cell r="C7">
            <v>4456.3819066137821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4457.8435864930225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4524.7207369098487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4911.6624581941915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20210.310379771541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4693.867153968934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4912.1506399739283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4473.4772060709829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4438.333337670123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817.39926839245811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4530.7263346745522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443.02204166469812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11712.06805891186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4467.1750355771565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4431.0250198330305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4826.3034267765306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4438.333337670123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4484.2067837352588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4485.0541343898904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4972.6507775927366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6340.3601683560328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307.49889633950511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9291.0555041436946</v>
          </cell>
          <cell r="F31">
            <v>520000</v>
          </cell>
          <cell r="G31">
            <v>402945</v>
          </cell>
          <cell r="H31">
            <v>500</v>
          </cell>
          <cell r="I31">
            <v>1000</v>
          </cell>
          <cell r="J31">
            <v>2500</v>
          </cell>
          <cell r="K31">
            <v>50000</v>
          </cell>
          <cell r="L31">
            <v>13000</v>
          </cell>
          <cell r="N31">
            <v>0</v>
          </cell>
          <cell r="Q31">
            <v>50055</v>
          </cell>
        </row>
        <row r="32">
          <cell r="C32">
            <v>4622.9553396479487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4998.9138434072893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5043.3939653713196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92.797939540450287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4439.8162013157289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4466.2111742075131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4132.791952331715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4448.7345669557299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M41">
            <v>1000000</v>
          </cell>
          <cell r="N41">
            <v>120000</v>
          </cell>
        </row>
        <row r="42">
          <cell r="C42">
            <v>4445.0697753744471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M42">
            <v>800000</v>
          </cell>
          <cell r="N42">
            <v>96000</v>
          </cell>
        </row>
        <row r="43">
          <cell r="C43">
            <v>11984.104881001938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4132.791952331715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307.49889633950511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4474.7376401697466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40750</v>
          </cell>
        </row>
        <row r="47">
          <cell r="C47">
            <v>4037.228447449218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183.34441797281437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4445.6844682934607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4625.1317894837302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8900.0264339849582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15064.947305525868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5">
        <row r="5">
          <cell r="C5">
            <v>2815.3424170785856</v>
          </cell>
        </row>
        <row r="6">
          <cell r="C6">
            <v>4003.7762017877671</v>
          </cell>
          <cell r="F6">
            <v>65000</v>
          </cell>
          <cell r="G6">
            <v>6000</v>
          </cell>
          <cell r="H6">
            <v>1000</v>
          </cell>
          <cell r="I6">
            <v>2000</v>
          </cell>
          <cell r="J6">
            <v>5000</v>
          </cell>
          <cell r="K6">
            <v>25000</v>
          </cell>
          <cell r="L6">
            <v>26000</v>
          </cell>
          <cell r="N6">
            <v>0</v>
          </cell>
        </row>
        <row r="7">
          <cell r="C7">
            <v>3747.5365260085014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3748.757721543735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3845.2073578289496</v>
          </cell>
          <cell r="F9">
            <v>25000</v>
          </cell>
          <cell r="G9">
            <v>8000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4127.9115894989272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16909.53416109231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3945.9492755256556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4128.3194526831057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3761.8192042249289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3708.1121063652054</v>
          </cell>
          <cell r="F16">
            <v>0</v>
          </cell>
          <cell r="N16">
            <v>0</v>
          </cell>
        </row>
        <row r="17">
          <cell r="C17">
            <v>707.26114580806995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4199.1743155853119</v>
          </cell>
          <cell r="F18">
            <v>118000</v>
          </cell>
          <cell r="G18">
            <v>51000</v>
          </cell>
          <cell r="H18">
            <v>500</v>
          </cell>
          <cell r="I18">
            <v>1000</v>
          </cell>
          <cell r="J18">
            <v>2500</v>
          </cell>
          <cell r="K18">
            <v>50000</v>
          </cell>
          <cell r="L18">
            <v>13000</v>
          </cell>
          <cell r="N18">
            <v>0</v>
          </cell>
        </row>
        <row r="19">
          <cell r="C19">
            <v>394.47870673480679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9833.8189670028405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3756.5539046346098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3726.3515063856189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4056.5963380956623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3732.4574159212725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3770.7834873929828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3771.4914268336975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4219.4412605787584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5321.5513800083081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281.25264243544484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7786.7806145869918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3886.704298377093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4225.1531628528955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4278.5453546354565</v>
          </cell>
          <cell r="F34">
            <v>50000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K34">
            <v>25000</v>
          </cell>
          <cell r="L34">
            <v>13000</v>
          </cell>
          <cell r="M34">
            <v>600000</v>
          </cell>
          <cell r="N34">
            <v>72000</v>
          </cell>
        </row>
        <row r="36">
          <cell r="C36">
            <v>101.87557528331999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3733.6963099425229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3755.7486235207966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M39">
            <v>1000000</v>
          </cell>
          <cell r="N39">
            <v>120000</v>
          </cell>
        </row>
        <row r="40">
          <cell r="C40">
            <v>3477.1855325877636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3741.147372556049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3738.0855344749566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10036.753349309411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70000</v>
          </cell>
        </row>
        <row r="44">
          <cell r="C44">
            <v>3477.1855325877636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281.25264243544484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3762.8722641429913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54075</v>
          </cell>
        </row>
        <row r="47">
          <cell r="C47">
            <v>3397.3447089222987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177.5248037930557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3738.5990944266946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3888.5226656269028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7460.0859932772964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12610.717092685598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6">
        <row r="5">
          <cell r="C5">
            <v>5355.9105034780441</v>
          </cell>
          <cell r="E5">
            <v>355097.51531966974</v>
          </cell>
        </row>
        <row r="6">
          <cell r="C6">
            <v>7616.788239557136</v>
          </cell>
          <cell r="E6">
            <v>504993.98315681884</v>
          </cell>
          <cell r="G6">
            <v>0</v>
          </cell>
          <cell r="O6">
            <v>0</v>
          </cell>
        </row>
        <row r="7">
          <cell r="C7">
            <v>7175.2593209874249</v>
          </cell>
          <cell r="E7">
            <v>475720.56235860521</v>
          </cell>
          <cell r="G7">
            <v>20000</v>
          </cell>
          <cell r="H7">
            <v>3000</v>
          </cell>
          <cell r="I7">
            <v>500</v>
          </cell>
          <cell r="J7">
            <v>1000</v>
          </cell>
          <cell r="K7">
            <v>2500</v>
          </cell>
          <cell r="M7">
            <v>13000</v>
          </cell>
          <cell r="N7">
            <v>700000</v>
          </cell>
          <cell r="O7">
            <v>84000</v>
          </cell>
          <cell r="P7">
            <v>1000000</v>
          </cell>
        </row>
        <row r="8">
          <cell r="C8">
            <v>7177.5825247136509</v>
          </cell>
          <cell r="E8">
            <v>475874.59104714065</v>
          </cell>
          <cell r="G8">
            <v>20000</v>
          </cell>
          <cell r="H8">
            <v>3000</v>
          </cell>
          <cell r="I8">
            <v>500</v>
          </cell>
          <cell r="J8">
            <v>1000</v>
          </cell>
          <cell r="K8">
            <v>2500</v>
          </cell>
          <cell r="M8">
            <v>13000</v>
          </cell>
          <cell r="O8">
            <v>0</v>
          </cell>
        </row>
        <row r="9">
          <cell r="C9">
            <v>7391.6962331486939</v>
          </cell>
          <cell r="E9">
            <v>490070.35585907887</v>
          </cell>
          <cell r="G9">
            <v>22000</v>
          </cell>
          <cell r="H9">
            <v>5000</v>
          </cell>
          <cell r="I9">
            <v>500</v>
          </cell>
          <cell r="J9">
            <v>1000</v>
          </cell>
          <cell r="K9">
            <v>2500</v>
          </cell>
          <cell r="M9">
            <v>13000</v>
          </cell>
          <cell r="N9">
            <v>100000</v>
          </cell>
          <cell r="O9">
            <v>3000</v>
          </cell>
        </row>
        <row r="10">
          <cell r="C10">
            <v>7898.8852591507512</v>
          </cell>
          <cell r="E10">
            <v>523697.04973564367</v>
          </cell>
          <cell r="G10">
            <v>20000</v>
          </cell>
          <cell r="H10">
            <v>3000</v>
          </cell>
          <cell r="I10">
            <v>500</v>
          </cell>
          <cell r="J10">
            <v>1000</v>
          </cell>
          <cell r="K10">
            <v>2500</v>
          </cell>
          <cell r="M10">
            <v>13000</v>
          </cell>
          <cell r="O10">
            <v>0</v>
          </cell>
        </row>
        <row r="12">
          <cell r="C12">
            <v>32214.658064408843</v>
          </cell>
          <cell r="E12">
            <v>2135835.732900281</v>
          </cell>
          <cell r="G12">
            <v>20000</v>
          </cell>
          <cell r="H12">
            <v>3000</v>
          </cell>
          <cell r="I12">
            <v>500</v>
          </cell>
          <cell r="J12">
            <v>1000</v>
          </cell>
          <cell r="K12">
            <v>2500</v>
          </cell>
          <cell r="M12">
            <v>13000</v>
          </cell>
          <cell r="O12">
            <v>0</v>
          </cell>
        </row>
        <row r="13">
          <cell r="C13">
            <v>7552.719953383822</v>
          </cell>
          <cell r="E13">
            <v>500746.2480208117</v>
          </cell>
          <cell r="G13">
            <v>20000</v>
          </cell>
          <cell r="H13">
            <v>3000</v>
          </cell>
          <cell r="I13">
            <v>500</v>
          </cell>
          <cell r="J13">
            <v>1000</v>
          </cell>
          <cell r="K13">
            <v>2500</v>
          </cell>
          <cell r="M13">
            <v>13000</v>
          </cell>
          <cell r="O13">
            <v>0</v>
          </cell>
        </row>
        <row r="14">
          <cell r="C14">
            <v>7899.6611785198738</v>
          </cell>
          <cell r="E14">
            <v>523748.4932838293</v>
          </cell>
          <cell r="G14">
            <v>20000</v>
          </cell>
          <cell r="H14">
            <v>3000</v>
          </cell>
          <cell r="I14">
            <v>500</v>
          </cell>
          <cell r="J14">
            <v>1000</v>
          </cell>
          <cell r="K14">
            <v>2500</v>
          </cell>
          <cell r="M14">
            <v>13000</v>
          </cell>
          <cell r="O14">
            <v>0</v>
          </cell>
        </row>
        <row r="15">
          <cell r="C15">
            <v>7202.4307036984974</v>
          </cell>
          <cell r="E15">
            <v>477522.02832452004</v>
          </cell>
          <cell r="G15">
            <v>20000</v>
          </cell>
          <cell r="H15">
            <v>3000</v>
          </cell>
          <cell r="I15">
            <v>500</v>
          </cell>
          <cell r="J15">
            <v>1000</v>
          </cell>
          <cell r="K15">
            <v>2500</v>
          </cell>
          <cell r="M15">
            <v>13000</v>
          </cell>
          <cell r="O15">
            <v>0</v>
          </cell>
        </row>
        <row r="16">
          <cell r="C16">
            <v>7054.3165399980298</v>
          </cell>
          <cell r="E16">
            <v>467702.04132519802</v>
          </cell>
          <cell r="G16">
            <v>0</v>
          </cell>
          <cell r="O16">
            <v>0</v>
          </cell>
        </row>
        <row r="17">
          <cell r="C17">
            <v>1391.4361016512346</v>
          </cell>
          <cell r="E17">
            <v>92252.382130280748</v>
          </cell>
          <cell r="G17">
            <v>20000</v>
          </cell>
          <cell r="H17">
            <v>3000</v>
          </cell>
          <cell r="I17">
            <v>500</v>
          </cell>
          <cell r="J17">
            <v>1000</v>
          </cell>
          <cell r="K17">
            <v>2500</v>
          </cell>
          <cell r="M17">
            <v>13000</v>
          </cell>
          <cell r="O17">
            <v>0</v>
          </cell>
        </row>
        <row r="18">
          <cell r="C18">
            <v>8034.4555474528761</v>
          </cell>
          <cell r="E18">
            <v>532685.37627619994</v>
          </cell>
          <cell r="G18">
            <v>20000</v>
          </cell>
          <cell r="H18">
            <v>3000</v>
          </cell>
          <cell r="I18">
            <v>500</v>
          </cell>
          <cell r="J18">
            <v>1000</v>
          </cell>
          <cell r="K18">
            <v>2500</v>
          </cell>
          <cell r="M18">
            <v>13000</v>
          </cell>
          <cell r="O18">
            <v>0</v>
          </cell>
        </row>
        <row r="19">
          <cell r="C19">
            <v>796.39844634736471</v>
          </cell>
          <cell r="E19">
            <v>52801.313486987739</v>
          </cell>
          <cell r="G19">
            <v>20000</v>
          </cell>
          <cell r="H19">
            <v>3000</v>
          </cell>
          <cell r="I19">
            <v>500</v>
          </cell>
          <cell r="J19">
            <v>1000</v>
          </cell>
          <cell r="K19">
            <v>2500</v>
          </cell>
          <cell r="M19">
            <v>13000</v>
          </cell>
          <cell r="O19">
            <v>0</v>
          </cell>
        </row>
        <row r="20">
          <cell r="C20">
            <v>18799.751436910352</v>
          </cell>
          <cell r="E20">
            <v>1246425.7981045675</v>
          </cell>
          <cell r="G20">
            <v>23000</v>
          </cell>
          <cell r="H20">
            <v>6000</v>
          </cell>
          <cell r="I20">
            <v>500</v>
          </cell>
          <cell r="J20">
            <v>1000</v>
          </cell>
          <cell r="K20">
            <v>2500</v>
          </cell>
          <cell r="M20">
            <v>13000</v>
          </cell>
          <cell r="O20">
            <v>0</v>
          </cell>
        </row>
        <row r="21">
          <cell r="C21">
            <v>7192.4139919803511</v>
          </cell>
          <cell r="E21">
            <v>476857.91912395041</v>
          </cell>
          <cell r="G21">
            <v>20000</v>
          </cell>
          <cell r="H21">
            <v>3000</v>
          </cell>
          <cell r="I21">
            <v>500</v>
          </cell>
          <cell r="J21">
            <v>1000</v>
          </cell>
          <cell r="K21">
            <v>2500</v>
          </cell>
          <cell r="M21">
            <v>13000</v>
          </cell>
          <cell r="O21">
            <v>0</v>
          </cell>
        </row>
        <row r="22">
          <cell r="C22">
            <v>7134.956916410888</v>
          </cell>
          <cell r="E22">
            <v>473048.50805201381</v>
          </cell>
          <cell r="G22">
            <v>20000</v>
          </cell>
          <cell r="H22">
            <v>3000</v>
          </cell>
          <cell r="I22">
            <v>500</v>
          </cell>
          <cell r="J22">
            <v>1000</v>
          </cell>
          <cell r="K22">
            <v>2500</v>
          </cell>
          <cell r="M22">
            <v>13000</v>
          </cell>
          <cell r="O22">
            <v>0</v>
          </cell>
        </row>
        <row r="23">
          <cell r="C23">
            <v>7747.9011393614119</v>
          </cell>
          <cell r="E23">
            <v>513686.78429989645</v>
          </cell>
          <cell r="G23">
            <v>19000</v>
          </cell>
          <cell r="H23">
            <v>2000</v>
          </cell>
          <cell r="I23">
            <v>500</v>
          </cell>
          <cell r="J23">
            <v>1000</v>
          </cell>
          <cell r="K23">
            <v>2500</v>
          </cell>
          <cell r="M23">
            <v>13000</v>
          </cell>
          <cell r="N23">
            <v>800000</v>
          </cell>
          <cell r="O23">
            <v>96000</v>
          </cell>
          <cell r="P23">
            <v>1000000</v>
          </cell>
        </row>
        <row r="24">
          <cell r="C24">
            <v>7146.572805411427</v>
          </cell>
          <cell r="E24">
            <v>473818.64290016744</v>
          </cell>
          <cell r="G24">
            <v>20000</v>
          </cell>
          <cell r="H24">
            <v>3000</v>
          </cell>
          <cell r="I24">
            <v>500</v>
          </cell>
          <cell r="J24">
            <v>1000</v>
          </cell>
          <cell r="K24">
            <v>2500</v>
          </cell>
          <cell r="M24">
            <v>13000</v>
          </cell>
          <cell r="O24">
            <v>0</v>
          </cell>
        </row>
        <row r="25">
          <cell r="C25">
            <v>7219.4843658337613</v>
          </cell>
          <cell r="E25">
            <v>478652.6881903637</v>
          </cell>
          <cell r="G25">
            <v>20000</v>
          </cell>
          <cell r="H25">
            <v>3000</v>
          </cell>
          <cell r="I25">
            <v>500</v>
          </cell>
          <cell r="J25">
            <v>1000</v>
          </cell>
          <cell r="K25">
            <v>2500</v>
          </cell>
          <cell r="M25">
            <v>13000</v>
          </cell>
          <cell r="O25">
            <v>0</v>
          </cell>
        </row>
        <row r="26">
          <cell r="C26">
            <v>7220.8311506025866</v>
          </cell>
          <cell r="E26">
            <v>478741.98018371756</v>
          </cell>
          <cell r="G26">
            <v>20000</v>
          </cell>
          <cell r="H26">
            <v>3000</v>
          </cell>
          <cell r="I26">
            <v>500</v>
          </cell>
          <cell r="J26">
            <v>1000</v>
          </cell>
          <cell r="K26">
            <v>2500</v>
          </cell>
          <cell r="M26">
            <v>13000</v>
          </cell>
          <cell r="O26">
            <v>0</v>
          </cell>
        </row>
        <row r="27">
          <cell r="C27">
            <v>8149.5809421807171</v>
          </cell>
          <cell r="E27">
            <v>540318.20389561309</v>
          </cell>
          <cell r="G27">
            <v>25000</v>
          </cell>
          <cell r="H27">
            <v>8000</v>
          </cell>
          <cell r="I27">
            <v>500</v>
          </cell>
          <cell r="J27">
            <v>1000</v>
          </cell>
          <cell r="K27">
            <v>2500</v>
          </cell>
          <cell r="M27">
            <v>13000</v>
          </cell>
          <cell r="O27">
            <v>0</v>
          </cell>
        </row>
        <row r="28">
          <cell r="C28">
            <v>0</v>
          </cell>
          <cell r="E28">
            <v>0</v>
          </cell>
          <cell r="G28">
            <v>0</v>
          </cell>
          <cell r="O28">
            <v>0</v>
          </cell>
        </row>
        <row r="29">
          <cell r="C29">
            <v>10169.666906376606</v>
          </cell>
          <cell r="E29">
            <v>674250.14808181231</v>
          </cell>
          <cell r="G29">
            <v>20000</v>
          </cell>
          <cell r="H29">
            <v>3000</v>
          </cell>
          <cell r="I29">
            <v>500</v>
          </cell>
          <cell r="J29">
            <v>1000</v>
          </cell>
          <cell r="K29">
            <v>2500</v>
          </cell>
          <cell r="M29">
            <v>13000</v>
          </cell>
          <cell r="O29">
            <v>0</v>
          </cell>
        </row>
        <row r="30">
          <cell r="C30">
            <v>580.99705738320813</v>
          </cell>
          <cell r="E30">
            <v>38520.175299949828</v>
          </cell>
          <cell r="G30">
            <v>20000</v>
          </cell>
          <cell r="H30">
            <v>3000</v>
          </cell>
          <cell r="I30">
            <v>500</v>
          </cell>
          <cell r="J30">
            <v>1000</v>
          </cell>
          <cell r="K30">
            <v>2500</v>
          </cell>
          <cell r="M30">
            <v>13000</v>
          </cell>
          <cell r="O30">
            <v>0</v>
          </cell>
        </row>
        <row r="31">
          <cell r="C31">
            <v>14859.521707293547</v>
          </cell>
          <cell r="E31">
            <v>985188.08962026308</v>
          </cell>
          <cell r="G31">
            <v>20000</v>
          </cell>
          <cell r="H31">
            <v>3000</v>
          </cell>
          <cell r="I31">
            <v>500</v>
          </cell>
          <cell r="J31">
            <v>1000</v>
          </cell>
          <cell r="K31">
            <v>2500</v>
          </cell>
          <cell r="M31">
            <v>13000</v>
          </cell>
          <cell r="O31">
            <v>0</v>
          </cell>
        </row>
        <row r="32">
          <cell r="C32">
            <v>7440.012243847882</v>
          </cell>
          <cell r="E32">
            <v>493273.71322255593</v>
          </cell>
          <cell r="G32">
            <v>20000</v>
          </cell>
          <cell r="H32">
            <v>3000</v>
          </cell>
          <cell r="I32">
            <v>500</v>
          </cell>
          <cell r="J32">
            <v>1000</v>
          </cell>
          <cell r="K32">
            <v>2500</v>
          </cell>
          <cell r="M32">
            <v>13000</v>
          </cell>
          <cell r="O32">
            <v>0</v>
          </cell>
        </row>
        <row r="33">
          <cell r="C33">
            <v>8129.8194568011168</v>
          </cell>
          <cell r="E33">
            <v>539008.01502058154</v>
          </cell>
          <cell r="G33">
            <v>23000</v>
          </cell>
          <cell r="H33">
            <v>6000</v>
          </cell>
          <cell r="I33">
            <v>500</v>
          </cell>
          <cell r="J33">
            <v>1000</v>
          </cell>
          <cell r="K33">
            <v>2500</v>
          </cell>
          <cell r="M33">
            <v>13000</v>
          </cell>
          <cell r="N33">
            <v>1000000</v>
          </cell>
          <cell r="O33">
            <v>120000</v>
          </cell>
        </row>
        <row r="34">
          <cell r="C34">
            <v>8262.0206355681039</v>
          </cell>
          <cell r="E34">
            <v>547772.96919074608</v>
          </cell>
          <cell r="G34">
            <v>50000</v>
          </cell>
          <cell r="H34">
            <v>8000</v>
          </cell>
          <cell r="I34">
            <v>500</v>
          </cell>
          <cell r="J34">
            <v>1000</v>
          </cell>
          <cell r="K34">
            <v>2500</v>
          </cell>
          <cell r="L34">
            <v>25000</v>
          </cell>
          <cell r="M34">
            <v>13000</v>
          </cell>
          <cell r="O34">
            <v>0</v>
          </cell>
        </row>
        <row r="36">
          <cell r="C36">
            <v>239.74992800557587</v>
          </cell>
          <cell r="E36">
            <v>15895.449275630095</v>
          </cell>
          <cell r="G36">
            <v>20000</v>
          </cell>
          <cell r="H36">
            <v>3000</v>
          </cell>
          <cell r="I36">
            <v>500</v>
          </cell>
          <cell r="J36">
            <v>1000</v>
          </cell>
          <cell r="K36">
            <v>2500</v>
          </cell>
          <cell r="M36">
            <v>13000</v>
          </cell>
          <cell r="O36">
            <v>0</v>
          </cell>
        </row>
        <row r="38">
          <cell r="C38">
            <v>7148.9296787568719</v>
          </cell>
          <cell r="E38">
            <v>473974.90388853668</v>
          </cell>
          <cell r="G38">
            <v>20000</v>
          </cell>
          <cell r="H38">
            <v>3000</v>
          </cell>
          <cell r="I38">
            <v>500</v>
          </cell>
          <cell r="J38">
            <v>1000</v>
          </cell>
          <cell r="K38">
            <v>2500</v>
          </cell>
          <cell r="M38">
            <v>13000</v>
          </cell>
          <cell r="O38">
            <v>0</v>
          </cell>
        </row>
        <row r="39">
          <cell r="C39">
            <v>7190.8820243058108</v>
          </cell>
          <cell r="E39">
            <v>476756.34948151035</v>
          </cell>
          <cell r="G39">
            <v>20000</v>
          </cell>
          <cell r="H39">
            <v>3000</v>
          </cell>
          <cell r="I39">
            <v>500</v>
          </cell>
          <cell r="J39">
            <v>1000</v>
          </cell>
          <cell r="K39">
            <v>2500</v>
          </cell>
          <cell r="M39">
            <v>13000</v>
          </cell>
          <cell r="O39">
            <v>0</v>
          </cell>
        </row>
        <row r="40">
          <cell r="C40">
            <v>6660.9432944522287</v>
          </cell>
          <cell r="E40">
            <v>441621.34748316335</v>
          </cell>
          <cell r="G40">
            <v>20000</v>
          </cell>
          <cell r="H40">
            <v>3000</v>
          </cell>
          <cell r="I40">
            <v>500</v>
          </cell>
          <cell r="J40">
            <v>1000</v>
          </cell>
          <cell r="K40">
            <v>2500</v>
          </cell>
          <cell r="M40">
            <v>13000</v>
          </cell>
          <cell r="O40">
            <v>0</v>
          </cell>
        </row>
        <row r="41">
          <cell r="C41">
            <v>7163.1045884487694</v>
          </cell>
          <cell r="E41">
            <v>474914.7021185864</v>
          </cell>
          <cell r="G41">
            <v>20000</v>
          </cell>
          <cell r="H41">
            <v>3000</v>
          </cell>
          <cell r="I41">
            <v>500</v>
          </cell>
          <cell r="J41">
            <v>1000</v>
          </cell>
          <cell r="K41">
            <v>2500</v>
          </cell>
          <cell r="M41">
            <v>13000</v>
          </cell>
          <cell r="O41">
            <v>0</v>
          </cell>
        </row>
        <row r="42">
          <cell r="C42">
            <v>7157.279744323595</v>
          </cell>
          <cell r="E42">
            <v>474528.51424733078</v>
          </cell>
          <cell r="G42">
            <v>20000</v>
          </cell>
          <cell r="H42">
            <v>3000</v>
          </cell>
          <cell r="I42">
            <v>500</v>
          </cell>
          <cell r="J42">
            <v>1000</v>
          </cell>
          <cell r="K42">
            <v>2500</v>
          </cell>
          <cell r="M42">
            <v>13000</v>
          </cell>
          <cell r="O42">
            <v>0</v>
          </cell>
        </row>
        <row r="43">
          <cell r="C43">
            <v>19139.872306686604</v>
          </cell>
          <cell r="E43">
            <v>1268975.8529808545</v>
          </cell>
          <cell r="G43">
            <v>30000</v>
          </cell>
          <cell r="H43">
            <v>3000</v>
          </cell>
          <cell r="I43">
            <v>500</v>
          </cell>
          <cell r="J43">
            <v>1000</v>
          </cell>
          <cell r="K43">
            <v>2500</v>
          </cell>
          <cell r="L43">
            <v>10000</v>
          </cell>
          <cell r="M43">
            <v>13000</v>
          </cell>
          <cell r="N43">
            <v>570000</v>
          </cell>
          <cell r="O43">
            <v>68400</v>
          </cell>
          <cell r="P43">
            <v>70000</v>
          </cell>
        </row>
        <row r="44">
          <cell r="C44">
            <v>6660.9432944522287</v>
          </cell>
          <cell r="E44">
            <v>441621.34748316335</v>
          </cell>
          <cell r="G44">
            <v>20000</v>
          </cell>
          <cell r="H44">
            <v>3000</v>
          </cell>
          <cell r="I44">
            <v>500</v>
          </cell>
          <cell r="J44">
            <v>1000</v>
          </cell>
          <cell r="K44">
            <v>2500</v>
          </cell>
          <cell r="M44">
            <v>13000</v>
          </cell>
          <cell r="O44">
            <v>0</v>
          </cell>
        </row>
        <row r="45">
          <cell r="C45">
            <v>580.99705738320813</v>
          </cell>
          <cell r="E45">
            <v>38520.175299949828</v>
          </cell>
          <cell r="G45">
            <v>70000</v>
          </cell>
          <cell r="H45">
            <v>3000</v>
          </cell>
          <cell r="I45">
            <v>500</v>
          </cell>
          <cell r="J45">
            <v>1000</v>
          </cell>
          <cell r="K45">
            <v>2500</v>
          </cell>
          <cell r="L45">
            <v>50000</v>
          </cell>
          <cell r="M45">
            <v>13000</v>
          </cell>
          <cell r="O45">
            <v>0</v>
          </cell>
        </row>
        <row r="46">
          <cell r="C46">
            <v>7204.4340460421254</v>
          </cell>
          <cell r="E46">
            <v>477654.85016463388</v>
          </cell>
          <cell r="G46">
            <v>20000</v>
          </cell>
          <cell r="H46">
            <v>3000</v>
          </cell>
          <cell r="I46">
            <v>500</v>
          </cell>
          <cell r="J46">
            <v>1000</v>
          </cell>
          <cell r="K46">
            <v>2500</v>
          </cell>
          <cell r="M46">
            <v>13000</v>
          </cell>
          <cell r="O46">
            <v>0</v>
          </cell>
        </row>
        <row r="47">
          <cell r="C47">
            <v>6509.0540239030597</v>
          </cell>
          <cell r="E47">
            <v>431551.07044236845</v>
          </cell>
          <cell r="G47">
            <v>20000</v>
          </cell>
          <cell r="H47">
            <v>3000</v>
          </cell>
          <cell r="I47">
            <v>500</v>
          </cell>
          <cell r="J47">
            <v>1000</v>
          </cell>
          <cell r="K47">
            <v>2500</v>
          </cell>
          <cell r="M47">
            <v>13000</v>
          </cell>
          <cell r="O47">
            <v>0</v>
          </cell>
        </row>
        <row r="48">
          <cell r="C48">
            <v>383.66510333111938</v>
          </cell>
          <cell r="E48">
            <v>25437.042836931963</v>
          </cell>
          <cell r="G48">
            <v>20000</v>
          </cell>
          <cell r="H48">
            <v>3000</v>
          </cell>
          <cell r="I48">
            <v>500</v>
          </cell>
          <cell r="J48">
            <v>1000</v>
          </cell>
          <cell r="K48">
            <v>2500</v>
          </cell>
          <cell r="M48">
            <v>13000</v>
          </cell>
          <cell r="O48">
            <v>0</v>
          </cell>
        </row>
        <row r="49">
          <cell r="C49">
            <v>7158.2567413393026</v>
          </cell>
          <cell r="E49">
            <v>474593.28926784825</v>
          </cell>
          <cell r="G49">
            <v>20000</v>
          </cell>
          <cell r="H49">
            <v>3000</v>
          </cell>
          <cell r="I49">
            <v>500</v>
          </cell>
          <cell r="J49">
            <v>1000</v>
          </cell>
          <cell r="K49">
            <v>2500</v>
          </cell>
          <cell r="M49">
            <v>13000</v>
          </cell>
          <cell r="O49">
            <v>0</v>
          </cell>
        </row>
        <row r="50">
          <cell r="C50">
            <v>7443.4715076991843</v>
          </cell>
          <cell r="E50">
            <v>493503.06283503259</v>
          </cell>
          <cell r="G50">
            <v>20000</v>
          </cell>
          <cell r="H50">
            <v>3000</v>
          </cell>
          <cell r="I50">
            <v>500</v>
          </cell>
          <cell r="J50">
            <v>1000</v>
          </cell>
          <cell r="K50">
            <v>2500</v>
          </cell>
          <cell r="M50">
            <v>13000</v>
          </cell>
          <cell r="O50">
            <v>0</v>
          </cell>
        </row>
        <row r="51">
          <cell r="C51">
            <v>14238.017501237484</v>
          </cell>
          <cell r="E51">
            <v>943982.28545532853</v>
          </cell>
          <cell r="G51">
            <v>20000</v>
          </cell>
          <cell r="H51">
            <v>3000</v>
          </cell>
          <cell r="I51">
            <v>500</v>
          </cell>
          <cell r="J51">
            <v>1000</v>
          </cell>
          <cell r="K51">
            <v>2500</v>
          </cell>
          <cell r="M51">
            <v>13000</v>
          </cell>
          <cell r="O51">
            <v>0</v>
          </cell>
        </row>
        <row r="52">
          <cell r="C52">
            <v>24036.583756452459</v>
          </cell>
          <cell r="E52">
            <v>1593628.4154013947</v>
          </cell>
          <cell r="G52">
            <v>20000</v>
          </cell>
          <cell r="H52">
            <v>3000</v>
          </cell>
          <cell r="I52">
            <v>500</v>
          </cell>
          <cell r="J52">
            <v>1000</v>
          </cell>
          <cell r="K52">
            <v>2500</v>
          </cell>
          <cell r="M52">
            <v>13000</v>
          </cell>
          <cell r="O52">
            <v>0</v>
          </cell>
        </row>
      </sheetData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 (2)"/>
    </sheetNames>
    <sheetDataSet>
      <sheetData sheetId="0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D5">
            <v>0</v>
          </cell>
          <cell r="E5">
            <v>677841881</v>
          </cell>
          <cell r="F5">
            <v>0</v>
          </cell>
          <cell r="G5" t="str">
            <v>NKOLBISSON</v>
          </cell>
          <cell r="H5" t="str">
            <v>ACTIF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D6">
            <v>0</v>
          </cell>
          <cell r="E6">
            <v>677704694</v>
          </cell>
          <cell r="F6">
            <v>0</v>
          </cell>
          <cell r="G6" t="str">
            <v>EMANA</v>
          </cell>
          <cell r="H6" t="str">
            <v>ACTIF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D7">
            <v>0</v>
          </cell>
          <cell r="E7">
            <v>677881912</v>
          </cell>
          <cell r="F7">
            <v>0</v>
          </cell>
          <cell r="G7" t="str">
            <v>SANTA BARBARA</v>
          </cell>
          <cell r="H7" t="str">
            <v>ACTIF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ENTREPRENEUR DE BATIMENT</v>
          </cell>
          <cell r="D8">
            <v>0</v>
          </cell>
          <cell r="E8">
            <v>677986676</v>
          </cell>
          <cell r="F8">
            <v>0</v>
          </cell>
          <cell r="G8" t="str">
            <v>RUE MANGUIERS</v>
          </cell>
          <cell r="H8" t="str">
            <v>ACTIF</v>
          </cell>
        </row>
        <row r="9">
          <cell r="A9" t="str">
            <v>AS201605</v>
          </cell>
          <cell r="B9" t="str">
            <v>DJOUKWE NANGUEN GUY BLAISE</v>
          </cell>
          <cell r="C9" t="str">
            <v>PROFESSEUR DES LYCEES TECHNIQUE</v>
          </cell>
          <cell r="D9">
            <v>0</v>
          </cell>
          <cell r="E9">
            <v>675250451</v>
          </cell>
          <cell r="F9">
            <v>0</v>
          </cell>
          <cell r="G9" t="str">
            <v>RUE MANGUIERS</v>
          </cell>
          <cell r="H9" t="str">
            <v>ACTIF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D10">
            <v>0</v>
          </cell>
          <cell r="E10">
            <v>675250451</v>
          </cell>
          <cell r="F10">
            <v>0</v>
          </cell>
          <cell r="G10" t="str">
            <v>RUE MANGUIERS</v>
          </cell>
          <cell r="H10" t="str">
            <v>DECEDE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D11">
            <v>0</v>
          </cell>
          <cell r="E11">
            <v>697103557</v>
          </cell>
          <cell r="F11">
            <v>0</v>
          </cell>
          <cell r="G11" t="str">
            <v>BIYEM ASSI LYCEE</v>
          </cell>
          <cell r="H11" t="str">
            <v>DECEDE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D12">
            <v>0</v>
          </cell>
          <cell r="E12">
            <v>677501239</v>
          </cell>
          <cell r="F12">
            <v>699324095</v>
          </cell>
          <cell r="G12" t="str">
            <v>MESSASSI</v>
          </cell>
          <cell r="H12" t="str">
            <v>ACTIF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D13">
            <v>0</v>
          </cell>
          <cell r="E13">
            <v>699908065</v>
          </cell>
          <cell r="F13">
            <v>0</v>
          </cell>
          <cell r="G13" t="str">
            <v>TONGOLO</v>
          </cell>
          <cell r="H13" t="str">
            <v>ACTIF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D14">
            <v>0</v>
          </cell>
          <cell r="E14">
            <v>677910278</v>
          </cell>
          <cell r="F14">
            <v>0</v>
          </cell>
          <cell r="G14" t="str">
            <v>OYOMABANG</v>
          </cell>
          <cell r="H14" t="str">
            <v>ACTIF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D15">
            <v>0</v>
          </cell>
          <cell r="E15">
            <v>694468080</v>
          </cell>
          <cell r="F15">
            <v>0</v>
          </cell>
          <cell r="G15" t="str">
            <v>MESSASSI</v>
          </cell>
          <cell r="H15" t="str">
            <v>ACTIF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D16">
            <v>0</v>
          </cell>
          <cell r="E16">
            <v>675291170</v>
          </cell>
          <cell r="F16">
            <v>0</v>
          </cell>
          <cell r="G16" t="str">
            <v>NYOM 2</v>
          </cell>
          <cell r="H16" t="str">
            <v>DEMISSION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D17">
            <v>0</v>
          </cell>
          <cell r="E17">
            <v>699956355</v>
          </cell>
          <cell r="F17">
            <v>0</v>
          </cell>
          <cell r="G17" t="str">
            <v>DAMAS</v>
          </cell>
          <cell r="H17" t="str">
            <v>ACTIF</v>
          </cell>
        </row>
        <row r="18">
          <cell r="A18" t="str">
            <v>AS201614</v>
          </cell>
          <cell r="B18" t="str">
            <v>NKEHE DAVID</v>
          </cell>
          <cell r="C18" t="str">
            <v>OPERATEUR ECONOMIQUE</v>
          </cell>
          <cell r="D18">
            <v>0</v>
          </cell>
          <cell r="E18">
            <v>677053815</v>
          </cell>
          <cell r="F18">
            <v>0</v>
          </cell>
          <cell r="G18" t="str">
            <v>MESSASSI</v>
          </cell>
          <cell r="H18" t="str">
            <v>ACTIF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D19">
            <v>0</v>
          </cell>
          <cell r="E19">
            <v>699528700</v>
          </cell>
          <cell r="F19">
            <v>0</v>
          </cell>
          <cell r="G19" t="str">
            <v>SIMBOCK</v>
          </cell>
          <cell r="H19" t="str">
            <v>ACTIF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D20">
            <v>0</v>
          </cell>
          <cell r="E20">
            <v>699335584</v>
          </cell>
          <cell r="F20">
            <v>0</v>
          </cell>
          <cell r="G20" t="str">
            <v>MONTEE JOUVENCE</v>
          </cell>
          <cell r="H20" t="str">
            <v>ACTIF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D21">
            <v>0</v>
          </cell>
          <cell r="E21">
            <v>675836725</v>
          </cell>
          <cell r="F21">
            <v>0</v>
          </cell>
          <cell r="G21" t="str">
            <v>DAMAS</v>
          </cell>
          <cell r="H21" t="str">
            <v>ACTIF</v>
          </cell>
        </row>
        <row r="22">
          <cell r="A22" t="str">
            <v>AS201618</v>
          </cell>
          <cell r="B22" t="str">
            <v>KOUAMO VICTOR PEGUY</v>
          </cell>
          <cell r="C22" t="str">
            <v>S/OFFICIER SUPERIEUR</v>
          </cell>
          <cell r="D22">
            <v>0</v>
          </cell>
          <cell r="E22">
            <v>696564847</v>
          </cell>
          <cell r="F22">
            <v>0</v>
          </cell>
          <cell r="G22" t="str">
            <v>MESSASSI</v>
          </cell>
          <cell r="H22" t="str">
            <v>ACTIF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D23">
            <v>0</v>
          </cell>
          <cell r="E23">
            <v>677735778</v>
          </cell>
          <cell r="F23">
            <v>0</v>
          </cell>
          <cell r="G23" t="str">
            <v>SANTA BARBARA</v>
          </cell>
          <cell r="H23" t="str">
            <v>ACTIF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ACTIF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D25">
            <v>0</v>
          </cell>
          <cell r="E25">
            <v>693055118</v>
          </cell>
          <cell r="F25">
            <v>0</v>
          </cell>
          <cell r="G25" t="str">
            <v>DAMAS</v>
          </cell>
          <cell r="H25" t="str">
            <v>ACTIF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D26">
            <v>0</v>
          </cell>
          <cell r="E26">
            <v>677553702</v>
          </cell>
          <cell r="F26">
            <v>0</v>
          </cell>
          <cell r="G26" t="str">
            <v>MONTEE JOUVENCE</v>
          </cell>
          <cell r="H26" t="str">
            <v>ACTIF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D27">
            <v>0</v>
          </cell>
          <cell r="E27">
            <v>699358350</v>
          </cell>
          <cell r="F27">
            <v>0</v>
          </cell>
          <cell r="G27" t="str">
            <v>ETOUG EBE</v>
          </cell>
          <cell r="H27" t="str">
            <v>ACTIF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D28">
            <v>0</v>
          </cell>
          <cell r="E28">
            <v>675249207</v>
          </cell>
          <cell r="F28">
            <v>0</v>
          </cell>
          <cell r="G28" t="str">
            <v>CITE VERTE</v>
          </cell>
          <cell r="H28" t="str">
            <v>ACTIF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D29">
            <v>0</v>
          </cell>
          <cell r="E29">
            <v>677766503</v>
          </cell>
          <cell r="F29">
            <v>0</v>
          </cell>
          <cell r="G29" t="str">
            <v>RUE MANGUIERS</v>
          </cell>
          <cell r="H29" t="str">
            <v>ACTIF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D30">
            <v>0</v>
          </cell>
          <cell r="E30">
            <v>677068360</v>
          </cell>
          <cell r="F30">
            <v>0</v>
          </cell>
          <cell r="G30" t="str">
            <v>MONATELE</v>
          </cell>
          <cell r="H30" t="str">
            <v>ACTIF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D31">
            <v>0</v>
          </cell>
          <cell r="E31">
            <v>670909070</v>
          </cell>
          <cell r="F31">
            <v>0</v>
          </cell>
          <cell r="G31" t="str">
            <v>MENDONG</v>
          </cell>
          <cell r="H31" t="str">
            <v>ACTIF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D32">
            <v>0</v>
          </cell>
          <cell r="E32">
            <v>676659191</v>
          </cell>
          <cell r="F32">
            <v>0</v>
          </cell>
          <cell r="G32" t="str">
            <v>MENDONG</v>
          </cell>
          <cell r="H32" t="str">
            <v>ACTIF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D33">
            <v>0</v>
          </cell>
          <cell r="E33">
            <v>677575366</v>
          </cell>
          <cell r="F33">
            <v>0</v>
          </cell>
          <cell r="G33" t="str">
            <v>ESSOS</v>
          </cell>
          <cell r="H33" t="str">
            <v>ACTIF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D34">
            <v>0</v>
          </cell>
          <cell r="E34">
            <v>699843118</v>
          </cell>
          <cell r="F34">
            <v>0</v>
          </cell>
          <cell r="G34" t="str">
            <v>BIYEM ASSI LYCEE</v>
          </cell>
          <cell r="H34" t="str">
            <v>DECEDE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D35">
            <v>0</v>
          </cell>
          <cell r="E35">
            <v>677377251</v>
          </cell>
          <cell r="F35">
            <v>0</v>
          </cell>
          <cell r="G35" t="str">
            <v>MONTEE JOUVENCE</v>
          </cell>
          <cell r="H35" t="str">
            <v>DEMISSION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D36">
            <v>0</v>
          </cell>
          <cell r="E36">
            <v>677867173</v>
          </cell>
          <cell r="F36">
            <v>0</v>
          </cell>
          <cell r="G36" t="str">
            <v>BIYEM ASSI LYCEE</v>
          </cell>
          <cell r="H36" t="str">
            <v>DECEDE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D37">
            <v>0</v>
          </cell>
          <cell r="E37">
            <v>699995086</v>
          </cell>
          <cell r="F37">
            <v>0</v>
          </cell>
          <cell r="G37" t="str">
            <v>EBOGO 1(SOA)</v>
          </cell>
          <cell r="H37" t="str">
            <v>ACTIF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D38">
            <v>0</v>
          </cell>
          <cell r="E38">
            <v>677054646</v>
          </cell>
          <cell r="F38">
            <v>0</v>
          </cell>
          <cell r="G38" t="str">
            <v>EMANA</v>
          </cell>
          <cell r="H38" t="str">
            <v>ACTIF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D39">
            <v>0</v>
          </cell>
          <cell r="E39">
            <v>699549665</v>
          </cell>
          <cell r="F39">
            <v>0</v>
          </cell>
          <cell r="G39" t="str">
            <v>ELEVEUR</v>
          </cell>
          <cell r="H39" t="str">
            <v>ACTIF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D40">
            <v>0</v>
          </cell>
          <cell r="E40">
            <v>699350133</v>
          </cell>
          <cell r="F40">
            <v>0</v>
          </cell>
          <cell r="G40" t="str">
            <v>DAMAS</v>
          </cell>
          <cell r="H40" t="str">
            <v>ACTIF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D41">
            <v>0</v>
          </cell>
          <cell r="E41">
            <v>677477649</v>
          </cell>
          <cell r="F41">
            <v>0</v>
          </cell>
          <cell r="G41" t="str">
            <v>PARC NATIONAL</v>
          </cell>
          <cell r="H41" t="str">
            <v>ACTIF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D42">
            <v>0</v>
          </cell>
          <cell r="E42">
            <v>677546060</v>
          </cell>
          <cell r="F42">
            <v>0</v>
          </cell>
          <cell r="G42" t="str">
            <v>OYOMABANG</v>
          </cell>
          <cell r="H42" t="str">
            <v>ACTIF</v>
          </cell>
        </row>
        <row r="43">
          <cell r="A43" t="str">
            <v>AS201639</v>
          </cell>
          <cell r="B43" t="str">
            <v>NANGUEN MARTIN</v>
          </cell>
          <cell r="C43" t="str">
            <v>SECRETAIRE D'ADMINISTRATION</v>
          </cell>
          <cell r="D43">
            <v>0</v>
          </cell>
          <cell r="E43">
            <v>677648306</v>
          </cell>
          <cell r="F43">
            <v>0</v>
          </cell>
          <cell r="G43" t="str">
            <v>RUE MANGUIERS</v>
          </cell>
          <cell r="H43" t="str">
            <v>ACTIF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D44">
            <v>0</v>
          </cell>
          <cell r="E44">
            <v>677780149</v>
          </cell>
          <cell r="F44">
            <v>0</v>
          </cell>
          <cell r="G44" t="str">
            <v>MESSASSI</v>
          </cell>
          <cell r="H44" t="str">
            <v>ACTIF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D45">
            <v>0</v>
          </cell>
          <cell r="E45">
            <v>699778906</v>
          </cell>
          <cell r="F45">
            <v>0</v>
          </cell>
          <cell r="G45" t="str">
            <v>MENDONG</v>
          </cell>
          <cell r="H45" t="str">
            <v>ACTIF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D46">
            <v>0</v>
          </cell>
          <cell r="E46">
            <v>678639806</v>
          </cell>
          <cell r="F46">
            <v>0</v>
          </cell>
          <cell r="G46" t="str">
            <v>MENDONG</v>
          </cell>
          <cell r="H46" t="str">
            <v>ACTIF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D47">
            <v>0</v>
          </cell>
          <cell r="E47">
            <v>677775940</v>
          </cell>
          <cell r="F47">
            <v>0</v>
          </cell>
          <cell r="G47" t="str">
            <v>NKOL FOULOU</v>
          </cell>
          <cell r="H47" t="str">
            <v>ACTIF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D48">
            <v>0</v>
          </cell>
          <cell r="E48">
            <v>677508603</v>
          </cell>
          <cell r="F48">
            <v>0</v>
          </cell>
          <cell r="G48" t="str">
            <v>BASTOS</v>
          </cell>
          <cell r="H48" t="str">
            <v>ACTIF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D49">
            <v>0</v>
          </cell>
          <cell r="E49">
            <v>677726329</v>
          </cell>
          <cell r="F49">
            <v>0</v>
          </cell>
          <cell r="G49" t="str">
            <v>BIYEM ASSI LYCEE</v>
          </cell>
          <cell r="H49" t="str">
            <v>DECEDE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D50">
            <v>0</v>
          </cell>
          <cell r="E50">
            <v>699663416</v>
          </cell>
          <cell r="F50">
            <v>0</v>
          </cell>
          <cell r="G50" t="str">
            <v>MENDONG (NKOLZIE)</v>
          </cell>
          <cell r="H50" t="str">
            <v>ACTIF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D51">
            <v>0</v>
          </cell>
          <cell r="E51">
            <v>677547311</v>
          </cell>
          <cell r="F51">
            <v>0</v>
          </cell>
          <cell r="G51" t="str">
            <v>MENDONG (GUINNESS)</v>
          </cell>
          <cell r="H51" t="str">
            <v>ACTIF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 t="str">
            <v>MBOGNING TUGMA GUY</v>
          </cell>
          <cell r="C53" t="str">
            <v>TECHNICIEN D'ELEVAGE</v>
          </cell>
          <cell r="D53">
            <v>0</v>
          </cell>
          <cell r="E53">
            <v>694452000</v>
          </cell>
          <cell r="F53">
            <v>0</v>
          </cell>
          <cell r="G53" t="str">
            <v xml:space="preserve">NSIMEYONG </v>
          </cell>
          <cell r="H53" t="str">
            <v>ACTIF</v>
          </cell>
        </row>
        <row r="54">
          <cell r="A54" t="str">
            <v>AS201650</v>
          </cell>
          <cell r="B54" t="str">
            <v>DJOMO DOMO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 t="str">
            <v>ACTIF</v>
          </cell>
        </row>
        <row r="55">
          <cell r="A55" t="str">
            <v>AS201651</v>
          </cell>
          <cell r="B55" t="str">
            <v>DOMOU FABIEN</v>
          </cell>
        </row>
        <row r="56">
          <cell r="A56" t="str">
            <v>AS201651</v>
          </cell>
          <cell r="B56" t="str">
            <v>DOMOU FABIEN</v>
          </cell>
        </row>
        <row r="57">
          <cell r="A57" t="str">
            <v>AS201652</v>
          </cell>
          <cell r="B57" t="str">
            <v>NGANHOU JEAN</v>
          </cell>
        </row>
        <row r="58">
          <cell r="A58" t="str">
            <v>AS201653</v>
          </cell>
          <cell r="B58" t="str">
            <v>SIME BRICE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AOUT2017"/>
      <sheetName val="MVTAOUT20177"/>
      <sheetName val="MVTAOUT"/>
      <sheetName val="MVTSEPT"/>
      <sheetName val="MVTOCT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2019"/>
      <sheetName val="RECAP"/>
    </sheetNames>
    <sheetDataSet>
      <sheetData sheetId="0"/>
      <sheetData sheetId="1"/>
      <sheetData sheetId="2"/>
      <sheetData sheetId="3"/>
      <sheetData sheetId="4"/>
      <sheetData sheetId="5">
        <row r="7">
          <cell r="P7">
            <v>588000</v>
          </cell>
          <cell r="Q7">
            <v>0</v>
          </cell>
        </row>
        <row r="8">
          <cell r="Q8">
            <v>0</v>
          </cell>
        </row>
        <row r="9">
          <cell r="P9">
            <v>700000</v>
          </cell>
          <cell r="Q9">
            <v>84000</v>
          </cell>
        </row>
        <row r="10">
          <cell r="Q10">
            <v>0</v>
          </cell>
        </row>
        <row r="11">
          <cell r="P11">
            <v>800000</v>
          </cell>
          <cell r="Q11">
            <v>88000</v>
          </cell>
        </row>
        <row r="12">
          <cell r="P12">
            <v>1000000</v>
          </cell>
          <cell r="Q12">
            <v>120000</v>
          </cell>
        </row>
        <row r="13">
          <cell r="P13">
            <v>1000000</v>
          </cell>
          <cell r="Q13">
            <v>40000</v>
          </cell>
        </row>
        <row r="14">
          <cell r="P14">
            <v>1000000</v>
          </cell>
          <cell r="Q14">
            <v>110000</v>
          </cell>
        </row>
        <row r="15">
          <cell r="Q15">
            <v>77000</v>
          </cell>
        </row>
        <row r="16">
          <cell r="P16">
            <v>1000000</v>
          </cell>
          <cell r="Q16">
            <v>120000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P20">
            <v>900000</v>
          </cell>
          <cell r="Q20">
            <v>99000</v>
          </cell>
        </row>
        <row r="21">
          <cell r="P21">
            <v>700000</v>
          </cell>
          <cell r="Q21">
            <v>77000</v>
          </cell>
        </row>
        <row r="22">
          <cell r="P22">
            <v>1000000</v>
          </cell>
          <cell r="Q22">
            <v>110000</v>
          </cell>
        </row>
        <row r="23">
          <cell r="P23">
            <v>1000000</v>
          </cell>
          <cell r="Q23">
            <v>110000</v>
          </cell>
        </row>
        <row r="24">
          <cell r="P24">
            <v>176400</v>
          </cell>
          <cell r="Q24">
            <v>19404</v>
          </cell>
          <cell r="S24">
            <v>176400</v>
          </cell>
        </row>
        <row r="25">
          <cell r="P25">
            <v>900000</v>
          </cell>
          <cell r="Q25">
            <v>108000</v>
          </cell>
        </row>
        <row r="26">
          <cell r="Q26">
            <v>0</v>
          </cell>
        </row>
        <row r="27">
          <cell r="P27">
            <v>1000000</v>
          </cell>
          <cell r="Q27">
            <v>110000</v>
          </cell>
        </row>
        <row r="28">
          <cell r="P28">
            <v>500000</v>
          </cell>
          <cell r="Q28">
            <v>50000</v>
          </cell>
        </row>
        <row r="29">
          <cell r="Q29">
            <v>0</v>
          </cell>
        </row>
        <row r="30">
          <cell r="P30">
            <v>1176000</v>
          </cell>
          <cell r="Q30">
            <v>129360</v>
          </cell>
        </row>
        <row r="31">
          <cell r="Q31">
            <v>0</v>
          </cell>
        </row>
        <row r="32">
          <cell r="P32">
            <v>1000000</v>
          </cell>
          <cell r="Q32">
            <v>110000</v>
          </cell>
        </row>
        <row r="33">
          <cell r="P33">
            <v>700000</v>
          </cell>
          <cell r="Q33">
            <v>84000</v>
          </cell>
        </row>
        <row r="34">
          <cell r="P34">
            <v>1000000</v>
          </cell>
          <cell r="Q34">
            <v>20000</v>
          </cell>
        </row>
        <row r="35">
          <cell r="P35">
            <v>1000000</v>
          </cell>
          <cell r="Q35">
            <v>120000</v>
          </cell>
        </row>
        <row r="36">
          <cell r="P36">
            <v>1000000</v>
          </cell>
          <cell r="Q36">
            <v>110000</v>
          </cell>
        </row>
        <row r="37">
          <cell r="Q37">
            <v>0</v>
          </cell>
        </row>
        <row r="38">
          <cell r="P38">
            <v>1111752</v>
          </cell>
        </row>
        <row r="39">
          <cell r="Q39">
            <v>0</v>
          </cell>
        </row>
        <row r="40">
          <cell r="P40">
            <v>1000000</v>
          </cell>
          <cell r="Q40">
            <v>90000</v>
          </cell>
        </row>
        <row r="41">
          <cell r="P41">
            <v>184035</v>
          </cell>
          <cell r="Q41">
            <v>20243.849999999999</v>
          </cell>
        </row>
        <row r="42">
          <cell r="P42">
            <v>304500</v>
          </cell>
          <cell r="Q42">
            <v>33495</v>
          </cell>
          <cell r="S42">
            <v>230247</v>
          </cell>
        </row>
        <row r="43">
          <cell r="Q43">
            <v>0</v>
          </cell>
        </row>
        <row r="44">
          <cell r="P44">
            <v>850000</v>
          </cell>
          <cell r="Q44">
            <v>95000</v>
          </cell>
        </row>
        <row r="45">
          <cell r="Q45">
            <v>0</v>
          </cell>
        </row>
        <row r="46">
          <cell r="P46">
            <v>1000000</v>
          </cell>
          <cell r="Q46">
            <v>30000</v>
          </cell>
        </row>
        <row r="47">
          <cell r="P47">
            <v>500000</v>
          </cell>
          <cell r="Q47">
            <v>17500</v>
          </cell>
          <cell r="S47">
            <v>250000</v>
          </cell>
        </row>
        <row r="48">
          <cell r="Q48">
            <v>0</v>
          </cell>
        </row>
      </sheetData>
      <sheetData sheetId="6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N34">
            <v>1000000</v>
          </cell>
          <cell r="O34">
            <v>100000</v>
          </cell>
          <cell r="Q34">
            <v>1000000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  <cell r="Q41">
            <v>50000</v>
          </cell>
        </row>
        <row r="42">
          <cell r="N42">
            <v>500000</v>
          </cell>
          <cell r="O42">
            <v>50000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7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N43">
            <v>1000000</v>
          </cell>
          <cell r="O43">
            <v>90000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N47">
            <v>750000</v>
          </cell>
          <cell r="O47">
            <v>22500</v>
          </cell>
          <cell r="Q47">
            <v>250000</v>
          </cell>
        </row>
        <row r="48">
          <cell r="O48">
            <v>0</v>
          </cell>
        </row>
      </sheetData>
      <sheetData sheetId="8">
        <row r="7">
          <cell r="O7">
            <v>0</v>
          </cell>
        </row>
        <row r="8">
          <cell r="N8">
            <v>1000000</v>
          </cell>
          <cell r="O8">
            <v>30000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70000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  <cell r="Q41">
            <v>134035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9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0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1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2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3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4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5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6">
        <row r="7">
          <cell r="O7">
            <v>0</v>
          </cell>
        </row>
        <row r="8">
          <cell r="O8">
            <v>0</v>
          </cell>
        </row>
        <row r="9">
          <cell r="O9">
            <v>0</v>
          </cell>
        </row>
        <row r="10">
          <cell r="O10">
            <v>0</v>
          </cell>
        </row>
        <row r="11">
          <cell r="O11">
            <v>0</v>
          </cell>
        </row>
        <row r="12">
          <cell r="O12">
            <v>0</v>
          </cell>
        </row>
        <row r="13">
          <cell r="O13">
            <v>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  <row r="18">
          <cell r="O18">
            <v>0</v>
          </cell>
        </row>
        <row r="19">
          <cell r="O19">
            <v>0</v>
          </cell>
        </row>
        <row r="20">
          <cell r="O20">
            <v>0</v>
          </cell>
        </row>
        <row r="21">
          <cell r="O21">
            <v>0</v>
          </cell>
        </row>
        <row r="22">
          <cell r="O22">
            <v>0</v>
          </cell>
        </row>
        <row r="23">
          <cell r="O23">
            <v>0</v>
          </cell>
        </row>
        <row r="24">
          <cell r="O24">
            <v>0</v>
          </cell>
        </row>
        <row r="25">
          <cell r="O25">
            <v>0</v>
          </cell>
        </row>
        <row r="26">
          <cell r="O26">
            <v>0</v>
          </cell>
        </row>
        <row r="27">
          <cell r="O27">
            <v>0</v>
          </cell>
        </row>
        <row r="28">
          <cell r="O28">
            <v>0</v>
          </cell>
        </row>
        <row r="29">
          <cell r="O29">
            <v>0</v>
          </cell>
        </row>
        <row r="30">
          <cell r="O30">
            <v>0</v>
          </cell>
        </row>
        <row r="31">
          <cell r="O31">
            <v>0</v>
          </cell>
        </row>
        <row r="32">
          <cell r="O32">
            <v>0</v>
          </cell>
        </row>
        <row r="33">
          <cell r="O33">
            <v>0</v>
          </cell>
        </row>
        <row r="34">
          <cell r="O34">
            <v>0</v>
          </cell>
        </row>
        <row r="35">
          <cell r="O35">
            <v>0</v>
          </cell>
        </row>
        <row r="36">
          <cell r="O36">
            <v>0</v>
          </cell>
        </row>
        <row r="37">
          <cell r="O37">
            <v>0</v>
          </cell>
        </row>
        <row r="38">
          <cell r="O38">
            <v>0</v>
          </cell>
        </row>
        <row r="39">
          <cell r="O39">
            <v>0</v>
          </cell>
        </row>
        <row r="40">
          <cell r="O40">
            <v>0</v>
          </cell>
        </row>
        <row r="41">
          <cell r="O41">
            <v>0</v>
          </cell>
        </row>
        <row r="42">
          <cell r="O42">
            <v>0</v>
          </cell>
        </row>
        <row r="43">
          <cell r="O43">
            <v>0</v>
          </cell>
        </row>
        <row r="44">
          <cell r="O44">
            <v>0</v>
          </cell>
        </row>
        <row r="45">
          <cell r="O45">
            <v>0</v>
          </cell>
        </row>
        <row r="46">
          <cell r="O46">
            <v>0</v>
          </cell>
        </row>
        <row r="47">
          <cell r="O47">
            <v>0</v>
          </cell>
        </row>
        <row r="48">
          <cell r="O48">
            <v>0</v>
          </cell>
        </row>
      </sheetData>
      <sheetData sheetId="1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workbookViewId="0">
      <selection activeCell="E31" sqref="E31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6" ht="21" x14ac:dyDescent="0.35">
      <c r="A2" s="31" t="s">
        <v>177</v>
      </c>
    </row>
    <row r="4" spans="1:6" ht="15.75" thickBot="1" x14ac:dyDescent="0.3"/>
    <row r="5" spans="1:6" ht="38.25" thickTop="1" x14ac:dyDescent="0.3">
      <c r="A5" s="43" t="s">
        <v>161</v>
      </c>
      <c r="B5" s="44" t="s">
        <v>166</v>
      </c>
      <c r="C5" s="45" t="s">
        <v>167</v>
      </c>
      <c r="D5" s="45" t="s">
        <v>168</v>
      </c>
      <c r="E5" s="46" t="s">
        <v>169</v>
      </c>
    </row>
    <row r="6" spans="1:6" x14ac:dyDescent="0.25">
      <c r="A6" s="32"/>
      <c r="B6" s="33"/>
      <c r="C6" s="33"/>
      <c r="D6" s="33"/>
      <c r="E6" s="34"/>
    </row>
    <row r="7" spans="1:6" x14ac:dyDescent="0.25">
      <c r="A7" s="35" t="s">
        <v>178</v>
      </c>
      <c r="B7" s="36">
        <f>TRAVAUXINVENTAIRE!D54</f>
        <v>3525236</v>
      </c>
      <c r="C7" s="36">
        <f>TRAVAUXINVENTAIRE!R54+C17</f>
        <v>6051809</v>
      </c>
      <c r="D7" s="36">
        <f>EPARGNE!D17+TRAVAUXINVENTAIRE!L54</f>
        <v>3142500</v>
      </c>
      <c r="E7" s="37">
        <f>B7+C7-D7</f>
        <v>6434545</v>
      </c>
      <c r="F7" s="3"/>
    </row>
    <row r="8" spans="1:6" x14ac:dyDescent="0.25">
      <c r="A8" s="35" t="s">
        <v>8</v>
      </c>
      <c r="B8" s="36">
        <f>TRAVAUXINVENTAIRE!C54</f>
        <v>14428521</v>
      </c>
      <c r="C8" s="36">
        <f>TRAVAUXINVENTAIRE!M54</f>
        <v>1050000</v>
      </c>
      <c r="D8" s="36"/>
      <c r="E8" s="37">
        <f>B8+C8-D8</f>
        <v>15478521</v>
      </c>
      <c r="F8" s="3"/>
    </row>
    <row r="9" spans="1:6" x14ac:dyDescent="0.25">
      <c r="A9" s="35" t="s">
        <v>23</v>
      </c>
      <c r="B9" s="36"/>
      <c r="C9" s="36">
        <f>TRAVAUXINVENTAIRE!S54</f>
        <v>250500</v>
      </c>
      <c r="D9" s="36">
        <f>TRAVAUXINVENTAIREDEC!B5</f>
        <v>0</v>
      </c>
      <c r="E9" s="37">
        <f t="shared" ref="E9:E12" si="0">B9+C9-D9</f>
        <v>250500</v>
      </c>
      <c r="F9" s="3"/>
    </row>
    <row r="10" spans="1:6" x14ac:dyDescent="0.25">
      <c r="A10" s="35" t="s">
        <v>162</v>
      </c>
      <c r="B10" s="36"/>
      <c r="C10" s="36">
        <f>TRAVAUXINVENTAIRE!T54</f>
        <v>501000</v>
      </c>
      <c r="D10" s="36">
        <f>TRAVAUXINVENTAIREDEC!B6</f>
        <v>1100000</v>
      </c>
      <c r="E10" s="37">
        <f t="shared" si="0"/>
        <v>-599000</v>
      </c>
      <c r="F10" s="3"/>
    </row>
    <row r="11" spans="1:6" x14ac:dyDescent="0.25">
      <c r="A11" s="35" t="s">
        <v>25</v>
      </c>
      <c r="B11" s="36"/>
      <c r="C11" s="36">
        <f>TRAVAUXINVENTAIRE!U54</f>
        <v>1252500</v>
      </c>
      <c r="D11" s="36">
        <f>TRAVAUXINVENTAIREDEC!B7</f>
        <v>1260000</v>
      </c>
      <c r="E11" s="37">
        <f t="shared" si="0"/>
        <v>-7500</v>
      </c>
      <c r="F11" s="3"/>
    </row>
    <row r="12" spans="1:6" x14ac:dyDescent="0.25">
      <c r="A12" s="35" t="s">
        <v>179</v>
      </c>
      <c r="B12" s="36"/>
      <c r="C12" s="36">
        <f>TRAVAUXINVENTAIRE!V54+TRAVAUXINVENTAIRE!O54</f>
        <v>1954860</v>
      </c>
      <c r="D12" s="36">
        <f>TRAVAUXINVENTAIREDEC!B8</f>
        <v>2595000</v>
      </c>
      <c r="E12" s="37">
        <f t="shared" si="0"/>
        <v>-640140</v>
      </c>
      <c r="F12" s="3"/>
    </row>
    <row r="13" spans="1:6" x14ac:dyDescent="0.25">
      <c r="A13" s="35"/>
      <c r="B13" s="36"/>
      <c r="C13" s="36"/>
      <c r="D13" s="36"/>
      <c r="E13" s="37"/>
      <c r="F13" s="3"/>
    </row>
    <row r="14" spans="1:6" x14ac:dyDescent="0.25">
      <c r="A14" s="35" t="s">
        <v>163</v>
      </c>
      <c r="B14" s="36"/>
      <c r="C14" s="36"/>
      <c r="D14" s="36"/>
      <c r="E14" s="37"/>
      <c r="F14" s="3"/>
    </row>
    <row r="15" spans="1:6" x14ac:dyDescent="0.25">
      <c r="A15" s="35" t="s">
        <v>164</v>
      </c>
      <c r="B15" s="38"/>
      <c r="C15" s="36">
        <f>320750+16500</f>
        <v>337250</v>
      </c>
      <c r="D15" s="38"/>
      <c r="E15" s="39"/>
      <c r="F15" s="28">
        <v>1711250</v>
      </c>
    </row>
    <row r="16" spans="1:6" x14ac:dyDescent="0.25">
      <c r="A16" s="35" t="s">
        <v>165</v>
      </c>
      <c r="B16" s="38"/>
      <c r="C16" s="38"/>
      <c r="D16" s="38"/>
      <c r="E16" s="39"/>
      <c r="F16" s="3"/>
    </row>
    <row r="17" spans="1:6" x14ac:dyDescent="0.25">
      <c r="A17" s="35" t="s">
        <v>29</v>
      </c>
      <c r="B17" s="38"/>
      <c r="C17" s="36">
        <f>TRAVAUXINVENTAIRE!G54</f>
        <v>2230668</v>
      </c>
      <c r="D17" s="38"/>
      <c r="E17" s="37">
        <f t="shared" ref="E17" si="1">B17+C17-D17</f>
        <v>2230668</v>
      </c>
      <c r="F17" s="3"/>
    </row>
    <row r="18" spans="1:6" x14ac:dyDescent="0.25">
      <c r="A18" s="35"/>
      <c r="B18" s="38"/>
      <c r="C18" s="36"/>
      <c r="D18" s="38"/>
      <c r="E18" s="37"/>
      <c r="F18" s="3"/>
    </row>
    <row r="19" spans="1:6" x14ac:dyDescent="0.25">
      <c r="A19" s="35" t="s">
        <v>28</v>
      </c>
      <c r="B19" s="38"/>
      <c r="C19" s="33"/>
      <c r="D19" s="36">
        <f>EMPRUNT!BB54</f>
        <v>21</v>
      </c>
      <c r="E19" s="37">
        <f>EMPRUNT!BB54</f>
        <v>21</v>
      </c>
      <c r="F19" s="3"/>
    </row>
    <row r="20" spans="1:6" x14ac:dyDescent="0.25">
      <c r="A20" s="35"/>
      <c r="B20" s="38"/>
      <c r="C20" s="36"/>
      <c r="D20" s="38"/>
      <c r="E20" s="37"/>
      <c r="F20" s="3"/>
    </row>
    <row r="21" spans="1:6" x14ac:dyDescent="0.25">
      <c r="A21" s="35" t="s">
        <v>173</v>
      </c>
      <c r="B21" s="38"/>
      <c r="C21" s="36">
        <f>TRAVAUXINVENTAIRE!E54</f>
        <v>3212114</v>
      </c>
      <c r="D21" s="38"/>
      <c r="E21" s="37"/>
      <c r="F21" s="3"/>
    </row>
    <row r="22" spans="1:6" x14ac:dyDescent="0.25">
      <c r="A22" s="35"/>
      <c r="B22" s="38"/>
      <c r="C22" s="36"/>
      <c r="D22" s="38"/>
      <c r="E22" s="39"/>
      <c r="F22" s="3"/>
    </row>
    <row r="23" spans="1:6" x14ac:dyDescent="0.25">
      <c r="A23" s="35"/>
      <c r="B23" s="38"/>
      <c r="C23" s="36"/>
      <c r="D23" s="38"/>
      <c r="E23" s="39"/>
      <c r="F23" s="3"/>
    </row>
    <row r="24" spans="1:6" x14ac:dyDescent="0.25">
      <c r="A24" s="35" t="s">
        <v>170</v>
      </c>
      <c r="B24" s="38"/>
      <c r="C24" s="36">
        <v>19683000</v>
      </c>
      <c r="D24" s="36">
        <v>18428363</v>
      </c>
      <c r="E24" s="37">
        <f>C24-D24</f>
        <v>1254637</v>
      </c>
      <c r="F24" s="3"/>
    </row>
    <row r="25" spans="1:6" x14ac:dyDescent="0.25">
      <c r="A25" s="35" t="s">
        <v>171</v>
      </c>
      <c r="B25" s="38"/>
      <c r="C25" s="33"/>
      <c r="D25" s="33"/>
      <c r="E25" s="37">
        <v>4369987</v>
      </c>
      <c r="F25" s="3"/>
    </row>
    <row r="26" spans="1:6" x14ac:dyDescent="0.25">
      <c r="A26" s="35" t="s">
        <v>172</v>
      </c>
      <c r="B26" s="38"/>
      <c r="C26" s="36">
        <v>614769</v>
      </c>
      <c r="D26" s="38"/>
      <c r="E26" s="37">
        <f t="shared" ref="E26:E29" si="2">C26-D26</f>
        <v>614769</v>
      </c>
      <c r="F26" s="3"/>
    </row>
    <row r="27" spans="1:6" x14ac:dyDescent="0.25">
      <c r="A27" s="35" t="s">
        <v>185</v>
      </c>
      <c r="B27" s="38"/>
      <c r="C27" s="36">
        <v>353000</v>
      </c>
      <c r="D27" s="38"/>
      <c r="E27" s="37">
        <f t="shared" si="2"/>
        <v>353000</v>
      </c>
      <c r="F27" s="3"/>
    </row>
    <row r="28" spans="1:6" x14ac:dyDescent="0.25">
      <c r="A28" s="35"/>
      <c r="B28" s="38"/>
      <c r="C28" s="36"/>
      <c r="D28" s="38"/>
      <c r="E28" s="37"/>
      <c r="F28" s="3"/>
    </row>
    <row r="29" spans="1:6" x14ac:dyDescent="0.25">
      <c r="A29" s="35" t="s">
        <v>184</v>
      </c>
      <c r="B29" s="38"/>
      <c r="C29" s="36">
        <v>8000000</v>
      </c>
      <c r="D29" s="38"/>
      <c r="E29" s="37">
        <f t="shared" si="2"/>
        <v>8000000</v>
      </c>
      <c r="F29" s="3"/>
    </row>
    <row r="30" spans="1:6" x14ac:dyDescent="0.25">
      <c r="A30" s="35"/>
      <c r="B30" s="38"/>
      <c r="C30" s="36"/>
      <c r="D30" s="38"/>
      <c r="E30" s="37"/>
      <c r="F30" s="3"/>
    </row>
    <row r="31" spans="1:6" x14ac:dyDescent="0.25">
      <c r="A31" s="35" t="s">
        <v>221</v>
      </c>
      <c r="B31" s="33"/>
      <c r="C31" s="33"/>
      <c r="D31" s="33"/>
      <c r="E31" s="37">
        <f>SUM(E24:E29)</f>
        <v>14592393</v>
      </c>
    </row>
    <row r="32" spans="1:6" x14ac:dyDescent="0.25">
      <c r="A32" s="32"/>
      <c r="B32" s="33"/>
      <c r="C32" s="33"/>
      <c r="D32" s="33"/>
      <c r="E32" s="34"/>
    </row>
    <row r="33" spans="1:5" ht="15.75" thickBot="1" x14ac:dyDescent="0.3">
      <c r="A33" s="40" t="s">
        <v>183</v>
      </c>
      <c r="B33" s="41"/>
      <c r="C33" s="41"/>
      <c r="D33" s="41"/>
      <c r="E33" s="42">
        <f>E19+E31</f>
        <v>14592414</v>
      </c>
    </row>
    <row r="34" spans="1:5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>
      <selection activeCell="B26" sqref="B26"/>
    </sheetView>
  </sheetViews>
  <sheetFormatPr baseColWidth="10" defaultRowHeight="15" x14ac:dyDescent="0.25"/>
  <cols>
    <col min="1" max="1" width="25.28515625" customWidth="1"/>
    <col min="4" max="4" width="8.85546875" customWidth="1"/>
    <col min="5" max="5" width="9.42578125" customWidth="1"/>
    <col min="6" max="6" width="11.140625" customWidth="1"/>
  </cols>
  <sheetData>
    <row r="1" spans="1:19" ht="30" x14ac:dyDescent="0.25">
      <c r="A1" s="51" t="s">
        <v>140</v>
      </c>
      <c r="D1" s="52" t="s">
        <v>148</v>
      </c>
      <c r="E1" s="52" t="s">
        <v>149</v>
      </c>
      <c r="F1" s="52" t="s">
        <v>150</v>
      </c>
      <c r="G1" s="30"/>
    </row>
    <row r="2" spans="1:19" x14ac:dyDescent="0.25">
      <c r="A2" s="51" t="s">
        <v>141</v>
      </c>
    </row>
    <row r="3" spans="1:19" x14ac:dyDescent="0.25">
      <c r="A3" s="51" t="s">
        <v>139</v>
      </c>
    </row>
    <row r="4" spans="1:19" x14ac:dyDescent="0.25">
      <c r="A4" s="51" t="s">
        <v>144</v>
      </c>
    </row>
    <row r="5" spans="1:19" x14ac:dyDescent="0.25">
      <c r="A5" s="51" t="s">
        <v>147</v>
      </c>
    </row>
    <row r="6" spans="1:19" x14ac:dyDescent="0.25">
      <c r="A6" s="51" t="s">
        <v>188</v>
      </c>
    </row>
    <row r="7" spans="1:19" ht="15.75" thickBot="1" x14ac:dyDescent="0.3"/>
    <row r="8" spans="1:19" ht="47.25" customHeight="1" thickTop="1" x14ac:dyDescent="0.25">
      <c r="A8" s="47" t="s">
        <v>151</v>
      </c>
      <c r="B8" s="73" t="s">
        <v>22</v>
      </c>
      <c r="C8" s="73"/>
      <c r="D8" s="73" t="s">
        <v>23</v>
      </c>
      <c r="E8" s="73"/>
      <c r="F8" s="73" t="s">
        <v>24</v>
      </c>
      <c r="G8" s="73"/>
      <c r="H8" s="73" t="s">
        <v>25</v>
      </c>
      <c r="I8" s="73"/>
      <c r="J8" s="73" t="s">
        <v>146</v>
      </c>
      <c r="K8" s="73"/>
      <c r="L8" s="48" t="s">
        <v>31</v>
      </c>
      <c r="M8" s="48" t="s">
        <v>32</v>
      </c>
      <c r="N8" s="48" t="s">
        <v>187</v>
      </c>
      <c r="O8" s="48" t="s">
        <v>145</v>
      </c>
      <c r="P8" s="73" t="s">
        <v>111</v>
      </c>
      <c r="Q8" s="73"/>
      <c r="R8" s="73" t="s">
        <v>18</v>
      </c>
      <c r="S8" s="74"/>
    </row>
    <row r="9" spans="1:19" x14ac:dyDescent="0.25">
      <c r="A9" s="32"/>
      <c r="B9" s="33" t="s">
        <v>142</v>
      </c>
      <c r="C9" s="33" t="s">
        <v>143</v>
      </c>
      <c r="D9" s="33" t="s">
        <v>142</v>
      </c>
      <c r="E9" s="33" t="s">
        <v>143</v>
      </c>
      <c r="F9" s="33" t="s">
        <v>142</v>
      </c>
      <c r="G9" s="33" t="s">
        <v>143</v>
      </c>
      <c r="H9" s="33" t="s">
        <v>142</v>
      </c>
      <c r="I9" s="33" t="s">
        <v>143</v>
      </c>
      <c r="J9" s="33" t="s">
        <v>142</v>
      </c>
      <c r="K9" s="33" t="s">
        <v>143</v>
      </c>
      <c r="L9" s="33" t="s">
        <v>142</v>
      </c>
      <c r="M9" s="33" t="s">
        <v>142</v>
      </c>
      <c r="N9" s="33"/>
      <c r="O9" s="33" t="s">
        <v>142</v>
      </c>
      <c r="P9" s="33" t="s">
        <v>142</v>
      </c>
      <c r="Q9" s="33" t="s">
        <v>143</v>
      </c>
      <c r="R9" s="33" t="s">
        <v>142</v>
      </c>
      <c r="S9" s="34" t="s">
        <v>143</v>
      </c>
    </row>
    <row r="10" spans="1:19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4"/>
    </row>
    <row r="11" spans="1:19" x14ac:dyDescent="0.2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4"/>
    </row>
    <row r="12" spans="1:19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4"/>
    </row>
    <row r="13" spans="1:19" x14ac:dyDescent="0.25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4"/>
    </row>
    <row r="14" spans="1:19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4"/>
    </row>
    <row r="15" spans="1:19" x14ac:dyDescent="0.25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4"/>
    </row>
    <row r="16" spans="1:19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4"/>
    </row>
    <row r="17" spans="1:19" x14ac:dyDescent="0.25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</row>
    <row r="18" spans="1:19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4"/>
    </row>
    <row r="19" spans="1:19" x14ac:dyDescent="0.25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</row>
    <row r="20" spans="1:19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4"/>
    </row>
    <row r="21" spans="1:19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4"/>
    </row>
    <row r="22" spans="1:19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</row>
    <row r="23" spans="1:19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4"/>
    </row>
    <row r="24" spans="1:19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4"/>
    </row>
    <row r="25" spans="1:19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</row>
    <row r="26" spans="1:19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4"/>
    </row>
    <row r="27" spans="1:19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4"/>
    </row>
    <row r="28" spans="1:19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</row>
    <row r="29" spans="1:19" x14ac:dyDescent="0.2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4"/>
    </row>
    <row r="30" spans="1:19" ht="15.75" thickBot="1" x14ac:dyDescent="0.3">
      <c r="A30" s="49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50"/>
    </row>
    <row r="31" spans="1:19" ht="15.75" thickTop="1" x14ac:dyDescent="0.25"/>
  </sheetData>
  <mergeCells count="7">
    <mergeCell ref="P8:Q8"/>
    <mergeCell ref="R8:S8"/>
    <mergeCell ref="B8:C8"/>
    <mergeCell ref="D8:E8"/>
    <mergeCell ref="F8:G8"/>
    <mergeCell ref="H8:I8"/>
    <mergeCell ref="J8:K8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A2" sqref="A2"/>
    </sheetView>
  </sheetViews>
  <sheetFormatPr baseColWidth="10" defaultRowHeight="15" x14ac:dyDescent="0.25"/>
  <cols>
    <col min="1" max="1" width="24" bestFit="1" customWidth="1"/>
    <col min="2" max="2" width="11.42578125" style="3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103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25">
      <c r="A5" t="s">
        <v>104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x14ac:dyDescent="0.25">
      <c r="A6" t="s">
        <v>105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A7" t="s">
        <v>106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A8" t="s">
        <v>107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workbookViewId="0">
      <pane ySplit="2" topLeftCell="A3" activePane="bottomLeft" state="frozen"/>
      <selection pane="bottomLeft" activeCell="A2" sqref="A2"/>
    </sheetView>
  </sheetViews>
  <sheetFormatPr baseColWidth="10" defaultRowHeight="15" x14ac:dyDescent="0.25"/>
  <cols>
    <col min="1" max="1" width="28.42578125" bestFit="1" customWidth="1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95</v>
      </c>
    </row>
    <row r="5" spans="1:14" x14ac:dyDescent="0.25">
      <c r="A5" t="s">
        <v>97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t="s">
        <v>98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t="s">
        <v>99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t="s">
        <v>96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t="s">
        <v>102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t="s">
        <v>115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t="s">
        <v>116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t="s">
        <v>118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t="s">
        <v>124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t="s">
        <v>133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t="s">
        <v>134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t="s">
        <v>137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t="s">
        <v>83</v>
      </c>
      <c r="B18" s="2">
        <f>SUM(B5:B17)</f>
        <v>0</v>
      </c>
      <c r="C18" s="2">
        <f t="shared" ref="C18:M18" si="0">SUM(C5:C17)</f>
        <v>0</v>
      </c>
      <c r="D18" s="2">
        <f t="shared" si="0"/>
        <v>0</v>
      </c>
      <c r="E18" s="2">
        <f t="shared" si="0"/>
        <v>0</v>
      </c>
      <c r="F18" s="2">
        <f t="shared" si="0"/>
        <v>0</v>
      </c>
      <c r="G18" s="2">
        <f t="shared" si="0"/>
        <v>0</v>
      </c>
      <c r="H18" s="2">
        <f t="shared" si="0"/>
        <v>0</v>
      </c>
      <c r="I18" s="2">
        <f t="shared" si="0"/>
        <v>0</v>
      </c>
      <c r="J18" s="2">
        <f t="shared" si="0"/>
        <v>0</v>
      </c>
      <c r="K18" s="2">
        <f t="shared" si="0"/>
        <v>0</v>
      </c>
      <c r="L18" s="2">
        <f t="shared" si="0"/>
        <v>0</v>
      </c>
      <c r="M18" s="2">
        <f t="shared" si="0"/>
        <v>0</v>
      </c>
      <c r="N1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A2" sqref="A2"/>
    </sheetView>
  </sheetViews>
  <sheetFormatPr baseColWidth="10" defaultRowHeight="15" x14ac:dyDescent="0.25"/>
  <cols>
    <col min="1" max="1" width="19.140625" bestFit="1" customWidth="1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125</v>
      </c>
      <c r="B4" s="3"/>
      <c r="C4" s="3"/>
      <c r="D4" s="3"/>
      <c r="E4" s="3"/>
      <c r="F4" s="3"/>
      <c r="G4" s="3"/>
      <c r="H4" s="3"/>
      <c r="I4" s="3"/>
      <c r="J4" s="3">
        <v>400000</v>
      </c>
      <c r="K4" s="3"/>
      <c r="L4" s="3"/>
      <c r="M4" s="3"/>
      <c r="N4" s="3"/>
    </row>
    <row r="5" spans="1:14" x14ac:dyDescent="0.25">
      <c r="A5" t="s">
        <v>182</v>
      </c>
      <c r="F5">
        <v>700000</v>
      </c>
    </row>
    <row r="17" spans="1:14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700000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400000</v>
      </c>
      <c r="K17" s="2">
        <f t="shared" si="0"/>
        <v>0</v>
      </c>
      <c r="L17" s="2">
        <f t="shared" si="0"/>
        <v>0</v>
      </c>
      <c r="M17" s="2">
        <f t="shared" si="0"/>
        <v>0</v>
      </c>
      <c r="N1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B2" sqref="B2:M2"/>
    </sheetView>
  </sheetViews>
  <sheetFormatPr baseColWidth="10" defaultRowHeight="15" x14ac:dyDescent="0.25"/>
  <cols>
    <col min="1" max="1" width="24.42578125" bestFit="1" customWidth="1"/>
    <col min="2" max="2" width="9.5703125" style="3" bestFit="1" customWidth="1"/>
  </cols>
  <sheetData>
    <row r="2" spans="1:14" x14ac:dyDescent="0.25">
      <c r="A2" s="4"/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25</v>
      </c>
      <c r="B4" s="3">
        <v>100000</v>
      </c>
      <c r="C4" s="3">
        <v>100000</v>
      </c>
      <c r="D4" s="3">
        <v>100000</v>
      </c>
      <c r="E4" s="3">
        <v>100000</v>
      </c>
      <c r="F4" s="3">
        <v>100000</v>
      </c>
      <c r="G4" s="3">
        <v>100000</v>
      </c>
      <c r="H4" s="3">
        <v>100000</v>
      </c>
      <c r="I4" s="3">
        <v>100000</v>
      </c>
      <c r="J4" s="3">
        <v>100000</v>
      </c>
      <c r="K4" s="3">
        <v>100000</v>
      </c>
      <c r="L4" s="3">
        <v>100000</v>
      </c>
      <c r="M4" s="3">
        <v>100000</v>
      </c>
    </row>
    <row r="5" spans="1:14" x14ac:dyDescent="0.25">
      <c r="A5" t="s">
        <v>130</v>
      </c>
      <c r="C5" s="3"/>
      <c r="D5" s="3"/>
      <c r="E5" s="3"/>
      <c r="F5" s="3"/>
      <c r="G5" s="3"/>
      <c r="H5" s="3"/>
      <c r="I5" s="3"/>
      <c r="J5" s="3"/>
      <c r="K5" s="3">
        <v>40000</v>
      </c>
      <c r="L5" s="3"/>
      <c r="M5" s="3"/>
    </row>
    <row r="6" spans="1:14" x14ac:dyDescent="0.25">
      <c r="A6" t="s">
        <v>181</v>
      </c>
      <c r="C6" s="3">
        <v>20000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7" spans="1:13" x14ac:dyDescent="0.25">
      <c r="A17" t="s">
        <v>83</v>
      </c>
      <c r="B17" s="2">
        <f>SUM(B4:B16)</f>
        <v>100000</v>
      </c>
      <c r="C17" s="2">
        <f t="shared" ref="C17:M17" si="0">SUM(C4:C16)</f>
        <v>120000</v>
      </c>
      <c r="D17" s="2">
        <f t="shared" si="0"/>
        <v>100000</v>
      </c>
      <c r="E17" s="2">
        <f t="shared" si="0"/>
        <v>100000</v>
      </c>
      <c r="F17" s="2">
        <f t="shared" si="0"/>
        <v>100000</v>
      </c>
      <c r="G17" s="2">
        <f t="shared" si="0"/>
        <v>100000</v>
      </c>
      <c r="H17" s="2">
        <f t="shared" si="0"/>
        <v>100000</v>
      </c>
      <c r="I17" s="2">
        <f t="shared" si="0"/>
        <v>100000</v>
      </c>
      <c r="J17" s="2">
        <f t="shared" si="0"/>
        <v>100000</v>
      </c>
      <c r="K17" s="2">
        <f t="shared" si="0"/>
        <v>140000</v>
      </c>
      <c r="L17" s="2">
        <f t="shared" si="0"/>
        <v>100000</v>
      </c>
      <c r="M17" s="2">
        <f t="shared" si="0"/>
        <v>100000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"/>
  <sheetViews>
    <sheetView workbookViewId="0">
      <selection activeCell="A2" sqref="A2"/>
    </sheetView>
  </sheetViews>
  <sheetFormatPr baseColWidth="10" defaultRowHeight="15" x14ac:dyDescent="0.25"/>
  <cols>
    <col min="1" max="1" width="36.42578125" bestFit="1" customWidth="1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100</v>
      </c>
      <c r="B4" s="3"/>
      <c r="C4" s="3">
        <v>500000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t="s">
        <v>129</v>
      </c>
      <c r="B5" s="3"/>
      <c r="C5" s="3"/>
      <c r="D5" s="3"/>
      <c r="E5" s="3"/>
      <c r="F5" s="3"/>
      <c r="G5" s="3"/>
      <c r="H5" s="3"/>
      <c r="I5" s="3"/>
      <c r="J5" s="3"/>
      <c r="K5" s="3">
        <v>500000</v>
      </c>
      <c r="L5" s="3"/>
      <c r="M5" s="3"/>
      <c r="N5" s="3"/>
    </row>
    <row r="6" spans="1:14" x14ac:dyDescent="0.25">
      <c r="A6" t="s">
        <v>126</v>
      </c>
      <c r="B6" s="3"/>
      <c r="C6" s="3"/>
      <c r="D6" s="3"/>
      <c r="E6" s="3"/>
      <c r="F6" s="3"/>
      <c r="G6" s="3"/>
      <c r="H6" s="3"/>
      <c r="I6" s="3"/>
      <c r="J6" s="3">
        <v>500000</v>
      </c>
      <c r="K6" s="3"/>
      <c r="L6" s="3"/>
      <c r="M6" s="3"/>
      <c r="N6" s="3"/>
    </row>
    <row r="7" spans="1:14" x14ac:dyDescent="0.25">
      <c r="A7" t="s">
        <v>101</v>
      </c>
      <c r="B7" s="3"/>
      <c r="C7" s="3">
        <v>150000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t="s">
        <v>152</v>
      </c>
      <c r="B8" s="3"/>
      <c r="C8" s="3"/>
      <c r="D8" s="3"/>
      <c r="E8" s="3">
        <v>100000</v>
      </c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t="s">
        <v>153</v>
      </c>
      <c r="B9" s="3"/>
      <c r="C9" s="3"/>
      <c r="D9" s="3"/>
      <c r="E9" s="3"/>
      <c r="F9" s="3"/>
      <c r="G9" s="3"/>
      <c r="H9" s="3">
        <v>100000</v>
      </c>
      <c r="I9" s="3"/>
      <c r="J9" s="3"/>
      <c r="K9" s="3"/>
      <c r="L9" s="3"/>
      <c r="M9" s="3"/>
      <c r="N9" s="3"/>
    </row>
    <row r="10" spans="1:14" x14ac:dyDescent="0.25">
      <c r="A10" t="s">
        <v>154</v>
      </c>
      <c r="B10" s="3"/>
      <c r="C10" s="3"/>
      <c r="D10" s="3"/>
      <c r="E10" s="3"/>
      <c r="F10" s="3"/>
      <c r="G10" s="3"/>
      <c r="H10" s="3">
        <v>100000</v>
      </c>
      <c r="I10" s="3"/>
      <c r="J10" s="3"/>
      <c r="K10" s="3"/>
      <c r="L10" s="3"/>
      <c r="M10" s="3"/>
      <c r="N10" s="3"/>
    </row>
    <row r="11" spans="1:14" x14ac:dyDescent="0.25">
      <c r="A11" t="s">
        <v>155</v>
      </c>
      <c r="B11" s="3"/>
      <c r="C11" s="3"/>
      <c r="D11" s="3"/>
      <c r="E11" s="3"/>
      <c r="F11" s="3"/>
      <c r="G11" s="3"/>
      <c r="H11" s="3"/>
      <c r="I11" s="3"/>
      <c r="J11" s="3">
        <v>45000</v>
      </c>
      <c r="K11" s="3"/>
      <c r="L11" s="3"/>
      <c r="M11" s="3"/>
      <c r="N11" s="3"/>
    </row>
    <row r="12" spans="1:14" x14ac:dyDescent="0.25">
      <c r="A12" t="s">
        <v>156</v>
      </c>
      <c r="B12" s="3"/>
      <c r="C12" s="3"/>
      <c r="D12" s="3"/>
      <c r="E12" s="3"/>
      <c r="F12" s="3"/>
      <c r="G12" s="3"/>
      <c r="H12" s="3"/>
      <c r="I12" s="3"/>
      <c r="J12" s="3">
        <v>100000</v>
      </c>
      <c r="K12" s="3"/>
      <c r="L12" s="3"/>
      <c r="M12" s="3"/>
      <c r="N12" s="3"/>
    </row>
    <row r="13" spans="1:14" x14ac:dyDescent="0.25">
      <c r="A13" t="s">
        <v>157</v>
      </c>
      <c r="B13" s="3"/>
      <c r="C13" s="3"/>
      <c r="D13" s="3"/>
      <c r="E13" s="3"/>
      <c r="F13" s="3"/>
      <c r="G13" s="3"/>
      <c r="H13" s="3"/>
      <c r="I13" s="3"/>
      <c r="J13" s="3">
        <v>100000</v>
      </c>
      <c r="K13" s="3"/>
      <c r="L13" s="3"/>
      <c r="M13" s="3"/>
      <c r="N13" s="3"/>
    </row>
    <row r="14" spans="1:14" x14ac:dyDescent="0.25">
      <c r="A14" t="s">
        <v>158</v>
      </c>
      <c r="B14" s="3"/>
      <c r="C14" s="3"/>
      <c r="D14" s="3"/>
      <c r="E14" s="3"/>
      <c r="F14" s="3"/>
      <c r="G14" s="3"/>
      <c r="H14" s="3"/>
      <c r="I14" s="3"/>
      <c r="J14" s="3"/>
      <c r="K14" s="3">
        <v>100000</v>
      </c>
      <c r="L14" s="3"/>
      <c r="M14" s="3"/>
      <c r="N14" s="3"/>
    </row>
    <row r="15" spans="1:14" x14ac:dyDescent="0.25">
      <c r="A15" t="s">
        <v>159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v>100000</v>
      </c>
      <c r="N15" s="3"/>
    </row>
    <row r="16" spans="1:14" x14ac:dyDescent="0.25">
      <c r="A16" t="s">
        <v>160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100000</v>
      </c>
      <c r="N16" s="3"/>
    </row>
    <row r="17" spans="1:14" x14ac:dyDescent="0.25">
      <c r="A17" t="s">
        <v>180</v>
      </c>
      <c r="B17" s="3"/>
      <c r="C17" s="3">
        <v>100000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t="s">
        <v>83</v>
      </c>
      <c r="B19" s="2">
        <f>SUM(B4:B16)</f>
        <v>0</v>
      </c>
      <c r="C19" s="2">
        <f>SUM(C4:C17)</f>
        <v>750000</v>
      </c>
      <c r="D19" s="2">
        <f t="shared" ref="D19:M19" si="0">SUM(D4:D17)</f>
        <v>0</v>
      </c>
      <c r="E19" s="2">
        <f t="shared" si="0"/>
        <v>100000</v>
      </c>
      <c r="F19" s="2">
        <f t="shared" si="0"/>
        <v>0</v>
      </c>
      <c r="G19" s="2">
        <f t="shared" si="0"/>
        <v>0</v>
      </c>
      <c r="H19" s="2">
        <f t="shared" si="0"/>
        <v>200000</v>
      </c>
      <c r="I19" s="2">
        <f t="shared" si="0"/>
        <v>0</v>
      </c>
      <c r="J19" s="2">
        <f t="shared" si="0"/>
        <v>745000</v>
      </c>
      <c r="K19" s="2">
        <f t="shared" si="0"/>
        <v>600000</v>
      </c>
      <c r="L19" s="2">
        <f t="shared" si="0"/>
        <v>0</v>
      </c>
      <c r="M19" s="2">
        <f t="shared" si="0"/>
        <v>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"/>
  <sheetViews>
    <sheetView workbookViewId="0">
      <selection activeCell="A2" sqref="A2"/>
    </sheetView>
  </sheetViews>
  <sheetFormatPr baseColWidth="10" defaultRowHeight="15" x14ac:dyDescent="0.25"/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workbookViewId="0">
      <selection activeCell="H59" sqref="H59"/>
    </sheetView>
  </sheetViews>
  <sheetFormatPr baseColWidth="10" defaultRowHeight="15" x14ac:dyDescent="0.25"/>
  <cols>
    <col min="2" max="2" width="27.85546875" bestFit="1" customWidth="1"/>
  </cols>
  <sheetData>
    <row r="1" spans="1:15" ht="23.25" x14ac:dyDescent="0.35">
      <c r="B1" s="58" t="s">
        <v>92</v>
      </c>
    </row>
    <row r="2" spans="1:15" ht="15.75" thickBot="1" x14ac:dyDescent="0.3">
      <c r="O2" s="27"/>
    </row>
    <row r="3" spans="1:15" ht="15.75" thickTop="1" x14ac:dyDescent="0.25">
      <c r="A3" s="75" t="s">
        <v>6</v>
      </c>
      <c r="B3" s="77" t="s">
        <v>190</v>
      </c>
      <c r="C3" s="59" t="s">
        <v>189</v>
      </c>
      <c r="D3" s="60">
        <v>42736</v>
      </c>
      <c r="E3" s="60">
        <v>42767</v>
      </c>
      <c r="F3" s="60">
        <v>42795</v>
      </c>
      <c r="G3" s="60">
        <v>42826</v>
      </c>
      <c r="H3" s="60">
        <v>42856</v>
      </c>
      <c r="I3" s="60">
        <v>42887</v>
      </c>
      <c r="J3" s="60">
        <v>42917</v>
      </c>
      <c r="K3" s="60">
        <v>42948</v>
      </c>
      <c r="L3" s="60">
        <v>42979</v>
      </c>
      <c r="M3" s="60">
        <v>43009</v>
      </c>
      <c r="N3" s="61">
        <v>43040</v>
      </c>
    </row>
    <row r="4" spans="1:15" x14ac:dyDescent="0.25">
      <c r="A4" s="76"/>
      <c r="B4" s="78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</row>
    <row r="5" spans="1:15" x14ac:dyDescent="0.25">
      <c r="A5" s="32" t="s">
        <v>35</v>
      </c>
      <c r="B5" s="56" t="s">
        <v>1</v>
      </c>
      <c r="C5" s="38">
        <v>25000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5" x14ac:dyDescent="0.25">
      <c r="A6" s="32" t="s">
        <v>36</v>
      </c>
      <c r="B6" s="33" t="s">
        <v>123</v>
      </c>
      <c r="C6" s="38">
        <v>25000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</row>
    <row r="7" spans="1:15" x14ac:dyDescent="0.25">
      <c r="A7" s="32" t="s">
        <v>37</v>
      </c>
      <c r="B7" s="33" t="s">
        <v>107</v>
      </c>
      <c r="C7" s="38">
        <v>25000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4"/>
    </row>
    <row r="8" spans="1:15" x14ac:dyDescent="0.25">
      <c r="A8" s="32" t="s">
        <v>38</v>
      </c>
      <c r="B8" s="33" t="s">
        <v>112</v>
      </c>
      <c r="C8" s="38">
        <v>25000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</row>
    <row r="9" spans="1:15" x14ac:dyDescent="0.25">
      <c r="A9" s="32" t="s">
        <v>39</v>
      </c>
      <c r="B9" s="33" t="s">
        <v>121</v>
      </c>
      <c r="C9" s="38">
        <v>25000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4"/>
    </row>
    <row r="10" spans="1:15" x14ac:dyDescent="0.25">
      <c r="A10" s="32" t="s">
        <v>40</v>
      </c>
      <c r="B10" s="33" t="s">
        <v>110</v>
      </c>
      <c r="C10" s="38">
        <v>25000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4"/>
    </row>
    <row r="11" spans="1:15" x14ac:dyDescent="0.25">
      <c r="A11" s="32" t="s">
        <v>41</v>
      </c>
      <c r="B11" s="33" t="s">
        <v>191</v>
      </c>
      <c r="C11" s="38">
        <v>25000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4"/>
    </row>
    <row r="12" spans="1:15" x14ac:dyDescent="0.25">
      <c r="A12" s="32" t="s">
        <v>42</v>
      </c>
      <c r="B12" s="33" t="s">
        <v>192</v>
      </c>
      <c r="C12" s="38">
        <v>25000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4"/>
    </row>
    <row r="13" spans="1:15" x14ac:dyDescent="0.25">
      <c r="A13" s="32" t="s">
        <v>43</v>
      </c>
      <c r="B13" s="33" t="s">
        <v>122</v>
      </c>
      <c r="C13" s="38">
        <v>25000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4"/>
    </row>
    <row r="14" spans="1:15" x14ac:dyDescent="0.25">
      <c r="A14" s="32" t="s">
        <v>44</v>
      </c>
      <c r="B14" s="33" t="s">
        <v>193</v>
      </c>
      <c r="C14" s="38">
        <v>25000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4"/>
    </row>
    <row r="15" spans="1:15" x14ac:dyDescent="0.25">
      <c r="A15" s="32" t="s">
        <v>45</v>
      </c>
      <c r="B15" s="33" t="s">
        <v>114</v>
      </c>
      <c r="C15" s="38">
        <v>25000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4"/>
    </row>
    <row r="16" spans="1:15" x14ac:dyDescent="0.25">
      <c r="A16" s="32" t="s">
        <v>46</v>
      </c>
      <c r="B16" s="33" t="s">
        <v>194</v>
      </c>
      <c r="C16" s="38">
        <v>25000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4"/>
    </row>
    <row r="17" spans="1:14" x14ac:dyDescent="0.25">
      <c r="A17" s="32" t="s">
        <v>47</v>
      </c>
      <c r="B17" s="33" t="s">
        <v>195</v>
      </c>
      <c r="C17" s="38">
        <v>25000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4"/>
    </row>
    <row r="18" spans="1:14" x14ac:dyDescent="0.25">
      <c r="A18" s="32" t="s">
        <v>48</v>
      </c>
      <c r="B18" s="33" t="s">
        <v>196</v>
      </c>
      <c r="C18" s="38">
        <v>25000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</row>
    <row r="19" spans="1:14" x14ac:dyDescent="0.25">
      <c r="A19" s="32" t="s">
        <v>49</v>
      </c>
      <c r="B19" s="33" t="s">
        <v>197</v>
      </c>
      <c r="C19" s="38">
        <v>25000</v>
      </c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4"/>
    </row>
    <row r="20" spans="1:14" x14ac:dyDescent="0.25">
      <c r="A20" s="32" t="s">
        <v>50</v>
      </c>
      <c r="B20" s="33" t="s">
        <v>106</v>
      </c>
      <c r="C20" s="38">
        <v>25000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4"/>
    </row>
    <row r="21" spans="1:14" x14ac:dyDescent="0.25">
      <c r="A21" s="32" t="s">
        <v>51</v>
      </c>
      <c r="B21" s="33" t="s">
        <v>119</v>
      </c>
      <c r="C21" s="38">
        <v>25000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4"/>
    </row>
    <row r="22" spans="1:14" x14ac:dyDescent="0.25">
      <c r="A22" s="32" t="s">
        <v>52</v>
      </c>
      <c r="B22" s="33" t="s">
        <v>117</v>
      </c>
      <c r="C22" s="38">
        <v>25000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4"/>
    </row>
    <row r="23" spans="1:14" x14ac:dyDescent="0.25">
      <c r="A23" s="32" t="s">
        <v>53</v>
      </c>
      <c r="B23" s="33" t="s">
        <v>105</v>
      </c>
      <c r="C23" s="38">
        <v>25000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4"/>
    </row>
    <row r="24" spans="1:14" x14ac:dyDescent="0.25">
      <c r="A24" s="32" t="s">
        <v>54</v>
      </c>
      <c r="B24" s="33" t="s">
        <v>113</v>
      </c>
      <c r="C24" s="38">
        <v>25000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4"/>
    </row>
    <row r="25" spans="1:14" x14ac:dyDescent="0.25">
      <c r="A25" s="32" t="s">
        <v>55</v>
      </c>
      <c r="B25" s="33" t="s">
        <v>104</v>
      </c>
      <c r="C25" s="38">
        <v>25000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4"/>
    </row>
    <row r="26" spans="1:14" x14ac:dyDescent="0.25">
      <c r="A26" s="32" t="s">
        <v>56</v>
      </c>
      <c r="B26" s="33" t="s">
        <v>120</v>
      </c>
      <c r="C26" s="38">
        <v>25000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4"/>
    </row>
    <row r="27" spans="1:14" x14ac:dyDescent="0.25">
      <c r="A27" s="32" t="s">
        <v>57</v>
      </c>
      <c r="B27" s="33" t="s">
        <v>99</v>
      </c>
      <c r="C27" s="38">
        <v>25000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4"/>
    </row>
    <row r="28" spans="1:14" x14ac:dyDescent="0.25">
      <c r="A28" s="32" t="s">
        <v>58</v>
      </c>
      <c r="B28" s="33" t="s">
        <v>198</v>
      </c>
      <c r="C28" s="38">
        <v>25000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4"/>
    </row>
    <row r="29" spans="1:14" x14ac:dyDescent="0.25">
      <c r="A29" s="32" t="s">
        <v>59</v>
      </c>
      <c r="B29" s="33" t="s">
        <v>199</v>
      </c>
      <c r="C29" s="38">
        <v>25000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4"/>
    </row>
    <row r="30" spans="1:14" x14ac:dyDescent="0.25">
      <c r="A30" s="32" t="s">
        <v>60</v>
      </c>
      <c r="B30" s="33" t="s">
        <v>200</v>
      </c>
      <c r="C30" s="38">
        <v>25000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4"/>
    </row>
    <row r="31" spans="1:14" x14ac:dyDescent="0.25">
      <c r="A31" s="32" t="s">
        <v>61</v>
      </c>
      <c r="B31" s="33" t="s">
        <v>201</v>
      </c>
      <c r="C31" s="38">
        <v>25000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4"/>
    </row>
    <row r="32" spans="1:14" x14ac:dyDescent="0.25">
      <c r="A32" s="32" t="s">
        <v>62</v>
      </c>
      <c r="B32" s="33" t="s">
        <v>108</v>
      </c>
      <c r="C32" s="38">
        <v>25000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4"/>
    </row>
    <row r="33" spans="1:14" x14ac:dyDescent="0.25">
      <c r="A33" s="32" t="s">
        <v>63</v>
      </c>
      <c r="B33" s="33" t="s">
        <v>97</v>
      </c>
      <c r="C33" s="38">
        <v>25000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4"/>
    </row>
    <row r="34" spans="1:14" x14ac:dyDescent="0.25">
      <c r="A34" s="32" t="s">
        <v>64</v>
      </c>
      <c r="B34" s="33" t="s">
        <v>132</v>
      </c>
      <c r="C34" s="38">
        <v>25000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4"/>
    </row>
    <row r="35" spans="1:14" x14ac:dyDescent="0.25">
      <c r="A35" s="32" t="s">
        <v>65</v>
      </c>
      <c r="B35" s="33" t="s">
        <v>202</v>
      </c>
      <c r="C35" s="38">
        <v>25000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4"/>
    </row>
    <row r="36" spans="1:14" x14ac:dyDescent="0.25">
      <c r="A36" s="32" t="s">
        <v>66</v>
      </c>
      <c r="B36" s="33" t="s">
        <v>203</v>
      </c>
      <c r="C36" s="38">
        <v>25000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4"/>
    </row>
    <row r="37" spans="1:14" x14ac:dyDescent="0.25">
      <c r="A37" s="32" t="s">
        <v>67</v>
      </c>
      <c r="B37" s="33" t="s">
        <v>204</v>
      </c>
      <c r="C37" s="38">
        <v>25000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4"/>
    </row>
    <row r="38" spans="1:14" x14ac:dyDescent="0.25">
      <c r="A38" s="32" t="s">
        <v>68</v>
      </c>
      <c r="B38" s="33" t="s">
        <v>205</v>
      </c>
      <c r="C38" s="38">
        <v>25000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4"/>
    </row>
    <row r="39" spans="1:14" x14ac:dyDescent="0.25">
      <c r="A39" s="32" t="s">
        <v>69</v>
      </c>
      <c r="B39" s="33" t="s">
        <v>131</v>
      </c>
      <c r="C39" s="38">
        <v>25000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4"/>
    </row>
    <row r="40" spans="1:14" x14ac:dyDescent="0.25">
      <c r="A40" s="32" t="s">
        <v>70</v>
      </c>
      <c r="B40" s="33" t="s">
        <v>206</v>
      </c>
      <c r="C40" s="38">
        <v>25000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4"/>
    </row>
    <row r="41" spans="1:14" x14ac:dyDescent="0.25">
      <c r="A41" s="32" t="s">
        <v>71</v>
      </c>
      <c r="B41" s="33" t="s">
        <v>128</v>
      </c>
      <c r="C41" s="38">
        <v>25000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4"/>
    </row>
    <row r="42" spans="1:14" x14ac:dyDescent="0.25">
      <c r="A42" s="32" t="s">
        <v>72</v>
      </c>
      <c r="B42" s="33" t="s">
        <v>127</v>
      </c>
      <c r="C42" s="38">
        <v>25000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4"/>
    </row>
    <row r="43" spans="1:14" x14ac:dyDescent="0.25">
      <c r="A43" s="32" t="s">
        <v>73</v>
      </c>
      <c r="B43" s="33" t="s">
        <v>207</v>
      </c>
      <c r="C43" s="38">
        <v>25000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4"/>
    </row>
    <row r="44" spans="1:14" x14ac:dyDescent="0.25">
      <c r="A44" s="32" t="s">
        <v>74</v>
      </c>
      <c r="B44" s="33" t="s">
        <v>208</v>
      </c>
      <c r="C44" s="38">
        <v>25000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4"/>
    </row>
    <row r="45" spans="1:14" x14ac:dyDescent="0.25">
      <c r="A45" s="32" t="s">
        <v>75</v>
      </c>
      <c r="B45" s="33" t="s">
        <v>209</v>
      </c>
      <c r="C45" s="38">
        <v>25000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4"/>
    </row>
    <row r="46" spans="1:14" x14ac:dyDescent="0.25">
      <c r="A46" s="32" t="s">
        <v>76</v>
      </c>
      <c r="B46" s="33" t="s">
        <v>98</v>
      </c>
      <c r="C46" s="38">
        <v>25000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4"/>
    </row>
    <row r="47" spans="1:14" x14ac:dyDescent="0.25">
      <c r="A47" s="32" t="s">
        <v>77</v>
      </c>
      <c r="B47" s="33" t="s">
        <v>109</v>
      </c>
      <c r="C47" s="38">
        <v>25000</v>
      </c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4"/>
    </row>
    <row r="48" spans="1:14" x14ac:dyDescent="0.25">
      <c r="A48" s="32" t="s">
        <v>78</v>
      </c>
      <c r="B48" s="33" t="s">
        <v>210</v>
      </c>
      <c r="C48" s="38">
        <v>25000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4"/>
    </row>
    <row r="49" spans="1:14" x14ac:dyDescent="0.25">
      <c r="A49" s="32" t="s">
        <v>79</v>
      </c>
      <c r="B49" s="33" t="s">
        <v>211</v>
      </c>
      <c r="C49" s="38">
        <v>25000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4"/>
    </row>
    <row r="50" spans="1:14" x14ac:dyDescent="0.25">
      <c r="A50" s="32" t="s">
        <v>80</v>
      </c>
      <c r="B50" s="33" t="s">
        <v>212</v>
      </c>
      <c r="C50" s="38">
        <v>25000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4"/>
    </row>
    <row r="51" spans="1:14" x14ac:dyDescent="0.25">
      <c r="A51" s="32" t="s">
        <v>81</v>
      </c>
      <c r="B51" s="33" t="s">
        <v>213</v>
      </c>
      <c r="C51" s="38">
        <v>25000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4"/>
    </row>
    <row r="52" spans="1:14" x14ac:dyDescent="0.25">
      <c r="A52" s="32" t="s">
        <v>82</v>
      </c>
      <c r="B52" s="33" t="s">
        <v>214</v>
      </c>
      <c r="C52" s="38">
        <v>25000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4"/>
    </row>
    <row r="53" spans="1:14" x14ac:dyDescent="0.25">
      <c r="A53" s="32"/>
      <c r="B53" s="56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4"/>
    </row>
    <row r="54" spans="1:14" x14ac:dyDescent="0.25">
      <c r="A54" s="32"/>
      <c r="B54" s="56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4"/>
    </row>
    <row r="55" spans="1:14" ht="15.75" thickBot="1" x14ac:dyDescent="0.3">
      <c r="A55" s="62"/>
      <c r="B55" s="57" t="s">
        <v>83</v>
      </c>
      <c r="C55" s="57">
        <f>SUM(C5:C54)</f>
        <v>1200000</v>
      </c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42"/>
    </row>
    <row r="56" spans="1:14" ht="15.75" thickTop="1" x14ac:dyDescent="0.25">
      <c r="A56" s="53"/>
      <c r="B56" s="53"/>
    </row>
    <row r="57" spans="1:14" x14ac:dyDescent="0.25">
      <c r="A57" s="53"/>
      <c r="B57" s="53"/>
    </row>
    <row r="58" spans="1:14" x14ac:dyDescent="0.25">
      <c r="A58" s="53"/>
      <c r="B58" s="53"/>
    </row>
    <row r="59" spans="1:14" x14ac:dyDescent="0.25">
      <c r="A59" s="53"/>
      <c r="B59" s="53"/>
    </row>
    <row r="60" spans="1:14" x14ac:dyDescent="0.25">
      <c r="A60" s="53"/>
      <c r="B60" s="53"/>
    </row>
  </sheetData>
  <mergeCells count="2">
    <mergeCell ref="A3:A4"/>
    <mergeCell ref="B3:B4"/>
  </mergeCells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H59"/>
  <sheetViews>
    <sheetView tabSelected="1" zoomScale="98" zoomScaleNormal="98" zoomScaleSheetLayoutView="95" workbookViewId="0">
      <pane xSplit="2" ySplit="5" topLeftCell="AT33" activePane="bottomRight" state="frozen"/>
      <selection pane="topRight" activeCell="C1" sqref="C1"/>
      <selection pane="bottomLeft" activeCell="A6" sqref="A6"/>
      <selection pane="bottomRight" activeCell="AZ42" sqref="AZ42"/>
    </sheetView>
  </sheetViews>
  <sheetFormatPr baseColWidth="10" defaultRowHeight="15" x14ac:dyDescent="0.25"/>
  <cols>
    <col min="2" max="2" width="31.85546875" bestFit="1" customWidth="1"/>
    <col min="3" max="3" width="12.7109375" customWidth="1"/>
    <col min="4" max="4" width="14.7109375" customWidth="1"/>
    <col min="5" max="5" width="12" customWidth="1"/>
    <col min="6" max="6" width="13" bestFit="1" customWidth="1"/>
    <col min="9" max="9" width="12.28515625" customWidth="1"/>
    <col min="12" max="12" width="15.7109375" customWidth="1"/>
    <col min="14" max="14" width="12.140625" bestFit="1" customWidth="1"/>
    <col min="15" max="15" width="16.140625" bestFit="1" customWidth="1"/>
    <col min="16" max="16" width="16.140625" customWidth="1"/>
    <col min="17" max="17" width="12" customWidth="1"/>
    <col min="20" max="20" width="13.7109375" bestFit="1" customWidth="1"/>
    <col min="52" max="52" width="13.7109375" bestFit="1" customWidth="1"/>
    <col min="54" max="54" width="12.7109375" style="3" bestFit="1" customWidth="1"/>
    <col min="55" max="55" width="12.7109375" style="3" customWidth="1"/>
    <col min="56" max="56" width="15.42578125" bestFit="1" customWidth="1"/>
    <col min="57" max="57" width="12.7109375" bestFit="1" customWidth="1"/>
    <col min="59" max="60" width="11.42578125" style="3"/>
  </cols>
  <sheetData>
    <row r="1" spans="1:60" ht="23.25" x14ac:dyDescent="0.35">
      <c r="B1" s="58" t="s">
        <v>216</v>
      </c>
    </row>
    <row r="3" spans="1:60" ht="15.75" thickBot="1" x14ac:dyDescent="0.3"/>
    <row r="4" spans="1:60" ht="15.75" thickTop="1" x14ac:dyDescent="0.25">
      <c r="A4" s="68"/>
      <c r="B4" s="70"/>
      <c r="C4" s="79">
        <v>43313</v>
      </c>
      <c r="D4" s="79"/>
      <c r="E4" s="79"/>
      <c r="F4" s="79">
        <v>43344</v>
      </c>
      <c r="G4" s="79"/>
      <c r="H4" s="79"/>
      <c r="I4" s="79"/>
      <c r="J4" s="79">
        <v>43374</v>
      </c>
      <c r="K4" s="79"/>
      <c r="L4" s="79"/>
      <c r="M4" s="79"/>
      <c r="N4" s="79">
        <v>43405</v>
      </c>
      <c r="O4" s="79"/>
      <c r="P4" s="79"/>
      <c r="Q4" s="79"/>
      <c r="R4" s="79">
        <v>43435</v>
      </c>
      <c r="S4" s="79"/>
      <c r="T4" s="79"/>
      <c r="U4" s="79"/>
      <c r="V4" s="79">
        <v>43466</v>
      </c>
      <c r="W4" s="79"/>
      <c r="X4" s="79"/>
      <c r="Y4" s="79"/>
      <c r="Z4" s="79">
        <v>43497</v>
      </c>
      <c r="AA4" s="79"/>
      <c r="AB4" s="79"/>
      <c r="AC4" s="79"/>
      <c r="AD4" s="79">
        <v>43525</v>
      </c>
      <c r="AE4" s="79"/>
      <c r="AF4" s="79"/>
      <c r="AG4" s="79"/>
      <c r="AH4" s="79">
        <v>43556</v>
      </c>
      <c r="AI4" s="79"/>
      <c r="AJ4" s="79"/>
      <c r="AK4" s="79"/>
      <c r="AL4" s="79">
        <v>43586</v>
      </c>
      <c r="AM4" s="79"/>
      <c r="AN4" s="79"/>
      <c r="AO4" s="79"/>
      <c r="AP4" s="79">
        <v>43617</v>
      </c>
      <c r="AQ4" s="79"/>
      <c r="AR4" s="79"/>
      <c r="AS4" s="79"/>
      <c r="AT4" s="79">
        <v>43647</v>
      </c>
      <c r="AU4" s="79"/>
      <c r="AV4" s="79"/>
      <c r="AW4" s="79"/>
      <c r="AX4" s="79">
        <v>43678</v>
      </c>
      <c r="AY4" s="79"/>
      <c r="AZ4" s="79"/>
      <c r="BA4" s="79"/>
      <c r="BB4" s="80" t="s">
        <v>83</v>
      </c>
      <c r="BC4" s="80"/>
      <c r="BD4" s="81"/>
      <c r="BE4" s="81"/>
      <c r="BF4" s="63"/>
      <c r="BG4" s="59"/>
      <c r="BH4" s="66"/>
    </row>
    <row r="5" spans="1:60" ht="45" x14ac:dyDescent="0.25">
      <c r="A5" s="69" t="s">
        <v>6</v>
      </c>
      <c r="B5" s="71" t="s">
        <v>190</v>
      </c>
      <c r="C5" s="54" t="s">
        <v>220</v>
      </c>
      <c r="D5" s="55" t="s">
        <v>219</v>
      </c>
      <c r="E5" s="55" t="s">
        <v>30</v>
      </c>
      <c r="F5" s="54" t="s">
        <v>218</v>
      </c>
      <c r="G5" s="55" t="s">
        <v>227</v>
      </c>
      <c r="H5" s="55" t="s">
        <v>228</v>
      </c>
      <c r="I5" s="55" t="s">
        <v>30</v>
      </c>
      <c r="J5" s="54" t="s">
        <v>218</v>
      </c>
      <c r="K5" s="55" t="s">
        <v>227</v>
      </c>
      <c r="L5" s="55" t="s">
        <v>228</v>
      </c>
      <c r="M5" s="55" t="s">
        <v>30</v>
      </c>
      <c r="N5" s="54" t="s">
        <v>218</v>
      </c>
      <c r="O5" s="55" t="s">
        <v>227</v>
      </c>
      <c r="P5" s="55" t="s">
        <v>228</v>
      </c>
      <c r="Q5" s="55" t="s">
        <v>30</v>
      </c>
      <c r="R5" s="54" t="s">
        <v>218</v>
      </c>
      <c r="S5" s="55" t="s">
        <v>227</v>
      </c>
      <c r="T5" s="55" t="s">
        <v>228</v>
      </c>
      <c r="U5" s="55" t="s">
        <v>30</v>
      </c>
      <c r="V5" s="54" t="s">
        <v>218</v>
      </c>
      <c r="W5" s="55" t="s">
        <v>227</v>
      </c>
      <c r="X5" s="55" t="s">
        <v>228</v>
      </c>
      <c r="Y5" s="55" t="s">
        <v>30</v>
      </c>
      <c r="Z5" s="54" t="s">
        <v>218</v>
      </c>
      <c r="AA5" s="55" t="s">
        <v>227</v>
      </c>
      <c r="AB5" s="55" t="s">
        <v>228</v>
      </c>
      <c r="AC5" s="55" t="s">
        <v>30</v>
      </c>
      <c r="AD5" s="54" t="s">
        <v>218</v>
      </c>
      <c r="AE5" s="55" t="s">
        <v>227</v>
      </c>
      <c r="AF5" s="55" t="s">
        <v>228</v>
      </c>
      <c r="AG5" s="55" t="s">
        <v>30</v>
      </c>
      <c r="AH5" s="54" t="s">
        <v>218</v>
      </c>
      <c r="AI5" s="55" t="s">
        <v>227</v>
      </c>
      <c r="AJ5" s="55" t="s">
        <v>228</v>
      </c>
      <c r="AK5" s="55" t="s">
        <v>30</v>
      </c>
      <c r="AL5" s="54" t="s">
        <v>218</v>
      </c>
      <c r="AM5" s="55" t="s">
        <v>227</v>
      </c>
      <c r="AN5" s="55" t="s">
        <v>228</v>
      </c>
      <c r="AO5" s="55" t="s">
        <v>30</v>
      </c>
      <c r="AP5" s="54" t="s">
        <v>218</v>
      </c>
      <c r="AQ5" s="55" t="s">
        <v>227</v>
      </c>
      <c r="AR5" s="55" t="s">
        <v>228</v>
      </c>
      <c r="AS5" s="55" t="s">
        <v>30</v>
      </c>
      <c r="AT5" s="54" t="s">
        <v>218</v>
      </c>
      <c r="AU5" s="55" t="s">
        <v>227</v>
      </c>
      <c r="AV5" s="55" t="s">
        <v>228</v>
      </c>
      <c r="AW5" s="55" t="s">
        <v>30</v>
      </c>
      <c r="AX5" s="54" t="s">
        <v>218</v>
      </c>
      <c r="AY5" s="55" t="s">
        <v>227</v>
      </c>
      <c r="AZ5" s="55" t="s">
        <v>228</v>
      </c>
      <c r="BA5" s="55" t="s">
        <v>30</v>
      </c>
      <c r="BB5" s="54" t="s">
        <v>218</v>
      </c>
      <c r="BC5" s="55" t="s">
        <v>227</v>
      </c>
      <c r="BD5" s="55" t="s">
        <v>228</v>
      </c>
      <c r="BE5" s="55" t="s">
        <v>30</v>
      </c>
      <c r="BF5" s="55" t="s">
        <v>186</v>
      </c>
      <c r="BG5" s="55" t="s">
        <v>229</v>
      </c>
      <c r="BH5" s="67" t="s">
        <v>230</v>
      </c>
    </row>
    <row r="6" spans="1:60" x14ac:dyDescent="0.25">
      <c r="A6" s="32" t="s">
        <v>35</v>
      </c>
      <c r="B6" s="56" t="str">
        <f>VLOOKUP(A6,[3]LISTADHERENT!A$5:H$58,2,0)</f>
        <v>ASELBY</v>
      </c>
      <c r="C6" s="38"/>
      <c r="D6" s="65"/>
      <c r="E6" s="65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3"/>
      <c r="BG6" s="38"/>
      <c r="BH6" s="39"/>
    </row>
    <row r="7" spans="1:60" x14ac:dyDescent="0.25">
      <c r="A7" s="32" t="s">
        <v>36</v>
      </c>
      <c r="B7" s="56" t="str">
        <f>VLOOKUP(A7,[3]LISTADHERENT!A$5:H$58,2,0)</f>
        <v>BAKOP ACHILLE</v>
      </c>
      <c r="C7" s="38"/>
      <c r="D7" s="65">
        <v>588000</v>
      </c>
      <c r="E7" s="65"/>
      <c r="F7" s="38">
        <f>[4]MVTSEPT!$P7</f>
        <v>588000</v>
      </c>
      <c r="G7" s="38">
        <f>[4]MVTSEPT!$Q7</f>
        <v>0</v>
      </c>
      <c r="H7" s="38">
        <f>F7-I7</f>
        <v>588000</v>
      </c>
      <c r="I7" s="38">
        <f>[4]MVTSEPT!$S7</f>
        <v>0</v>
      </c>
      <c r="J7" s="38">
        <f>[4]MVTOCT!$N7</f>
        <v>0</v>
      </c>
      <c r="K7" s="38">
        <f>[4]MVTOCT!$O7</f>
        <v>0</v>
      </c>
      <c r="L7" s="38">
        <f>H7+J7-M7</f>
        <v>588000</v>
      </c>
      <c r="M7" s="38">
        <f>[4]MVTOCT!$Q7</f>
        <v>0</v>
      </c>
      <c r="N7" s="38">
        <f>[4]MVTNOV!$N7</f>
        <v>0</v>
      </c>
      <c r="O7" s="38">
        <f>[4]MVTNOV!$O7</f>
        <v>0</v>
      </c>
      <c r="P7" s="38">
        <f>L7+N7-Q7</f>
        <v>588000</v>
      </c>
      <c r="Q7" s="38">
        <f>[4]MVTNOV!$Q7</f>
        <v>0</v>
      </c>
      <c r="R7" s="38">
        <f>[4]MVTDEC!$N7</f>
        <v>0</v>
      </c>
      <c r="S7" s="38">
        <f>[4]MVTDEC!$O7</f>
        <v>0</v>
      </c>
      <c r="T7" s="38">
        <f>P7+R7-U7</f>
        <v>588000</v>
      </c>
      <c r="U7" s="38">
        <f>[4]MVTDEC!$Q7</f>
        <v>0</v>
      </c>
      <c r="V7" s="38">
        <f>[4]MVTJANV!$N7</f>
        <v>0</v>
      </c>
      <c r="W7" s="38">
        <f>[4]MVTJANV!$O7</f>
        <v>0</v>
      </c>
      <c r="X7" s="38">
        <f>T7+V7-Y7</f>
        <v>588000</v>
      </c>
      <c r="Y7" s="38">
        <f>[4]MVTJANV!$Q7</f>
        <v>0</v>
      </c>
      <c r="Z7" s="38">
        <f>[4]MVTFEV!$N7</f>
        <v>0</v>
      </c>
      <c r="AA7" s="38">
        <f>[4]MVTFEV!$O7</f>
        <v>0</v>
      </c>
      <c r="AB7" s="38">
        <f>X7+Z7-AC7</f>
        <v>588000</v>
      </c>
      <c r="AC7" s="38">
        <f>[4]MVTFEV!$Q7</f>
        <v>0</v>
      </c>
      <c r="AD7" s="38">
        <f>[4]MVTMARS!$N7</f>
        <v>0</v>
      </c>
      <c r="AE7" s="38">
        <f>[4]MVTMARS!$O7</f>
        <v>0</v>
      </c>
      <c r="AF7" s="38">
        <f>AB7+AD7-AG7</f>
        <v>588000</v>
      </c>
      <c r="AG7" s="38">
        <f>[4]MVTMARS!$Q7</f>
        <v>0</v>
      </c>
      <c r="AH7" s="38">
        <f>[4]MVTAVRIL!$N7</f>
        <v>0</v>
      </c>
      <c r="AI7" s="38">
        <f>[4]MVTAVRIL!$O7</f>
        <v>0</v>
      </c>
      <c r="AJ7" s="38">
        <f>AF7+AH7-AK7</f>
        <v>588000</v>
      </c>
      <c r="AK7" s="38">
        <f>[4]MVTAVRIL!$Q7</f>
        <v>0</v>
      </c>
      <c r="AL7" s="38">
        <f>[4]MVTMAI!$N7</f>
        <v>0</v>
      </c>
      <c r="AM7" s="38">
        <f>[4]MVTMAI!$O7</f>
        <v>0</v>
      </c>
      <c r="AN7" s="38">
        <f>AJ7+AL7-AO7</f>
        <v>588000</v>
      </c>
      <c r="AO7" s="38">
        <f>[4]MVTMAI!$Q7</f>
        <v>0</v>
      </c>
      <c r="AP7" s="38">
        <f>[4]MVTJUIN!$N7</f>
        <v>0</v>
      </c>
      <c r="AQ7" s="38">
        <f>[4]MVTJUIN!$O7</f>
        <v>0</v>
      </c>
      <c r="AR7" s="38">
        <f>AN7+AP7-AS7</f>
        <v>588000</v>
      </c>
      <c r="AS7" s="38">
        <f>[4]MVTJUIN!$Q7</f>
        <v>0</v>
      </c>
      <c r="AT7" s="38">
        <f>[4]MVTJUIL!$N7</f>
        <v>0</v>
      </c>
      <c r="AU7" s="38">
        <f>[4]MVTJUIL!$O7</f>
        <v>0</v>
      </c>
      <c r="AV7" s="38">
        <f>AR7+AT7-AW7</f>
        <v>588000</v>
      </c>
      <c r="AW7" s="38">
        <f>[4]MVTJUIL!$Q7</f>
        <v>0</v>
      </c>
      <c r="AX7" s="38">
        <f>[4]MVTAOUT2019!$N7</f>
        <v>0</v>
      </c>
      <c r="AY7" s="38">
        <f>[4]MVTAOUT2019!$O7</f>
        <v>0</v>
      </c>
      <c r="AZ7" s="38">
        <f>AV7+AX7-BA7</f>
        <v>588000</v>
      </c>
      <c r="BA7" s="38">
        <f>[4]MVTAOUT2019!$Q7</f>
        <v>0</v>
      </c>
      <c r="BB7" s="38">
        <v>0</v>
      </c>
      <c r="BC7" s="38">
        <f>G7+K7+O7+S7+W7+AA7+AE7+AI7+AM7+AQ7+AU7+AY7</f>
        <v>0</v>
      </c>
      <c r="BD7" s="38">
        <f>AZ7</f>
        <v>588000</v>
      </c>
      <c r="BE7" s="38">
        <f>I7+M7+Q7+U7+Y7+AC7+AG7+AK7+AO7+AS7+AW7+BA7</f>
        <v>0</v>
      </c>
      <c r="BF7" s="64">
        <v>43678</v>
      </c>
      <c r="BG7" s="38">
        <v>88000</v>
      </c>
      <c r="BH7" s="39"/>
    </row>
    <row r="8" spans="1:60" x14ac:dyDescent="0.25">
      <c r="A8" s="32" t="s">
        <v>37</v>
      </c>
      <c r="B8" s="56" t="str">
        <f>VLOOKUP(A8,[3]LISTADHERENT!A$5:H$58,2,0)</f>
        <v>BOUTCHOUANG WILLIAM</v>
      </c>
      <c r="C8" s="38"/>
      <c r="D8" s="65">
        <v>0</v>
      </c>
      <c r="E8" s="65"/>
      <c r="F8" s="38">
        <f>[4]MVTSEPT!$P8</f>
        <v>0</v>
      </c>
      <c r="G8" s="38">
        <f>[4]MVTSEPT!$Q8</f>
        <v>0</v>
      </c>
      <c r="H8" s="38">
        <f t="shared" ref="H8:H42" si="0">F8-I8</f>
        <v>0</v>
      </c>
      <c r="I8" s="38">
        <f>[4]MVTSEPT!$S8</f>
        <v>0</v>
      </c>
      <c r="J8" s="38">
        <f>[4]MVTOCT!$N8</f>
        <v>0</v>
      </c>
      <c r="K8" s="38">
        <f>[4]MVTOCT!$O8</f>
        <v>0</v>
      </c>
      <c r="L8" s="38">
        <f t="shared" ref="L8:L42" si="1">H8+J8-M8</f>
        <v>0</v>
      </c>
      <c r="M8" s="38">
        <f>[4]MVTOCT!$Q8</f>
        <v>0</v>
      </c>
      <c r="N8" s="38">
        <f>[4]MVTNOV!$N8</f>
        <v>0</v>
      </c>
      <c r="O8" s="38">
        <f>[4]MVTNOV!$O8</f>
        <v>0</v>
      </c>
      <c r="P8" s="38">
        <f t="shared" ref="P8:P42" si="2">L8+N8-Q8</f>
        <v>0</v>
      </c>
      <c r="Q8" s="38">
        <f>[4]MVTNOV!$Q8</f>
        <v>0</v>
      </c>
      <c r="R8" s="38">
        <f>[4]MVTDEC!$N8</f>
        <v>1000000</v>
      </c>
      <c r="S8" s="38">
        <f>[4]MVTDEC!$O8</f>
        <v>30000</v>
      </c>
      <c r="T8" s="38">
        <f t="shared" ref="T8:T42" si="3">P8+R8-U8</f>
        <v>1000000</v>
      </c>
      <c r="U8" s="38">
        <f>[4]MVTDEC!$Q8</f>
        <v>0</v>
      </c>
      <c r="V8" s="38">
        <f>[4]MVTJANV!$N8</f>
        <v>0</v>
      </c>
      <c r="W8" s="38">
        <f>[4]MVTJANV!$O8</f>
        <v>0</v>
      </c>
      <c r="X8" s="38">
        <f t="shared" ref="X8:X42" si="4">T8+V8-Y8</f>
        <v>1000000</v>
      </c>
      <c r="Y8" s="38">
        <f>[4]MVTJANV!$Q8</f>
        <v>0</v>
      </c>
      <c r="Z8" s="38">
        <f>[4]MVTFEV!$N8</f>
        <v>0</v>
      </c>
      <c r="AA8" s="38">
        <f>[4]MVTFEV!$O8</f>
        <v>0</v>
      </c>
      <c r="AB8" s="38">
        <f t="shared" ref="AB8:AB42" si="5">X8+Z8-AC8</f>
        <v>1000000</v>
      </c>
      <c r="AC8" s="38">
        <f>[4]MVTFEV!$Q8</f>
        <v>0</v>
      </c>
      <c r="AD8" s="38">
        <f>[4]MVTMARS!$N8</f>
        <v>0</v>
      </c>
      <c r="AE8" s="38">
        <f>[4]MVTMARS!$O8</f>
        <v>0</v>
      </c>
      <c r="AF8" s="38">
        <f t="shared" ref="AF8:AF42" si="6">AB8+AD8-AG8</f>
        <v>1000000</v>
      </c>
      <c r="AG8" s="38">
        <f>[4]MVTMARS!$Q8</f>
        <v>0</v>
      </c>
      <c r="AH8" s="38">
        <f>[4]MVTAVRIL!$N8</f>
        <v>0</v>
      </c>
      <c r="AI8" s="38">
        <f>[4]MVTAVRIL!$O8</f>
        <v>0</v>
      </c>
      <c r="AJ8" s="38">
        <f t="shared" ref="AJ8:AJ42" si="7">AF8+AH8-AK8</f>
        <v>1000000</v>
      </c>
      <c r="AK8" s="38">
        <f>[4]MVTAVRIL!$Q8</f>
        <v>0</v>
      </c>
      <c r="AL8" s="38">
        <f>[4]MVTMAI!$N8</f>
        <v>0</v>
      </c>
      <c r="AM8" s="38">
        <f>[4]MVTMAI!$O8</f>
        <v>0</v>
      </c>
      <c r="AN8" s="38">
        <f t="shared" ref="AN8:AN42" si="8">AJ8+AL8-AO8</f>
        <v>1000000</v>
      </c>
      <c r="AO8" s="38">
        <f>[4]MVTMAI!$Q8</f>
        <v>0</v>
      </c>
      <c r="AP8" s="38">
        <f>[4]MVTJUIN!$N8</f>
        <v>0</v>
      </c>
      <c r="AQ8" s="38">
        <f>[4]MVTJUIN!$O8</f>
        <v>0</v>
      </c>
      <c r="AR8" s="38">
        <f t="shared" ref="AR8:AR42" si="9">AN8+AP8-AS8</f>
        <v>1000000</v>
      </c>
      <c r="AS8" s="38">
        <f>[4]MVTJUIN!$Q8</f>
        <v>0</v>
      </c>
      <c r="AT8" s="38">
        <f>[4]MVTJUIL!$N8</f>
        <v>0</v>
      </c>
      <c r="AU8" s="38">
        <f>[4]MVTJUIL!$O8</f>
        <v>0</v>
      </c>
      <c r="AV8" s="38">
        <f t="shared" ref="AV8:AV42" si="10">AR8+AT8-AW8</f>
        <v>1000000</v>
      </c>
      <c r="AW8" s="38">
        <f>[4]MVTJUIL!$Q8</f>
        <v>0</v>
      </c>
      <c r="AX8" s="38">
        <f>[4]MVTAOUT2019!$N8</f>
        <v>0</v>
      </c>
      <c r="AY8" s="38">
        <f>[4]MVTAOUT2019!$O8</f>
        <v>0</v>
      </c>
      <c r="AZ8" s="38">
        <f t="shared" ref="AZ8:AZ42" si="11">AV8+AX8-BA8</f>
        <v>1000000</v>
      </c>
      <c r="BA8" s="38">
        <f>[4]MVTAOUT2019!$Q8</f>
        <v>0</v>
      </c>
      <c r="BB8" s="38">
        <v>0</v>
      </c>
      <c r="BC8" s="38">
        <f t="shared" ref="BC8:BC42" si="12">G8+K8+O8+S8+W8+AA8+AE8+AI8+AM8+AQ8+AU8+AY8</f>
        <v>30000</v>
      </c>
      <c r="BD8" s="38">
        <f t="shared" ref="BD8:BD42" si="13">AZ8</f>
        <v>1000000</v>
      </c>
      <c r="BE8" s="38">
        <f t="shared" ref="BE8:BE42" si="14">I8+M8+Q8+U8+Y8+AC8+AG8+AK8+AO8+AS8+AW8+BA8</f>
        <v>0</v>
      </c>
      <c r="BF8" s="64">
        <v>43525</v>
      </c>
      <c r="BG8" s="38">
        <v>0</v>
      </c>
      <c r="BH8" s="39"/>
    </row>
    <row r="9" spans="1:60" x14ac:dyDescent="0.25">
      <c r="A9" s="32" t="s">
        <v>38</v>
      </c>
      <c r="B9" s="56" t="str">
        <f>VLOOKUP(A9,[3]LISTADHERENT!A$5:H$58,2,0)</f>
        <v>CHINGUE FABRICE</v>
      </c>
      <c r="C9" s="38"/>
      <c r="D9" s="65"/>
      <c r="E9" s="65"/>
      <c r="F9" s="38">
        <f>[4]MVTSEPT!$P9</f>
        <v>700000</v>
      </c>
      <c r="G9" s="38">
        <f>[4]MVTSEPT!$Q9</f>
        <v>84000</v>
      </c>
      <c r="H9" s="38">
        <f t="shared" si="0"/>
        <v>700000</v>
      </c>
      <c r="I9" s="38">
        <f>[4]MVTSEPT!$S9</f>
        <v>0</v>
      </c>
      <c r="J9" s="38">
        <f>[4]MVTOCT!$N9</f>
        <v>0</v>
      </c>
      <c r="K9" s="38">
        <f>[4]MVTOCT!$O9</f>
        <v>0</v>
      </c>
      <c r="L9" s="38">
        <f t="shared" si="1"/>
        <v>700000</v>
      </c>
      <c r="M9" s="38">
        <f>[4]MVTOCT!$Q9</f>
        <v>0</v>
      </c>
      <c r="N9" s="38">
        <f>[4]MVTNOV!$N9</f>
        <v>0</v>
      </c>
      <c r="O9" s="38">
        <f>[4]MVTNOV!$O9</f>
        <v>0</v>
      </c>
      <c r="P9" s="38">
        <f t="shared" si="2"/>
        <v>700000</v>
      </c>
      <c r="Q9" s="38">
        <f>[4]MVTNOV!$Q9</f>
        <v>0</v>
      </c>
      <c r="R9" s="38">
        <f>[4]MVTDEC!$N9</f>
        <v>0</v>
      </c>
      <c r="S9" s="38">
        <f>[4]MVTDEC!$O9</f>
        <v>0</v>
      </c>
      <c r="T9" s="38">
        <f t="shared" si="3"/>
        <v>700000</v>
      </c>
      <c r="U9" s="38">
        <f>[4]MVTDEC!$Q9</f>
        <v>0</v>
      </c>
      <c r="V9" s="38">
        <f>[4]MVTJANV!$N9</f>
        <v>0</v>
      </c>
      <c r="W9" s="38">
        <f>[4]MVTJANV!$O9</f>
        <v>0</v>
      </c>
      <c r="X9" s="38">
        <f t="shared" si="4"/>
        <v>700000</v>
      </c>
      <c r="Y9" s="38">
        <f>[4]MVTJANV!$Q9</f>
        <v>0</v>
      </c>
      <c r="Z9" s="38">
        <f>[4]MVTFEV!$N9</f>
        <v>0</v>
      </c>
      <c r="AA9" s="38">
        <f>[4]MVTFEV!$O9</f>
        <v>0</v>
      </c>
      <c r="AB9" s="38">
        <f t="shared" si="5"/>
        <v>700000</v>
      </c>
      <c r="AC9" s="38">
        <f>[4]MVTFEV!$Q9</f>
        <v>0</v>
      </c>
      <c r="AD9" s="38">
        <f>[4]MVTMARS!$N9</f>
        <v>0</v>
      </c>
      <c r="AE9" s="38">
        <f>[4]MVTMARS!$O9</f>
        <v>0</v>
      </c>
      <c r="AF9" s="38">
        <f t="shared" si="6"/>
        <v>700000</v>
      </c>
      <c r="AG9" s="38">
        <f>[4]MVTMARS!$Q9</f>
        <v>0</v>
      </c>
      <c r="AH9" s="38">
        <f>[4]MVTAVRIL!$N9</f>
        <v>0</v>
      </c>
      <c r="AI9" s="38">
        <f>[4]MVTAVRIL!$O9</f>
        <v>0</v>
      </c>
      <c r="AJ9" s="38">
        <f t="shared" si="7"/>
        <v>700000</v>
      </c>
      <c r="AK9" s="38">
        <f>[4]MVTAVRIL!$Q9</f>
        <v>0</v>
      </c>
      <c r="AL9" s="38">
        <f>[4]MVTMAI!$N9</f>
        <v>0</v>
      </c>
      <c r="AM9" s="38">
        <f>[4]MVTMAI!$O9</f>
        <v>0</v>
      </c>
      <c r="AN9" s="38">
        <f t="shared" si="8"/>
        <v>700000</v>
      </c>
      <c r="AO9" s="38">
        <f>[4]MVTMAI!$Q9</f>
        <v>0</v>
      </c>
      <c r="AP9" s="38">
        <f>[4]MVTJUIN!$N9</f>
        <v>0</v>
      </c>
      <c r="AQ9" s="38">
        <f>[4]MVTJUIN!$O9</f>
        <v>0</v>
      </c>
      <c r="AR9" s="38">
        <f t="shared" si="9"/>
        <v>700000</v>
      </c>
      <c r="AS9" s="38">
        <f>[4]MVTJUIN!$Q9</f>
        <v>0</v>
      </c>
      <c r="AT9" s="38">
        <f>[4]MVTJUIL!$N9</f>
        <v>0</v>
      </c>
      <c r="AU9" s="38">
        <f>[4]MVTJUIL!$O9</f>
        <v>0</v>
      </c>
      <c r="AV9" s="38">
        <f t="shared" si="10"/>
        <v>700000</v>
      </c>
      <c r="AW9" s="38">
        <f>[4]MVTJUIL!$Q9</f>
        <v>0</v>
      </c>
      <c r="AX9" s="38">
        <f>[4]MVTAOUT2019!$N9</f>
        <v>0</v>
      </c>
      <c r="AY9" s="38">
        <f>[4]MVTAOUT2019!$O9</f>
        <v>0</v>
      </c>
      <c r="AZ9" s="38">
        <f t="shared" si="11"/>
        <v>700000</v>
      </c>
      <c r="BA9" s="38">
        <f>[4]MVTAOUT2019!$Q9</f>
        <v>0</v>
      </c>
      <c r="BB9" s="38">
        <v>0</v>
      </c>
      <c r="BC9" s="38">
        <f t="shared" si="12"/>
        <v>84000</v>
      </c>
      <c r="BD9" s="38">
        <f t="shared" si="13"/>
        <v>700000</v>
      </c>
      <c r="BE9" s="38">
        <f t="shared" si="14"/>
        <v>0</v>
      </c>
      <c r="BF9" s="64">
        <v>43678</v>
      </c>
      <c r="BG9" s="38">
        <v>0</v>
      </c>
      <c r="BH9" s="39"/>
    </row>
    <row r="10" spans="1:60" x14ac:dyDescent="0.25">
      <c r="A10" s="32" t="s">
        <v>223</v>
      </c>
      <c r="B10" s="56" t="str">
        <f>VLOOKUP(A10,[3]LISTADHERENT!A$5:H$58,2,0)</f>
        <v>DJOMO DOMO</v>
      </c>
      <c r="C10" s="38"/>
      <c r="D10" s="65"/>
      <c r="E10" s="65"/>
      <c r="F10" s="38">
        <f>[4]MVTSEPT!$P10</f>
        <v>0</v>
      </c>
      <c r="G10" s="38">
        <f>[4]MVTSEPT!$Q10</f>
        <v>0</v>
      </c>
      <c r="H10" s="38">
        <f t="shared" si="0"/>
        <v>0</v>
      </c>
      <c r="I10" s="38">
        <f>[4]MVTSEPT!$S10</f>
        <v>0</v>
      </c>
      <c r="J10" s="38">
        <f>[4]MVTOCT!$N10</f>
        <v>0</v>
      </c>
      <c r="K10" s="38">
        <f>[4]MVTOCT!$O10</f>
        <v>0</v>
      </c>
      <c r="L10" s="38">
        <f t="shared" si="1"/>
        <v>0</v>
      </c>
      <c r="M10" s="38">
        <f>[4]MVTOCT!$Q10</f>
        <v>0</v>
      </c>
      <c r="N10" s="38">
        <f>[4]MVTNOV!$N10</f>
        <v>0</v>
      </c>
      <c r="O10" s="38">
        <f>[4]MVTNOV!$O10</f>
        <v>0</v>
      </c>
      <c r="P10" s="38">
        <f t="shared" si="2"/>
        <v>0</v>
      </c>
      <c r="Q10" s="38">
        <f>[4]MVTNOV!$Q10</f>
        <v>0</v>
      </c>
      <c r="R10" s="38">
        <f>[4]MVTDEC!$N10</f>
        <v>0</v>
      </c>
      <c r="S10" s="38">
        <f>[4]MVTDEC!$O10</f>
        <v>0</v>
      </c>
      <c r="T10" s="38">
        <f t="shared" si="3"/>
        <v>0</v>
      </c>
      <c r="U10" s="38">
        <f>[4]MVTDEC!$Q10</f>
        <v>0</v>
      </c>
      <c r="V10" s="38">
        <f>[4]MVTJANV!$N10</f>
        <v>0</v>
      </c>
      <c r="W10" s="38">
        <f>[4]MVTJANV!$O10</f>
        <v>0</v>
      </c>
      <c r="X10" s="38">
        <f t="shared" si="4"/>
        <v>0</v>
      </c>
      <c r="Y10" s="38">
        <f>[4]MVTJANV!$Q10</f>
        <v>0</v>
      </c>
      <c r="Z10" s="38">
        <f>[4]MVTFEV!$N10</f>
        <v>0</v>
      </c>
      <c r="AA10" s="38">
        <f>[4]MVTFEV!$O10</f>
        <v>0</v>
      </c>
      <c r="AB10" s="38">
        <f t="shared" si="5"/>
        <v>0</v>
      </c>
      <c r="AC10" s="38">
        <f>[4]MVTFEV!$Q10</f>
        <v>0</v>
      </c>
      <c r="AD10" s="38">
        <f>[4]MVTMARS!$N10</f>
        <v>0</v>
      </c>
      <c r="AE10" s="38">
        <f>[4]MVTMARS!$O10</f>
        <v>0</v>
      </c>
      <c r="AF10" s="38">
        <f t="shared" si="6"/>
        <v>0</v>
      </c>
      <c r="AG10" s="38">
        <f>[4]MVTMARS!$Q10</f>
        <v>0</v>
      </c>
      <c r="AH10" s="38">
        <f>[4]MVTAVRIL!$N10</f>
        <v>0</v>
      </c>
      <c r="AI10" s="38">
        <f>[4]MVTAVRIL!$O10</f>
        <v>0</v>
      </c>
      <c r="AJ10" s="38">
        <f t="shared" si="7"/>
        <v>0</v>
      </c>
      <c r="AK10" s="38">
        <f>[4]MVTAVRIL!$Q10</f>
        <v>0</v>
      </c>
      <c r="AL10" s="38">
        <f>[4]MVTMAI!$N10</f>
        <v>0</v>
      </c>
      <c r="AM10" s="38">
        <f>[4]MVTMAI!$O10</f>
        <v>0</v>
      </c>
      <c r="AN10" s="38">
        <f t="shared" si="8"/>
        <v>0</v>
      </c>
      <c r="AO10" s="38">
        <f>[4]MVTMAI!$Q10</f>
        <v>0</v>
      </c>
      <c r="AP10" s="38">
        <f>[4]MVTJUIN!$N10</f>
        <v>0</v>
      </c>
      <c r="AQ10" s="38">
        <f>[4]MVTJUIN!$O10</f>
        <v>0</v>
      </c>
      <c r="AR10" s="38">
        <f t="shared" si="9"/>
        <v>0</v>
      </c>
      <c r="AS10" s="38">
        <f>[4]MVTJUIN!$Q10</f>
        <v>0</v>
      </c>
      <c r="AT10" s="38">
        <f>[4]MVTJUIL!$N10</f>
        <v>0</v>
      </c>
      <c r="AU10" s="38">
        <f>[4]MVTJUIL!$O10</f>
        <v>0</v>
      </c>
      <c r="AV10" s="38">
        <f t="shared" si="10"/>
        <v>0</v>
      </c>
      <c r="AW10" s="38">
        <f>[4]MVTJUIL!$Q10</f>
        <v>0</v>
      </c>
      <c r="AX10" s="38">
        <f>[4]MVTAOUT2019!$N10</f>
        <v>0</v>
      </c>
      <c r="AY10" s="38">
        <f>[4]MVTAOUT2019!$O10</f>
        <v>0</v>
      </c>
      <c r="AZ10" s="38">
        <f t="shared" si="11"/>
        <v>0</v>
      </c>
      <c r="BA10" s="38">
        <f>[4]MVTAOUT2019!$Q10</f>
        <v>0</v>
      </c>
      <c r="BB10" s="38">
        <v>0</v>
      </c>
      <c r="BC10" s="38">
        <f t="shared" si="12"/>
        <v>0</v>
      </c>
      <c r="BD10" s="38">
        <f t="shared" si="13"/>
        <v>0</v>
      </c>
      <c r="BE10" s="38">
        <f t="shared" si="14"/>
        <v>0</v>
      </c>
      <c r="BF10" s="64">
        <v>43678</v>
      </c>
      <c r="BG10" s="38"/>
      <c r="BH10" s="39"/>
    </row>
    <row r="11" spans="1:60" x14ac:dyDescent="0.25">
      <c r="A11" s="32" t="s">
        <v>39</v>
      </c>
      <c r="B11" s="56" t="str">
        <f>VLOOKUP(A11,[3]LISTADHERENT!A$5:H$58,2,0)</f>
        <v xml:space="preserve">DJOMO JEAN PAUL </v>
      </c>
      <c r="C11" s="38"/>
      <c r="D11" s="65">
        <v>693000</v>
      </c>
      <c r="E11" s="65">
        <v>693000</v>
      </c>
      <c r="F11" s="38">
        <f>[4]MVTSEPT!$P11</f>
        <v>800000</v>
      </c>
      <c r="G11" s="38">
        <f>[4]MVTSEPT!$Q11</f>
        <v>88000</v>
      </c>
      <c r="H11" s="38">
        <f t="shared" si="0"/>
        <v>800000</v>
      </c>
      <c r="I11" s="38">
        <f>[4]MVTSEPT!$S11</f>
        <v>0</v>
      </c>
      <c r="J11" s="38">
        <f>[4]MVTOCT!$N11</f>
        <v>0</v>
      </c>
      <c r="K11" s="38">
        <f>[4]MVTOCT!$O11</f>
        <v>0</v>
      </c>
      <c r="L11" s="38">
        <f t="shared" si="1"/>
        <v>800000</v>
      </c>
      <c r="M11" s="38">
        <f>[4]MVTOCT!$Q11</f>
        <v>0</v>
      </c>
      <c r="N11" s="38">
        <f>[4]MVTNOV!$N11</f>
        <v>0</v>
      </c>
      <c r="O11" s="38">
        <f>[4]MVTNOV!$O11</f>
        <v>0</v>
      </c>
      <c r="P11" s="38">
        <f t="shared" si="2"/>
        <v>800000</v>
      </c>
      <c r="Q11" s="38">
        <f>[4]MVTNOV!$Q11</f>
        <v>0</v>
      </c>
      <c r="R11" s="38">
        <f>[4]MVTDEC!$N11</f>
        <v>0</v>
      </c>
      <c r="S11" s="38">
        <f>[4]MVTDEC!$O11</f>
        <v>0</v>
      </c>
      <c r="T11" s="38">
        <f t="shared" si="3"/>
        <v>800000</v>
      </c>
      <c r="U11" s="38">
        <f>[4]MVTDEC!$Q11</f>
        <v>0</v>
      </c>
      <c r="V11" s="38">
        <f>[4]MVTJANV!$N11</f>
        <v>0</v>
      </c>
      <c r="W11" s="38">
        <f>[4]MVTJANV!$O11</f>
        <v>0</v>
      </c>
      <c r="X11" s="38">
        <f t="shared" si="4"/>
        <v>800000</v>
      </c>
      <c r="Y11" s="38">
        <f>[4]MVTJANV!$Q11</f>
        <v>0</v>
      </c>
      <c r="Z11" s="38">
        <f>[4]MVTFEV!$N11</f>
        <v>0</v>
      </c>
      <c r="AA11" s="38">
        <f>[4]MVTFEV!$O11</f>
        <v>0</v>
      </c>
      <c r="AB11" s="38">
        <f t="shared" si="5"/>
        <v>800000</v>
      </c>
      <c r="AC11" s="38">
        <f>[4]MVTFEV!$Q11</f>
        <v>0</v>
      </c>
      <c r="AD11" s="38">
        <f>[4]MVTMARS!$N11</f>
        <v>0</v>
      </c>
      <c r="AE11" s="38">
        <f>[4]MVTMARS!$O11</f>
        <v>0</v>
      </c>
      <c r="AF11" s="38">
        <f t="shared" si="6"/>
        <v>800000</v>
      </c>
      <c r="AG11" s="38">
        <f>[4]MVTMARS!$Q11</f>
        <v>0</v>
      </c>
      <c r="AH11" s="38">
        <f>[4]MVTAVRIL!$N11</f>
        <v>0</v>
      </c>
      <c r="AI11" s="38">
        <f>[4]MVTAVRIL!$O11</f>
        <v>0</v>
      </c>
      <c r="AJ11" s="38">
        <f t="shared" si="7"/>
        <v>800000</v>
      </c>
      <c r="AK11" s="38">
        <f>[4]MVTAVRIL!$Q11</f>
        <v>0</v>
      </c>
      <c r="AL11" s="38">
        <f>[4]MVTMAI!$N11</f>
        <v>0</v>
      </c>
      <c r="AM11" s="38">
        <f>[4]MVTMAI!$O11</f>
        <v>0</v>
      </c>
      <c r="AN11" s="38">
        <f t="shared" si="8"/>
        <v>800000</v>
      </c>
      <c r="AO11" s="38">
        <f>[4]MVTMAI!$Q11</f>
        <v>0</v>
      </c>
      <c r="AP11" s="38">
        <f>[4]MVTJUIN!$N11</f>
        <v>0</v>
      </c>
      <c r="AQ11" s="38">
        <f>[4]MVTJUIN!$O11</f>
        <v>0</v>
      </c>
      <c r="AR11" s="38">
        <f t="shared" si="9"/>
        <v>800000</v>
      </c>
      <c r="AS11" s="38">
        <f>[4]MVTJUIN!$Q11</f>
        <v>0</v>
      </c>
      <c r="AT11" s="38">
        <f>[4]MVTJUIL!$N11</f>
        <v>0</v>
      </c>
      <c r="AU11" s="38">
        <f>[4]MVTJUIL!$O11</f>
        <v>0</v>
      </c>
      <c r="AV11" s="38">
        <f t="shared" si="10"/>
        <v>800000</v>
      </c>
      <c r="AW11" s="38">
        <f>[4]MVTJUIL!$Q11</f>
        <v>0</v>
      </c>
      <c r="AX11" s="38">
        <f>[4]MVTAOUT2019!$N11</f>
        <v>0</v>
      </c>
      <c r="AY11" s="38">
        <f>[4]MVTAOUT2019!$O11</f>
        <v>0</v>
      </c>
      <c r="AZ11" s="38">
        <f t="shared" si="11"/>
        <v>800000</v>
      </c>
      <c r="BA11" s="38">
        <f>[4]MVTAOUT2019!$Q11</f>
        <v>0</v>
      </c>
      <c r="BB11" s="38">
        <v>0</v>
      </c>
      <c r="BC11" s="38">
        <f t="shared" si="12"/>
        <v>88000</v>
      </c>
      <c r="BD11" s="38">
        <f t="shared" si="13"/>
        <v>800000</v>
      </c>
      <c r="BE11" s="38">
        <f t="shared" si="14"/>
        <v>0</v>
      </c>
      <c r="BF11" s="64">
        <v>43678</v>
      </c>
      <c r="BG11" s="38">
        <v>34650</v>
      </c>
      <c r="BH11" s="39" t="s">
        <v>231</v>
      </c>
    </row>
    <row r="12" spans="1:60" x14ac:dyDescent="0.25">
      <c r="A12" s="32" t="s">
        <v>40</v>
      </c>
      <c r="B12" s="56" t="str">
        <f>VLOOKUP(A12,[3]LISTADHERENT!A$5:H$58,2,0)</f>
        <v>DJOUKWE NANGUEN GUY BLAISE</v>
      </c>
      <c r="C12" s="38"/>
      <c r="D12" s="38"/>
      <c r="E12" s="65"/>
      <c r="F12" s="38">
        <f>[4]MVTSEPT!$P12</f>
        <v>1000000</v>
      </c>
      <c r="G12" s="38">
        <f>[4]MVTSEPT!$Q12</f>
        <v>120000</v>
      </c>
      <c r="H12" s="38">
        <f t="shared" si="0"/>
        <v>1000000</v>
      </c>
      <c r="I12" s="38">
        <f>[4]MVTSEPT!$S12</f>
        <v>0</v>
      </c>
      <c r="J12" s="38">
        <f>[4]MVTOCT!$N12</f>
        <v>0</v>
      </c>
      <c r="K12" s="38">
        <f>[4]MVTOCT!$O12</f>
        <v>0</v>
      </c>
      <c r="L12" s="38">
        <f t="shared" si="1"/>
        <v>1000000</v>
      </c>
      <c r="M12" s="38">
        <f>[4]MVTOCT!$Q12</f>
        <v>0</v>
      </c>
      <c r="N12" s="38">
        <f>[4]MVTNOV!$N12</f>
        <v>0</v>
      </c>
      <c r="O12" s="38">
        <f>[4]MVTNOV!$O12</f>
        <v>0</v>
      </c>
      <c r="P12" s="38">
        <f t="shared" si="2"/>
        <v>1000000</v>
      </c>
      <c r="Q12" s="38">
        <f>[4]MVTNOV!$Q12</f>
        <v>0</v>
      </c>
      <c r="R12" s="38">
        <f>[4]MVTDEC!$N12</f>
        <v>0</v>
      </c>
      <c r="S12" s="38">
        <f>[4]MVTDEC!$O12</f>
        <v>0</v>
      </c>
      <c r="T12" s="38">
        <f t="shared" si="3"/>
        <v>1000000</v>
      </c>
      <c r="U12" s="38">
        <f>[4]MVTDEC!$Q12</f>
        <v>0</v>
      </c>
      <c r="V12" s="38">
        <f>[4]MVTJANV!$N12</f>
        <v>0</v>
      </c>
      <c r="W12" s="38">
        <f>[4]MVTJANV!$O12</f>
        <v>0</v>
      </c>
      <c r="X12" s="38">
        <f t="shared" si="4"/>
        <v>1000000</v>
      </c>
      <c r="Y12" s="38">
        <f>[4]MVTJANV!$Q12</f>
        <v>0</v>
      </c>
      <c r="Z12" s="38">
        <f>[4]MVTFEV!$N12</f>
        <v>0</v>
      </c>
      <c r="AA12" s="38">
        <f>[4]MVTFEV!$O12</f>
        <v>0</v>
      </c>
      <c r="AB12" s="38">
        <f t="shared" si="5"/>
        <v>1000000</v>
      </c>
      <c r="AC12" s="38">
        <f>[4]MVTFEV!$Q12</f>
        <v>0</v>
      </c>
      <c r="AD12" s="38">
        <f>[4]MVTMARS!$N12</f>
        <v>0</v>
      </c>
      <c r="AE12" s="38">
        <f>[4]MVTMARS!$O12</f>
        <v>0</v>
      </c>
      <c r="AF12" s="38">
        <f t="shared" si="6"/>
        <v>1000000</v>
      </c>
      <c r="AG12" s="38">
        <f>[4]MVTMARS!$Q12</f>
        <v>0</v>
      </c>
      <c r="AH12" s="38">
        <f>[4]MVTAVRIL!$N12</f>
        <v>0</v>
      </c>
      <c r="AI12" s="38">
        <f>[4]MVTAVRIL!$O12</f>
        <v>0</v>
      </c>
      <c r="AJ12" s="38">
        <f t="shared" si="7"/>
        <v>1000000</v>
      </c>
      <c r="AK12" s="38">
        <f>[4]MVTAVRIL!$Q12</f>
        <v>0</v>
      </c>
      <c r="AL12" s="38">
        <f>[4]MVTMAI!$N12</f>
        <v>0</v>
      </c>
      <c r="AM12" s="38">
        <f>[4]MVTMAI!$O12</f>
        <v>0</v>
      </c>
      <c r="AN12" s="38">
        <f t="shared" si="8"/>
        <v>1000000</v>
      </c>
      <c r="AO12" s="38">
        <f>[4]MVTMAI!$Q12</f>
        <v>0</v>
      </c>
      <c r="AP12" s="38">
        <f>[4]MVTJUIN!$N12</f>
        <v>0</v>
      </c>
      <c r="AQ12" s="38">
        <f>[4]MVTJUIN!$O12</f>
        <v>0</v>
      </c>
      <c r="AR12" s="38">
        <f t="shared" si="9"/>
        <v>1000000</v>
      </c>
      <c r="AS12" s="38">
        <f>[4]MVTJUIN!$Q12</f>
        <v>0</v>
      </c>
      <c r="AT12" s="38">
        <f>[4]MVTJUIL!$N12</f>
        <v>0</v>
      </c>
      <c r="AU12" s="38">
        <f>[4]MVTJUIL!$O12</f>
        <v>0</v>
      </c>
      <c r="AV12" s="38">
        <f t="shared" si="10"/>
        <v>1000000</v>
      </c>
      <c r="AW12" s="38">
        <f>[4]MVTJUIL!$Q12</f>
        <v>0</v>
      </c>
      <c r="AX12" s="38">
        <f>[4]MVTAOUT2019!$N12</f>
        <v>0</v>
      </c>
      <c r="AY12" s="38">
        <f>[4]MVTAOUT2019!$O12</f>
        <v>0</v>
      </c>
      <c r="AZ12" s="38">
        <f t="shared" si="11"/>
        <v>1000000</v>
      </c>
      <c r="BA12" s="38">
        <f>[4]MVTAOUT2019!$Q12</f>
        <v>0</v>
      </c>
      <c r="BB12" s="38">
        <v>0</v>
      </c>
      <c r="BC12" s="38">
        <f t="shared" si="12"/>
        <v>120000</v>
      </c>
      <c r="BD12" s="38">
        <f t="shared" si="13"/>
        <v>1000000</v>
      </c>
      <c r="BE12" s="38">
        <f t="shared" si="14"/>
        <v>0</v>
      </c>
      <c r="BF12" s="64">
        <v>43678</v>
      </c>
      <c r="BG12" s="38">
        <v>0</v>
      </c>
      <c r="BH12" s="39"/>
    </row>
    <row r="13" spans="1:60" x14ac:dyDescent="0.25">
      <c r="A13" s="32" t="s">
        <v>43</v>
      </c>
      <c r="B13" s="56" t="str">
        <f>VLOOKUP(A13,[3]LISTADHERENT!A$5:H$58,2,0)</f>
        <v>DJUOMBESSY ANTOINE</v>
      </c>
      <c r="C13" s="38"/>
      <c r="D13" s="65">
        <v>1000000</v>
      </c>
      <c r="E13" s="65"/>
      <c r="F13" s="38">
        <f>[4]MVTSEPT!$P13</f>
        <v>1000000</v>
      </c>
      <c r="G13" s="38">
        <f>[4]MVTSEPT!$Q13</f>
        <v>40000</v>
      </c>
      <c r="H13" s="38">
        <f t="shared" si="0"/>
        <v>1000000</v>
      </c>
      <c r="I13" s="38">
        <f>[4]MVTSEPT!$S13</f>
        <v>0</v>
      </c>
      <c r="J13" s="38">
        <f>[4]MVTOCT!$N13</f>
        <v>0</v>
      </c>
      <c r="K13" s="38">
        <f>[4]MVTOCT!$O13</f>
        <v>0</v>
      </c>
      <c r="L13" s="38">
        <f t="shared" si="1"/>
        <v>1000000</v>
      </c>
      <c r="M13" s="38">
        <f>[4]MVTOCT!$Q13</f>
        <v>0</v>
      </c>
      <c r="N13" s="38">
        <f>[4]MVTNOV!$N13</f>
        <v>0</v>
      </c>
      <c r="O13" s="38">
        <f>[4]MVTNOV!$O13</f>
        <v>0</v>
      </c>
      <c r="P13" s="38">
        <f t="shared" si="2"/>
        <v>1000000</v>
      </c>
      <c r="Q13" s="38">
        <f>[4]MVTNOV!$Q13</f>
        <v>0</v>
      </c>
      <c r="R13" s="38">
        <f>[4]MVTDEC!$N13</f>
        <v>0</v>
      </c>
      <c r="S13" s="38">
        <f>[4]MVTDEC!$O13</f>
        <v>70000</v>
      </c>
      <c r="T13" s="38">
        <f t="shared" si="3"/>
        <v>1000000</v>
      </c>
      <c r="U13" s="38">
        <f>[4]MVTDEC!$Q13</f>
        <v>0</v>
      </c>
      <c r="V13" s="38">
        <f>[4]MVTJANV!$N13</f>
        <v>0</v>
      </c>
      <c r="W13" s="38">
        <f>[4]MVTJANV!$O13</f>
        <v>0</v>
      </c>
      <c r="X13" s="38">
        <f t="shared" si="4"/>
        <v>1000000</v>
      </c>
      <c r="Y13" s="38">
        <f>[4]MVTJANV!$Q13</f>
        <v>0</v>
      </c>
      <c r="Z13" s="38">
        <f>[4]MVTFEV!$N13</f>
        <v>0</v>
      </c>
      <c r="AA13" s="38">
        <f>[4]MVTFEV!$O13</f>
        <v>0</v>
      </c>
      <c r="AB13" s="38">
        <f t="shared" si="5"/>
        <v>1000000</v>
      </c>
      <c r="AC13" s="38">
        <f>[4]MVTFEV!$Q13</f>
        <v>0</v>
      </c>
      <c r="AD13" s="38">
        <f>[4]MVTMARS!$N13</f>
        <v>0</v>
      </c>
      <c r="AE13" s="38">
        <f>[4]MVTMARS!$O13</f>
        <v>0</v>
      </c>
      <c r="AF13" s="38">
        <f t="shared" si="6"/>
        <v>1000000</v>
      </c>
      <c r="AG13" s="38">
        <f>[4]MVTMARS!$Q13</f>
        <v>0</v>
      </c>
      <c r="AH13" s="38">
        <f>[4]MVTAVRIL!$N13</f>
        <v>0</v>
      </c>
      <c r="AI13" s="38">
        <f>[4]MVTAVRIL!$O13</f>
        <v>0</v>
      </c>
      <c r="AJ13" s="38">
        <f t="shared" si="7"/>
        <v>1000000</v>
      </c>
      <c r="AK13" s="38">
        <f>[4]MVTAVRIL!$Q13</f>
        <v>0</v>
      </c>
      <c r="AL13" s="38">
        <f>[4]MVTMAI!$N13</f>
        <v>0</v>
      </c>
      <c r="AM13" s="38">
        <f>[4]MVTMAI!$O13</f>
        <v>0</v>
      </c>
      <c r="AN13" s="38">
        <f t="shared" si="8"/>
        <v>1000000</v>
      </c>
      <c r="AO13" s="38">
        <f>[4]MVTMAI!$Q13</f>
        <v>0</v>
      </c>
      <c r="AP13" s="38">
        <f>[4]MVTJUIN!$N13</f>
        <v>0</v>
      </c>
      <c r="AQ13" s="38">
        <f>[4]MVTJUIN!$O13</f>
        <v>0</v>
      </c>
      <c r="AR13" s="38">
        <f t="shared" si="9"/>
        <v>1000000</v>
      </c>
      <c r="AS13" s="38">
        <f>[4]MVTJUIN!$Q13</f>
        <v>0</v>
      </c>
      <c r="AT13" s="38">
        <f>[4]MVTJUIL!$N13</f>
        <v>0</v>
      </c>
      <c r="AU13" s="38">
        <f>[4]MVTJUIL!$O13</f>
        <v>0</v>
      </c>
      <c r="AV13" s="38">
        <f t="shared" si="10"/>
        <v>1000000</v>
      </c>
      <c r="AW13" s="38">
        <f>[4]MVTJUIL!$Q13</f>
        <v>0</v>
      </c>
      <c r="AX13" s="38">
        <f>[4]MVTAOUT2019!$N13</f>
        <v>0</v>
      </c>
      <c r="AY13" s="38">
        <f>[4]MVTAOUT2019!$O13</f>
        <v>0</v>
      </c>
      <c r="AZ13" s="38">
        <f t="shared" si="11"/>
        <v>1000000</v>
      </c>
      <c r="BA13" s="38">
        <f>[4]MVTAOUT2019!$Q13</f>
        <v>0</v>
      </c>
      <c r="BB13" s="38">
        <v>0</v>
      </c>
      <c r="BC13" s="38">
        <f t="shared" si="12"/>
        <v>110000</v>
      </c>
      <c r="BD13" s="38">
        <f t="shared" si="13"/>
        <v>1000000</v>
      </c>
      <c r="BE13" s="38">
        <f t="shared" si="14"/>
        <v>0</v>
      </c>
      <c r="BF13" s="64">
        <v>43678</v>
      </c>
      <c r="BG13" s="38">
        <v>50000</v>
      </c>
      <c r="BH13" s="39" t="s">
        <v>231</v>
      </c>
    </row>
    <row r="14" spans="1:60" x14ac:dyDescent="0.25">
      <c r="A14" s="32" t="s">
        <v>224</v>
      </c>
      <c r="B14" s="56" t="str">
        <f>VLOOKUP(A14,[3]LISTADHERENT!A$5:H$58,2,0)</f>
        <v>DOMOU FABIEN</v>
      </c>
      <c r="C14" s="38"/>
      <c r="D14" s="38"/>
      <c r="E14" s="65"/>
      <c r="F14" s="38">
        <f>[4]MVTSEPT!$P14</f>
        <v>1000000</v>
      </c>
      <c r="G14" s="38">
        <f>[4]MVTSEPT!$Q14</f>
        <v>110000</v>
      </c>
      <c r="H14" s="38">
        <f t="shared" si="0"/>
        <v>1000000</v>
      </c>
      <c r="I14" s="38">
        <f>[4]MVTSEPT!$S14</f>
        <v>0</v>
      </c>
      <c r="J14" s="38">
        <f>[4]MVTOCT!$N14</f>
        <v>0</v>
      </c>
      <c r="K14" s="38">
        <f>[4]MVTOCT!$O14</f>
        <v>0</v>
      </c>
      <c r="L14" s="38">
        <f t="shared" si="1"/>
        <v>1000000</v>
      </c>
      <c r="M14" s="38">
        <f>[4]MVTOCT!$Q14</f>
        <v>0</v>
      </c>
      <c r="N14" s="38">
        <f>[4]MVTNOV!$N14</f>
        <v>0</v>
      </c>
      <c r="O14" s="38">
        <f>[4]MVTNOV!$O14</f>
        <v>0</v>
      </c>
      <c r="P14" s="38">
        <f t="shared" si="2"/>
        <v>1000000</v>
      </c>
      <c r="Q14" s="38">
        <f>[4]MVTNOV!$Q14</f>
        <v>0</v>
      </c>
      <c r="R14" s="38">
        <f>[4]MVTDEC!$N14</f>
        <v>0</v>
      </c>
      <c r="S14" s="38">
        <f>[4]MVTDEC!$O14</f>
        <v>0</v>
      </c>
      <c r="T14" s="38">
        <f t="shared" si="3"/>
        <v>1000000</v>
      </c>
      <c r="U14" s="38">
        <f>[4]MVTDEC!$Q14</f>
        <v>0</v>
      </c>
      <c r="V14" s="38">
        <f>[4]MVTJANV!$N14</f>
        <v>0</v>
      </c>
      <c r="W14" s="38">
        <f>[4]MVTJANV!$O14</f>
        <v>0</v>
      </c>
      <c r="X14" s="38">
        <f t="shared" si="4"/>
        <v>1000000</v>
      </c>
      <c r="Y14" s="38">
        <f>[4]MVTJANV!$Q14</f>
        <v>0</v>
      </c>
      <c r="Z14" s="38">
        <f>[4]MVTFEV!$N14</f>
        <v>0</v>
      </c>
      <c r="AA14" s="38">
        <f>[4]MVTFEV!$O14</f>
        <v>0</v>
      </c>
      <c r="AB14" s="38">
        <f t="shared" si="5"/>
        <v>1000000</v>
      </c>
      <c r="AC14" s="38">
        <f>[4]MVTFEV!$Q14</f>
        <v>0</v>
      </c>
      <c r="AD14" s="38">
        <f>[4]MVTMARS!$N14</f>
        <v>0</v>
      </c>
      <c r="AE14" s="38">
        <f>[4]MVTMARS!$O14</f>
        <v>0</v>
      </c>
      <c r="AF14" s="38">
        <f t="shared" si="6"/>
        <v>1000000</v>
      </c>
      <c r="AG14" s="38">
        <f>[4]MVTMARS!$Q14</f>
        <v>0</v>
      </c>
      <c r="AH14" s="38">
        <f>[4]MVTAVRIL!$N14</f>
        <v>0</v>
      </c>
      <c r="AI14" s="38">
        <f>[4]MVTAVRIL!$O14</f>
        <v>0</v>
      </c>
      <c r="AJ14" s="38">
        <f t="shared" si="7"/>
        <v>1000000</v>
      </c>
      <c r="AK14" s="38">
        <f>[4]MVTAVRIL!$Q14</f>
        <v>0</v>
      </c>
      <c r="AL14" s="38">
        <f>[4]MVTMAI!$N14</f>
        <v>0</v>
      </c>
      <c r="AM14" s="38">
        <f>[4]MVTMAI!$O14</f>
        <v>0</v>
      </c>
      <c r="AN14" s="38">
        <f t="shared" si="8"/>
        <v>1000000</v>
      </c>
      <c r="AO14" s="38">
        <f>[4]MVTMAI!$Q14</f>
        <v>0</v>
      </c>
      <c r="AP14" s="38">
        <f>[4]MVTJUIN!$N14</f>
        <v>0</v>
      </c>
      <c r="AQ14" s="38">
        <f>[4]MVTJUIN!$O14</f>
        <v>0</v>
      </c>
      <c r="AR14" s="38">
        <f t="shared" si="9"/>
        <v>1000000</v>
      </c>
      <c r="AS14" s="38">
        <f>[4]MVTJUIN!$Q14</f>
        <v>0</v>
      </c>
      <c r="AT14" s="38">
        <f>[4]MVTJUIL!$N14</f>
        <v>0</v>
      </c>
      <c r="AU14" s="38">
        <f>[4]MVTJUIL!$O14</f>
        <v>0</v>
      </c>
      <c r="AV14" s="38">
        <f t="shared" si="10"/>
        <v>1000000</v>
      </c>
      <c r="AW14" s="38">
        <f>[4]MVTJUIL!$Q14</f>
        <v>0</v>
      </c>
      <c r="AX14" s="38">
        <f>[4]MVTAOUT2019!$N14</f>
        <v>0</v>
      </c>
      <c r="AY14" s="38">
        <f>[4]MVTAOUT2019!$O14</f>
        <v>0</v>
      </c>
      <c r="AZ14" s="38">
        <f t="shared" si="11"/>
        <v>1000000</v>
      </c>
      <c r="BA14" s="38">
        <f>[4]MVTAOUT2019!$Q14</f>
        <v>0</v>
      </c>
      <c r="BB14" s="38">
        <v>0</v>
      </c>
      <c r="BC14" s="38">
        <f t="shared" si="12"/>
        <v>110000</v>
      </c>
      <c r="BD14" s="38">
        <f t="shared" si="13"/>
        <v>1000000</v>
      </c>
      <c r="BE14" s="38">
        <f t="shared" si="14"/>
        <v>0</v>
      </c>
      <c r="BF14" s="64">
        <v>43678</v>
      </c>
      <c r="BG14" s="38"/>
      <c r="BH14" s="39"/>
    </row>
    <row r="15" spans="1:60" x14ac:dyDescent="0.25">
      <c r="A15" s="32" t="s">
        <v>44</v>
      </c>
      <c r="B15" s="56" t="str">
        <f>VLOOKUP(A15,[3]LISTADHERENT!A$5:H$58,2,0)</f>
        <v>DONHOU DAVID</v>
      </c>
      <c r="C15" s="38"/>
      <c r="D15" s="65">
        <v>700000</v>
      </c>
      <c r="E15" s="65"/>
      <c r="F15" s="38">
        <v>700000</v>
      </c>
      <c r="G15" s="38">
        <f>[4]MVTSEPT!$Q15+105800</f>
        <v>182800</v>
      </c>
      <c r="H15" s="38">
        <v>808500</v>
      </c>
      <c r="I15" s="38">
        <f>[4]MVTSEPT!$S15</f>
        <v>0</v>
      </c>
      <c r="J15" s="38">
        <f>[4]MVTOCT!$N15</f>
        <v>0</v>
      </c>
      <c r="K15" s="38">
        <f>[4]MVTOCT!$O15</f>
        <v>0</v>
      </c>
      <c r="L15" s="38">
        <f t="shared" si="1"/>
        <v>808500</v>
      </c>
      <c r="M15" s="38">
        <f>[4]MVTOCT!$Q15</f>
        <v>0</v>
      </c>
      <c r="N15" s="38">
        <f>[4]MVTNOV!$N15</f>
        <v>0</v>
      </c>
      <c r="O15" s="38">
        <f>[4]MVTNOV!$O15</f>
        <v>0</v>
      </c>
      <c r="P15" s="38">
        <f t="shared" si="2"/>
        <v>808500</v>
      </c>
      <c r="Q15" s="38">
        <f>[4]MVTNOV!$Q15</f>
        <v>0</v>
      </c>
      <c r="R15" s="38">
        <f>[4]MVTDEC!$N15</f>
        <v>0</v>
      </c>
      <c r="S15" s="38">
        <f>[4]MVTDEC!$O15</f>
        <v>0</v>
      </c>
      <c r="T15" s="38">
        <f t="shared" si="3"/>
        <v>808500</v>
      </c>
      <c r="U15" s="38">
        <f>[4]MVTDEC!$Q15</f>
        <v>0</v>
      </c>
      <c r="V15" s="38">
        <f>[4]MVTJANV!$N15</f>
        <v>0</v>
      </c>
      <c r="W15" s="38">
        <f>[4]MVTJANV!$O15</f>
        <v>0</v>
      </c>
      <c r="X15" s="38">
        <f t="shared" si="4"/>
        <v>808500</v>
      </c>
      <c r="Y15" s="38">
        <f>[4]MVTJANV!$Q15</f>
        <v>0</v>
      </c>
      <c r="Z15" s="38">
        <f>[4]MVTFEV!$N15</f>
        <v>0</v>
      </c>
      <c r="AA15" s="38">
        <f>[4]MVTFEV!$O15</f>
        <v>0</v>
      </c>
      <c r="AB15" s="38">
        <f t="shared" si="5"/>
        <v>808500</v>
      </c>
      <c r="AC15" s="38">
        <f>[4]MVTFEV!$Q15</f>
        <v>0</v>
      </c>
      <c r="AD15" s="38">
        <f>[4]MVTMARS!$N15</f>
        <v>0</v>
      </c>
      <c r="AE15" s="38">
        <f>[4]MVTMARS!$O15</f>
        <v>0</v>
      </c>
      <c r="AF15" s="38">
        <f t="shared" si="6"/>
        <v>808500</v>
      </c>
      <c r="AG15" s="38">
        <f>[4]MVTMARS!$Q15</f>
        <v>0</v>
      </c>
      <c r="AH15" s="38">
        <f>[4]MVTAVRIL!$N15</f>
        <v>0</v>
      </c>
      <c r="AI15" s="38">
        <f>[4]MVTAVRIL!$O15</f>
        <v>0</v>
      </c>
      <c r="AJ15" s="38">
        <f t="shared" si="7"/>
        <v>808500</v>
      </c>
      <c r="AK15" s="38">
        <f>[4]MVTAVRIL!$Q15</f>
        <v>0</v>
      </c>
      <c r="AL15" s="38">
        <f>[4]MVTMAI!$N15</f>
        <v>0</v>
      </c>
      <c r="AM15" s="38">
        <f>[4]MVTMAI!$O15</f>
        <v>0</v>
      </c>
      <c r="AN15" s="38">
        <f t="shared" si="8"/>
        <v>808500</v>
      </c>
      <c r="AO15" s="38">
        <f>[4]MVTMAI!$Q15</f>
        <v>0</v>
      </c>
      <c r="AP15" s="38">
        <f>[4]MVTJUIN!$N15</f>
        <v>0</v>
      </c>
      <c r="AQ15" s="38">
        <f>[4]MVTJUIN!$O15</f>
        <v>0</v>
      </c>
      <c r="AR15" s="38">
        <f t="shared" si="9"/>
        <v>808500</v>
      </c>
      <c r="AS15" s="38">
        <f>[4]MVTJUIN!$Q15</f>
        <v>0</v>
      </c>
      <c r="AT15" s="38">
        <f>[4]MVTJUIL!$N15</f>
        <v>0</v>
      </c>
      <c r="AU15" s="38">
        <f>[4]MVTJUIL!$O15</f>
        <v>0</v>
      </c>
      <c r="AV15" s="38">
        <f t="shared" si="10"/>
        <v>808500</v>
      </c>
      <c r="AW15" s="38">
        <f>[4]MVTJUIL!$Q15</f>
        <v>0</v>
      </c>
      <c r="AX15" s="38">
        <f>[4]MVTAOUT2019!$N15</f>
        <v>0</v>
      </c>
      <c r="AY15" s="38">
        <f>[4]MVTAOUT2019!$O15</f>
        <v>0</v>
      </c>
      <c r="AZ15" s="38">
        <f t="shared" si="11"/>
        <v>808500</v>
      </c>
      <c r="BA15" s="38">
        <f>[4]MVTAOUT2019!$Q15</f>
        <v>0</v>
      </c>
      <c r="BB15" s="38">
        <v>0</v>
      </c>
      <c r="BC15" s="38">
        <f t="shared" si="12"/>
        <v>182800</v>
      </c>
      <c r="BD15" s="38">
        <f t="shared" si="13"/>
        <v>808500</v>
      </c>
      <c r="BE15" s="38">
        <f t="shared" si="14"/>
        <v>0</v>
      </c>
      <c r="BF15" s="64">
        <v>43678</v>
      </c>
      <c r="BG15" s="38">
        <v>35000</v>
      </c>
      <c r="BH15" s="39" t="s">
        <v>231</v>
      </c>
    </row>
    <row r="16" spans="1:60" x14ac:dyDescent="0.25">
      <c r="A16" s="32" t="s">
        <v>45</v>
      </c>
      <c r="B16" s="56" t="str">
        <f>VLOOKUP(A16,[3]LISTADHERENT!A$5:H$58,2,0)</f>
        <v>FOTSO THOMAS</v>
      </c>
      <c r="C16" s="38"/>
      <c r="D16" s="65">
        <f>666000-666000</f>
        <v>0</v>
      </c>
      <c r="E16" s="65"/>
      <c r="F16" s="38">
        <f>[4]MVTSEPT!$P16</f>
        <v>1000000</v>
      </c>
      <c r="G16" s="38">
        <f>[4]MVTSEPT!$Q16</f>
        <v>120000</v>
      </c>
      <c r="H16" s="38">
        <f t="shared" si="0"/>
        <v>1000000</v>
      </c>
      <c r="I16" s="38">
        <f>[4]MVTSEPT!$S16</f>
        <v>0</v>
      </c>
      <c r="J16" s="38">
        <f>[4]MVTOCT!$N16</f>
        <v>0</v>
      </c>
      <c r="K16" s="38">
        <f>[4]MVTOCT!$O16</f>
        <v>0</v>
      </c>
      <c r="L16" s="38">
        <f t="shared" si="1"/>
        <v>1000000</v>
      </c>
      <c r="M16" s="38">
        <f>[4]MVTOCT!$Q16</f>
        <v>0</v>
      </c>
      <c r="N16" s="38">
        <f>[4]MVTNOV!$N16</f>
        <v>0</v>
      </c>
      <c r="O16" s="38">
        <f>[4]MVTNOV!$O16</f>
        <v>0</v>
      </c>
      <c r="P16" s="38">
        <f t="shared" si="2"/>
        <v>1000000</v>
      </c>
      <c r="Q16" s="38">
        <f>[4]MVTNOV!$Q16</f>
        <v>0</v>
      </c>
      <c r="R16" s="38">
        <f>[4]MVTDEC!$N16</f>
        <v>0</v>
      </c>
      <c r="S16" s="38">
        <f>[4]MVTDEC!$O16</f>
        <v>0</v>
      </c>
      <c r="T16" s="38">
        <f t="shared" si="3"/>
        <v>1000000</v>
      </c>
      <c r="U16" s="38">
        <f>[4]MVTDEC!$Q16</f>
        <v>0</v>
      </c>
      <c r="V16" s="38">
        <f>[4]MVTJANV!$N16</f>
        <v>0</v>
      </c>
      <c r="W16" s="38">
        <f>[4]MVTJANV!$O16</f>
        <v>0</v>
      </c>
      <c r="X16" s="38">
        <f t="shared" si="4"/>
        <v>1000000</v>
      </c>
      <c r="Y16" s="38">
        <f>[4]MVTJANV!$Q16</f>
        <v>0</v>
      </c>
      <c r="Z16" s="38">
        <f>[4]MVTFEV!$N16</f>
        <v>0</v>
      </c>
      <c r="AA16" s="38">
        <f>[4]MVTFEV!$O16</f>
        <v>0</v>
      </c>
      <c r="AB16" s="38">
        <f t="shared" si="5"/>
        <v>1000000</v>
      </c>
      <c r="AC16" s="38">
        <f>[4]MVTFEV!$Q16</f>
        <v>0</v>
      </c>
      <c r="AD16" s="38">
        <f>[4]MVTMARS!$N16</f>
        <v>0</v>
      </c>
      <c r="AE16" s="38">
        <f>[4]MVTMARS!$O16</f>
        <v>0</v>
      </c>
      <c r="AF16" s="38">
        <f t="shared" si="6"/>
        <v>1000000</v>
      </c>
      <c r="AG16" s="38">
        <f>[4]MVTMARS!$Q16</f>
        <v>0</v>
      </c>
      <c r="AH16" s="38">
        <f>[4]MVTAVRIL!$N16</f>
        <v>0</v>
      </c>
      <c r="AI16" s="38">
        <f>[4]MVTAVRIL!$O16</f>
        <v>0</v>
      </c>
      <c r="AJ16" s="38">
        <f t="shared" si="7"/>
        <v>1000000</v>
      </c>
      <c r="AK16" s="38">
        <f>[4]MVTAVRIL!$Q16</f>
        <v>0</v>
      </c>
      <c r="AL16" s="38">
        <f>[4]MVTMAI!$N16</f>
        <v>0</v>
      </c>
      <c r="AM16" s="38">
        <f>[4]MVTMAI!$O16</f>
        <v>0</v>
      </c>
      <c r="AN16" s="38">
        <f t="shared" si="8"/>
        <v>1000000</v>
      </c>
      <c r="AO16" s="38">
        <f>[4]MVTMAI!$Q16</f>
        <v>0</v>
      </c>
      <c r="AP16" s="38">
        <f>[4]MVTJUIN!$N16</f>
        <v>0</v>
      </c>
      <c r="AQ16" s="38">
        <f>[4]MVTJUIN!$O16</f>
        <v>0</v>
      </c>
      <c r="AR16" s="38">
        <f t="shared" si="9"/>
        <v>1000000</v>
      </c>
      <c r="AS16" s="38">
        <f>[4]MVTJUIN!$Q16</f>
        <v>0</v>
      </c>
      <c r="AT16" s="38">
        <f>[4]MVTJUIL!$N16</f>
        <v>0</v>
      </c>
      <c r="AU16" s="38">
        <f>[4]MVTJUIL!$O16</f>
        <v>0</v>
      </c>
      <c r="AV16" s="38">
        <f t="shared" si="10"/>
        <v>1000000</v>
      </c>
      <c r="AW16" s="38">
        <f>[4]MVTJUIL!$Q16</f>
        <v>0</v>
      </c>
      <c r="AX16" s="38">
        <f>[4]MVTAOUT2019!$N16</f>
        <v>0</v>
      </c>
      <c r="AY16" s="38">
        <f>[4]MVTAOUT2019!$O16</f>
        <v>0</v>
      </c>
      <c r="AZ16" s="38">
        <f t="shared" si="11"/>
        <v>1000000</v>
      </c>
      <c r="BA16" s="38">
        <f>[4]MVTAOUT2019!$Q16</f>
        <v>0</v>
      </c>
      <c r="BB16" s="38">
        <v>0</v>
      </c>
      <c r="BC16" s="38">
        <f t="shared" si="12"/>
        <v>120000</v>
      </c>
      <c r="BD16" s="38">
        <f t="shared" si="13"/>
        <v>1000000</v>
      </c>
      <c r="BE16" s="38">
        <f t="shared" si="14"/>
        <v>0</v>
      </c>
      <c r="BF16" s="64">
        <v>43678</v>
      </c>
      <c r="BG16" s="38">
        <v>0</v>
      </c>
      <c r="BH16" s="39"/>
    </row>
    <row r="17" spans="1:60" x14ac:dyDescent="0.25">
      <c r="A17" s="32" t="s">
        <v>46</v>
      </c>
      <c r="B17" s="56" t="str">
        <f>VLOOKUP(A17,[3]LISTADHERENT!A$5:H$58,2,0)</f>
        <v>HENGUE PAUL OMER</v>
      </c>
      <c r="C17" s="38"/>
      <c r="D17" s="38"/>
      <c r="E17" s="65"/>
      <c r="F17" s="38">
        <f>[4]MVTSEPT!$P17</f>
        <v>0</v>
      </c>
      <c r="G17" s="38">
        <f>[4]MVTSEPT!$Q17</f>
        <v>0</v>
      </c>
      <c r="H17" s="38">
        <f t="shared" si="0"/>
        <v>0</v>
      </c>
      <c r="I17" s="38">
        <f>[4]MVTSEPT!$S17</f>
        <v>0</v>
      </c>
      <c r="J17" s="38">
        <f>[4]MVTOCT!$N17</f>
        <v>0</v>
      </c>
      <c r="K17" s="38">
        <f>[4]MVTOCT!$O17</f>
        <v>0</v>
      </c>
      <c r="L17" s="38">
        <f t="shared" si="1"/>
        <v>0</v>
      </c>
      <c r="M17" s="38">
        <f>[4]MVTOCT!$Q17</f>
        <v>0</v>
      </c>
      <c r="N17" s="38">
        <f>[4]MVTNOV!$N17</f>
        <v>0</v>
      </c>
      <c r="O17" s="38">
        <f>[4]MVTNOV!$O17</f>
        <v>0</v>
      </c>
      <c r="P17" s="38">
        <f t="shared" si="2"/>
        <v>0</v>
      </c>
      <c r="Q17" s="38">
        <f>[4]MVTNOV!$Q17</f>
        <v>0</v>
      </c>
      <c r="R17" s="38">
        <f>[4]MVTDEC!$N17</f>
        <v>0</v>
      </c>
      <c r="S17" s="38">
        <f>[4]MVTDEC!$O17</f>
        <v>0</v>
      </c>
      <c r="T17" s="38">
        <f t="shared" si="3"/>
        <v>0</v>
      </c>
      <c r="U17" s="38">
        <f>[4]MVTDEC!$Q17</f>
        <v>0</v>
      </c>
      <c r="V17" s="38">
        <f>[4]MVTJANV!$N17</f>
        <v>0</v>
      </c>
      <c r="W17" s="38">
        <f>[4]MVTJANV!$O17</f>
        <v>0</v>
      </c>
      <c r="X17" s="38">
        <f t="shared" si="4"/>
        <v>0</v>
      </c>
      <c r="Y17" s="38">
        <f>[4]MVTJANV!$Q17</f>
        <v>0</v>
      </c>
      <c r="Z17" s="38">
        <f>[4]MVTFEV!$N17</f>
        <v>0</v>
      </c>
      <c r="AA17" s="38">
        <f>[4]MVTFEV!$O17</f>
        <v>0</v>
      </c>
      <c r="AB17" s="38">
        <f t="shared" si="5"/>
        <v>0</v>
      </c>
      <c r="AC17" s="38">
        <f>[4]MVTFEV!$Q17</f>
        <v>0</v>
      </c>
      <c r="AD17" s="38">
        <f>[4]MVTMARS!$N17</f>
        <v>0</v>
      </c>
      <c r="AE17" s="38">
        <f>[4]MVTMARS!$O17</f>
        <v>0</v>
      </c>
      <c r="AF17" s="38">
        <f t="shared" si="6"/>
        <v>0</v>
      </c>
      <c r="AG17" s="38">
        <f>[4]MVTMARS!$Q17</f>
        <v>0</v>
      </c>
      <c r="AH17" s="38">
        <f>[4]MVTAVRIL!$N17</f>
        <v>0</v>
      </c>
      <c r="AI17" s="38">
        <f>[4]MVTAVRIL!$O17</f>
        <v>0</v>
      </c>
      <c r="AJ17" s="38">
        <f t="shared" si="7"/>
        <v>0</v>
      </c>
      <c r="AK17" s="38">
        <f>[4]MVTAVRIL!$Q17</f>
        <v>0</v>
      </c>
      <c r="AL17" s="38">
        <f>[4]MVTMAI!$N17</f>
        <v>0</v>
      </c>
      <c r="AM17" s="38">
        <f>[4]MVTMAI!$O17</f>
        <v>0</v>
      </c>
      <c r="AN17" s="38">
        <f t="shared" si="8"/>
        <v>0</v>
      </c>
      <c r="AO17" s="38">
        <f>[4]MVTMAI!$Q17</f>
        <v>0</v>
      </c>
      <c r="AP17" s="38">
        <f>[4]MVTJUIN!$N17</f>
        <v>0</v>
      </c>
      <c r="AQ17" s="38">
        <f>[4]MVTJUIN!$O17</f>
        <v>0</v>
      </c>
      <c r="AR17" s="38">
        <f t="shared" si="9"/>
        <v>0</v>
      </c>
      <c r="AS17" s="38">
        <f>[4]MVTJUIN!$Q17</f>
        <v>0</v>
      </c>
      <c r="AT17" s="38">
        <f>[4]MVTJUIL!$N17</f>
        <v>0</v>
      </c>
      <c r="AU17" s="38">
        <f>[4]MVTJUIL!$O17</f>
        <v>0</v>
      </c>
      <c r="AV17" s="38">
        <f t="shared" si="10"/>
        <v>0</v>
      </c>
      <c r="AW17" s="38">
        <f>[4]MVTJUIL!$Q17</f>
        <v>0</v>
      </c>
      <c r="AX17" s="38">
        <f>[4]MVTAOUT2019!$N17</f>
        <v>0</v>
      </c>
      <c r="AY17" s="38">
        <f>[4]MVTAOUT2019!$O17</f>
        <v>0</v>
      </c>
      <c r="AZ17" s="38">
        <f t="shared" si="11"/>
        <v>0</v>
      </c>
      <c r="BA17" s="38">
        <f>[4]MVTAOUT2019!$Q17</f>
        <v>0</v>
      </c>
      <c r="BB17" s="38">
        <v>0</v>
      </c>
      <c r="BC17" s="38">
        <f t="shared" si="12"/>
        <v>0</v>
      </c>
      <c r="BD17" s="38">
        <f t="shared" si="13"/>
        <v>0</v>
      </c>
      <c r="BE17" s="38">
        <f t="shared" si="14"/>
        <v>0</v>
      </c>
      <c r="BF17" s="64">
        <v>43678</v>
      </c>
      <c r="BG17" s="38">
        <v>0</v>
      </c>
      <c r="BH17" s="39"/>
    </row>
    <row r="18" spans="1:60" x14ac:dyDescent="0.25">
      <c r="A18" s="32" t="s">
        <v>48</v>
      </c>
      <c r="B18" s="56" t="str">
        <f>VLOOKUP(A18,[3]LISTADHERENT!A$5:H$58,2,0)</f>
        <v>HOTCHO BENJAMIN</v>
      </c>
      <c r="C18" s="38"/>
      <c r="D18" s="65">
        <v>219000</v>
      </c>
      <c r="E18" s="65">
        <v>219000</v>
      </c>
      <c r="F18" s="38">
        <f>[4]MVTSEPT!$P18</f>
        <v>0</v>
      </c>
      <c r="G18" s="38">
        <f>[4]MVTSEPT!$Q18</f>
        <v>0</v>
      </c>
      <c r="H18" s="38">
        <f t="shared" si="0"/>
        <v>0</v>
      </c>
      <c r="I18" s="38">
        <f>[4]MVTSEPT!$S18</f>
        <v>0</v>
      </c>
      <c r="J18" s="38">
        <f>[4]MVTOCT!$N18</f>
        <v>0</v>
      </c>
      <c r="K18" s="38">
        <f>[4]MVTOCT!$O18</f>
        <v>0</v>
      </c>
      <c r="L18" s="38">
        <f t="shared" si="1"/>
        <v>0</v>
      </c>
      <c r="M18" s="38">
        <f>[4]MVTOCT!$Q18</f>
        <v>0</v>
      </c>
      <c r="N18" s="38">
        <f>[4]MVTNOV!$N18</f>
        <v>0</v>
      </c>
      <c r="O18" s="38">
        <f>[4]MVTNOV!$O18</f>
        <v>0</v>
      </c>
      <c r="P18" s="38">
        <f t="shared" si="2"/>
        <v>0</v>
      </c>
      <c r="Q18" s="38">
        <f>[4]MVTNOV!$Q18</f>
        <v>0</v>
      </c>
      <c r="R18" s="38">
        <f>[4]MVTDEC!$N18</f>
        <v>0</v>
      </c>
      <c r="S18" s="38">
        <f>[4]MVTDEC!$O18</f>
        <v>0</v>
      </c>
      <c r="T18" s="38">
        <f t="shared" si="3"/>
        <v>0</v>
      </c>
      <c r="U18" s="38">
        <f>[4]MVTDEC!$Q18</f>
        <v>0</v>
      </c>
      <c r="V18" s="38">
        <f>[4]MVTJANV!$N18</f>
        <v>0</v>
      </c>
      <c r="W18" s="38">
        <f>[4]MVTJANV!$O18</f>
        <v>0</v>
      </c>
      <c r="X18" s="38">
        <f t="shared" si="4"/>
        <v>0</v>
      </c>
      <c r="Y18" s="38">
        <f>[4]MVTJANV!$Q18</f>
        <v>0</v>
      </c>
      <c r="Z18" s="38">
        <f>[4]MVTFEV!$N18</f>
        <v>0</v>
      </c>
      <c r="AA18" s="38">
        <f>[4]MVTFEV!$O18</f>
        <v>0</v>
      </c>
      <c r="AB18" s="38">
        <f t="shared" si="5"/>
        <v>0</v>
      </c>
      <c r="AC18" s="38">
        <f>[4]MVTFEV!$Q18</f>
        <v>0</v>
      </c>
      <c r="AD18" s="38">
        <f>[4]MVTMARS!$N18</f>
        <v>0</v>
      </c>
      <c r="AE18" s="38">
        <f>[4]MVTMARS!$O18</f>
        <v>0</v>
      </c>
      <c r="AF18" s="38">
        <f t="shared" si="6"/>
        <v>0</v>
      </c>
      <c r="AG18" s="38">
        <f>[4]MVTMARS!$Q18</f>
        <v>0</v>
      </c>
      <c r="AH18" s="38">
        <f>[4]MVTAVRIL!$N18</f>
        <v>0</v>
      </c>
      <c r="AI18" s="38">
        <f>[4]MVTAVRIL!$O18</f>
        <v>0</v>
      </c>
      <c r="AJ18" s="38">
        <f t="shared" si="7"/>
        <v>0</v>
      </c>
      <c r="AK18" s="38">
        <f>[4]MVTAVRIL!$Q18</f>
        <v>0</v>
      </c>
      <c r="AL18" s="38">
        <f>[4]MVTMAI!$N18</f>
        <v>0</v>
      </c>
      <c r="AM18" s="38">
        <f>[4]MVTMAI!$O18</f>
        <v>0</v>
      </c>
      <c r="AN18" s="38">
        <f t="shared" si="8"/>
        <v>0</v>
      </c>
      <c r="AO18" s="38">
        <f>[4]MVTMAI!$Q18</f>
        <v>0</v>
      </c>
      <c r="AP18" s="38">
        <f>[4]MVTJUIN!$N18</f>
        <v>0</v>
      </c>
      <c r="AQ18" s="38">
        <f>[4]MVTJUIN!$O18</f>
        <v>0</v>
      </c>
      <c r="AR18" s="38">
        <f t="shared" si="9"/>
        <v>0</v>
      </c>
      <c r="AS18" s="38">
        <f>[4]MVTJUIN!$Q18</f>
        <v>0</v>
      </c>
      <c r="AT18" s="38">
        <f>[4]MVTJUIL!$N18</f>
        <v>0</v>
      </c>
      <c r="AU18" s="38">
        <f>[4]MVTJUIL!$O18</f>
        <v>0</v>
      </c>
      <c r="AV18" s="38">
        <f t="shared" si="10"/>
        <v>0</v>
      </c>
      <c r="AW18" s="38">
        <f>[4]MVTJUIL!$Q18</f>
        <v>0</v>
      </c>
      <c r="AX18" s="38">
        <f>[4]MVTAOUT2019!$N18</f>
        <v>0</v>
      </c>
      <c r="AY18" s="38">
        <f>[4]MVTAOUT2019!$O18</f>
        <v>0</v>
      </c>
      <c r="AZ18" s="38">
        <f t="shared" si="11"/>
        <v>0</v>
      </c>
      <c r="BA18" s="38">
        <f>[4]MVTAOUT2019!$Q18</f>
        <v>0</v>
      </c>
      <c r="BB18" s="38">
        <v>0</v>
      </c>
      <c r="BC18" s="38">
        <f t="shared" si="12"/>
        <v>0</v>
      </c>
      <c r="BD18" s="38">
        <f t="shared" si="13"/>
        <v>0</v>
      </c>
      <c r="BE18" s="38">
        <f t="shared" si="14"/>
        <v>0</v>
      </c>
      <c r="BF18" s="64">
        <v>43678</v>
      </c>
      <c r="BG18" s="38">
        <v>10950</v>
      </c>
      <c r="BH18" s="39" t="s">
        <v>231</v>
      </c>
    </row>
    <row r="19" spans="1:60" x14ac:dyDescent="0.25">
      <c r="A19" s="32" t="s">
        <v>50</v>
      </c>
      <c r="B19" s="56" t="str">
        <f>VLOOKUP(A19,[3]LISTADHERENT!A$5:H$58,2,0)</f>
        <v>KEPSEU FRANCIS</v>
      </c>
      <c r="C19" s="38"/>
      <c r="D19" s="65"/>
      <c r="E19" s="65"/>
      <c r="F19" s="38">
        <f>[4]MVTSEPT!$P19</f>
        <v>0</v>
      </c>
      <c r="G19" s="38">
        <f>[4]MVTSEPT!$Q19</f>
        <v>0</v>
      </c>
      <c r="H19" s="38">
        <f t="shared" si="0"/>
        <v>0</v>
      </c>
      <c r="I19" s="38">
        <f>[4]MVTSEPT!$S19</f>
        <v>0</v>
      </c>
      <c r="J19" s="38">
        <f>[4]MVTOCT!$N19</f>
        <v>0</v>
      </c>
      <c r="K19" s="38">
        <f>[4]MVTOCT!$O19</f>
        <v>0</v>
      </c>
      <c r="L19" s="38">
        <f t="shared" si="1"/>
        <v>0</v>
      </c>
      <c r="M19" s="38">
        <f>[4]MVTOCT!$Q19</f>
        <v>0</v>
      </c>
      <c r="N19" s="38">
        <f>[4]MVTNOV!$N19</f>
        <v>0</v>
      </c>
      <c r="O19" s="38">
        <f>[4]MVTNOV!$O19</f>
        <v>0</v>
      </c>
      <c r="P19" s="38">
        <f t="shared" si="2"/>
        <v>0</v>
      </c>
      <c r="Q19" s="38">
        <f>[4]MVTNOV!$Q19</f>
        <v>0</v>
      </c>
      <c r="R19" s="38">
        <f>[4]MVTDEC!$N19</f>
        <v>0</v>
      </c>
      <c r="S19" s="38">
        <f>[4]MVTDEC!$O19</f>
        <v>0</v>
      </c>
      <c r="T19" s="38">
        <f t="shared" si="3"/>
        <v>0</v>
      </c>
      <c r="U19" s="38">
        <f>[4]MVTDEC!$Q19</f>
        <v>0</v>
      </c>
      <c r="V19" s="38">
        <f>[4]MVTJANV!$N19</f>
        <v>0</v>
      </c>
      <c r="W19" s="38">
        <f>[4]MVTJANV!$O19</f>
        <v>0</v>
      </c>
      <c r="X19" s="38">
        <f t="shared" si="4"/>
        <v>0</v>
      </c>
      <c r="Y19" s="38">
        <f>[4]MVTJANV!$Q19</f>
        <v>0</v>
      </c>
      <c r="Z19" s="38">
        <f>[4]MVTFEV!$N19</f>
        <v>0</v>
      </c>
      <c r="AA19" s="38">
        <f>[4]MVTFEV!$O19</f>
        <v>0</v>
      </c>
      <c r="AB19" s="38">
        <f t="shared" si="5"/>
        <v>0</v>
      </c>
      <c r="AC19" s="38">
        <f>[4]MVTFEV!$Q19</f>
        <v>0</v>
      </c>
      <c r="AD19" s="38">
        <f>[4]MVTMARS!$N19</f>
        <v>0</v>
      </c>
      <c r="AE19" s="38">
        <f>[4]MVTMARS!$O19</f>
        <v>0</v>
      </c>
      <c r="AF19" s="38">
        <f t="shared" si="6"/>
        <v>0</v>
      </c>
      <c r="AG19" s="38">
        <f>[4]MVTMARS!$Q19</f>
        <v>0</v>
      </c>
      <c r="AH19" s="38">
        <f>[4]MVTAVRIL!$N19</f>
        <v>0</v>
      </c>
      <c r="AI19" s="38">
        <f>[4]MVTAVRIL!$O19</f>
        <v>0</v>
      </c>
      <c r="AJ19" s="38">
        <f t="shared" si="7"/>
        <v>0</v>
      </c>
      <c r="AK19" s="38">
        <f>[4]MVTAVRIL!$Q19</f>
        <v>0</v>
      </c>
      <c r="AL19" s="38">
        <f>[4]MVTMAI!$N19</f>
        <v>0</v>
      </c>
      <c r="AM19" s="38">
        <f>[4]MVTMAI!$O19</f>
        <v>0</v>
      </c>
      <c r="AN19" s="38">
        <f t="shared" si="8"/>
        <v>0</v>
      </c>
      <c r="AO19" s="38">
        <f>[4]MVTMAI!$Q19</f>
        <v>0</v>
      </c>
      <c r="AP19" s="38">
        <f>[4]MVTJUIN!$N19</f>
        <v>0</v>
      </c>
      <c r="AQ19" s="38">
        <f>[4]MVTJUIN!$O19</f>
        <v>0</v>
      </c>
      <c r="AR19" s="38">
        <f t="shared" si="9"/>
        <v>0</v>
      </c>
      <c r="AS19" s="38">
        <f>[4]MVTJUIN!$Q19</f>
        <v>0</v>
      </c>
      <c r="AT19" s="38">
        <f>[4]MVTJUIL!$N19</f>
        <v>0</v>
      </c>
      <c r="AU19" s="38">
        <f>[4]MVTJUIL!$O19</f>
        <v>0</v>
      </c>
      <c r="AV19" s="38">
        <f t="shared" si="10"/>
        <v>0</v>
      </c>
      <c r="AW19" s="38">
        <f>[4]MVTJUIL!$Q19</f>
        <v>0</v>
      </c>
      <c r="AX19" s="38">
        <f>[4]MVTAOUT2019!$N19</f>
        <v>0</v>
      </c>
      <c r="AY19" s="38">
        <f>[4]MVTAOUT2019!$O19</f>
        <v>0</v>
      </c>
      <c r="AZ19" s="38">
        <f t="shared" si="11"/>
        <v>0</v>
      </c>
      <c r="BA19" s="38">
        <f>[4]MVTAOUT2019!$Q19</f>
        <v>0</v>
      </c>
      <c r="BB19" s="38">
        <v>0</v>
      </c>
      <c r="BC19" s="38">
        <f t="shared" si="12"/>
        <v>0</v>
      </c>
      <c r="BD19" s="38">
        <f t="shared" si="13"/>
        <v>0</v>
      </c>
      <c r="BE19" s="38">
        <f t="shared" si="14"/>
        <v>0</v>
      </c>
      <c r="BF19" s="64">
        <v>43678</v>
      </c>
      <c r="BG19" s="38">
        <v>0</v>
      </c>
      <c r="BH19" s="39"/>
    </row>
    <row r="20" spans="1:60" x14ac:dyDescent="0.25">
      <c r="A20" s="32" t="s">
        <v>53</v>
      </c>
      <c r="B20" s="56" t="str">
        <f>VLOOKUP(A20,[3]LISTADHERENT!A$5:H$58,2,0)</f>
        <v>KOUAMO VICTOR PEGUY</v>
      </c>
      <c r="C20" s="38"/>
      <c r="D20" s="65">
        <v>700000</v>
      </c>
      <c r="E20" s="65"/>
      <c r="F20" s="38">
        <f>[4]MVTSEPT!$P20</f>
        <v>900000</v>
      </c>
      <c r="G20" s="38">
        <f>[4]MVTSEPT!$Q20</f>
        <v>99000</v>
      </c>
      <c r="H20" s="38">
        <f t="shared" si="0"/>
        <v>900000</v>
      </c>
      <c r="I20" s="38">
        <f>[4]MVTSEPT!$S20</f>
        <v>0</v>
      </c>
      <c r="J20" s="38">
        <f>[4]MVTOCT!$N20</f>
        <v>0</v>
      </c>
      <c r="K20" s="38">
        <f>[4]MVTOCT!$O20</f>
        <v>0</v>
      </c>
      <c r="L20" s="38">
        <f t="shared" si="1"/>
        <v>900000</v>
      </c>
      <c r="M20" s="38">
        <f>[4]MVTOCT!$Q20</f>
        <v>0</v>
      </c>
      <c r="N20" s="38">
        <f>[4]MVTNOV!$N20</f>
        <v>0</v>
      </c>
      <c r="O20" s="38">
        <f>[4]MVTNOV!$O20</f>
        <v>0</v>
      </c>
      <c r="P20" s="38">
        <f t="shared" si="2"/>
        <v>900000</v>
      </c>
      <c r="Q20" s="38">
        <f>[4]MVTNOV!$Q20</f>
        <v>0</v>
      </c>
      <c r="R20" s="38">
        <f>[4]MVTDEC!$N20</f>
        <v>0</v>
      </c>
      <c r="S20" s="38">
        <f>[4]MVTDEC!$O20</f>
        <v>0</v>
      </c>
      <c r="T20" s="38">
        <f t="shared" si="3"/>
        <v>900000</v>
      </c>
      <c r="U20" s="38">
        <f>[4]MVTDEC!$Q20</f>
        <v>0</v>
      </c>
      <c r="V20" s="38">
        <f>[4]MVTJANV!$N20</f>
        <v>0</v>
      </c>
      <c r="W20" s="38">
        <f>[4]MVTJANV!$O20</f>
        <v>0</v>
      </c>
      <c r="X20" s="38">
        <f t="shared" si="4"/>
        <v>900000</v>
      </c>
      <c r="Y20" s="38">
        <f>[4]MVTJANV!$Q20</f>
        <v>0</v>
      </c>
      <c r="Z20" s="38">
        <f>[4]MVTFEV!$N20</f>
        <v>0</v>
      </c>
      <c r="AA20" s="38">
        <f>[4]MVTFEV!$O20</f>
        <v>0</v>
      </c>
      <c r="AB20" s="38">
        <f t="shared" si="5"/>
        <v>900000</v>
      </c>
      <c r="AC20" s="38">
        <f>[4]MVTFEV!$Q20</f>
        <v>0</v>
      </c>
      <c r="AD20" s="38">
        <f>[4]MVTMARS!$N20</f>
        <v>0</v>
      </c>
      <c r="AE20" s="38">
        <f>[4]MVTMARS!$O20</f>
        <v>0</v>
      </c>
      <c r="AF20" s="38">
        <f t="shared" si="6"/>
        <v>900000</v>
      </c>
      <c r="AG20" s="38">
        <f>[4]MVTMARS!$Q20</f>
        <v>0</v>
      </c>
      <c r="AH20" s="38">
        <f>[4]MVTAVRIL!$N20</f>
        <v>0</v>
      </c>
      <c r="AI20" s="38">
        <f>[4]MVTAVRIL!$O20</f>
        <v>0</v>
      </c>
      <c r="AJ20" s="38">
        <f t="shared" si="7"/>
        <v>900000</v>
      </c>
      <c r="AK20" s="38">
        <f>[4]MVTAVRIL!$Q20</f>
        <v>0</v>
      </c>
      <c r="AL20" s="38">
        <f>[4]MVTMAI!$N20</f>
        <v>0</v>
      </c>
      <c r="AM20" s="38">
        <f>[4]MVTMAI!$O20</f>
        <v>0</v>
      </c>
      <c r="AN20" s="38">
        <f t="shared" si="8"/>
        <v>900000</v>
      </c>
      <c r="AO20" s="38">
        <f>[4]MVTMAI!$Q20</f>
        <v>0</v>
      </c>
      <c r="AP20" s="38">
        <f>[4]MVTJUIN!$N20</f>
        <v>0</v>
      </c>
      <c r="AQ20" s="38">
        <f>[4]MVTJUIN!$O20</f>
        <v>0</v>
      </c>
      <c r="AR20" s="38">
        <f t="shared" si="9"/>
        <v>900000</v>
      </c>
      <c r="AS20" s="38">
        <f>[4]MVTJUIN!$Q20</f>
        <v>0</v>
      </c>
      <c r="AT20" s="38">
        <f>[4]MVTJUIL!$N20</f>
        <v>0</v>
      </c>
      <c r="AU20" s="38">
        <f>[4]MVTJUIL!$O20</f>
        <v>0</v>
      </c>
      <c r="AV20" s="38">
        <f t="shared" si="10"/>
        <v>900000</v>
      </c>
      <c r="AW20" s="38">
        <f>[4]MVTJUIL!$Q20</f>
        <v>0</v>
      </c>
      <c r="AX20" s="38">
        <f>[4]MVTAOUT2019!$N20</f>
        <v>0</v>
      </c>
      <c r="AY20" s="38">
        <f>[4]MVTAOUT2019!$O20</f>
        <v>0</v>
      </c>
      <c r="AZ20" s="38">
        <f t="shared" si="11"/>
        <v>900000</v>
      </c>
      <c r="BA20" s="38">
        <f>[4]MVTAOUT2019!$Q20</f>
        <v>0</v>
      </c>
      <c r="BB20" s="38">
        <v>0</v>
      </c>
      <c r="BC20" s="38">
        <f t="shared" si="12"/>
        <v>99000</v>
      </c>
      <c r="BD20" s="38">
        <f t="shared" si="13"/>
        <v>900000</v>
      </c>
      <c r="BE20" s="38">
        <f t="shared" si="14"/>
        <v>0</v>
      </c>
      <c r="BF20" s="64">
        <v>43678</v>
      </c>
      <c r="BG20" s="38">
        <v>35000</v>
      </c>
      <c r="BH20" s="39" t="s">
        <v>231</v>
      </c>
    </row>
    <row r="21" spans="1:60" x14ac:dyDescent="0.25">
      <c r="A21" s="32" t="s">
        <v>51</v>
      </c>
      <c r="B21" s="56" t="str">
        <f>VLOOKUP(A21,[3]LISTADHERENT!A$5:H$58,2,0)</f>
        <v>KOUAMOU EMMANUEL</v>
      </c>
      <c r="C21" s="38"/>
      <c r="D21" s="65">
        <v>648000</v>
      </c>
      <c r="E21" s="65"/>
      <c r="F21" s="38">
        <f>[4]MVTSEPT!$P21</f>
        <v>700000</v>
      </c>
      <c r="G21" s="38">
        <f>[4]MVTSEPT!$Q21</f>
        <v>77000</v>
      </c>
      <c r="H21" s="38">
        <f t="shared" si="0"/>
        <v>700000</v>
      </c>
      <c r="I21" s="38">
        <f>[4]MVTSEPT!$S21</f>
        <v>0</v>
      </c>
      <c r="J21" s="38">
        <f>[4]MVTOCT!$N21</f>
        <v>0</v>
      </c>
      <c r="K21" s="38">
        <f>[4]MVTOCT!$O21</f>
        <v>0</v>
      </c>
      <c r="L21" s="38">
        <f t="shared" si="1"/>
        <v>700000</v>
      </c>
      <c r="M21" s="38">
        <f>[4]MVTOCT!$Q21</f>
        <v>0</v>
      </c>
      <c r="N21" s="38">
        <f>[4]MVTNOV!$N21</f>
        <v>0</v>
      </c>
      <c r="O21" s="38">
        <f>[4]MVTNOV!$O21</f>
        <v>0</v>
      </c>
      <c r="P21" s="38">
        <f t="shared" si="2"/>
        <v>700000</v>
      </c>
      <c r="Q21" s="38">
        <f>[4]MVTNOV!$Q21</f>
        <v>0</v>
      </c>
      <c r="R21" s="38">
        <f>[4]MVTDEC!$N21</f>
        <v>0</v>
      </c>
      <c r="S21" s="38">
        <f>[4]MVTDEC!$O21</f>
        <v>0</v>
      </c>
      <c r="T21" s="38">
        <f t="shared" si="3"/>
        <v>700000</v>
      </c>
      <c r="U21" s="38">
        <f>[4]MVTDEC!$Q21</f>
        <v>0</v>
      </c>
      <c r="V21" s="38">
        <f>[4]MVTJANV!$N21</f>
        <v>0</v>
      </c>
      <c r="W21" s="38">
        <f>[4]MVTJANV!$O21</f>
        <v>0</v>
      </c>
      <c r="X21" s="38">
        <f t="shared" si="4"/>
        <v>700000</v>
      </c>
      <c r="Y21" s="38">
        <f>[4]MVTJANV!$Q21</f>
        <v>0</v>
      </c>
      <c r="Z21" s="38">
        <f>[4]MVTFEV!$N21</f>
        <v>0</v>
      </c>
      <c r="AA21" s="38">
        <f>[4]MVTFEV!$O21</f>
        <v>0</v>
      </c>
      <c r="AB21" s="38">
        <f t="shared" si="5"/>
        <v>700000</v>
      </c>
      <c r="AC21" s="38">
        <f>[4]MVTFEV!$Q21</f>
        <v>0</v>
      </c>
      <c r="AD21" s="38">
        <f>[4]MVTMARS!$N21</f>
        <v>0</v>
      </c>
      <c r="AE21" s="38">
        <f>[4]MVTMARS!$O21</f>
        <v>0</v>
      </c>
      <c r="AF21" s="38">
        <f t="shared" si="6"/>
        <v>700000</v>
      </c>
      <c r="AG21" s="38">
        <f>[4]MVTMARS!$Q21</f>
        <v>0</v>
      </c>
      <c r="AH21" s="38">
        <f>[4]MVTAVRIL!$N21</f>
        <v>0</v>
      </c>
      <c r="AI21" s="38">
        <f>[4]MVTAVRIL!$O21</f>
        <v>0</v>
      </c>
      <c r="AJ21" s="38">
        <f t="shared" si="7"/>
        <v>700000</v>
      </c>
      <c r="AK21" s="38">
        <f>[4]MVTAVRIL!$Q21</f>
        <v>0</v>
      </c>
      <c r="AL21" s="38">
        <f>[4]MVTMAI!$N21</f>
        <v>0</v>
      </c>
      <c r="AM21" s="38">
        <f>[4]MVTMAI!$O21</f>
        <v>0</v>
      </c>
      <c r="AN21" s="38">
        <f t="shared" si="8"/>
        <v>700000</v>
      </c>
      <c r="AO21" s="38">
        <f>[4]MVTMAI!$Q21</f>
        <v>0</v>
      </c>
      <c r="AP21" s="38">
        <f>[4]MVTJUIN!$N21</f>
        <v>0</v>
      </c>
      <c r="AQ21" s="38">
        <f>[4]MVTJUIN!$O21</f>
        <v>0</v>
      </c>
      <c r="AR21" s="38">
        <f t="shared" si="9"/>
        <v>700000</v>
      </c>
      <c r="AS21" s="38">
        <f>[4]MVTJUIN!$Q21</f>
        <v>0</v>
      </c>
      <c r="AT21" s="38">
        <f>[4]MVTJUIL!$N21</f>
        <v>0</v>
      </c>
      <c r="AU21" s="38">
        <f>[4]MVTJUIL!$O21</f>
        <v>0</v>
      </c>
      <c r="AV21" s="38">
        <f t="shared" si="10"/>
        <v>700000</v>
      </c>
      <c r="AW21" s="38">
        <f>[4]MVTJUIL!$Q21</f>
        <v>0</v>
      </c>
      <c r="AX21" s="38">
        <f>[4]MVTAOUT2019!$N21</f>
        <v>0</v>
      </c>
      <c r="AY21" s="38">
        <f>[4]MVTAOUT2019!$O21</f>
        <v>0</v>
      </c>
      <c r="AZ21" s="38">
        <f t="shared" si="11"/>
        <v>700000</v>
      </c>
      <c r="BA21" s="38">
        <f>[4]MVTAOUT2019!$Q21</f>
        <v>0</v>
      </c>
      <c r="BB21" s="38">
        <v>0</v>
      </c>
      <c r="BC21" s="38">
        <f t="shared" si="12"/>
        <v>77000</v>
      </c>
      <c r="BD21" s="38">
        <f t="shared" si="13"/>
        <v>700000</v>
      </c>
      <c r="BE21" s="38">
        <f t="shared" si="14"/>
        <v>0</v>
      </c>
      <c r="BF21" s="64">
        <v>43678</v>
      </c>
      <c r="BG21" s="38">
        <v>32400</v>
      </c>
      <c r="BH21" s="39" t="s">
        <v>231</v>
      </c>
    </row>
    <row r="22" spans="1:60" x14ac:dyDescent="0.25">
      <c r="A22" s="32" t="s">
        <v>52</v>
      </c>
      <c r="B22" s="56" t="str">
        <f>VLOOKUP(A22,[3]LISTADHERENT!A$5:H$58,2,0)</f>
        <v>KOUAMOU MOISE</v>
      </c>
      <c r="C22" s="38"/>
      <c r="D22" s="65"/>
      <c r="E22" s="65"/>
      <c r="F22" s="38">
        <f>[4]MVTSEPT!$P22</f>
        <v>1000000</v>
      </c>
      <c r="G22" s="38">
        <f>[4]MVTSEPT!$Q22</f>
        <v>110000</v>
      </c>
      <c r="H22" s="38">
        <f t="shared" si="0"/>
        <v>1000000</v>
      </c>
      <c r="I22" s="38">
        <f>[4]MVTSEPT!$S22</f>
        <v>0</v>
      </c>
      <c r="J22" s="38">
        <f>[4]MVTOCT!$N22</f>
        <v>0</v>
      </c>
      <c r="K22" s="38">
        <f>[4]MVTOCT!$O22</f>
        <v>0</v>
      </c>
      <c r="L22" s="38">
        <f t="shared" si="1"/>
        <v>1000000</v>
      </c>
      <c r="M22" s="38">
        <f>[4]MVTOCT!$Q22</f>
        <v>0</v>
      </c>
      <c r="N22" s="38">
        <f>[4]MVTNOV!$N22</f>
        <v>0</v>
      </c>
      <c r="O22" s="38">
        <f>[4]MVTNOV!$O22</f>
        <v>0</v>
      </c>
      <c r="P22" s="38">
        <f t="shared" si="2"/>
        <v>1000000</v>
      </c>
      <c r="Q22" s="38">
        <f>[4]MVTNOV!$Q22</f>
        <v>0</v>
      </c>
      <c r="R22" s="38">
        <f>[4]MVTDEC!$N22</f>
        <v>0</v>
      </c>
      <c r="S22" s="38">
        <f>[4]MVTDEC!$O22</f>
        <v>0</v>
      </c>
      <c r="T22" s="38">
        <f t="shared" si="3"/>
        <v>1000000</v>
      </c>
      <c r="U22" s="38">
        <f>[4]MVTDEC!$Q22</f>
        <v>0</v>
      </c>
      <c r="V22" s="38">
        <f>[4]MVTJANV!$N22</f>
        <v>0</v>
      </c>
      <c r="W22" s="38">
        <f>[4]MVTJANV!$O22</f>
        <v>0</v>
      </c>
      <c r="X22" s="38">
        <f t="shared" si="4"/>
        <v>1000000</v>
      </c>
      <c r="Y22" s="38">
        <f>[4]MVTJANV!$Q22</f>
        <v>0</v>
      </c>
      <c r="Z22" s="38">
        <f>[4]MVTFEV!$N22</f>
        <v>0</v>
      </c>
      <c r="AA22" s="38">
        <f>[4]MVTFEV!$O22</f>
        <v>0</v>
      </c>
      <c r="AB22" s="38">
        <f t="shared" si="5"/>
        <v>1000000</v>
      </c>
      <c r="AC22" s="38">
        <f>[4]MVTFEV!$Q22</f>
        <v>0</v>
      </c>
      <c r="AD22" s="38">
        <f>[4]MVTMARS!$N22</f>
        <v>0</v>
      </c>
      <c r="AE22" s="38">
        <f>[4]MVTMARS!$O22</f>
        <v>0</v>
      </c>
      <c r="AF22" s="38">
        <f t="shared" si="6"/>
        <v>1000000</v>
      </c>
      <c r="AG22" s="38">
        <f>[4]MVTMARS!$Q22</f>
        <v>0</v>
      </c>
      <c r="AH22" s="38">
        <f>[4]MVTAVRIL!$N22</f>
        <v>0</v>
      </c>
      <c r="AI22" s="38">
        <f>[4]MVTAVRIL!$O22</f>
        <v>0</v>
      </c>
      <c r="AJ22" s="38">
        <f t="shared" si="7"/>
        <v>1000000</v>
      </c>
      <c r="AK22" s="38">
        <f>[4]MVTAVRIL!$Q22</f>
        <v>0</v>
      </c>
      <c r="AL22" s="38">
        <f>[4]MVTMAI!$N22</f>
        <v>0</v>
      </c>
      <c r="AM22" s="38">
        <f>[4]MVTMAI!$O22</f>
        <v>0</v>
      </c>
      <c r="AN22" s="38">
        <f t="shared" si="8"/>
        <v>1000000</v>
      </c>
      <c r="AO22" s="38">
        <f>[4]MVTMAI!$Q22</f>
        <v>0</v>
      </c>
      <c r="AP22" s="38">
        <f>[4]MVTJUIN!$N22</f>
        <v>0</v>
      </c>
      <c r="AQ22" s="38">
        <f>[4]MVTJUIN!$O22</f>
        <v>0</v>
      </c>
      <c r="AR22" s="38">
        <f t="shared" si="9"/>
        <v>1000000</v>
      </c>
      <c r="AS22" s="38">
        <f>[4]MVTJUIN!$Q22</f>
        <v>0</v>
      </c>
      <c r="AT22" s="38">
        <f>[4]MVTJUIL!$N22</f>
        <v>0</v>
      </c>
      <c r="AU22" s="38">
        <f>[4]MVTJUIL!$O22</f>
        <v>0</v>
      </c>
      <c r="AV22" s="38">
        <f t="shared" si="10"/>
        <v>1000000</v>
      </c>
      <c r="AW22" s="38">
        <f>[4]MVTJUIL!$Q22</f>
        <v>0</v>
      </c>
      <c r="AX22" s="38">
        <f>[4]MVTAOUT2019!$N22</f>
        <v>0</v>
      </c>
      <c r="AY22" s="38">
        <f>[4]MVTAOUT2019!$O22</f>
        <v>0</v>
      </c>
      <c r="AZ22" s="38">
        <f t="shared" si="11"/>
        <v>1000000</v>
      </c>
      <c r="BA22" s="38">
        <f>[4]MVTAOUT2019!$Q22</f>
        <v>0</v>
      </c>
      <c r="BB22" s="38">
        <v>0</v>
      </c>
      <c r="BC22" s="38">
        <f t="shared" si="12"/>
        <v>110000</v>
      </c>
      <c r="BD22" s="38">
        <f t="shared" si="13"/>
        <v>1000000</v>
      </c>
      <c r="BE22" s="38">
        <f t="shared" si="14"/>
        <v>0</v>
      </c>
      <c r="BF22" s="64">
        <v>43678</v>
      </c>
      <c r="BG22" s="38">
        <v>800</v>
      </c>
      <c r="BH22" s="39" t="s">
        <v>231</v>
      </c>
    </row>
    <row r="23" spans="1:60" x14ac:dyDescent="0.25">
      <c r="A23" s="32" t="s">
        <v>54</v>
      </c>
      <c r="B23" s="56" t="str">
        <f>VLOOKUP(A23,[3]LISTADHERENT!A$5:H$58,2,0)</f>
        <v>KOUATCHO MESSACK</v>
      </c>
      <c r="C23" s="38"/>
      <c r="D23" s="65">
        <f>850000-850000</f>
        <v>0</v>
      </c>
      <c r="E23" s="65"/>
      <c r="F23" s="38">
        <f>[4]MVTSEPT!$P23</f>
        <v>1000000</v>
      </c>
      <c r="G23" s="38">
        <f>[4]MVTSEPT!$Q23</f>
        <v>110000</v>
      </c>
      <c r="H23" s="38">
        <f t="shared" si="0"/>
        <v>1000000</v>
      </c>
      <c r="I23" s="38">
        <f>[4]MVTSEPT!$S23</f>
        <v>0</v>
      </c>
      <c r="J23" s="38">
        <f>[4]MVTOCT!$N23</f>
        <v>0</v>
      </c>
      <c r="K23" s="38">
        <f>[4]MVTOCT!$O23</f>
        <v>0</v>
      </c>
      <c r="L23" s="38">
        <f t="shared" si="1"/>
        <v>1000000</v>
      </c>
      <c r="M23" s="38">
        <f>[4]MVTOCT!$Q23</f>
        <v>0</v>
      </c>
      <c r="N23" s="38">
        <f>[4]MVTNOV!$N23</f>
        <v>0</v>
      </c>
      <c r="O23" s="38">
        <f>[4]MVTNOV!$O23</f>
        <v>0</v>
      </c>
      <c r="P23" s="38">
        <f t="shared" si="2"/>
        <v>1000000</v>
      </c>
      <c r="Q23" s="38">
        <f>[4]MVTNOV!$Q23</f>
        <v>0</v>
      </c>
      <c r="R23" s="38">
        <f>[4]MVTDEC!$N23</f>
        <v>0</v>
      </c>
      <c r="S23" s="38">
        <f>[4]MVTDEC!$O23</f>
        <v>0</v>
      </c>
      <c r="T23" s="38">
        <f t="shared" si="3"/>
        <v>1000000</v>
      </c>
      <c r="U23" s="38">
        <f>[4]MVTDEC!$Q23</f>
        <v>0</v>
      </c>
      <c r="V23" s="38">
        <f>[4]MVTJANV!$N23</f>
        <v>0</v>
      </c>
      <c r="W23" s="38">
        <f>[4]MVTJANV!$O23</f>
        <v>0</v>
      </c>
      <c r="X23" s="38">
        <f t="shared" si="4"/>
        <v>1000000</v>
      </c>
      <c r="Y23" s="38">
        <f>[4]MVTJANV!$Q23</f>
        <v>0</v>
      </c>
      <c r="Z23" s="38">
        <f>[4]MVTFEV!$N23</f>
        <v>0</v>
      </c>
      <c r="AA23" s="38">
        <f>[4]MVTFEV!$O23</f>
        <v>0</v>
      </c>
      <c r="AB23" s="38">
        <f t="shared" si="5"/>
        <v>1000000</v>
      </c>
      <c r="AC23" s="38">
        <f>[4]MVTFEV!$Q23</f>
        <v>0</v>
      </c>
      <c r="AD23" s="38">
        <f>[4]MVTMARS!$N23</f>
        <v>0</v>
      </c>
      <c r="AE23" s="38">
        <f>[4]MVTMARS!$O23</f>
        <v>0</v>
      </c>
      <c r="AF23" s="38">
        <f t="shared" si="6"/>
        <v>1000000</v>
      </c>
      <c r="AG23" s="38">
        <f>[4]MVTMARS!$Q23</f>
        <v>0</v>
      </c>
      <c r="AH23" s="38">
        <f>[4]MVTAVRIL!$N23</f>
        <v>0</v>
      </c>
      <c r="AI23" s="38">
        <f>[4]MVTAVRIL!$O23</f>
        <v>0</v>
      </c>
      <c r="AJ23" s="38">
        <f t="shared" si="7"/>
        <v>1000000</v>
      </c>
      <c r="AK23" s="38">
        <f>[4]MVTAVRIL!$Q23</f>
        <v>0</v>
      </c>
      <c r="AL23" s="38">
        <f>[4]MVTMAI!$N23</f>
        <v>0</v>
      </c>
      <c r="AM23" s="38">
        <f>[4]MVTMAI!$O23</f>
        <v>0</v>
      </c>
      <c r="AN23" s="38">
        <f t="shared" si="8"/>
        <v>1000000</v>
      </c>
      <c r="AO23" s="38">
        <f>[4]MVTMAI!$Q23</f>
        <v>0</v>
      </c>
      <c r="AP23" s="38">
        <f>[4]MVTJUIN!$N23</f>
        <v>0</v>
      </c>
      <c r="AQ23" s="38">
        <f>[4]MVTJUIN!$O23</f>
        <v>0</v>
      </c>
      <c r="AR23" s="38">
        <f t="shared" si="9"/>
        <v>1000000</v>
      </c>
      <c r="AS23" s="38">
        <f>[4]MVTJUIN!$Q23</f>
        <v>0</v>
      </c>
      <c r="AT23" s="38">
        <f>[4]MVTJUIL!$N23</f>
        <v>0</v>
      </c>
      <c r="AU23" s="38">
        <f>[4]MVTJUIL!$O23</f>
        <v>0</v>
      </c>
      <c r="AV23" s="38">
        <f t="shared" si="10"/>
        <v>1000000</v>
      </c>
      <c r="AW23" s="38">
        <f>[4]MVTJUIL!$Q23</f>
        <v>0</v>
      </c>
      <c r="AX23" s="38">
        <f>[4]MVTAOUT2019!$N23</f>
        <v>0</v>
      </c>
      <c r="AY23" s="38">
        <f>[4]MVTAOUT2019!$O23</f>
        <v>0</v>
      </c>
      <c r="AZ23" s="38">
        <f t="shared" si="11"/>
        <v>1000000</v>
      </c>
      <c r="BA23" s="38">
        <f>[4]MVTAOUT2019!$Q23</f>
        <v>0</v>
      </c>
      <c r="BB23" s="38">
        <v>0</v>
      </c>
      <c r="BC23" s="38">
        <f t="shared" si="12"/>
        <v>110000</v>
      </c>
      <c r="BD23" s="38">
        <f t="shared" si="13"/>
        <v>1000000</v>
      </c>
      <c r="BE23" s="38">
        <f t="shared" si="14"/>
        <v>0</v>
      </c>
      <c r="BF23" s="64">
        <v>43678</v>
      </c>
      <c r="BG23" s="38">
        <v>0</v>
      </c>
      <c r="BH23" s="39"/>
    </row>
    <row r="24" spans="1:60" x14ac:dyDescent="0.25">
      <c r="A24" s="32" t="s">
        <v>55</v>
      </c>
      <c r="B24" s="56" t="str">
        <f>VLOOKUP(A24,[3]LISTADHERENT!A$5:H$58,2,0)</f>
        <v>LOWE JEAN</v>
      </c>
      <c r="C24" s="38"/>
      <c r="D24" s="65">
        <v>168000</v>
      </c>
      <c r="E24" s="65"/>
      <c r="F24" s="38">
        <f>[4]MVTSEPT!$P24</f>
        <v>176400</v>
      </c>
      <c r="G24" s="38">
        <f>[4]MVTSEPT!$Q24</f>
        <v>19404</v>
      </c>
      <c r="H24" s="38">
        <f t="shared" si="0"/>
        <v>0</v>
      </c>
      <c r="I24" s="38">
        <f>[4]MVTSEPT!$S24</f>
        <v>176400</v>
      </c>
      <c r="J24" s="38">
        <f>[4]MVTOCT!$N24</f>
        <v>0</v>
      </c>
      <c r="K24" s="38">
        <f>[4]MVTOCT!$O24</f>
        <v>0</v>
      </c>
      <c r="L24" s="38">
        <f t="shared" si="1"/>
        <v>0</v>
      </c>
      <c r="M24" s="38">
        <f>[4]MVTOCT!$Q24</f>
        <v>0</v>
      </c>
      <c r="N24" s="38">
        <f>[4]MVTNOV!$N24</f>
        <v>0</v>
      </c>
      <c r="O24" s="38">
        <f>[4]MVTNOV!$O24</f>
        <v>0</v>
      </c>
      <c r="P24" s="38">
        <f t="shared" si="2"/>
        <v>0</v>
      </c>
      <c r="Q24" s="38">
        <f>[4]MVTNOV!$Q24</f>
        <v>0</v>
      </c>
      <c r="R24" s="38">
        <f>[4]MVTDEC!$N24</f>
        <v>0</v>
      </c>
      <c r="S24" s="38">
        <f>[4]MVTDEC!$O24</f>
        <v>0</v>
      </c>
      <c r="T24" s="38">
        <f t="shared" si="3"/>
        <v>0</v>
      </c>
      <c r="U24" s="38">
        <f>[4]MVTDEC!$Q24</f>
        <v>0</v>
      </c>
      <c r="V24" s="38">
        <f>[4]MVTJANV!$N24</f>
        <v>0</v>
      </c>
      <c r="W24" s="38">
        <f>[4]MVTJANV!$O24</f>
        <v>0</v>
      </c>
      <c r="X24" s="38">
        <f t="shared" si="4"/>
        <v>0</v>
      </c>
      <c r="Y24" s="38">
        <f>[4]MVTJANV!$Q24</f>
        <v>0</v>
      </c>
      <c r="Z24" s="38">
        <f>[4]MVTFEV!$N24</f>
        <v>0</v>
      </c>
      <c r="AA24" s="38">
        <f>[4]MVTFEV!$O24</f>
        <v>0</v>
      </c>
      <c r="AB24" s="38">
        <f t="shared" si="5"/>
        <v>0</v>
      </c>
      <c r="AC24" s="38">
        <f>[4]MVTFEV!$Q24</f>
        <v>0</v>
      </c>
      <c r="AD24" s="38">
        <f>[4]MVTMARS!$N24</f>
        <v>0</v>
      </c>
      <c r="AE24" s="38">
        <f>[4]MVTMARS!$O24</f>
        <v>0</v>
      </c>
      <c r="AF24" s="38">
        <f t="shared" si="6"/>
        <v>0</v>
      </c>
      <c r="AG24" s="38">
        <f>[4]MVTMARS!$Q24</f>
        <v>0</v>
      </c>
      <c r="AH24" s="38">
        <f>[4]MVTAVRIL!$N24</f>
        <v>0</v>
      </c>
      <c r="AI24" s="38">
        <f>[4]MVTAVRIL!$O24</f>
        <v>0</v>
      </c>
      <c r="AJ24" s="38">
        <f t="shared" si="7"/>
        <v>0</v>
      </c>
      <c r="AK24" s="38">
        <f>[4]MVTAVRIL!$Q24</f>
        <v>0</v>
      </c>
      <c r="AL24" s="38">
        <f>[4]MVTMAI!$N24</f>
        <v>0</v>
      </c>
      <c r="AM24" s="38">
        <f>[4]MVTMAI!$O24</f>
        <v>0</v>
      </c>
      <c r="AN24" s="38">
        <f t="shared" si="8"/>
        <v>0</v>
      </c>
      <c r="AO24" s="38">
        <f>[4]MVTMAI!$Q24</f>
        <v>0</v>
      </c>
      <c r="AP24" s="38">
        <f>[4]MVTJUIN!$N24</f>
        <v>0</v>
      </c>
      <c r="AQ24" s="38">
        <f>[4]MVTJUIN!$O24</f>
        <v>0</v>
      </c>
      <c r="AR24" s="38">
        <f t="shared" si="9"/>
        <v>0</v>
      </c>
      <c r="AS24" s="38">
        <f>[4]MVTJUIN!$Q24</f>
        <v>0</v>
      </c>
      <c r="AT24" s="38">
        <f>[4]MVTJUIL!$N24</f>
        <v>0</v>
      </c>
      <c r="AU24" s="38">
        <f>[4]MVTJUIL!$O24</f>
        <v>0</v>
      </c>
      <c r="AV24" s="38">
        <f t="shared" si="10"/>
        <v>0</v>
      </c>
      <c r="AW24" s="38">
        <f>[4]MVTJUIL!$Q24</f>
        <v>0</v>
      </c>
      <c r="AX24" s="38">
        <f>[4]MVTAOUT2019!$N24</f>
        <v>0</v>
      </c>
      <c r="AY24" s="38">
        <f>[4]MVTAOUT2019!$O24</f>
        <v>0</v>
      </c>
      <c r="AZ24" s="38">
        <f t="shared" si="11"/>
        <v>0</v>
      </c>
      <c r="BA24" s="38">
        <f>[4]MVTAOUT2019!$Q24</f>
        <v>0</v>
      </c>
      <c r="BB24" s="38">
        <v>0</v>
      </c>
      <c r="BC24" s="38">
        <f t="shared" si="12"/>
        <v>19404</v>
      </c>
      <c r="BD24" s="38">
        <f t="shared" si="13"/>
        <v>0</v>
      </c>
      <c r="BE24" s="38">
        <f t="shared" si="14"/>
        <v>176400</v>
      </c>
      <c r="BF24" s="64">
        <v>43678</v>
      </c>
      <c r="BG24" s="38">
        <v>8400</v>
      </c>
      <c r="BH24" s="39" t="s">
        <v>231</v>
      </c>
    </row>
    <row r="25" spans="1:60" x14ac:dyDescent="0.25">
      <c r="A25" s="32" t="s">
        <v>222</v>
      </c>
      <c r="B25" s="56" t="str">
        <f>VLOOKUP(A25,[3]LISTADHERENT!A$5:H$58,2,0)</f>
        <v>MBOGNING TUGMA GUY</v>
      </c>
      <c r="C25" s="38"/>
      <c r="D25" s="65">
        <f>1060000-1060000</f>
        <v>0</v>
      </c>
      <c r="E25" s="65"/>
      <c r="F25" s="38">
        <f>[4]MVTSEPT!$P25</f>
        <v>900000</v>
      </c>
      <c r="G25" s="38">
        <f>[4]MVTSEPT!$Q25</f>
        <v>108000</v>
      </c>
      <c r="H25" s="38">
        <f t="shared" si="0"/>
        <v>900000</v>
      </c>
      <c r="I25" s="38">
        <f>[4]MVTSEPT!$S25</f>
        <v>0</v>
      </c>
      <c r="J25" s="38">
        <f>[4]MVTOCT!$N25</f>
        <v>0</v>
      </c>
      <c r="K25" s="38">
        <f>[4]MVTOCT!$O25</f>
        <v>0</v>
      </c>
      <c r="L25" s="38">
        <f t="shared" si="1"/>
        <v>900000</v>
      </c>
      <c r="M25" s="38">
        <f>[4]MVTOCT!$Q25</f>
        <v>0</v>
      </c>
      <c r="N25" s="38">
        <f>[4]MVTNOV!$N25</f>
        <v>0</v>
      </c>
      <c r="O25" s="38">
        <f>[4]MVTNOV!$O25</f>
        <v>0</v>
      </c>
      <c r="P25" s="38">
        <f t="shared" si="2"/>
        <v>900000</v>
      </c>
      <c r="Q25" s="38">
        <f>[4]MVTNOV!$Q25</f>
        <v>0</v>
      </c>
      <c r="R25" s="38">
        <f>[4]MVTDEC!$N25</f>
        <v>0</v>
      </c>
      <c r="S25" s="38">
        <f>[4]MVTDEC!$O25</f>
        <v>0</v>
      </c>
      <c r="T25" s="38">
        <f t="shared" si="3"/>
        <v>900000</v>
      </c>
      <c r="U25" s="38">
        <f>[4]MVTDEC!$Q25</f>
        <v>0</v>
      </c>
      <c r="V25" s="38">
        <f>[4]MVTJANV!$N25</f>
        <v>0</v>
      </c>
      <c r="W25" s="38">
        <f>[4]MVTJANV!$O25</f>
        <v>0</v>
      </c>
      <c r="X25" s="38">
        <f t="shared" si="4"/>
        <v>900000</v>
      </c>
      <c r="Y25" s="38">
        <f>[4]MVTJANV!$Q25</f>
        <v>0</v>
      </c>
      <c r="Z25" s="38">
        <f>[4]MVTFEV!$N25</f>
        <v>0</v>
      </c>
      <c r="AA25" s="38">
        <f>[4]MVTFEV!$O25</f>
        <v>0</v>
      </c>
      <c r="AB25" s="38">
        <f t="shared" si="5"/>
        <v>900000</v>
      </c>
      <c r="AC25" s="38">
        <f>[4]MVTFEV!$Q25</f>
        <v>0</v>
      </c>
      <c r="AD25" s="38">
        <f>[4]MVTMARS!$N25</f>
        <v>0</v>
      </c>
      <c r="AE25" s="38">
        <f>[4]MVTMARS!$O25</f>
        <v>0</v>
      </c>
      <c r="AF25" s="38">
        <f t="shared" si="6"/>
        <v>900000</v>
      </c>
      <c r="AG25" s="38">
        <f>[4]MVTMARS!$Q25</f>
        <v>0</v>
      </c>
      <c r="AH25" s="38">
        <f>[4]MVTAVRIL!$N25</f>
        <v>0</v>
      </c>
      <c r="AI25" s="38">
        <f>[4]MVTAVRIL!$O25</f>
        <v>0</v>
      </c>
      <c r="AJ25" s="38">
        <f t="shared" si="7"/>
        <v>900000</v>
      </c>
      <c r="AK25" s="38">
        <f>[4]MVTAVRIL!$Q25</f>
        <v>0</v>
      </c>
      <c r="AL25" s="38">
        <f>[4]MVTMAI!$N25</f>
        <v>0</v>
      </c>
      <c r="AM25" s="38">
        <f>[4]MVTMAI!$O25</f>
        <v>0</v>
      </c>
      <c r="AN25" s="38">
        <f t="shared" si="8"/>
        <v>900000</v>
      </c>
      <c r="AO25" s="38">
        <f>[4]MVTMAI!$Q25</f>
        <v>0</v>
      </c>
      <c r="AP25" s="38">
        <f>[4]MVTJUIN!$N25</f>
        <v>0</v>
      </c>
      <c r="AQ25" s="38">
        <f>[4]MVTJUIN!$O25</f>
        <v>0</v>
      </c>
      <c r="AR25" s="38">
        <f t="shared" si="9"/>
        <v>900000</v>
      </c>
      <c r="AS25" s="38">
        <f>[4]MVTJUIN!$Q25</f>
        <v>0</v>
      </c>
      <c r="AT25" s="38">
        <f>[4]MVTJUIL!$N25</f>
        <v>0</v>
      </c>
      <c r="AU25" s="38">
        <f>[4]MVTJUIL!$O25</f>
        <v>0</v>
      </c>
      <c r="AV25" s="38">
        <f t="shared" si="10"/>
        <v>900000</v>
      </c>
      <c r="AW25" s="38">
        <f>[4]MVTJUIL!$Q25</f>
        <v>0</v>
      </c>
      <c r="AX25" s="38">
        <f>[4]MVTAOUT2019!$N25</f>
        <v>0</v>
      </c>
      <c r="AY25" s="38">
        <f>[4]MVTAOUT2019!$O25</f>
        <v>0</v>
      </c>
      <c r="AZ25" s="38">
        <f t="shared" si="11"/>
        <v>900000</v>
      </c>
      <c r="BA25" s="38">
        <f>[4]MVTAOUT2019!$Q25</f>
        <v>0</v>
      </c>
      <c r="BB25" s="38">
        <v>0</v>
      </c>
      <c r="BC25" s="38">
        <f t="shared" si="12"/>
        <v>108000</v>
      </c>
      <c r="BD25" s="38">
        <f t="shared" si="13"/>
        <v>900000</v>
      </c>
      <c r="BE25" s="38">
        <f t="shared" si="14"/>
        <v>0</v>
      </c>
      <c r="BF25" s="64">
        <v>43678</v>
      </c>
      <c r="BG25" s="38">
        <v>0</v>
      </c>
      <c r="BH25" s="39"/>
    </row>
    <row r="26" spans="1:60" x14ac:dyDescent="0.25">
      <c r="A26" s="32" t="s">
        <v>74</v>
      </c>
      <c r="B26" s="56" t="str">
        <f>VLOOKUP(A26,[3]LISTADHERENT!A$5:H$58,2,0)</f>
        <v>NANGUEN MARTIN</v>
      </c>
      <c r="C26" s="38"/>
      <c r="D26" s="38"/>
      <c r="E26" s="65"/>
      <c r="F26" s="38">
        <f>[4]MVTSEPT!$P26</f>
        <v>0</v>
      </c>
      <c r="G26" s="38">
        <f>[4]MVTSEPT!$Q26</f>
        <v>0</v>
      </c>
      <c r="H26" s="38">
        <f t="shared" si="0"/>
        <v>0</v>
      </c>
      <c r="I26" s="38">
        <f>[4]MVTSEPT!$S26</f>
        <v>0</v>
      </c>
      <c r="J26" s="38">
        <f>[4]MVTOCT!$N26</f>
        <v>0</v>
      </c>
      <c r="K26" s="38">
        <f>[4]MVTOCT!$O26</f>
        <v>0</v>
      </c>
      <c r="L26" s="38">
        <f t="shared" si="1"/>
        <v>0</v>
      </c>
      <c r="M26" s="38">
        <f>[4]MVTOCT!$Q26</f>
        <v>0</v>
      </c>
      <c r="N26" s="38">
        <f>[4]MVTNOV!$N26</f>
        <v>0</v>
      </c>
      <c r="O26" s="38">
        <f>[4]MVTNOV!$O26</f>
        <v>0</v>
      </c>
      <c r="P26" s="38">
        <f t="shared" si="2"/>
        <v>0</v>
      </c>
      <c r="Q26" s="38">
        <f>[4]MVTNOV!$Q26</f>
        <v>0</v>
      </c>
      <c r="R26" s="38">
        <f>[4]MVTDEC!$N26</f>
        <v>0</v>
      </c>
      <c r="S26" s="38">
        <f>[4]MVTDEC!$O26</f>
        <v>0</v>
      </c>
      <c r="T26" s="38">
        <f t="shared" si="3"/>
        <v>0</v>
      </c>
      <c r="U26" s="38">
        <f>[4]MVTDEC!$Q26</f>
        <v>0</v>
      </c>
      <c r="V26" s="38">
        <f>[4]MVTJANV!$N26</f>
        <v>0</v>
      </c>
      <c r="W26" s="38">
        <f>[4]MVTJANV!$O26</f>
        <v>0</v>
      </c>
      <c r="X26" s="38">
        <f t="shared" si="4"/>
        <v>0</v>
      </c>
      <c r="Y26" s="38">
        <f>[4]MVTJANV!$Q26</f>
        <v>0</v>
      </c>
      <c r="Z26" s="38">
        <f>[4]MVTFEV!$N26</f>
        <v>0</v>
      </c>
      <c r="AA26" s="38">
        <f>[4]MVTFEV!$O26</f>
        <v>0</v>
      </c>
      <c r="AB26" s="38">
        <f t="shared" si="5"/>
        <v>0</v>
      </c>
      <c r="AC26" s="38">
        <f>[4]MVTFEV!$Q26</f>
        <v>0</v>
      </c>
      <c r="AD26" s="38">
        <f>[4]MVTMARS!$N26</f>
        <v>0</v>
      </c>
      <c r="AE26" s="38">
        <f>[4]MVTMARS!$O26</f>
        <v>0</v>
      </c>
      <c r="AF26" s="38">
        <f t="shared" si="6"/>
        <v>0</v>
      </c>
      <c r="AG26" s="38">
        <f>[4]MVTMARS!$Q26</f>
        <v>0</v>
      </c>
      <c r="AH26" s="38">
        <f>[4]MVTAVRIL!$N26</f>
        <v>0</v>
      </c>
      <c r="AI26" s="38">
        <f>[4]MVTAVRIL!$O26</f>
        <v>0</v>
      </c>
      <c r="AJ26" s="38">
        <f t="shared" si="7"/>
        <v>0</v>
      </c>
      <c r="AK26" s="38">
        <f>[4]MVTAVRIL!$Q26</f>
        <v>0</v>
      </c>
      <c r="AL26" s="38">
        <f>[4]MVTMAI!$N26</f>
        <v>0</v>
      </c>
      <c r="AM26" s="38">
        <f>[4]MVTMAI!$O26</f>
        <v>0</v>
      </c>
      <c r="AN26" s="38">
        <f t="shared" si="8"/>
        <v>0</v>
      </c>
      <c r="AO26" s="38">
        <f>[4]MVTMAI!$Q26</f>
        <v>0</v>
      </c>
      <c r="AP26" s="38">
        <f>[4]MVTJUIN!$N26</f>
        <v>0</v>
      </c>
      <c r="AQ26" s="38">
        <f>[4]MVTJUIN!$O26</f>
        <v>0</v>
      </c>
      <c r="AR26" s="38">
        <f t="shared" si="9"/>
        <v>0</v>
      </c>
      <c r="AS26" s="38">
        <f>[4]MVTJUIN!$Q26</f>
        <v>0</v>
      </c>
      <c r="AT26" s="38">
        <f>[4]MVTJUIL!$N26</f>
        <v>0</v>
      </c>
      <c r="AU26" s="38">
        <f>[4]MVTJUIL!$O26</f>
        <v>0</v>
      </c>
      <c r="AV26" s="38">
        <f t="shared" si="10"/>
        <v>0</v>
      </c>
      <c r="AW26" s="38">
        <f>[4]MVTJUIL!$Q26</f>
        <v>0</v>
      </c>
      <c r="AX26" s="38">
        <f>[4]MVTAOUT2019!$N26</f>
        <v>0</v>
      </c>
      <c r="AY26" s="38">
        <f>[4]MVTAOUT2019!$O26</f>
        <v>0</v>
      </c>
      <c r="AZ26" s="38">
        <f t="shared" si="11"/>
        <v>0</v>
      </c>
      <c r="BA26" s="38">
        <f>[4]MVTAOUT2019!$Q26</f>
        <v>0</v>
      </c>
      <c r="BB26" s="38">
        <v>0</v>
      </c>
      <c r="BC26" s="38">
        <f t="shared" si="12"/>
        <v>0</v>
      </c>
      <c r="BD26" s="38">
        <f t="shared" si="13"/>
        <v>0</v>
      </c>
      <c r="BE26" s="38">
        <f t="shared" si="14"/>
        <v>0</v>
      </c>
      <c r="BF26" s="64">
        <v>43678</v>
      </c>
      <c r="BG26" s="38">
        <v>0</v>
      </c>
      <c r="BH26" s="39"/>
    </row>
    <row r="27" spans="1:60" x14ac:dyDescent="0.25">
      <c r="A27" s="32" t="s">
        <v>56</v>
      </c>
      <c r="B27" s="56" t="str">
        <f>VLOOKUP(A27,[3]LISTADHERENT!A$5:H$58,2,0)</f>
        <v>NANKAM APPOLINAIRE</v>
      </c>
      <c r="C27" s="38"/>
      <c r="D27" s="38"/>
      <c r="E27" s="65"/>
      <c r="F27" s="38">
        <f>[4]MVTSEPT!$P27</f>
        <v>1000000</v>
      </c>
      <c r="G27" s="38">
        <f>[4]MVTSEPT!$Q27</f>
        <v>110000</v>
      </c>
      <c r="H27" s="38">
        <f t="shared" si="0"/>
        <v>1000000</v>
      </c>
      <c r="I27" s="38">
        <f>[4]MVTSEPT!$S27</f>
        <v>0</v>
      </c>
      <c r="J27" s="38">
        <f>[4]MVTOCT!$N27</f>
        <v>0</v>
      </c>
      <c r="K27" s="38">
        <f>[4]MVTOCT!$O27</f>
        <v>0</v>
      </c>
      <c r="L27" s="38">
        <f t="shared" si="1"/>
        <v>1000000</v>
      </c>
      <c r="M27" s="38">
        <f>[4]MVTOCT!$Q27</f>
        <v>0</v>
      </c>
      <c r="N27" s="38">
        <f>[4]MVTNOV!$N27</f>
        <v>0</v>
      </c>
      <c r="O27" s="38">
        <f>[4]MVTNOV!$O27</f>
        <v>0</v>
      </c>
      <c r="P27" s="38">
        <f t="shared" si="2"/>
        <v>1000000</v>
      </c>
      <c r="Q27" s="38">
        <f>[4]MVTNOV!$Q27</f>
        <v>0</v>
      </c>
      <c r="R27" s="38">
        <f>[4]MVTDEC!$N27</f>
        <v>0</v>
      </c>
      <c r="S27" s="38">
        <f>[4]MVTDEC!$O27</f>
        <v>0</v>
      </c>
      <c r="T27" s="38">
        <f t="shared" si="3"/>
        <v>1000000</v>
      </c>
      <c r="U27" s="38">
        <f>[4]MVTDEC!$Q27</f>
        <v>0</v>
      </c>
      <c r="V27" s="38">
        <f>[4]MVTJANV!$N27</f>
        <v>0</v>
      </c>
      <c r="W27" s="38">
        <f>[4]MVTJANV!$O27</f>
        <v>0</v>
      </c>
      <c r="X27" s="38">
        <f t="shared" si="4"/>
        <v>1000000</v>
      </c>
      <c r="Y27" s="38">
        <f>[4]MVTJANV!$Q27</f>
        <v>0</v>
      </c>
      <c r="Z27" s="38">
        <f>[4]MVTFEV!$N27</f>
        <v>0</v>
      </c>
      <c r="AA27" s="38">
        <f>[4]MVTFEV!$O27</f>
        <v>0</v>
      </c>
      <c r="AB27" s="38">
        <f t="shared" si="5"/>
        <v>1000000</v>
      </c>
      <c r="AC27" s="38">
        <f>[4]MVTFEV!$Q27</f>
        <v>0</v>
      </c>
      <c r="AD27" s="38">
        <f>[4]MVTMARS!$N27</f>
        <v>0</v>
      </c>
      <c r="AE27" s="38">
        <f>[4]MVTMARS!$O27</f>
        <v>0</v>
      </c>
      <c r="AF27" s="38">
        <f t="shared" si="6"/>
        <v>1000000</v>
      </c>
      <c r="AG27" s="38">
        <f>[4]MVTMARS!$Q27</f>
        <v>0</v>
      </c>
      <c r="AH27" s="38">
        <f>[4]MVTAVRIL!$N27</f>
        <v>0</v>
      </c>
      <c r="AI27" s="38">
        <f>[4]MVTAVRIL!$O27</f>
        <v>0</v>
      </c>
      <c r="AJ27" s="38">
        <f t="shared" si="7"/>
        <v>1000000</v>
      </c>
      <c r="AK27" s="38">
        <f>[4]MVTAVRIL!$Q27</f>
        <v>0</v>
      </c>
      <c r="AL27" s="38">
        <f>[4]MVTMAI!$N27</f>
        <v>0</v>
      </c>
      <c r="AM27" s="38">
        <f>[4]MVTMAI!$O27</f>
        <v>0</v>
      </c>
      <c r="AN27" s="38">
        <f t="shared" si="8"/>
        <v>1000000</v>
      </c>
      <c r="AO27" s="38">
        <f>[4]MVTMAI!$Q27</f>
        <v>0</v>
      </c>
      <c r="AP27" s="38">
        <f>[4]MVTJUIN!$N27</f>
        <v>0</v>
      </c>
      <c r="AQ27" s="38">
        <f>[4]MVTJUIN!$O27</f>
        <v>0</v>
      </c>
      <c r="AR27" s="38">
        <f t="shared" si="9"/>
        <v>1000000</v>
      </c>
      <c r="AS27" s="38">
        <f>[4]MVTJUIN!$Q27</f>
        <v>0</v>
      </c>
      <c r="AT27" s="38">
        <f>[4]MVTJUIL!$N27</f>
        <v>0</v>
      </c>
      <c r="AU27" s="38">
        <f>[4]MVTJUIL!$O27</f>
        <v>0</v>
      </c>
      <c r="AV27" s="38">
        <f t="shared" si="10"/>
        <v>1000000</v>
      </c>
      <c r="AW27" s="38">
        <f>[4]MVTJUIL!$Q27</f>
        <v>0</v>
      </c>
      <c r="AX27" s="38">
        <f>[4]MVTAOUT2019!$N27</f>
        <v>0</v>
      </c>
      <c r="AY27" s="38">
        <f>[4]MVTAOUT2019!$O27</f>
        <v>0</v>
      </c>
      <c r="AZ27" s="38">
        <f t="shared" si="11"/>
        <v>1000000</v>
      </c>
      <c r="BA27" s="38">
        <f>[4]MVTAOUT2019!$Q27</f>
        <v>0</v>
      </c>
      <c r="BB27" s="38">
        <v>0</v>
      </c>
      <c r="BC27" s="38">
        <f t="shared" si="12"/>
        <v>110000</v>
      </c>
      <c r="BD27" s="38">
        <f t="shared" si="13"/>
        <v>1000000</v>
      </c>
      <c r="BE27" s="38">
        <f t="shared" si="14"/>
        <v>0</v>
      </c>
      <c r="BF27" s="64">
        <v>43678</v>
      </c>
      <c r="BG27" s="38">
        <v>0</v>
      </c>
      <c r="BH27" s="39"/>
    </row>
    <row r="28" spans="1:60" x14ac:dyDescent="0.25">
      <c r="A28" s="32" t="s">
        <v>57</v>
      </c>
      <c r="B28" s="56" t="str">
        <f>VLOOKUP(A28,[3]LISTADHERENT!A$5:H$58,2,0)</f>
        <v>NDJOMO ETIENNE</v>
      </c>
      <c r="C28" s="38"/>
      <c r="D28" s="38"/>
      <c r="E28" s="65"/>
      <c r="F28" s="38">
        <f>[4]MVTSEPT!$P28</f>
        <v>500000</v>
      </c>
      <c r="G28" s="38">
        <f>[4]MVTSEPT!$Q28</f>
        <v>50000</v>
      </c>
      <c r="H28" s="38">
        <f t="shared" si="0"/>
        <v>500000</v>
      </c>
      <c r="I28" s="38">
        <f>[4]MVTSEPT!$S28</f>
        <v>0</v>
      </c>
      <c r="J28" s="38">
        <f>[4]MVTOCT!$N28</f>
        <v>0</v>
      </c>
      <c r="K28" s="38">
        <f>[4]MVTOCT!$O28</f>
        <v>0</v>
      </c>
      <c r="L28" s="38">
        <f t="shared" si="1"/>
        <v>500000</v>
      </c>
      <c r="M28" s="38">
        <f>[4]MVTOCT!$Q28</f>
        <v>0</v>
      </c>
      <c r="N28" s="38">
        <f>[4]MVTNOV!$N28</f>
        <v>0</v>
      </c>
      <c r="O28" s="38">
        <f>[4]MVTNOV!$O28</f>
        <v>0</v>
      </c>
      <c r="P28" s="38">
        <f t="shared" si="2"/>
        <v>500000</v>
      </c>
      <c r="Q28" s="38">
        <f>[4]MVTNOV!$Q28</f>
        <v>0</v>
      </c>
      <c r="R28" s="38">
        <f>[4]MVTDEC!$N28</f>
        <v>0</v>
      </c>
      <c r="S28" s="38">
        <f>[4]MVTDEC!$O28</f>
        <v>0</v>
      </c>
      <c r="T28" s="38">
        <f t="shared" si="3"/>
        <v>500000</v>
      </c>
      <c r="U28" s="38">
        <f>[4]MVTDEC!$Q28</f>
        <v>0</v>
      </c>
      <c r="V28" s="38">
        <f>[4]MVTJANV!$N28</f>
        <v>0</v>
      </c>
      <c r="W28" s="38">
        <f>[4]MVTJANV!$O28</f>
        <v>0</v>
      </c>
      <c r="X28" s="38">
        <f t="shared" si="4"/>
        <v>500000</v>
      </c>
      <c r="Y28" s="38">
        <f>[4]MVTJANV!$Q28</f>
        <v>0</v>
      </c>
      <c r="Z28" s="38">
        <f>[4]MVTFEV!$N28</f>
        <v>0</v>
      </c>
      <c r="AA28" s="38">
        <f>[4]MVTFEV!$O28</f>
        <v>0</v>
      </c>
      <c r="AB28" s="38">
        <f t="shared" si="5"/>
        <v>500000</v>
      </c>
      <c r="AC28" s="38">
        <f>[4]MVTFEV!$Q28</f>
        <v>0</v>
      </c>
      <c r="AD28" s="38">
        <f>[4]MVTMARS!$N28</f>
        <v>0</v>
      </c>
      <c r="AE28" s="38">
        <f>[4]MVTMARS!$O28</f>
        <v>0</v>
      </c>
      <c r="AF28" s="38">
        <f t="shared" si="6"/>
        <v>500000</v>
      </c>
      <c r="AG28" s="38">
        <f>[4]MVTMARS!$Q28</f>
        <v>0</v>
      </c>
      <c r="AH28" s="38">
        <f>[4]MVTAVRIL!$N28</f>
        <v>0</v>
      </c>
      <c r="AI28" s="38">
        <f>[4]MVTAVRIL!$O28</f>
        <v>0</v>
      </c>
      <c r="AJ28" s="38">
        <f t="shared" si="7"/>
        <v>500000</v>
      </c>
      <c r="AK28" s="38">
        <f>[4]MVTAVRIL!$Q28</f>
        <v>0</v>
      </c>
      <c r="AL28" s="38">
        <f>[4]MVTMAI!$N28</f>
        <v>0</v>
      </c>
      <c r="AM28" s="38">
        <f>[4]MVTMAI!$O28</f>
        <v>0</v>
      </c>
      <c r="AN28" s="38">
        <f t="shared" si="8"/>
        <v>500000</v>
      </c>
      <c r="AO28" s="38">
        <f>[4]MVTMAI!$Q28</f>
        <v>0</v>
      </c>
      <c r="AP28" s="38">
        <f>[4]MVTJUIN!$N28</f>
        <v>0</v>
      </c>
      <c r="AQ28" s="38">
        <f>[4]MVTJUIN!$O28</f>
        <v>0</v>
      </c>
      <c r="AR28" s="38">
        <f t="shared" si="9"/>
        <v>500000</v>
      </c>
      <c r="AS28" s="38">
        <f>[4]MVTJUIN!$Q28</f>
        <v>0</v>
      </c>
      <c r="AT28" s="38">
        <f>[4]MVTJUIL!$N28</f>
        <v>0</v>
      </c>
      <c r="AU28" s="38">
        <f>[4]MVTJUIL!$O28</f>
        <v>0</v>
      </c>
      <c r="AV28" s="38">
        <f t="shared" si="10"/>
        <v>500000</v>
      </c>
      <c r="AW28" s="38">
        <f>[4]MVTJUIL!$Q28</f>
        <v>0</v>
      </c>
      <c r="AX28" s="38">
        <f>[4]MVTAOUT2019!$N28</f>
        <v>0</v>
      </c>
      <c r="AY28" s="38">
        <f>[4]MVTAOUT2019!$O28</f>
        <v>0</v>
      </c>
      <c r="AZ28" s="38">
        <f t="shared" si="11"/>
        <v>500000</v>
      </c>
      <c r="BA28" s="38">
        <f>[4]MVTAOUT2019!$Q28</f>
        <v>0</v>
      </c>
      <c r="BB28" s="38">
        <v>0</v>
      </c>
      <c r="BC28" s="38">
        <f t="shared" si="12"/>
        <v>50000</v>
      </c>
      <c r="BD28" s="38">
        <f t="shared" si="13"/>
        <v>500000</v>
      </c>
      <c r="BE28" s="38">
        <f t="shared" si="14"/>
        <v>0</v>
      </c>
      <c r="BF28" s="64">
        <v>43617</v>
      </c>
      <c r="BG28" s="38"/>
      <c r="BH28" s="39"/>
    </row>
    <row r="29" spans="1:60" x14ac:dyDescent="0.25">
      <c r="A29" s="32" t="s">
        <v>225</v>
      </c>
      <c r="B29" s="56" t="str">
        <f>VLOOKUP(A29,[3]LISTADHERENT!A$5:H$58,2,0)</f>
        <v>NGANHOU JEAN</v>
      </c>
      <c r="C29" s="38"/>
      <c r="D29" s="38"/>
      <c r="E29" s="65"/>
      <c r="F29" s="38">
        <f>[4]MVTSEPT!$P29</f>
        <v>0</v>
      </c>
      <c r="G29" s="38">
        <f>[4]MVTSEPT!$Q29</f>
        <v>0</v>
      </c>
      <c r="H29" s="38">
        <f t="shared" si="0"/>
        <v>0</v>
      </c>
      <c r="I29" s="38">
        <f>[4]MVTSEPT!$S29</f>
        <v>0</v>
      </c>
      <c r="J29" s="38">
        <f>[4]MVTOCT!$N29</f>
        <v>0</v>
      </c>
      <c r="K29" s="38">
        <f>[4]MVTOCT!$O29</f>
        <v>0</v>
      </c>
      <c r="L29" s="38">
        <f t="shared" si="1"/>
        <v>0</v>
      </c>
      <c r="M29" s="38">
        <f>[4]MVTOCT!$Q29</f>
        <v>0</v>
      </c>
      <c r="N29" s="38">
        <f>[4]MVTNOV!$N29</f>
        <v>0</v>
      </c>
      <c r="O29" s="38">
        <f>[4]MVTNOV!$O29</f>
        <v>0</v>
      </c>
      <c r="P29" s="38">
        <f t="shared" si="2"/>
        <v>0</v>
      </c>
      <c r="Q29" s="38">
        <f>[4]MVTNOV!$Q29</f>
        <v>0</v>
      </c>
      <c r="R29" s="38">
        <f>[4]MVTDEC!$N29</f>
        <v>0</v>
      </c>
      <c r="S29" s="38">
        <f>[4]MVTDEC!$O29</f>
        <v>0</v>
      </c>
      <c r="T29" s="38">
        <f t="shared" si="3"/>
        <v>0</v>
      </c>
      <c r="U29" s="38">
        <f>[4]MVTDEC!$Q29</f>
        <v>0</v>
      </c>
      <c r="V29" s="38">
        <f>[4]MVTJANV!$N29</f>
        <v>0</v>
      </c>
      <c r="W29" s="38">
        <f>[4]MVTJANV!$O29</f>
        <v>0</v>
      </c>
      <c r="X29" s="38">
        <f t="shared" si="4"/>
        <v>0</v>
      </c>
      <c r="Y29" s="38">
        <f>[4]MVTJANV!$Q29</f>
        <v>0</v>
      </c>
      <c r="Z29" s="38">
        <f>[4]MVTFEV!$N29</f>
        <v>0</v>
      </c>
      <c r="AA29" s="38">
        <f>[4]MVTFEV!$O29</f>
        <v>0</v>
      </c>
      <c r="AB29" s="38">
        <f t="shared" si="5"/>
        <v>0</v>
      </c>
      <c r="AC29" s="38">
        <f>[4]MVTFEV!$Q29</f>
        <v>0</v>
      </c>
      <c r="AD29" s="38">
        <f>[4]MVTMARS!$N29</f>
        <v>0</v>
      </c>
      <c r="AE29" s="38">
        <f>[4]MVTMARS!$O29</f>
        <v>0</v>
      </c>
      <c r="AF29" s="38">
        <f t="shared" si="6"/>
        <v>0</v>
      </c>
      <c r="AG29" s="38">
        <f>[4]MVTMARS!$Q29</f>
        <v>0</v>
      </c>
      <c r="AH29" s="38">
        <f>[4]MVTAVRIL!$N29</f>
        <v>0</v>
      </c>
      <c r="AI29" s="38">
        <f>[4]MVTAVRIL!$O29</f>
        <v>0</v>
      </c>
      <c r="AJ29" s="38">
        <f t="shared" si="7"/>
        <v>0</v>
      </c>
      <c r="AK29" s="38">
        <f>[4]MVTAVRIL!$Q29</f>
        <v>0</v>
      </c>
      <c r="AL29" s="38">
        <f>[4]MVTMAI!$N29</f>
        <v>0</v>
      </c>
      <c r="AM29" s="38">
        <f>[4]MVTMAI!$O29</f>
        <v>0</v>
      </c>
      <c r="AN29" s="38">
        <f t="shared" si="8"/>
        <v>0</v>
      </c>
      <c r="AO29" s="38">
        <f>[4]MVTMAI!$Q29</f>
        <v>0</v>
      </c>
      <c r="AP29" s="38">
        <f>[4]MVTJUIN!$N29</f>
        <v>0</v>
      </c>
      <c r="AQ29" s="38">
        <f>[4]MVTJUIN!$O29</f>
        <v>0</v>
      </c>
      <c r="AR29" s="38">
        <f t="shared" si="9"/>
        <v>0</v>
      </c>
      <c r="AS29" s="38">
        <f>[4]MVTJUIN!$Q29</f>
        <v>0</v>
      </c>
      <c r="AT29" s="38">
        <f>[4]MVTJUIL!$N29</f>
        <v>0</v>
      </c>
      <c r="AU29" s="38">
        <f>[4]MVTJUIL!$O29</f>
        <v>0</v>
      </c>
      <c r="AV29" s="38">
        <f t="shared" si="10"/>
        <v>0</v>
      </c>
      <c r="AW29" s="38">
        <f>[4]MVTJUIL!$Q29</f>
        <v>0</v>
      </c>
      <c r="AX29" s="38">
        <f>[4]MVTAOUT2019!$N29</f>
        <v>0</v>
      </c>
      <c r="AY29" s="38">
        <f>[4]MVTAOUT2019!$O29</f>
        <v>0</v>
      </c>
      <c r="AZ29" s="38">
        <f t="shared" si="11"/>
        <v>0</v>
      </c>
      <c r="BA29" s="38">
        <f>[4]MVTAOUT2019!$Q29</f>
        <v>0</v>
      </c>
      <c r="BB29" s="38">
        <v>0</v>
      </c>
      <c r="BC29" s="38">
        <f t="shared" si="12"/>
        <v>0</v>
      </c>
      <c r="BD29" s="38">
        <f t="shared" si="13"/>
        <v>0</v>
      </c>
      <c r="BE29" s="38">
        <f t="shared" si="14"/>
        <v>0</v>
      </c>
      <c r="BF29" s="64">
        <v>43678</v>
      </c>
      <c r="BG29" s="38"/>
      <c r="BH29" s="39"/>
    </row>
    <row r="30" spans="1:60" x14ac:dyDescent="0.25">
      <c r="A30" s="32" t="s">
        <v>59</v>
      </c>
      <c r="B30" s="56" t="str">
        <f>VLOOKUP(A30,[3]LISTADHERENT!A$5:H$58,2,0)</f>
        <v>NGONDIEP CLAUDE</v>
      </c>
      <c r="C30" s="38"/>
      <c r="D30" s="65">
        <v>1120000</v>
      </c>
      <c r="E30" s="65"/>
      <c r="F30" s="38">
        <f>[4]MVTSEPT!$P30</f>
        <v>1176000</v>
      </c>
      <c r="G30" s="38">
        <f>[4]MVTSEPT!$Q30</f>
        <v>129360</v>
      </c>
      <c r="H30" s="38">
        <f t="shared" si="0"/>
        <v>1176000</v>
      </c>
      <c r="I30" s="38">
        <f>[4]MVTSEPT!$S30</f>
        <v>0</v>
      </c>
      <c r="J30" s="38">
        <f>[4]MVTOCT!$N30</f>
        <v>0</v>
      </c>
      <c r="K30" s="38">
        <f>[4]MVTOCT!$O30</f>
        <v>0</v>
      </c>
      <c r="L30" s="38">
        <f t="shared" si="1"/>
        <v>1176000</v>
      </c>
      <c r="M30" s="38">
        <f>[4]MVTOCT!$Q30</f>
        <v>0</v>
      </c>
      <c r="N30" s="38">
        <f>[4]MVTNOV!$N30</f>
        <v>0</v>
      </c>
      <c r="O30" s="38">
        <f>[4]MVTNOV!$O30</f>
        <v>0</v>
      </c>
      <c r="P30" s="38">
        <f t="shared" si="2"/>
        <v>1176000</v>
      </c>
      <c r="Q30" s="38">
        <f>[4]MVTNOV!$Q30</f>
        <v>0</v>
      </c>
      <c r="R30" s="38">
        <f>[4]MVTDEC!$N30</f>
        <v>0</v>
      </c>
      <c r="S30" s="38">
        <f>[4]MVTDEC!$O30</f>
        <v>0</v>
      </c>
      <c r="T30" s="38">
        <f t="shared" si="3"/>
        <v>1176000</v>
      </c>
      <c r="U30" s="38">
        <f>[4]MVTDEC!$Q30</f>
        <v>0</v>
      </c>
      <c r="V30" s="38">
        <f>[4]MVTJANV!$N30</f>
        <v>0</v>
      </c>
      <c r="W30" s="38">
        <f>[4]MVTJANV!$O30</f>
        <v>0</v>
      </c>
      <c r="X30" s="38">
        <f t="shared" si="4"/>
        <v>1176000</v>
      </c>
      <c r="Y30" s="38">
        <f>[4]MVTJANV!$Q30</f>
        <v>0</v>
      </c>
      <c r="Z30" s="38">
        <f>[4]MVTFEV!$N30</f>
        <v>0</v>
      </c>
      <c r="AA30" s="38">
        <f>[4]MVTFEV!$O30</f>
        <v>0</v>
      </c>
      <c r="AB30" s="38">
        <f t="shared" si="5"/>
        <v>1176000</v>
      </c>
      <c r="AC30" s="38">
        <f>[4]MVTFEV!$Q30</f>
        <v>0</v>
      </c>
      <c r="AD30" s="38">
        <f>[4]MVTMARS!$N30</f>
        <v>0</v>
      </c>
      <c r="AE30" s="38">
        <f>[4]MVTMARS!$O30</f>
        <v>0</v>
      </c>
      <c r="AF30" s="38">
        <f t="shared" si="6"/>
        <v>1176000</v>
      </c>
      <c r="AG30" s="38">
        <f>[4]MVTMARS!$Q30</f>
        <v>0</v>
      </c>
      <c r="AH30" s="38">
        <f>[4]MVTAVRIL!$N30</f>
        <v>0</v>
      </c>
      <c r="AI30" s="38">
        <f>[4]MVTAVRIL!$O30</f>
        <v>0</v>
      </c>
      <c r="AJ30" s="38">
        <f t="shared" si="7"/>
        <v>1176000</v>
      </c>
      <c r="AK30" s="38">
        <f>[4]MVTAVRIL!$Q30</f>
        <v>0</v>
      </c>
      <c r="AL30" s="38">
        <f>[4]MVTMAI!$N30</f>
        <v>0</v>
      </c>
      <c r="AM30" s="38">
        <f>[4]MVTMAI!$O30</f>
        <v>0</v>
      </c>
      <c r="AN30" s="38">
        <f t="shared" si="8"/>
        <v>1176000</v>
      </c>
      <c r="AO30" s="38">
        <f>[4]MVTMAI!$Q30</f>
        <v>0</v>
      </c>
      <c r="AP30" s="38">
        <f>[4]MVTJUIN!$N30</f>
        <v>0</v>
      </c>
      <c r="AQ30" s="38">
        <f>[4]MVTJUIN!$O30</f>
        <v>0</v>
      </c>
      <c r="AR30" s="38">
        <f t="shared" si="9"/>
        <v>1176000</v>
      </c>
      <c r="AS30" s="38">
        <f>[4]MVTJUIN!$Q30</f>
        <v>0</v>
      </c>
      <c r="AT30" s="38">
        <f>[4]MVTJUIL!$N30</f>
        <v>0</v>
      </c>
      <c r="AU30" s="38">
        <f>[4]MVTJUIL!$O30</f>
        <v>0</v>
      </c>
      <c r="AV30" s="38">
        <f t="shared" si="10"/>
        <v>1176000</v>
      </c>
      <c r="AW30" s="38">
        <f>[4]MVTJUIL!$Q30</f>
        <v>0</v>
      </c>
      <c r="AX30" s="38">
        <f>[4]MVTAOUT2019!$N30</f>
        <v>0</v>
      </c>
      <c r="AY30" s="38">
        <f>[4]MVTAOUT2019!$O30</f>
        <v>0</v>
      </c>
      <c r="AZ30" s="38">
        <f t="shared" si="11"/>
        <v>1176000</v>
      </c>
      <c r="BA30" s="38">
        <f>[4]MVTAOUT2019!$Q30</f>
        <v>0</v>
      </c>
      <c r="BB30" s="38">
        <v>0</v>
      </c>
      <c r="BC30" s="38">
        <f t="shared" si="12"/>
        <v>129360</v>
      </c>
      <c r="BD30" s="38">
        <f t="shared" si="13"/>
        <v>1176000</v>
      </c>
      <c r="BE30" s="38">
        <f t="shared" si="14"/>
        <v>0</v>
      </c>
      <c r="BF30" s="64">
        <v>43678</v>
      </c>
      <c r="BG30" s="38">
        <v>56000</v>
      </c>
      <c r="BH30" s="39" t="s">
        <v>231</v>
      </c>
    </row>
    <row r="31" spans="1:60" x14ac:dyDescent="0.25">
      <c r="A31" s="32" t="s">
        <v>60</v>
      </c>
      <c r="B31" s="56" t="str">
        <f>VLOOKUP(A31,[3]LISTADHERENT!A$5:H$58,2,0)</f>
        <v>NGONGANG JEAN THEODORE</v>
      </c>
      <c r="C31" s="38"/>
      <c r="D31" s="38"/>
      <c r="E31" s="65"/>
      <c r="F31" s="38">
        <f>[4]MVTSEPT!$P31</f>
        <v>0</v>
      </c>
      <c r="G31" s="38">
        <f>[4]MVTSEPT!$Q31</f>
        <v>0</v>
      </c>
      <c r="H31" s="38">
        <f t="shared" si="0"/>
        <v>0</v>
      </c>
      <c r="I31" s="38">
        <f>[4]MVTSEPT!$S31</f>
        <v>0</v>
      </c>
      <c r="J31" s="38">
        <f>[4]MVTOCT!$N31</f>
        <v>0</v>
      </c>
      <c r="K31" s="38">
        <f>[4]MVTOCT!$O31</f>
        <v>0</v>
      </c>
      <c r="L31" s="38">
        <f t="shared" si="1"/>
        <v>0</v>
      </c>
      <c r="M31" s="38">
        <f>[4]MVTOCT!$Q31</f>
        <v>0</v>
      </c>
      <c r="N31" s="38">
        <f>[4]MVTNOV!$N31</f>
        <v>0</v>
      </c>
      <c r="O31" s="38">
        <f>[4]MVTNOV!$O31</f>
        <v>0</v>
      </c>
      <c r="P31" s="38">
        <f t="shared" si="2"/>
        <v>0</v>
      </c>
      <c r="Q31" s="38">
        <f>[4]MVTNOV!$Q31</f>
        <v>0</v>
      </c>
      <c r="R31" s="38">
        <f>[4]MVTDEC!$N31</f>
        <v>0</v>
      </c>
      <c r="S31" s="38">
        <f>[4]MVTDEC!$O31</f>
        <v>0</v>
      </c>
      <c r="T31" s="38">
        <f t="shared" si="3"/>
        <v>0</v>
      </c>
      <c r="U31" s="38">
        <f>[4]MVTDEC!$Q31</f>
        <v>0</v>
      </c>
      <c r="V31" s="38">
        <f>[4]MVTJANV!$N31</f>
        <v>0</v>
      </c>
      <c r="W31" s="38">
        <f>[4]MVTJANV!$O31</f>
        <v>0</v>
      </c>
      <c r="X31" s="38">
        <f t="shared" si="4"/>
        <v>0</v>
      </c>
      <c r="Y31" s="38">
        <f>[4]MVTJANV!$Q31</f>
        <v>0</v>
      </c>
      <c r="Z31" s="38">
        <f>[4]MVTFEV!$N31</f>
        <v>0</v>
      </c>
      <c r="AA31" s="38">
        <f>[4]MVTFEV!$O31</f>
        <v>0</v>
      </c>
      <c r="AB31" s="38">
        <f t="shared" si="5"/>
        <v>0</v>
      </c>
      <c r="AC31" s="38">
        <f>[4]MVTFEV!$Q31</f>
        <v>0</v>
      </c>
      <c r="AD31" s="38">
        <f>[4]MVTMARS!$N31</f>
        <v>0</v>
      </c>
      <c r="AE31" s="38">
        <f>[4]MVTMARS!$O31</f>
        <v>0</v>
      </c>
      <c r="AF31" s="38">
        <f t="shared" si="6"/>
        <v>0</v>
      </c>
      <c r="AG31" s="38">
        <f>[4]MVTMARS!$Q31</f>
        <v>0</v>
      </c>
      <c r="AH31" s="38">
        <f>[4]MVTAVRIL!$N31</f>
        <v>0</v>
      </c>
      <c r="AI31" s="38">
        <f>[4]MVTAVRIL!$O31</f>
        <v>0</v>
      </c>
      <c r="AJ31" s="38">
        <f t="shared" si="7"/>
        <v>0</v>
      </c>
      <c r="AK31" s="38">
        <f>[4]MVTAVRIL!$Q31</f>
        <v>0</v>
      </c>
      <c r="AL31" s="38">
        <f>[4]MVTMAI!$N31</f>
        <v>0</v>
      </c>
      <c r="AM31" s="38">
        <f>[4]MVTMAI!$O31</f>
        <v>0</v>
      </c>
      <c r="AN31" s="38">
        <f t="shared" si="8"/>
        <v>0</v>
      </c>
      <c r="AO31" s="38">
        <f>[4]MVTMAI!$Q31</f>
        <v>0</v>
      </c>
      <c r="AP31" s="38">
        <f>[4]MVTJUIN!$N31</f>
        <v>0</v>
      </c>
      <c r="AQ31" s="38">
        <f>[4]MVTJUIN!$O31</f>
        <v>0</v>
      </c>
      <c r="AR31" s="38">
        <f t="shared" si="9"/>
        <v>0</v>
      </c>
      <c r="AS31" s="38">
        <f>[4]MVTJUIN!$Q31</f>
        <v>0</v>
      </c>
      <c r="AT31" s="38">
        <f>[4]MVTJUIL!$N31</f>
        <v>0</v>
      </c>
      <c r="AU31" s="38">
        <f>[4]MVTJUIL!$O31</f>
        <v>0</v>
      </c>
      <c r="AV31" s="38">
        <f t="shared" si="10"/>
        <v>0</v>
      </c>
      <c r="AW31" s="38">
        <f>[4]MVTJUIL!$Q31</f>
        <v>0</v>
      </c>
      <c r="AX31" s="38">
        <f>[4]MVTAOUT2019!$N31</f>
        <v>0</v>
      </c>
      <c r="AY31" s="38">
        <f>[4]MVTAOUT2019!$O31</f>
        <v>0</v>
      </c>
      <c r="AZ31" s="38">
        <f t="shared" si="11"/>
        <v>0</v>
      </c>
      <c r="BA31" s="38">
        <f>[4]MVTAOUT2019!$Q31</f>
        <v>0</v>
      </c>
      <c r="BB31" s="38">
        <v>0</v>
      </c>
      <c r="BC31" s="38">
        <f t="shared" si="12"/>
        <v>0</v>
      </c>
      <c r="BD31" s="38">
        <f t="shared" si="13"/>
        <v>0</v>
      </c>
      <c r="BE31" s="38">
        <f t="shared" si="14"/>
        <v>0</v>
      </c>
      <c r="BF31" s="64">
        <v>43678</v>
      </c>
      <c r="BG31" s="38">
        <v>0</v>
      </c>
      <c r="BH31" s="39"/>
    </row>
    <row r="32" spans="1:60" x14ac:dyDescent="0.25">
      <c r="A32" s="32" t="s">
        <v>61</v>
      </c>
      <c r="B32" s="56" t="str">
        <f>VLOOKUP(A32,[3]LISTADHERENT!A$5:H$58,2,0)</f>
        <v>NGUIEMEGNI MATHIEU BLAISE</v>
      </c>
      <c r="C32" s="38"/>
      <c r="D32" s="38"/>
      <c r="E32" s="65"/>
      <c r="F32" s="38">
        <f>[4]MVTSEPT!$P32</f>
        <v>1000000</v>
      </c>
      <c r="G32" s="38">
        <f>[4]MVTSEPT!$Q32</f>
        <v>110000</v>
      </c>
      <c r="H32" s="38">
        <f t="shared" si="0"/>
        <v>1000000</v>
      </c>
      <c r="I32" s="38">
        <f>[4]MVTSEPT!$S32</f>
        <v>0</v>
      </c>
      <c r="J32" s="38">
        <f>[4]MVTOCT!$N32</f>
        <v>0</v>
      </c>
      <c r="K32" s="38">
        <f>[4]MVTOCT!$O32</f>
        <v>0</v>
      </c>
      <c r="L32" s="38">
        <f t="shared" si="1"/>
        <v>1000000</v>
      </c>
      <c r="M32" s="38">
        <f>[4]MVTOCT!$Q32</f>
        <v>0</v>
      </c>
      <c r="N32" s="38">
        <f>[4]MVTNOV!$N32</f>
        <v>0</v>
      </c>
      <c r="O32" s="38">
        <f>[4]MVTNOV!$O32</f>
        <v>0</v>
      </c>
      <c r="P32" s="38">
        <f t="shared" si="2"/>
        <v>1000000</v>
      </c>
      <c r="Q32" s="38">
        <f>[4]MVTNOV!$Q32</f>
        <v>0</v>
      </c>
      <c r="R32" s="38">
        <f>[4]MVTDEC!$N32</f>
        <v>0</v>
      </c>
      <c r="S32" s="38">
        <f>[4]MVTDEC!$O32</f>
        <v>0</v>
      </c>
      <c r="T32" s="38">
        <f t="shared" si="3"/>
        <v>1000000</v>
      </c>
      <c r="U32" s="38">
        <f>[4]MVTDEC!$Q32</f>
        <v>0</v>
      </c>
      <c r="V32" s="38">
        <f>[4]MVTJANV!$N32</f>
        <v>0</v>
      </c>
      <c r="W32" s="38">
        <f>[4]MVTJANV!$O32</f>
        <v>0</v>
      </c>
      <c r="X32" s="38">
        <f t="shared" si="4"/>
        <v>1000000</v>
      </c>
      <c r="Y32" s="38">
        <f>[4]MVTJANV!$Q32</f>
        <v>0</v>
      </c>
      <c r="Z32" s="38">
        <f>[4]MVTFEV!$N32</f>
        <v>0</v>
      </c>
      <c r="AA32" s="38">
        <f>[4]MVTFEV!$O32</f>
        <v>0</v>
      </c>
      <c r="AB32" s="38">
        <f t="shared" si="5"/>
        <v>1000000</v>
      </c>
      <c r="AC32" s="38">
        <f>[4]MVTFEV!$Q32</f>
        <v>0</v>
      </c>
      <c r="AD32" s="38">
        <f>[4]MVTMARS!$N32</f>
        <v>0</v>
      </c>
      <c r="AE32" s="38">
        <f>[4]MVTMARS!$O32</f>
        <v>0</v>
      </c>
      <c r="AF32" s="38">
        <f t="shared" si="6"/>
        <v>1000000</v>
      </c>
      <c r="AG32" s="38">
        <f>[4]MVTMARS!$Q32</f>
        <v>0</v>
      </c>
      <c r="AH32" s="38">
        <f>[4]MVTAVRIL!$N32</f>
        <v>0</v>
      </c>
      <c r="AI32" s="38">
        <f>[4]MVTAVRIL!$O32</f>
        <v>0</v>
      </c>
      <c r="AJ32" s="38">
        <f t="shared" si="7"/>
        <v>1000000</v>
      </c>
      <c r="AK32" s="38">
        <f>[4]MVTAVRIL!$Q32</f>
        <v>0</v>
      </c>
      <c r="AL32" s="38">
        <f>[4]MVTMAI!$N32</f>
        <v>0</v>
      </c>
      <c r="AM32" s="38">
        <f>[4]MVTMAI!$O32</f>
        <v>0</v>
      </c>
      <c r="AN32" s="38">
        <f t="shared" si="8"/>
        <v>1000000</v>
      </c>
      <c r="AO32" s="38">
        <f>[4]MVTMAI!$Q32</f>
        <v>0</v>
      </c>
      <c r="AP32" s="38">
        <f>[4]MVTJUIN!$N32</f>
        <v>0</v>
      </c>
      <c r="AQ32" s="38">
        <f>[4]MVTJUIN!$O32</f>
        <v>0</v>
      </c>
      <c r="AR32" s="38">
        <f t="shared" si="9"/>
        <v>1000000</v>
      </c>
      <c r="AS32" s="38">
        <f>[4]MVTJUIN!$Q32</f>
        <v>0</v>
      </c>
      <c r="AT32" s="38">
        <f>[4]MVTJUIL!$N32</f>
        <v>0</v>
      </c>
      <c r="AU32" s="38">
        <f>[4]MVTJUIL!$O32</f>
        <v>0</v>
      </c>
      <c r="AV32" s="38">
        <f t="shared" si="10"/>
        <v>1000000</v>
      </c>
      <c r="AW32" s="38">
        <f>[4]MVTJUIL!$Q32</f>
        <v>0</v>
      </c>
      <c r="AX32" s="38">
        <f>[4]MVTAOUT2019!$N32</f>
        <v>0</v>
      </c>
      <c r="AY32" s="38">
        <f>[4]MVTAOUT2019!$O32</f>
        <v>0</v>
      </c>
      <c r="AZ32" s="38">
        <f t="shared" si="11"/>
        <v>1000000</v>
      </c>
      <c r="BA32" s="38">
        <f>[4]MVTAOUT2019!$Q32</f>
        <v>0</v>
      </c>
      <c r="BB32" s="38">
        <v>0</v>
      </c>
      <c r="BC32" s="38">
        <f t="shared" si="12"/>
        <v>110000</v>
      </c>
      <c r="BD32" s="38">
        <f t="shared" si="13"/>
        <v>1000000</v>
      </c>
      <c r="BE32" s="38">
        <f t="shared" si="14"/>
        <v>0</v>
      </c>
      <c r="BF32" s="64">
        <v>43678</v>
      </c>
      <c r="BG32" s="38">
        <v>0</v>
      </c>
      <c r="BH32" s="39"/>
    </row>
    <row r="33" spans="1:60" x14ac:dyDescent="0.25">
      <c r="A33" s="32" t="s">
        <v>62</v>
      </c>
      <c r="B33" s="56" t="str">
        <f>VLOOKUP(A33,[3]LISTADHERENT!A$5:H$58,2,0)</f>
        <v>NJEPDJIO MBOUKAM DELUXE</v>
      </c>
      <c r="C33" s="38"/>
      <c r="D33" s="38"/>
      <c r="E33" s="65"/>
      <c r="F33" s="38">
        <f>[4]MVTSEPT!$P33</f>
        <v>700000</v>
      </c>
      <c r="G33" s="38">
        <f>[4]MVTSEPT!$Q33</f>
        <v>84000</v>
      </c>
      <c r="H33" s="38">
        <f t="shared" si="0"/>
        <v>700000</v>
      </c>
      <c r="I33" s="38">
        <f>[4]MVTSEPT!$S33</f>
        <v>0</v>
      </c>
      <c r="J33" s="38">
        <f>[4]MVTOCT!$N33</f>
        <v>0</v>
      </c>
      <c r="K33" s="38">
        <f>[4]MVTOCT!$O33</f>
        <v>0</v>
      </c>
      <c r="L33" s="38">
        <f t="shared" si="1"/>
        <v>700000</v>
      </c>
      <c r="M33" s="38">
        <f>[4]MVTOCT!$Q33</f>
        <v>0</v>
      </c>
      <c r="N33" s="38">
        <f>[4]MVTNOV!$N33</f>
        <v>0</v>
      </c>
      <c r="O33" s="38">
        <f>[4]MVTNOV!$O33</f>
        <v>0</v>
      </c>
      <c r="P33" s="38">
        <f t="shared" si="2"/>
        <v>700000</v>
      </c>
      <c r="Q33" s="38">
        <f>[4]MVTNOV!$Q33</f>
        <v>0</v>
      </c>
      <c r="R33" s="38">
        <f>[4]MVTDEC!$N33</f>
        <v>0</v>
      </c>
      <c r="S33" s="38">
        <f>[4]MVTDEC!$O33</f>
        <v>0</v>
      </c>
      <c r="T33" s="38">
        <f t="shared" si="3"/>
        <v>700000</v>
      </c>
      <c r="U33" s="38">
        <f>[4]MVTDEC!$Q33</f>
        <v>0</v>
      </c>
      <c r="V33" s="38">
        <f>[4]MVTJANV!$N33</f>
        <v>0</v>
      </c>
      <c r="W33" s="38">
        <f>[4]MVTJANV!$O33</f>
        <v>0</v>
      </c>
      <c r="X33" s="38">
        <f t="shared" si="4"/>
        <v>700000</v>
      </c>
      <c r="Y33" s="38">
        <f>[4]MVTJANV!$Q33</f>
        <v>0</v>
      </c>
      <c r="Z33" s="38">
        <f>[4]MVTFEV!$N33</f>
        <v>0</v>
      </c>
      <c r="AA33" s="38">
        <f>[4]MVTFEV!$O33</f>
        <v>0</v>
      </c>
      <c r="AB33" s="38">
        <f t="shared" si="5"/>
        <v>700000</v>
      </c>
      <c r="AC33" s="38">
        <f>[4]MVTFEV!$Q33</f>
        <v>0</v>
      </c>
      <c r="AD33" s="38">
        <f>[4]MVTMARS!$N33</f>
        <v>0</v>
      </c>
      <c r="AE33" s="38">
        <f>[4]MVTMARS!$O33</f>
        <v>0</v>
      </c>
      <c r="AF33" s="38">
        <f t="shared" si="6"/>
        <v>700000</v>
      </c>
      <c r="AG33" s="38">
        <f>[4]MVTMARS!$Q33</f>
        <v>0</v>
      </c>
      <c r="AH33" s="38">
        <f>[4]MVTAVRIL!$N33</f>
        <v>0</v>
      </c>
      <c r="AI33" s="38">
        <f>[4]MVTAVRIL!$O33</f>
        <v>0</v>
      </c>
      <c r="AJ33" s="38">
        <f t="shared" si="7"/>
        <v>700000</v>
      </c>
      <c r="AK33" s="38">
        <f>[4]MVTAVRIL!$Q33</f>
        <v>0</v>
      </c>
      <c r="AL33" s="38">
        <f>[4]MVTMAI!$N33</f>
        <v>0</v>
      </c>
      <c r="AM33" s="38">
        <f>[4]MVTMAI!$O33</f>
        <v>0</v>
      </c>
      <c r="AN33" s="38">
        <f t="shared" si="8"/>
        <v>700000</v>
      </c>
      <c r="AO33" s="38">
        <f>[4]MVTMAI!$Q33</f>
        <v>0</v>
      </c>
      <c r="AP33" s="38">
        <f>[4]MVTJUIN!$N33</f>
        <v>0</v>
      </c>
      <c r="AQ33" s="38">
        <f>[4]MVTJUIN!$O33</f>
        <v>0</v>
      </c>
      <c r="AR33" s="38">
        <f t="shared" si="9"/>
        <v>700000</v>
      </c>
      <c r="AS33" s="38">
        <f>[4]MVTJUIN!$Q33</f>
        <v>0</v>
      </c>
      <c r="AT33" s="38">
        <f>[4]MVTJUIL!$N33</f>
        <v>0</v>
      </c>
      <c r="AU33" s="38">
        <f>[4]MVTJUIL!$O33</f>
        <v>0</v>
      </c>
      <c r="AV33" s="38">
        <f t="shared" si="10"/>
        <v>700000</v>
      </c>
      <c r="AW33" s="38">
        <f>[4]MVTJUIL!$Q33</f>
        <v>0</v>
      </c>
      <c r="AX33" s="38">
        <f>[4]MVTAOUT2019!$N33</f>
        <v>0</v>
      </c>
      <c r="AY33" s="38">
        <f>[4]MVTAOUT2019!$O33</f>
        <v>0</v>
      </c>
      <c r="AZ33" s="38">
        <f t="shared" si="11"/>
        <v>700000</v>
      </c>
      <c r="BA33" s="38">
        <f>[4]MVTAOUT2019!$Q33</f>
        <v>0</v>
      </c>
      <c r="BB33" s="38">
        <v>0</v>
      </c>
      <c r="BC33" s="38">
        <f t="shared" si="12"/>
        <v>84000</v>
      </c>
      <c r="BD33" s="38">
        <f t="shared" si="13"/>
        <v>700000</v>
      </c>
      <c r="BE33" s="38">
        <f t="shared" si="14"/>
        <v>0</v>
      </c>
      <c r="BF33" s="64">
        <v>43678</v>
      </c>
      <c r="BG33" s="38">
        <v>0</v>
      </c>
      <c r="BH33" s="39"/>
    </row>
    <row r="34" spans="1:60" x14ac:dyDescent="0.25">
      <c r="A34" s="32" t="s">
        <v>63</v>
      </c>
      <c r="B34" s="56" t="str">
        <f>VLOOKUP(A34,[3]LISTADHERENT!A$5:H$58,2,0)</f>
        <v>NKAMGANG JUSTIN DEJOLIE</v>
      </c>
      <c r="C34" s="38"/>
      <c r="D34" s="38"/>
      <c r="E34" s="65"/>
      <c r="F34" s="38">
        <f>[4]MVTSEPT!$P34</f>
        <v>1000000</v>
      </c>
      <c r="G34" s="38">
        <f>[4]MVTSEPT!$Q34</f>
        <v>20000</v>
      </c>
      <c r="H34" s="38">
        <f t="shared" si="0"/>
        <v>1000000</v>
      </c>
      <c r="I34" s="38">
        <f>[4]MVTSEPT!$S34</f>
        <v>0</v>
      </c>
      <c r="J34" s="38">
        <f>[4]MVTOCT!$N34</f>
        <v>1000000</v>
      </c>
      <c r="K34" s="38">
        <f>[4]MVTOCT!$O34</f>
        <v>100000</v>
      </c>
      <c r="L34" s="38">
        <f t="shared" si="1"/>
        <v>1000000</v>
      </c>
      <c r="M34" s="38">
        <f>[4]MVTOCT!$Q34</f>
        <v>1000000</v>
      </c>
      <c r="N34" s="38">
        <f>[4]MVTNOV!$N34</f>
        <v>0</v>
      </c>
      <c r="O34" s="38">
        <f>[4]MVTNOV!$O34</f>
        <v>0</v>
      </c>
      <c r="P34" s="38">
        <f t="shared" si="2"/>
        <v>1000000</v>
      </c>
      <c r="Q34" s="38">
        <f>[4]MVTNOV!$Q34</f>
        <v>0</v>
      </c>
      <c r="R34" s="38">
        <f>[4]MVTDEC!$N34</f>
        <v>0</v>
      </c>
      <c r="S34" s="38">
        <f>[4]MVTDEC!$O34</f>
        <v>0</v>
      </c>
      <c r="T34" s="38">
        <f t="shared" si="3"/>
        <v>1000000</v>
      </c>
      <c r="U34" s="38">
        <f>[4]MVTDEC!$Q34</f>
        <v>0</v>
      </c>
      <c r="V34" s="38">
        <f>[4]MVTJANV!$N34</f>
        <v>0</v>
      </c>
      <c r="W34" s="38">
        <f>[4]MVTJANV!$O34</f>
        <v>0</v>
      </c>
      <c r="X34" s="38">
        <f t="shared" si="4"/>
        <v>1000000</v>
      </c>
      <c r="Y34" s="38">
        <f>[4]MVTJANV!$Q34</f>
        <v>0</v>
      </c>
      <c r="Z34" s="38">
        <f>[4]MVTFEV!$N34</f>
        <v>0</v>
      </c>
      <c r="AA34" s="38">
        <f>[4]MVTFEV!$O34</f>
        <v>0</v>
      </c>
      <c r="AB34" s="38">
        <f t="shared" si="5"/>
        <v>1000000</v>
      </c>
      <c r="AC34" s="38">
        <f>[4]MVTFEV!$Q34</f>
        <v>0</v>
      </c>
      <c r="AD34" s="38">
        <f>[4]MVTMARS!$N34</f>
        <v>0</v>
      </c>
      <c r="AE34" s="38">
        <f>[4]MVTMARS!$O34</f>
        <v>0</v>
      </c>
      <c r="AF34" s="38">
        <f t="shared" si="6"/>
        <v>1000000</v>
      </c>
      <c r="AG34" s="38">
        <f>[4]MVTMARS!$Q34</f>
        <v>0</v>
      </c>
      <c r="AH34" s="38">
        <f>[4]MVTAVRIL!$N34</f>
        <v>0</v>
      </c>
      <c r="AI34" s="38">
        <f>[4]MVTAVRIL!$O34</f>
        <v>0</v>
      </c>
      <c r="AJ34" s="38">
        <f t="shared" si="7"/>
        <v>1000000</v>
      </c>
      <c r="AK34" s="38">
        <f>[4]MVTAVRIL!$Q34</f>
        <v>0</v>
      </c>
      <c r="AL34" s="38">
        <f>[4]MVTMAI!$N34</f>
        <v>0</v>
      </c>
      <c r="AM34" s="38">
        <f>[4]MVTMAI!$O34</f>
        <v>0</v>
      </c>
      <c r="AN34" s="38">
        <f t="shared" si="8"/>
        <v>1000000</v>
      </c>
      <c r="AO34" s="38">
        <f>[4]MVTMAI!$Q34</f>
        <v>0</v>
      </c>
      <c r="AP34" s="38">
        <f>[4]MVTJUIN!$N34</f>
        <v>0</v>
      </c>
      <c r="AQ34" s="38">
        <f>[4]MVTJUIN!$O34</f>
        <v>0</v>
      </c>
      <c r="AR34" s="38">
        <f t="shared" si="9"/>
        <v>1000000</v>
      </c>
      <c r="AS34" s="38">
        <f>[4]MVTJUIN!$Q34</f>
        <v>0</v>
      </c>
      <c r="AT34" s="38">
        <f>[4]MVTJUIL!$N34</f>
        <v>0</v>
      </c>
      <c r="AU34" s="38">
        <f>[4]MVTJUIL!$O34</f>
        <v>0</v>
      </c>
      <c r="AV34" s="38">
        <f t="shared" si="10"/>
        <v>1000000</v>
      </c>
      <c r="AW34" s="38">
        <f>[4]MVTJUIL!$Q34</f>
        <v>0</v>
      </c>
      <c r="AX34" s="38">
        <f>[4]MVTAOUT2019!$N34</f>
        <v>0</v>
      </c>
      <c r="AY34" s="38">
        <f>[4]MVTAOUT2019!$O34</f>
        <v>0</v>
      </c>
      <c r="AZ34" s="38">
        <f t="shared" si="11"/>
        <v>1000000</v>
      </c>
      <c r="BA34" s="38">
        <f>[4]MVTAOUT2019!$Q34</f>
        <v>0</v>
      </c>
      <c r="BB34" s="38">
        <v>0</v>
      </c>
      <c r="BC34" s="38">
        <f t="shared" si="12"/>
        <v>120000</v>
      </c>
      <c r="BD34" s="38">
        <f t="shared" si="13"/>
        <v>1000000</v>
      </c>
      <c r="BE34" s="38">
        <f t="shared" si="14"/>
        <v>1000000</v>
      </c>
      <c r="BF34" s="64">
        <v>43678</v>
      </c>
      <c r="BG34" s="38">
        <v>0</v>
      </c>
      <c r="BH34" s="39"/>
    </row>
    <row r="35" spans="1:60" x14ac:dyDescent="0.25">
      <c r="A35" s="32" t="s">
        <v>49</v>
      </c>
      <c r="B35" s="56" t="str">
        <f>VLOOKUP(A35,[3]LISTADHERENT!A$5:H$58,2,0)</f>
        <v>NKEHE DAVID</v>
      </c>
      <c r="C35" s="38"/>
      <c r="D35" s="65"/>
      <c r="E35" s="65"/>
      <c r="F35" s="38">
        <f>[4]MVTSEPT!$P35</f>
        <v>1000000</v>
      </c>
      <c r="G35" s="38">
        <f>[4]MVTSEPT!$Q35</f>
        <v>120000</v>
      </c>
      <c r="H35" s="38">
        <f t="shared" si="0"/>
        <v>1000000</v>
      </c>
      <c r="I35" s="38">
        <f>[4]MVTSEPT!$S35</f>
        <v>0</v>
      </c>
      <c r="J35" s="38">
        <f>[4]MVTOCT!$N35</f>
        <v>0</v>
      </c>
      <c r="K35" s="38">
        <f>[4]MVTOCT!$O35</f>
        <v>0</v>
      </c>
      <c r="L35" s="38">
        <f t="shared" si="1"/>
        <v>1000000</v>
      </c>
      <c r="M35" s="38">
        <f>[4]MVTOCT!$Q35</f>
        <v>0</v>
      </c>
      <c r="N35" s="38">
        <f>[4]MVTNOV!$N35</f>
        <v>0</v>
      </c>
      <c r="O35" s="38">
        <f>[4]MVTNOV!$O35</f>
        <v>0</v>
      </c>
      <c r="P35" s="38">
        <f t="shared" si="2"/>
        <v>1000000</v>
      </c>
      <c r="Q35" s="38">
        <f>[4]MVTNOV!$Q35</f>
        <v>0</v>
      </c>
      <c r="R35" s="38">
        <f>[4]MVTDEC!$N35</f>
        <v>0</v>
      </c>
      <c r="S35" s="38">
        <f>[4]MVTDEC!$O35</f>
        <v>0</v>
      </c>
      <c r="T35" s="38">
        <f t="shared" si="3"/>
        <v>1000000</v>
      </c>
      <c r="U35" s="38">
        <f>[4]MVTDEC!$Q35</f>
        <v>0</v>
      </c>
      <c r="V35" s="38">
        <f>[4]MVTJANV!$N35</f>
        <v>0</v>
      </c>
      <c r="W35" s="38">
        <f>[4]MVTJANV!$O35</f>
        <v>0</v>
      </c>
      <c r="X35" s="38">
        <f t="shared" si="4"/>
        <v>1000000</v>
      </c>
      <c r="Y35" s="38">
        <f>[4]MVTJANV!$Q35</f>
        <v>0</v>
      </c>
      <c r="Z35" s="38">
        <f>[4]MVTFEV!$N35</f>
        <v>0</v>
      </c>
      <c r="AA35" s="38">
        <f>[4]MVTFEV!$O35</f>
        <v>0</v>
      </c>
      <c r="AB35" s="38">
        <f t="shared" si="5"/>
        <v>1000000</v>
      </c>
      <c r="AC35" s="38">
        <f>[4]MVTFEV!$Q35</f>
        <v>0</v>
      </c>
      <c r="AD35" s="38">
        <f>[4]MVTMARS!$N35</f>
        <v>0</v>
      </c>
      <c r="AE35" s="38">
        <f>[4]MVTMARS!$O35</f>
        <v>0</v>
      </c>
      <c r="AF35" s="38">
        <f t="shared" si="6"/>
        <v>1000000</v>
      </c>
      <c r="AG35" s="38">
        <f>[4]MVTMARS!$Q35</f>
        <v>0</v>
      </c>
      <c r="AH35" s="38">
        <f>[4]MVTAVRIL!$N35</f>
        <v>0</v>
      </c>
      <c r="AI35" s="38">
        <f>[4]MVTAVRIL!$O35</f>
        <v>0</v>
      </c>
      <c r="AJ35" s="38">
        <f t="shared" si="7"/>
        <v>1000000</v>
      </c>
      <c r="AK35" s="38">
        <f>[4]MVTAVRIL!$Q35</f>
        <v>0</v>
      </c>
      <c r="AL35" s="38">
        <f>[4]MVTMAI!$N35</f>
        <v>0</v>
      </c>
      <c r="AM35" s="38">
        <f>[4]MVTMAI!$O35</f>
        <v>0</v>
      </c>
      <c r="AN35" s="38">
        <f t="shared" si="8"/>
        <v>1000000</v>
      </c>
      <c r="AO35" s="38">
        <f>[4]MVTMAI!$Q35</f>
        <v>0</v>
      </c>
      <c r="AP35" s="38">
        <f>[4]MVTJUIN!$N35</f>
        <v>0</v>
      </c>
      <c r="AQ35" s="38">
        <f>[4]MVTJUIN!$O35</f>
        <v>0</v>
      </c>
      <c r="AR35" s="38">
        <f t="shared" si="9"/>
        <v>1000000</v>
      </c>
      <c r="AS35" s="38">
        <f>[4]MVTJUIN!$Q35</f>
        <v>0</v>
      </c>
      <c r="AT35" s="38">
        <f>[4]MVTJUIL!$N35</f>
        <v>0</v>
      </c>
      <c r="AU35" s="38">
        <f>[4]MVTJUIL!$O35</f>
        <v>0</v>
      </c>
      <c r="AV35" s="38">
        <f t="shared" si="10"/>
        <v>1000000</v>
      </c>
      <c r="AW35" s="38">
        <f>[4]MVTJUIL!$Q35</f>
        <v>0</v>
      </c>
      <c r="AX35" s="38">
        <f>[4]MVTAOUT2019!$N35</f>
        <v>0</v>
      </c>
      <c r="AY35" s="38">
        <f>[4]MVTAOUT2019!$O35</f>
        <v>0</v>
      </c>
      <c r="AZ35" s="38">
        <f t="shared" si="11"/>
        <v>1000000</v>
      </c>
      <c r="BA35" s="38">
        <f>[4]MVTAOUT2019!$Q35</f>
        <v>0</v>
      </c>
      <c r="BB35" s="38">
        <v>0</v>
      </c>
      <c r="BC35" s="38">
        <f t="shared" si="12"/>
        <v>120000</v>
      </c>
      <c r="BD35" s="38">
        <f t="shared" si="13"/>
        <v>1000000</v>
      </c>
      <c r="BE35" s="38">
        <f t="shared" si="14"/>
        <v>0</v>
      </c>
      <c r="BF35" s="64">
        <v>43678</v>
      </c>
      <c r="BG35" s="38">
        <v>0</v>
      </c>
      <c r="BH35" s="39"/>
    </row>
    <row r="36" spans="1:60" x14ac:dyDescent="0.25">
      <c r="A36" s="32" t="s">
        <v>64</v>
      </c>
      <c r="B36" s="56" t="str">
        <f>VLOOKUP(A36,[3]LISTADHERENT!A$5:H$58,2,0)</f>
        <v>NKEPSEU DIEUDONNE</v>
      </c>
      <c r="C36" s="38"/>
      <c r="D36" s="38"/>
      <c r="E36" s="65"/>
      <c r="F36" s="38">
        <f>[4]MVTSEPT!$P36</f>
        <v>1000000</v>
      </c>
      <c r="G36" s="38">
        <f>[4]MVTSEPT!$Q36</f>
        <v>110000</v>
      </c>
      <c r="H36" s="38">
        <f t="shared" si="0"/>
        <v>1000000</v>
      </c>
      <c r="I36" s="38">
        <f>[4]MVTSEPT!$S36</f>
        <v>0</v>
      </c>
      <c r="J36" s="38">
        <f>[4]MVTOCT!$N36</f>
        <v>0</v>
      </c>
      <c r="K36" s="38">
        <f>[4]MVTOCT!$O36</f>
        <v>0</v>
      </c>
      <c r="L36" s="38">
        <f t="shared" si="1"/>
        <v>1000000</v>
      </c>
      <c r="M36" s="38">
        <f>[4]MVTOCT!$Q36</f>
        <v>0</v>
      </c>
      <c r="N36" s="38">
        <f>[4]MVTNOV!$N36</f>
        <v>0</v>
      </c>
      <c r="O36" s="38">
        <f>[4]MVTNOV!$O36</f>
        <v>0</v>
      </c>
      <c r="P36" s="38">
        <f t="shared" si="2"/>
        <v>1000000</v>
      </c>
      <c r="Q36" s="38">
        <f>[4]MVTNOV!$Q36</f>
        <v>0</v>
      </c>
      <c r="R36" s="38">
        <f>[4]MVTDEC!$N36</f>
        <v>0</v>
      </c>
      <c r="S36" s="38">
        <f>[4]MVTDEC!$O36</f>
        <v>0</v>
      </c>
      <c r="T36" s="38">
        <f t="shared" si="3"/>
        <v>1000000</v>
      </c>
      <c r="U36" s="38">
        <f>[4]MVTDEC!$Q36</f>
        <v>0</v>
      </c>
      <c r="V36" s="38">
        <f>[4]MVTJANV!$N36</f>
        <v>0</v>
      </c>
      <c r="W36" s="38">
        <f>[4]MVTJANV!$O36</f>
        <v>0</v>
      </c>
      <c r="X36" s="38">
        <f t="shared" si="4"/>
        <v>1000000</v>
      </c>
      <c r="Y36" s="38">
        <f>[4]MVTJANV!$Q36</f>
        <v>0</v>
      </c>
      <c r="Z36" s="38">
        <f>[4]MVTFEV!$N36</f>
        <v>0</v>
      </c>
      <c r="AA36" s="38">
        <f>[4]MVTFEV!$O36</f>
        <v>0</v>
      </c>
      <c r="AB36" s="38">
        <f t="shared" si="5"/>
        <v>1000000</v>
      </c>
      <c r="AC36" s="38">
        <f>[4]MVTFEV!$Q36</f>
        <v>0</v>
      </c>
      <c r="AD36" s="38">
        <f>[4]MVTMARS!$N36</f>
        <v>0</v>
      </c>
      <c r="AE36" s="38">
        <f>[4]MVTMARS!$O36</f>
        <v>0</v>
      </c>
      <c r="AF36" s="38">
        <f t="shared" si="6"/>
        <v>1000000</v>
      </c>
      <c r="AG36" s="38">
        <f>[4]MVTMARS!$Q36</f>
        <v>0</v>
      </c>
      <c r="AH36" s="38">
        <f>[4]MVTAVRIL!$N36</f>
        <v>0</v>
      </c>
      <c r="AI36" s="38">
        <f>[4]MVTAVRIL!$O36</f>
        <v>0</v>
      </c>
      <c r="AJ36" s="38">
        <f t="shared" si="7"/>
        <v>1000000</v>
      </c>
      <c r="AK36" s="38">
        <f>[4]MVTAVRIL!$Q36</f>
        <v>0</v>
      </c>
      <c r="AL36" s="38">
        <f>[4]MVTMAI!$N36</f>
        <v>0</v>
      </c>
      <c r="AM36" s="38">
        <f>[4]MVTMAI!$O36</f>
        <v>0</v>
      </c>
      <c r="AN36" s="38">
        <f t="shared" si="8"/>
        <v>1000000</v>
      </c>
      <c r="AO36" s="38">
        <f>[4]MVTMAI!$Q36</f>
        <v>0</v>
      </c>
      <c r="AP36" s="38">
        <f>[4]MVTJUIN!$N36</f>
        <v>0</v>
      </c>
      <c r="AQ36" s="38">
        <f>[4]MVTJUIN!$O36</f>
        <v>0</v>
      </c>
      <c r="AR36" s="38">
        <f t="shared" si="9"/>
        <v>1000000</v>
      </c>
      <c r="AS36" s="38">
        <f>[4]MVTJUIN!$Q36</f>
        <v>0</v>
      </c>
      <c r="AT36" s="38">
        <f>[4]MVTJUIL!$N36</f>
        <v>0</v>
      </c>
      <c r="AU36" s="38">
        <f>[4]MVTJUIL!$O36</f>
        <v>0</v>
      </c>
      <c r="AV36" s="38">
        <f t="shared" si="10"/>
        <v>1000000</v>
      </c>
      <c r="AW36" s="38">
        <f>[4]MVTJUIL!$Q36</f>
        <v>0</v>
      </c>
      <c r="AX36" s="38">
        <f>[4]MVTAOUT2019!$N36</f>
        <v>0</v>
      </c>
      <c r="AY36" s="38">
        <f>[4]MVTAOUT2019!$O36</f>
        <v>0</v>
      </c>
      <c r="AZ36" s="38">
        <f t="shared" si="11"/>
        <v>1000000</v>
      </c>
      <c r="BA36" s="38">
        <f>[4]MVTAOUT2019!$Q36</f>
        <v>0</v>
      </c>
      <c r="BB36" s="38">
        <v>0</v>
      </c>
      <c r="BC36" s="38">
        <f t="shared" si="12"/>
        <v>110000</v>
      </c>
      <c r="BD36" s="38">
        <f t="shared" si="13"/>
        <v>1000000</v>
      </c>
      <c r="BE36" s="38">
        <f t="shared" si="14"/>
        <v>0</v>
      </c>
      <c r="BF36" s="64">
        <v>43678</v>
      </c>
      <c r="BG36" s="38">
        <v>0</v>
      </c>
      <c r="BH36" s="39"/>
    </row>
    <row r="37" spans="1:60" x14ac:dyDescent="0.25">
      <c r="A37" s="32" t="s">
        <v>68</v>
      </c>
      <c r="B37" s="56" t="str">
        <f>VLOOKUP(A37,[3]LISTADHERENT!A$5:H$58,2,0)</f>
        <v>PATEGO NJOSSU GUSTAVE</v>
      </c>
      <c r="C37" s="38"/>
      <c r="D37" s="38"/>
      <c r="E37" s="65"/>
      <c r="F37" s="38">
        <f>[4]MVTSEPT!$P37</f>
        <v>0</v>
      </c>
      <c r="G37" s="38">
        <f>[4]MVTSEPT!$Q37</f>
        <v>0</v>
      </c>
      <c r="H37" s="38">
        <f t="shared" si="0"/>
        <v>0</v>
      </c>
      <c r="I37" s="38">
        <f>[4]MVTSEPT!$S37</f>
        <v>0</v>
      </c>
      <c r="J37" s="38">
        <f>[4]MVTOCT!$N37</f>
        <v>0</v>
      </c>
      <c r="K37" s="38">
        <f>[4]MVTOCT!$O37</f>
        <v>0</v>
      </c>
      <c r="L37" s="38">
        <f t="shared" si="1"/>
        <v>0</v>
      </c>
      <c r="M37" s="38">
        <f>[4]MVTOCT!$Q37</f>
        <v>0</v>
      </c>
      <c r="N37" s="38">
        <f>[4]MVTNOV!$N37</f>
        <v>0</v>
      </c>
      <c r="O37" s="38">
        <f>[4]MVTNOV!$O37</f>
        <v>0</v>
      </c>
      <c r="P37" s="38">
        <f t="shared" si="2"/>
        <v>0</v>
      </c>
      <c r="Q37" s="38">
        <f>[4]MVTNOV!$Q37</f>
        <v>0</v>
      </c>
      <c r="R37" s="38">
        <f>[4]MVTDEC!$N37</f>
        <v>0</v>
      </c>
      <c r="S37" s="38">
        <f>[4]MVTDEC!$O37</f>
        <v>0</v>
      </c>
      <c r="T37" s="38">
        <f t="shared" si="3"/>
        <v>0</v>
      </c>
      <c r="U37" s="38">
        <f>[4]MVTDEC!$Q37</f>
        <v>0</v>
      </c>
      <c r="V37" s="38">
        <f>[4]MVTJANV!$N37</f>
        <v>0</v>
      </c>
      <c r="W37" s="38">
        <f>[4]MVTJANV!$O37</f>
        <v>0</v>
      </c>
      <c r="X37" s="38">
        <f t="shared" si="4"/>
        <v>0</v>
      </c>
      <c r="Y37" s="38">
        <f>[4]MVTJANV!$Q37</f>
        <v>0</v>
      </c>
      <c r="Z37" s="38">
        <f>[4]MVTFEV!$N37</f>
        <v>0</v>
      </c>
      <c r="AA37" s="38">
        <f>[4]MVTFEV!$O37</f>
        <v>0</v>
      </c>
      <c r="AB37" s="38">
        <f t="shared" si="5"/>
        <v>0</v>
      </c>
      <c r="AC37" s="38">
        <f>[4]MVTFEV!$Q37</f>
        <v>0</v>
      </c>
      <c r="AD37" s="38">
        <f>[4]MVTMARS!$N37</f>
        <v>0</v>
      </c>
      <c r="AE37" s="38">
        <f>[4]MVTMARS!$O37</f>
        <v>0</v>
      </c>
      <c r="AF37" s="38">
        <f t="shared" si="6"/>
        <v>0</v>
      </c>
      <c r="AG37" s="38">
        <f>[4]MVTMARS!$Q37</f>
        <v>0</v>
      </c>
      <c r="AH37" s="38">
        <f>[4]MVTAVRIL!$N37</f>
        <v>0</v>
      </c>
      <c r="AI37" s="38">
        <f>[4]MVTAVRIL!$O37</f>
        <v>0</v>
      </c>
      <c r="AJ37" s="38">
        <f t="shared" si="7"/>
        <v>0</v>
      </c>
      <c r="AK37" s="38">
        <f>[4]MVTAVRIL!$Q37</f>
        <v>0</v>
      </c>
      <c r="AL37" s="38">
        <f>[4]MVTMAI!$N37</f>
        <v>0</v>
      </c>
      <c r="AM37" s="38">
        <f>[4]MVTMAI!$O37</f>
        <v>0</v>
      </c>
      <c r="AN37" s="38">
        <f t="shared" si="8"/>
        <v>0</v>
      </c>
      <c r="AO37" s="38">
        <f>[4]MVTMAI!$Q37</f>
        <v>0</v>
      </c>
      <c r="AP37" s="38">
        <f>[4]MVTJUIN!$N37</f>
        <v>0</v>
      </c>
      <c r="AQ37" s="38">
        <f>[4]MVTJUIN!$O37</f>
        <v>0</v>
      </c>
      <c r="AR37" s="38">
        <f t="shared" si="9"/>
        <v>0</v>
      </c>
      <c r="AS37" s="38">
        <f>[4]MVTJUIN!$Q37</f>
        <v>0</v>
      </c>
      <c r="AT37" s="38">
        <f>[4]MVTJUIL!$N37</f>
        <v>0</v>
      </c>
      <c r="AU37" s="38">
        <f>[4]MVTJUIL!$O37</f>
        <v>0</v>
      </c>
      <c r="AV37" s="38">
        <f t="shared" si="10"/>
        <v>0</v>
      </c>
      <c r="AW37" s="38">
        <f>[4]MVTJUIL!$Q37</f>
        <v>0</v>
      </c>
      <c r="AX37" s="38">
        <f>[4]MVTAOUT2019!$N37</f>
        <v>0</v>
      </c>
      <c r="AY37" s="38">
        <f>[4]MVTAOUT2019!$O37</f>
        <v>0</v>
      </c>
      <c r="AZ37" s="38">
        <f t="shared" si="11"/>
        <v>0</v>
      </c>
      <c r="BA37" s="38">
        <f>[4]MVTAOUT2019!$Q37</f>
        <v>0</v>
      </c>
      <c r="BB37" s="38">
        <v>0</v>
      </c>
      <c r="BC37" s="38">
        <f t="shared" si="12"/>
        <v>0</v>
      </c>
      <c r="BD37" s="38">
        <f t="shared" si="13"/>
        <v>0</v>
      </c>
      <c r="BE37" s="38">
        <f t="shared" si="14"/>
        <v>0</v>
      </c>
      <c r="BF37" s="64">
        <v>43678</v>
      </c>
      <c r="BG37" s="38">
        <v>0</v>
      </c>
      <c r="BH37" s="39"/>
    </row>
    <row r="38" spans="1:60" x14ac:dyDescent="0.25">
      <c r="A38" s="32" t="s">
        <v>69</v>
      </c>
      <c r="B38" s="56" t="str">
        <f>VLOOKUP(A38,[3]LISTADHERENT!A$5:H$58,2,0)</f>
        <v>SEUNOU RICHELOT</v>
      </c>
      <c r="C38" s="38"/>
      <c r="D38" s="65">
        <v>1040000</v>
      </c>
      <c r="E38" s="65"/>
      <c r="F38" s="38">
        <f>[4]MVTSEPT!$P38</f>
        <v>1111752</v>
      </c>
      <c r="G38" s="38">
        <f>111752+40000</f>
        <v>151752</v>
      </c>
      <c r="H38" s="38">
        <f t="shared" si="0"/>
        <v>1111752</v>
      </c>
      <c r="I38" s="38">
        <f>[4]MVTSEPT!$S38</f>
        <v>0</v>
      </c>
      <c r="J38" s="38">
        <f>[4]MVTOCT!$N38</f>
        <v>0</v>
      </c>
      <c r="K38" s="38">
        <f>[4]MVTOCT!$O38</f>
        <v>0</v>
      </c>
      <c r="L38" s="38">
        <f t="shared" si="1"/>
        <v>1111752</v>
      </c>
      <c r="M38" s="38">
        <f>[4]MVTOCT!$Q38</f>
        <v>0</v>
      </c>
      <c r="N38" s="38">
        <f>[4]MVTNOV!$N38</f>
        <v>0</v>
      </c>
      <c r="O38" s="38">
        <f>[4]MVTNOV!$O38</f>
        <v>0</v>
      </c>
      <c r="P38" s="38">
        <f t="shared" si="2"/>
        <v>1111752</v>
      </c>
      <c r="Q38" s="38">
        <f>[4]MVTNOV!$Q38</f>
        <v>0</v>
      </c>
      <c r="R38" s="38">
        <f>[4]MVTDEC!$N38</f>
        <v>0</v>
      </c>
      <c r="S38" s="38">
        <f>[4]MVTDEC!$O38</f>
        <v>0</v>
      </c>
      <c r="T38" s="38">
        <f t="shared" si="3"/>
        <v>1111752</v>
      </c>
      <c r="U38" s="38">
        <f>[4]MVTDEC!$Q38</f>
        <v>0</v>
      </c>
      <c r="V38" s="38">
        <f>[4]MVTJANV!$N38</f>
        <v>0</v>
      </c>
      <c r="W38" s="38">
        <f>[4]MVTJANV!$O38</f>
        <v>0</v>
      </c>
      <c r="X38" s="38">
        <f t="shared" si="4"/>
        <v>1111752</v>
      </c>
      <c r="Y38" s="38">
        <f>[4]MVTJANV!$Q38</f>
        <v>0</v>
      </c>
      <c r="Z38" s="38">
        <f>[4]MVTFEV!$N38</f>
        <v>0</v>
      </c>
      <c r="AA38" s="38">
        <f>[4]MVTFEV!$O38</f>
        <v>0</v>
      </c>
      <c r="AB38" s="38">
        <f t="shared" si="5"/>
        <v>1111752</v>
      </c>
      <c r="AC38" s="38">
        <f>[4]MVTFEV!$Q38</f>
        <v>0</v>
      </c>
      <c r="AD38" s="38">
        <f>[4]MVTMARS!$N38</f>
        <v>0</v>
      </c>
      <c r="AE38" s="38">
        <f>[4]MVTMARS!$O38</f>
        <v>0</v>
      </c>
      <c r="AF38" s="38">
        <f t="shared" si="6"/>
        <v>1111752</v>
      </c>
      <c r="AG38" s="38">
        <f>[4]MVTMARS!$Q38</f>
        <v>0</v>
      </c>
      <c r="AH38" s="38">
        <f>[4]MVTAVRIL!$N38</f>
        <v>0</v>
      </c>
      <c r="AI38" s="38">
        <f>[4]MVTAVRIL!$O38</f>
        <v>0</v>
      </c>
      <c r="AJ38" s="38">
        <f t="shared" si="7"/>
        <v>1111752</v>
      </c>
      <c r="AK38" s="38">
        <f>[4]MVTAVRIL!$Q38</f>
        <v>0</v>
      </c>
      <c r="AL38" s="38">
        <f>[4]MVTMAI!$N38</f>
        <v>0</v>
      </c>
      <c r="AM38" s="38">
        <f>[4]MVTMAI!$O38</f>
        <v>0</v>
      </c>
      <c r="AN38" s="38">
        <f t="shared" si="8"/>
        <v>1111752</v>
      </c>
      <c r="AO38" s="38">
        <f>[4]MVTMAI!$Q38</f>
        <v>0</v>
      </c>
      <c r="AP38" s="38">
        <f>[4]MVTJUIN!$N38</f>
        <v>0</v>
      </c>
      <c r="AQ38" s="38">
        <f>[4]MVTJUIN!$O38</f>
        <v>0</v>
      </c>
      <c r="AR38" s="38">
        <f t="shared" si="9"/>
        <v>1111752</v>
      </c>
      <c r="AS38" s="38">
        <f>[4]MVTJUIN!$Q38</f>
        <v>0</v>
      </c>
      <c r="AT38" s="38">
        <f>[4]MVTJUIL!$N38</f>
        <v>0</v>
      </c>
      <c r="AU38" s="38">
        <f>[4]MVTJUIL!$O38</f>
        <v>0</v>
      </c>
      <c r="AV38" s="38">
        <f t="shared" si="10"/>
        <v>1111752</v>
      </c>
      <c r="AW38" s="38">
        <f>[4]MVTJUIL!$Q38</f>
        <v>0</v>
      </c>
      <c r="AX38" s="38">
        <f>[4]MVTAOUT2019!$N38</f>
        <v>0</v>
      </c>
      <c r="AY38" s="38">
        <f>[4]MVTAOUT2019!$O38</f>
        <v>0</v>
      </c>
      <c r="AZ38" s="38">
        <f t="shared" si="11"/>
        <v>1111752</v>
      </c>
      <c r="BA38" s="38">
        <f>[4]MVTAOUT2019!$Q38</f>
        <v>0</v>
      </c>
      <c r="BB38" s="38">
        <v>0</v>
      </c>
      <c r="BC38" s="38">
        <f t="shared" si="12"/>
        <v>151752</v>
      </c>
      <c r="BD38" s="38">
        <f t="shared" si="13"/>
        <v>1111752</v>
      </c>
      <c r="BE38" s="38">
        <f t="shared" si="14"/>
        <v>0</v>
      </c>
      <c r="BF38" s="64">
        <v>43678</v>
      </c>
      <c r="BG38" s="38">
        <v>52000</v>
      </c>
      <c r="BH38" s="39" t="s">
        <v>231</v>
      </c>
    </row>
    <row r="39" spans="1:60" x14ac:dyDescent="0.25">
      <c r="A39" s="32" t="s">
        <v>226</v>
      </c>
      <c r="B39" s="56" t="str">
        <f>VLOOKUP(A39,[3]LISTADHERENT!A$5:H$58,2,0)</f>
        <v>SIME BRICE</v>
      </c>
      <c r="C39" s="38"/>
      <c r="D39" s="38"/>
      <c r="E39" s="65"/>
      <c r="F39" s="38">
        <f>[4]MVTSEPT!$P39</f>
        <v>0</v>
      </c>
      <c r="G39" s="38">
        <f>[4]MVTSEPT!$Q39</f>
        <v>0</v>
      </c>
      <c r="H39" s="38">
        <f t="shared" si="0"/>
        <v>0</v>
      </c>
      <c r="I39" s="38">
        <f>[4]MVTSEPT!$S39</f>
        <v>0</v>
      </c>
      <c r="J39" s="38">
        <f>[4]MVTOCT!$N39</f>
        <v>0</v>
      </c>
      <c r="K39" s="38">
        <f>[4]MVTOCT!$O39</f>
        <v>0</v>
      </c>
      <c r="L39" s="38">
        <f t="shared" si="1"/>
        <v>0</v>
      </c>
      <c r="M39" s="38">
        <f>[4]MVTOCT!$Q39</f>
        <v>0</v>
      </c>
      <c r="N39" s="38">
        <f>[4]MVTNOV!$N39</f>
        <v>0</v>
      </c>
      <c r="O39" s="38">
        <f>[4]MVTNOV!$O39</f>
        <v>0</v>
      </c>
      <c r="P39" s="38">
        <f t="shared" si="2"/>
        <v>0</v>
      </c>
      <c r="Q39" s="38">
        <f>[4]MVTNOV!$Q39</f>
        <v>0</v>
      </c>
      <c r="R39" s="38">
        <f>[4]MVTDEC!$N39</f>
        <v>0</v>
      </c>
      <c r="S39" s="38">
        <f>[4]MVTDEC!$O39</f>
        <v>0</v>
      </c>
      <c r="T39" s="38">
        <f t="shared" si="3"/>
        <v>0</v>
      </c>
      <c r="U39" s="38">
        <f>[4]MVTDEC!$Q39</f>
        <v>0</v>
      </c>
      <c r="V39" s="38">
        <f>[4]MVTJANV!$N39</f>
        <v>0</v>
      </c>
      <c r="W39" s="38">
        <f>[4]MVTJANV!$O39</f>
        <v>0</v>
      </c>
      <c r="X39" s="38">
        <f t="shared" si="4"/>
        <v>0</v>
      </c>
      <c r="Y39" s="38">
        <f>[4]MVTJANV!$Q39</f>
        <v>0</v>
      </c>
      <c r="Z39" s="38">
        <f>[4]MVTFEV!$N39</f>
        <v>0</v>
      </c>
      <c r="AA39" s="38">
        <f>[4]MVTFEV!$O39</f>
        <v>0</v>
      </c>
      <c r="AB39" s="38">
        <f t="shared" si="5"/>
        <v>0</v>
      </c>
      <c r="AC39" s="38">
        <f>[4]MVTFEV!$Q39</f>
        <v>0</v>
      </c>
      <c r="AD39" s="38">
        <f>[4]MVTMARS!$N39</f>
        <v>0</v>
      </c>
      <c r="AE39" s="38">
        <f>[4]MVTMARS!$O39</f>
        <v>0</v>
      </c>
      <c r="AF39" s="38">
        <f t="shared" si="6"/>
        <v>0</v>
      </c>
      <c r="AG39" s="38">
        <f>[4]MVTMARS!$Q39</f>
        <v>0</v>
      </c>
      <c r="AH39" s="38">
        <f>[4]MVTAVRIL!$N39</f>
        <v>0</v>
      </c>
      <c r="AI39" s="38">
        <f>[4]MVTAVRIL!$O39</f>
        <v>0</v>
      </c>
      <c r="AJ39" s="38">
        <f t="shared" si="7"/>
        <v>0</v>
      </c>
      <c r="AK39" s="38">
        <f>[4]MVTAVRIL!$Q39</f>
        <v>0</v>
      </c>
      <c r="AL39" s="38">
        <f>[4]MVTMAI!$N39</f>
        <v>0</v>
      </c>
      <c r="AM39" s="38">
        <f>[4]MVTMAI!$O39</f>
        <v>0</v>
      </c>
      <c r="AN39" s="38">
        <f t="shared" si="8"/>
        <v>0</v>
      </c>
      <c r="AO39" s="38">
        <f>[4]MVTMAI!$Q39</f>
        <v>0</v>
      </c>
      <c r="AP39" s="38">
        <f>[4]MVTJUIN!$N39</f>
        <v>0</v>
      </c>
      <c r="AQ39" s="38">
        <f>[4]MVTJUIN!$O39</f>
        <v>0</v>
      </c>
      <c r="AR39" s="38">
        <f t="shared" si="9"/>
        <v>0</v>
      </c>
      <c r="AS39" s="38">
        <f>[4]MVTJUIN!$Q39</f>
        <v>0</v>
      </c>
      <c r="AT39" s="38">
        <f>[4]MVTJUIL!$N39</f>
        <v>0</v>
      </c>
      <c r="AU39" s="38">
        <f>[4]MVTJUIL!$O39</f>
        <v>0</v>
      </c>
      <c r="AV39" s="38">
        <f t="shared" si="10"/>
        <v>0</v>
      </c>
      <c r="AW39" s="38">
        <f>[4]MVTJUIL!$Q39</f>
        <v>0</v>
      </c>
      <c r="AX39" s="38">
        <f>[4]MVTAOUT2019!$N39</f>
        <v>0</v>
      </c>
      <c r="AY39" s="38">
        <f>[4]MVTAOUT2019!$O39</f>
        <v>0</v>
      </c>
      <c r="AZ39" s="38">
        <f t="shared" si="11"/>
        <v>0</v>
      </c>
      <c r="BA39" s="38">
        <f>[4]MVTAOUT2019!$Q39</f>
        <v>0</v>
      </c>
      <c r="BB39" s="38">
        <v>0</v>
      </c>
      <c r="BC39" s="38">
        <f t="shared" si="12"/>
        <v>0</v>
      </c>
      <c r="BD39" s="38">
        <f t="shared" si="13"/>
        <v>0</v>
      </c>
      <c r="BE39" s="38">
        <f t="shared" si="14"/>
        <v>0</v>
      </c>
      <c r="BF39" s="64">
        <v>43678</v>
      </c>
      <c r="BG39" s="38"/>
      <c r="BH39" s="39"/>
    </row>
    <row r="40" spans="1:60" x14ac:dyDescent="0.25">
      <c r="A40" s="32" t="s">
        <v>71</v>
      </c>
      <c r="B40" s="56" t="str">
        <f>VLOOKUP(A40,[3]LISTADHERENT!A$5:H$58,2,0)</f>
        <v>SIME FONGANG ERIC</v>
      </c>
      <c r="C40" s="38"/>
      <c r="D40" s="65">
        <v>1120000</v>
      </c>
      <c r="E40" s="65"/>
      <c r="F40" s="38">
        <f>[4]MVTSEPT!$P40</f>
        <v>1000000</v>
      </c>
      <c r="G40" s="38">
        <f>[4]MVTSEPT!$Q40</f>
        <v>90000</v>
      </c>
      <c r="H40" s="38">
        <f t="shared" si="0"/>
        <v>1000000</v>
      </c>
      <c r="I40" s="38">
        <f>[4]MVTSEPT!$S40</f>
        <v>0</v>
      </c>
      <c r="J40" s="38">
        <f>[4]MVTOCT!$N40</f>
        <v>0</v>
      </c>
      <c r="K40" s="38">
        <f>[4]MVTOCT!$O40</f>
        <v>0</v>
      </c>
      <c r="L40" s="38">
        <f t="shared" si="1"/>
        <v>1000000</v>
      </c>
      <c r="M40" s="38">
        <f>[4]MVTOCT!$Q40</f>
        <v>0</v>
      </c>
      <c r="N40" s="38">
        <f>[4]MVTNOV!$N40</f>
        <v>0</v>
      </c>
      <c r="O40" s="38">
        <f>[4]MVTNOV!$O40</f>
        <v>0</v>
      </c>
      <c r="P40" s="38">
        <f t="shared" si="2"/>
        <v>1000000</v>
      </c>
      <c r="Q40" s="38">
        <f>[4]MVTNOV!$Q40</f>
        <v>0</v>
      </c>
      <c r="R40" s="38">
        <f>[4]MVTDEC!$N40</f>
        <v>0</v>
      </c>
      <c r="S40" s="38">
        <f>[4]MVTDEC!$O40</f>
        <v>0</v>
      </c>
      <c r="T40" s="38">
        <f t="shared" si="3"/>
        <v>1000000</v>
      </c>
      <c r="U40" s="38">
        <f>[4]MVTDEC!$Q40</f>
        <v>0</v>
      </c>
      <c r="V40" s="38">
        <f>[4]MVTJANV!$N40</f>
        <v>0</v>
      </c>
      <c r="W40" s="38">
        <f>[4]MVTJANV!$O40</f>
        <v>0</v>
      </c>
      <c r="X40" s="38">
        <f t="shared" si="4"/>
        <v>1000000</v>
      </c>
      <c r="Y40" s="38">
        <f>[4]MVTJANV!$Q40</f>
        <v>0</v>
      </c>
      <c r="Z40" s="38">
        <f>[4]MVTFEV!$N40</f>
        <v>0</v>
      </c>
      <c r="AA40" s="38">
        <f>[4]MVTFEV!$O40</f>
        <v>0</v>
      </c>
      <c r="AB40" s="38">
        <f t="shared" si="5"/>
        <v>1000000</v>
      </c>
      <c r="AC40" s="38">
        <f>[4]MVTFEV!$Q40</f>
        <v>0</v>
      </c>
      <c r="AD40" s="38">
        <f>[4]MVTMARS!$N40</f>
        <v>0</v>
      </c>
      <c r="AE40" s="38">
        <f>[4]MVTMARS!$O40</f>
        <v>0</v>
      </c>
      <c r="AF40" s="38">
        <f t="shared" si="6"/>
        <v>1000000</v>
      </c>
      <c r="AG40" s="38">
        <f>[4]MVTMARS!$Q40</f>
        <v>0</v>
      </c>
      <c r="AH40" s="38">
        <f>[4]MVTAVRIL!$N40</f>
        <v>0</v>
      </c>
      <c r="AI40" s="38">
        <f>[4]MVTAVRIL!$O40</f>
        <v>0</v>
      </c>
      <c r="AJ40" s="38">
        <f t="shared" si="7"/>
        <v>1000000</v>
      </c>
      <c r="AK40" s="38">
        <f>[4]MVTAVRIL!$Q40</f>
        <v>0</v>
      </c>
      <c r="AL40" s="38">
        <f>[4]MVTMAI!$N40</f>
        <v>0</v>
      </c>
      <c r="AM40" s="38">
        <f>[4]MVTMAI!$O40</f>
        <v>0</v>
      </c>
      <c r="AN40" s="38">
        <f t="shared" si="8"/>
        <v>1000000</v>
      </c>
      <c r="AO40" s="38">
        <f>[4]MVTMAI!$Q40</f>
        <v>0</v>
      </c>
      <c r="AP40" s="38">
        <f>[4]MVTJUIN!$N40</f>
        <v>0</v>
      </c>
      <c r="AQ40" s="38">
        <f>[4]MVTJUIN!$O40</f>
        <v>0</v>
      </c>
      <c r="AR40" s="38">
        <f t="shared" si="9"/>
        <v>1000000</v>
      </c>
      <c r="AS40" s="38">
        <f>[4]MVTJUIN!$Q40</f>
        <v>0</v>
      </c>
      <c r="AT40" s="38">
        <f>[4]MVTJUIL!$N40</f>
        <v>0</v>
      </c>
      <c r="AU40" s="38">
        <f>[4]MVTJUIL!$O40</f>
        <v>0</v>
      </c>
      <c r="AV40" s="38">
        <f t="shared" si="10"/>
        <v>1000000</v>
      </c>
      <c r="AW40" s="38">
        <f>[4]MVTJUIL!$Q40</f>
        <v>0</v>
      </c>
      <c r="AX40" s="38">
        <f>[4]MVTAOUT2019!$N40</f>
        <v>0</v>
      </c>
      <c r="AY40" s="38">
        <f>[4]MVTAOUT2019!$O40</f>
        <v>0</v>
      </c>
      <c r="AZ40" s="38">
        <f t="shared" si="11"/>
        <v>1000000</v>
      </c>
      <c r="BA40" s="38">
        <f>[4]MVTAOUT2019!$Q40</f>
        <v>0</v>
      </c>
      <c r="BB40" s="38">
        <v>0</v>
      </c>
      <c r="BC40" s="38">
        <f t="shared" si="12"/>
        <v>90000</v>
      </c>
      <c r="BD40" s="38">
        <f t="shared" si="13"/>
        <v>1000000</v>
      </c>
      <c r="BE40" s="38">
        <f t="shared" si="14"/>
        <v>0</v>
      </c>
      <c r="BF40" s="64">
        <v>43678</v>
      </c>
      <c r="BG40" s="38">
        <v>50000</v>
      </c>
      <c r="BH40" s="39" t="s">
        <v>231</v>
      </c>
    </row>
    <row r="41" spans="1:60" x14ac:dyDescent="0.25">
      <c r="A41" s="32" t="s">
        <v>72</v>
      </c>
      <c r="B41" s="56" t="str">
        <f>VLOOKUP(A41,[3]LISTADHERENT!A$5:H$58,2,0)</f>
        <v>SIME MATHIEU</v>
      </c>
      <c r="C41" s="38"/>
      <c r="D41" s="65">
        <v>193000</v>
      </c>
      <c r="E41" s="65"/>
      <c r="F41" s="38">
        <f>[4]MVTSEPT!$P41</f>
        <v>184035</v>
      </c>
      <c r="G41" s="38">
        <f>[4]MVTSEPT!$Q41</f>
        <v>20243.849999999999</v>
      </c>
      <c r="H41" s="38">
        <f t="shared" si="0"/>
        <v>184035</v>
      </c>
      <c r="I41" s="38">
        <f>[4]MVTSEPT!$S41</f>
        <v>0</v>
      </c>
      <c r="J41" s="38">
        <f>[4]MVTOCT!$N41</f>
        <v>0</v>
      </c>
      <c r="K41" s="38">
        <f>[4]MVTOCT!$O41</f>
        <v>0</v>
      </c>
      <c r="L41" s="38">
        <f t="shared" si="1"/>
        <v>134035</v>
      </c>
      <c r="M41" s="38">
        <f>[4]MVTOCT!$Q41</f>
        <v>50000</v>
      </c>
      <c r="N41" s="38">
        <f>[4]MVTNOV!$N41</f>
        <v>0</v>
      </c>
      <c r="O41" s="38">
        <f>[4]MVTNOV!$O41</f>
        <v>0</v>
      </c>
      <c r="P41" s="38">
        <f t="shared" si="2"/>
        <v>134035</v>
      </c>
      <c r="Q41" s="38">
        <f>[4]MVTNOV!$Q41</f>
        <v>0</v>
      </c>
      <c r="R41" s="38">
        <f>[4]MVTDEC!$N41</f>
        <v>0</v>
      </c>
      <c r="S41" s="38">
        <f>[4]MVTDEC!$O41</f>
        <v>0</v>
      </c>
      <c r="T41" s="38">
        <f t="shared" si="3"/>
        <v>0</v>
      </c>
      <c r="U41" s="38">
        <f>[4]MVTDEC!$Q41</f>
        <v>134035</v>
      </c>
      <c r="V41" s="38">
        <f>[4]MVTJANV!$N41</f>
        <v>0</v>
      </c>
      <c r="W41" s="38">
        <f>[4]MVTJANV!$O41</f>
        <v>0</v>
      </c>
      <c r="X41" s="38">
        <f t="shared" si="4"/>
        <v>0</v>
      </c>
      <c r="Y41" s="38">
        <f>[4]MVTJANV!$Q41</f>
        <v>0</v>
      </c>
      <c r="Z41" s="38">
        <f>[4]MVTFEV!$N41</f>
        <v>0</v>
      </c>
      <c r="AA41" s="38">
        <f>[4]MVTFEV!$O41</f>
        <v>0</v>
      </c>
      <c r="AB41" s="38">
        <f t="shared" si="5"/>
        <v>0</v>
      </c>
      <c r="AC41" s="38">
        <f>[4]MVTFEV!$Q41</f>
        <v>0</v>
      </c>
      <c r="AD41" s="38">
        <f>[4]MVTMARS!$N41</f>
        <v>0</v>
      </c>
      <c r="AE41" s="38">
        <f>[4]MVTMARS!$O41</f>
        <v>0</v>
      </c>
      <c r="AF41" s="38">
        <f t="shared" si="6"/>
        <v>0</v>
      </c>
      <c r="AG41" s="38">
        <f>[4]MVTMARS!$Q41</f>
        <v>0</v>
      </c>
      <c r="AH41" s="38">
        <f>[4]MVTAVRIL!$N41</f>
        <v>0</v>
      </c>
      <c r="AI41" s="38">
        <f>[4]MVTAVRIL!$O41</f>
        <v>0</v>
      </c>
      <c r="AJ41" s="38">
        <f t="shared" si="7"/>
        <v>0</v>
      </c>
      <c r="AK41" s="38">
        <f>[4]MVTAVRIL!$Q41</f>
        <v>0</v>
      </c>
      <c r="AL41" s="38">
        <f>[4]MVTMAI!$N41</f>
        <v>0</v>
      </c>
      <c r="AM41" s="38">
        <f>[4]MVTMAI!$O41</f>
        <v>0</v>
      </c>
      <c r="AN41" s="38">
        <f t="shared" si="8"/>
        <v>0</v>
      </c>
      <c r="AO41" s="38">
        <f>[4]MVTMAI!$Q41</f>
        <v>0</v>
      </c>
      <c r="AP41" s="38">
        <f>[4]MVTJUIN!$N41</f>
        <v>0</v>
      </c>
      <c r="AQ41" s="38">
        <f>[4]MVTJUIN!$O41</f>
        <v>0</v>
      </c>
      <c r="AR41" s="38">
        <f t="shared" si="9"/>
        <v>0</v>
      </c>
      <c r="AS41" s="38">
        <f>[4]MVTJUIN!$Q41</f>
        <v>0</v>
      </c>
      <c r="AT41" s="38">
        <f>[4]MVTJUIL!$N41</f>
        <v>0</v>
      </c>
      <c r="AU41" s="38">
        <f>[4]MVTJUIL!$O41</f>
        <v>0</v>
      </c>
      <c r="AV41" s="38">
        <f t="shared" si="10"/>
        <v>0</v>
      </c>
      <c r="AW41" s="38">
        <f>[4]MVTJUIL!$Q41</f>
        <v>0</v>
      </c>
      <c r="AX41" s="38">
        <f>[4]MVTAOUT2019!$N41</f>
        <v>0</v>
      </c>
      <c r="AY41" s="38">
        <f>[4]MVTAOUT2019!$O41</f>
        <v>0</v>
      </c>
      <c r="AZ41" s="38">
        <f t="shared" si="11"/>
        <v>0</v>
      </c>
      <c r="BA41" s="38">
        <f>[4]MVTAOUT2019!$Q41</f>
        <v>0</v>
      </c>
      <c r="BB41" s="38">
        <v>0</v>
      </c>
      <c r="BC41" s="38">
        <f t="shared" si="12"/>
        <v>20243.849999999999</v>
      </c>
      <c r="BD41" s="38">
        <f t="shared" si="13"/>
        <v>0</v>
      </c>
      <c r="BE41" s="38">
        <f t="shared" si="14"/>
        <v>184035</v>
      </c>
      <c r="BF41" s="64">
        <v>43678</v>
      </c>
      <c r="BG41" s="38">
        <v>9650</v>
      </c>
      <c r="BH41" s="39" t="s">
        <v>231</v>
      </c>
    </row>
    <row r="42" spans="1:60" x14ac:dyDescent="0.25">
      <c r="A42" s="32" t="s">
        <v>73</v>
      </c>
      <c r="B42" s="56" t="str">
        <f>VLOOKUP(A42,[3]LISTADHERENT!A$5:H$58,2,0)</f>
        <v>SIME PIERRE</v>
      </c>
      <c r="C42" s="38"/>
      <c r="D42" s="65">
        <v>290000</v>
      </c>
      <c r="E42" s="65"/>
      <c r="F42" s="38">
        <f>[4]MVTSEPT!$P42</f>
        <v>304500</v>
      </c>
      <c r="G42" s="38">
        <f>[4]MVTSEPT!$Q42</f>
        <v>33495</v>
      </c>
      <c r="H42" s="38">
        <f t="shared" si="0"/>
        <v>74253</v>
      </c>
      <c r="I42" s="38">
        <f>[4]MVTSEPT!$S42</f>
        <v>230247</v>
      </c>
      <c r="J42" s="38">
        <f>[4]MVTOCT!$N42</f>
        <v>500000</v>
      </c>
      <c r="K42" s="38">
        <f>[4]MVTOCT!$O42</f>
        <v>50000</v>
      </c>
      <c r="L42" s="38">
        <f t="shared" si="1"/>
        <v>574253</v>
      </c>
      <c r="M42" s="38">
        <f>[4]MVTOCT!$Q42</f>
        <v>0</v>
      </c>
      <c r="N42" s="38">
        <f>[4]MVTNOV!$N42</f>
        <v>0</v>
      </c>
      <c r="O42" s="38">
        <f>[4]MVTNOV!$O42</f>
        <v>0</v>
      </c>
      <c r="P42" s="38">
        <f t="shared" si="2"/>
        <v>574253</v>
      </c>
      <c r="Q42" s="38">
        <f>[4]MVTNOV!$Q42</f>
        <v>0</v>
      </c>
      <c r="R42" s="38">
        <f>[4]MVTDEC!$N42</f>
        <v>0</v>
      </c>
      <c r="S42" s="38">
        <f>[4]MVTDEC!$O42</f>
        <v>0</v>
      </c>
      <c r="T42" s="38">
        <f t="shared" si="3"/>
        <v>574253</v>
      </c>
      <c r="U42" s="38">
        <f>[4]MVTDEC!$Q42</f>
        <v>0</v>
      </c>
      <c r="V42" s="38">
        <f>[4]MVTJANV!$N42</f>
        <v>0</v>
      </c>
      <c r="W42" s="38">
        <f>[4]MVTJANV!$O42</f>
        <v>0</v>
      </c>
      <c r="X42" s="38">
        <f t="shared" si="4"/>
        <v>574253</v>
      </c>
      <c r="Y42" s="38">
        <f>[4]MVTJANV!$Q42</f>
        <v>0</v>
      </c>
      <c r="Z42" s="38">
        <f>[4]MVTFEV!$N42</f>
        <v>0</v>
      </c>
      <c r="AA42" s="38">
        <f>[4]MVTFEV!$O42</f>
        <v>0</v>
      </c>
      <c r="AB42" s="38">
        <f t="shared" si="5"/>
        <v>574253</v>
      </c>
      <c r="AC42" s="38">
        <f>[4]MVTFEV!$Q42</f>
        <v>0</v>
      </c>
      <c r="AD42" s="38">
        <f>[4]MVTMARS!$N42</f>
        <v>0</v>
      </c>
      <c r="AE42" s="38">
        <f>[4]MVTMARS!$O42</f>
        <v>0</v>
      </c>
      <c r="AF42" s="38">
        <f t="shared" si="6"/>
        <v>574253</v>
      </c>
      <c r="AG42" s="38">
        <f>[4]MVTMARS!$Q42</f>
        <v>0</v>
      </c>
      <c r="AH42" s="38">
        <f>[4]MVTAVRIL!$N42</f>
        <v>0</v>
      </c>
      <c r="AI42" s="38">
        <f>[4]MVTAVRIL!$O42</f>
        <v>0</v>
      </c>
      <c r="AJ42" s="38">
        <f t="shared" si="7"/>
        <v>574253</v>
      </c>
      <c r="AK42" s="38">
        <f>[4]MVTAVRIL!$Q42</f>
        <v>0</v>
      </c>
      <c r="AL42" s="38">
        <f>[4]MVTMAI!$N42</f>
        <v>0</v>
      </c>
      <c r="AM42" s="38">
        <f>[4]MVTMAI!$O42</f>
        <v>0</v>
      </c>
      <c r="AN42" s="38">
        <f t="shared" si="8"/>
        <v>574253</v>
      </c>
      <c r="AO42" s="38">
        <f>[4]MVTMAI!$Q42</f>
        <v>0</v>
      </c>
      <c r="AP42" s="38">
        <f>[4]MVTJUIN!$N42</f>
        <v>0</v>
      </c>
      <c r="AQ42" s="38">
        <f>[4]MVTJUIN!$O42</f>
        <v>0</v>
      </c>
      <c r="AR42" s="38">
        <f t="shared" si="9"/>
        <v>574253</v>
      </c>
      <c r="AS42" s="38">
        <f>[4]MVTJUIN!$Q42</f>
        <v>0</v>
      </c>
      <c r="AT42" s="38">
        <f>[4]MVTJUIL!$N42</f>
        <v>0</v>
      </c>
      <c r="AU42" s="38">
        <f>[4]MVTJUIL!$O42</f>
        <v>0</v>
      </c>
      <c r="AV42" s="38">
        <f t="shared" si="10"/>
        <v>574253</v>
      </c>
      <c r="AW42" s="38">
        <f>[4]MVTJUIL!$Q42</f>
        <v>0</v>
      </c>
      <c r="AX42" s="38">
        <f>[4]MVTAOUT2019!$N42</f>
        <v>0</v>
      </c>
      <c r="AY42" s="38">
        <f>[4]MVTAOUT2019!$O42</f>
        <v>0</v>
      </c>
      <c r="AZ42" s="38">
        <f t="shared" si="11"/>
        <v>574253</v>
      </c>
      <c r="BA42" s="38">
        <f>[4]MVTAOUT2019!$Q42</f>
        <v>0</v>
      </c>
      <c r="BB42" s="38">
        <v>0</v>
      </c>
      <c r="BC42" s="38">
        <f t="shared" si="12"/>
        <v>83495</v>
      </c>
      <c r="BD42" s="38">
        <f t="shared" si="13"/>
        <v>574253</v>
      </c>
      <c r="BE42" s="38">
        <f t="shared" si="14"/>
        <v>230247</v>
      </c>
      <c r="BF42" s="64">
        <v>43678</v>
      </c>
      <c r="BG42" s="38">
        <v>14500</v>
      </c>
      <c r="BH42" s="39" t="s">
        <v>231</v>
      </c>
    </row>
    <row r="43" spans="1:60" x14ac:dyDescent="0.25">
      <c r="A43" s="32" t="s">
        <v>76</v>
      </c>
      <c r="B43" s="56" t="str">
        <f>VLOOKUP(A43,[3]LISTADHERENT!A$5:H$58,2,0)</f>
        <v>TCHOUAMOU MATHIEU</v>
      </c>
      <c r="C43" s="38"/>
      <c r="D43" s="38"/>
      <c r="E43" s="65"/>
      <c r="F43" s="38">
        <f>[4]MVTSEPT!$P43</f>
        <v>0</v>
      </c>
      <c r="G43" s="38">
        <f>[4]MVTSEPT!$Q43</f>
        <v>0</v>
      </c>
      <c r="H43" s="38">
        <f t="shared" ref="H43:H48" si="15">F43-I43</f>
        <v>0</v>
      </c>
      <c r="I43" s="38">
        <f>[4]MVTSEPT!$S43</f>
        <v>0</v>
      </c>
      <c r="J43" s="38">
        <f>[4]MVTOCT!$N43</f>
        <v>0</v>
      </c>
      <c r="K43" s="38">
        <f>[4]MVTOCT!$O43</f>
        <v>0</v>
      </c>
      <c r="L43" s="38">
        <f t="shared" ref="L43:L48" si="16">H43+J43-M43</f>
        <v>0</v>
      </c>
      <c r="M43" s="38">
        <f>[4]MVTOCT!$Q43</f>
        <v>0</v>
      </c>
      <c r="N43" s="38">
        <f>[4]MVTNOV!$N43</f>
        <v>1000000</v>
      </c>
      <c r="O43" s="38">
        <f>[4]MVTNOV!$O43</f>
        <v>90000</v>
      </c>
      <c r="P43" s="38">
        <f t="shared" ref="P43:P48" si="17">L43+N43-Q43</f>
        <v>1000000</v>
      </c>
      <c r="Q43" s="38">
        <f>[4]MVTNOV!$Q43</f>
        <v>0</v>
      </c>
      <c r="R43" s="38">
        <f>[4]MVTDEC!$N43</f>
        <v>0</v>
      </c>
      <c r="S43" s="38">
        <f>[4]MVTDEC!$O43</f>
        <v>0</v>
      </c>
      <c r="T43" s="38">
        <f t="shared" ref="T43:T48" si="18">P43+R43-U43</f>
        <v>1000000</v>
      </c>
      <c r="U43" s="38">
        <f>[4]MVTDEC!$Q43</f>
        <v>0</v>
      </c>
      <c r="V43" s="38">
        <f>[4]MVTJANV!$N43</f>
        <v>0</v>
      </c>
      <c r="W43" s="38">
        <f>[4]MVTJANV!$O43</f>
        <v>0</v>
      </c>
      <c r="X43" s="38">
        <f t="shared" ref="X43:X48" si="19">T43+V43-Y43</f>
        <v>1000000</v>
      </c>
      <c r="Y43" s="38">
        <f>[4]MVTJANV!$Q43</f>
        <v>0</v>
      </c>
      <c r="Z43" s="38">
        <f>[4]MVTFEV!$N43</f>
        <v>0</v>
      </c>
      <c r="AA43" s="38">
        <f>[4]MVTFEV!$O43</f>
        <v>0</v>
      </c>
      <c r="AB43" s="38">
        <f t="shared" ref="AB43:AB48" si="20">X43+Z43-AC43</f>
        <v>1000000</v>
      </c>
      <c r="AC43" s="38">
        <f>[4]MVTFEV!$Q43</f>
        <v>0</v>
      </c>
      <c r="AD43" s="38">
        <f>[4]MVTMARS!$N43</f>
        <v>0</v>
      </c>
      <c r="AE43" s="38">
        <f>[4]MVTMARS!$O43</f>
        <v>0</v>
      </c>
      <c r="AF43" s="38">
        <f t="shared" ref="AF43:AF48" si="21">AB43+AD43-AG43</f>
        <v>1000000</v>
      </c>
      <c r="AG43" s="38">
        <f>[4]MVTMARS!$Q43</f>
        <v>0</v>
      </c>
      <c r="AH43" s="38">
        <f>[4]MVTAVRIL!$N43</f>
        <v>0</v>
      </c>
      <c r="AI43" s="38">
        <f>[4]MVTAVRIL!$O43</f>
        <v>0</v>
      </c>
      <c r="AJ43" s="38">
        <f t="shared" ref="AJ43:AJ48" si="22">AF43+AH43-AK43</f>
        <v>1000000</v>
      </c>
      <c r="AK43" s="38">
        <f>[4]MVTAVRIL!$Q43</f>
        <v>0</v>
      </c>
      <c r="AL43" s="38">
        <f>[4]MVTMAI!$N43</f>
        <v>0</v>
      </c>
      <c r="AM43" s="38">
        <f>[4]MVTMAI!$O43</f>
        <v>0</v>
      </c>
      <c r="AN43" s="38">
        <f t="shared" ref="AN43:AN48" si="23">AJ43+AL43-AO43</f>
        <v>1000000</v>
      </c>
      <c r="AO43" s="38">
        <f>[4]MVTMAI!$Q43</f>
        <v>0</v>
      </c>
      <c r="AP43" s="38">
        <f>[4]MVTJUIN!$N43</f>
        <v>0</v>
      </c>
      <c r="AQ43" s="38">
        <f>[4]MVTJUIN!$O43</f>
        <v>0</v>
      </c>
      <c r="AR43" s="38">
        <f t="shared" ref="AR43:AR48" si="24">AN43+AP43-AS43</f>
        <v>1000000</v>
      </c>
      <c r="AS43" s="38">
        <f>[4]MVTJUIN!$Q43</f>
        <v>0</v>
      </c>
      <c r="AT43" s="38">
        <f>[4]MVTJUIL!$N43</f>
        <v>0</v>
      </c>
      <c r="AU43" s="38">
        <f>[4]MVTJUIL!$O43</f>
        <v>0</v>
      </c>
      <c r="AV43" s="38">
        <f t="shared" ref="AV43:AV48" si="25">AR43+AT43-AW43</f>
        <v>1000000</v>
      </c>
      <c r="AW43" s="38">
        <f>[4]MVTJUIL!$Q43</f>
        <v>0</v>
      </c>
      <c r="AX43" s="38">
        <f>[4]MVTAOUT2019!$N43</f>
        <v>0</v>
      </c>
      <c r="AY43" s="38">
        <f>[4]MVTAOUT2019!$O43</f>
        <v>0</v>
      </c>
      <c r="AZ43" s="38">
        <f t="shared" ref="AZ43:AZ48" si="26">AV43+AX43-BA43</f>
        <v>1000000</v>
      </c>
      <c r="BA43" s="38">
        <f>[4]MVTAOUT2019!$Q43</f>
        <v>0</v>
      </c>
      <c r="BB43" s="38">
        <v>1</v>
      </c>
      <c r="BC43" s="38">
        <f t="shared" ref="BC43:BC48" si="27">G43+K43+O43+S43+W43+AA43+AE43+AI43+AM43+AQ43+AU43+AY43</f>
        <v>90000</v>
      </c>
      <c r="BD43" s="38">
        <f t="shared" ref="BD43:BD48" si="28">AZ43</f>
        <v>1000000</v>
      </c>
      <c r="BE43" s="38">
        <f t="shared" ref="BE43:BE48" si="29">I43+M43+Q43+U43+Y43+AC43+AG43+AK43+AO43+AS43+AW43+BA43</f>
        <v>0</v>
      </c>
      <c r="BF43" s="64">
        <v>43678</v>
      </c>
      <c r="BG43" s="38">
        <v>0</v>
      </c>
      <c r="BH43" s="39"/>
    </row>
    <row r="44" spans="1:60" x14ac:dyDescent="0.25">
      <c r="A44" s="32" t="s">
        <v>77</v>
      </c>
      <c r="B44" s="56" t="str">
        <f>VLOOKUP(A44,[3]LISTADHERENT!A$5:H$58,2,0)</f>
        <v>TCHOUANTE FRANCOIS</v>
      </c>
      <c r="C44" s="38"/>
      <c r="D44" s="65">
        <v>851500</v>
      </c>
      <c r="E44" s="65"/>
      <c r="F44" s="38">
        <f>[4]MVTSEPT!$P44</f>
        <v>850000</v>
      </c>
      <c r="G44" s="38">
        <f>[4]MVTSEPT!$Q44</f>
        <v>95000</v>
      </c>
      <c r="H44" s="38">
        <f t="shared" si="15"/>
        <v>850000</v>
      </c>
      <c r="I44" s="38">
        <f>[4]MVTSEPT!$S44</f>
        <v>0</v>
      </c>
      <c r="J44" s="38">
        <f>[4]MVTOCT!$N44</f>
        <v>0</v>
      </c>
      <c r="K44" s="38">
        <f>[4]MVTOCT!$O44</f>
        <v>0</v>
      </c>
      <c r="L44" s="38">
        <f t="shared" si="16"/>
        <v>850000</v>
      </c>
      <c r="M44" s="38">
        <f>[4]MVTOCT!$Q44</f>
        <v>0</v>
      </c>
      <c r="N44" s="38">
        <f>[4]MVTNOV!$N44</f>
        <v>0</v>
      </c>
      <c r="O44" s="38">
        <f>[4]MVTNOV!$O44</f>
        <v>0</v>
      </c>
      <c r="P44" s="38">
        <f t="shared" si="17"/>
        <v>850000</v>
      </c>
      <c r="Q44" s="38">
        <f>[4]MVTNOV!$Q44</f>
        <v>0</v>
      </c>
      <c r="R44" s="38">
        <f>[4]MVTDEC!$N44</f>
        <v>0</v>
      </c>
      <c r="S44" s="38">
        <f>[4]MVTDEC!$O44</f>
        <v>0</v>
      </c>
      <c r="T44" s="38">
        <f t="shared" si="18"/>
        <v>850000</v>
      </c>
      <c r="U44" s="38">
        <f>[4]MVTDEC!$Q44</f>
        <v>0</v>
      </c>
      <c r="V44" s="38">
        <f>[4]MVTJANV!$N44</f>
        <v>0</v>
      </c>
      <c r="W44" s="38">
        <f>[4]MVTJANV!$O44</f>
        <v>0</v>
      </c>
      <c r="X44" s="38">
        <f t="shared" si="19"/>
        <v>850000</v>
      </c>
      <c r="Y44" s="38">
        <f>[4]MVTJANV!$Q44</f>
        <v>0</v>
      </c>
      <c r="Z44" s="38">
        <f>[4]MVTFEV!$N44</f>
        <v>0</v>
      </c>
      <c r="AA44" s="38">
        <f>[4]MVTFEV!$O44</f>
        <v>0</v>
      </c>
      <c r="AB44" s="38">
        <f t="shared" si="20"/>
        <v>850000</v>
      </c>
      <c r="AC44" s="38">
        <f>[4]MVTFEV!$Q44</f>
        <v>0</v>
      </c>
      <c r="AD44" s="38">
        <f>[4]MVTMARS!$N44</f>
        <v>0</v>
      </c>
      <c r="AE44" s="38">
        <f>[4]MVTMARS!$O44</f>
        <v>0</v>
      </c>
      <c r="AF44" s="38">
        <f t="shared" si="21"/>
        <v>850000</v>
      </c>
      <c r="AG44" s="38">
        <f>[4]MVTMARS!$Q44</f>
        <v>0</v>
      </c>
      <c r="AH44" s="38">
        <f>[4]MVTAVRIL!$N44</f>
        <v>0</v>
      </c>
      <c r="AI44" s="38">
        <f>[4]MVTAVRIL!$O44</f>
        <v>0</v>
      </c>
      <c r="AJ44" s="38">
        <f t="shared" si="22"/>
        <v>850000</v>
      </c>
      <c r="AK44" s="38">
        <f>[4]MVTAVRIL!$Q44</f>
        <v>0</v>
      </c>
      <c r="AL44" s="38">
        <f>[4]MVTMAI!$N44</f>
        <v>0</v>
      </c>
      <c r="AM44" s="38">
        <f>[4]MVTMAI!$O44</f>
        <v>0</v>
      </c>
      <c r="AN44" s="38">
        <f t="shared" si="23"/>
        <v>850000</v>
      </c>
      <c r="AO44" s="38">
        <f>[4]MVTMAI!$Q44</f>
        <v>0</v>
      </c>
      <c r="AP44" s="38">
        <f>[4]MVTJUIN!$N44</f>
        <v>0</v>
      </c>
      <c r="AQ44" s="38">
        <f>[4]MVTJUIN!$O44</f>
        <v>0</v>
      </c>
      <c r="AR44" s="38">
        <f t="shared" si="24"/>
        <v>850000</v>
      </c>
      <c r="AS44" s="38">
        <f>[4]MVTJUIN!$Q44</f>
        <v>0</v>
      </c>
      <c r="AT44" s="38">
        <f>[4]MVTJUIL!$N44</f>
        <v>0</v>
      </c>
      <c r="AU44" s="38">
        <f>[4]MVTJUIL!$O44</f>
        <v>0</v>
      </c>
      <c r="AV44" s="38">
        <f t="shared" si="25"/>
        <v>850000</v>
      </c>
      <c r="AW44" s="38">
        <f>[4]MVTJUIL!$Q44</f>
        <v>0</v>
      </c>
      <c r="AX44" s="38">
        <f>[4]MVTAOUT2019!$N44</f>
        <v>0</v>
      </c>
      <c r="AY44" s="38">
        <f>[4]MVTAOUT2019!$O44</f>
        <v>0</v>
      </c>
      <c r="AZ44" s="38">
        <f t="shared" si="26"/>
        <v>850000</v>
      </c>
      <c r="BA44" s="38">
        <f>[4]MVTAOUT2019!$Q44</f>
        <v>0</v>
      </c>
      <c r="BB44" s="38">
        <v>2</v>
      </c>
      <c r="BC44" s="38">
        <f t="shared" si="27"/>
        <v>95000</v>
      </c>
      <c r="BD44" s="38">
        <f t="shared" si="28"/>
        <v>850000</v>
      </c>
      <c r="BE44" s="38">
        <f t="shared" si="29"/>
        <v>0</v>
      </c>
      <c r="BF44" s="64">
        <v>43678</v>
      </c>
      <c r="BG44" s="38">
        <v>42575</v>
      </c>
      <c r="BH44" s="39" t="s">
        <v>231</v>
      </c>
    </row>
    <row r="45" spans="1:60" x14ac:dyDescent="0.25">
      <c r="A45" s="32" t="s">
        <v>78</v>
      </c>
      <c r="B45" s="56" t="str">
        <f>VLOOKUP(A45,[3]LISTADHERENT!A$5:H$58,2,0)</f>
        <v>TCHOUTOU NANA CLAUDE</v>
      </c>
      <c r="C45" s="38"/>
      <c r="D45" s="65"/>
      <c r="E45" s="65"/>
      <c r="F45" s="38">
        <f>[4]MVTSEPT!$P45</f>
        <v>0</v>
      </c>
      <c r="G45" s="38">
        <f>[4]MVTSEPT!$Q45</f>
        <v>0</v>
      </c>
      <c r="H45" s="38">
        <f t="shared" si="15"/>
        <v>0</v>
      </c>
      <c r="I45" s="38">
        <f>[4]MVTSEPT!$S45</f>
        <v>0</v>
      </c>
      <c r="J45" s="38">
        <f>[4]MVTOCT!$N45</f>
        <v>0</v>
      </c>
      <c r="K45" s="38">
        <f>[4]MVTOCT!$O45</f>
        <v>0</v>
      </c>
      <c r="L45" s="38">
        <f t="shared" si="16"/>
        <v>0</v>
      </c>
      <c r="M45" s="38">
        <f>[4]MVTOCT!$Q45</f>
        <v>0</v>
      </c>
      <c r="N45" s="38">
        <f>[4]MVTNOV!$N45</f>
        <v>0</v>
      </c>
      <c r="O45" s="38">
        <f>[4]MVTNOV!$O45</f>
        <v>0</v>
      </c>
      <c r="P45" s="38">
        <f t="shared" si="17"/>
        <v>0</v>
      </c>
      <c r="Q45" s="38">
        <f>[4]MVTNOV!$Q45</f>
        <v>0</v>
      </c>
      <c r="R45" s="38">
        <f>[4]MVTDEC!$N45</f>
        <v>0</v>
      </c>
      <c r="S45" s="38">
        <f>[4]MVTDEC!$O45</f>
        <v>0</v>
      </c>
      <c r="T45" s="38">
        <f t="shared" si="18"/>
        <v>0</v>
      </c>
      <c r="U45" s="38">
        <f>[4]MVTDEC!$Q45</f>
        <v>0</v>
      </c>
      <c r="V45" s="38">
        <f>[4]MVTJANV!$N45</f>
        <v>0</v>
      </c>
      <c r="W45" s="38">
        <f>[4]MVTJANV!$O45</f>
        <v>0</v>
      </c>
      <c r="X45" s="38">
        <f t="shared" si="19"/>
        <v>0</v>
      </c>
      <c r="Y45" s="38">
        <f>[4]MVTJANV!$Q45</f>
        <v>0</v>
      </c>
      <c r="Z45" s="38">
        <f>[4]MVTFEV!$N45</f>
        <v>0</v>
      </c>
      <c r="AA45" s="38">
        <f>[4]MVTFEV!$O45</f>
        <v>0</v>
      </c>
      <c r="AB45" s="38">
        <f t="shared" si="20"/>
        <v>0</v>
      </c>
      <c r="AC45" s="38">
        <f>[4]MVTFEV!$Q45</f>
        <v>0</v>
      </c>
      <c r="AD45" s="38">
        <f>[4]MVTMARS!$N45</f>
        <v>0</v>
      </c>
      <c r="AE45" s="38">
        <f>[4]MVTMARS!$O45</f>
        <v>0</v>
      </c>
      <c r="AF45" s="38">
        <f t="shared" si="21"/>
        <v>0</v>
      </c>
      <c r="AG45" s="38">
        <f>[4]MVTMARS!$Q45</f>
        <v>0</v>
      </c>
      <c r="AH45" s="38">
        <f>[4]MVTAVRIL!$N45</f>
        <v>0</v>
      </c>
      <c r="AI45" s="38">
        <f>[4]MVTAVRIL!$O45</f>
        <v>0</v>
      </c>
      <c r="AJ45" s="38">
        <f t="shared" si="22"/>
        <v>0</v>
      </c>
      <c r="AK45" s="38">
        <f>[4]MVTAVRIL!$Q45</f>
        <v>0</v>
      </c>
      <c r="AL45" s="38">
        <f>[4]MVTMAI!$N45</f>
        <v>0</v>
      </c>
      <c r="AM45" s="38">
        <f>[4]MVTMAI!$O45</f>
        <v>0</v>
      </c>
      <c r="AN45" s="38">
        <f t="shared" si="23"/>
        <v>0</v>
      </c>
      <c r="AO45" s="38">
        <f>[4]MVTMAI!$Q45</f>
        <v>0</v>
      </c>
      <c r="AP45" s="38">
        <f>[4]MVTJUIN!$N45</f>
        <v>0</v>
      </c>
      <c r="AQ45" s="38">
        <f>[4]MVTJUIN!$O45</f>
        <v>0</v>
      </c>
      <c r="AR45" s="38">
        <f t="shared" si="24"/>
        <v>0</v>
      </c>
      <c r="AS45" s="38">
        <f>[4]MVTJUIN!$Q45</f>
        <v>0</v>
      </c>
      <c r="AT45" s="38">
        <f>[4]MVTJUIL!$N45</f>
        <v>0</v>
      </c>
      <c r="AU45" s="38">
        <f>[4]MVTJUIL!$O45</f>
        <v>0</v>
      </c>
      <c r="AV45" s="38">
        <f t="shared" si="25"/>
        <v>0</v>
      </c>
      <c r="AW45" s="38">
        <f>[4]MVTJUIL!$Q45</f>
        <v>0</v>
      </c>
      <c r="AX45" s="38">
        <f>[4]MVTAOUT2019!$N45</f>
        <v>0</v>
      </c>
      <c r="AY45" s="38">
        <f>[4]MVTAOUT2019!$O45</f>
        <v>0</v>
      </c>
      <c r="AZ45" s="38">
        <f t="shared" si="26"/>
        <v>0</v>
      </c>
      <c r="BA45" s="38">
        <f>[4]MVTAOUT2019!$Q45</f>
        <v>0</v>
      </c>
      <c r="BB45" s="38">
        <v>3</v>
      </c>
      <c r="BC45" s="38">
        <f t="shared" si="27"/>
        <v>0</v>
      </c>
      <c r="BD45" s="38">
        <f t="shared" si="28"/>
        <v>0</v>
      </c>
      <c r="BE45" s="38">
        <f t="shared" si="29"/>
        <v>0</v>
      </c>
      <c r="BF45" s="64">
        <v>43678</v>
      </c>
      <c r="BG45" s="38">
        <v>0</v>
      </c>
      <c r="BH45" s="39"/>
    </row>
    <row r="46" spans="1:60" x14ac:dyDescent="0.25">
      <c r="A46" s="32" t="s">
        <v>79</v>
      </c>
      <c r="B46" s="56" t="str">
        <f>VLOOKUP(A46,[3]LISTADHERENT!A$5:H$58,2,0)</f>
        <v>TIEYAM ERNEST</v>
      </c>
      <c r="C46" s="38"/>
      <c r="D46" s="65"/>
      <c r="E46" s="65"/>
      <c r="F46" s="38">
        <f>[4]MVTSEPT!$P46</f>
        <v>1000000</v>
      </c>
      <c r="G46" s="38">
        <f>[4]MVTSEPT!$Q46</f>
        <v>30000</v>
      </c>
      <c r="H46" s="38">
        <f t="shared" si="15"/>
        <v>1000000</v>
      </c>
      <c r="I46" s="38">
        <f>[4]MVTSEPT!$S46</f>
        <v>0</v>
      </c>
      <c r="J46" s="38">
        <f>[4]MVTOCT!$N46</f>
        <v>0</v>
      </c>
      <c r="K46" s="38">
        <f>[4]MVTOCT!$O46</f>
        <v>0</v>
      </c>
      <c r="L46" s="38">
        <f t="shared" si="16"/>
        <v>1000000</v>
      </c>
      <c r="M46" s="38">
        <f>[4]MVTOCT!$Q46</f>
        <v>0</v>
      </c>
      <c r="N46" s="38">
        <f>[4]MVTNOV!$N46</f>
        <v>0</v>
      </c>
      <c r="O46" s="38">
        <f>[4]MVTNOV!$O46</f>
        <v>0</v>
      </c>
      <c r="P46" s="38">
        <f t="shared" si="17"/>
        <v>1000000</v>
      </c>
      <c r="Q46" s="38">
        <f>[4]MVTNOV!$Q46</f>
        <v>0</v>
      </c>
      <c r="R46" s="38">
        <f>[4]MVTDEC!$N46</f>
        <v>0</v>
      </c>
      <c r="S46" s="38">
        <f>[4]MVTDEC!$O46</f>
        <v>0</v>
      </c>
      <c r="T46" s="38">
        <f t="shared" si="18"/>
        <v>1000000</v>
      </c>
      <c r="U46" s="38">
        <f>[4]MVTDEC!$Q46</f>
        <v>0</v>
      </c>
      <c r="V46" s="38">
        <f>[4]MVTJANV!$N46</f>
        <v>0</v>
      </c>
      <c r="W46" s="38">
        <f>[4]MVTJANV!$O46</f>
        <v>0</v>
      </c>
      <c r="X46" s="38">
        <f t="shared" si="19"/>
        <v>1000000</v>
      </c>
      <c r="Y46" s="38">
        <f>[4]MVTJANV!$Q46</f>
        <v>0</v>
      </c>
      <c r="Z46" s="38">
        <f>[4]MVTFEV!$N46</f>
        <v>0</v>
      </c>
      <c r="AA46" s="38">
        <f>[4]MVTFEV!$O46</f>
        <v>0</v>
      </c>
      <c r="AB46" s="38">
        <f t="shared" si="20"/>
        <v>1000000</v>
      </c>
      <c r="AC46" s="38">
        <f>[4]MVTFEV!$Q46</f>
        <v>0</v>
      </c>
      <c r="AD46" s="38">
        <f>[4]MVTMARS!$N46</f>
        <v>0</v>
      </c>
      <c r="AE46" s="38">
        <f>[4]MVTMARS!$O46</f>
        <v>0</v>
      </c>
      <c r="AF46" s="38">
        <f t="shared" si="21"/>
        <v>1000000</v>
      </c>
      <c r="AG46" s="38">
        <f>[4]MVTMARS!$Q46</f>
        <v>0</v>
      </c>
      <c r="AH46" s="38">
        <f>[4]MVTAVRIL!$N46</f>
        <v>0</v>
      </c>
      <c r="AI46" s="38">
        <f>[4]MVTAVRIL!$O46</f>
        <v>0</v>
      </c>
      <c r="AJ46" s="38">
        <f t="shared" si="22"/>
        <v>1000000</v>
      </c>
      <c r="AK46" s="38">
        <f>[4]MVTAVRIL!$Q46</f>
        <v>0</v>
      </c>
      <c r="AL46" s="38">
        <f>[4]MVTMAI!$N46</f>
        <v>0</v>
      </c>
      <c r="AM46" s="38">
        <f>[4]MVTMAI!$O46</f>
        <v>0</v>
      </c>
      <c r="AN46" s="38">
        <f t="shared" si="23"/>
        <v>1000000</v>
      </c>
      <c r="AO46" s="38">
        <f>[4]MVTMAI!$Q46</f>
        <v>0</v>
      </c>
      <c r="AP46" s="38">
        <f>[4]MVTJUIN!$N46</f>
        <v>0</v>
      </c>
      <c r="AQ46" s="38">
        <f>[4]MVTJUIN!$O46</f>
        <v>0</v>
      </c>
      <c r="AR46" s="38">
        <f t="shared" si="24"/>
        <v>1000000</v>
      </c>
      <c r="AS46" s="38">
        <f>[4]MVTJUIN!$Q46</f>
        <v>0</v>
      </c>
      <c r="AT46" s="38">
        <f>[4]MVTJUIL!$N46</f>
        <v>0</v>
      </c>
      <c r="AU46" s="38">
        <f>[4]MVTJUIL!$O46</f>
        <v>0</v>
      </c>
      <c r="AV46" s="38">
        <f t="shared" si="25"/>
        <v>1000000</v>
      </c>
      <c r="AW46" s="38">
        <f>[4]MVTJUIL!$Q46</f>
        <v>0</v>
      </c>
      <c r="AX46" s="38">
        <f>[4]MVTAOUT2019!$N46</f>
        <v>0</v>
      </c>
      <c r="AY46" s="38">
        <f>[4]MVTAOUT2019!$O46</f>
        <v>0</v>
      </c>
      <c r="AZ46" s="38">
        <f t="shared" si="26"/>
        <v>1000000</v>
      </c>
      <c r="BA46" s="38">
        <f>[4]MVTAOUT2019!$Q46</f>
        <v>0</v>
      </c>
      <c r="BB46" s="38">
        <v>4</v>
      </c>
      <c r="BC46" s="38">
        <f t="shared" si="27"/>
        <v>30000</v>
      </c>
      <c r="BD46" s="38">
        <f t="shared" si="28"/>
        <v>1000000</v>
      </c>
      <c r="BE46" s="38">
        <f t="shared" si="29"/>
        <v>0</v>
      </c>
      <c r="BF46" s="64">
        <v>43435</v>
      </c>
      <c r="BG46" s="38">
        <v>50000</v>
      </c>
      <c r="BH46" s="39" t="s">
        <v>231</v>
      </c>
    </row>
    <row r="47" spans="1:60" x14ac:dyDescent="0.25">
      <c r="A47" s="32" t="s">
        <v>81</v>
      </c>
      <c r="B47" s="56" t="str">
        <f>VLOOKUP(A47,[3]LISTADHERENT!A$5:H$58,2,0)</f>
        <v>YEPMOU JEAN JACQUES</v>
      </c>
      <c r="C47" s="38"/>
      <c r="D47" s="65"/>
      <c r="E47" s="65"/>
      <c r="F47" s="38">
        <f>[4]MVTSEPT!$P47</f>
        <v>500000</v>
      </c>
      <c r="G47" s="38">
        <f>[4]MVTSEPT!$Q47</f>
        <v>17500</v>
      </c>
      <c r="H47" s="38">
        <f t="shared" si="15"/>
        <v>250000</v>
      </c>
      <c r="I47" s="38">
        <f>[4]MVTSEPT!$S47</f>
        <v>250000</v>
      </c>
      <c r="J47" s="38">
        <f>[4]MVTOCT!$N47</f>
        <v>0</v>
      </c>
      <c r="K47" s="38">
        <f>[4]MVTOCT!$O47</f>
        <v>0</v>
      </c>
      <c r="L47" s="38">
        <f t="shared" si="16"/>
        <v>250000</v>
      </c>
      <c r="M47" s="38">
        <f>[4]MVTOCT!$Q47</f>
        <v>0</v>
      </c>
      <c r="N47" s="38">
        <f>[4]MVTNOV!$N47</f>
        <v>750000</v>
      </c>
      <c r="O47" s="38">
        <f>[4]MVTNOV!$O47</f>
        <v>22500</v>
      </c>
      <c r="P47" s="38">
        <f t="shared" si="17"/>
        <v>750000</v>
      </c>
      <c r="Q47" s="38">
        <f>[4]MVTNOV!$Q47</f>
        <v>250000</v>
      </c>
      <c r="R47" s="38">
        <f>[4]MVTDEC!$N47</f>
        <v>0</v>
      </c>
      <c r="S47" s="38">
        <f>[4]MVTDEC!$O47</f>
        <v>0</v>
      </c>
      <c r="T47" s="38">
        <f t="shared" si="18"/>
        <v>750000</v>
      </c>
      <c r="U47" s="38">
        <f>[4]MVTDEC!$Q47</f>
        <v>0</v>
      </c>
      <c r="V47" s="38">
        <f>[4]MVTJANV!$N47</f>
        <v>0</v>
      </c>
      <c r="W47" s="38">
        <f>[4]MVTJANV!$O47</f>
        <v>0</v>
      </c>
      <c r="X47" s="38">
        <f t="shared" si="19"/>
        <v>750000</v>
      </c>
      <c r="Y47" s="38">
        <f>[4]MVTJANV!$Q47</f>
        <v>0</v>
      </c>
      <c r="Z47" s="38">
        <f>[4]MVTFEV!$N47</f>
        <v>0</v>
      </c>
      <c r="AA47" s="38">
        <f>[4]MVTFEV!$O47</f>
        <v>0</v>
      </c>
      <c r="AB47" s="38">
        <f t="shared" si="20"/>
        <v>750000</v>
      </c>
      <c r="AC47" s="38">
        <f>[4]MVTFEV!$Q47</f>
        <v>0</v>
      </c>
      <c r="AD47" s="38">
        <f>[4]MVTMARS!$N47</f>
        <v>0</v>
      </c>
      <c r="AE47" s="38">
        <f>[4]MVTMARS!$O47</f>
        <v>0</v>
      </c>
      <c r="AF47" s="38">
        <f t="shared" si="21"/>
        <v>750000</v>
      </c>
      <c r="AG47" s="38">
        <f>[4]MVTMARS!$Q47</f>
        <v>0</v>
      </c>
      <c r="AH47" s="38">
        <f>[4]MVTAVRIL!$N47</f>
        <v>0</v>
      </c>
      <c r="AI47" s="38">
        <f>[4]MVTAVRIL!$O47</f>
        <v>0</v>
      </c>
      <c r="AJ47" s="38">
        <f t="shared" si="22"/>
        <v>750000</v>
      </c>
      <c r="AK47" s="38">
        <f>[4]MVTAVRIL!$Q47</f>
        <v>0</v>
      </c>
      <c r="AL47" s="38">
        <f>[4]MVTMAI!$N47</f>
        <v>0</v>
      </c>
      <c r="AM47" s="38">
        <f>[4]MVTMAI!$O47</f>
        <v>0</v>
      </c>
      <c r="AN47" s="38">
        <f t="shared" si="23"/>
        <v>750000</v>
      </c>
      <c r="AO47" s="38">
        <f>[4]MVTMAI!$Q47</f>
        <v>0</v>
      </c>
      <c r="AP47" s="38">
        <f>[4]MVTJUIN!$N47</f>
        <v>0</v>
      </c>
      <c r="AQ47" s="38">
        <f>[4]MVTJUIN!$O47</f>
        <v>0</v>
      </c>
      <c r="AR47" s="38">
        <f t="shared" si="24"/>
        <v>750000</v>
      </c>
      <c r="AS47" s="38">
        <f>[4]MVTJUIN!$Q47</f>
        <v>0</v>
      </c>
      <c r="AT47" s="38">
        <f>[4]MVTJUIL!$N47</f>
        <v>0</v>
      </c>
      <c r="AU47" s="38">
        <f>[4]MVTJUIL!$O47</f>
        <v>0</v>
      </c>
      <c r="AV47" s="38">
        <f t="shared" si="25"/>
        <v>750000</v>
      </c>
      <c r="AW47" s="38">
        <f>[4]MVTJUIL!$Q47</f>
        <v>0</v>
      </c>
      <c r="AX47" s="38">
        <f>[4]MVTAOUT2019!$N47</f>
        <v>0</v>
      </c>
      <c r="AY47" s="38">
        <f>[4]MVTAOUT2019!$O47</f>
        <v>0</v>
      </c>
      <c r="AZ47" s="38">
        <f t="shared" si="26"/>
        <v>750000</v>
      </c>
      <c r="BA47" s="38">
        <f>[4]MVTAOUT2019!$Q47</f>
        <v>0</v>
      </c>
      <c r="BB47" s="38">
        <v>5</v>
      </c>
      <c r="BC47" s="38">
        <f t="shared" si="27"/>
        <v>40000</v>
      </c>
      <c r="BD47" s="38">
        <f t="shared" si="28"/>
        <v>750000</v>
      </c>
      <c r="BE47" s="38">
        <f t="shared" si="29"/>
        <v>500000</v>
      </c>
      <c r="BF47" s="64">
        <v>43678</v>
      </c>
      <c r="BG47" s="38">
        <v>0</v>
      </c>
      <c r="BH47" s="39"/>
    </row>
    <row r="48" spans="1:60" x14ac:dyDescent="0.25">
      <c r="A48" s="32" t="s">
        <v>82</v>
      </c>
      <c r="B48" s="56" t="str">
        <f>VLOOKUP(A48,[3]LISTADHERENT!A$5:H$58,2,0)</f>
        <v>YOUMBI EMMANUEL</v>
      </c>
      <c r="C48" s="38"/>
      <c r="D48" s="65"/>
      <c r="E48" s="65"/>
      <c r="F48" s="38">
        <f>[4]MVTSEPT!$P48</f>
        <v>0</v>
      </c>
      <c r="G48" s="38">
        <f>[4]MVTSEPT!$Q48</f>
        <v>0</v>
      </c>
      <c r="H48" s="38">
        <f t="shared" si="15"/>
        <v>0</v>
      </c>
      <c r="I48" s="38">
        <f>[4]MVTSEPT!$S48</f>
        <v>0</v>
      </c>
      <c r="J48" s="38">
        <f>[4]MVTOCT!$N48</f>
        <v>0</v>
      </c>
      <c r="K48" s="38">
        <f>[4]MVTOCT!$O48</f>
        <v>0</v>
      </c>
      <c r="L48" s="38">
        <f t="shared" si="16"/>
        <v>0</v>
      </c>
      <c r="M48" s="38">
        <f>[4]MVTOCT!$Q48</f>
        <v>0</v>
      </c>
      <c r="N48" s="38">
        <f>[4]MVTNOV!$N48</f>
        <v>0</v>
      </c>
      <c r="O48" s="38">
        <f>[4]MVTNOV!$O48</f>
        <v>0</v>
      </c>
      <c r="P48" s="38">
        <f t="shared" si="17"/>
        <v>0</v>
      </c>
      <c r="Q48" s="38">
        <f>[4]MVTNOV!$Q48</f>
        <v>0</v>
      </c>
      <c r="R48" s="38">
        <f>[4]MVTDEC!$N48</f>
        <v>0</v>
      </c>
      <c r="S48" s="38">
        <f>[4]MVTDEC!$O48</f>
        <v>0</v>
      </c>
      <c r="T48" s="38">
        <f t="shared" si="18"/>
        <v>0</v>
      </c>
      <c r="U48" s="38">
        <f>[4]MVTDEC!$Q48</f>
        <v>0</v>
      </c>
      <c r="V48" s="38">
        <f>[4]MVTJANV!$N48</f>
        <v>0</v>
      </c>
      <c r="W48" s="38">
        <f>[4]MVTJANV!$O48</f>
        <v>0</v>
      </c>
      <c r="X48" s="38">
        <f t="shared" si="19"/>
        <v>0</v>
      </c>
      <c r="Y48" s="38">
        <f>[4]MVTJANV!$Q48</f>
        <v>0</v>
      </c>
      <c r="Z48" s="38">
        <f>[4]MVTFEV!$N48</f>
        <v>0</v>
      </c>
      <c r="AA48" s="38">
        <f>[4]MVTFEV!$O48</f>
        <v>0</v>
      </c>
      <c r="AB48" s="38">
        <f t="shared" si="20"/>
        <v>0</v>
      </c>
      <c r="AC48" s="38">
        <f>[4]MVTFEV!$Q48</f>
        <v>0</v>
      </c>
      <c r="AD48" s="38">
        <f>[4]MVTMARS!$N48</f>
        <v>0</v>
      </c>
      <c r="AE48" s="38">
        <f>[4]MVTMARS!$O48</f>
        <v>0</v>
      </c>
      <c r="AF48" s="38">
        <f t="shared" si="21"/>
        <v>0</v>
      </c>
      <c r="AG48" s="38">
        <f>[4]MVTMARS!$Q48</f>
        <v>0</v>
      </c>
      <c r="AH48" s="38">
        <f>[4]MVTAVRIL!$N48</f>
        <v>0</v>
      </c>
      <c r="AI48" s="38">
        <f>[4]MVTAVRIL!$O48</f>
        <v>0</v>
      </c>
      <c r="AJ48" s="38">
        <f t="shared" si="22"/>
        <v>0</v>
      </c>
      <c r="AK48" s="38">
        <f>[4]MVTAVRIL!$Q48</f>
        <v>0</v>
      </c>
      <c r="AL48" s="38">
        <f>[4]MVTMAI!$N48</f>
        <v>0</v>
      </c>
      <c r="AM48" s="38">
        <f>[4]MVTMAI!$O48</f>
        <v>0</v>
      </c>
      <c r="AN48" s="38">
        <f t="shared" si="23"/>
        <v>0</v>
      </c>
      <c r="AO48" s="38">
        <f>[4]MVTMAI!$Q48</f>
        <v>0</v>
      </c>
      <c r="AP48" s="38">
        <f>[4]MVTJUIN!$N48</f>
        <v>0</v>
      </c>
      <c r="AQ48" s="38">
        <f>[4]MVTJUIN!$O48</f>
        <v>0</v>
      </c>
      <c r="AR48" s="38">
        <f t="shared" si="24"/>
        <v>0</v>
      </c>
      <c r="AS48" s="38">
        <f>[4]MVTJUIN!$Q48</f>
        <v>0</v>
      </c>
      <c r="AT48" s="38">
        <f>[4]MVTJUIL!$N48</f>
        <v>0</v>
      </c>
      <c r="AU48" s="38">
        <f>[4]MVTJUIL!$O48</f>
        <v>0</v>
      </c>
      <c r="AV48" s="38">
        <f t="shared" si="25"/>
        <v>0</v>
      </c>
      <c r="AW48" s="38">
        <f>[4]MVTJUIL!$Q48</f>
        <v>0</v>
      </c>
      <c r="AX48" s="38">
        <f>[4]MVTAOUT2019!$N48</f>
        <v>0</v>
      </c>
      <c r="AY48" s="38">
        <f>[4]MVTAOUT2019!$O48</f>
        <v>0</v>
      </c>
      <c r="AZ48" s="38">
        <f t="shared" si="26"/>
        <v>0</v>
      </c>
      <c r="BA48" s="38">
        <f>[4]MVTAOUT2019!$Q48</f>
        <v>0</v>
      </c>
      <c r="BB48" s="38">
        <v>6</v>
      </c>
      <c r="BC48" s="38">
        <f t="shared" si="27"/>
        <v>0</v>
      </c>
      <c r="BD48" s="38">
        <f t="shared" si="28"/>
        <v>0</v>
      </c>
      <c r="BE48" s="38">
        <f t="shared" si="29"/>
        <v>0</v>
      </c>
      <c r="BF48" s="64">
        <v>43678</v>
      </c>
      <c r="BG48" s="38">
        <v>0</v>
      </c>
      <c r="BH48" s="39"/>
    </row>
    <row r="49" spans="1:60" x14ac:dyDescent="0.25">
      <c r="A49" s="32"/>
      <c r="B49" s="72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64"/>
      <c r="BG49" s="38"/>
      <c r="BH49" s="39"/>
    </row>
    <row r="50" spans="1:60" x14ac:dyDescent="0.25">
      <c r="A50" s="32"/>
      <c r="B50" s="33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64"/>
      <c r="BG50" s="38"/>
      <c r="BH50" s="39"/>
    </row>
    <row r="51" spans="1:60" x14ac:dyDescent="0.25">
      <c r="A51" s="32"/>
      <c r="B51" s="33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64"/>
      <c r="BG51" s="38"/>
      <c r="BH51" s="39"/>
    </row>
    <row r="52" spans="1:60" x14ac:dyDescent="0.25">
      <c r="A52" s="32"/>
      <c r="B52" s="33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64"/>
      <c r="BG52" s="38"/>
      <c r="BH52" s="39"/>
    </row>
    <row r="53" spans="1:60" x14ac:dyDescent="0.25">
      <c r="A53" s="32"/>
      <c r="B53" s="33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3"/>
      <c r="BG53" s="38"/>
      <c r="BH53" s="39"/>
    </row>
    <row r="54" spans="1:60" ht="15.75" thickBot="1" x14ac:dyDescent="0.3">
      <c r="A54" s="49"/>
      <c r="B54" s="41"/>
      <c r="C54" s="57">
        <f t="shared" ref="C54:AH54" si="30">SUM(C7:C53)</f>
        <v>0</v>
      </c>
      <c r="D54" s="57">
        <f t="shared" si="30"/>
        <v>9330500</v>
      </c>
      <c r="E54" s="57">
        <f t="shared" si="30"/>
        <v>912000</v>
      </c>
      <c r="F54" s="57">
        <f t="shared" si="30"/>
        <v>23790687</v>
      </c>
      <c r="G54" s="57">
        <f t="shared" si="30"/>
        <v>2439554.85</v>
      </c>
      <c r="H54" s="57">
        <f t="shared" si="30"/>
        <v>23242540</v>
      </c>
      <c r="I54" s="57">
        <f t="shared" si="30"/>
        <v>656647</v>
      </c>
      <c r="J54" s="57">
        <f t="shared" si="30"/>
        <v>1500000</v>
      </c>
      <c r="K54" s="57">
        <f t="shared" si="30"/>
        <v>150000</v>
      </c>
      <c r="L54" s="57">
        <f t="shared" si="30"/>
        <v>23692540</v>
      </c>
      <c r="M54" s="57">
        <f t="shared" si="30"/>
        <v>1050000</v>
      </c>
      <c r="N54" s="57">
        <f t="shared" si="30"/>
        <v>1750000</v>
      </c>
      <c r="O54" s="57">
        <f t="shared" si="30"/>
        <v>112500</v>
      </c>
      <c r="P54" s="57">
        <f t="shared" si="30"/>
        <v>25192540</v>
      </c>
      <c r="Q54" s="57">
        <f t="shared" si="30"/>
        <v>250000</v>
      </c>
      <c r="R54" s="57">
        <f t="shared" si="30"/>
        <v>1000000</v>
      </c>
      <c r="S54" s="57">
        <f t="shared" si="30"/>
        <v>100000</v>
      </c>
      <c r="T54" s="57">
        <f t="shared" si="30"/>
        <v>26058505</v>
      </c>
      <c r="U54" s="57">
        <f t="shared" si="30"/>
        <v>134035</v>
      </c>
      <c r="V54" s="57">
        <f t="shared" si="30"/>
        <v>0</v>
      </c>
      <c r="W54" s="57">
        <f t="shared" si="30"/>
        <v>0</v>
      </c>
      <c r="X54" s="57">
        <f t="shared" si="30"/>
        <v>26058505</v>
      </c>
      <c r="Y54" s="57">
        <f t="shared" si="30"/>
        <v>0</v>
      </c>
      <c r="Z54" s="57">
        <f t="shared" si="30"/>
        <v>0</v>
      </c>
      <c r="AA54" s="57">
        <f t="shared" si="30"/>
        <v>0</v>
      </c>
      <c r="AB54" s="57">
        <f t="shared" si="30"/>
        <v>26058505</v>
      </c>
      <c r="AC54" s="57">
        <f t="shared" si="30"/>
        <v>0</v>
      </c>
      <c r="AD54" s="57">
        <f t="shared" si="30"/>
        <v>0</v>
      </c>
      <c r="AE54" s="57">
        <f t="shared" si="30"/>
        <v>0</v>
      </c>
      <c r="AF54" s="57">
        <f t="shared" si="30"/>
        <v>26058505</v>
      </c>
      <c r="AG54" s="57">
        <f t="shared" si="30"/>
        <v>0</v>
      </c>
      <c r="AH54" s="57">
        <f t="shared" si="30"/>
        <v>0</v>
      </c>
      <c r="AI54" s="57">
        <f t="shared" ref="AI54:BE54" si="31">SUM(AI7:AI53)</f>
        <v>0</v>
      </c>
      <c r="AJ54" s="57">
        <f t="shared" si="31"/>
        <v>26058505</v>
      </c>
      <c r="AK54" s="57">
        <f t="shared" si="31"/>
        <v>0</v>
      </c>
      <c r="AL54" s="57">
        <f t="shared" si="31"/>
        <v>0</v>
      </c>
      <c r="AM54" s="57">
        <f t="shared" si="31"/>
        <v>0</v>
      </c>
      <c r="AN54" s="57">
        <f t="shared" si="31"/>
        <v>26058505</v>
      </c>
      <c r="AO54" s="57">
        <f t="shared" si="31"/>
        <v>0</v>
      </c>
      <c r="AP54" s="57">
        <f t="shared" si="31"/>
        <v>0</v>
      </c>
      <c r="AQ54" s="57">
        <f t="shared" si="31"/>
        <v>0</v>
      </c>
      <c r="AR54" s="57">
        <f t="shared" si="31"/>
        <v>26058505</v>
      </c>
      <c r="AS54" s="57">
        <f t="shared" si="31"/>
        <v>0</v>
      </c>
      <c r="AT54" s="57">
        <f t="shared" si="31"/>
        <v>0</v>
      </c>
      <c r="AU54" s="57">
        <f t="shared" si="31"/>
        <v>0</v>
      </c>
      <c r="AV54" s="57">
        <f t="shared" si="31"/>
        <v>26058505</v>
      </c>
      <c r="AW54" s="57">
        <f t="shared" si="31"/>
        <v>0</v>
      </c>
      <c r="AX54" s="57">
        <f t="shared" si="31"/>
        <v>0</v>
      </c>
      <c r="AY54" s="57">
        <f t="shared" si="31"/>
        <v>0</v>
      </c>
      <c r="AZ54" s="57">
        <f t="shared" si="31"/>
        <v>26058505</v>
      </c>
      <c r="BA54" s="57">
        <f t="shared" si="31"/>
        <v>0</v>
      </c>
      <c r="BB54" s="57">
        <f t="shared" si="31"/>
        <v>21</v>
      </c>
      <c r="BC54" s="57">
        <f t="shared" si="31"/>
        <v>2802054.85</v>
      </c>
      <c r="BD54" s="57">
        <f t="shared" si="31"/>
        <v>26058505</v>
      </c>
      <c r="BE54" s="57">
        <f t="shared" si="31"/>
        <v>2090682</v>
      </c>
      <c r="BF54" s="57"/>
      <c r="BG54" s="57">
        <f>SUM(BG7:BG53)</f>
        <v>569925</v>
      </c>
      <c r="BH54" s="42"/>
    </row>
    <row r="55" spans="1:60" ht="15.75" thickTop="1" x14ac:dyDescent="0.25">
      <c r="A55" s="53"/>
      <c r="B55" s="5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</row>
    <row r="56" spans="1:60" x14ac:dyDescent="0.25">
      <c r="A56" s="53"/>
      <c r="B56" s="53"/>
    </row>
    <row r="57" spans="1:60" x14ac:dyDescent="0.25">
      <c r="A57" s="53"/>
      <c r="B57" s="53"/>
    </row>
    <row r="58" spans="1:60" x14ac:dyDescent="0.25">
      <c r="A58" s="53"/>
      <c r="B58" s="53"/>
    </row>
    <row r="59" spans="1:60" x14ac:dyDescent="0.25">
      <c r="A59" s="53"/>
      <c r="B59" s="53"/>
    </row>
  </sheetData>
  <autoFilter ref="C5:BF43"/>
  <sortState ref="A6:AX49">
    <sortCondition ref="B6:B49"/>
  </sortState>
  <mergeCells count="14">
    <mergeCell ref="BB4:BE4"/>
    <mergeCell ref="Z4:AC4"/>
    <mergeCell ref="AT4:AW4"/>
    <mergeCell ref="AP4:AS4"/>
    <mergeCell ref="AL4:AO4"/>
    <mergeCell ref="AH4:AK4"/>
    <mergeCell ref="AD4:AG4"/>
    <mergeCell ref="AX4:BA4"/>
    <mergeCell ref="V4:Y4"/>
    <mergeCell ref="C4:E4"/>
    <mergeCell ref="F4:I4"/>
    <mergeCell ref="J4:M4"/>
    <mergeCell ref="N4:Q4"/>
    <mergeCell ref="R4:U4"/>
  </mergeCells>
  <pageMargins left="0.31496062992125984" right="0.31496062992125984" top="0.35433070866141736" bottom="0.35433070866141736" header="0.31496062992125984" footer="0.31496062992125984"/>
  <pageSetup paperSize="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"/>
  <sheetViews>
    <sheetView workbookViewId="0">
      <selection activeCell="D5" sqref="D5"/>
    </sheetView>
  </sheetViews>
  <sheetFormatPr baseColWidth="10" defaultRowHeight="15" x14ac:dyDescent="0.25"/>
  <cols>
    <col min="1" max="1" width="33.5703125" bestFit="1" customWidth="1"/>
  </cols>
  <sheetData>
    <row r="2" spans="1:15" x14ac:dyDescent="0.25">
      <c r="A2" s="4" t="s">
        <v>215</v>
      </c>
      <c r="B2" s="3" t="s">
        <v>189</v>
      </c>
      <c r="C2" s="27">
        <v>42736</v>
      </c>
      <c r="D2" s="27"/>
      <c r="E2" s="27">
        <v>42767</v>
      </c>
      <c r="F2" s="27">
        <v>42795</v>
      </c>
      <c r="G2" s="27">
        <v>42826</v>
      </c>
      <c r="H2" s="27">
        <v>42856</v>
      </c>
      <c r="I2" s="27">
        <v>42887</v>
      </c>
      <c r="J2" s="27">
        <v>42917</v>
      </c>
      <c r="K2" s="27">
        <v>42948</v>
      </c>
      <c r="L2" s="27">
        <v>42979</v>
      </c>
      <c r="M2" s="27">
        <v>43009</v>
      </c>
      <c r="N2" s="27">
        <v>43040</v>
      </c>
      <c r="O2" s="27"/>
    </row>
    <row r="3" spans="1:15" x14ac:dyDescent="0.25">
      <c r="C3" t="s">
        <v>142</v>
      </c>
      <c r="D3" t="s">
        <v>143</v>
      </c>
    </row>
    <row r="4" spans="1:15" x14ac:dyDescent="0.25">
      <c r="A4" t="s">
        <v>217</v>
      </c>
      <c r="B4" s="3">
        <f>1711250+337250</f>
        <v>2048500</v>
      </c>
      <c r="C4" s="3">
        <v>337250</v>
      </c>
      <c r="D4" s="3"/>
      <c r="E4" s="3"/>
      <c r="F4" s="3"/>
      <c r="G4" s="3"/>
      <c r="H4" s="3"/>
      <c r="I4" s="3">
        <v>400500</v>
      </c>
      <c r="J4" s="3"/>
      <c r="K4" s="3"/>
      <c r="L4" s="3"/>
      <c r="M4" s="3"/>
      <c r="N4" s="3"/>
    </row>
    <row r="5" spans="1:15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>
        <v>441105</v>
      </c>
      <c r="N5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A2" sqref="A2:M2"/>
    </sheetView>
  </sheetViews>
  <sheetFormatPr baseColWidth="10" defaultRowHeight="15" x14ac:dyDescent="0.25"/>
  <cols>
    <col min="1" max="1" width="22" bestFit="1" customWidth="1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H4" sqref="H4"/>
    </sheetView>
  </sheetViews>
  <sheetFormatPr baseColWidth="10" defaultRowHeight="15" x14ac:dyDescent="0.25"/>
  <cols>
    <col min="1" max="1" width="33.5703125" bestFit="1" customWidth="1"/>
  </cols>
  <sheetData>
    <row r="2" spans="1:14" x14ac:dyDescent="0.25">
      <c r="A2" s="4" t="s">
        <v>215</v>
      </c>
      <c r="B2" s="3" t="s">
        <v>189</v>
      </c>
      <c r="C2" s="27">
        <v>42736</v>
      </c>
      <c r="D2" s="27">
        <v>42767</v>
      </c>
      <c r="E2" s="27">
        <v>42795</v>
      </c>
      <c r="F2" s="27">
        <v>42826</v>
      </c>
      <c r="G2" s="27">
        <v>42856</v>
      </c>
      <c r="H2" s="27">
        <v>42887</v>
      </c>
      <c r="I2" s="27">
        <v>42917</v>
      </c>
      <c r="J2" s="27">
        <v>42948</v>
      </c>
      <c r="K2" s="27">
        <v>42979</v>
      </c>
      <c r="L2" s="27">
        <v>43009</v>
      </c>
      <c r="M2" s="27">
        <v>43040</v>
      </c>
      <c r="N2" s="27"/>
    </row>
    <row r="4" spans="1:14" x14ac:dyDescent="0.25">
      <c r="A4" t="s">
        <v>136</v>
      </c>
      <c r="B4" s="3"/>
      <c r="C4" s="3"/>
      <c r="D4" s="3"/>
      <c r="E4" s="3"/>
      <c r="F4" s="3"/>
      <c r="G4" s="3"/>
      <c r="H4" s="3">
        <v>400500</v>
      </c>
      <c r="I4" s="3"/>
      <c r="J4" s="3"/>
      <c r="K4" s="3"/>
      <c r="L4" s="3"/>
      <c r="M4" s="3"/>
    </row>
    <row r="5" spans="1:14" x14ac:dyDescent="0.25">
      <c r="A5" t="s">
        <v>135</v>
      </c>
      <c r="B5" s="3"/>
      <c r="C5" s="3"/>
      <c r="D5" s="3"/>
      <c r="E5" s="3"/>
      <c r="F5" s="3"/>
      <c r="G5" s="3"/>
      <c r="H5" s="3"/>
      <c r="I5" s="3"/>
      <c r="J5" s="3"/>
      <c r="K5" s="3"/>
      <c r="L5" s="3">
        <v>441105</v>
      </c>
      <c r="M5" s="3"/>
    </row>
    <row r="6" spans="1:14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400500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441105</v>
      </c>
      <c r="M17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cp:lastPrinted>2017-02-14T14:14:17Z</cp:lastPrinted>
  <dcterms:created xsi:type="dcterms:W3CDTF">2017-01-05T17:53:17Z</dcterms:created>
  <dcterms:modified xsi:type="dcterms:W3CDTF">2019-01-20T15:07:27Z</dcterms:modified>
</cp:coreProperties>
</file>